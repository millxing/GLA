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GLA/reports/"/>
    </mc:Choice>
  </mc:AlternateContent>
  <xr:revisionPtr revIDLastSave="0" documentId="13_ncr:1_{94516D54-888B-1541-9DD4-4A3AAB5AB18A}" xr6:coauthVersionLast="47" xr6:coauthVersionMax="47" xr10:uidLastSave="{00000000-0000-0000-0000-000000000000}"/>
  <bookViews>
    <workbookView xWindow="7080" yWindow="-18680" windowWidth="49300" windowHeight="16940" activeTab="3" xr2:uid="{E8211D80-5896-574B-9E30-D6B93117F211}"/>
  </bookViews>
  <sheets>
    <sheet name="original" sheetId="1" r:id="rId1"/>
    <sheet name="copy" sheetId="3" r:id="rId2"/>
    <sheet name="copy (2)" sheetId="4" r:id="rId3"/>
    <sheet name="copy (3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5" l="1"/>
  <c r="T3" i="5"/>
  <c r="T294" i="5"/>
  <c r="T210" i="5"/>
  <c r="T183" i="5"/>
  <c r="T530" i="5"/>
  <c r="T737" i="5"/>
  <c r="T356" i="5"/>
  <c r="R10" i="4"/>
  <c r="R11" i="4"/>
  <c r="R12" i="4"/>
  <c r="R13" i="4"/>
  <c r="R14" i="4"/>
  <c r="R15" i="4"/>
  <c r="R16" i="4"/>
  <c r="R17" i="4"/>
  <c r="R18" i="4"/>
  <c r="R19" i="4"/>
  <c r="R20" i="4"/>
  <c r="R9" i="4"/>
  <c r="Q784" i="5"/>
  <c r="M784" i="5"/>
  <c r="J784" i="5"/>
  <c r="I784" i="5"/>
  <c r="F784" i="5"/>
  <c r="Q783" i="5"/>
  <c r="M783" i="5"/>
  <c r="J783" i="5"/>
  <c r="I783" i="5"/>
  <c r="F783" i="5"/>
  <c r="Q782" i="5"/>
  <c r="M782" i="5"/>
  <c r="J782" i="5"/>
  <c r="I782" i="5"/>
  <c r="F782" i="5"/>
  <c r="Q780" i="5"/>
  <c r="M780" i="5"/>
  <c r="J780" i="5"/>
  <c r="I780" i="5"/>
  <c r="F780" i="5"/>
  <c r="N780" i="5" s="1"/>
  <c r="Q759" i="5"/>
  <c r="M759" i="5"/>
  <c r="J759" i="5"/>
  <c r="I759" i="5"/>
  <c r="F759" i="5"/>
  <c r="Q778" i="5"/>
  <c r="M778" i="5"/>
  <c r="T778" i="5" s="1"/>
  <c r="J778" i="5"/>
  <c r="I778" i="5"/>
  <c r="F778" i="5"/>
  <c r="Q781" i="5"/>
  <c r="M781" i="5"/>
  <c r="J781" i="5"/>
  <c r="I781" i="5"/>
  <c r="F781" i="5"/>
  <c r="Q771" i="5"/>
  <c r="M771" i="5"/>
  <c r="J771" i="5"/>
  <c r="I771" i="5"/>
  <c r="F771" i="5"/>
  <c r="Q779" i="5"/>
  <c r="M779" i="5"/>
  <c r="J779" i="5"/>
  <c r="I779" i="5"/>
  <c r="F779" i="5"/>
  <c r="Q751" i="5"/>
  <c r="M751" i="5"/>
  <c r="J751" i="5"/>
  <c r="I751" i="5"/>
  <c r="F751" i="5"/>
  <c r="Q773" i="5"/>
  <c r="M773" i="5"/>
  <c r="J773" i="5"/>
  <c r="I773" i="5"/>
  <c r="F773" i="5"/>
  <c r="Q776" i="5"/>
  <c r="M776" i="5"/>
  <c r="J776" i="5"/>
  <c r="I776" i="5"/>
  <c r="F776" i="5"/>
  <c r="Q743" i="5"/>
  <c r="M743" i="5"/>
  <c r="J743" i="5"/>
  <c r="I743" i="5"/>
  <c r="F743" i="5"/>
  <c r="Q777" i="5"/>
  <c r="M777" i="5"/>
  <c r="J777" i="5"/>
  <c r="I777" i="5"/>
  <c r="F777" i="5"/>
  <c r="Q770" i="5"/>
  <c r="M770" i="5"/>
  <c r="J770" i="5"/>
  <c r="I770" i="5"/>
  <c r="F770" i="5"/>
  <c r="Q769" i="5"/>
  <c r="M769" i="5"/>
  <c r="J769" i="5"/>
  <c r="I769" i="5"/>
  <c r="F769" i="5"/>
  <c r="Q768" i="5"/>
  <c r="M768" i="5"/>
  <c r="J768" i="5"/>
  <c r="I768" i="5"/>
  <c r="F768" i="5"/>
  <c r="Q754" i="5"/>
  <c r="M754" i="5"/>
  <c r="J754" i="5"/>
  <c r="I754" i="5"/>
  <c r="F754" i="5"/>
  <c r="Q762" i="5"/>
  <c r="M762" i="5"/>
  <c r="J762" i="5"/>
  <c r="I762" i="5"/>
  <c r="F762" i="5"/>
  <c r="Q775" i="5"/>
  <c r="T775" i="5" s="1"/>
  <c r="M775" i="5"/>
  <c r="J775" i="5"/>
  <c r="I775" i="5"/>
  <c r="F775" i="5"/>
  <c r="Q730" i="5"/>
  <c r="M730" i="5"/>
  <c r="J730" i="5"/>
  <c r="I730" i="5"/>
  <c r="F730" i="5"/>
  <c r="Q766" i="5"/>
  <c r="M766" i="5"/>
  <c r="J766" i="5"/>
  <c r="I766" i="5"/>
  <c r="F766" i="5"/>
  <c r="Q760" i="5"/>
  <c r="M760" i="5"/>
  <c r="J760" i="5"/>
  <c r="I760" i="5"/>
  <c r="F760" i="5"/>
  <c r="Q723" i="5"/>
  <c r="M723" i="5"/>
  <c r="J723" i="5"/>
  <c r="I723" i="5"/>
  <c r="F723" i="5"/>
  <c r="Q719" i="5"/>
  <c r="M719" i="5"/>
  <c r="J719" i="5"/>
  <c r="I719" i="5"/>
  <c r="F719" i="5"/>
  <c r="Q711" i="5"/>
  <c r="M711" i="5"/>
  <c r="J711" i="5"/>
  <c r="I711" i="5"/>
  <c r="F711" i="5"/>
  <c r="Q755" i="5"/>
  <c r="M755" i="5"/>
  <c r="J755" i="5"/>
  <c r="I755" i="5"/>
  <c r="F755" i="5"/>
  <c r="Q692" i="5"/>
  <c r="M692" i="5"/>
  <c r="J692" i="5"/>
  <c r="I692" i="5"/>
  <c r="F692" i="5"/>
  <c r="Q748" i="5"/>
  <c r="M748" i="5"/>
  <c r="J748" i="5"/>
  <c r="I748" i="5"/>
  <c r="F748" i="5"/>
  <c r="Q688" i="5"/>
  <c r="M688" i="5"/>
  <c r="J688" i="5"/>
  <c r="I688" i="5"/>
  <c r="F688" i="5"/>
  <c r="Q742" i="5"/>
  <c r="M742" i="5"/>
  <c r="T742" i="5" s="1"/>
  <c r="J742" i="5"/>
  <c r="I742" i="5"/>
  <c r="F742" i="5"/>
  <c r="Q756" i="5"/>
  <c r="M756" i="5"/>
  <c r="J756" i="5"/>
  <c r="I756" i="5"/>
  <c r="F756" i="5"/>
  <c r="Q707" i="5"/>
  <c r="M707" i="5"/>
  <c r="J707" i="5"/>
  <c r="I707" i="5"/>
  <c r="F707" i="5"/>
  <c r="Q724" i="5"/>
  <c r="M724" i="5"/>
  <c r="J724" i="5"/>
  <c r="I724" i="5"/>
  <c r="F724" i="5"/>
  <c r="Q752" i="5"/>
  <c r="M752" i="5"/>
  <c r="J752" i="5"/>
  <c r="I752" i="5"/>
  <c r="F752" i="5"/>
  <c r="Q733" i="5"/>
  <c r="M733" i="5"/>
  <c r="J733" i="5"/>
  <c r="I733" i="5"/>
  <c r="F733" i="5"/>
  <c r="Q699" i="5"/>
  <c r="T699" i="5" s="1"/>
  <c r="M699" i="5"/>
  <c r="J699" i="5"/>
  <c r="I699" i="5"/>
  <c r="F699" i="5"/>
  <c r="Q772" i="5"/>
  <c r="M772" i="5"/>
  <c r="J772" i="5"/>
  <c r="I772" i="5"/>
  <c r="F772" i="5"/>
  <c r="Q744" i="5"/>
  <c r="M744" i="5"/>
  <c r="J744" i="5"/>
  <c r="I744" i="5"/>
  <c r="F744" i="5"/>
  <c r="Q728" i="5"/>
  <c r="T728" i="5" s="1"/>
  <c r="M728" i="5"/>
  <c r="J728" i="5"/>
  <c r="I728" i="5"/>
  <c r="F728" i="5"/>
  <c r="Q720" i="5"/>
  <c r="M720" i="5"/>
  <c r="J720" i="5"/>
  <c r="I720" i="5"/>
  <c r="F720" i="5"/>
  <c r="Q747" i="5"/>
  <c r="M747" i="5"/>
  <c r="T747" i="5" s="1"/>
  <c r="J747" i="5"/>
  <c r="I747" i="5"/>
  <c r="F747" i="5"/>
  <c r="Q666" i="5"/>
  <c r="M666" i="5"/>
  <c r="J666" i="5"/>
  <c r="I666" i="5"/>
  <c r="F666" i="5"/>
  <c r="Q717" i="5"/>
  <c r="M717" i="5"/>
  <c r="J717" i="5"/>
  <c r="I717" i="5"/>
  <c r="F717" i="5"/>
  <c r="Q729" i="5"/>
  <c r="M729" i="5"/>
  <c r="J729" i="5"/>
  <c r="I729" i="5"/>
  <c r="F729" i="5"/>
  <c r="Q732" i="5"/>
  <c r="M732" i="5"/>
  <c r="J732" i="5"/>
  <c r="I732" i="5"/>
  <c r="F732" i="5"/>
  <c r="Q703" i="5"/>
  <c r="M703" i="5"/>
  <c r="J703" i="5"/>
  <c r="I703" i="5"/>
  <c r="F703" i="5"/>
  <c r="Q683" i="5"/>
  <c r="M683" i="5"/>
  <c r="J683" i="5"/>
  <c r="I683" i="5"/>
  <c r="F683" i="5"/>
  <c r="Q725" i="5"/>
  <c r="M725" i="5"/>
  <c r="J725" i="5"/>
  <c r="I725" i="5"/>
  <c r="F725" i="5"/>
  <c r="Q660" i="5"/>
  <c r="M660" i="5"/>
  <c r="J660" i="5"/>
  <c r="I660" i="5"/>
  <c r="F660" i="5"/>
  <c r="Q694" i="5"/>
  <c r="M694" i="5"/>
  <c r="J694" i="5"/>
  <c r="I694" i="5"/>
  <c r="F694" i="5"/>
  <c r="Q691" i="5"/>
  <c r="T691" i="5" s="1"/>
  <c r="M691" i="5"/>
  <c r="J691" i="5"/>
  <c r="I691" i="5"/>
  <c r="F691" i="5"/>
  <c r="Q718" i="5"/>
  <c r="M718" i="5"/>
  <c r="J718" i="5"/>
  <c r="I718" i="5"/>
  <c r="F718" i="5"/>
  <c r="Q767" i="5"/>
  <c r="M767" i="5"/>
  <c r="J767" i="5"/>
  <c r="I767" i="5"/>
  <c r="F767" i="5"/>
  <c r="Q774" i="5"/>
  <c r="M774" i="5"/>
  <c r="J774" i="5"/>
  <c r="I774" i="5"/>
  <c r="F774" i="5"/>
  <c r="Q669" i="5"/>
  <c r="M669" i="5"/>
  <c r="J669" i="5"/>
  <c r="I669" i="5"/>
  <c r="F669" i="5"/>
  <c r="Q702" i="5"/>
  <c r="M702" i="5"/>
  <c r="J702" i="5"/>
  <c r="I702" i="5"/>
  <c r="F702" i="5"/>
  <c r="Q705" i="5"/>
  <c r="M705" i="5"/>
  <c r="J705" i="5"/>
  <c r="I705" i="5"/>
  <c r="F705" i="5"/>
  <c r="Q651" i="5"/>
  <c r="M651" i="5"/>
  <c r="J651" i="5"/>
  <c r="I651" i="5"/>
  <c r="F651" i="5"/>
  <c r="Q763" i="5"/>
  <c r="M763" i="5"/>
  <c r="J763" i="5"/>
  <c r="I763" i="5"/>
  <c r="F763" i="5"/>
  <c r="Q687" i="5"/>
  <c r="M687" i="5"/>
  <c r="J687" i="5"/>
  <c r="I687" i="5"/>
  <c r="F687" i="5"/>
  <c r="Q749" i="5"/>
  <c r="M749" i="5"/>
  <c r="J749" i="5"/>
  <c r="I749" i="5"/>
  <c r="F749" i="5"/>
  <c r="Q661" i="5"/>
  <c r="M661" i="5"/>
  <c r="J661" i="5"/>
  <c r="I661" i="5"/>
  <c r="F661" i="5"/>
  <c r="Q655" i="5"/>
  <c r="M655" i="5"/>
  <c r="J655" i="5"/>
  <c r="I655" i="5"/>
  <c r="F655" i="5"/>
  <c r="Q753" i="5"/>
  <c r="M753" i="5"/>
  <c r="J753" i="5"/>
  <c r="I753" i="5"/>
  <c r="F753" i="5"/>
  <c r="Q635" i="5"/>
  <c r="M635" i="5"/>
  <c r="J635" i="5"/>
  <c r="I635" i="5"/>
  <c r="F635" i="5"/>
  <c r="Q662" i="5"/>
  <c r="M662" i="5"/>
  <c r="J662" i="5"/>
  <c r="I662" i="5"/>
  <c r="F662" i="5"/>
  <c r="Q741" i="5"/>
  <c r="M741" i="5"/>
  <c r="J741" i="5"/>
  <c r="I741" i="5"/>
  <c r="F741" i="5"/>
  <c r="Q637" i="5"/>
  <c r="M637" i="5"/>
  <c r="J637" i="5"/>
  <c r="I637" i="5"/>
  <c r="F637" i="5"/>
  <c r="Q625" i="5"/>
  <c r="M625" i="5"/>
  <c r="J625" i="5"/>
  <c r="I625" i="5"/>
  <c r="F625" i="5"/>
  <c r="Q746" i="5"/>
  <c r="M746" i="5"/>
  <c r="J746" i="5"/>
  <c r="I746" i="5"/>
  <c r="F746" i="5"/>
  <c r="Q726" i="5"/>
  <c r="M726" i="5"/>
  <c r="J726" i="5"/>
  <c r="I726" i="5"/>
  <c r="F726" i="5"/>
  <c r="Q679" i="5"/>
  <c r="M679" i="5"/>
  <c r="J679" i="5"/>
  <c r="I679" i="5"/>
  <c r="F679" i="5"/>
  <c r="Q710" i="5"/>
  <c r="M710" i="5"/>
  <c r="J710" i="5"/>
  <c r="I710" i="5"/>
  <c r="F710" i="5"/>
  <c r="Q552" i="5"/>
  <c r="M552" i="5"/>
  <c r="J552" i="5"/>
  <c r="I552" i="5"/>
  <c r="F552" i="5"/>
  <c r="Q765" i="5"/>
  <c r="M765" i="5"/>
  <c r="J765" i="5"/>
  <c r="I765" i="5"/>
  <c r="F765" i="5"/>
  <c r="Q714" i="5"/>
  <c r="M714" i="5"/>
  <c r="J714" i="5"/>
  <c r="I714" i="5"/>
  <c r="F714" i="5"/>
  <c r="Q764" i="5"/>
  <c r="M764" i="5"/>
  <c r="J764" i="5"/>
  <c r="I764" i="5"/>
  <c r="F764" i="5"/>
  <c r="Q712" i="5"/>
  <c r="M712" i="5"/>
  <c r="T712" i="5" s="1"/>
  <c r="J712" i="5"/>
  <c r="I712" i="5"/>
  <c r="F712" i="5"/>
  <c r="Q734" i="5"/>
  <c r="M734" i="5"/>
  <c r="J734" i="5"/>
  <c r="I734" i="5"/>
  <c r="F734" i="5"/>
  <c r="Q739" i="5"/>
  <c r="M739" i="5"/>
  <c r="J739" i="5"/>
  <c r="I739" i="5"/>
  <c r="F739" i="5"/>
  <c r="Q609" i="5"/>
  <c r="M609" i="5"/>
  <c r="J609" i="5"/>
  <c r="I609" i="5"/>
  <c r="F609" i="5"/>
  <c r="Q541" i="5"/>
  <c r="M541" i="5"/>
  <c r="T541" i="5" s="1"/>
  <c r="J541" i="5"/>
  <c r="I541" i="5"/>
  <c r="F541" i="5"/>
  <c r="Q664" i="5"/>
  <c r="M664" i="5"/>
  <c r="J664" i="5"/>
  <c r="I664" i="5"/>
  <c r="F664" i="5"/>
  <c r="Q531" i="5"/>
  <c r="M531" i="5"/>
  <c r="J531" i="5"/>
  <c r="I531" i="5"/>
  <c r="F531" i="5"/>
  <c r="Q658" i="5"/>
  <c r="M658" i="5"/>
  <c r="J658" i="5"/>
  <c r="I658" i="5"/>
  <c r="F658" i="5"/>
  <c r="Q698" i="5"/>
  <c r="M698" i="5"/>
  <c r="J698" i="5"/>
  <c r="I698" i="5"/>
  <c r="F698" i="5"/>
  <c r="Q761" i="5"/>
  <c r="M761" i="5"/>
  <c r="J761" i="5"/>
  <c r="I761" i="5"/>
  <c r="F761" i="5"/>
  <c r="Q582" i="5"/>
  <c r="M582" i="5"/>
  <c r="J582" i="5"/>
  <c r="I582" i="5"/>
  <c r="F582" i="5"/>
  <c r="Q740" i="5"/>
  <c r="M740" i="5"/>
  <c r="J740" i="5"/>
  <c r="I740" i="5"/>
  <c r="F740" i="5"/>
  <c r="Q682" i="5"/>
  <c r="M682" i="5"/>
  <c r="J682" i="5"/>
  <c r="I682" i="5"/>
  <c r="F682" i="5"/>
  <c r="Q497" i="5"/>
  <c r="M497" i="5"/>
  <c r="J497" i="5"/>
  <c r="I497" i="5"/>
  <c r="F497" i="5"/>
  <c r="Q731" i="5"/>
  <c r="M731" i="5"/>
  <c r="J731" i="5"/>
  <c r="I731" i="5"/>
  <c r="F731" i="5"/>
  <c r="Q665" i="5"/>
  <c r="M665" i="5"/>
  <c r="J665" i="5"/>
  <c r="I665" i="5"/>
  <c r="F665" i="5"/>
  <c r="Q758" i="5"/>
  <c r="M758" i="5"/>
  <c r="T758" i="5" s="1"/>
  <c r="J758" i="5"/>
  <c r="I758" i="5"/>
  <c r="F758" i="5"/>
  <c r="Q589" i="5"/>
  <c r="M589" i="5"/>
  <c r="J589" i="5"/>
  <c r="I589" i="5"/>
  <c r="F589" i="5"/>
  <c r="Q588" i="5"/>
  <c r="M588" i="5"/>
  <c r="J588" i="5"/>
  <c r="I588" i="5"/>
  <c r="F588" i="5"/>
  <c r="Q654" i="5"/>
  <c r="M654" i="5"/>
  <c r="J654" i="5"/>
  <c r="I654" i="5"/>
  <c r="F654" i="5"/>
  <c r="Q595" i="5"/>
  <c r="M595" i="5"/>
  <c r="J595" i="5"/>
  <c r="I595" i="5"/>
  <c r="F595" i="5"/>
  <c r="Q615" i="5"/>
  <c r="T615" i="5" s="1"/>
  <c r="M615" i="5"/>
  <c r="J615" i="5"/>
  <c r="I615" i="5"/>
  <c r="F615" i="5"/>
  <c r="Q563" i="5"/>
  <c r="M563" i="5"/>
  <c r="J563" i="5"/>
  <c r="I563" i="5"/>
  <c r="F563" i="5"/>
  <c r="Q738" i="5"/>
  <c r="M738" i="5"/>
  <c r="J738" i="5"/>
  <c r="I738" i="5"/>
  <c r="F738" i="5"/>
  <c r="Q587" i="5"/>
  <c r="M587" i="5"/>
  <c r="J587" i="5"/>
  <c r="I587" i="5"/>
  <c r="F587" i="5"/>
  <c r="Q706" i="5"/>
  <c r="M706" i="5"/>
  <c r="J706" i="5"/>
  <c r="I706" i="5"/>
  <c r="F706" i="5"/>
  <c r="Q599" i="5"/>
  <c r="M599" i="5"/>
  <c r="J599" i="5"/>
  <c r="I599" i="5"/>
  <c r="F599" i="5"/>
  <c r="Q626" i="5"/>
  <c r="M626" i="5"/>
  <c r="T626" i="5" s="1"/>
  <c r="J626" i="5"/>
  <c r="I626" i="5"/>
  <c r="F626" i="5"/>
  <c r="Q704" i="5"/>
  <c r="M704" i="5"/>
  <c r="J704" i="5"/>
  <c r="I704" i="5"/>
  <c r="F704" i="5"/>
  <c r="Q663" i="5"/>
  <c r="M663" i="5"/>
  <c r="J663" i="5"/>
  <c r="I663" i="5"/>
  <c r="F663" i="5"/>
  <c r="Q462" i="5"/>
  <c r="M462" i="5"/>
  <c r="J462" i="5"/>
  <c r="I462" i="5"/>
  <c r="F462" i="5"/>
  <c r="Q547" i="5"/>
  <c r="M547" i="5"/>
  <c r="J547" i="5"/>
  <c r="I547" i="5"/>
  <c r="F547" i="5"/>
  <c r="Q641" i="5"/>
  <c r="M641" i="5"/>
  <c r="J641" i="5"/>
  <c r="I641" i="5"/>
  <c r="F641" i="5"/>
  <c r="Q678" i="5"/>
  <c r="M678" i="5"/>
  <c r="J678" i="5"/>
  <c r="I678" i="5"/>
  <c r="F678" i="5"/>
  <c r="Q628" i="5"/>
  <c r="M628" i="5"/>
  <c r="J628" i="5"/>
  <c r="I628" i="5"/>
  <c r="F628" i="5"/>
  <c r="Q671" i="5"/>
  <c r="M671" i="5"/>
  <c r="J671" i="5"/>
  <c r="I671" i="5"/>
  <c r="F671" i="5"/>
  <c r="Q676" i="5"/>
  <c r="M676" i="5"/>
  <c r="J676" i="5"/>
  <c r="I676" i="5"/>
  <c r="F676" i="5"/>
  <c r="Q597" i="5"/>
  <c r="M597" i="5"/>
  <c r="J597" i="5"/>
  <c r="I597" i="5"/>
  <c r="F597" i="5"/>
  <c r="Q757" i="5"/>
  <c r="M757" i="5"/>
  <c r="J757" i="5"/>
  <c r="I757" i="5"/>
  <c r="F757" i="5"/>
  <c r="Q672" i="5"/>
  <c r="M672" i="5"/>
  <c r="J672" i="5"/>
  <c r="I672" i="5"/>
  <c r="F672" i="5"/>
  <c r="Q649" i="5"/>
  <c r="M649" i="5"/>
  <c r="J649" i="5"/>
  <c r="I649" i="5"/>
  <c r="F649" i="5"/>
  <c r="Q459" i="5"/>
  <c r="M459" i="5"/>
  <c r="J459" i="5"/>
  <c r="I459" i="5"/>
  <c r="F459" i="5"/>
  <c r="Q583" i="5"/>
  <c r="M583" i="5"/>
  <c r="J583" i="5"/>
  <c r="I583" i="5"/>
  <c r="F583" i="5"/>
  <c r="Q370" i="5"/>
  <c r="M370" i="5"/>
  <c r="J370" i="5"/>
  <c r="I370" i="5"/>
  <c r="F370" i="5"/>
  <c r="Q485" i="5"/>
  <c r="M485" i="5"/>
  <c r="J485" i="5"/>
  <c r="I485" i="5"/>
  <c r="F485" i="5"/>
  <c r="Q606" i="5"/>
  <c r="M606" i="5"/>
  <c r="J606" i="5"/>
  <c r="I606" i="5"/>
  <c r="F606" i="5"/>
  <c r="Q600" i="5"/>
  <c r="M600" i="5"/>
  <c r="J600" i="5"/>
  <c r="I600" i="5"/>
  <c r="F600" i="5"/>
  <c r="Q633" i="5"/>
  <c r="M633" i="5"/>
  <c r="J633" i="5"/>
  <c r="I633" i="5"/>
  <c r="F633" i="5"/>
  <c r="Q680" i="5"/>
  <c r="M680" i="5"/>
  <c r="T680" i="5" s="1"/>
  <c r="J680" i="5"/>
  <c r="I680" i="5"/>
  <c r="F680" i="5"/>
  <c r="Q607" i="5"/>
  <c r="M607" i="5"/>
  <c r="J607" i="5"/>
  <c r="I607" i="5"/>
  <c r="F607" i="5"/>
  <c r="Q690" i="5"/>
  <c r="M690" i="5"/>
  <c r="J690" i="5"/>
  <c r="I690" i="5"/>
  <c r="F690" i="5"/>
  <c r="Q571" i="5"/>
  <c r="M571" i="5"/>
  <c r="J571" i="5"/>
  <c r="I571" i="5"/>
  <c r="F571" i="5"/>
  <c r="Q708" i="5"/>
  <c r="M708" i="5"/>
  <c r="J708" i="5"/>
  <c r="I708" i="5"/>
  <c r="F708" i="5"/>
  <c r="Q648" i="5"/>
  <c r="M648" i="5"/>
  <c r="J648" i="5"/>
  <c r="I648" i="5"/>
  <c r="F648" i="5"/>
  <c r="Q700" i="5"/>
  <c r="M700" i="5"/>
  <c r="J700" i="5"/>
  <c r="I700" i="5"/>
  <c r="F700" i="5"/>
  <c r="Q543" i="5"/>
  <c r="M543" i="5"/>
  <c r="J543" i="5"/>
  <c r="I543" i="5"/>
  <c r="F543" i="5"/>
  <c r="Q697" i="5"/>
  <c r="M697" i="5"/>
  <c r="J697" i="5"/>
  <c r="I697" i="5"/>
  <c r="F697" i="5"/>
  <c r="Q596" i="5"/>
  <c r="M596" i="5"/>
  <c r="J596" i="5"/>
  <c r="I596" i="5"/>
  <c r="F596" i="5"/>
  <c r="Q653" i="5"/>
  <c r="M653" i="5"/>
  <c r="J653" i="5"/>
  <c r="I653" i="5"/>
  <c r="F653" i="5"/>
  <c r="Q620" i="5"/>
  <c r="M620" i="5"/>
  <c r="J620" i="5"/>
  <c r="I620" i="5"/>
  <c r="F620" i="5"/>
  <c r="Q737" i="5"/>
  <c r="M737" i="5"/>
  <c r="J737" i="5"/>
  <c r="I737" i="5"/>
  <c r="F737" i="5"/>
  <c r="Q674" i="5"/>
  <c r="M674" i="5"/>
  <c r="J674" i="5"/>
  <c r="I674" i="5"/>
  <c r="F674" i="5"/>
  <c r="Q701" i="5"/>
  <c r="M701" i="5"/>
  <c r="J701" i="5"/>
  <c r="I701" i="5"/>
  <c r="F701" i="5"/>
  <c r="Q709" i="5"/>
  <c r="M709" i="5"/>
  <c r="J709" i="5"/>
  <c r="I709" i="5"/>
  <c r="F709" i="5"/>
  <c r="Q549" i="5"/>
  <c r="M549" i="5"/>
  <c r="J549" i="5"/>
  <c r="I549" i="5"/>
  <c r="F549" i="5"/>
  <c r="Q646" i="5"/>
  <c r="M646" i="5"/>
  <c r="J646" i="5"/>
  <c r="I646" i="5"/>
  <c r="F646" i="5"/>
  <c r="Q586" i="5"/>
  <c r="M586" i="5"/>
  <c r="J586" i="5"/>
  <c r="I586" i="5"/>
  <c r="F586" i="5"/>
  <c r="Q713" i="5"/>
  <c r="M713" i="5"/>
  <c r="J713" i="5"/>
  <c r="I713" i="5"/>
  <c r="F713" i="5"/>
  <c r="Q458" i="5"/>
  <c r="M458" i="5"/>
  <c r="J458" i="5"/>
  <c r="I458" i="5"/>
  <c r="F458" i="5"/>
  <c r="Q576" i="5"/>
  <c r="M576" i="5"/>
  <c r="J576" i="5"/>
  <c r="I576" i="5"/>
  <c r="F576" i="5"/>
  <c r="Q642" i="5"/>
  <c r="M642" i="5"/>
  <c r="J642" i="5"/>
  <c r="I642" i="5"/>
  <c r="F642" i="5"/>
  <c r="Q629" i="5"/>
  <c r="M629" i="5"/>
  <c r="J629" i="5"/>
  <c r="I629" i="5"/>
  <c r="F629" i="5"/>
  <c r="Q696" i="5"/>
  <c r="M696" i="5"/>
  <c r="J696" i="5"/>
  <c r="I696" i="5"/>
  <c r="F696" i="5"/>
  <c r="Q584" i="5"/>
  <c r="T584" i="5" s="1"/>
  <c r="M584" i="5"/>
  <c r="J584" i="5"/>
  <c r="I584" i="5"/>
  <c r="F584" i="5"/>
  <c r="Q420" i="5"/>
  <c r="M420" i="5"/>
  <c r="J420" i="5"/>
  <c r="I420" i="5"/>
  <c r="F420" i="5"/>
  <c r="Q456" i="5"/>
  <c r="M456" i="5"/>
  <c r="T456" i="5" s="1"/>
  <c r="J456" i="5"/>
  <c r="I456" i="5"/>
  <c r="F456" i="5"/>
  <c r="Q378" i="5"/>
  <c r="M378" i="5"/>
  <c r="J378" i="5"/>
  <c r="I378" i="5"/>
  <c r="F378" i="5"/>
  <c r="Q735" i="5"/>
  <c r="M735" i="5"/>
  <c r="J735" i="5"/>
  <c r="I735" i="5"/>
  <c r="F735" i="5"/>
  <c r="Q381" i="5"/>
  <c r="M381" i="5"/>
  <c r="J381" i="5"/>
  <c r="I381" i="5"/>
  <c r="F381" i="5"/>
  <c r="Q610" i="5"/>
  <c r="M610" i="5"/>
  <c r="J610" i="5"/>
  <c r="I610" i="5"/>
  <c r="F610" i="5"/>
  <c r="Q750" i="5"/>
  <c r="M750" i="5"/>
  <c r="T750" i="5" s="1"/>
  <c r="J750" i="5"/>
  <c r="I750" i="5"/>
  <c r="F750" i="5"/>
  <c r="Q444" i="5"/>
  <c r="M444" i="5"/>
  <c r="J444" i="5"/>
  <c r="I444" i="5"/>
  <c r="F444" i="5"/>
  <c r="Q448" i="5"/>
  <c r="M448" i="5"/>
  <c r="J448" i="5"/>
  <c r="I448" i="5"/>
  <c r="F448" i="5"/>
  <c r="Q570" i="5"/>
  <c r="M570" i="5"/>
  <c r="J570" i="5"/>
  <c r="I570" i="5"/>
  <c r="F570" i="5"/>
  <c r="Q673" i="5"/>
  <c r="M673" i="5"/>
  <c r="J673" i="5"/>
  <c r="I673" i="5"/>
  <c r="F673" i="5"/>
  <c r="Q668" i="5"/>
  <c r="M668" i="5"/>
  <c r="J668" i="5"/>
  <c r="I668" i="5"/>
  <c r="F668" i="5"/>
  <c r="Q557" i="5"/>
  <c r="M557" i="5"/>
  <c r="J557" i="5"/>
  <c r="I557" i="5"/>
  <c r="F557" i="5"/>
  <c r="Q404" i="5"/>
  <c r="M404" i="5"/>
  <c r="J404" i="5"/>
  <c r="I404" i="5"/>
  <c r="F404" i="5"/>
  <c r="Q715" i="5"/>
  <c r="M715" i="5"/>
  <c r="J715" i="5"/>
  <c r="I715" i="5"/>
  <c r="F715" i="5"/>
  <c r="Q721" i="5"/>
  <c r="M721" i="5"/>
  <c r="J721" i="5"/>
  <c r="I721" i="5"/>
  <c r="F721" i="5"/>
  <c r="Q567" i="5"/>
  <c r="M567" i="5"/>
  <c r="J567" i="5"/>
  <c r="I567" i="5"/>
  <c r="F567" i="5"/>
  <c r="Q621" i="5"/>
  <c r="M621" i="5"/>
  <c r="J621" i="5"/>
  <c r="I621" i="5"/>
  <c r="F621" i="5"/>
  <c r="Q675" i="5"/>
  <c r="M675" i="5"/>
  <c r="J675" i="5"/>
  <c r="I675" i="5"/>
  <c r="F675" i="5"/>
  <c r="Q619" i="5"/>
  <c r="M619" i="5"/>
  <c r="J619" i="5"/>
  <c r="I619" i="5"/>
  <c r="F619" i="5"/>
  <c r="Q523" i="5"/>
  <c r="M523" i="5"/>
  <c r="J523" i="5"/>
  <c r="I523" i="5"/>
  <c r="F523" i="5"/>
  <c r="Q527" i="5"/>
  <c r="M527" i="5"/>
  <c r="T527" i="5" s="1"/>
  <c r="J527" i="5"/>
  <c r="I527" i="5"/>
  <c r="F527" i="5"/>
  <c r="Q727" i="5"/>
  <c r="M727" i="5"/>
  <c r="J727" i="5"/>
  <c r="I727" i="5"/>
  <c r="F727" i="5"/>
  <c r="Q624" i="5"/>
  <c r="M624" i="5"/>
  <c r="J624" i="5"/>
  <c r="I624" i="5"/>
  <c r="F624" i="5"/>
  <c r="Q533" i="5"/>
  <c r="M533" i="5"/>
  <c r="J533" i="5"/>
  <c r="I533" i="5"/>
  <c r="F533" i="5"/>
  <c r="Q539" i="5"/>
  <c r="M539" i="5"/>
  <c r="T539" i="5" s="1"/>
  <c r="J539" i="5"/>
  <c r="I539" i="5"/>
  <c r="F539" i="5"/>
  <c r="Q616" i="5"/>
  <c r="M616" i="5"/>
  <c r="J616" i="5"/>
  <c r="I616" i="5"/>
  <c r="F616" i="5"/>
  <c r="Q640" i="5"/>
  <c r="M640" i="5"/>
  <c r="J640" i="5"/>
  <c r="I640" i="5"/>
  <c r="F640" i="5"/>
  <c r="Q745" i="5"/>
  <c r="M745" i="5"/>
  <c r="J745" i="5"/>
  <c r="I745" i="5"/>
  <c r="F745" i="5"/>
  <c r="Q736" i="5"/>
  <c r="M736" i="5"/>
  <c r="J736" i="5"/>
  <c r="I736" i="5"/>
  <c r="F736" i="5"/>
  <c r="Q578" i="5"/>
  <c r="M578" i="5"/>
  <c r="J578" i="5"/>
  <c r="I578" i="5"/>
  <c r="F578" i="5"/>
  <c r="Q644" i="5"/>
  <c r="M644" i="5"/>
  <c r="J644" i="5"/>
  <c r="I644" i="5"/>
  <c r="F644" i="5"/>
  <c r="Q574" i="5"/>
  <c r="M574" i="5"/>
  <c r="J574" i="5"/>
  <c r="I574" i="5"/>
  <c r="F574" i="5"/>
  <c r="Q613" i="5"/>
  <c r="M613" i="5"/>
  <c r="J613" i="5"/>
  <c r="I613" i="5"/>
  <c r="F613" i="5"/>
  <c r="Q693" i="5"/>
  <c r="M693" i="5"/>
  <c r="J693" i="5"/>
  <c r="I693" i="5"/>
  <c r="F693" i="5"/>
  <c r="Q639" i="5"/>
  <c r="M639" i="5"/>
  <c r="J639" i="5"/>
  <c r="I639" i="5"/>
  <c r="F639" i="5"/>
  <c r="Q393" i="5"/>
  <c r="M393" i="5"/>
  <c r="J393" i="5"/>
  <c r="I393" i="5"/>
  <c r="F393" i="5"/>
  <c r="Q631" i="5"/>
  <c r="M631" i="5"/>
  <c r="J631" i="5"/>
  <c r="I631" i="5"/>
  <c r="F631" i="5"/>
  <c r="Q608" i="5"/>
  <c r="M608" i="5"/>
  <c r="J608" i="5"/>
  <c r="I608" i="5"/>
  <c r="F608" i="5"/>
  <c r="Q611" i="5"/>
  <c r="M611" i="5"/>
  <c r="J611" i="5"/>
  <c r="I611" i="5"/>
  <c r="F611" i="5"/>
  <c r="Q716" i="5"/>
  <c r="M716" i="5"/>
  <c r="J716" i="5"/>
  <c r="I716" i="5"/>
  <c r="F716" i="5"/>
  <c r="Q638" i="5"/>
  <c r="M638" i="5"/>
  <c r="J638" i="5"/>
  <c r="I638" i="5"/>
  <c r="F638" i="5"/>
  <c r="Q548" i="5"/>
  <c r="M548" i="5"/>
  <c r="J548" i="5"/>
  <c r="I548" i="5"/>
  <c r="F548" i="5"/>
  <c r="Q358" i="5"/>
  <c r="M358" i="5"/>
  <c r="J358" i="5"/>
  <c r="I358" i="5"/>
  <c r="F358" i="5"/>
  <c r="Q334" i="5"/>
  <c r="M334" i="5"/>
  <c r="J334" i="5"/>
  <c r="I334" i="5"/>
  <c r="F334" i="5"/>
  <c r="Q555" i="5"/>
  <c r="M555" i="5"/>
  <c r="J555" i="5"/>
  <c r="I555" i="5"/>
  <c r="F555" i="5"/>
  <c r="Q686" i="5"/>
  <c r="M686" i="5"/>
  <c r="J686" i="5"/>
  <c r="I686" i="5"/>
  <c r="F686" i="5"/>
  <c r="Q581" i="5"/>
  <c r="M581" i="5"/>
  <c r="J581" i="5"/>
  <c r="I581" i="5"/>
  <c r="F581" i="5"/>
  <c r="Q568" i="5"/>
  <c r="M568" i="5"/>
  <c r="J568" i="5"/>
  <c r="I568" i="5"/>
  <c r="F568" i="5"/>
  <c r="Q681" i="5"/>
  <c r="M681" i="5"/>
  <c r="J681" i="5"/>
  <c r="I681" i="5"/>
  <c r="F681" i="5"/>
  <c r="Q417" i="5"/>
  <c r="M417" i="5"/>
  <c r="J417" i="5"/>
  <c r="I417" i="5"/>
  <c r="F417" i="5"/>
  <c r="Q656" i="5"/>
  <c r="M656" i="5"/>
  <c r="J656" i="5"/>
  <c r="I656" i="5"/>
  <c r="F656" i="5"/>
  <c r="Q364" i="5"/>
  <c r="M364" i="5"/>
  <c r="J364" i="5"/>
  <c r="I364" i="5"/>
  <c r="F364" i="5"/>
  <c r="Q722" i="5"/>
  <c r="T722" i="5" s="1"/>
  <c r="M722" i="5"/>
  <c r="J722" i="5"/>
  <c r="I722" i="5"/>
  <c r="F722" i="5"/>
  <c r="Q333" i="5"/>
  <c r="M333" i="5"/>
  <c r="T333" i="5" s="1"/>
  <c r="J333" i="5"/>
  <c r="I333" i="5"/>
  <c r="F333" i="5"/>
  <c r="Q478" i="5"/>
  <c r="M478" i="5"/>
  <c r="J478" i="5"/>
  <c r="I478" i="5"/>
  <c r="F478" i="5"/>
  <c r="Q677" i="5"/>
  <c r="M677" i="5"/>
  <c r="J677" i="5"/>
  <c r="I677" i="5"/>
  <c r="F677" i="5"/>
  <c r="Q383" i="5"/>
  <c r="T383" i="5" s="1"/>
  <c r="M383" i="5"/>
  <c r="J383" i="5"/>
  <c r="I383" i="5"/>
  <c r="F383" i="5"/>
  <c r="Q399" i="5"/>
  <c r="M399" i="5"/>
  <c r="J399" i="5"/>
  <c r="I399" i="5"/>
  <c r="F399" i="5"/>
  <c r="Q446" i="5"/>
  <c r="M446" i="5"/>
  <c r="J446" i="5"/>
  <c r="I446" i="5"/>
  <c r="F446" i="5"/>
  <c r="Q514" i="5"/>
  <c r="M514" i="5"/>
  <c r="J514" i="5"/>
  <c r="I514" i="5"/>
  <c r="F514" i="5"/>
  <c r="Q602" i="5"/>
  <c r="M602" i="5"/>
  <c r="J602" i="5"/>
  <c r="I602" i="5"/>
  <c r="F602" i="5"/>
  <c r="Q579" i="5"/>
  <c r="M579" i="5"/>
  <c r="J579" i="5"/>
  <c r="I579" i="5"/>
  <c r="F579" i="5"/>
  <c r="Q542" i="5"/>
  <c r="M542" i="5"/>
  <c r="J542" i="5"/>
  <c r="I542" i="5"/>
  <c r="F542" i="5"/>
  <c r="Q503" i="5"/>
  <c r="M503" i="5"/>
  <c r="J503" i="5"/>
  <c r="I503" i="5"/>
  <c r="F503" i="5"/>
  <c r="Q652" i="5"/>
  <c r="M652" i="5"/>
  <c r="T652" i="5" s="1"/>
  <c r="J652" i="5"/>
  <c r="I652" i="5"/>
  <c r="F652" i="5"/>
  <c r="Q580" i="5"/>
  <c r="T580" i="5" s="1"/>
  <c r="M580" i="5"/>
  <c r="J580" i="5"/>
  <c r="I580" i="5"/>
  <c r="F580" i="5"/>
  <c r="Q544" i="5"/>
  <c r="M544" i="5"/>
  <c r="J544" i="5"/>
  <c r="I544" i="5"/>
  <c r="F544" i="5"/>
  <c r="Q515" i="5"/>
  <c r="M515" i="5"/>
  <c r="J515" i="5"/>
  <c r="I515" i="5"/>
  <c r="F515" i="5"/>
  <c r="Q594" i="5"/>
  <c r="M594" i="5"/>
  <c r="J594" i="5"/>
  <c r="I594" i="5"/>
  <c r="F594" i="5"/>
  <c r="Q525" i="5"/>
  <c r="M525" i="5"/>
  <c r="T525" i="5" s="1"/>
  <c r="J525" i="5"/>
  <c r="I525" i="5"/>
  <c r="F525" i="5"/>
  <c r="Q623" i="5"/>
  <c r="M623" i="5"/>
  <c r="J623" i="5"/>
  <c r="I623" i="5"/>
  <c r="F623" i="5"/>
  <c r="Q509" i="5"/>
  <c r="M509" i="5"/>
  <c r="J509" i="5"/>
  <c r="I509" i="5"/>
  <c r="F509" i="5"/>
  <c r="Q632" i="5"/>
  <c r="M632" i="5"/>
  <c r="J632" i="5"/>
  <c r="I632" i="5"/>
  <c r="F632" i="5"/>
  <c r="Q627" i="5"/>
  <c r="M627" i="5"/>
  <c r="J627" i="5"/>
  <c r="I627" i="5"/>
  <c r="F627" i="5"/>
  <c r="Q347" i="5"/>
  <c r="M347" i="5"/>
  <c r="J347" i="5"/>
  <c r="I347" i="5"/>
  <c r="F347" i="5"/>
  <c r="Q402" i="5"/>
  <c r="M402" i="5"/>
  <c r="J402" i="5"/>
  <c r="I402" i="5"/>
  <c r="F402" i="5"/>
  <c r="Q560" i="5"/>
  <c r="M560" i="5"/>
  <c r="J560" i="5"/>
  <c r="I560" i="5"/>
  <c r="F560" i="5"/>
  <c r="Q506" i="5"/>
  <c r="M506" i="5"/>
  <c r="J506" i="5"/>
  <c r="I506" i="5"/>
  <c r="F506" i="5"/>
  <c r="Q272" i="5"/>
  <c r="M272" i="5"/>
  <c r="J272" i="5"/>
  <c r="I272" i="5"/>
  <c r="F272" i="5"/>
  <c r="Q409" i="5"/>
  <c r="M409" i="5"/>
  <c r="J409" i="5"/>
  <c r="I409" i="5"/>
  <c r="F409" i="5"/>
  <c r="Q551" i="5"/>
  <c r="M551" i="5"/>
  <c r="J551" i="5"/>
  <c r="I551" i="5"/>
  <c r="F551" i="5"/>
  <c r="Q373" i="5"/>
  <c r="M373" i="5"/>
  <c r="J373" i="5"/>
  <c r="I373" i="5"/>
  <c r="F373" i="5"/>
  <c r="Q512" i="5"/>
  <c r="M512" i="5"/>
  <c r="J512" i="5"/>
  <c r="I512" i="5"/>
  <c r="F512" i="5"/>
  <c r="Q293" i="5"/>
  <c r="M293" i="5"/>
  <c r="J293" i="5"/>
  <c r="I293" i="5"/>
  <c r="F293" i="5"/>
  <c r="Q505" i="5"/>
  <c r="M505" i="5"/>
  <c r="J505" i="5"/>
  <c r="I505" i="5"/>
  <c r="F505" i="5"/>
  <c r="Q537" i="5"/>
  <c r="M537" i="5"/>
  <c r="T537" i="5" s="1"/>
  <c r="J537" i="5"/>
  <c r="I537" i="5"/>
  <c r="F537" i="5"/>
  <c r="Q379" i="5"/>
  <c r="M379" i="5"/>
  <c r="J379" i="5"/>
  <c r="I379" i="5"/>
  <c r="F379" i="5"/>
  <c r="Q477" i="5"/>
  <c r="M477" i="5"/>
  <c r="J477" i="5"/>
  <c r="I477" i="5"/>
  <c r="F477" i="5"/>
  <c r="Q650" i="5"/>
  <c r="M650" i="5"/>
  <c r="J650" i="5"/>
  <c r="I650" i="5"/>
  <c r="F650" i="5"/>
  <c r="Q689" i="5"/>
  <c r="M689" i="5"/>
  <c r="J689" i="5"/>
  <c r="I689" i="5"/>
  <c r="F689" i="5"/>
  <c r="Q630" i="5"/>
  <c r="M630" i="5"/>
  <c r="J630" i="5"/>
  <c r="I630" i="5"/>
  <c r="F630" i="5"/>
  <c r="Q377" i="5"/>
  <c r="M377" i="5"/>
  <c r="J377" i="5"/>
  <c r="I377" i="5"/>
  <c r="F377" i="5"/>
  <c r="Q643" i="5"/>
  <c r="M643" i="5"/>
  <c r="J643" i="5"/>
  <c r="I643" i="5"/>
  <c r="F643" i="5"/>
  <c r="Q550" i="5"/>
  <c r="M550" i="5"/>
  <c r="J550" i="5"/>
  <c r="I550" i="5"/>
  <c r="F550" i="5"/>
  <c r="Q352" i="5"/>
  <c r="M352" i="5"/>
  <c r="J352" i="5"/>
  <c r="I352" i="5"/>
  <c r="F352" i="5"/>
  <c r="Q407" i="5"/>
  <c r="M407" i="5"/>
  <c r="J407" i="5"/>
  <c r="I407" i="5"/>
  <c r="F407" i="5"/>
  <c r="Q667" i="5"/>
  <c r="M667" i="5"/>
  <c r="J667" i="5"/>
  <c r="I667" i="5"/>
  <c r="F667" i="5"/>
  <c r="Q590" i="5"/>
  <c r="M590" i="5"/>
  <c r="J590" i="5"/>
  <c r="I590" i="5"/>
  <c r="F590" i="5"/>
  <c r="Q389" i="5"/>
  <c r="M389" i="5"/>
  <c r="J389" i="5"/>
  <c r="I389" i="5"/>
  <c r="F389" i="5"/>
  <c r="Q419" i="5"/>
  <c r="M419" i="5"/>
  <c r="J419" i="5"/>
  <c r="I419" i="5"/>
  <c r="F419" i="5"/>
  <c r="Q634" i="5"/>
  <c r="M634" i="5"/>
  <c r="J634" i="5"/>
  <c r="I634" i="5"/>
  <c r="F634" i="5"/>
  <c r="Q329" i="5"/>
  <c r="M329" i="5"/>
  <c r="T329" i="5" s="1"/>
  <c r="J329" i="5"/>
  <c r="I329" i="5"/>
  <c r="F329" i="5"/>
  <c r="Q546" i="5"/>
  <c r="M546" i="5"/>
  <c r="J546" i="5"/>
  <c r="I546" i="5"/>
  <c r="F546" i="5"/>
  <c r="Q451" i="5"/>
  <c r="M451" i="5"/>
  <c r="J451" i="5"/>
  <c r="I451" i="5"/>
  <c r="F451" i="5"/>
  <c r="Q598" i="5"/>
  <c r="M598" i="5"/>
  <c r="J598" i="5"/>
  <c r="I598" i="5"/>
  <c r="F598" i="5"/>
  <c r="Q601" i="5"/>
  <c r="M601" i="5"/>
  <c r="J601" i="5"/>
  <c r="I601" i="5"/>
  <c r="F601" i="5"/>
  <c r="Q522" i="5"/>
  <c r="T522" i="5" s="1"/>
  <c r="M522" i="5"/>
  <c r="J522" i="5"/>
  <c r="I522" i="5"/>
  <c r="F522" i="5"/>
  <c r="Q538" i="5"/>
  <c r="M538" i="5"/>
  <c r="J538" i="5"/>
  <c r="I538" i="5"/>
  <c r="F538" i="5"/>
  <c r="Q604" i="5"/>
  <c r="M604" i="5"/>
  <c r="J604" i="5"/>
  <c r="I604" i="5"/>
  <c r="F604" i="5"/>
  <c r="Q534" i="5"/>
  <c r="M534" i="5"/>
  <c r="J534" i="5"/>
  <c r="I534" i="5"/>
  <c r="F534" i="5"/>
  <c r="Q670" i="5"/>
  <c r="M670" i="5"/>
  <c r="J670" i="5"/>
  <c r="I670" i="5"/>
  <c r="F670" i="5"/>
  <c r="Q617" i="5"/>
  <c r="M617" i="5"/>
  <c r="J617" i="5"/>
  <c r="I617" i="5"/>
  <c r="F617" i="5"/>
  <c r="Q225" i="5"/>
  <c r="M225" i="5"/>
  <c r="J225" i="5"/>
  <c r="I225" i="5"/>
  <c r="F225" i="5"/>
  <c r="Q344" i="5"/>
  <c r="T344" i="5" s="1"/>
  <c r="M344" i="5"/>
  <c r="J344" i="5"/>
  <c r="I344" i="5"/>
  <c r="F344" i="5"/>
  <c r="Q433" i="5"/>
  <c r="M433" i="5"/>
  <c r="J433" i="5"/>
  <c r="I433" i="5"/>
  <c r="F433" i="5"/>
  <c r="Q511" i="5"/>
  <c r="M511" i="5"/>
  <c r="J511" i="5"/>
  <c r="I511" i="5"/>
  <c r="F511" i="5"/>
  <c r="Q526" i="5"/>
  <c r="M526" i="5"/>
  <c r="J526" i="5"/>
  <c r="I526" i="5"/>
  <c r="F526" i="5"/>
  <c r="Q532" i="5"/>
  <c r="M532" i="5"/>
  <c r="T532" i="5" s="1"/>
  <c r="J532" i="5"/>
  <c r="I532" i="5"/>
  <c r="F532" i="5"/>
  <c r="Q618" i="5"/>
  <c r="M618" i="5"/>
  <c r="J618" i="5"/>
  <c r="I618" i="5"/>
  <c r="F618" i="5"/>
  <c r="Q684" i="5"/>
  <c r="M684" i="5"/>
  <c r="J684" i="5"/>
  <c r="I684" i="5"/>
  <c r="F684" i="5"/>
  <c r="Q411" i="5"/>
  <c r="T411" i="5" s="1"/>
  <c r="M411" i="5"/>
  <c r="J411" i="5"/>
  <c r="I411" i="5"/>
  <c r="F411" i="5"/>
  <c r="Q575" i="5"/>
  <c r="M575" i="5"/>
  <c r="J575" i="5"/>
  <c r="I575" i="5"/>
  <c r="F575" i="5"/>
  <c r="Q535" i="5"/>
  <c r="M535" i="5"/>
  <c r="J535" i="5"/>
  <c r="I535" i="5"/>
  <c r="F535" i="5"/>
  <c r="Q473" i="5"/>
  <c r="M473" i="5"/>
  <c r="J473" i="5"/>
  <c r="I473" i="5"/>
  <c r="F473" i="5"/>
  <c r="Q556" i="5"/>
  <c r="M556" i="5"/>
  <c r="J556" i="5"/>
  <c r="I556" i="5"/>
  <c r="F556" i="5"/>
  <c r="Q490" i="5"/>
  <c r="M490" i="5"/>
  <c r="J490" i="5"/>
  <c r="I490" i="5"/>
  <c r="F490" i="5"/>
  <c r="Q428" i="5"/>
  <c r="M428" i="5"/>
  <c r="J428" i="5"/>
  <c r="I428" i="5"/>
  <c r="F428" i="5"/>
  <c r="Q455" i="5"/>
  <c r="M455" i="5"/>
  <c r="J455" i="5"/>
  <c r="I455" i="5"/>
  <c r="F455" i="5"/>
  <c r="Q536" i="5"/>
  <c r="M536" i="5"/>
  <c r="J536" i="5"/>
  <c r="I536" i="5"/>
  <c r="F536" i="5"/>
  <c r="Q442" i="5"/>
  <c r="M442" i="5"/>
  <c r="J442" i="5"/>
  <c r="I442" i="5"/>
  <c r="F442" i="5"/>
  <c r="Q487" i="5"/>
  <c r="M487" i="5"/>
  <c r="J487" i="5"/>
  <c r="I487" i="5"/>
  <c r="F487" i="5"/>
  <c r="Q224" i="5"/>
  <c r="M224" i="5"/>
  <c r="J224" i="5"/>
  <c r="I224" i="5"/>
  <c r="F224" i="5"/>
  <c r="Q501" i="5"/>
  <c r="M501" i="5"/>
  <c r="J501" i="5"/>
  <c r="I501" i="5"/>
  <c r="F501" i="5"/>
  <c r="Q475" i="5"/>
  <c r="M475" i="5"/>
  <c r="T475" i="5" s="1"/>
  <c r="J475" i="5"/>
  <c r="I475" i="5"/>
  <c r="F475" i="5"/>
  <c r="Q504" i="5"/>
  <c r="M504" i="5"/>
  <c r="J504" i="5"/>
  <c r="I504" i="5"/>
  <c r="F504" i="5"/>
  <c r="Q435" i="5"/>
  <c r="M435" i="5"/>
  <c r="J435" i="5"/>
  <c r="I435" i="5"/>
  <c r="F435" i="5"/>
  <c r="Q545" i="5"/>
  <c r="M545" i="5"/>
  <c r="J545" i="5"/>
  <c r="I545" i="5"/>
  <c r="F545" i="5"/>
  <c r="Q603" i="5"/>
  <c r="M603" i="5"/>
  <c r="J603" i="5"/>
  <c r="I603" i="5"/>
  <c r="F603" i="5"/>
  <c r="Q396" i="5"/>
  <c r="M396" i="5"/>
  <c r="J396" i="5"/>
  <c r="I396" i="5"/>
  <c r="F396" i="5"/>
  <c r="Q251" i="5"/>
  <c r="M251" i="5"/>
  <c r="J251" i="5"/>
  <c r="I251" i="5"/>
  <c r="F251" i="5"/>
  <c r="Q695" i="5"/>
  <c r="M695" i="5"/>
  <c r="J695" i="5"/>
  <c r="I695" i="5"/>
  <c r="F695" i="5"/>
  <c r="Q406" i="5"/>
  <c r="M406" i="5"/>
  <c r="J406" i="5"/>
  <c r="I406" i="5"/>
  <c r="F406" i="5"/>
  <c r="Q636" i="5"/>
  <c r="M636" i="5"/>
  <c r="J636" i="5"/>
  <c r="I636" i="5"/>
  <c r="F636" i="5"/>
  <c r="Q461" i="5"/>
  <c r="M461" i="5"/>
  <c r="J461" i="5"/>
  <c r="I461" i="5"/>
  <c r="F461" i="5"/>
  <c r="Q353" i="5"/>
  <c r="M353" i="5"/>
  <c r="J353" i="5"/>
  <c r="I353" i="5"/>
  <c r="F353" i="5"/>
  <c r="Q414" i="5"/>
  <c r="M414" i="5"/>
  <c r="J414" i="5"/>
  <c r="I414" i="5"/>
  <c r="F414" i="5"/>
  <c r="Q436" i="5"/>
  <c r="M436" i="5"/>
  <c r="J436" i="5"/>
  <c r="I436" i="5"/>
  <c r="F436" i="5"/>
  <c r="Q585" i="5"/>
  <c r="M585" i="5"/>
  <c r="J585" i="5"/>
  <c r="I585" i="5"/>
  <c r="F585" i="5"/>
  <c r="Q324" i="5"/>
  <c r="M324" i="5"/>
  <c r="J324" i="5"/>
  <c r="I324" i="5"/>
  <c r="F324" i="5"/>
  <c r="Q569" i="5"/>
  <c r="M569" i="5"/>
  <c r="J569" i="5"/>
  <c r="I569" i="5"/>
  <c r="F569" i="5"/>
  <c r="Q469" i="5"/>
  <c r="M469" i="5"/>
  <c r="J469" i="5"/>
  <c r="I469" i="5"/>
  <c r="F469" i="5"/>
  <c r="Q457" i="5"/>
  <c r="M457" i="5"/>
  <c r="J457" i="5"/>
  <c r="I457" i="5"/>
  <c r="F457" i="5"/>
  <c r="Q362" i="5"/>
  <c r="M362" i="5"/>
  <c r="J362" i="5"/>
  <c r="I362" i="5"/>
  <c r="F362" i="5"/>
  <c r="Q488" i="5"/>
  <c r="M488" i="5"/>
  <c r="J488" i="5"/>
  <c r="I488" i="5"/>
  <c r="F488" i="5"/>
  <c r="Q394" i="5"/>
  <c r="M394" i="5"/>
  <c r="J394" i="5"/>
  <c r="I394" i="5"/>
  <c r="F394" i="5"/>
  <c r="Q242" i="5"/>
  <c r="M242" i="5"/>
  <c r="J242" i="5"/>
  <c r="I242" i="5"/>
  <c r="F242" i="5"/>
  <c r="Q529" i="5"/>
  <c r="M529" i="5"/>
  <c r="J529" i="5"/>
  <c r="I529" i="5"/>
  <c r="F529" i="5"/>
  <c r="Q398" i="5"/>
  <c r="M398" i="5"/>
  <c r="J398" i="5"/>
  <c r="I398" i="5"/>
  <c r="F398" i="5"/>
  <c r="Q685" i="5"/>
  <c r="M685" i="5"/>
  <c r="J685" i="5"/>
  <c r="I685" i="5"/>
  <c r="F685" i="5"/>
  <c r="Q591" i="5"/>
  <c r="M591" i="5"/>
  <c r="J591" i="5"/>
  <c r="I591" i="5"/>
  <c r="F591" i="5"/>
  <c r="Q422" i="5"/>
  <c r="M422" i="5"/>
  <c r="J422" i="5"/>
  <c r="I422" i="5"/>
  <c r="F422" i="5"/>
  <c r="Q481" i="5"/>
  <c r="M481" i="5"/>
  <c r="J481" i="5"/>
  <c r="I481" i="5"/>
  <c r="F481" i="5"/>
  <c r="Q513" i="5"/>
  <c r="M513" i="5"/>
  <c r="J513" i="5"/>
  <c r="I513" i="5"/>
  <c r="F513" i="5"/>
  <c r="Q262" i="5"/>
  <c r="M262" i="5"/>
  <c r="J262" i="5"/>
  <c r="I262" i="5"/>
  <c r="F262" i="5"/>
  <c r="Q212" i="5"/>
  <c r="M212" i="5"/>
  <c r="J212" i="5"/>
  <c r="I212" i="5"/>
  <c r="F212" i="5"/>
  <c r="Q432" i="5"/>
  <c r="M432" i="5"/>
  <c r="J432" i="5"/>
  <c r="I432" i="5"/>
  <c r="F432" i="5"/>
  <c r="Q227" i="5"/>
  <c r="M227" i="5"/>
  <c r="J227" i="5"/>
  <c r="I227" i="5"/>
  <c r="F227" i="5"/>
  <c r="Q467" i="5"/>
  <c r="M467" i="5"/>
  <c r="J467" i="5"/>
  <c r="I467" i="5"/>
  <c r="F467" i="5"/>
  <c r="Q232" i="5"/>
  <c r="M232" i="5"/>
  <c r="J232" i="5"/>
  <c r="I232" i="5"/>
  <c r="F232" i="5"/>
  <c r="Q566" i="5"/>
  <c r="M566" i="5"/>
  <c r="J566" i="5"/>
  <c r="I566" i="5"/>
  <c r="F566" i="5"/>
  <c r="Q466" i="5"/>
  <c r="M466" i="5"/>
  <c r="J466" i="5"/>
  <c r="I466" i="5"/>
  <c r="F466" i="5"/>
  <c r="Q476" i="5"/>
  <c r="M476" i="5"/>
  <c r="J476" i="5"/>
  <c r="I476" i="5"/>
  <c r="F476" i="5"/>
  <c r="Q496" i="5"/>
  <c r="M496" i="5"/>
  <c r="J496" i="5"/>
  <c r="I496" i="5"/>
  <c r="F496" i="5"/>
  <c r="Q337" i="5"/>
  <c r="T337" i="5" s="1"/>
  <c r="M337" i="5"/>
  <c r="J337" i="5"/>
  <c r="I337" i="5"/>
  <c r="F337" i="5"/>
  <c r="Q489" i="5"/>
  <c r="M489" i="5"/>
  <c r="J489" i="5"/>
  <c r="I489" i="5"/>
  <c r="F489" i="5"/>
  <c r="Q482" i="5"/>
  <c r="M482" i="5"/>
  <c r="J482" i="5"/>
  <c r="I482" i="5"/>
  <c r="F482" i="5"/>
  <c r="Q418" i="5"/>
  <c r="M418" i="5"/>
  <c r="T418" i="5" s="1"/>
  <c r="J418" i="5"/>
  <c r="I418" i="5"/>
  <c r="F418" i="5"/>
  <c r="Q499" i="5"/>
  <c r="M499" i="5"/>
  <c r="J499" i="5"/>
  <c r="I499" i="5"/>
  <c r="F499" i="5"/>
  <c r="Q565" i="5"/>
  <c r="M565" i="5"/>
  <c r="J565" i="5"/>
  <c r="I565" i="5"/>
  <c r="F565" i="5"/>
  <c r="Q659" i="5"/>
  <c r="M659" i="5"/>
  <c r="J659" i="5"/>
  <c r="I659" i="5"/>
  <c r="F659" i="5"/>
  <c r="Q471" i="5"/>
  <c r="M471" i="5"/>
  <c r="J471" i="5"/>
  <c r="I471" i="5"/>
  <c r="F471" i="5"/>
  <c r="Q361" i="5"/>
  <c r="M361" i="5"/>
  <c r="J361" i="5"/>
  <c r="I361" i="5"/>
  <c r="F361" i="5"/>
  <c r="Q380" i="5"/>
  <c r="M380" i="5"/>
  <c r="J380" i="5"/>
  <c r="I380" i="5"/>
  <c r="F380" i="5"/>
  <c r="Q645" i="5"/>
  <c r="M645" i="5"/>
  <c r="J645" i="5"/>
  <c r="I645" i="5"/>
  <c r="F645" i="5"/>
  <c r="Q474" i="5"/>
  <c r="M474" i="5"/>
  <c r="T474" i="5" s="1"/>
  <c r="J474" i="5"/>
  <c r="I474" i="5"/>
  <c r="F474" i="5"/>
  <c r="Q142" i="5"/>
  <c r="M142" i="5"/>
  <c r="J142" i="5"/>
  <c r="I142" i="5"/>
  <c r="F142" i="5"/>
  <c r="Q592" i="5"/>
  <c r="M592" i="5"/>
  <c r="J592" i="5"/>
  <c r="I592" i="5"/>
  <c r="F592" i="5"/>
  <c r="Q332" i="5"/>
  <c r="M332" i="5"/>
  <c r="J332" i="5"/>
  <c r="I332" i="5"/>
  <c r="F332" i="5"/>
  <c r="Q480" i="5"/>
  <c r="M480" i="5"/>
  <c r="J480" i="5"/>
  <c r="I480" i="5"/>
  <c r="F480" i="5"/>
  <c r="Q622" i="5"/>
  <c r="M622" i="5"/>
  <c r="J622" i="5"/>
  <c r="I622" i="5"/>
  <c r="F622" i="5"/>
  <c r="Q244" i="5"/>
  <c r="M244" i="5"/>
  <c r="J244" i="5"/>
  <c r="I244" i="5"/>
  <c r="F244" i="5"/>
  <c r="Q144" i="5"/>
  <c r="M144" i="5"/>
  <c r="J144" i="5"/>
  <c r="I144" i="5"/>
  <c r="F144" i="5"/>
  <c r="Q206" i="5"/>
  <c r="M206" i="5"/>
  <c r="J206" i="5"/>
  <c r="I206" i="5"/>
  <c r="F206" i="5"/>
  <c r="Q657" i="5"/>
  <c r="M657" i="5"/>
  <c r="J657" i="5"/>
  <c r="I657" i="5"/>
  <c r="F657" i="5"/>
  <c r="Q518" i="5"/>
  <c r="M518" i="5"/>
  <c r="J518" i="5"/>
  <c r="I518" i="5"/>
  <c r="F518" i="5"/>
  <c r="Q280" i="5"/>
  <c r="M280" i="5"/>
  <c r="J280" i="5"/>
  <c r="I280" i="5"/>
  <c r="F280" i="5"/>
  <c r="Q209" i="5"/>
  <c r="T209" i="5" s="1"/>
  <c r="M209" i="5"/>
  <c r="J209" i="5"/>
  <c r="I209" i="5"/>
  <c r="F209" i="5"/>
  <c r="Q401" i="5"/>
  <c r="M401" i="5"/>
  <c r="T401" i="5" s="1"/>
  <c r="J401" i="5"/>
  <c r="I401" i="5"/>
  <c r="F401" i="5"/>
  <c r="Q438" i="5"/>
  <c r="M438" i="5"/>
  <c r="J438" i="5"/>
  <c r="I438" i="5"/>
  <c r="F438" i="5"/>
  <c r="Q412" i="5"/>
  <c r="T412" i="5" s="1"/>
  <c r="M412" i="5"/>
  <c r="J412" i="5"/>
  <c r="I412" i="5"/>
  <c r="F412" i="5"/>
  <c r="Q430" i="5"/>
  <c r="M430" i="5"/>
  <c r="J430" i="5"/>
  <c r="I430" i="5"/>
  <c r="F430" i="5"/>
  <c r="Q319" i="5"/>
  <c r="M319" i="5"/>
  <c r="J319" i="5"/>
  <c r="I319" i="5"/>
  <c r="F319" i="5"/>
  <c r="Q391" i="5"/>
  <c r="T391" i="5" s="1"/>
  <c r="M391" i="5"/>
  <c r="J391" i="5"/>
  <c r="I391" i="5"/>
  <c r="F391" i="5"/>
  <c r="Q425" i="5"/>
  <c r="M425" i="5"/>
  <c r="J425" i="5"/>
  <c r="I425" i="5"/>
  <c r="F425" i="5"/>
  <c r="Q528" i="5"/>
  <c r="M528" i="5"/>
  <c r="J528" i="5"/>
  <c r="I528" i="5"/>
  <c r="F528" i="5"/>
  <c r="Q524" i="5"/>
  <c r="M524" i="5"/>
  <c r="J524" i="5"/>
  <c r="I524" i="5"/>
  <c r="F524" i="5"/>
  <c r="Q429" i="5"/>
  <c r="M429" i="5"/>
  <c r="J429" i="5"/>
  <c r="I429" i="5"/>
  <c r="F429" i="5"/>
  <c r="Q521" i="5"/>
  <c r="M521" i="5"/>
  <c r="J521" i="5"/>
  <c r="I521" i="5"/>
  <c r="F521" i="5"/>
  <c r="Q510" i="5"/>
  <c r="M510" i="5"/>
  <c r="J510" i="5"/>
  <c r="I510" i="5"/>
  <c r="F510" i="5"/>
  <c r="Q593" i="5"/>
  <c r="M593" i="5"/>
  <c r="J593" i="5"/>
  <c r="I593" i="5"/>
  <c r="F593" i="5"/>
  <c r="Q520" i="5"/>
  <c r="M520" i="5"/>
  <c r="J520" i="5"/>
  <c r="I520" i="5"/>
  <c r="F520" i="5"/>
  <c r="Q483" i="5"/>
  <c r="M483" i="5"/>
  <c r="J483" i="5"/>
  <c r="I483" i="5"/>
  <c r="F483" i="5"/>
  <c r="Q441" i="5"/>
  <c r="M441" i="5"/>
  <c r="J441" i="5"/>
  <c r="I441" i="5"/>
  <c r="F441" i="5"/>
  <c r="Q374" i="5"/>
  <c r="M374" i="5"/>
  <c r="T374" i="5" s="1"/>
  <c r="J374" i="5"/>
  <c r="I374" i="5"/>
  <c r="F374" i="5"/>
  <c r="Q464" i="5"/>
  <c r="M464" i="5"/>
  <c r="J464" i="5"/>
  <c r="I464" i="5"/>
  <c r="F464" i="5"/>
  <c r="Q368" i="5"/>
  <c r="T368" i="5" s="1"/>
  <c r="M368" i="5"/>
  <c r="J368" i="5"/>
  <c r="I368" i="5"/>
  <c r="F368" i="5"/>
  <c r="Q434" i="5"/>
  <c r="M434" i="5"/>
  <c r="J434" i="5"/>
  <c r="I434" i="5"/>
  <c r="F434" i="5"/>
  <c r="Q562" i="5"/>
  <c r="M562" i="5"/>
  <c r="T562" i="5" s="1"/>
  <c r="J562" i="5"/>
  <c r="I562" i="5"/>
  <c r="F562" i="5"/>
  <c r="Q367" i="5"/>
  <c r="M367" i="5"/>
  <c r="J367" i="5"/>
  <c r="I367" i="5"/>
  <c r="F367" i="5"/>
  <c r="Q305" i="5"/>
  <c r="M305" i="5"/>
  <c r="J305" i="5"/>
  <c r="I305" i="5"/>
  <c r="F305" i="5"/>
  <c r="Q493" i="5"/>
  <c r="M493" i="5"/>
  <c r="J493" i="5"/>
  <c r="I493" i="5"/>
  <c r="F493" i="5"/>
  <c r="Q437" i="5"/>
  <c r="M437" i="5"/>
  <c r="J437" i="5"/>
  <c r="I437" i="5"/>
  <c r="F437" i="5"/>
  <c r="Q553" i="5"/>
  <c r="M553" i="5"/>
  <c r="T553" i="5" s="1"/>
  <c r="J553" i="5"/>
  <c r="I553" i="5"/>
  <c r="F553" i="5"/>
  <c r="Q385" i="5"/>
  <c r="M385" i="5"/>
  <c r="J385" i="5"/>
  <c r="I385" i="5"/>
  <c r="F385" i="5"/>
  <c r="Q286" i="5"/>
  <c r="M286" i="5"/>
  <c r="J286" i="5"/>
  <c r="I286" i="5"/>
  <c r="F286" i="5"/>
  <c r="Q614" i="5"/>
  <c r="M614" i="5"/>
  <c r="J614" i="5"/>
  <c r="I614" i="5"/>
  <c r="F614" i="5"/>
  <c r="Q408" i="5"/>
  <c r="M408" i="5"/>
  <c r="J408" i="5"/>
  <c r="I408" i="5"/>
  <c r="F408" i="5"/>
  <c r="Q157" i="5"/>
  <c r="M157" i="5"/>
  <c r="J157" i="5"/>
  <c r="I157" i="5"/>
  <c r="F157" i="5"/>
  <c r="Q559" i="5"/>
  <c r="M559" i="5"/>
  <c r="J559" i="5"/>
  <c r="I559" i="5"/>
  <c r="F559" i="5"/>
  <c r="Q210" i="5"/>
  <c r="M210" i="5"/>
  <c r="J210" i="5"/>
  <c r="I210" i="5"/>
  <c r="F210" i="5"/>
  <c r="Q554" i="5"/>
  <c r="M554" i="5"/>
  <c r="J554" i="5"/>
  <c r="I554" i="5"/>
  <c r="F554" i="5"/>
  <c r="Q572" i="5"/>
  <c r="M572" i="5"/>
  <c r="J572" i="5"/>
  <c r="I572" i="5"/>
  <c r="F572" i="5"/>
  <c r="Q494" i="5"/>
  <c r="M494" i="5"/>
  <c r="J494" i="5"/>
  <c r="I494" i="5"/>
  <c r="F494" i="5"/>
  <c r="Q470" i="5"/>
  <c r="M470" i="5"/>
  <c r="J470" i="5"/>
  <c r="I470" i="5"/>
  <c r="F470" i="5"/>
  <c r="Q573" i="5"/>
  <c r="M573" i="5"/>
  <c r="J573" i="5"/>
  <c r="I573" i="5"/>
  <c r="F573" i="5"/>
  <c r="Q449" i="5"/>
  <c r="M449" i="5"/>
  <c r="J449" i="5"/>
  <c r="I449" i="5"/>
  <c r="F449" i="5"/>
  <c r="Q479" i="5"/>
  <c r="M479" i="5"/>
  <c r="J479" i="5"/>
  <c r="I479" i="5"/>
  <c r="F479" i="5"/>
  <c r="Q498" i="5"/>
  <c r="M498" i="5"/>
  <c r="J498" i="5"/>
  <c r="I498" i="5"/>
  <c r="F498" i="5"/>
  <c r="Q355" i="5"/>
  <c r="M355" i="5"/>
  <c r="J355" i="5"/>
  <c r="I355" i="5"/>
  <c r="F355" i="5"/>
  <c r="Q395" i="5"/>
  <c r="M395" i="5"/>
  <c r="J395" i="5"/>
  <c r="I395" i="5"/>
  <c r="F395" i="5"/>
  <c r="Q472" i="5"/>
  <c r="M472" i="5"/>
  <c r="J472" i="5"/>
  <c r="I472" i="5"/>
  <c r="F472" i="5"/>
  <c r="Q561" i="5"/>
  <c r="M561" i="5"/>
  <c r="J561" i="5"/>
  <c r="I561" i="5"/>
  <c r="F561" i="5"/>
  <c r="Q612" i="5"/>
  <c r="M612" i="5"/>
  <c r="J612" i="5"/>
  <c r="I612" i="5"/>
  <c r="F612" i="5"/>
  <c r="Q460" i="5"/>
  <c r="M460" i="5"/>
  <c r="J460" i="5"/>
  <c r="I460" i="5"/>
  <c r="F460" i="5"/>
  <c r="Q492" i="5"/>
  <c r="M492" i="5"/>
  <c r="J492" i="5"/>
  <c r="I492" i="5"/>
  <c r="F492" i="5"/>
  <c r="Q415" i="5"/>
  <c r="M415" i="5"/>
  <c r="J415" i="5"/>
  <c r="I415" i="5"/>
  <c r="F415" i="5"/>
  <c r="Q228" i="5"/>
  <c r="M228" i="5"/>
  <c r="J228" i="5"/>
  <c r="I228" i="5"/>
  <c r="F228" i="5"/>
  <c r="Q468" i="5"/>
  <c r="M468" i="5"/>
  <c r="J468" i="5"/>
  <c r="I468" i="5"/>
  <c r="F468" i="5"/>
  <c r="Q363" i="5"/>
  <c r="M363" i="5"/>
  <c r="J363" i="5"/>
  <c r="I363" i="5"/>
  <c r="F363" i="5"/>
  <c r="Q187" i="5"/>
  <c r="M187" i="5"/>
  <c r="J187" i="5"/>
  <c r="I187" i="5"/>
  <c r="F187" i="5"/>
  <c r="Q122" i="5"/>
  <c r="M122" i="5"/>
  <c r="J122" i="5"/>
  <c r="I122" i="5"/>
  <c r="F122" i="5"/>
  <c r="Q317" i="5"/>
  <c r="M317" i="5"/>
  <c r="J317" i="5"/>
  <c r="I317" i="5"/>
  <c r="F317" i="5"/>
  <c r="Q338" i="5"/>
  <c r="M338" i="5"/>
  <c r="J338" i="5"/>
  <c r="I338" i="5"/>
  <c r="F338" i="5"/>
  <c r="Q386" i="5"/>
  <c r="M386" i="5"/>
  <c r="J386" i="5"/>
  <c r="I386" i="5"/>
  <c r="F386" i="5"/>
  <c r="Q213" i="5"/>
  <c r="M213" i="5"/>
  <c r="T213" i="5" s="1"/>
  <c r="J213" i="5"/>
  <c r="I213" i="5"/>
  <c r="F213" i="5"/>
  <c r="Q94" i="5"/>
  <c r="M94" i="5"/>
  <c r="J94" i="5"/>
  <c r="I94" i="5"/>
  <c r="F94" i="5"/>
  <c r="Q507" i="5"/>
  <c r="M507" i="5"/>
  <c r="J507" i="5"/>
  <c r="I507" i="5"/>
  <c r="F507" i="5"/>
  <c r="Q495" i="5"/>
  <c r="M495" i="5"/>
  <c r="J495" i="5"/>
  <c r="I495" i="5"/>
  <c r="F495" i="5"/>
  <c r="Q465" i="5"/>
  <c r="M465" i="5"/>
  <c r="J465" i="5"/>
  <c r="I465" i="5"/>
  <c r="F465" i="5"/>
  <c r="Q416" i="5"/>
  <c r="M416" i="5"/>
  <c r="J416" i="5"/>
  <c r="I416" i="5"/>
  <c r="F416" i="5"/>
  <c r="Q440" i="5"/>
  <c r="M440" i="5"/>
  <c r="T440" i="5" s="1"/>
  <c r="J440" i="5"/>
  <c r="I440" i="5"/>
  <c r="F440" i="5"/>
  <c r="Q516" i="5"/>
  <c r="M516" i="5"/>
  <c r="J516" i="5"/>
  <c r="I516" i="5"/>
  <c r="F516" i="5"/>
  <c r="Q111" i="5"/>
  <c r="M111" i="5"/>
  <c r="J111" i="5"/>
  <c r="I111" i="5"/>
  <c r="F111" i="5"/>
  <c r="Q119" i="5"/>
  <c r="M119" i="5"/>
  <c r="J119" i="5"/>
  <c r="I119" i="5"/>
  <c r="F119" i="5"/>
  <c r="Q306" i="5"/>
  <c r="M306" i="5"/>
  <c r="J306" i="5"/>
  <c r="I306" i="5"/>
  <c r="F306" i="5"/>
  <c r="Q243" i="5"/>
  <c r="M243" i="5"/>
  <c r="J243" i="5"/>
  <c r="I243" i="5"/>
  <c r="F243" i="5"/>
  <c r="Q345" i="5"/>
  <c r="T345" i="5" s="1"/>
  <c r="M345" i="5"/>
  <c r="J345" i="5"/>
  <c r="I345" i="5"/>
  <c r="F345" i="5"/>
  <c r="Q189" i="5"/>
  <c r="M189" i="5"/>
  <c r="J189" i="5"/>
  <c r="I189" i="5"/>
  <c r="F189" i="5"/>
  <c r="Q163" i="5"/>
  <c r="M163" i="5"/>
  <c r="J163" i="5"/>
  <c r="I163" i="5"/>
  <c r="F163" i="5"/>
  <c r="Q205" i="5"/>
  <c r="M205" i="5"/>
  <c r="J205" i="5"/>
  <c r="I205" i="5"/>
  <c r="F205" i="5"/>
  <c r="Q540" i="5"/>
  <c r="M540" i="5"/>
  <c r="J540" i="5"/>
  <c r="I540" i="5"/>
  <c r="F540" i="5"/>
  <c r="Q564" i="5"/>
  <c r="M564" i="5"/>
  <c r="J564" i="5"/>
  <c r="I564" i="5"/>
  <c r="F564" i="5"/>
  <c r="Q307" i="5"/>
  <c r="M307" i="5"/>
  <c r="J307" i="5"/>
  <c r="I307" i="5"/>
  <c r="F307" i="5"/>
  <c r="Q403" i="5"/>
  <c r="T403" i="5" s="1"/>
  <c r="M403" i="5"/>
  <c r="J403" i="5"/>
  <c r="I403" i="5"/>
  <c r="F403" i="5"/>
  <c r="Q238" i="5"/>
  <c r="M238" i="5"/>
  <c r="J238" i="5"/>
  <c r="I238" i="5"/>
  <c r="F238" i="5"/>
  <c r="Q450" i="5"/>
  <c r="M450" i="5"/>
  <c r="J450" i="5"/>
  <c r="I450" i="5"/>
  <c r="F450" i="5"/>
  <c r="Q647" i="5"/>
  <c r="M647" i="5"/>
  <c r="J647" i="5"/>
  <c r="I647" i="5"/>
  <c r="F647" i="5"/>
  <c r="Q254" i="5"/>
  <c r="M254" i="5"/>
  <c r="J254" i="5"/>
  <c r="I254" i="5"/>
  <c r="F254" i="5"/>
  <c r="Q491" i="5"/>
  <c r="M491" i="5"/>
  <c r="J491" i="5"/>
  <c r="I491" i="5"/>
  <c r="F491" i="5"/>
  <c r="Q258" i="5"/>
  <c r="M258" i="5"/>
  <c r="J258" i="5"/>
  <c r="I258" i="5"/>
  <c r="F258" i="5"/>
  <c r="Q327" i="5"/>
  <c r="M327" i="5"/>
  <c r="J327" i="5"/>
  <c r="I327" i="5"/>
  <c r="F327" i="5"/>
  <c r="Q321" i="5"/>
  <c r="M321" i="5"/>
  <c r="J321" i="5"/>
  <c r="I321" i="5"/>
  <c r="F321" i="5"/>
  <c r="Q335" i="5"/>
  <c r="T335" i="5" s="1"/>
  <c r="M335" i="5"/>
  <c r="J335" i="5"/>
  <c r="I335" i="5"/>
  <c r="F335" i="5"/>
  <c r="Q339" i="5"/>
  <c r="M339" i="5"/>
  <c r="J339" i="5"/>
  <c r="I339" i="5"/>
  <c r="F339" i="5"/>
  <c r="Q316" i="5"/>
  <c r="M316" i="5"/>
  <c r="J316" i="5"/>
  <c r="I316" i="5"/>
  <c r="F316" i="5"/>
  <c r="Q508" i="5"/>
  <c r="M508" i="5"/>
  <c r="J508" i="5"/>
  <c r="I508" i="5"/>
  <c r="F508" i="5"/>
  <c r="Q314" i="5"/>
  <c r="M314" i="5"/>
  <c r="J314" i="5"/>
  <c r="I314" i="5"/>
  <c r="F314" i="5"/>
  <c r="Q443" i="5"/>
  <c r="M443" i="5"/>
  <c r="J443" i="5"/>
  <c r="I443" i="5"/>
  <c r="F443" i="5"/>
  <c r="Q453" i="5"/>
  <c r="M453" i="5"/>
  <c r="J453" i="5"/>
  <c r="I453" i="5"/>
  <c r="F453" i="5"/>
  <c r="Q387" i="5"/>
  <c r="M387" i="5"/>
  <c r="J387" i="5"/>
  <c r="I387" i="5"/>
  <c r="F387" i="5"/>
  <c r="Q103" i="5"/>
  <c r="M103" i="5"/>
  <c r="J103" i="5"/>
  <c r="I103" i="5"/>
  <c r="F103" i="5"/>
  <c r="Q354" i="5"/>
  <c r="M354" i="5"/>
  <c r="J354" i="5"/>
  <c r="I354" i="5"/>
  <c r="F354" i="5"/>
  <c r="Q605" i="5"/>
  <c r="M605" i="5"/>
  <c r="J605" i="5"/>
  <c r="I605" i="5"/>
  <c r="F605" i="5"/>
  <c r="Q296" i="5"/>
  <c r="M296" i="5"/>
  <c r="J296" i="5"/>
  <c r="I296" i="5"/>
  <c r="F296" i="5"/>
  <c r="Q423" i="5"/>
  <c r="M423" i="5"/>
  <c r="J423" i="5"/>
  <c r="I423" i="5"/>
  <c r="F423" i="5"/>
  <c r="Q325" i="5"/>
  <c r="T325" i="5" s="1"/>
  <c r="M325" i="5"/>
  <c r="J325" i="5"/>
  <c r="I325" i="5"/>
  <c r="F325" i="5"/>
  <c r="Q101" i="5"/>
  <c r="M101" i="5"/>
  <c r="J101" i="5"/>
  <c r="I101" i="5"/>
  <c r="F101" i="5"/>
  <c r="Q445" i="5"/>
  <c r="M445" i="5"/>
  <c r="J445" i="5"/>
  <c r="I445" i="5"/>
  <c r="F445" i="5"/>
  <c r="Q200" i="5"/>
  <c r="M200" i="5"/>
  <c r="J200" i="5"/>
  <c r="I200" i="5"/>
  <c r="F200" i="5"/>
  <c r="Q356" i="5"/>
  <c r="M356" i="5"/>
  <c r="J356" i="5"/>
  <c r="I356" i="5"/>
  <c r="F356" i="5"/>
  <c r="Q431" i="5"/>
  <c r="M431" i="5"/>
  <c r="J431" i="5"/>
  <c r="I431" i="5"/>
  <c r="F431" i="5"/>
  <c r="Q410" i="5"/>
  <c r="M410" i="5"/>
  <c r="J410" i="5"/>
  <c r="I410" i="5"/>
  <c r="F410" i="5"/>
  <c r="Q519" i="5"/>
  <c r="M519" i="5"/>
  <c r="J519" i="5"/>
  <c r="I519" i="5"/>
  <c r="F519" i="5"/>
  <c r="Q517" i="5"/>
  <c r="M517" i="5"/>
  <c r="J517" i="5"/>
  <c r="I517" i="5"/>
  <c r="F517" i="5"/>
  <c r="Q558" i="5"/>
  <c r="M558" i="5"/>
  <c r="T558" i="5" s="1"/>
  <c r="J558" i="5"/>
  <c r="I558" i="5"/>
  <c r="F558" i="5"/>
  <c r="Q253" i="5"/>
  <c r="M253" i="5"/>
  <c r="J253" i="5"/>
  <c r="I253" i="5"/>
  <c r="F253" i="5"/>
  <c r="Q287" i="5"/>
  <c r="M287" i="5"/>
  <c r="J287" i="5"/>
  <c r="I287" i="5"/>
  <c r="F287" i="5"/>
  <c r="Q318" i="5"/>
  <c r="M318" i="5"/>
  <c r="J318" i="5"/>
  <c r="I318" i="5"/>
  <c r="F318" i="5"/>
  <c r="Q283" i="5"/>
  <c r="M283" i="5"/>
  <c r="J283" i="5"/>
  <c r="I283" i="5"/>
  <c r="F283" i="5"/>
  <c r="Q128" i="5"/>
  <c r="M128" i="5"/>
  <c r="J128" i="5"/>
  <c r="I128" i="5"/>
  <c r="F128" i="5"/>
  <c r="Q259" i="5"/>
  <c r="M259" i="5"/>
  <c r="J259" i="5"/>
  <c r="I259" i="5"/>
  <c r="F259" i="5"/>
  <c r="Q500" i="5"/>
  <c r="M500" i="5"/>
  <c r="J500" i="5"/>
  <c r="I500" i="5"/>
  <c r="F500" i="5"/>
  <c r="Q530" i="5"/>
  <c r="M530" i="5"/>
  <c r="J530" i="5"/>
  <c r="I530" i="5"/>
  <c r="F530" i="5"/>
  <c r="Q291" i="5"/>
  <c r="M291" i="5"/>
  <c r="J291" i="5"/>
  <c r="I291" i="5"/>
  <c r="F291" i="5"/>
  <c r="Q308" i="5"/>
  <c r="M308" i="5"/>
  <c r="J308" i="5"/>
  <c r="I308" i="5"/>
  <c r="F308" i="5"/>
  <c r="Q447" i="5"/>
  <c r="M447" i="5"/>
  <c r="J447" i="5"/>
  <c r="I447" i="5"/>
  <c r="F447" i="5"/>
  <c r="Q203" i="5"/>
  <c r="M203" i="5"/>
  <c r="T203" i="5" s="1"/>
  <c r="J203" i="5"/>
  <c r="I203" i="5"/>
  <c r="F203" i="5"/>
  <c r="Q248" i="5"/>
  <c r="M248" i="5"/>
  <c r="J248" i="5"/>
  <c r="I248" i="5"/>
  <c r="F248" i="5"/>
  <c r="Q226" i="5"/>
  <c r="M226" i="5"/>
  <c r="J226" i="5"/>
  <c r="I226" i="5"/>
  <c r="F226" i="5"/>
  <c r="Q268" i="5"/>
  <c r="M268" i="5"/>
  <c r="J268" i="5"/>
  <c r="I268" i="5"/>
  <c r="F268" i="5"/>
  <c r="Q263" i="5"/>
  <c r="M263" i="5"/>
  <c r="J263" i="5"/>
  <c r="I263" i="5"/>
  <c r="F263" i="5"/>
  <c r="Q577" i="5"/>
  <c r="T577" i="5" s="1"/>
  <c r="M577" i="5"/>
  <c r="J577" i="5"/>
  <c r="I577" i="5"/>
  <c r="F577" i="5"/>
  <c r="Q276" i="5"/>
  <c r="M276" i="5"/>
  <c r="J276" i="5"/>
  <c r="I276" i="5"/>
  <c r="F276" i="5"/>
  <c r="Q320" i="5"/>
  <c r="T320" i="5" s="1"/>
  <c r="M320" i="5"/>
  <c r="J320" i="5"/>
  <c r="I320" i="5"/>
  <c r="F320" i="5"/>
  <c r="Q267" i="5"/>
  <c r="M267" i="5"/>
  <c r="J267" i="5"/>
  <c r="I267" i="5"/>
  <c r="F267" i="5"/>
  <c r="Q400" i="5"/>
  <c r="M400" i="5"/>
  <c r="J400" i="5"/>
  <c r="I400" i="5"/>
  <c r="F400" i="5"/>
  <c r="Q297" i="5"/>
  <c r="M297" i="5"/>
  <c r="J297" i="5"/>
  <c r="I297" i="5"/>
  <c r="F297" i="5"/>
  <c r="Q202" i="5"/>
  <c r="M202" i="5"/>
  <c r="J202" i="5"/>
  <c r="I202" i="5"/>
  <c r="F202" i="5"/>
  <c r="Q309" i="5"/>
  <c r="M309" i="5"/>
  <c r="J309" i="5"/>
  <c r="I309" i="5"/>
  <c r="F309" i="5"/>
  <c r="Q359" i="5"/>
  <c r="M359" i="5"/>
  <c r="J359" i="5"/>
  <c r="I359" i="5"/>
  <c r="F359" i="5"/>
  <c r="Q348" i="5"/>
  <c r="M348" i="5"/>
  <c r="J348" i="5"/>
  <c r="I348" i="5"/>
  <c r="F348" i="5"/>
  <c r="Q369" i="5"/>
  <c r="M369" i="5"/>
  <c r="J369" i="5"/>
  <c r="I369" i="5"/>
  <c r="F369" i="5"/>
  <c r="Q502" i="5"/>
  <c r="M502" i="5"/>
  <c r="J502" i="5"/>
  <c r="I502" i="5"/>
  <c r="F502" i="5"/>
  <c r="Q366" i="5"/>
  <c r="T366" i="5" s="1"/>
  <c r="M366" i="5"/>
  <c r="J366" i="5"/>
  <c r="I366" i="5"/>
  <c r="F366" i="5"/>
  <c r="Q452" i="5"/>
  <c r="M452" i="5"/>
  <c r="J452" i="5"/>
  <c r="I452" i="5"/>
  <c r="F452" i="5"/>
  <c r="Q343" i="5"/>
  <c r="M343" i="5"/>
  <c r="J343" i="5"/>
  <c r="I343" i="5"/>
  <c r="F343" i="5"/>
  <c r="Q397" i="5"/>
  <c r="M397" i="5"/>
  <c r="T397" i="5" s="1"/>
  <c r="J397" i="5"/>
  <c r="I397" i="5"/>
  <c r="F397" i="5"/>
  <c r="Q118" i="5"/>
  <c r="M118" i="5"/>
  <c r="J118" i="5"/>
  <c r="I118" i="5"/>
  <c r="F118" i="5"/>
  <c r="Q439" i="5"/>
  <c r="M439" i="5"/>
  <c r="J439" i="5"/>
  <c r="I439" i="5"/>
  <c r="F439" i="5"/>
  <c r="Q349" i="5"/>
  <c r="M349" i="5"/>
  <c r="J349" i="5"/>
  <c r="I349" i="5"/>
  <c r="F349" i="5"/>
  <c r="Q486" i="5"/>
  <c r="M486" i="5"/>
  <c r="J486" i="5"/>
  <c r="I486" i="5"/>
  <c r="F486" i="5"/>
  <c r="Q376" i="5"/>
  <c r="M376" i="5"/>
  <c r="J376" i="5"/>
  <c r="I376" i="5"/>
  <c r="F376" i="5"/>
  <c r="Q301" i="5"/>
  <c r="M301" i="5"/>
  <c r="J301" i="5"/>
  <c r="I301" i="5"/>
  <c r="F301" i="5"/>
  <c r="Q304" i="5"/>
  <c r="M304" i="5"/>
  <c r="J304" i="5"/>
  <c r="I304" i="5"/>
  <c r="F304" i="5"/>
  <c r="Q211" i="5"/>
  <c r="M211" i="5"/>
  <c r="J211" i="5"/>
  <c r="I211" i="5"/>
  <c r="F211" i="5"/>
  <c r="Q313" i="5"/>
  <c r="M313" i="5"/>
  <c r="J313" i="5"/>
  <c r="I313" i="5"/>
  <c r="F313" i="5"/>
  <c r="Q484" i="5"/>
  <c r="M484" i="5"/>
  <c r="J484" i="5"/>
  <c r="I484" i="5"/>
  <c r="F484" i="5"/>
  <c r="Q266" i="5"/>
  <c r="M266" i="5"/>
  <c r="J266" i="5"/>
  <c r="I266" i="5"/>
  <c r="F266" i="5"/>
  <c r="Q312" i="5"/>
  <c r="M312" i="5"/>
  <c r="J312" i="5"/>
  <c r="I312" i="5"/>
  <c r="F312" i="5"/>
  <c r="Q176" i="5"/>
  <c r="M176" i="5"/>
  <c r="J176" i="5"/>
  <c r="I176" i="5"/>
  <c r="F176" i="5"/>
  <c r="Q151" i="5"/>
  <c r="M151" i="5"/>
  <c r="J151" i="5"/>
  <c r="I151" i="5"/>
  <c r="F151" i="5"/>
  <c r="Q360" i="5"/>
  <c r="M360" i="5"/>
  <c r="J360" i="5"/>
  <c r="I360" i="5"/>
  <c r="F360" i="5"/>
  <c r="Q194" i="5"/>
  <c r="M194" i="5"/>
  <c r="T194" i="5" s="1"/>
  <c r="J194" i="5"/>
  <c r="I194" i="5"/>
  <c r="F194" i="5"/>
  <c r="Q315" i="5"/>
  <c r="M315" i="5"/>
  <c r="J315" i="5"/>
  <c r="I315" i="5"/>
  <c r="F315" i="5"/>
  <c r="Q149" i="5"/>
  <c r="M149" i="5"/>
  <c r="J149" i="5"/>
  <c r="I149" i="5"/>
  <c r="F149" i="5"/>
  <c r="Q175" i="5"/>
  <c r="M175" i="5"/>
  <c r="J175" i="5"/>
  <c r="I175" i="5"/>
  <c r="F175" i="5"/>
  <c r="Q274" i="5"/>
  <c r="M274" i="5"/>
  <c r="J274" i="5"/>
  <c r="I274" i="5"/>
  <c r="F274" i="5"/>
  <c r="Q221" i="5"/>
  <c r="M221" i="5"/>
  <c r="J221" i="5"/>
  <c r="I221" i="5"/>
  <c r="F221" i="5"/>
  <c r="Q288" i="5"/>
  <c r="M288" i="5"/>
  <c r="J288" i="5"/>
  <c r="I288" i="5"/>
  <c r="F288" i="5"/>
  <c r="Q199" i="5"/>
  <c r="M199" i="5"/>
  <c r="J199" i="5"/>
  <c r="I199" i="5"/>
  <c r="F199" i="5"/>
  <c r="Q264" i="5"/>
  <c r="M264" i="5"/>
  <c r="J264" i="5"/>
  <c r="I264" i="5"/>
  <c r="F264" i="5"/>
  <c r="Q426" i="5"/>
  <c r="M426" i="5"/>
  <c r="J426" i="5"/>
  <c r="I426" i="5"/>
  <c r="F426" i="5"/>
  <c r="Q375" i="5"/>
  <c r="M375" i="5"/>
  <c r="J375" i="5"/>
  <c r="I375" i="5"/>
  <c r="F375" i="5"/>
  <c r="Q424" i="5"/>
  <c r="M424" i="5"/>
  <c r="J424" i="5"/>
  <c r="I424" i="5"/>
  <c r="F424" i="5"/>
  <c r="Q277" i="5"/>
  <c r="M277" i="5"/>
  <c r="J277" i="5"/>
  <c r="I277" i="5"/>
  <c r="F277" i="5"/>
  <c r="Q371" i="5"/>
  <c r="M371" i="5"/>
  <c r="J371" i="5"/>
  <c r="I371" i="5"/>
  <c r="F371" i="5"/>
  <c r="Q240" i="5"/>
  <c r="M240" i="5"/>
  <c r="J240" i="5"/>
  <c r="I240" i="5"/>
  <c r="F240" i="5"/>
  <c r="Q390" i="5"/>
  <c r="M390" i="5"/>
  <c r="J390" i="5"/>
  <c r="I390" i="5"/>
  <c r="F390" i="5"/>
  <c r="Q102" i="5"/>
  <c r="M102" i="5"/>
  <c r="J102" i="5"/>
  <c r="I102" i="5"/>
  <c r="F102" i="5"/>
  <c r="Q282" i="5"/>
  <c r="M282" i="5"/>
  <c r="J282" i="5"/>
  <c r="I282" i="5"/>
  <c r="F282" i="5"/>
  <c r="Q365" i="5"/>
  <c r="M365" i="5"/>
  <c r="J365" i="5"/>
  <c r="I365" i="5"/>
  <c r="F365" i="5"/>
  <c r="Q413" i="5"/>
  <c r="M413" i="5"/>
  <c r="J413" i="5"/>
  <c r="I413" i="5"/>
  <c r="F413" i="5"/>
  <c r="Q341" i="5"/>
  <c r="M341" i="5"/>
  <c r="J341" i="5"/>
  <c r="I341" i="5"/>
  <c r="F341" i="5"/>
  <c r="Q186" i="5"/>
  <c r="M186" i="5"/>
  <c r="T186" i="5" s="1"/>
  <c r="J186" i="5"/>
  <c r="I186" i="5"/>
  <c r="F186" i="5"/>
  <c r="Q43" i="5"/>
  <c r="M43" i="5"/>
  <c r="J43" i="5"/>
  <c r="I43" i="5"/>
  <c r="F43" i="5"/>
  <c r="Q216" i="5"/>
  <c r="M216" i="5"/>
  <c r="J216" i="5"/>
  <c r="I216" i="5"/>
  <c r="F216" i="5"/>
  <c r="Q300" i="5"/>
  <c r="M300" i="5"/>
  <c r="J300" i="5"/>
  <c r="I300" i="5"/>
  <c r="F300" i="5"/>
  <c r="Q169" i="5"/>
  <c r="M169" i="5"/>
  <c r="J169" i="5"/>
  <c r="I169" i="5"/>
  <c r="F169" i="5"/>
  <c r="Q279" i="5"/>
  <c r="T279" i="5" s="1"/>
  <c r="M279" i="5"/>
  <c r="J279" i="5"/>
  <c r="I279" i="5"/>
  <c r="F279" i="5"/>
  <c r="Q384" i="5"/>
  <c r="M384" i="5"/>
  <c r="J384" i="5"/>
  <c r="I384" i="5"/>
  <c r="F384" i="5"/>
  <c r="Q311" i="5"/>
  <c r="M311" i="5"/>
  <c r="J311" i="5"/>
  <c r="I311" i="5"/>
  <c r="F311" i="5"/>
  <c r="Q91" i="5"/>
  <c r="M91" i="5"/>
  <c r="J91" i="5"/>
  <c r="I91" i="5"/>
  <c r="F91" i="5"/>
  <c r="Q110" i="5"/>
  <c r="M110" i="5"/>
  <c r="J110" i="5"/>
  <c r="I110" i="5"/>
  <c r="F110" i="5"/>
  <c r="Q328" i="5"/>
  <c r="M328" i="5"/>
  <c r="J328" i="5"/>
  <c r="I328" i="5"/>
  <c r="F328" i="5"/>
  <c r="Q372" i="5"/>
  <c r="M372" i="5"/>
  <c r="J372" i="5"/>
  <c r="I372" i="5"/>
  <c r="F372" i="5"/>
  <c r="Q295" i="5"/>
  <c r="T295" i="5" s="1"/>
  <c r="M295" i="5"/>
  <c r="J295" i="5"/>
  <c r="I295" i="5"/>
  <c r="F295" i="5"/>
  <c r="Q273" i="5"/>
  <c r="M273" i="5"/>
  <c r="J273" i="5"/>
  <c r="I273" i="5"/>
  <c r="F273" i="5"/>
  <c r="Q195" i="5"/>
  <c r="M195" i="5"/>
  <c r="J195" i="5"/>
  <c r="I195" i="5"/>
  <c r="F195" i="5"/>
  <c r="Q281" i="5"/>
  <c r="T281" i="5" s="1"/>
  <c r="M281" i="5"/>
  <c r="J281" i="5"/>
  <c r="I281" i="5"/>
  <c r="F281" i="5"/>
  <c r="Q303" i="5"/>
  <c r="M303" i="5"/>
  <c r="T303" i="5" s="1"/>
  <c r="J303" i="5"/>
  <c r="I303" i="5"/>
  <c r="F303" i="5"/>
  <c r="Q336" i="5"/>
  <c r="M336" i="5"/>
  <c r="J336" i="5"/>
  <c r="I336" i="5"/>
  <c r="F336" i="5"/>
  <c r="Q204" i="5"/>
  <c r="M204" i="5"/>
  <c r="J204" i="5"/>
  <c r="I204" i="5"/>
  <c r="F204" i="5"/>
  <c r="Q193" i="5"/>
  <c r="M193" i="5"/>
  <c r="J193" i="5"/>
  <c r="I193" i="5"/>
  <c r="F193" i="5"/>
  <c r="Q421" i="5"/>
  <c r="M421" i="5"/>
  <c r="J421" i="5"/>
  <c r="I421" i="5"/>
  <c r="F421" i="5"/>
  <c r="Q330" i="5"/>
  <c r="M330" i="5"/>
  <c r="J330" i="5"/>
  <c r="I330" i="5"/>
  <c r="F330" i="5"/>
  <c r="Q357" i="5"/>
  <c r="M357" i="5"/>
  <c r="J357" i="5"/>
  <c r="I357" i="5"/>
  <c r="F357" i="5"/>
  <c r="Q197" i="5"/>
  <c r="M197" i="5"/>
  <c r="J197" i="5"/>
  <c r="I197" i="5"/>
  <c r="F197" i="5"/>
  <c r="Q214" i="5"/>
  <c r="M214" i="5"/>
  <c r="J214" i="5"/>
  <c r="I214" i="5"/>
  <c r="F214" i="5"/>
  <c r="Q145" i="5"/>
  <c r="M145" i="5"/>
  <c r="J145" i="5"/>
  <c r="I145" i="5"/>
  <c r="F145" i="5"/>
  <c r="Q237" i="5"/>
  <c r="M237" i="5"/>
  <c r="J237" i="5"/>
  <c r="I237" i="5"/>
  <c r="F237" i="5"/>
  <c r="Q215" i="5"/>
  <c r="M215" i="5"/>
  <c r="T215" i="5" s="1"/>
  <c r="J215" i="5"/>
  <c r="I215" i="5"/>
  <c r="F215" i="5"/>
  <c r="Q392" i="5"/>
  <c r="M392" i="5"/>
  <c r="J392" i="5"/>
  <c r="I392" i="5"/>
  <c r="F392" i="5"/>
  <c r="Q326" i="5"/>
  <c r="M326" i="5"/>
  <c r="J326" i="5"/>
  <c r="I326" i="5"/>
  <c r="F326" i="5"/>
  <c r="Q275" i="5"/>
  <c r="M275" i="5"/>
  <c r="J275" i="5"/>
  <c r="I275" i="5"/>
  <c r="F275" i="5"/>
  <c r="Q183" i="5"/>
  <c r="M183" i="5"/>
  <c r="J183" i="5"/>
  <c r="I183" i="5"/>
  <c r="F183" i="5"/>
  <c r="Q239" i="5"/>
  <c r="M239" i="5"/>
  <c r="J239" i="5"/>
  <c r="I239" i="5"/>
  <c r="F239" i="5"/>
  <c r="Q220" i="5"/>
  <c r="M220" i="5"/>
  <c r="J220" i="5"/>
  <c r="I220" i="5"/>
  <c r="F220" i="5"/>
  <c r="Q152" i="5"/>
  <c r="M152" i="5"/>
  <c r="J152" i="5"/>
  <c r="I152" i="5"/>
  <c r="F152" i="5"/>
  <c r="Q177" i="5"/>
  <c r="M177" i="5"/>
  <c r="J177" i="5"/>
  <c r="I177" i="5"/>
  <c r="F177" i="5"/>
  <c r="Q302" i="5"/>
  <c r="M302" i="5"/>
  <c r="J302" i="5"/>
  <c r="I302" i="5"/>
  <c r="F302" i="5"/>
  <c r="Q174" i="5"/>
  <c r="M174" i="5"/>
  <c r="J174" i="5"/>
  <c r="I174" i="5"/>
  <c r="F174" i="5"/>
  <c r="Q104" i="5"/>
  <c r="M104" i="5"/>
  <c r="J104" i="5"/>
  <c r="I104" i="5"/>
  <c r="F104" i="5"/>
  <c r="Q53" i="5"/>
  <c r="M53" i="5"/>
  <c r="J53" i="5"/>
  <c r="I53" i="5"/>
  <c r="F53" i="5"/>
  <c r="Q230" i="5"/>
  <c r="M230" i="5"/>
  <c r="J230" i="5"/>
  <c r="I230" i="5"/>
  <c r="F230" i="5"/>
  <c r="Q284" i="5"/>
  <c r="M284" i="5"/>
  <c r="J284" i="5"/>
  <c r="I284" i="5"/>
  <c r="F284" i="5"/>
  <c r="Q70" i="5"/>
  <c r="M70" i="5"/>
  <c r="J70" i="5"/>
  <c r="I70" i="5"/>
  <c r="F70" i="5"/>
  <c r="Q290" i="5"/>
  <c r="M290" i="5"/>
  <c r="T290" i="5" s="1"/>
  <c r="J290" i="5"/>
  <c r="I290" i="5"/>
  <c r="F290" i="5"/>
  <c r="Q405" i="5"/>
  <c r="M405" i="5"/>
  <c r="J405" i="5"/>
  <c r="I405" i="5"/>
  <c r="F405" i="5"/>
  <c r="Q340" i="5"/>
  <c r="M340" i="5"/>
  <c r="J340" i="5"/>
  <c r="I340" i="5"/>
  <c r="F340" i="5"/>
  <c r="Q160" i="5"/>
  <c r="M160" i="5"/>
  <c r="J160" i="5"/>
  <c r="I160" i="5"/>
  <c r="F160" i="5"/>
  <c r="Q346" i="5"/>
  <c r="M346" i="5"/>
  <c r="J346" i="5"/>
  <c r="I346" i="5"/>
  <c r="F346" i="5"/>
  <c r="Q278" i="5"/>
  <c r="M278" i="5"/>
  <c r="J278" i="5"/>
  <c r="I278" i="5"/>
  <c r="F278" i="5"/>
  <c r="Q331" i="5"/>
  <c r="M331" i="5"/>
  <c r="J331" i="5"/>
  <c r="I331" i="5"/>
  <c r="F331" i="5"/>
  <c r="Q323" i="5"/>
  <c r="T323" i="5" s="1"/>
  <c r="M323" i="5"/>
  <c r="J323" i="5"/>
  <c r="I323" i="5"/>
  <c r="F323" i="5"/>
  <c r="Q88" i="5"/>
  <c r="M88" i="5"/>
  <c r="J88" i="5"/>
  <c r="I88" i="5"/>
  <c r="F88" i="5"/>
  <c r="Q310" i="5"/>
  <c r="M310" i="5"/>
  <c r="J310" i="5"/>
  <c r="I310" i="5"/>
  <c r="F310" i="5"/>
  <c r="Q245" i="5"/>
  <c r="M245" i="5"/>
  <c r="J245" i="5"/>
  <c r="I245" i="5"/>
  <c r="F245" i="5"/>
  <c r="Q270" i="5"/>
  <c r="M270" i="5"/>
  <c r="J270" i="5"/>
  <c r="I270" i="5"/>
  <c r="F270" i="5"/>
  <c r="Q185" i="5"/>
  <c r="M185" i="5"/>
  <c r="J185" i="5"/>
  <c r="I185" i="5"/>
  <c r="F185" i="5"/>
  <c r="Q196" i="5"/>
  <c r="M196" i="5"/>
  <c r="J196" i="5"/>
  <c r="I196" i="5"/>
  <c r="F196" i="5"/>
  <c r="Q427" i="5"/>
  <c r="M427" i="5"/>
  <c r="J427" i="5"/>
  <c r="I427" i="5"/>
  <c r="F427" i="5"/>
  <c r="Q85" i="5"/>
  <c r="M85" i="5"/>
  <c r="J85" i="5"/>
  <c r="I85" i="5"/>
  <c r="F85" i="5"/>
  <c r="Q342" i="5"/>
  <c r="M342" i="5"/>
  <c r="T342" i="5" s="1"/>
  <c r="J342" i="5"/>
  <c r="I342" i="5"/>
  <c r="F342" i="5"/>
  <c r="Q265" i="5"/>
  <c r="M265" i="5"/>
  <c r="J265" i="5"/>
  <c r="I265" i="5"/>
  <c r="F265" i="5"/>
  <c r="Q170" i="5"/>
  <c r="M170" i="5"/>
  <c r="J170" i="5"/>
  <c r="I170" i="5"/>
  <c r="F170" i="5"/>
  <c r="Q260" i="5"/>
  <c r="M260" i="5"/>
  <c r="J260" i="5"/>
  <c r="I260" i="5"/>
  <c r="F260" i="5"/>
  <c r="Q292" i="5"/>
  <c r="M292" i="5"/>
  <c r="J292" i="5"/>
  <c r="I292" i="5"/>
  <c r="F292" i="5"/>
  <c r="Q252" i="5"/>
  <c r="M252" i="5"/>
  <c r="T252" i="5" s="1"/>
  <c r="J252" i="5"/>
  <c r="I252" i="5"/>
  <c r="F252" i="5"/>
  <c r="Q285" i="5"/>
  <c r="M285" i="5"/>
  <c r="J285" i="5"/>
  <c r="I285" i="5"/>
  <c r="F285" i="5"/>
  <c r="Q388" i="5"/>
  <c r="M388" i="5"/>
  <c r="J388" i="5"/>
  <c r="I388" i="5"/>
  <c r="F388" i="5"/>
  <c r="Q256" i="5"/>
  <c r="M256" i="5"/>
  <c r="J256" i="5"/>
  <c r="I256" i="5"/>
  <c r="F256" i="5"/>
  <c r="Q138" i="5"/>
  <c r="M138" i="5"/>
  <c r="J138" i="5"/>
  <c r="I138" i="5"/>
  <c r="F138" i="5"/>
  <c r="Q117" i="5"/>
  <c r="T117" i="5" s="1"/>
  <c r="M117" i="5"/>
  <c r="J117" i="5"/>
  <c r="I117" i="5"/>
  <c r="F117" i="5"/>
  <c r="Q92" i="5"/>
  <c r="M92" i="5"/>
  <c r="J92" i="5"/>
  <c r="I92" i="5"/>
  <c r="F92" i="5"/>
  <c r="Q255" i="5"/>
  <c r="M255" i="5"/>
  <c r="J255" i="5"/>
  <c r="I255" i="5"/>
  <c r="F255" i="5"/>
  <c r="Q30" i="5"/>
  <c r="M30" i="5"/>
  <c r="J30" i="5"/>
  <c r="I30" i="5"/>
  <c r="F30" i="5"/>
  <c r="Q181" i="5"/>
  <c r="M181" i="5"/>
  <c r="J181" i="5"/>
  <c r="I181" i="5"/>
  <c r="F181" i="5"/>
  <c r="Q236" i="5"/>
  <c r="M236" i="5"/>
  <c r="J236" i="5"/>
  <c r="I236" i="5"/>
  <c r="F236" i="5"/>
  <c r="Q164" i="5"/>
  <c r="M164" i="5"/>
  <c r="T164" i="5" s="1"/>
  <c r="J164" i="5"/>
  <c r="I164" i="5"/>
  <c r="F164" i="5"/>
  <c r="Q141" i="5"/>
  <c r="M141" i="5"/>
  <c r="J141" i="5"/>
  <c r="I141" i="5"/>
  <c r="F141" i="5"/>
  <c r="Q130" i="5"/>
  <c r="M130" i="5"/>
  <c r="J130" i="5"/>
  <c r="I130" i="5"/>
  <c r="F130" i="5"/>
  <c r="Q246" i="5"/>
  <c r="M246" i="5"/>
  <c r="J246" i="5"/>
  <c r="I246" i="5"/>
  <c r="F246" i="5"/>
  <c r="Q147" i="5"/>
  <c r="M147" i="5"/>
  <c r="J147" i="5"/>
  <c r="I147" i="5"/>
  <c r="F147" i="5"/>
  <c r="Q198" i="5"/>
  <c r="M198" i="5"/>
  <c r="J198" i="5"/>
  <c r="I198" i="5"/>
  <c r="F198" i="5"/>
  <c r="Q231" i="5"/>
  <c r="M231" i="5"/>
  <c r="J231" i="5"/>
  <c r="I231" i="5"/>
  <c r="F231" i="5"/>
  <c r="Q299" i="5"/>
  <c r="M299" i="5"/>
  <c r="J299" i="5"/>
  <c r="I299" i="5"/>
  <c r="F299" i="5"/>
  <c r="Q294" i="5"/>
  <c r="M294" i="5"/>
  <c r="J294" i="5"/>
  <c r="I294" i="5"/>
  <c r="F294" i="5"/>
  <c r="Q114" i="5"/>
  <c r="M114" i="5"/>
  <c r="J114" i="5"/>
  <c r="I114" i="5"/>
  <c r="F114" i="5"/>
  <c r="Q269" i="5"/>
  <c r="T269" i="5" s="1"/>
  <c r="M269" i="5"/>
  <c r="J269" i="5"/>
  <c r="I269" i="5"/>
  <c r="F269" i="5"/>
  <c r="Q201" i="5"/>
  <c r="M201" i="5"/>
  <c r="J201" i="5"/>
  <c r="I201" i="5"/>
  <c r="F201" i="5"/>
  <c r="Q219" i="5"/>
  <c r="M219" i="5"/>
  <c r="J219" i="5"/>
  <c r="I219" i="5"/>
  <c r="F219" i="5"/>
  <c r="Q136" i="5"/>
  <c r="M136" i="5"/>
  <c r="J136" i="5"/>
  <c r="I136" i="5"/>
  <c r="F136" i="5"/>
  <c r="Q153" i="5"/>
  <c r="M153" i="5"/>
  <c r="J153" i="5"/>
  <c r="I153" i="5"/>
  <c r="F153" i="5"/>
  <c r="Q322" i="5"/>
  <c r="M322" i="5"/>
  <c r="J322" i="5"/>
  <c r="I322" i="5"/>
  <c r="F322" i="5"/>
  <c r="Q218" i="5"/>
  <c r="M218" i="5"/>
  <c r="T218" i="5" s="1"/>
  <c r="J218" i="5"/>
  <c r="I218" i="5"/>
  <c r="F218" i="5"/>
  <c r="Q233" i="5"/>
  <c r="M233" i="5"/>
  <c r="J233" i="5"/>
  <c r="I233" i="5"/>
  <c r="F233" i="5"/>
  <c r="Q463" i="5"/>
  <c r="M463" i="5"/>
  <c r="J463" i="5"/>
  <c r="I463" i="5"/>
  <c r="F463" i="5"/>
  <c r="Q162" i="5"/>
  <c r="M162" i="5"/>
  <c r="J162" i="5"/>
  <c r="I162" i="5"/>
  <c r="F162" i="5"/>
  <c r="Q217" i="5"/>
  <c r="M217" i="5"/>
  <c r="J217" i="5"/>
  <c r="I217" i="5"/>
  <c r="F217" i="5"/>
  <c r="Q38" i="5"/>
  <c r="M38" i="5"/>
  <c r="J38" i="5"/>
  <c r="I38" i="5"/>
  <c r="F38" i="5"/>
  <c r="Q78" i="5"/>
  <c r="M78" i="5"/>
  <c r="J78" i="5"/>
  <c r="I78" i="5"/>
  <c r="F78" i="5"/>
  <c r="Q84" i="5"/>
  <c r="M84" i="5"/>
  <c r="J84" i="5"/>
  <c r="I84" i="5"/>
  <c r="F84" i="5"/>
  <c r="Q172" i="5"/>
  <c r="M172" i="5"/>
  <c r="J172" i="5"/>
  <c r="I172" i="5"/>
  <c r="F172" i="5"/>
  <c r="Q105" i="5"/>
  <c r="M105" i="5"/>
  <c r="J105" i="5"/>
  <c r="I105" i="5"/>
  <c r="F105" i="5"/>
  <c r="Q180" i="5"/>
  <c r="M180" i="5"/>
  <c r="J180" i="5"/>
  <c r="I180" i="5"/>
  <c r="F180" i="5"/>
  <c r="Q382" i="5"/>
  <c r="M382" i="5"/>
  <c r="J382" i="5"/>
  <c r="I382" i="5"/>
  <c r="F382" i="5"/>
  <c r="Q179" i="5"/>
  <c r="M179" i="5"/>
  <c r="J179" i="5"/>
  <c r="I179" i="5"/>
  <c r="F179" i="5"/>
  <c r="Q234" i="5"/>
  <c r="M234" i="5"/>
  <c r="J234" i="5"/>
  <c r="I234" i="5"/>
  <c r="F234" i="5"/>
  <c r="Q150" i="5"/>
  <c r="M150" i="5"/>
  <c r="J150" i="5"/>
  <c r="I150" i="5"/>
  <c r="F150" i="5"/>
  <c r="Q190" i="5"/>
  <c r="M190" i="5"/>
  <c r="J190" i="5"/>
  <c r="I190" i="5"/>
  <c r="F190" i="5"/>
  <c r="Q261" i="5"/>
  <c r="M261" i="5"/>
  <c r="J261" i="5"/>
  <c r="I261" i="5"/>
  <c r="F261" i="5"/>
  <c r="Q124" i="5"/>
  <c r="M124" i="5"/>
  <c r="J124" i="5"/>
  <c r="I124" i="5"/>
  <c r="F124" i="5"/>
  <c r="Q161" i="5"/>
  <c r="M161" i="5"/>
  <c r="J161" i="5"/>
  <c r="I161" i="5"/>
  <c r="F161" i="5"/>
  <c r="Q123" i="5"/>
  <c r="M123" i="5"/>
  <c r="J123" i="5"/>
  <c r="I123" i="5"/>
  <c r="F123" i="5"/>
  <c r="Q191" i="5"/>
  <c r="M191" i="5"/>
  <c r="J191" i="5"/>
  <c r="I191" i="5"/>
  <c r="F191" i="5"/>
  <c r="Q159" i="5"/>
  <c r="M159" i="5"/>
  <c r="J159" i="5"/>
  <c r="I159" i="5"/>
  <c r="F159" i="5"/>
  <c r="Q134" i="5"/>
  <c r="M134" i="5"/>
  <c r="J134" i="5"/>
  <c r="I134" i="5"/>
  <c r="F134" i="5"/>
  <c r="Q168" i="5"/>
  <c r="M168" i="5"/>
  <c r="J168" i="5"/>
  <c r="I168" i="5"/>
  <c r="F168" i="5"/>
  <c r="Q158" i="5"/>
  <c r="M158" i="5"/>
  <c r="J158" i="5"/>
  <c r="I158" i="5"/>
  <c r="F158" i="5"/>
  <c r="Q289" i="5"/>
  <c r="M289" i="5"/>
  <c r="J289" i="5"/>
  <c r="I289" i="5"/>
  <c r="F289" i="5"/>
  <c r="Q350" i="5"/>
  <c r="M350" i="5"/>
  <c r="J350" i="5"/>
  <c r="I350" i="5"/>
  <c r="F350" i="5"/>
  <c r="Q166" i="5"/>
  <c r="M166" i="5"/>
  <c r="J166" i="5"/>
  <c r="I166" i="5"/>
  <c r="F166" i="5"/>
  <c r="Q155" i="5"/>
  <c r="M155" i="5"/>
  <c r="J155" i="5"/>
  <c r="I155" i="5"/>
  <c r="F155" i="5"/>
  <c r="Q79" i="5"/>
  <c r="M79" i="5"/>
  <c r="J79" i="5"/>
  <c r="I79" i="5"/>
  <c r="F79" i="5"/>
  <c r="Q108" i="5"/>
  <c r="M108" i="5"/>
  <c r="J108" i="5"/>
  <c r="I108" i="5"/>
  <c r="F108" i="5"/>
  <c r="Q167" i="5"/>
  <c r="M167" i="5"/>
  <c r="J167" i="5"/>
  <c r="I167" i="5"/>
  <c r="F167" i="5"/>
  <c r="Q223" i="5"/>
  <c r="M223" i="5"/>
  <c r="J223" i="5"/>
  <c r="I223" i="5"/>
  <c r="F223" i="5"/>
  <c r="Q188" i="5"/>
  <c r="M188" i="5"/>
  <c r="J188" i="5"/>
  <c r="I188" i="5"/>
  <c r="F188" i="5"/>
  <c r="Q250" i="5"/>
  <c r="M250" i="5"/>
  <c r="J250" i="5"/>
  <c r="I250" i="5"/>
  <c r="F250" i="5"/>
  <c r="Q454" i="5"/>
  <c r="M454" i="5"/>
  <c r="J454" i="5"/>
  <c r="I454" i="5"/>
  <c r="F454" i="5"/>
  <c r="Q298" i="5"/>
  <c r="M298" i="5"/>
  <c r="J298" i="5"/>
  <c r="I298" i="5"/>
  <c r="F298" i="5"/>
  <c r="Q271" i="5"/>
  <c r="M271" i="5"/>
  <c r="J271" i="5"/>
  <c r="I271" i="5"/>
  <c r="F271" i="5"/>
  <c r="Q99" i="5"/>
  <c r="M99" i="5"/>
  <c r="J99" i="5"/>
  <c r="I99" i="5"/>
  <c r="F99" i="5"/>
  <c r="Q77" i="5"/>
  <c r="M77" i="5"/>
  <c r="J77" i="5"/>
  <c r="I77" i="5"/>
  <c r="F77" i="5"/>
  <c r="Q66" i="5"/>
  <c r="M66" i="5"/>
  <c r="J66" i="5"/>
  <c r="I66" i="5"/>
  <c r="F66" i="5"/>
  <c r="Q257" i="5"/>
  <c r="M257" i="5"/>
  <c r="J257" i="5"/>
  <c r="I257" i="5"/>
  <c r="F257" i="5"/>
  <c r="Q143" i="5"/>
  <c r="T143" i="5" s="1"/>
  <c r="M143" i="5"/>
  <c r="J143" i="5"/>
  <c r="I143" i="5"/>
  <c r="F143" i="5"/>
  <c r="Q192" i="5"/>
  <c r="M192" i="5"/>
  <c r="J192" i="5"/>
  <c r="I192" i="5"/>
  <c r="F192" i="5"/>
  <c r="Q184" i="5"/>
  <c r="M184" i="5"/>
  <c r="J184" i="5"/>
  <c r="I184" i="5"/>
  <c r="F184" i="5"/>
  <c r="Q57" i="5"/>
  <c r="M57" i="5"/>
  <c r="J57" i="5"/>
  <c r="I57" i="5"/>
  <c r="F57" i="5"/>
  <c r="Q247" i="5"/>
  <c r="M247" i="5"/>
  <c r="J247" i="5"/>
  <c r="I247" i="5"/>
  <c r="F247" i="5"/>
  <c r="Q36" i="5"/>
  <c r="M36" i="5"/>
  <c r="J36" i="5"/>
  <c r="I36" i="5"/>
  <c r="F36" i="5"/>
  <c r="Q173" i="5"/>
  <c r="M173" i="5"/>
  <c r="T173" i="5" s="1"/>
  <c r="J173" i="5"/>
  <c r="I173" i="5"/>
  <c r="F173" i="5"/>
  <c r="Q154" i="5"/>
  <c r="M154" i="5"/>
  <c r="J154" i="5"/>
  <c r="I154" i="5"/>
  <c r="F154" i="5"/>
  <c r="Q109" i="5"/>
  <c r="M109" i="5"/>
  <c r="J109" i="5"/>
  <c r="I109" i="5"/>
  <c r="F109" i="5"/>
  <c r="Q249" i="5"/>
  <c r="M249" i="5"/>
  <c r="J249" i="5"/>
  <c r="I249" i="5"/>
  <c r="F249" i="5"/>
  <c r="Q235" i="5"/>
  <c r="M235" i="5"/>
  <c r="J235" i="5"/>
  <c r="I235" i="5"/>
  <c r="F235" i="5"/>
  <c r="Q132" i="5"/>
  <c r="M132" i="5"/>
  <c r="J132" i="5"/>
  <c r="I132" i="5"/>
  <c r="F132" i="5"/>
  <c r="Q222" i="5"/>
  <c r="M222" i="5"/>
  <c r="J222" i="5"/>
  <c r="I222" i="5"/>
  <c r="F222" i="5"/>
  <c r="Q83" i="5"/>
  <c r="M83" i="5"/>
  <c r="J83" i="5"/>
  <c r="I83" i="5"/>
  <c r="F83" i="5"/>
  <c r="Q120" i="5"/>
  <c r="M120" i="5"/>
  <c r="J120" i="5"/>
  <c r="I120" i="5"/>
  <c r="F120" i="5"/>
  <c r="Q126" i="5"/>
  <c r="M126" i="5"/>
  <c r="J126" i="5"/>
  <c r="I126" i="5"/>
  <c r="F126" i="5"/>
  <c r="Q55" i="5"/>
  <c r="T55" i="5" s="1"/>
  <c r="M55" i="5"/>
  <c r="J55" i="5"/>
  <c r="I55" i="5"/>
  <c r="F55" i="5"/>
  <c r="Q171" i="5"/>
  <c r="M171" i="5"/>
  <c r="J171" i="5"/>
  <c r="I171" i="5"/>
  <c r="F171" i="5"/>
  <c r="Q93" i="5"/>
  <c r="M93" i="5"/>
  <c r="J93" i="5"/>
  <c r="I93" i="5"/>
  <c r="F93" i="5"/>
  <c r="Q156" i="5"/>
  <c r="M156" i="5"/>
  <c r="J156" i="5"/>
  <c r="I156" i="5"/>
  <c r="F156" i="5"/>
  <c r="Q41" i="5"/>
  <c r="M41" i="5"/>
  <c r="J41" i="5"/>
  <c r="I41" i="5"/>
  <c r="F41" i="5"/>
  <c r="Q137" i="5"/>
  <c r="M137" i="5"/>
  <c r="J137" i="5"/>
  <c r="I137" i="5"/>
  <c r="F137" i="5"/>
  <c r="Q100" i="5"/>
  <c r="M100" i="5"/>
  <c r="J100" i="5"/>
  <c r="I100" i="5"/>
  <c r="F100" i="5"/>
  <c r="Q351" i="5"/>
  <c r="M351" i="5"/>
  <c r="J351" i="5"/>
  <c r="I351" i="5"/>
  <c r="F351" i="5"/>
  <c r="Q207" i="5"/>
  <c r="M207" i="5"/>
  <c r="J207" i="5"/>
  <c r="I207" i="5"/>
  <c r="F207" i="5"/>
  <c r="Q80" i="5"/>
  <c r="M80" i="5"/>
  <c r="J80" i="5"/>
  <c r="I80" i="5"/>
  <c r="F80" i="5"/>
  <c r="Q97" i="5"/>
  <c r="M97" i="5"/>
  <c r="J97" i="5"/>
  <c r="I97" i="5"/>
  <c r="F97" i="5"/>
  <c r="Q106" i="5"/>
  <c r="M106" i="5"/>
  <c r="J106" i="5"/>
  <c r="I106" i="5"/>
  <c r="F106" i="5"/>
  <c r="Q95" i="5"/>
  <c r="M95" i="5"/>
  <c r="J95" i="5"/>
  <c r="I95" i="5"/>
  <c r="F95" i="5"/>
  <c r="Q229" i="5"/>
  <c r="M229" i="5"/>
  <c r="J229" i="5"/>
  <c r="I229" i="5"/>
  <c r="F229" i="5"/>
  <c r="Q208" i="5"/>
  <c r="M208" i="5"/>
  <c r="J208" i="5"/>
  <c r="I208" i="5"/>
  <c r="F208" i="5"/>
  <c r="Q98" i="5"/>
  <c r="M98" i="5"/>
  <c r="J98" i="5"/>
  <c r="I98" i="5"/>
  <c r="F98" i="5"/>
  <c r="Q241" i="5"/>
  <c r="T241" i="5" s="1"/>
  <c r="M241" i="5"/>
  <c r="J241" i="5"/>
  <c r="I241" i="5"/>
  <c r="F241" i="5"/>
  <c r="Q90" i="5"/>
  <c r="M90" i="5"/>
  <c r="J90" i="5"/>
  <c r="I90" i="5"/>
  <c r="F90" i="5"/>
  <c r="Q127" i="5"/>
  <c r="M127" i="5"/>
  <c r="T127" i="5" s="1"/>
  <c r="J127" i="5"/>
  <c r="I127" i="5"/>
  <c r="F127" i="5"/>
  <c r="Q115" i="5"/>
  <c r="M115" i="5"/>
  <c r="J115" i="5"/>
  <c r="I115" i="5"/>
  <c r="F115" i="5"/>
  <c r="Q75" i="5"/>
  <c r="M75" i="5"/>
  <c r="J75" i="5"/>
  <c r="I75" i="5"/>
  <c r="F75" i="5"/>
  <c r="Q131" i="5"/>
  <c r="M131" i="5"/>
  <c r="J131" i="5"/>
  <c r="I131" i="5"/>
  <c r="F131" i="5"/>
  <c r="Q140" i="5"/>
  <c r="M140" i="5"/>
  <c r="T140" i="5" s="1"/>
  <c r="J140" i="5"/>
  <c r="I140" i="5"/>
  <c r="F140" i="5"/>
  <c r="Q52" i="5"/>
  <c r="T52" i="5" s="1"/>
  <c r="M52" i="5"/>
  <c r="J52" i="5"/>
  <c r="I52" i="5"/>
  <c r="F52" i="5"/>
  <c r="Q139" i="5"/>
  <c r="M139" i="5"/>
  <c r="J139" i="5"/>
  <c r="I139" i="5"/>
  <c r="F139" i="5"/>
  <c r="Q129" i="5"/>
  <c r="M129" i="5"/>
  <c r="J129" i="5"/>
  <c r="I129" i="5"/>
  <c r="F129" i="5"/>
  <c r="Q81" i="5"/>
  <c r="M81" i="5"/>
  <c r="J81" i="5"/>
  <c r="I81" i="5"/>
  <c r="F81" i="5"/>
  <c r="Q89" i="5"/>
  <c r="M89" i="5"/>
  <c r="J89" i="5"/>
  <c r="I89" i="5"/>
  <c r="F89" i="5"/>
  <c r="Q51" i="5"/>
  <c r="M51" i="5"/>
  <c r="J51" i="5"/>
  <c r="I51" i="5"/>
  <c r="F51" i="5"/>
  <c r="Q86" i="5"/>
  <c r="M86" i="5"/>
  <c r="J86" i="5"/>
  <c r="I86" i="5"/>
  <c r="F86" i="5"/>
  <c r="Q121" i="5"/>
  <c r="M121" i="5"/>
  <c r="J121" i="5"/>
  <c r="I121" i="5"/>
  <c r="F121" i="5"/>
  <c r="Q74" i="5"/>
  <c r="M74" i="5"/>
  <c r="J74" i="5"/>
  <c r="I74" i="5"/>
  <c r="F74" i="5"/>
  <c r="Q60" i="5"/>
  <c r="T60" i="5" s="1"/>
  <c r="M60" i="5"/>
  <c r="J60" i="5"/>
  <c r="I60" i="5"/>
  <c r="F60" i="5"/>
  <c r="Q22" i="5"/>
  <c r="M22" i="5"/>
  <c r="J22" i="5"/>
  <c r="I22" i="5"/>
  <c r="F22" i="5"/>
  <c r="Q61" i="5"/>
  <c r="M61" i="5"/>
  <c r="J61" i="5"/>
  <c r="I61" i="5"/>
  <c r="F61" i="5"/>
  <c r="Q39" i="5"/>
  <c r="M39" i="5"/>
  <c r="J39" i="5"/>
  <c r="I39" i="5"/>
  <c r="F39" i="5"/>
  <c r="Q135" i="5"/>
  <c r="M135" i="5"/>
  <c r="J135" i="5"/>
  <c r="I135" i="5"/>
  <c r="F135" i="5"/>
  <c r="Q113" i="5"/>
  <c r="M113" i="5"/>
  <c r="J113" i="5"/>
  <c r="I113" i="5"/>
  <c r="F113" i="5"/>
  <c r="Q87" i="5"/>
  <c r="M87" i="5"/>
  <c r="J87" i="5"/>
  <c r="I87" i="5"/>
  <c r="F87" i="5"/>
  <c r="Q182" i="5"/>
  <c r="M182" i="5"/>
  <c r="J182" i="5"/>
  <c r="I182" i="5"/>
  <c r="F182" i="5"/>
  <c r="Q69" i="5"/>
  <c r="T69" i="5" s="1"/>
  <c r="M69" i="5"/>
  <c r="J69" i="5"/>
  <c r="I69" i="5"/>
  <c r="F69" i="5"/>
  <c r="Q96" i="5"/>
  <c r="M96" i="5"/>
  <c r="J96" i="5"/>
  <c r="I96" i="5"/>
  <c r="F96" i="5"/>
  <c r="Q165" i="5"/>
  <c r="M165" i="5"/>
  <c r="J165" i="5"/>
  <c r="I165" i="5"/>
  <c r="F165" i="5"/>
  <c r="Q72" i="5"/>
  <c r="M72" i="5"/>
  <c r="J72" i="5"/>
  <c r="I72" i="5"/>
  <c r="F72" i="5"/>
  <c r="Q63" i="5"/>
  <c r="M63" i="5"/>
  <c r="J63" i="5"/>
  <c r="I63" i="5"/>
  <c r="F63" i="5"/>
  <c r="Q37" i="5"/>
  <c r="M37" i="5"/>
  <c r="J37" i="5"/>
  <c r="I37" i="5"/>
  <c r="F37" i="5"/>
  <c r="Q64" i="5"/>
  <c r="M64" i="5"/>
  <c r="J64" i="5"/>
  <c r="I64" i="5"/>
  <c r="F64" i="5"/>
  <c r="Q112" i="5"/>
  <c r="M112" i="5"/>
  <c r="J112" i="5"/>
  <c r="I112" i="5"/>
  <c r="F112" i="5"/>
  <c r="Q47" i="5"/>
  <c r="M47" i="5"/>
  <c r="J47" i="5"/>
  <c r="I47" i="5"/>
  <c r="F47" i="5"/>
  <c r="Q68" i="5"/>
  <c r="T68" i="5" s="1"/>
  <c r="M68" i="5"/>
  <c r="J68" i="5"/>
  <c r="I68" i="5"/>
  <c r="F68" i="5"/>
  <c r="Q35" i="5"/>
  <c r="M35" i="5"/>
  <c r="J35" i="5"/>
  <c r="I35" i="5"/>
  <c r="F35" i="5"/>
  <c r="Q76" i="5"/>
  <c r="M76" i="5"/>
  <c r="J76" i="5"/>
  <c r="I76" i="5"/>
  <c r="F76" i="5"/>
  <c r="Q73" i="5"/>
  <c r="M73" i="5"/>
  <c r="J73" i="5"/>
  <c r="I73" i="5"/>
  <c r="F73" i="5"/>
  <c r="Q48" i="5"/>
  <c r="M48" i="5"/>
  <c r="J48" i="5"/>
  <c r="I48" i="5"/>
  <c r="F48" i="5"/>
  <c r="Q107" i="5"/>
  <c r="M107" i="5"/>
  <c r="J107" i="5"/>
  <c r="I107" i="5"/>
  <c r="F107" i="5"/>
  <c r="Q46" i="5"/>
  <c r="M46" i="5"/>
  <c r="J46" i="5"/>
  <c r="I46" i="5"/>
  <c r="F46" i="5"/>
  <c r="Q67" i="5"/>
  <c r="M67" i="5"/>
  <c r="J67" i="5"/>
  <c r="I67" i="5"/>
  <c r="F67" i="5"/>
  <c r="Q125" i="5"/>
  <c r="M125" i="5"/>
  <c r="J125" i="5"/>
  <c r="I125" i="5"/>
  <c r="F125" i="5"/>
  <c r="Q58" i="5"/>
  <c r="M58" i="5"/>
  <c r="J58" i="5"/>
  <c r="I58" i="5"/>
  <c r="F58" i="5"/>
  <c r="Q62" i="5"/>
  <c r="M62" i="5"/>
  <c r="J62" i="5"/>
  <c r="I62" i="5"/>
  <c r="F62" i="5"/>
  <c r="Q148" i="5"/>
  <c r="M148" i="5"/>
  <c r="J148" i="5"/>
  <c r="I148" i="5"/>
  <c r="F148" i="5"/>
  <c r="Q116" i="5"/>
  <c r="M116" i="5"/>
  <c r="J116" i="5"/>
  <c r="I116" i="5"/>
  <c r="F116" i="5"/>
  <c r="Q82" i="5"/>
  <c r="M82" i="5"/>
  <c r="J82" i="5"/>
  <c r="I82" i="5"/>
  <c r="F82" i="5"/>
  <c r="Q178" i="5"/>
  <c r="M178" i="5"/>
  <c r="J178" i="5"/>
  <c r="I178" i="5"/>
  <c r="F178" i="5"/>
  <c r="Q44" i="5"/>
  <c r="T44" i="5" s="1"/>
  <c r="M44" i="5"/>
  <c r="J44" i="5"/>
  <c r="I44" i="5"/>
  <c r="F44" i="5"/>
  <c r="Q32" i="5"/>
  <c r="M32" i="5"/>
  <c r="J32" i="5"/>
  <c r="I32" i="5"/>
  <c r="F32" i="5"/>
  <c r="Q49" i="5"/>
  <c r="M49" i="5"/>
  <c r="J49" i="5"/>
  <c r="I49" i="5"/>
  <c r="F49" i="5"/>
  <c r="Q42" i="5"/>
  <c r="M42" i="5"/>
  <c r="J42" i="5"/>
  <c r="I42" i="5"/>
  <c r="F42" i="5"/>
  <c r="Q133" i="5"/>
  <c r="M133" i="5"/>
  <c r="J133" i="5"/>
  <c r="I133" i="5"/>
  <c r="F133" i="5"/>
  <c r="Q146" i="5"/>
  <c r="M146" i="5"/>
  <c r="J146" i="5"/>
  <c r="I146" i="5"/>
  <c r="F146" i="5"/>
  <c r="Q34" i="5"/>
  <c r="M34" i="5"/>
  <c r="T34" i="5" s="1"/>
  <c r="J34" i="5"/>
  <c r="I34" i="5"/>
  <c r="F34" i="5"/>
  <c r="Q54" i="5"/>
  <c r="M54" i="5"/>
  <c r="J54" i="5"/>
  <c r="I54" i="5"/>
  <c r="F54" i="5"/>
  <c r="Q29" i="5"/>
  <c r="M29" i="5"/>
  <c r="J29" i="5"/>
  <c r="I29" i="5"/>
  <c r="F29" i="5"/>
  <c r="Q21" i="5"/>
  <c r="M21" i="5"/>
  <c r="J21" i="5"/>
  <c r="I21" i="5"/>
  <c r="F21" i="5"/>
  <c r="Q65" i="5"/>
  <c r="M65" i="5"/>
  <c r="J65" i="5"/>
  <c r="I65" i="5"/>
  <c r="F65" i="5"/>
  <c r="Q56" i="5"/>
  <c r="M56" i="5"/>
  <c r="J56" i="5"/>
  <c r="I56" i="5"/>
  <c r="F56" i="5"/>
  <c r="Q23" i="5"/>
  <c r="M23" i="5"/>
  <c r="J23" i="5"/>
  <c r="I23" i="5"/>
  <c r="F23" i="5"/>
  <c r="Q50" i="5"/>
  <c r="M50" i="5"/>
  <c r="J50" i="5"/>
  <c r="I50" i="5"/>
  <c r="F50" i="5"/>
  <c r="Q25" i="5"/>
  <c r="M25" i="5"/>
  <c r="J25" i="5"/>
  <c r="I25" i="5"/>
  <c r="F25" i="5"/>
  <c r="Q27" i="5"/>
  <c r="M27" i="5"/>
  <c r="J27" i="5"/>
  <c r="I27" i="5"/>
  <c r="F27" i="5"/>
  <c r="Q31" i="5"/>
  <c r="M31" i="5"/>
  <c r="J31" i="5"/>
  <c r="I31" i="5"/>
  <c r="F31" i="5"/>
  <c r="Q40" i="5"/>
  <c r="M40" i="5"/>
  <c r="J40" i="5"/>
  <c r="I40" i="5"/>
  <c r="F40" i="5"/>
  <c r="Q26" i="5"/>
  <c r="M26" i="5"/>
  <c r="J26" i="5"/>
  <c r="I26" i="5"/>
  <c r="F26" i="5"/>
  <c r="Q59" i="5"/>
  <c r="M59" i="5"/>
  <c r="J59" i="5"/>
  <c r="I59" i="5"/>
  <c r="F59" i="5"/>
  <c r="Q19" i="5"/>
  <c r="M19" i="5"/>
  <c r="J19" i="5"/>
  <c r="I19" i="5"/>
  <c r="F19" i="5"/>
  <c r="Q45" i="5"/>
  <c r="M45" i="5"/>
  <c r="J45" i="5"/>
  <c r="I45" i="5"/>
  <c r="F45" i="5"/>
  <c r="Q20" i="5"/>
  <c r="M20" i="5"/>
  <c r="J20" i="5"/>
  <c r="I20" i="5"/>
  <c r="F20" i="5"/>
  <c r="Q12" i="5"/>
  <c r="M12" i="5"/>
  <c r="J12" i="5"/>
  <c r="I12" i="5"/>
  <c r="F12" i="5"/>
  <c r="Q71" i="5"/>
  <c r="M71" i="5"/>
  <c r="J71" i="5"/>
  <c r="I71" i="5"/>
  <c r="F71" i="5"/>
  <c r="Q33" i="5"/>
  <c r="M33" i="5"/>
  <c r="J33" i="5"/>
  <c r="I33" i="5"/>
  <c r="F33" i="5"/>
  <c r="Q24" i="5"/>
  <c r="M24" i="5"/>
  <c r="J24" i="5"/>
  <c r="I24" i="5"/>
  <c r="F24" i="5"/>
  <c r="Q17" i="5"/>
  <c r="M17" i="5"/>
  <c r="J17" i="5"/>
  <c r="I17" i="5"/>
  <c r="F17" i="5"/>
  <c r="Q15" i="5"/>
  <c r="M15" i="5"/>
  <c r="J15" i="5"/>
  <c r="I15" i="5"/>
  <c r="F15" i="5"/>
  <c r="Q10" i="5"/>
  <c r="M10" i="5"/>
  <c r="J10" i="5"/>
  <c r="I10" i="5"/>
  <c r="F10" i="5"/>
  <c r="Q28" i="5"/>
  <c r="M28" i="5"/>
  <c r="J28" i="5"/>
  <c r="I28" i="5"/>
  <c r="F28" i="5"/>
  <c r="Q9" i="5"/>
  <c r="M9" i="5"/>
  <c r="J9" i="5"/>
  <c r="I9" i="5"/>
  <c r="F9" i="5"/>
  <c r="Q14" i="5"/>
  <c r="T14" i="5" s="1"/>
  <c r="M14" i="5"/>
  <c r="J14" i="5"/>
  <c r="I14" i="5"/>
  <c r="F14" i="5"/>
  <c r="Q18" i="5"/>
  <c r="M18" i="5"/>
  <c r="J18" i="5"/>
  <c r="I18" i="5"/>
  <c r="F18" i="5"/>
  <c r="Q16" i="5"/>
  <c r="M16" i="5"/>
  <c r="J16" i="5"/>
  <c r="I16" i="5"/>
  <c r="F16" i="5"/>
  <c r="Q11" i="5"/>
  <c r="M11" i="5"/>
  <c r="J11" i="5"/>
  <c r="I11" i="5"/>
  <c r="F11" i="5"/>
  <c r="Q13" i="5"/>
  <c r="M13" i="5"/>
  <c r="J13" i="5"/>
  <c r="I13" i="5"/>
  <c r="F13" i="5"/>
  <c r="P707" i="4"/>
  <c r="L707" i="4"/>
  <c r="I707" i="4"/>
  <c r="H707" i="4"/>
  <c r="E707" i="4"/>
  <c r="M707" i="4" s="1"/>
  <c r="P681" i="4"/>
  <c r="L681" i="4"/>
  <c r="I681" i="4"/>
  <c r="H681" i="4"/>
  <c r="E681" i="4"/>
  <c r="P586" i="4"/>
  <c r="L586" i="4"/>
  <c r="I586" i="4"/>
  <c r="H586" i="4"/>
  <c r="E586" i="4"/>
  <c r="P778" i="4"/>
  <c r="L778" i="4"/>
  <c r="I778" i="4"/>
  <c r="H778" i="4"/>
  <c r="E778" i="4"/>
  <c r="M778" i="4" s="1"/>
  <c r="P531" i="4"/>
  <c r="L531" i="4"/>
  <c r="I531" i="4"/>
  <c r="H531" i="4"/>
  <c r="E531" i="4"/>
  <c r="P626" i="4"/>
  <c r="L626" i="4"/>
  <c r="I626" i="4"/>
  <c r="H626" i="4"/>
  <c r="E626" i="4"/>
  <c r="M626" i="4" s="1"/>
  <c r="P725" i="4"/>
  <c r="L725" i="4"/>
  <c r="I725" i="4"/>
  <c r="H725" i="4"/>
  <c r="E725" i="4"/>
  <c r="P730" i="4"/>
  <c r="L730" i="4"/>
  <c r="I730" i="4"/>
  <c r="H730" i="4"/>
  <c r="E730" i="4"/>
  <c r="P645" i="4"/>
  <c r="L645" i="4"/>
  <c r="I645" i="4"/>
  <c r="H645" i="4"/>
  <c r="E645" i="4"/>
  <c r="M645" i="4" s="1"/>
  <c r="P763" i="4"/>
  <c r="L763" i="4"/>
  <c r="I763" i="4"/>
  <c r="H763" i="4"/>
  <c r="E763" i="4"/>
  <c r="P407" i="4"/>
  <c r="L407" i="4"/>
  <c r="I407" i="4"/>
  <c r="H407" i="4"/>
  <c r="E407" i="4"/>
  <c r="P636" i="4"/>
  <c r="L636" i="4"/>
  <c r="I636" i="4"/>
  <c r="H636" i="4"/>
  <c r="E636" i="4"/>
  <c r="P783" i="4"/>
  <c r="L783" i="4"/>
  <c r="I783" i="4"/>
  <c r="H783" i="4"/>
  <c r="E783" i="4"/>
  <c r="P603" i="4"/>
  <c r="L603" i="4"/>
  <c r="I603" i="4"/>
  <c r="H603" i="4"/>
  <c r="E603" i="4"/>
  <c r="M603" i="4" s="1"/>
  <c r="P770" i="4"/>
  <c r="L770" i="4"/>
  <c r="I770" i="4"/>
  <c r="H770" i="4"/>
  <c r="E770" i="4"/>
  <c r="P756" i="4"/>
  <c r="L756" i="4"/>
  <c r="I756" i="4"/>
  <c r="H756" i="4"/>
  <c r="E756" i="4"/>
  <c r="P718" i="4"/>
  <c r="L718" i="4"/>
  <c r="I718" i="4"/>
  <c r="H718" i="4"/>
  <c r="E718" i="4"/>
  <c r="M718" i="4" s="1"/>
  <c r="P747" i="4"/>
  <c r="L747" i="4"/>
  <c r="I747" i="4"/>
  <c r="H747" i="4"/>
  <c r="E747" i="4"/>
  <c r="M747" i="4" s="1"/>
  <c r="P784" i="4"/>
  <c r="L784" i="4"/>
  <c r="I784" i="4"/>
  <c r="H784" i="4"/>
  <c r="E784" i="4"/>
  <c r="P193" i="4"/>
  <c r="L193" i="4"/>
  <c r="I193" i="4"/>
  <c r="H193" i="4"/>
  <c r="E193" i="4"/>
  <c r="M193" i="4" s="1"/>
  <c r="P781" i="4"/>
  <c r="L781" i="4"/>
  <c r="I781" i="4"/>
  <c r="H781" i="4"/>
  <c r="E781" i="4"/>
  <c r="P657" i="4"/>
  <c r="L657" i="4"/>
  <c r="I657" i="4"/>
  <c r="H657" i="4"/>
  <c r="E657" i="4"/>
  <c r="M657" i="4" s="1"/>
  <c r="P641" i="4"/>
  <c r="L641" i="4"/>
  <c r="I641" i="4"/>
  <c r="H641" i="4"/>
  <c r="E641" i="4"/>
  <c r="P687" i="4"/>
  <c r="L687" i="4"/>
  <c r="I687" i="4"/>
  <c r="H687" i="4"/>
  <c r="E687" i="4"/>
  <c r="P592" i="4"/>
  <c r="L592" i="4"/>
  <c r="I592" i="4"/>
  <c r="H592" i="4"/>
  <c r="E592" i="4"/>
  <c r="P643" i="4"/>
  <c r="L643" i="4"/>
  <c r="I643" i="4"/>
  <c r="H643" i="4"/>
  <c r="E643" i="4"/>
  <c r="M643" i="4" s="1"/>
  <c r="P746" i="4"/>
  <c r="L746" i="4"/>
  <c r="I746" i="4"/>
  <c r="H746" i="4"/>
  <c r="E746" i="4"/>
  <c r="P339" i="4"/>
  <c r="L339" i="4"/>
  <c r="I339" i="4"/>
  <c r="H339" i="4"/>
  <c r="E339" i="4"/>
  <c r="P714" i="4"/>
  <c r="L714" i="4"/>
  <c r="I714" i="4"/>
  <c r="H714" i="4"/>
  <c r="E714" i="4"/>
  <c r="P509" i="4"/>
  <c r="L509" i="4"/>
  <c r="I509" i="4"/>
  <c r="H509" i="4"/>
  <c r="E509" i="4"/>
  <c r="M509" i="4" s="1"/>
  <c r="P425" i="4"/>
  <c r="L425" i="4"/>
  <c r="I425" i="4"/>
  <c r="M425" i="4" s="1"/>
  <c r="H425" i="4"/>
  <c r="E425" i="4"/>
  <c r="P533" i="4"/>
  <c r="L533" i="4"/>
  <c r="I533" i="4"/>
  <c r="H533" i="4"/>
  <c r="E533" i="4"/>
  <c r="P782" i="4"/>
  <c r="L782" i="4"/>
  <c r="I782" i="4"/>
  <c r="H782" i="4"/>
  <c r="E782" i="4"/>
  <c r="M782" i="4" s="1"/>
  <c r="P343" i="4"/>
  <c r="L343" i="4"/>
  <c r="I343" i="4"/>
  <c r="H343" i="4"/>
  <c r="E343" i="4"/>
  <c r="P743" i="4"/>
  <c r="L743" i="4"/>
  <c r="I743" i="4"/>
  <c r="H743" i="4"/>
  <c r="E743" i="4"/>
  <c r="P255" i="4"/>
  <c r="L255" i="4"/>
  <c r="I255" i="4"/>
  <c r="H255" i="4"/>
  <c r="E255" i="4"/>
  <c r="P772" i="4"/>
  <c r="L772" i="4"/>
  <c r="I772" i="4"/>
  <c r="H772" i="4"/>
  <c r="E772" i="4"/>
  <c r="P749" i="4"/>
  <c r="L749" i="4"/>
  <c r="I749" i="4"/>
  <c r="H749" i="4"/>
  <c r="E749" i="4"/>
  <c r="M749" i="4" s="1"/>
  <c r="P452" i="4"/>
  <c r="L452" i="4"/>
  <c r="I452" i="4"/>
  <c r="H452" i="4"/>
  <c r="E452" i="4"/>
  <c r="P690" i="4"/>
  <c r="L690" i="4"/>
  <c r="I690" i="4"/>
  <c r="M690" i="4" s="1"/>
  <c r="H690" i="4"/>
  <c r="E690" i="4"/>
  <c r="P758" i="4"/>
  <c r="L758" i="4"/>
  <c r="I758" i="4"/>
  <c r="H758" i="4"/>
  <c r="E758" i="4"/>
  <c r="M758" i="4" s="1"/>
  <c r="P742" i="4"/>
  <c r="L742" i="4"/>
  <c r="I742" i="4"/>
  <c r="H742" i="4"/>
  <c r="E742" i="4"/>
  <c r="M742" i="4" s="1"/>
  <c r="P448" i="4"/>
  <c r="L448" i="4"/>
  <c r="I448" i="4"/>
  <c r="H448" i="4"/>
  <c r="E448" i="4"/>
  <c r="P221" i="4"/>
  <c r="L221" i="4"/>
  <c r="I221" i="4"/>
  <c r="H221" i="4"/>
  <c r="E221" i="4"/>
  <c r="M221" i="4" s="1"/>
  <c r="P587" i="4"/>
  <c r="L587" i="4"/>
  <c r="I587" i="4"/>
  <c r="H587" i="4"/>
  <c r="E587" i="4"/>
  <c r="P606" i="4"/>
  <c r="L606" i="4"/>
  <c r="I606" i="4"/>
  <c r="H606" i="4"/>
  <c r="E606" i="4"/>
  <c r="P176" i="4"/>
  <c r="L176" i="4"/>
  <c r="I176" i="4"/>
  <c r="H176" i="4"/>
  <c r="E176" i="4"/>
  <c r="P539" i="4"/>
  <c r="L539" i="4"/>
  <c r="I539" i="4"/>
  <c r="H539" i="4"/>
  <c r="E539" i="4"/>
  <c r="P473" i="4"/>
  <c r="L473" i="4"/>
  <c r="I473" i="4"/>
  <c r="H473" i="4"/>
  <c r="E473" i="4"/>
  <c r="P248" i="4"/>
  <c r="L248" i="4"/>
  <c r="I248" i="4"/>
  <c r="H248" i="4"/>
  <c r="E248" i="4"/>
  <c r="P760" i="4"/>
  <c r="L760" i="4"/>
  <c r="I760" i="4"/>
  <c r="H760" i="4"/>
  <c r="E760" i="4"/>
  <c r="P400" i="4"/>
  <c r="L400" i="4"/>
  <c r="I400" i="4"/>
  <c r="H400" i="4"/>
  <c r="E400" i="4"/>
  <c r="M400" i="4" s="1"/>
  <c r="P648" i="4"/>
  <c r="L648" i="4"/>
  <c r="I648" i="4"/>
  <c r="H648" i="4"/>
  <c r="E648" i="4"/>
  <c r="P494" i="4"/>
  <c r="L494" i="4"/>
  <c r="I494" i="4"/>
  <c r="H494" i="4"/>
  <c r="E494" i="4"/>
  <c r="M494" i="4" s="1"/>
  <c r="P35" i="4"/>
  <c r="L35" i="4"/>
  <c r="I35" i="4"/>
  <c r="H35" i="4"/>
  <c r="E35" i="4"/>
  <c r="P497" i="4"/>
  <c r="L497" i="4"/>
  <c r="I497" i="4"/>
  <c r="H497" i="4"/>
  <c r="E497" i="4"/>
  <c r="P491" i="4"/>
  <c r="L491" i="4"/>
  <c r="I491" i="4"/>
  <c r="H491" i="4"/>
  <c r="E491" i="4"/>
  <c r="P629" i="4"/>
  <c r="L629" i="4"/>
  <c r="I629" i="4"/>
  <c r="H629" i="4"/>
  <c r="E629" i="4"/>
  <c r="M629" i="4" s="1"/>
  <c r="P722" i="4"/>
  <c r="L722" i="4"/>
  <c r="I722" i="4"/>
  <c r="H722" i="4"/>
  <c r="E722" i="4"/>
  <c r="M722" i="4" s="1"/>
  <c r="P526" i="4"/>
  <c r="L526" i="4"/>
  <c r="I526" i="4"/>
  <c r="H526" i="4"/>
  <c r="E526" i="4"/>
  <c r="P644" i="4"/>
  <c r="L644" i="4"/>
  <c r="I644" i="4"/>
  <c r="H644" i="4"/>
  <c r="E644" i="4"/>
  <c r="M644" i="4" s="1"/>
  <c r="P386" i="4"/>
  <c r="L386" i="4"/>
  <c r="I386" i="4"/>
  <c r="H386" i="4"/>
  <c r="E386" i="4"/>
  <c r="M386" i="4" s="1"/>
  <c r="P604" i="4"/>
  <c r="L604" i="4"/>
  <c r="I604" i="4"/>
  <c r="H604" i="4"/>
  <c r="E604" i="4"/>
  <c r="M604" i="4" s="1"/>
  <c r="P180" i="4"/>
  <c r="L180" i="4"/>
  <c r="I180" i="4"/>
  <c r="H180" i="4"/>
  <c r="E180" i="4"/>
  <c r="M180" i="4" s="1"/>
  <c r="P753" i="4"/>
  <c r="L753" i="4"/>
  <c r="I753" i="4"/>
  <c r="H753" i="4"/>
  <c r="E753" i="4"/>
  <c r="P297" i="4"/>
  <c r="L297" i="4"/>
  <c r="I297" i="4"/>
  <c r="H297" i="4"/>
  <c r="E297" i="4"/>
  <c r="M297" i="4" s="1"/>
  <c r="P156" i="4"/>
  <c r="L156" i="4"/>
  <c r="I156" i="4"/>
  <c r="H156" i="4"/>
  <c r="E156" i="4"/>
  <c r="P727" i="4"/>
  <c r="L727" i="4"/>
  <c r="I727" i="4"/>
  <c r="H727" i="4"/>
  <c r="E727" i="4"/>
  <c r="P683" i="4"/>
  <c r="L683" i="4"/>
  <c r="I683" i="4"/>
  <c r="H683" i="4"/>
  <c r="E683" i="4"/>
  <c r="P635" i="4"/>
  <c r="L635" i="4"/>
  <c r="I635" i="4"/>
  <c r="H635" i="4"/>
  <c r="E635" i="4"/>
  <c r="P741" i="4"/>
  <c r="L741" i="4"/>
  <c r="I741" i="4"/>
  <c r="H741" i="4"/>
  <c r="E741" i="4"/>
  <c r="P560" i="4"/>
  <c r="L560" i="4"/>
  <c r="I560" i="4"/>
  <c r="H560" i="4"/>
  <c r="E560" i="4"/>
  <c r="P317" i="4"/>
  <c r="L317" i="4"/>
  <c r="I317" i="4"/>
  <c r="H317" i="4"/>
  <c r="E317" i="4"/>
  <c r="M317" i="4" s="1"/>
  <c r="P570" i="4"/>
  <c r="L570" i="4"/>
  <c r="I570" i="4"/>
  <c r="H570" i="4"/>
  <c r="E570" i="4"/>
  <c r="M570" i="4" s="1"/>
  <c r="P577" i="4"/>
  <c r="L577" i="4"/>
  <c r="I577" i="4"/>
  <c r="H577" i="4"/>
  <c r="E577" i="4"/>
  <c r="P420" i="4"/>
  <c r="L420" i="4"/>
  <c r="I420" i="4"/>
  <c r="H420" i="4"/>
  <c r="E420" i="4"/>
  <c r="M420" i="4" s="1"/>
  <c r="P247" i="4"/>
  <c r="L247" i="4"/>
  <c r="I247" i="4"/>
  <c r="H247" i="4"/>
  <c r="E247" i="4"/>
  <c r="P185" i="4"/>
  <c r="L185" i="4"/>
  <c r="I185" i="4"/>
  <c r="H185" i="4"/>
  <c r="E185" i="4"/>
  <c r="P438" i="4"/>
  <c r="L438" i="4"/>
  <c r="I438" i="4"/>
  <c r="H438" i="4"/>
  <c r="E438" i="4"/>
  <c r="M438" i="4" s="1"/>
  <c r="P765" i="4"/>
  <c r="L765" i="4"/>
  <c r="I765" i="4"/>
  <c r="H765" i="4"/>
  <c r="E765" i="4"/>
  <c r="P697" i="4"/>
  <c r="L697" i="4"/>
  <c r="I697" i="4"/>
  <c r="H697" i="4"/>
  <c r="E697" i="4"/>
  <c r="M697" i="4" s="1"/>
  <c r="P621" i="4"/>
  <c r="L621" i="4"/>
  <c r="I621" i="4"/>
  <c r="H621" i="4"/>
  <c r="E621" i="4"/>
  <c r="M621" i="4" s="1"/>
  <c r="P385" i="4"/>
  <c r="M385" i="4"/>
  <c r="L385" i="4"/>
  <c r="I385" i="4"/>
  <c r="H385" i="4"/>
  <c r="E385" i="4"/>
  <c r="P266" i="4"/>
  <c r="L266" i="4"/>
  <c r="I266" i="4"/>
  <c r="H266" i="4"/>
  <c r="E266" i="4"/>
  <c r="M266" i="4" s="1"/>
  <c r="P585" i="4"/>
  <c r="L585" i="4"/>
  <c r="I585" i="4"/>
  <c r="H585" i="4"/>
  <c r="E585" i="4"/>
  <c r="M585" i="4" s="1"/>
  <c r="P776" i="4"/>
  <c r="M776" i="4"/>
  <c r="L776" i="4"/>
  <c r="I776" i="4"/>
  <c r="H776" i="4"/>
  <c r="E776" i="4"/>
  <c r="P682" i="4"/>
  <c r="L682" i="4"/>
  <c r="I682" i="4"/>
  <c r="H682" i="4"/>
  <c r="E682" i="4"/>
  <c r="P422" i="4"/>
  <c r="L422" i="4"/>
  <c r="I422" i="4"/>
  <c r="H422" i="4"/>
  <c r="E422" i="4"/>
  <c r="M422" i="4" s="1"/>
  <c r="P447" i="4"/>
  <c r="L447" i="4"/>
  <c r="I447" i="4"/>
  <c r="H447" i="4"/>
  <c r="E447" i="4"/>
  <c r="P654" i="4"/>
  <c r="L654" i="4"/>
  <c r="I654" i="4"/>
  <c r="H654" i="4"/>
  <c r="E654" i="4"/>
  <c r="M654" i="4" s="1"/>
  <c r="P515" i="4"/>
  <c r="L515" i="4"/>
  <c r="I515" i="4"/>
  <c r="H515" i="4"/>
  <c r="E515" i="4"/>
  <c r="P167" i="4"/>
  <c r="L167" i="4"/>
  <c r="I167" i="4"/>
  <c r="H167" i="4"/>
  <c r="E167" i="4"/>
  <c r="P363" i="4"/>
  <c r="L363" i="4"/>
  <c r="I363" i="4"/>
  <c r="H363" i="4"/>
  <c r="E363" i="4"/>
  <c r="P745" i="4"/>
  <c r="L745" i="4"/>
  <c r="I745" i="4"/>
  <c r="H745" i="4"/>
  <c r="E745" i="4"/>
  <c r="P147" i="4"/>
  <c r="L147" i="4"/>
  <c r="I147" i="4"/>
  <c r="H147" i="4"/>
  <c r="E147" i="4"/>
  <c r="P720" i="4"/>
  <c r="L720" i="4"/>
  <c r="I720" i="4"/>
  <c r="H720" i="4"/>
  <c r="E720" i="4"/>
  <c r="M720" i="4" s="1"/>
  <c r="P123" i="4"/>
  <c r="L123" i="4"/>
  <c r="I123" i="4"/>
  <c r="H123" i="4"/>
  <c r="E123" i="4"/>
  <c r="M123" i="4" s="1"/>
  <c r="P608" i="4"/>
  <c r="L608" i="4"/>
  <c r="I608" i="4"/>
  <c r="H608" i="4"/>
  <c r="E608" i="4"/>
  <c r="P640" i="4"/>
  <c r="L640" i="4"/>
  <c r="I640" i="4"/>
  <c r="H640" i="4"/>
  <c r="E640" i="4"/>
  <c r="P594" i="4"/>
  <c r="L594" i="4"/>
  <c r="I594" i="4"/>
  <c r="H594" i="4"/>
  <c r="E594" i="4"/>
  <c r="P656" i="4"/>
  <c r="L656" i="4"/>
  <c r="I656" i="4"/>
  <c r="H656" i="4"/>
  <c r="E656" i="4"/>
  <c r="P576" i="4"/>
  <c r="L576" i="4"/>
  <c r="I576" i="4"/>
  <c r="H576" i="4"/>
  <c r="E576" i="4"/>
  <c r="M576" i="4" s="1"/>
  <c r="P410" i="4"/>
  <c r="L410" i="4"/>
  <c r="I410" i="4"/>
  <c r="H410" i="4"/>
  <c r="E410" i="4"/>
  <c r="M410" i="4" s="1"/>
  <c r="P672" i="4"/>
  <c r="L672" i="4"/>
  <c r="I672" i="4"/>
  <c r="H672" i="4"/>
  <c r="E672" i="4"/>
  <c r="P768" i="4"/>
  <c r="L768" i="4"/>
  <c r="I768" i="4"/>
  <c r="H768" i="4"/>
  <c r="E768" i="4"/>
  <c r="P610" i="4"/>
  <c r="L610" i="4"/>
  <c r="I610" i="4"/>
  <c r="H610" i="4"/>
  <c r="E610" i="4"/>
  <c r="M610" i="4" s="1"/>
  <c r="P431" i="4"/>
  <c r="L431" i="4"/>
  <c r="I431" i="4"/>
  <c r="M431" i="4" s="1"/>
  <c r="H431" i="4"/>
  <c r="E431" i="4"/>
  <c r="P671" i="4"/>
  <c r="L671" i="4"/>
  <c r="I671" i="4"/>
  <c r="H671" i="4"/>
  <c r="E671" i="4"/>
  <c r="P424" i="4"/>
  <c r="L424" i="4"/>
  <c r="I424" i="4"/>
  <c r="H424" i="4"/>
  <c r="E424" i="4"/>
  <c r="M424" i="4" s="1"/>
  <c r="P755" i="4"/>
  <c r="L755" i="4"/>
  <c r="I755" i="4"/>
  <c r="M755" i="4" s="1"/>
  <c r="H755" i="4"/>
  <c r="E755" i="4"/>
  <c r="P184" i="4"/>
  <c r="L184" i="4"/>
  <c r="I184" i="4"/>
  <c r="H184" i="4"/>
  <c r="E184" i="4"/>
  <c r="P254" i="4"/>
  <c r="L254" i="4"/>
  <c r="I254" i="4"/>
  <c r="H254" i="4"/>
  <c r="E254" i="4"/>
  <c r="M254" i="4" s="1"/>
  <c r="P775" i="4"/>
  <c r="L775" i="4"/>
  <c r="I775" i="4"/>
  <c r="H775" i="4"/>
  <c r="E775" i="4"/>
  <c r="P710" i="4"/>
  <c r="L710" i="4"/>
  <c r="I710" i="4"/>
  <c r="H710" i="4"/>
  <c r="E710" i="4"/>
  <c r="M710" i="4" s="1"/>
  <c r="P201" i="4"/>
  <c r="L201" i="4"/>
  <c r="I201" i="4"/>
  <c r="H201" i="4"/>
  <c r="E201" i="4"/>
  <c r="P144" i="4"/>
  <c r="L144" i="4"/>
  <c r="I144" i="4"/>
  <c r="H144" i="4"/>
  <c r="E144" i="4"/>
  <c r="P500" i="4"/>
  <c r="L500" i="4"/>
  <c r="I500" i="4"/>
  <c r="H500" i="4"/>
  <c r="E500" i="4"/>
  <c r="P652" i="4"/>
  <c r="L652" i="4"/>
  <c r="I652" i="4"/>
  <c r="H652" i="4"/>
  <c r="E652" i="4"/>
  <c r="M652" i="4" s="1"/>
  <c r="P225" i="4"/>
  <c r="L225" i="4"/>
  <c r="I225" i="4"/>
  <c r="H225" i="4"/>
  <c r="E225" i="4"/>
  <c r="P237" i="4"/>
  <c r="L237" i="4"/>
  <c r="I237" i="4"/>
  <c r="H237" i="4"/>
  <c r="E237" i="4"/>
  <c r="M237" i="4" s="1"/>
  <c r="P732" i="4"/>
  <c r="L732" i="4"/>
  <c r="I732" i="4"/>
  <c r="H732" i="4"/>
  <c r="E732" i="4"/>
  <c r="P724" i="4"/>
  <c r="L724" i="4"/>
  <c r="I724" i="4"/>
  <c r="H724" i="4"/>
  <c r="E724" i="4"/>
  <c r="P142" i="4"/>
  <c r="L142" i="4"/>
  <c r="I142" i="4"/>
  <c r="H142" i="4"/>
  <c r="E142" i="4"/>
  <c r="P242" i="4"/>
  <c r="L242" i="4"/>
  <c r="I242" i="4"/>
  <c r="H242" i="4"/>
  <c r="E242" i="4"/>
  <c r="P716" i="4"/>
  <c r="L716" i="4"/>
  <c r="I716" i="4"/>
  <c r="H716" i="4"/>
  <c r="E716" i="4"/>
  <c r="P637" i="4"/>
  <c r="L637" i="4"/>
  <c r="I637" i="4"/>
  <c r="H637" i="4"/>
  <c r="E637" i="4"/>
  <c r="P613" i="4"/>
  <c r="L613" i="4"/>
  <c r="I613" i="4"/>
  <c r="H613" i="4"/>
  <c r="E613" i="4"/>
  <c r="P552" i="4"/>
  <c r="L552" i="4"/>
  <c r="I552" i="4"/>
  <c r="H552" i="4"/>
  <c r="E552" i="4"/>
  <c r="P713" i="4"/>
  <c r="L713" i="4"/>
  <c r="I713" i="4"/>
  <c r="H713" i="4"/>
  <c r="E713" i="4"/>
  <c r="M713" i="4" s="1"/>
  <c r="P584" i="4"/>
  <c r="L584" i="4"/>
  <c r="I584" i="4"/>
  <c r="H584" i="4"/>
  <c r="E584" i="4"/>
  <c r="P475" i="4"/>
  <c r="L475" i="4"/>
  <c r="I475" i="4"/>
  <c r="M475" i="4" s="1"/>
  <c r="H475" i="4"/>
  <c r="E475" i="4"/>
  <c r="P766" i="4"/>
  <c r="L766" i="4"/>
  <c r="I766" i="4"/>
  <c r="H766" i="4"/>
  <c r="E766" i="4"/>
  <c r="P338" i="4"/>
  <c r="L338" i="4"/>
  <c r="I338" i="4"/>
  <c r="H338" i="4"/>
  <c r="E338" i="4"/>
  <c r="P403" i="4"/>
  <c r="L403" i="4"/>
  <c r="I403" i="4"/>
  <c r="H403" i="4"/>
  <c r="E403" i="4"/>
  <c r="P734" i="4"/>
  <c r="L734" i="4"/>
  <c r="I734" i="4"/>
  <c r="H734" i="4"/>
  <c r="E734" i="4"/>
  <c r="P63" i="4"/>
  <c r="L63" i="4"/>
  <c r="I63" i="4"/>
  <c r="H63" i="4"/>
  <c r="E63" i="4"/>
  <c r="P406" i="4"/>
  <c r="L406" i="4"/>
  <c r="I406" i="4"/>
  <c r="H406" i="4"/>
  <c r="E406" i="4"/>
  <c r="P739" i="4"/>
  <c r="L739" i="4"/>
  <c r="I739" i="4"/>
  <c r="H739" i="4"/>
  <c r="E739" i="4"/>
  <c r="P651" i="4"/>
  <c r="L651" i="4"/>
  <c r="I651" i="4"/>
  <c r="M651" i="4" s="1"/>
  <c r="H651" i="4"/>
  <c r="E651" i="4"/>
  <c r="P692" i="4"/>
  <c r="L692" i="4"/>
  <c r="I692" i="4"/>
  <c r="H692" i="4"/>
  <c r="E692" i="4"/>
  <c r="P748" i="4"/>
  <c r="L748" i="4"/>
  <c r="I748" i="4"/>
  <c r="H748" i="4"/>
  <c r="E748" i="4"/>
  <c r="M748" i="4" s="1"/>
  <c r="P579" i="4"/>
  <c r="L579" i="4"/>
  <c r="I579" i="4"/>
  <c r="H579" i="4"/>
  <c r="E579" i="4"/>
  <c r="P442" i="4"/>
  <c r="L442" i="4"/>
  <c r="I442" i="4"/>
  <c r="H442" i="4"/>
  <c r="E442" i="4"/>
  <c r="M442" i="4" s="1"/>
  <c r="P241" i="4"/>
  <c r="L241" i="4"/>
  <c r="I241" i="4"/>
  <c r="H241" i="4"/>
  <c r="E241" i="4"/>
  <c r="P744" i="4"/>
  <c r="L744" i="4"/>
  <c r="I744" i="4"/>
  <c r="H744" i="4"/>
  <c r="E744" i="4"/>
  <c r="P674" i="4"/>
  <c r="L674" i="4"/>
  <c r="I674" i="4"/>
  <c r="H674" i="4"/>
  <c r="E674" i="4"/>
  <c r="M674" i="4" s="1"/>
  <c r="P87" i="4"/>
  <c r="L87" i="4"/>
  <c r="I87" i="4"/>
  <c r="H87" i="4"/>
  <c r="E87" i="4"/>
  <c r="P771" i="4"/>
  <c r="L771" i="4"/>
  <c r="I771" i="4"/>
  <c r="H771" i="4"/>
  <c r="E771" i="4"/>
  <c r="P267" i="4"/>
  <c r="L267" i="4"/>
  <c r="I267" i="4"/>
  <c r="H267" i="4"/>
  <c r="E267" i="4"/>
  <c r="M267" i="4" s="1"/>
  <c r="P92" i="4"/>
  <c r="M92" i="4"/>
  <c r="L92" i="4"/>
  <c r="I92" i="4"/>
  <c r="H92" i="4"/>
  <c r="E92" i="4"/>
  <c r="P192" i="4"/>
  <c r="L192" i="4"/>
  <c r="I192" i="4"/>
  <c r="H192" i="4"/>
  <c r="E192" i="4"/>
  <c r="P530" i="4"/>
  <c r="L530" i="4"/>
  <c r="I530" i="4"/>
  <c r="H530" i="4"/>
  <c r="E530" i="4"/>
  <c r="M530" i="4" s="1"/>
  <c r="P736" i="4"/>
  <c r="L736" i="4"/>
  <c r="I736" i="4"/>
  <c r="H736" i="4"/>
  <c r="E736" i="4"/>
  <c r="M736" i="4" s="1"/>
  <c r="P662" i="4"/>
  <c r="L662" i="4"/>
  <c r="I662" i="4"/>
  <c r="H662" i="4"/>
  <c r="E662" i="4"/>
  <c r="M662" i="4" s="1"/>
  <c r="P134" i="4"/>
  <c r="L134" i="4"/>
  <c r="I134" i="4"/>
  <c r="H134" i="4"/>
  <c r="E134" i="4"/>
  <c r="P327" i="4"/>
  <c r="L327" i="4"/>
  <c r="I327" i="4"/>
  <c r="H327" i="4"/>
  <c r="E327" i="4"/>
  <c r="P361" i="4"/>
  <c r="L361" i="4"/>
  <c r="I361" i="4"/>
  <c r="H361" i="4"/>
  <c r="E361" i="4"/>
  <c r="P152" i="4"/>
  <c r="L152" i="4"/>
  <c r="I152" i="4"/>
  <c r="H152" i="4"/>
  <c r="E152" i="4"/>
  <c r="P553" i="4"/>
  <c r="L553" i="4"/>
  <c r="I553" i="4"/>
  <c r="H553" i="4"/>
  <c r="E553" i="4"/>
  <c r="P168" i="4"/>
  <c r="L168" i="4"/>
  <c r="I168" i="4"/>
  <c r="H168" i="4"/>
  <c r="E168" i="4"/>
  <c r="M168" i="4" s="1"/>
  <c r="P660" i="4"/>
  <c r="L660" i="4"/>
  <c r="I660" i="4"/>
  <c r="H660" i="4"/>
  <c r="E660" i="4"/>
  <c r="P752" i="4"/>
  <c r="L752" i="4"/>
  <c r="I752" i="4"/>
  <c r="H752" i="4"/>
  <c r="E752" i="4"/>
  <c r="M752" i="4" s="1"/>
  <c r="P220" i="4"/>
  <c r="L220" i="4"/>
  <c r="I220" i="4"/>
  <c r="H220" i="4"/>
  <c r="E220" i="4"/>
  <c r="P477" i="4"/>
  <c r="L477" i="4"/>
  <c r="I477" i="4"/>
  <c r="H477" i="4"/>
  <c r="E477" i="4"/>
  <c r="P522" i="4"/>
  <c r="L522" i="4"/>
  <c r="I522" i="4"/>
  <c r="H522" i="4"/>
  <c r="E522" i="4"/>
  <c r="P774" i="4"/>
  <c r="L774" i="4"/>
  <c r="I774" i="4"/>
  <c r="H774" i="4"/>
  <c r="E774" i="4"/>
  <c r="P485" i="4"/>
  <c r="L485" i="4"/>
  <c r="I485" i="4"/>
  <c r="H485" i="4"/>
  <c r="E485" i="4"/>
  <c r="P754" i="4"/>
  <c r="L754" i="4"/>
  <c r="I754" i="4"/>
  <c r="H754" i="4"/>
  <c r="E754" i="4"/>
  <c r="P521" i="4"/>
  <c r="L521" i="4"/>
  <c r="I521" i="4"/>
  <c r="H521" i="4"/>
  <c r="E521" i="4"/>
  <c r="M521" i="4" s="1"/>
  <c r="P205" i="4"/>
  <c r="L205" i="4"/>
  <c r="I205" i="4"/>
  <c r="H205" i="4"/>
  <c r="E205" i="4"/>
  <c r="M205" i="4" s="1"/>
  <c r="P751" i="4"/>
  <c r="L751" i="4"/>
  <c r="I751" i="4"/>
  <c r="H751" i="4"/>
  <c r="E751" i="4"/>
  <c r="P489" i="4"/>
  <c r="L489" i="4"/>
  <c r="I489" i="4"/>
  <c r="H489" i="4"/>
  <c r="E489" i="4"/>
  <c r="P472" i="4"/>
  <c r="L472" i="4"/>
  <c r="I472" i="4"/>
  <c r="H472" i="4"/>
  <c r="E472" i="4"/>
  <c r="M472" i="4" s="1"/>
  <c r="P591" i="4"/>
  <c r="L591" i="4"/>
  <c r="I591" i="4"/>
  <c r="M591" i="4" s="1"/>
  <c r="H591" i="4"/>
  <c r="E591" i="4"/>
  <c r="P451" i="4"/>
  <c r="L451" i="4"/>
  <c r="I451" i="4"/>
  <c r="H451" i="4"/>
  <c r="E451" i="4"/>
  <c r="P493" i="4"/>
  <c r="L493" i="4"/>
  <c r="I493" i="4"/>
  <c r="H493" i="4"/>
  <c r="E493" i="4"/>
  <c r="M493" i="4" s="1"/>
  <c r="P589" i="4"/>
  <c r="L589" i="4"/>
  <c r="I589" i="4"/>
  <c r="H589" i="4"/>
  <c r="E589" i="4"/>
  <c r="P617" i="4"/>
  <c r="L617" i="4"/>
  <c r="I617" i="4"/>
  <c r="H617" i="4"/>
  <c r="E617" i="4"/>
  <c r="P699" i="4"/>
  <c r="L699" i="4"/>
  <c r="I699" i="4"/>
  <c r="M699" i="4" s="1"/>
  <c r="H699" i="4"/>
  <c r="E699" i="4"/>
  <c r="P230" i="4"/>
  <c r="L230" i="4"/>
  <c r="I230" i="4"/>
  <c r="H230" i="4"/>
  <c r="E230" i="4"/>
  <c r="M230" i="4" s="1"/>
  <c r="P150" i="4"/>
  <c r="L150" i="4"/>
  <c r="I150" i="4"/>
  <c r="H150" i="4"/>
  <c r="E150" i="4"/>
  <c r="P706" i="4"/>
  <c r="L706" i="4"/>
  <c r="I706" i="4"/>
  <c r="H706" i="4"/>
  <c r="E706" i="4"/>
  <c r="M706" i="4" s="1"/>
  <c r="P703" i="4"/>
  <c r="L703" i="4"/>
  <c r="I703" i="4"/>
  <c r="H703" i="4"/>
  <c r="E703" i="4"/>
  <c r="P337" i="4"/>
  <c r="L337" i="4"/>
  <c r="I337" i="4"/>
  <c r="H337" i="4"/>
  <c r="E337" i="4"/>
  <c r="P299" i="4"/>
  <c r="L299" i="4"/>
  <c r="I299" i="4"/>
  <c r="H299" i="4"/>
  <c r="E299" i="4"/>
  <c r="P534" i="4"/>
  <c r="L534" i="4"/>
  <c r="I534" i="4"/>
  <c r="H534" i="4"/>
  <c r="E534" i="4"/>
  <c r="M534" i="4" s="1"/>
  <c r="P437" i="4"/>
  <c r="L437" i="4"/>
  <c r="I437" i="4"/>
  <c r="H437" i="4"/>
  <c r="E437" i="4"/>
  <c r="M437" i="4" s="1"/>
  <c r="P762" i="4"/>
  <c r="L762" i="4"/>
  <c r="I762" i="4"/>
  <c r="H762" i="4"/>
  <c r="E762" i="4"/>
  <c r="P677" i="4"/>
  <c r="L677" i="4"/>
  <c r="I677" i="4"/>
  <c r="H677" i="4"/>
  <c r="E677" i="4"/>
  <c r="M677" i="4" s="1"/>
  <c r="P625" i="4"/>
  <c r="L625" i="4"/>
  <c r="I625" i="4"/>
  <c r="H625" i="4"/>
  <c r="E625" i="4"/>
  <c r="M625" i="4" s="1"/>
  <c r="P551" i="4"/>
  <c r="L551" i="4"/>
  <c r="I551" i="4"/>
  <c r="H551" i="4"/>
  <c r="E551" i="4"/>
  <c r="P380" i="4"/>
  <c r="L380" i="4"/>
  <c r="I380" i="4"/>
  <c r="H380" i="4"/>
  <c r="E380" i="4"/>
  <c r="M380" i="4" s="1"/>
  <c r="P499" i="4"/>
  <c r="L499" i="4"/>
  <c r="I499" i="4"/>
  <c r="H499" i="4"/>
  <c r="E499" i="4"/>
  <c r="M499" i="4" s="1"/>
  <c r="P320" i="4"/>
  <c r="L320" i="4"/>
  <c r="I320" i="4"/>
  <c r="H320" i="4"/>
  <c r="E320" i="4"/>
  <c r="P252" i="4"/>
  <c r="L252" i="4"/>
  <c r="I252" i="4"/>
  <c r="H252" i="4"/>
  <c r="E252" i="4"/>
  <c r="P240" i="4"/>
  <c r="L240" i="4"/>
  <c r="I240" i="4"/>
  <c r="H240" i="4"/>
  <c r="E240" i="4"/>
  <c r="P735" i="4"/>
  <c r="L735" i="4"/>
  <c r="I735" i="4"/>
  <c r="H735" i="4"/>
  <c r="E735" i="4"/>
  <c r="P488" i="4"/>
  <c r="L488" i="4"/>
  <c r="I488" i="4"/>
  <c r="H488" i="4"/>
  <c r="E488" i="4"/>
  <c r="M488" i="4" s="1"/>
  <c r="P173" i="4"/>
  <c r="L173" i="4"/>
  <c r="I173" i="4"/>
  <c r="H173" i="4"/>
  <c r="E173" i="4"/>
  <c r="P399" i="4"/>
  <c r="L399" i="4"/>
  <c r="I399" i="4"/>
  <c r="H399" i="4"/>
  <c r="E399" i="4"/>
  <c r="M399" i="4" s="1"/>
  <c r="P686" i="4"/>
  <c r="L686" i="4"/>
  <c r="I686" i="4"/>
  <c r="H686" i="4"/>
  <c r="E686" i="4"/>
  <c r="P312" i="4"/>
  <c r="L312" i="4"/>
  <c r="I312" i="4"/>
  <c r="H312" i="4"/>
  <c r="E312" i="4"/>
  <c r="P616" i="4"/>
  <c r="L616" i="4"/>
  <c r="I616" i="4"/>
  <c r="H616" i="4"/>
  <c r="E616" i="4"/>
  <c r="P214" i="4"/>
  <c r="L214" i="4"/>
  <c r="I214" i="4"/>
  <c r="H214" i="4"/>
  <c r="E214" i="4"/>
  <c r="M214" i="4" s="1"/>
  <c r="P769" i="4"/>
  <c r="L769" i="4"/>
  <c r="I769" i="4"/>
  <c r="H769" i="4"/>
  <c r="E769" i="4"/>
  <c r="P496" i="4"/>
  <c r="L496" i="4"/>
  <c r="I496" i="4"/>
  <c r="H496" i="4"/>
  <c r="E496" i="4"/>
  <c r="M496" i="4" s="1"/>
  <c r="P670" i="4"/>
  <c r="L670" i="4"/>
  <c r="I670" i="4"/>
  <c r="H670" i="4"/>
  <c r="E670" i="4"/>
  <c r="M670" i="4" s="1"/>
  <c r="P357" i="4"/>
  <c r="L357" i="4"/>
  <c r="I357" i="4"/>
  <c r="H357" i="4"/>
  <c r="E357" i="4"/>
  <c r="P212" i="4"/>
  <c r="L212" i="4"/>
  <c r="I212" i="4"/>
  <c r="H212" i="4"/>
  <c r="E212" i="4"/>
  <c r="M212" i="4" s="1"/>
  <c r="P614" i="4"/>
  <c r="L614" i="4"/>
  <c r="I614" i="4"/>
  <c r="H614" i="4"/>
  <c r="E614" i="4"/>
  <c r="P462" i="4"/>
  <c r="L462" i="4"/>
  <c r="I462" i="4"/>
  <c r="H462" i="4"/>
  <c r="E462" i="4"/>
  <c r="M462" i="4" s="1"/>
  <c r="P344" i="4"/>
  <c r="L344" i="4"/>
  <c r="I344" i="4"/>
  <c r="H344" i="4"/>
  <c r="E344" i="4"/>
  <c r="M344" i="4" s="1"/>
  <c r="P398" i="4"/>
  <c r="L398" i="4"/>
  <c r="I398" i="4"/>
  <c r="H398" i="4"/>
  <c r="E398" i="4"/>
  <c r="P172" i="4"/>
  <c r="L172" i="4"/>
  <c r="I172" i="4"/>
  <c r="H172" i="4"/>
  <c r="E172" i="4"/>
  <c r="M172" i="4" s="1"/>
  <c r="P100" i="4"/>
  <c r="L100" i="4"/>
  <c r="I100" i="4"/>
  <c r="H100" i="4"/>
  <c r="E100" i="4"/>
  <c r="P634" i="4"/>
  <c r="L634" i="4"/>
  <c r="I634" i="4"/>
  <c r="H634" i="4"/>
  <c r="E634" i="4"/>
  <c r="P333" i="4"/>
  <c r="L333" i="4"/>
  <c r="I333" i="4"/>
  <c r="H333" i="4"/>
  <c r="E333" i="4"/>
  <c r="P767" i="4"/>
  <c r="L767" i="4"/>
  <c r="I767" i="4"/>
  <c r="H767" i="4"/>
  <c r="E767" i="4"/>
  <c r="P595" i="4"/>
  <c r="L595" i="4"/>
  <c r="I595" i="4"/>
  <c r="H595" i="4"/>
  <c r="E595" i="4"/>
  <c r="P121" i="4"/>
  <c r="L121" i="4"/>
  <c r="I121" i="4"/>
  <c r="H121" i="4"/>
  <c r="E121" i="4"/>
  <c r="P21" i="4"/>
  <c r="L21" i="4"/>
  <c r="I21" i="4"/>
  <c r="H21" i="4"/>
  <c r="E21" i="4"/>
  <c r="P481" i="4"/>
  <c r="L481" i="4"/>
  <c r="I481" i="4"/>
  <c r="H481" i="4"/>
  <c r="E481" i="4"/>
  <c r="M481" i="4" s="1"/>
  <c r="P28" i="4"/>
  <c r="L28" i="4"/>
  <c r="I28" i="4"/>
  <c r="M28" i="4" s="1"/>
  <c r="H28" i="4"/>
  <c r="E28" i="4"/>
  <c r="P246" i="4"/>
  <c r="L246" i="4"/>
  <c r="I246" i="4"/>
  <c r="H246" i="4"/>
  <c r="E246" i="4"/>
  <c r="M246" i="4" s="1"/>
  <c r="P599" i="4"/>
  <c r="L599" i="4"/>
  <c r="I599" i="4"/>
  <c r="H599" i="4"/>
  <c r="E599" i="4"/>
  <c r="M599" i="4" s="1"/>
  <c r="P415" i="4"/>
  <c r="L415" i="4"/>
  <c r="I415" i="4"/>
  <c r="H415" i="4"/>
  <c r="E415" i="4"/>
  <c r="P664" i="4"/>
  <c r="L664" i="4"/>
  <c r="I664" i="4"/>
  <c r="M664" i="4" s="1"/>
  <c r="H664" i="4"/>
  <c r="E664" i="4"/>
  <c r="P286" i="4"/>
  <c r="L286" i="4"/>
  <c r="I286" i="4"/>
  <c r="H286" i="4"/>
  <c r="E286" i="4"/>
  <c r="P102" i="4"/>
  <c r="L102" i="4"/>
  <c r="I102" i="4"/>
  <c r="H102" i="4"/>
  <c r="E102" i="4"/>
  <c r="M102" i="4" s="1"/>
  <c r="P84" i="4"/>
  <c r="L84" i="4"/>
  <c r="I84" i="4"/>
  <c r="H84" i="4"/>
  <c r="E84" i="4"/>
  <c r="M84" i="4" s="1"/>
  <c r="P562" i="4"/>
  <c r="L562" i="4"/>
  <c r="I562" i="4"/>
  <c r="H562" i="4"/>
  <c r="E562" i="4"/>
  <c r="M562" i="4" s="1"/>
  <c r="P567" i="4"/>
  <c r="L567" i="4"/>
  <c r="I567" i="4"/>
  <c r="H567" i="4"/>
  <c r="E567" i="4"/>
  <c r="P538" i="4"/>
  <c r="L538" i="4"/>
  <c r="I538" i="4"/>
  <c r="H538" i="4"/>
  <c r="E538" i="4"/>
  <c r="P275" i="4"/>
  <c r="L275" i="4"/>
  <c r="I275" i="4"/>
  <c r="H275" i="4"/>
  <c r="E275" i="4"/>
  <c r="P272" i="4"/>
  <c r="L272" i="4"/>
  <c r="I272" i="4"/>
  <c r="M272" i="4" s="1"/>
  <c r="H272" i="4"/>
  <c r="E272" i="4"/>
  <c r="P523" i="4"/>
  <c r="L523" i="4"/>
  <c r="I523" i="4"/>
  <c r="H523" i="4"/>
  <c r="E523" i="4"/>
  <c r="P419" i="4"/>
  <c r="L419" i="4"/>
  <c r="I419" i="4"/>
  <c r="H419" i="4"/>
  <c r="E419" i="4"/>
  <c r="P691" i="4"/>
  <c r="L691" i="4"/>
  <c r="I691" i="4"/>
  <c r="H691" i="4"/>
  <c r="E691" i="4"/>
  <c r="P390" i="4"/>
  <c r="L390" i="4"/>
  <c r="I390" i="4"/>
  <c r="H390" i="4"/>
  <c r="E390" i="4"/>
  <c r="P131" i="4"/>
  <c r="L131" i="4"/>
  <c r="I131" i="4"/>
  <c r="H131" i="4"/>
  <c r="E131" i="4"/>
  <c r="P480" i="4"/>
  <c r="L480" i="4"/>
  <c r="I480" i="4"/>
  <c r="H480" i="4"/>
  <c r="E480" i="4"/>
  <c r="M480" i="4" s="1"/>
  <c r="P612" i="4"/>
  <c r="L612" i="4"/>
  <c r="I612" i="4"/>
  <c r="H612" i="4"/>
  <c r="E612" i="4"/>
  <c r="P761" i="4"/>
  <c r="L761" i="4"/>
  <c r="I761" i="4"/>
  <c r="M761" i="4" s="1"/>
  <c r="H761" i="4"/>
  <c r="E761" i="4"/>
  <c r="P411" i="4"/>
  <c r="L411" i="4"/>
  <c r="I411" i="4"/>
  <c r="H411" i="4"/>
  <c r="E411" i="4"/>
  <c r="M411" i="4" s="1"/>
  <c r="P441" i="4"/>
  <c r="L441" i="4"/>
  <c r="I441" i="4"/>
  <c r="H441" i="4"/>
  <c r="E441" i="4"/>
  <c r="P79" i="4"/>
  <c r="L79" i="4"/>
  <c r="I79" i="4"/>
  <c r="H79" i="4"/>
  <c r="E79" i="4"/>
  <c r="M79" i="4" s="1"/>
  <c r="P117" i="4"/>
  <c r="L117" i="4"/>
  <c r="I117" i="4"/>
  <c r="H117" i="4"/>
  <c r="E117" i="4"/>
  <c r="P514" i="4"/>
  <c r="L514" i="4"/>
  <c r="I514" i="4"/>
  <c r="H514" i="4"/>
  <c r="E514" i="4"/>
  <c r="P373" i="4"/>
  <c r="L373" i="4"/>
  <c r="I373" i="4"/>
  <c r="H373" i="4"/>
  <c r="E373" i="4"/>
  <c r="P590" i="4"/>
  <c r="L590" i="4"/>
  <c r="I590" i="4"/>
  <c r="H590" i="4"/>
  <c r="E590" i="4"/>
  <c r="P700" i="4"/>
  <c r="L700" i="4"/>
  <c r="I700" i="4"/>
  <c r="H700" i="4"/>
  <c r="E700" i="4"/>
  <c r="P356" i="4"/>
  <c r="L356" i="4"/>
  <c r="I356" i="4"/>
  <c r="H356" i="4"/>
  <c r="E356" i="4"/>
  <c r="P409" i="4"/>
  <c r="L409" i="4"/>
  <c r="I409" i="4"/>
  <c r="H409" i="4"/>
  <c r="E409" i="4"/>
  <c r="P518" i="4"/>
  <c r="L518" i="4"/>
  <c r="I518" i="4"/>
  <c r="H518" i="4"/>
  <c r="E518" i="4"/>
  <c r="M518" i="4" s="1"/>
  <c r="P694" i="4"/>
  <c r="L694" i="4"/>
  <c r="I694" i="4"/>
  <c r="M694" i="4" s="1"/>
  <c r="H694" i="4"/>
  <c r="E694" i="4"/>
  <c r="P179" i="4"/>
  <c r="L179" i="4"/>
  <c r="I179" i="4"/>
  <c r="H179" i="4"/>
  <c r="E179" i="4"/>
  <c r="M179" i="4" s="1"/>
  <c r="P601" i="4"/>
  <c r="L601" i="4"/>
  <c r="I601" i="4"/>
  <c r="H601" i="4"/>
  <c r="E601" i="4"/>
  <c r="P251" i="4"/>
  <c r="L251" i="4"/>
  <c r="I251" i="4"/>
  <c r="H251" i="4"/>
  <c r="E251" i="4"/>
  <c r="P50" i="4"/>
  <c r="L50" i="4"/>
  <c r="I50" i="4"/>
  <c r="H50" i="4"/>
  <c r="E50" i="4"/>
  <c r="P271" i="4"/>
  <c r="L271" i="4"/>
  <c r="I271" i="4"/>
  <c r="H271" i="4"/>
  <c r="E271" i="4"/>
  <c r="M271" i="4" s="1"/>
  <c r="P395" i="4"/>
  <c r="L395" i="4"/>
  <c r="I395" i="4"/>
  <c r="H395" i="4"/>
  <c r="E395" i="4"/>
  <c r="M395" i="4" s="1"/>
  <c r="P638" i="4"/>
  <c r="L638" i="4"/>
  <c r="I638" i="4"/>
  <c r="H638" i="4"/>
  <c r="E638" i="4"/>
  <c r="M638" i="4" s="1"/>
  <c r="P669" i="4"/>
  <c r="L669" i="4"/>
  <c r="I669" i="4"/>
  <c r="H669" i="4"/>
  <c r="E669" i="4"/>
  <c r="P93" i="4"/>
  <c r="L93" i="4"/>
  <c r="I93" i="4"/>
  <c r="H93" i="4"/>
  <c r="E93" i="4"/>
  <c r="P387" i="4"/>
  <c r="L387" i="4"/>
  <c r="I387" i="4"/>
  <c r="H387" i="4"/>
  <c r="E387" i="4"/>
  <c r="M387" i="4" s="1"/>
  <c r="P659" i="4"/>
  <c r="L659" i="4"/>
  <c r="I659" i="4"/>
  <c r="H659" i="4"/>
  <c r="E659" i="4"/>
  <c r="P508" i="4"/>
  <c r="L508" i="4"/>
  <c r="I508" i="4"/>
  <c r="H508" i="4"/>
  <c r="E508" i="4"/>
  <c r="P566" i="4"/>
  <c r="L566" i="4"/>
  <c r="I566" i="4"/>
  <c r="H566" i="4"/>
  <c r="E566" i="4"/>
  <c r="M566" i="4" s="1"/>
  <c r="P298" i="4"/>
  <c r="L298" i="4"/>
  <c r="I298" i="4"/>
  <c r="H298" i="4"/>
  <c r="E298" i="4"/>
  <c r="P353" i="4"/>
  <c r="L353" i="4"/>
  <c r="I353" i="4"/>
  <c r="H353" i="4"/>
  <c r="E353" i="4"/>
  <c r="M353" i="4" s="1"/>
  <c r="P310" i="4"/>
  <c r="L310" i="4"/>
  <c r="I310" i="4"/>
  <c r="H310" i="4"/>
  <c r="E310" i="4"/>
  <c r="M310" i="4" s="1"/>
  <c r="P615" i="4"/>
  <c r="L615" i="4"/>
  <c r="I615" i="4"/>
  <c r="H615" i="4"/>
  <c r="E615" i="4"/>
  <c r="P712" i="4"/>
  <c r="L712" i="4"/>
  <c r="I712" i="4"/>
  <c r="H712" i="4"/>
  <c r="E712" i="4"/>
  <c r="M712" i="4" s="1"/>
  <c r="P89" i="4"/>
  <c r="L89" i="4"/>
  <c r="I89" i="4"/>
  <c r="H89" i="4"/>
  <c r="E89" i="4"/>
  <c r="P620" i="4"/>
  <c r="L620" i="4"/>
  <c r="I620" i="4"/>
  <c r="H620" i="4"/>
  <c r="E620" i="4"/>
  <c r="M620" i="4" s="1"/>
  <c r="P698" i="4"/>
  <c r="L698" i="4"/>
  <c r="I698" i="4"/>
  <c r="H698" i="4"/>
  <c r="E698" i="4"/>
  <c r="M698" i="4" s="1"/>
  <c r="P394" i="4"/>
  <c r="L394" i="4"/>
  <c r="I394" i="4"/>
  <c r="H394" i="4"/>
  <c r="E394" i="4"/>
  <c r="P701" i="4"/>
  <c r="L701" i="4"/>
  <c r="I701" i="4"/>
  <c r="H701" i="4"/>
  <c r="E701" i="4"/>
  <c r="M701" i="4" s="1"/>
  <c r="P639" i="4"/>
  <c r="L639" i="4"/>
  <c r="I639" i="4"/>
  <c r="H639" i="4"/>
  <c r="E639" i="4"/>
  <c r="P459" i="4"/>
  <c r="L459" i="4"/>
  <c r="I459" i="4"/>
  <c r="H459" i="4"/>
  <c r="E459" i="4"/>
  <c r="P667" i="4"/>
  <c r="L667" i="4"/>
  <c r="I667" i="4"/>
  <c r="H667" i="4"/>
  <c r="E667" i="4"/>
  <c r="P389" i="4"/>
  <c r="L389" i="4"/>
  <c r="I389" i="4"/>
  <c r="H389" i="4"/>
  <c r="E389" i="4"/>
  <c r="M389" i="4" s="1"/>
  <c r="P507" i="4"/>
  <c r="L507" i="4"/>
  <c r="I507" i="4"/>
  <c r="H507" i="4"/>
  <c r="E507" i="4"/>
  <c r="P141" i="4"/>
  <c r="L141" i="4"/>
  <c r="I141" i="4"/>
  <c r="H141" i="4"/>
  <c r="E141" i="4"/>
  <c r="P126" i="4"/>
  <c r="L126" i="4"/>
  <c r="I126" i="4"/>
  <c r="H126" i="4"/>
  <c r="E126" i="4"/>
  <c r="P346" i="4"/>
  <c r="L346" i="4"/>
  <c r="I346" i="4"/>
  <c r="H346" i="4"/>
  <c r="E346" i="4"/>
  <c r="P668" i="4"/>
  <c r="L668" i="4"/>
  <c r="I668" i="4"/>
  <c r="H668" i="4"/>
  <c r="E668" i="4"/>
  <c r="P711" i="4"/>
  <c r="L711" i="4"/>
  <c r="I711" i="4"/>
  <c r="H711" i="4"/>
  <c r="E711" i="4"/>
  <c r="P482" i="4"/>
  <c r="L482" i="4"/>
  <c r="I482" i="4"/>
  <c r="H482" i="4"/>
  <c r="E482" i="4"/>
  <c r="P68" i="4"/>
  <c r="L68" i="4"/>
  <c r="I68" i="4"/>
  <c r="H68" i="4"/>
  <c r="E68" i="4"/>
  <c r="P355" i="4"/>
  <c r="L355" i="4"/>
  <c r="I355" i="4"/>
  <c r="H355" i="4"/>
  <c r="E355" i="4"/>
  <c r="P650" i="4"/>
  <c r="L650" i="4"/>
  <c r="I650" i="4"/>
  <c r="H650" i="4"/>
  <c r="E650" i="4"/>
  <c r="P569" i="4"/>
  <c r="L569" i="4"/>
  <c r="I569" i="4"/>
  <c r="H569" i="4"/>
  <c r="E569" i="4"/>
  <c r="P777" i="4"/>
  <c r="L777" i="4"/>
  <c r="I777" i="4"/>
  <c r="H777" i="4"/>
  <c r="E777" i="4"/>
  <c r="M777" i="4" s="1"/>
  <c r="P137" i="4"/>
  <c r="L137" i="4"/>
  <c r="I137" i="4"/>
  <c r="H137" i="4"/>
  <c r="E137" i="4"/>
  <c r="P709" i="4"/>
  <c r="L709" i="4"/>
  <c r="I709" i="4"/>
  <c r="M709" i="4" s="1"/>
  <c r="H709" i="4"/>
  <c r="E709" i="4"/>
  <c r="P434" i="4"/>
  <c r="L434" i="4"/>
  <c r="I434" i="4"/>
  <c r="H434" i="4"/>
  <c r="E434" i="4"/>
  <c r="P469" i="4"/>
  <c r="L469" i="4"/>
  <c r="I469" i="4"/>
  <c r="H469" i="4"/>
  <c r="E469" i="4"/>
  <c r="P543" i="4"/>
  <c r="L543" i="4"/>
  <c r="I543" i="4"/>
  <c r="H543" i="4"/>
  <c r="E543" i="4"/>
  <c r="P593" i="4"/>
  <c r="L593" i="4"/>
  <c r="I593" i="4"/>
  <c r="H593" i="4"/>
  <c r="E593" i="4"/>
  <c r="P371" i="4"/>
  <c r="L371" i="4"/>
  <c r="I371" i="4"/>
  <c r="H371" i="4"/>
  <c r="E371" i="4"/>
  <c r="P556" i="4"/>
  <c r="L556" i="4"/>
  <c r="I556" i="4"/>
  <c r="H556" i="4"/>
  <c r="E556" i="4"/>
  <c r="P575" i="4"/>
  <c r="L575" i="4"/>
  <c r="I575" i="4"/>
  <c r="H575" i="4"/>
  <c r="E575" i="4"/>
  <c r="P506" i="4"/>
  <c r="L506" i="4"/>
  <c r="I506" i="4"/>
  <c r="H506" i="4"/>
  <c r="E506" i="4"/>
  <c r="P738" i="4"/>
  <c r="L738" i="4"/>
  <c r="I738" i="4"/>
  <c r="H738" i="4"/>
  <c r="E738" i="4"/>
  <c r="P151" i="4"/>
  <c r="L151" i="4"/>
  <c r="I151" i="4"/>
  <c r="H151" i="4"/>
  <c r="E151" i="4"/>
  <c r="M151" i="4" s="1"/>
  <c r="P529" i="4"/>
  <c r="L529" i="4"/>
  <c r="I529" i="4"/>
  <c r="H529" i="4"/>
  <c r="E529" i="4"/>
  <c r="P559" i="4"/>
  <c r="L559" i="4"/>
  <c r="I559" i="4"/>
  <c r="H559" i="4"/>
  <c r="E559" i="4"/>
  <c r="M559" i="4" s="1"/>
  <c r="P528" i="4"/>
  <c r="L528" i="4"/>
  <c r="I528" i="4"/>
  <c r="H528" i="4"/>
  <c r="E528" i="4"/>
  <c r="P49" i="4"/>
  <c r="L49" i="4"/>
  <c r="I49" i="4"/>
  <c r="H49" i="4"/>
  <c r="E49" i="4"/>
  <c r="M49" i="4" s="1"/>
  <c r="P511" i="4"/>
  <c r="L511" i="4"/>
  <c r="I511" i="4"/>
  <c r="H511" i="4"/>
  <c r="E511" i="4"/>
  <c r="P512" i="4"/>
  <c r="L512" i="4"/>
  <c r="I512" i="4"/>
  <c r="H512" i="4"/>
  <c r="E512" i="4"/>
  <c r="P175" i="4"/>
  <c r="L175" i="4"/>
  <c r="I175" i="4"/>
  <c r="H175" i="4"/>
  <c r="E175" i="4"/>
  <c r="P465" i="4"/>
  <c r="L465" i="4"/>
  <c r="I465" i="4"/>
  <c r="H465" i="4"/>
  <c r="E465" i="4"/>
  <c r="M465" i="4" s="1"/>
  <c r="P487" i="4"/>
  <c r="M487" i="4"/>
  <c r="L487" i="4"/>
  <c r="I487" i="4"/>
  <c r="H487" i="4"/>
  <c r="E487" i="4"/>
  <c r="P723" i="4"/>
  <c r="L723" i="4"/>
  <c r="I723" i="4"/>
  <c r="H723" i="4"/>
  <c r="E723" i="4"/>
  <c r="P233" i="4"/>
  <c r="L233" i="4"/>
  <c r="I233" i="4"/>
  <c r="H233" i="4"/>
  <c r="E233" i="4"/>
  <c r="M233" i="4" s="1"/>
  <c r="P558" i="4"/>
  <c r="M558" i="4"/>
  <c r="L558" i="4"/>
  <c r="I558" i="4"/>
  <c r="H558" i="4"/>
  <c r="E558" i="4"/>
  <c r="P750" i="4"/>
  <c r="L750" i="4"/>
  <c r="I750" i="4"/>
  <c r="H750" i="4"/>
  <c r="E750" i="4"/>
  <c r="P397" i="4"/>
  <c r="L397" i="4"/>
  <c r="I397" i="4"/>
  <c r="H397" i="4"/>
  <c r="E397" i="4"/>
  <c r="M397" i="4" s="1"/>
  <c r="P57" i="4"/>
  <c r="L57" i="4"/>
  <c r="I57" i="4"/>
  <c r="H57" i="4"/>
  <c r="E57" i="4"/>
  <c r="P696" i="4"/>
  <c r="L696" i="4"/>
  <c r="I696" i="4"/>
  <c r="H696" i="4"/>
  <c r="E696" i="4"/>
  <c r="M696" i="4" s="1"/>
  <c r="P527" i="4"/>
  <c r="L527" i="4"/>
  <c r="I527" i="4"/>
  <c r="H527" i="4"/>
  <c r="E527" i="4"/>
  <c r="P211" i="4"/>
  <c r="L211" i="4"/>
  <c r="I211" i="4"/>
  <c r="H211" i="4"/>
  <c r="E211" i="4"/>
  <c r="P280" i="4"/>
  <c r="L280" i="4"/>
  <c r="I280" i="4"/>
  <c r="H280" i="4"/>
  <c r="E280" i="4"/>
  <c r="M280" i="4" s="1"/>
  <c r="P673" i="4"/>
  <c r="L673" i="4"/>
  <c r="I673" i="4"/>
  <c r="H673" i="4"/>
  <c r="E673" i="4"/>
  <c r="P631" i="4"/>
  <c r="L631" i="4"/>
  <c r="I631" i="4"/>
  <c r="M631" i="4" s="1"/>
  <c r="H631" i="4"/>
  <c r="E631" i="4"/>
  <c r="P118" i="4"/>
  <c r="L118" i="4"/>
  <c r="I118" i="4"/>
  <c r="H118" i="4"/>
  <c r="E118" i="4"/>
  <c r="M118" i="4" s="1"/>
  <c r="P689" i="4"/>
  <c r="L689" i="4"/>
  <c r="I689" i="4"/>
  <c r="H689" i="4"/>
  <c r="E689" i="4"/>
  <c r="P306" i="4"/>
  <c r="L306" i="4"/>
  <c r="I306" i="4"/>
  <c r="H306" i="4"/>
  <c r="E306" i="4"/>
  <c r="P764" i="4"/>
  <c r="L764" i="4"/>
  <c r="I764" i="4"/>
  <c r="H764" i="4"/>
  <c r="E764" i="4"/>
  <c r="P513" i="4"/>
  <c r="L513" i="4"/>
  <c r="I513" i="4"/>
  <c r="H513" i="4"/>
  <c r="E513" i="4"/>
  <c r="M513" i="4" s="1"/>
  <c r="P471" i="4"/>
  <c r="L471" i="4"/>
  <c r="I471" i="4"/>
  <c r="H471" i="4"/>
  <c r="E471" i="4"/>
  <c r="P759" i="4"/>
  <c r="L759" i="4"/>
  <c r="I759" i="4"/>
  <c r="H759" i="4"/>
  <c r="E759" i="4"/>
  <c r="M759" i="4" s="1"/>
  <c r="P619" i="4"/>
  <c r="L619" i="4"/>
  <c r="I619" i="4"/>
  <c r="H619" i="4"/>
  <c r="E619" i="4"/>
  <c r="P548" i="4"/>
  <c r="L548" i="4"/>
  <c r="I548" i="4"/>
  <c r="H548" i="4"/>
  <c r="E548" i="4"/>
  <c r="P331" i="4"/>
  <c r="L331" i="4"/>
  <c r="I331" i="4"/>
  <c r="H331" i="4"/>
  <c r="E331" i="4"/>
  <c r="M331" i="4" s="1"/>
  <c r="P598" i="4"/>
  <c r="L598" i="4"/>
  <c r="I598" i="4"/>
  <c r="H598" i="4"/>
  <c r="E598" i="4"/>
  <c r="M598" i="4" s="1"/>
  <c r="P733" i="4"/>
  <c r="L733" i="4"/>
  <c r="I733" i="4"/>
  <c r="H733" i="4"/>
  <c r="E733" i="4"/>
  <c r="P140" i="4"/>
  <c r="L140" i="4"/>
  <c r="I140" i="4"/>
  <c r="H140" i="4"/>
  <c r="E140" i="4"/>
  <c r="P486" i="4"/>
  <c r="L486" i="4"/>
  <c r="I486" i="4"/>
  <c r="H486" i="4"/>
  <c r="E486" i="4"/>
  <c r="M486" i="4" s="1"/>
  <c r="P125" i="4"/>
  <c r="L125" i="4"/>
  <c r="I125" i="4"/>
  <c r="M125" i="4" s="1"/>
  <c r="H125" i="4"/>
  <c r="E125" i="4"/>
  <c r="P253" i="4"/>
  <c r="L253" i="4"/>
  <c r="I253" i="4"/>
  <c r="H253" i="4"/>
  <c r="E253" i="4"/>
  <c r="P278" i="4"/>
  <c r="L278" i="4"/>
  <c r="I278" i="4"/>
  <c r="H278" i="4"/>
  <c r="E278" i="4"/>
  <c r="M278" i="4" s="1"/>
  <c r="P685" i="4"/>
  <c r="L685" i="4"/>
  <c r="I685" i="4"/>
  <c r="H685" i="4"/>
  <c r="E685" i="4"/>
  <c r="P524" i="4"/>
  <c r="L524" i="4"/>
  <c r="I524" i="4"/>
  <c r="H524" i="4"/>
  <c r="E524" i="4"/>
  <c r="M524" i="4" s="1"/>
  <c r="P780" i="4"/>
  <c r="L780" i="4"/>
  <c r="I780" i="4"/>
  <c r="H780" i="4"/>
  <c r="E780" i="4"/>
  <c r="P262" i="4"/>
  <c r="L262" i="4"/>
  <c r="I262" i="4"/>
  <c r="H262" i="4"/>
  <c r="E262" i="4"/>
  <c r="P666" i="4"/>
  <c r="L666" i="4"/>
  <c r="I666" i="4"/>
  <c r="H666" i="4"/>
  <c r="E666" i="4"/>
  <c r="P108" i="4"/>
  <c r="L108" i="4"/>
  <c r="I108" i="4"/>
  <c r="H108" i="4"/>
  <c r="E108" i="4"/>
  <c r="M108" i="4" s="1"/>
  <c r="P350" i="4"/>
  <c r="L350" i="4"/>
  <c r="I350" i="4"/>
  <c r="M350" i="4" s="1"/>
  <c r="H350" i="4"/>
  <c r="E350" i="4"/>
  <c r="P384" i="4"/>
  <c r="L384" i="4"/>
  <c r="I384" i="4"/>
  <c r="H384" i="4"/>
  <c r="E384" i="4"/>
  <c r="P740" i="4"/>
  <c r="L740" i="4"/>
  <c r="I740" i="4"/>
  <c r="H740" i="4"/>
  <c r="E740" i="4"/>
  <c r="P210" i="4"/>
  <c r="L210" i="4"/>
  <c r="I210" i="4"/>
  <c r="H210" i="4"/>
  <c r="E210" i="4"/>
  <c r="M210" i="4" s="1"/>
  <c r="P574" i="4"/>
  <c r="L574" i="4"/>
  <c r="I574" i="4"/>
  <c r="H574" i="4"/>
  <c r="E574" i="4"/>
  <c r="P588" i="4"/>
  <c r="L588" i="4"/>
  <c r="I588" i="4"/>
  <c r="H588" i="4"/>
  <c r="E588" i="4"/>
  <c r="P30" i="4"/>
  <c r="L30" i="4"/>
  <c r="I30" i="4"/>
  <c r="H30" i="4"/>
  <c r="E30" i="4"/>
  <c r="M30" i="4" s="1"/>
  <c r="P229" i="4"/>
  <c r="L229" i="4"/>
  <c r="I229" i="4"/>
  <c r="H229" i="4"/>
  <c r="E229" i="4"/>
  <c r="M229" i="4" s="1"/>
  <c r="P112" i="4"/>
  <c r="L112" i="4"/>
  <c r="I112" i="4"/>
  <c r="H112" i="4"/>
  <c r="E112" i="4"/>
  <c r="P129" i="4"/>
  <c r="L129" i="4"/>
  <c r="I129" i="4"/>
  <c r="H129" i="4"/>
  <c r="E129" i="4"/>
  <c r="M129" i="4" s="1"/>
  <c r="P360" i="4"/>
  <c r="L360" i="4"/>
  <c r="I360" i="4"/>
  <c r="H360" i="4"/>
  <c r="E360" i="4"/>
  <c r="P622" i="4"/>
  <c r="L622" i="4"/>
  <c r="I622" i="4"/>
  <c r="H622" i="4"/>
  <c r="E622" i="4"/>
  <c r="P136" i="4"/>
  <c r="L136" i="4"/>
  <c r="I136" i="4"/>
  <c r="H136" i="4"/>
  <c r="E136" i="4"/>
  <c r="P43" i="4"/>
  <c r="L43" i="4"/>
  <c r="I43" i="4"/>
  <c r="H43" i="4"/>
  <c r="E43" i="4"/>
  <c r="P402" i="4"/>
  <c r="L402" i="4"/>
  <c r="I402" i="4"/>
  <c r="H402" i="4"/>
  <c r="E402" i="4"/>
  <c r="P46" i="4"/>
  <c r="L46" i="4"/>
  <c r="I46" i="4"/>
  <c r="H46" i="4"/>
  <c r="E46" i="4"/>
  <c r="M46" i="4" s="1"/>
  <c r="P458" i="4"/>
  <c r="L458" i="4"/>
  <c r="I458" i="4"/>
  <c r="H458" i="4"/>
  <c r="E458" i="4"/>
  <c r="P414" i="4"/>
  <c r="L414" i="4"/>
  <c r="I414" i="4"/>
  <c r="H414" i="4"/>
  <c r="E414" i="4"/>
  <c r="P555" i="4"/>
  <c r="L555" i="4"/>
  <c r="I555" i="4"/>
  <c r="H555" i="4"/>
  <c r="E555" i="4"/>
  <c r="M555" i="4" s="1"/>
  <c r="P166" i="4"/>
  <c r="L166" i="4"/>
  <c r="I166" i="4"/>
  <c r="H166" i="4"/>
  <c r="E166" i="4"/>
  <c r="M166" i="4" s="1"/>
  <c r="P171" i="4"/>
  <c r="L171" i="4"/>
  <c r="I171" i="4"/>
  <c r="H171" i="4"/>
  <c r="E171" i="4"/>
  <c r="P316" i="4"/>
  <c r="L316" i="4"/>
  <c r="I316" i="4"/>
  <c r="H316" i="4"/>
  <c r="E316" i="4"/>
  <c r="M316" i="4" s="1"/>
  <c r="P388" i="4"/>
  <c r="L388" i="4"/>
  <c r="I388" i="4"/>
  <c r="H388" i="4"/>
  <c r="E388" i="4"/>
  <c r="P474" i="4"/>
  <c r="L474" i="4"/>
  <c r="I474" i="4"/>
  <c r="H474" i="4"/>
  <c r="E474" i="4"/>
  <c r="M474" i="4" s="1"/>
  <c r="P546" i="4"/>
  <c r="L546" i="4"/>
  <c r="I546" i="4"/>
  <c r="H546" i="4"/>
  <c r="E546" i="4"/>
  <c r="P421" i="4"/>
  <c r="L421" i="4"/>
  <c r="I421" i="4"/>
  <c r="H421" i="4"/>
  <c r="E421" i="4"/>
  <c r="M421" i="4" s="1"/>
  <c r="P502" i="4"/>
  <c r="L502" i="4"/>
  <c r="I502" i="4"/>
  <c r="H502" i="4"/>
  <c r="E502" i="4"/>
  <c r="P270" i="4"/>
  <c r="L270" i="4"/>
  <c r="I270" i="4"/>
  <c r="H270" i="4"/>
  <c r="E270" i="4"/>
  <c r="M270" i="4" s="1"/>
  <c r="P55" i="4"/>
  <c r="L55" i="4"/>
  <c r="I55" i="4"/>
  <c r="H55" i="4"/>
  <c r="E55" i="4"/>
  <c r="M55" i="4" s="1"/>
  <c r="P308" i="4"/>
  <c r="L308" i="4"/>
  <c r="I308" i="4"/>
  <c r="H308" i="4"/>
  <c r="E308" i="4"/>
  <c r="P602" i="4"/>
  <c r="L602" i="4"/>
  <c r="I602" i="4"/>
  <c r="H602" i="4"/>
  <c r="E602" i="4"/>
  <c r="M602" i="4" s="1"/>
  <c r="P132" i="4"/>
  <c r="L132" i="4"/>
  <c r="I132" i="4"/>
  <c r="H132" i="4"/>
  <c r="E132" i="4"/>
  <c r="M132" i="4" s="1"/>
  <c r="P401" i="4"/>
  <c r="L401" i="4"/>
  <c r="I401" i="4"/>
  <c r="H401" i="4"/>
  <c r="E401" i="4"/>
  <c r="P468" i="4"/>
  <c r="L468" i="4"/>
  <c r="I468" i="4"/>
  <c r="H468" i="4"/>
  <c r="E468" i="4"/>
  <c r="P717" i="4"/>
  <c r="L717" i="4"/>
  <c r="I717" i="4"/>
  <c r="H717" i="4"/>
  <c r="E717" i="4"/>
  <c r="M717" i="4" s="1"/>
  <c r="P283" i="4"/>
  <c r="L283" i="4"/>
  <c r="I283" i="4"/>
  <c r="H283" i="4"/>
  <c r="E283" i="4"/>
  <c r="M283" i="4" s="1"/>
  <c r="P342" i="4"/>
  <c r="L342" i="4"/>
  <c r="I342" i="4"/>
  <c r="H342" i="4"/>
  <c r="E342" i="4"/>
  <c r="P445" i="4"/>
  <c r="L445" i="4"/>
  <c r="I445" i="4"/>
  <c r="H445" i="4"/>
  <c r="E445" i="4"/>
  <c r="P430" i="4"/>
  <c r="L430" i="4"/>
  <c r="I430" i="4"/>
  <c r="H430" i="4"/>
  <c r="E430" i="4"/>
  <c r="P282" i="4"/>
  <c r="L282" i="4"/>
  <c r="I282" i="4"/>
  <c r="H282" i="4"/>
  <c r="E282" i="4"/>
  <c r="P542" i="4"/>
  <c r="L542" i="4"/>
  <c r="I542" i="4"/>
  <c r="H542" i="4"/>
  <c r="E542" i="4"/>
  <c r="P680" i="4"/>
  <c r="L680" i="4"/>
  <c r="I680" i="4"/>
  <c r="H680" i="4"/>
  <c r="E680" i="4"/>
  <c r="P456" i="4"/>
  <c r="L456" i="4"/>
  <c r="I456" i="4"/>
  <c r="H456" i="4"/>
  <c r="E456" i="4"/>
  <c r="M456" i="4" s="1"/>
  <c r="P630" i="4"/>
  <c r="L630" i="4"/>
  <c r="I630" i="4"/>
  <c r="H630" i="4"/>
  <c r="E630" i="4"/>
  <c r="P679" i="4"/>
  <c r="L679" i="4"/>
  <c r="I679" i="4"/>
  <c r="H679" i="4"/>
  <c r="E679" i="4"/>
  <c r="P618" i="4"/>
  <c r="L618" i="4"/>
  <c r="I618" i="4"/>
  <c r="H618" i="4"/>
  <c r="E618" i="4"/>
  <c r="M618" i="4" s="1"/>
  <c r="P729" i="4"/>
  <c r="L729" i="4"/>
  <c r="I729" i="4"/>
  <c r="H729" i="4"/>
  <c r="E729" i="4"/>
  <c r="P307" i="4"/>
  <c r="L307" i="4"/>
  <c r="I307" i="4"/>
  <c r="H307" i="4"/>
  <c r="E307" i="4"/>
  <c r="P70" i="4"/>
  <c r="L70" i="4"/>
  <c r="I70" i="4"/>
  <c r="H70" i="4"/>
  <c r="E70" i="4"/>
  <c r="M70" i="4" s="1"/>
  <c r="P292" i="4"/>
  <c r="L292" i="4"/>
  <c r="I292" i="4"/>
  <c r="H292" i="4"/>
  <c r="E292" i="4"/>
  <c r="P550" i="4"/>
  <c r="L550" i="4"/>
  <c r="I550" i="4"/>
  <c r="H550" i="4"/>
  <c r="E550" i="4"/>
  <c r="M550" i="4" s="1"/>
  <c r="P505" i="4"/>
  <c r="L505" i="4"/>
  <c r="I505" i="4"/>
  <c r="H505" i="4"/>
  <c r="E505" i="4"/>
  <c r="M505" i="4" s="1"/>
  <c r="P269" i="4"/>
  <c r="L269" i="4"/>
  <c r="I269" i="4"/>
  <c r="M269" i="4" s="1"/>
  <c r="H269" i="4"/>
  <c r="E269" i="4"/>
  <c r="P236" i="4"/>
  <c r="L236" i="4"/>
  <c r="I236" i="4"/>
  <c r="H236" i="4"/>
  <c r="E236" i="4"/>
  <c r="P581" i="4"/>
  <c r="L581" i="4"/>
  <c r="I581" i="4"/>
  <c r="H581" i="4"/>
  <c r="E581" i="4"/>
  <c r="P436" i="4"/>
  <c r="L436" i="4"/>
  <c r="I436" i="4"/>
  <c r="M436" i="4" s="1"/>
  <c r="H436" i="4"/>
  <c r="E436" i="4"/>
  <c r="P191" i="4"/>
  <c r="L191" i="4"/>
  <c r="I191" i="4"/>
  <c r="H191" i="4"/>
  <c r="E191" i="4"/>
  <c r="M191" i="4" s="1"/>
  <c r="P195" i="4"/>
  <c r="L195" i="4"/>
  <c r="I195" i="4"/>
  <c r="H195" i="4"/>
  <c r="E195" i="4"/>
  <c r="P165" i="4"/>
  <c r="L165" i="4"/>
  <c r="I165" i="4"/>
  <c r="H165" i="4"/>
  <c r="E165" i="4"/>
  <c r="P535" i="4"/>
  <c r="L535" i="4"/>
  <c r="I535" i="4"/>
  <c r="H535" i="4"/>
  <c r="E535" i="4"/>
  <c r="P133" i="4"/>
  <c r="L133" i="4"/>
  <c r="I133" i="4"/>
  <c r="H133" i="4"/>
  <c r="E133" i="4"/>
  <c r="P708" i="4"/>
  <c r="L708" i="4"/>
  <c r="I708" i="4"/>
  <c r="H708" i="4"/>
  <c r="E708" i="4"/>
  <c r="P549" i="4"/>
  <c r="L549" i="4"/>
  <c r="I549" i="4"/>
  <c r="H549" i="4"/>
  <c r="E549" i="4"/>
  <c r="P219" i="4"/>
  <c r="L219" i="4"/>
  <c r="I219" i="4"/>
  <c r="H219" i="4"/>
  <c r="E219" i="4"/>
  <c r="P227" i="4"/>
  <c r="L227" i="4"/>
  <c r="I227" i="4"/>
  <c r="H227" i="4"/>
  <c r="E227" i="4"/>
  <c r="P779" i="4"/>
  <c r="L779" i="4"/>
  <c r="I779" i="4"/>
  <c r="H779" i="4"/>
  <c r="E779" i="4"/>
  <c r="M779" i="4" s="1"/>
  <c r="P187" i="4"/>
  <c r="L187" i="4"/>
  <c r="I187" i="4"/>
  <c r="H187" i="4"/>
  <c r="E187" i="4"/>
  <c r="M187" i="4" s="1"/>
  <c r="P413" i="4"/>
  <c r="L413" i="4"/>
  <c r="I413" i="4"/>
  <c r="H413" i="4"/>
  <c r="E413" i="4"/>
  <c r="P319" i="4"/>
  <c r="L319" i="4"/>
  <c r="I319" i="4"/>
  <c r="M319" i="4" s="1"/>
  <c r="H319" i="4"/>
  <c r="E319" i="4"/>
  <c r="P495" i="4"/>
  <c r="L495" i="4"/>
  <c r="I495" i="4"/>
  <c r="H495" i="4"/>
  <c r="E495" i="4"/>
  <c r="P305" i="4"/>
  <c r="L305" i="4"/>
  <c r="I305" i="4"/>
  <c r="H305" i="4"/>
  <c r="E305" i="4"/>
  <c r="P349" i="4"/>
  <c r="L349" i="4"/>
  <c r="I349" i="4"/>
  <c r="H349" i="4"/>
  <c r="E349" i="4"/>
  <c r="P224" i="4"/>
  <c r="L224" i="4"/>
  <c r="I224" i="4"/>
  <c r="H224" i="4"/>
  <c r="E224" i="4"/>
  <c r="P525" i="4"/>
  <c r="L525" i="4"/>
  <c r="I525" i="4"/>
  <c r="H525" i="4"/>
  <c r="E525" i="4"/>
  <c r="P295" i="4"/>
  <c r="L295" i="4"/>
  <c r="I295" i="4"/>
  <c r="H295" i="4"/>
  <c r="E295" i="4"/>
  <c r="P261" i="4"/>
  <c r="L261" i="4"/>
  <c r="I261" i="4"/>
  <c r="H261" i="4"/>
  <c r="E261" i="4"/>
  <c r="P597" i="4"/>
  <c r="L597" i="4"/>
  <c r="I597" i="4"/>
  <c r="H597" i="4"/>
  <c r="E597" i="4"/>
  <c r="P646" i="4"/>
  <c r="L646" i="4"/>
  <c r="I646" i="4"/>
  <c r="H646" i="4"/>
  <c r="E646" i="4"/>
  <c r="M646" i="4" s="1"/>
  <c r="P336" i="4"/>
  <c r="L336" i="4"/>
  <c r="I336" i="4"/>
  <c r="H336" i="4"/>
  <c r="E336" i="4"/>
  <c r="M336" i="4" s="1"/>
  <c r="P375" i="4"/>
  <c r="L375" i="4"/>
  <c r="I375" i="4"/>
  <c r="H375" i="4"/>
  <c r="E375" i="4"/>
  <c r="P178" i="4"/>
  <c r="L178" i="4"/>
  <c r="I178" i="4"/>
  <c r="H178" i="4"/>
  <c r="E178" i="4"/>
  <c r="P665" i="4"/>
  <c r="L665" i="4"/>
  <c r="I665" i="4"/>
  <c r="H665" i="4"/>
  <c r="E665" i="4"/>
  <c r="M665" i="4" s="1"/>
  <c r="P554" i="4"/>
  <c r="L554" i="4"/>
  <c r="I554" i="4"/>
  <c r="H554" i="4"/>
  <c r="E554" i="4"/>
  <c r="M554" i="4" s="1"/>
  <c r="P464" i="4"/>
  <c r="L464" i="4"/>
  <c r="I464" i="4"/>
  <c r="H464" i="4"/>
  <c r="E464" i="4"/>
  <c r="P260" i="4"/>
  <c r="L260" i="4"/>
  <c r="I260" i="4"/>
  <c r="H260" i="4"/>
  <c r="E260" i="4"/>
  <c r="P573" i="4"/>
  <c r="L573" i="4"/>
  <c r="I573" i="4"/>
  <c r="H573" i="4"/>
  <c r="E573" i="4"/>
  <c r="M573" i="4" s="1"/>
  <c r="P359" i="4"/>
  <c r="L359" i="4"/>
  <c r="I359" i="4"/>
  <c r="H359" i="4"/>
  <c r="E359" i="4"/>
  <c r="P258" i="4"/>
  <c r="L258" i="4"/>
  <c r="I258" i="4"/>
  <c r="H258" i="4"/>
  <c r="E258" i="4"/>
  <c r="P467" i="4"/>
  <c r="L467" i="4"/>
  <c r="I467" i="4"/>
  <c r="H467" i="4"/>
  <c r="E467" i="4"/>
  <c r="P183" i="4"/>
  <c r="L183" i="4"/>
  <c r="I183" i="4"/>
  <c r="H183" i="4"/>
  <c r="E183" i="4"/>
  <c r="P301" i="4"/>
  <c r="L301" i="4"/>
  <c r="I301" i="4"/>
  <c r="H301" i="4"/>
  <c r="E301" i="4"/>
  <c r="M301" i="4" s="1"/>
  <c r="P284" i="4"/>
  <c r="L284" i="4"/>
  <c r="I284" i="4"/>
  <c r="H284" i="4"/>
  <c r="E284" i="4"/>
  <c r="M284" i="4" s="1"/>
  <c r="P285" i="4"/>
  <c r="L285" i="4"/>
  <c r="I285" i="4"/>
  <c r="H285" i="4"/>
  <c r="E285" i="4"/>
  <c r="P578" i="4"/>
  <c r="L578" i="4"/>
  <c r="I578" i="4"/>
  <c r="H578" i="4"/>
  <c r="E578" i="4"/>
  <c r="P695" i="4"/>
  <c r="L695" i="4"/>
  <c r="I695" i="4"/>
  <c r="H695" i="4"/>
  <c r="E695" i="4"/>
  <c r="P358" i="4"/>
  <c r="L358" i="4"/>
  <c r="I358" i="4"/>
  <c r="M358" i="4" s="1"/>
  <c r="H358" i="4"/>
  <c r="E358" i="4"/>
  <c r="P256" i="4"/>
  <c r="L256" i="4"/>
  <c r="I256" i="4"/>
  <c r="H256" i="4"/>
  <c r="E256" i="4"/>
  <c r="P484" i="4"/>
  <c r="L484" i="4"/>
  <c r="I484" i="4"/>
  <c r="H484" i="4"/>
  <c r="E484" i="4"/>
  <c r="M484" i="4" s="1"/>
  <c r="P450" i="4"/>
  <c r="L450" i="4"/>
  <c r="I450" i="4"/>
  <c r="H450" i="4"/>
  <c r="E450" i="4"/>
  <c r="P757" i="4"/>
  <c r="L757" i="4"/>
  <c r="I757" i="4"/>
  <c r="H757" i="4"/>
  <c r="E757" i="4"/>
  <c r="M757" i="4" s="1"/>
  <c r="P705" i="4"/>
  <c r="L705" i="4"/>
  <c r="I705" i="4"/>
  <c r="H705" i="4"/>
  <c r="E705" i="4"/>
  <c r="P223" i="4"/>
  <c r="L223" i="4"/>
  <c r="I223" i="4"/>
  <c r="H223" i="4"/>
  <c r="E223" i="4"/>
  <c r="P370" i="4"/>
  <c r="L370" i="4"/>
  <c r="I370" i="4"/>
  <c r="H370" i="4"/>
  <c r="E370" i="4"/>
  <c r="P218" i="4"/>
  <c r="L218" i="4"/>
  <c r="I218" i="4"/>
  <c r="H218" i="4"/>
  <c r="E218" i="4"/>
  <c r="P107" i="4"/>
  <c r="L107" i="4"/>
  <c r="I107" i="4"/>
  <c r="H107" i="4"/>
  <c r="E107" i="4"/>
  <c r="P383" i="4"/>
  <c r="L383" i="4"/>
  <c r="I383" i="4"/>
  <c r="H383" i="4"/>
  <c r="E383" i="4"/>
  <c r="P676" i="4"/>
  <c r="L676" i="4"/>
  <c r="I676" i="4"/>
  <c r="H676" i="4"/>
  <c r="E676" i="4"/>
  <c r="P268" i="4"/>
  <c r="L268" i="4"/>
  <c r="I268" i="4"/>
  <c r="H268" i="4"/>
  <c r="E268" i="4"/>
  <c r="M268" i="4" s="1"/>
  <c r="P728" i="4"/>
  <c r="L728" i="4"/>
  <c r="I728" i="4"/>
  <c r="H728" i="4"/>
  <c r="E728" i="4"/>
  <c r="P239" i="4"/>
  <c r="L239" i="4"/>
  <c r="I239" i="4"/>
  <c r="H239" i="4"/>
  <c r="E239" i="4"/>
  <c r="P565" i="4"/>
  <c r="L565" i="4"/>
  <c r="I565" i="4"/>
  <c r="H565" i="4"/>
  <c r="E565" i="4"/>
  <c r="M565" i="4" s="1"/>
  <c r="P365" i="4"/>
  <c r="L365" i="4"/>
  <c r="I365" i="4"/>
  <c r="H365" i="4"/>
  <c r="E365" i="4"/>
  <c r="M365" i="4" s="1"/>
  <c r="P332" i="4"/>
  <c r="L332" i="4"/>
  <c r="I332" i="4"/>
  <c r="H332" i="4"/>
  <c r="E332" i="4"/>
  <c r="M332" i="4" s="1"/>
  <c r="P429" i="4"/>
  <c r="L429" i="4"/>
  <c r="I429" i="4"/>
  <c r="H429" i="4"/>
  <c r="E429" i="4"/>
  <c r="P628" i="4"/>
  <c r="L628" i="4"/>
  <c r="I628" i="4"/>
  <c r="H628" i="4"/>
  <c r="E628" i="4"/>
  <c r="P116" i="4"/>
  <c r="L116" i="4"/>
  <c r="I116" i="4"/>
  <c r="H116" i="4"/>
  <c r="E116" i="4"/>
  <c r="P259" i="4"/>
  <c r="L259" i="4"/>
  <c r="I259" i="4"/>
  <c r="H259" i="4"/>
  <c r="E259" i="4"/>
  <c r="M259" i="4" s="1"/>
  <c r="P154" i="4"/>
  <c r="L154" i="4"/>
  <c r="I154" i="4"/>
  <c r="H154" i="4"/>
  <c r="E154" i="4"/>
  <c r="P114" i="4"/>
  <c r="L114" i="4"/>
  <c r="I114" i="4"/>
  <c r="H114" i="4"/>
  <c r="E114" i="4"/>
  <c r="P461" i="4"/>
  <c r="L461" i="4"/>
  <c r="I461" i="4"/>
  <c r="H461" i="4"/>
  <c r="E461" i="4"/>
  <c r="P454" i="4"/>
  <c r="L454" i="4"/>
  <c r="I454" i="4"/>
  <c r="H454" i="4"/>
  <c r="E454" i="4"/>
  <c r="P719" i="4"/>
  <c r="L719" i="4"/>
  <c r="I719" i="4"/>
  <c r="H719" i="4"/>
  <c r="E719" i="4"/>
  <c r="P455" i="4"/>
  <c r="L455" i="4"/>
  <c r="I455" i="4"/>
  <c r="H455" i="4"/>
  <c r="E455" i="4"/>
  <c r="P52" i="4"/>
  <c r="L52" i="4"/>
  <c r="I52" i="4"/>
  <c r="H52" i="4"/>
  <c r="E52" i="4"/>
  <c r="M52" i="4" s="1"/>
  <c r="P318" i="4"/>
  <c r="L318" i="4"/>
  <c r="I318" i="4"/>
  <c r="M318" i="4" s="1"/>
  <c r="H318" i="4"/>
  <c r="E318" i="4"/>
  <c r="P96" i="4"/>
  <c r="L96" i="4"/>
  <c r="I96" i="4"/>
  <c r="H96" i="4"/>
  <c r="E96" i="4"/>
  <c r="P72" i="4"/>
  <c r="L72" i="4"/>
  <c r="I72" i="4"/>
  <c r="H72" i="4"/>
  <c r="E72" i="4"/>
  <c r="P426" i="4"/>
  <c r="L426" i="4"/>
  <c r="I426" i="4"/>
  <c r="M426" i="4" s="1"/>
  <c r="H426" i="4"/>
  <c r="E426" i="4"/>
  <c r="P773" i="4"/>
  <c r="L773" i="4"/>
  <c r="I773" i="4"/>
  <c r="H773" i="4"/>
  <c r="E773" i="4"/>
  <c r="P520" i="4"/>
  <c r="L520" i="4"/>
  <c r="I520" i="4"/>
  <c r="H520" i="4"/>
  <c r="E520" i="4"/>
  <c r="P85" i="4"/>
  <c r="L85" i="4"/>
  <c r="I85" i="4"/>
  <c r="H85" i="4"/>
  <c r="E85" i="4"/>
  <c r="M85" i="4" s="1"/>
  <c r="P561" i="4"/>
  <c r="L561" i="4"/>
  <c r="I561" i="4"/>
  <c r="H561" i="4"/>
  <c r="E561" i="4"/>
  <c r="M561" i="4" s="1"/>
  <c r="P545" i="4"/>
  <c r="L545" i="4"/>
  <c r="I545" i="4"/>
  <c r="M545" i="4" s="1"/>
  <c r="H545" i="4"/>
  <c r="E545" i="4"/>
  <c r="P186" i="4"/>
  <c r="L186" i="4"/>
  <c r="I186" i="4"/>
  <c r="H186" i="4"/>
  <c r="E186" i="4"/>
  <c r="P649" i="4"/>
  <c r="L649" i="4"/>
  <c r="I649" i="4"/>
  <c r="H649" i="4"/>
  <c r="E649" i="4"/>
  <c r="M649" i="4" s="1"/>
  <c r="P245" i="4"/>
  <c r="M245" i="4"/>
  <c r="L245" i="4"/>
  <c r="I245" i="4"/>
  <c r="H245" i="4"/>
  <c r="E245" i="4"/>
  <c r="P501" i="4"/>
  <c r="L501" i="4"/>
  <c r="I501" i="4"/>
  <c r="H501" i="4"/>
  <c r="E501" i="4"/>
  <c r="P149" i="4"/>
  <c r="L149" i="4"/>
  <c r="I149" i="4"/>
  <c r="H149" i="4"/>
  <c r="E149" i="4"/>
  <c r="M149" i="4" s="1"/>
  <c r="P169" i="4"/>
  <c r="L169" i="4"/>
  <c r="I169" i="4"/>
  <c r="H169" i="4"/>
  <c r="E169" i="4"/>
  <c r="P731" i="4"/>
  <c r="L731" i="4"/>
  <c r="I731" i="4"/>
  <c r="H731" i="4"/>
  <c r="E731" i="4"/>
  <c r="M731" i="4" s="1"/>
  <c r="P367" i="4"/>
  <c r="L367" i="4"/>
  <c r="I367" i="4"/>
  <c r="H367" i="4"/>
  <c r="E367" i="4"/>
  <c r="P405" i="4"/>
  <c r="L405" i="4"/>
  <c r="I405" i="4"/>
  <c r="H405" i="4"/>
  <c r="E405" i="4"/>
  <c r="P170" i="4"/>
  <c r="L170" i="4"/>
  <c r="I170" i="4"/>
  <c r="H170" i="4"/>
  <c r="E170" i="4"/>
  <c r="M170" i="4" s="1"/>
  <c r="P605" i="4"/>
  <c r="L605" i="4"/>
  <c r="I605" i="4"/>
  <c r="H605" i="4"/>
  <c r="E605" i="4"/>
  <c r="P457" i="4"/>
  <c r="L457" i="4"/>
  <c r="I457" i="4"/>
  <c r="M457" i="4" s="1"/>
  <c r="H457" i="4"/>
  <c r="E457" i="4"/>
  <c r="P135" i="4"/>
  <c r="L135" i="4"/>
  <c r="I135" i="4"/>
  <c r="H135" i="4"/>
  <c r="E135" i="4"/>
  <c r="M135" i="4" s="1"/>
  <c r="P217" i="4"/>
  <c r="L217" i="4"/>
  <c r="I217" i="4"/>
  <c r="H217" i="4"/>
  <c r="E217" i="4"/>
  <c r="P354" i="4"/>
  <c r="L354" i="4"/>
  <c r="I354" i="4"/>
  <c r="M354" i="4" s="1"/>
  <c r="H354" i="4"/>
  <c r="E354" i="4"/>
  <c r="P206" i="4"/>
  <c r="L206" i="4"/>
  <c r="I206" i="4"/>
  <c r="H206" i="4"/>
  <c r="E206" i="4"/>
  <c r="P288" i="4"/>
  <c r="L288" i="4"/>
  <c r="I288" i="4"/>
  <c r="H288" i="4"/>
  <c r="E288" i="4"/>
  <c r="P51" i="4"/>
  <c r="L51" i="4"/>
  <c r="I51" i="4"/>
  <c r="H51" i="4"/>
  <c r="E51" i="4"/>
  <c r="P335" i="4"/>
  <c r="L335" i="4"/>
  <c r="I335" i="4"/>
  <c r="H335" i="4"/>
  <c r="E335" i="4"/>
  <c r="P470" i="4"/>
  <c r="L470" i="4"/>
  <c r="I470" i="4"/>
  <c r="H470" i="4"/>
  <c r="E470" i="4"/>
  <c r="P73" i="4"/>
  <c r="L73" i="4"/>
  <c r="I73" i="4"/>
  <c r="H73" i="4"/>
  <c r="E73" i="4"/>
  <c r="M73" i="4" s="1"/>
  <c r="P444" i="4"/>
  <c r="L444" i="4"/>
  <c r="I444" i="4"/>
  <c r="H444" i="4"/>
  <c r="E444" i="4"/>
  <c r="P348" i="4"/>
  <c r="L348" i="4"/>
  <c r="I348" i="4"/>
  <c r="H348" i="4"/>
  <c r="E348" i="4"/>
  <c r="M348" i="4" s="1"/>
  <c r="P296" i="4"/>
  <c r="L296" i="4"/>
  <c r="I296" i="4"/>
  <c r="H296" i="4"/>
  <c r="E296" i="4"/>
  <c r="M296" i="4" s="1"/>
  <c r="P56" i="4"/>
  <c r="L56" i="4"/>
  <c r="I56" i="4"/>
  <c r="H56" i="4"/>
  <c r="E56" i="4"/>
  <c r="P633" i="4"/>
  <c r="L633" i="4"/>
  <c r="I633" i="4"/>
  <c r="H633" i="4"/>
  <c r="E633" i="4"/>
  <c r="M633" i="4" s="1"/>
  <c r="P202" i="4"/>
  <c r="L202" i="4"/>
  <c r="I202" i="4"/>
  <c r="H202" i="4"/>
  <c r="E202" i="4"/>
  <c r="M202" i="4" s="1"/>
  <c r="P404" i="4"/>
  <c r="L404" i="4"/>
  <c r="I404" i="4"/>
  <c r="H404" i="4"/>
  <c r="E404" i="4"/>
  <c r="P653" i="4"/>
  <c r="L653" i="4"/>
  <c r="I653" i="4"/>
  <c r="H653" i="4"/>
  <c r="E653" i="4"/>
  <c r="M653" i="4" s="1"/>
  <c r="P26" i="4"/>
  <c r="L26" i="4"/>
  <c r="I26" i="4"/>
  <c r="H26" i="4"/>
  <c r="E26" i="4"/>
  <c r="P541" i="4"/>
  <c r="L541" i="4"/>
  <c r="I541" i="4"/>
  <c r="H541" i="4"/>
  <c r="E541" i="4"/>
  <c r="M541" i="4" s="1"/>
  <c r="P291" i="4"/>
  <c r="L291" i="4"/>
  <c r="I291" i="4"/>
  <c r="H291" i="4"/>
  <c r="E291" i="4"/>
  <c r="P642" i="4"/>
  <c r="L642" i="4"/>
  <c r="I642" i="4"/>
  <c r="H642" i="4"/>
  <c r="E642" i="4"/>
  <c r="P460" i="4"/>
  <c r="L460" i="4"/>
  <c r="I460" i="4"/>
  <c r="H460" i="4"/>
  <c r="E460" i="4"/>
  <c r="P37" i="4"/>
  <c r="L37" i="4"/>
  <c r="I37" i="4"/>
  <c r="H37" i="4"/>
  <c r="E37" i="4"/>
  <c r="M37" i="4" s="1"/>
  <c r="P352" i="4"/>
  <c r="L352" i="4"/>
  <c r="I352" i="4"/>
  <c r="H352" i="4"/>
  <c r="E352" i="4"/>
  <c r="P294" i="4"/>
  <c r="L294" i="4"/>
  <c r="I294" i="4"/>
  <c r="H294" i="4"/>
  <c r="E294" i="4"/>
  <c r="P428" i="4"/>
  <c r="L428" i="4"/>
  <c r="I428" i="4"/>
  <c r="H428" i="4"/>
  <c r="E428" i="4"/>
  <c r="P94" i="4"/>
  <c r="L94" i="4"/>
  <c r="I94" i="4"/>
  <c r="H94" i="4"/>
  <c r="E94" i="4"/>
  <c r="P103" i="4"/>
  <c r="L103" i="4"/>
  <c r="I103" i="4"/>
  <c r="M103" i="4" s="1"/>
  <c r="H103" i="4"/>
  <c r="E103" i="4"/>
  <c r="P326" i="4"/>
  <c r="L326" i="4"/>
  <c r="I326" i="4"/>
  <c r="H326" i="4"/>
  <c r="E326" i="4"/>
  <c r="P148" i="4"/>
  <c r="L148" i="4"/>
  <c r="I148" i="4"/>
  <c r="H148" i="4"/>
  <c r="E148" i="4"/>
  <c r="P273" i="4"/>
  <c r="L273" i="4"/>
  <c r="I273" i="4"/>
  <c r="M273" i="4" s="1"/>
  <c r="H273" i="4"/>
  <c r="E273" i="4"/>
  <c r="P564" i="4"/>
  <c r="L564" i="4"/>
  <c r="I564" i="4"/>
  <c r="H564" i="4"/>
  <c r="E564" i="4"/>
  <c r="M564" i="4" s="1"/>
  <c r="P427" i="4"/>
  <c r="L427" i="4"/>
  <c r="I427" i="4"/>
  <c r="H427" i="4"/>
  <c r="E427" i="4"/>
  <c r="P479" i="4"/>
  <c r="L479" i="4"/>
  <c r="I479" i="4"/>
  <c r="H479" i="4"/>
  <c r="E479" i="4"/>
  <c r="P120" i="4"/>
  <c r="L120" i="4"/>
  <c r="I120" i="4"/>
  <c r="H120" i="4"/>
  <c r="E120" i="4"/>
  <c r="P715" i="4"/>
  <c r="L715" i="4"/>
  <c r="I715" i="4"/>
  <c r="H715" i="4"/>
  <c r="E715" i="4"/>
  <c r="P95" i="4"/>
  <c r="L95" i="4"/>
  <c r="I95" i="4"/>
  <c r="H95" i="4"/>
  <c r="E95" i="4"/>
  <c r="M95" i="4" s="1"/>
  <c r="P478" i="4"/>
  <c r="L478" i="4"/>
  <c r="I478" i="4"/>
  <c r="H478" i="4"/>
  <c r="E478" i="4"/>
  <c r="M478" i="4" s="1"/>
  <c r="P596" i="4"/>
  <c r="L596" i="4"/>
  <c r="I596" i="4"/>
  <c r="H596" i="4"/>
  <c r="E596" i="4"/>
  <c r="P204" i="4"/>
  <c r="L204" i="4"/>
  <c r="I204" i="4"/>
  <c r="H204" i="4"/>
  <c r="E204" i="4"/>
  <c r="P62" i="4"/>
  <c r="L62" i="4"/>
  <c r="I62" i="4"/>
  <c r="H62" i="4"/>
  <c r="E62" i="4"/>
  <c r="M62" i="4" s="1"/>
  <c r="P111" i="4"/>
  <c r="L111" i="4"/>
  <c r="I111" i="4"/>
  <c r="H111" i="4"/>
  <c r="E111" i="4"/>
  <c r="M111" i="4" s="1"/>
  <c r="P216" i="4"/>
  <c r="L216" i="4"/>
  <c r="I216" i="4"/>
  <c r="H216" i="4"/>
  <c r="E216" i="4"/>
  <c r="M216" i="4" s="1"/>
  <c r="P303" i="4"/>
  <c r="L303" i="4"/>
  <c r="I303" i="4"/>
  <c r="H303" i="4"/>
  <c r="E303" i="4"/>
  <c r="P393" i="4"/>
  <c r="L393" i="4"/>
  <c r="I393" i="4"/>
  <c r="H393" i="4"/>
  <c r="E393" i="4"/>
  <c r="M393" i="4" s="1"/>
  <c r="P661" i="4"/>
  <c r="L661" i="4"/>
  <c r="I661" i="4"/>
  <c r="H661" i="4"/>
  <c r="E661" i="4"/>
  <c r="P369" i="4"/>
  <c r="L369" i="4"/>
  <c r="I369" i="4"/>
  <c r="H369" i="4"/>
  <c r="E369" i="4"/>
  <c r="P315" i="4"/>
  <c r="L315" i="4"/>
  <c r="I315" i="4"/>
  <c r="H315" i="4"/>
  <c r="E315" i="4"/>
  <c r="P537" i="4"/>
  <c r="L537" i="4"/>
  <c r="I537" i="4"/>
  <c r="H537" i="4"/>
  <c r="E537" i="4"/>
  <c r="M537" i="4" s="1"/>
  <c r="P396" i="4"/>
  <c r="L396" i="4"/>
  <c r="I396" i="4"/>
  <c r="H396" i="4"/>
  <c r="E396" i="4"/>
  <c r="P36" i="4"/>
  <c r="L36" i="4"/>
  <c r="I36" i="4"/>
  <c r="H36" i="4"/>
  <c r="E36" i="4"/>
  <c r="M36" i="4" s="1"/>
  <c r="P627" i="4"/>
  <c r="L627" i="4"/>
  <c r="I627" i="4"/>
  <c r="M627" i="4" s="1"/>
  <c r="H627" i="4"/>
  <c r="E627" i="4"/>
  <c r="P29" i="4"/>
  <c r="L29" i="4"/>
  <c r="I29" i="4"/>
  <c r="H29" i="4"/>
  <c r="E29" i="4"/>
  <c r="P177" i="4"/>
  <c r="L177" i="4"/>
  <c r="I177" i="4"/>
  <c r="H177" i="4"/>
  <c r="E177" i="4"/>
  <c r="M177" i="4" s="1"/>
  <c r="P77" i="4"/>
  <c r="L77" i="4"/>
  <c r="I77" i="4"/>
  <c r="H77" i="4"/>
  <c r="E77" i="4"/>
  <c r="M77" i="4" s="1"/>
  <c r="P449" i="4"/>
  <c r="L449" i="4"/>
  <c r="I449" i="4"/>
  <c r="H449" i="4"/>
  <c r="E449" i="4"/>
  <c r="P433" i="4"/>
  <c r="L433" i="4"/>
  <c r="I433" i="4"/>
  <c r="H433" i="4"/>
  <c r="E433" i="4"/>
  <c r="P22" i="4"/>
  <c r="L22" i="4"/>
  <c r="I22" i="4"/>
  <c r="H22" i="4"/>
  <c r="E22" i="4"/>
  <c r="P71" i="4"/>
  <c r="L71" i="4"/>
  <c r="I71" i="4"/>
  <c r="H71" i="4"/>
  <c r="E71" i="4"/>
  <c r="M71" i="4" s="1"/>
  <c r="P12" i="4"/>
  <c r="L12" i="4"/>
  <c r="I12" i="4"/>
  <c r="H12" i="4"/>
  <c r="E12" i="4"/>
  <c r="P658" i="4"/>
  <c r="L658" i="4"/>
  <c r="I658" i="4"/>
  <c r="H658" i="4"/>
  <c r="E658" i="4"/>
  <c r="P226" i="4"/>
  <c r="L226" i="4"/>
  <c r="I226" i="4"/>
  <c r="H226" i="4"/>
  <c r="E226" i="4"/>
  <c r="P325" i="4"/>
  <c r="L325" i="4"/>
  <c r="I325" i="4"/>
  <c r="H325" i="4"/>
  <c r="E325" i="4"/>
  <c r="M325" i="4" s="1"/>
  <c r="P197" i="4"/>
  <c r="L197" i="4"/>
  <c r="I197" i="4"/>
  <c r="M197" i="4" s="1"/>
  <c r="H197" i="4"/>
  <c r="E197" i="4"/>
  <c r="P678" i="4"/>
  <c r="L678" i="4"/>
  <c r="I678" i="4"/>
  <c r="H678" i="4"/>
  <c r="E678" i="4"/>
  <c r="P281" i="4"/>
  <c r="L281" i="4"/>
  <c r="I281" i="4"/>
  <c r="H281" i="4"/>
  <c r="E281" i="4"/>
  <c r="P378" i="4"/>
  <c r="L378" i="4"/>
  <c r="I378" i="4"/>
  <c r="H378" i="4"/>
  <c r="E378" i="4"/>
  <c r="M378" i="4" s="1"/>
  <c r="P432" i="4"/>
  <c r="L432" i="4"/>
  <c r="I432" i="4"/>
  <c r="H432" i="4"/>
  <c r="E432" i="4"/>
  <c r="P412" i="4"/>
  <c r="L412" i="4"/>
  <c r="I412" i="4"/>
  <c r="H412" i="4"/>
  <c r="E412" i="4"/>
  <c r="P439" i="4"/>
  <c r="L439" i="4"/>
  <c r="I439" i="4"/>
  <c r="H439" i="4"/>
  <c r="E439" i="4"/>
  <c r="M439" i="4" s="1"/>
  <c r="P443" i="4"/>
  <c r="L443" i="4"/>
  <c r="I443" i="4"/>
  <c r="H443" i="4"/>
  <c r="E443" i="4"/>
  <c r="M443" i="4" s="1"/>
  <c r="P238" i="4"/>
  <c r="L238" i="4"/>
  <c r="I238" i="4"/>
  <c r="M238" i="4" s="1"/>
  <c r="H238" i="4"/>
  <c r="E238" i="4"/>
  <c r="P265" i="4"/>
  <c r="L265" i="4"/>
  <c r="I265" i="4"/>
  <c r="H265" i="4"/>
  <c r="E265" i="4"/>
  <c r="M265" i="4" s="1"/>
  <c r="P684" i="4"/>
  <c r="L684" i="4"/>
  <c r="I684" i="4"/>
  <c r="H684" i="4"/>
  <c r="E684" i="4"/>
  <c r="P324" i="4"/>
  <c r="L324" i="4"/>
  <c r="I324" i="4"/>
  <c r="H324" i="4"/>
  <c r="E324" i="4"/>
  <c r="P568" i="4"/>
  <c r="L568" i="4"/>
  <c r="I568" i="4"/>
  <c r="H568" i="4"/>
  <c r="E568" i="4"/>
  <c r="M568" i="4" s="1"/>
  <c r="P45" i="4"/>
  <c r="L45" i="4"/>
  <c r="I45" i="4"/>
  <c r="H45" i="4"/>
  <c r="E45" i="4"/>
  <c r="P243" i="4"/>
  <c r="L243" i="4"/>
  <c r="I243" i="4"/>
  <c r="H243" i="4"/>
  <c r="E243" i="4"/>
  <c r="M243" i="4" s="1"/>
  <c r="P60" i="4"/>
  <c r="L60" i="4"/>
  <c r="I60" i="4"/>
  <c r="H60" i="4"/>
  <c r="E60" i="4"/>
  <c r="P504" i="4"/>
  <c r="L504" i="4"/>
  <c r="I504" i="4"/>
  <c r="H504" i="4"/>
  <c r="E504" i="4"/>
  <c r="P66" i="4"/>
  <c r="L66" i="4"/>
  <c r="I66" i="4"/>
  <c r="H66" i="4"/>
  <c r="E66" i="4"/>
  <c r="M66" i="4" s="1"/>
  <c r="P244" i="4"/>
  <c r="L244" i="4"/>
  <c r="I244" i="4"/>
  <c r="H244" i="4"/>
  <c r="E244" i="4"/>
  <c r="M244" i="4" s="1"/>
  <c r="P81" i="4"/>
  <c r="L81" i="4"/>
  <c r="I81" i="4"/>
  <c r="H81" i="4"/>
  <c r="E81" i="4"/>
  <c r="M81" i="4" s="1"/>
  <c r="P655" i="4"/>
  <c r="L655" i="4"/>
  <c r="I655" i="4"/>
  <c r="H655" i="4"/>
  <c r="E655" i="4"/>
  <c r="P74" i="4"/>
  <c r="L74" i="4"/>
  <c r="I74" i="4"/>
  <c r="H74" i="4"/>
  <c r="E74" i="4"/>
  <c r="M74" i="4" s="1"/>
  <c r="P157" i="4"/>
  <c r="L157" i="4"/>
  <c r="I157" i="4"/>
  <c r="H157" i="4"/>
  <c r="E157" i="4"/>
  <c r="P557" i="4"/>
  <c r="L557" i="4"/>
  <c r="I557" i="4"/>
  <c r="H557" i="4"/>
  <c r="E557" i="4"/>
  <c r="M557" i="4" s="1"/>
  <c r="P382" i="4"/>
  <c r="L382" i="4"/>
  <c r="I382" i="4"/>
  <c r="H382" i="4"/>
  <c r="E382" i="4"/>
  <c r="P40" i="4"/>
  <c r="L40" i="4"/>
  <c r="I40" i="4"/>
  <c r="H40" i="4"/>
  <c r="E40" i="4"/>
  <c r="P158" i="4"/>
  <c r="L158" i="4"/>
  <c r="I158" i="4"/>
  <c r="H158" i="4"/>
  <c r="E158" i="4"/>
  <c r="M158" i="4" s="1"/>
  <c r="P190" i="4"/>
  <c r="L190" i="4"/>
  <c r="I190" i="4"/>
  <c r="H190" i="4"/>
  <c r="E190" i="4"/>
  <c r="P90" i="4"/>
  <c r="L90" i="4"/>
  <c r="I90" i="4"/>
  <c r="H90" i="4"/>
  <c r="E90" i="4"/>
  <c r="P41" i="4"/>
  <c r="L41" i="4"/>
  <c r="I41" i="4"/>
  <c r="H41" i="4"/>
  <c r="E41" i="4"/>
  <c r="P340" i="4"/>
  <c r="L340" i="4"/>
  <c r="I340" i="4"/>
  <c r="H340" i="4"/>
  <c r="E340" i="4"/>
  <c r="P517" i="4"/>
  <c r="L517" i="4"/>
  <c r="I517" i="4"/>
  <c r="H517" i="4"/>
  <c r="E517" i="4"/>
  <c r="P609" i="4"/>
  <c r="L609" i="4"/>
  <c r="I609" i="4"/>
  <c r="H609" i="4"/>
  <c r="E609" i="4"/>
  <c r="P67" i="4"/>
  <c r="L67" i="4"/>
  <c r="I67" i="4"/>
  <c r="H67" i="4"/>
  <c r="E67" i="4"/>
  <c r="M67" i="4" s="1"/>
  <c r="P563" i="4"/>
  <c r="L563" i="4"/>
  <c r="I563" i="4"/>
  <c r="H563" i="4"/>
  <c r="E563" i="4"/>
  <c r="P38" i="4"/>
  <c r="L38" i="4"/>
  <c r="I38" i="4"/>
  <c r="H38" i="4"/>
  <c r="E38" i="4"/>
  <c r="M38" i="4" s="1"/>
  <c r="P194" i="4"/>
  <c r="L194" i="4"/>
  <c r="I194" i="4"/>
  <c r="H194" i="4"/>
  <c r="E194" i="4"/>
  <c r="M194" i="4" s="1"/>
  <c r="P222" i="4"/>
  <c r="L222" i="4"/>
  <c r="I222" i="4"/>
  <c r="H222" i="4"/>
  <c r="E222" i="4"/>
  <c r="P146" i="4"/>
  <c r="L146" i="4"/>
  <c r="I146" i="4"/>
  <c r="H146" i="4"/>
  <c r="E146" i="4"/>
  <c r="P209" i="4"/>
  <c r="L209" i="4"/>
  <c r="I209" i="4"/>
  <c r="H209" i="4"/>
  <c r="E209" i="4"/>
  <c r="M209" i="4" s="1"/>
  <c r="P199" i="4"/>
  <c r="L199" i="4"/>
  <c r="I199" i="4"/>
  <c r="H199" i="4"/>
  <c r="E199" i="4"/>
  <c r="P510" i="4"/>
  <c r="L510" i="4"/>
  <c r="I510" i="4"/>
  <c r="H510" i="4"/>
  <c r="E510" i="4"/>
  <c r="M510" i="4" s="1"/>
  <c r="P366" i="4"/>
  <c r="L366" i="4"/>
  <c r="I366" i="4"/>
  <c r="H366" i="4"/>
  <c r="E366" i="4"/>
  <c r="M366" i="4" s="1"/>
  <c r="P632" i="4"/>
  <c r="M632" i="4"/>
  <c r="L632" i="4"/>
  <c r="I632" i="4"/>
  <c r="H632" i="4"/>
  <c r="E632" i="4"/>
  <c r="P721" i="4"/>
  <c r="L721" i="4"/>
  <c r="I721" i="4"/>
  <c r="H721" i="4"/>
  <c r="E721" i="4"/>
  <c r="P139" i="4"/>
  <c r="L139" i="4"/>
  <c r="I139" i="4"/>
  <c r="H139" i="4"/>
  <c r="E139" i="4"/>
  <c r="M139" i="4" s="1"/>
  <c r="P113" i="4"/>
  <c r="L113" i="4"/>
  <c r="I113" i="4"/>
  <c r="H113" i="4"/>
  <c r="E113" i="4"/>
  <c r="P583" i="4"/>
  <c r="L583" i="4"/>
  <c r="I583" i="4"/>
  <c r="H583" i="4"/>
  <c r="E583" i="4"/>
  <c r="M583" i="4" s="1"/>
  <c r="P208" i="4"/>
  <c r="L208" i="4"/>
  <c r="I208" i="4"/>
  <c r="H208" i="4"/>
  <c r="E208" i="4"/>
  <c r="P323" i="4"/>
  <c r="L323" i="4"/>
  <c r="I323" i="4"/>
  <c r="H323" i="4"/>
  <c r="E323" i="4"/>
  <c r="P145" i="4"/>
  <c r="L145" i="4"/>
  <c r="I145" i="4"/>
  <c r="H145" i="4"/>
  <c r="E145" i="4"/>
  <c r="M145" i="4" s="1"/>
  <c r="P274" i="4"/>
  <c r="L274" i="4"/>
  <c r="I274" i="4"/>
  <c r="H274" i="4"/>
  <c r="E274" i="4"/>
  <c r="P58" i="4"/>
  <c r="L58" i="4"/>
  <c r="I58" i="4"/>
  <c r="H58" i="4"/>
  <c r="E58" i="4"/>
  <c r="P314" i="4"/>
  <c r="L314" i="4"/>
  <c r="I314" i="4"/>
  <c r="H314" i="4"/>
  <c r="E314" i="4"/>
  <c r="P24" i="4"/>
  <c r="L24" i="4"/>
  <c r="I24" i="4"/>
  <c r="H24" i="4"/>
  <c r="E24" i="4"/>
  <c r="P14" i="4"/>
  <c r="L14" i="4"/>
  <c r="I14" i="4"/>
  <c r="H14" i="4"/>
  <c r="E14" i="4"/>
  <c r="P65" i="4"/>
  <c r="L65" i="4"/>
  <c r="I65" i="4"/>
  <c r="H65" i="4"/>
  <c r="E65" i="4"/>
  <c r="P547" i="4"/>
  <c r="L547" i="4"/>
  <c r="I547" i="4"/>
  <c r="H547" i="4"/>
  <c r="E547" i="4"/>
  <c r="P498" i="4"/>
  <c r="L498" i="4"/>
  <c r="I498" i="4"/>
  <c r="H498" i="4"/>
  <c r="E498" i="4"/>
  <c r="P47" i="4"/>
  <c r="L47" i="4"/>
  <c r="I47" i="4"/>
  <c r="H47" i="4"/>
  <c r="E47" i="4"/>
  <c r="M47" i="4" s="1"/>
  <c r="P250" i="4"/>
  <c r="L250" i="4"/>
  <c r="I250" i="4"/>
  <c r="H250" i="4"/>
  <c r="E250" i="4"/>
  <c r="P392" i="4"/>
  <c r="L392" i="4"/>
  <c r="I392" i="4"/>
  <c r="H392" i="4"/>
  <c r="E392" i="4"/>
  <c r="P364" i="4"/>
  <c r="L364" i="4"/>
  <c r="I364" i="4"/>
  <c r="H364" i="4"/>
  <c r="E364" i="4"/>
  <c r="P232" i="4"/>
  <c r="L232" i="4"/>
  <c r="I232" i="4"/>
  <c r="H232" i="4"/>
  <c r="E232" i="4"/>
  <c r="M232" i="4" s="1"/>
  <c r="P97" i="4"/>
  <c r="L97" i="4"/>
  <c r="I97" i="4"/>
  <c r="M97" i="4" s="1"/>
  <c r="H97" i="4"/>
  <c r="E97" i="4"/>
  <c r="P623" i="4"/>
  <c r="L623" i="4"/>
  <c r="I623" i="4"/>
  <c r="H623" i="4"/>
  <c r="E623" i="4"/>
  <c r="P540" i="4"/>
  <c r="L540" i="4"/>
  <c r="I540" i="4"/>
  <c r="H540" i="4"/>
  <c r="E540" i="4"/>
  <c r="P536" i="4"/>
  <c r="L536" i="4"/>
  <c r="I536" i="4"/>
  <c r="M536" i="4" s="1"/>
  <c r="H536" i="4"/>
  <c r="E536" i="4"/>
  <c r="P215" i="4"/>
  <c r="L215" i="4"/>
  <c r="I215" i="4"/>
  <c r="H215" i="4"/>
  <c r="E215" i="4"/>
  <c r="P75" i="4"/>
  <c r="L75" i="4"/>
  <c r="I75" i="4"/>
  <c r="H75" i="4"/>
  <c r="E75" i="4"/>
  <c r="P115" i="4"/>
  <c r="L115" i="4"/>
  <c r="I115" i="4"/>
  <c r="H115" i="4"/>
  <c r="E115" i="4"/>
  <c r="P198" i="4"/>
  <c r="L198" i="4"/>
  <c r="I198" i="4"/>
  <c r="H198" i="4"/>
  <c r="E198" i="4"/>
  <c r="M198" i="4" s="1"/>
  <c r="P106" i="4"/>
  <c r="L106" i="4"/>
  <c r="I106" i="4"/>
  <c r="H106" i="4"/>
  <c r="E106" i="4"/>
  <c r="P726" i="4"/>
  <c r="L726" i="4"/>
  <c r="I726" i="4"/>
  <c r="M726" i="4" s="1"/>
  <c r="H726" i="4"/>
  <c r="E726" i="4"/>
  <c r="P600" i="4"/>
  <c r="L600" i="4"/>
  <c r="I600" i="4"/>
  <c r="H600" i="4"/>
  <c r="E600" i="4"/>
  <c r="M600" i="4" s="1"/>
  <c r="P302" i="4"/>
  <c r="L302" i="4"/>
  <c r="I302" i="4"/>
  <c r="H302" i="4"/>
  <c r="E302" i="4"/>
  <c r="P345" i="4"/>
  <c r="L345" i="4"/>
  <c r="I345" i="4"/>
  <c r="H345" i="4"/>
  <c r="E345" i="4"/>
  <c r="P372" i="4"/>
  <c r="L372" i="4"/>
  <c r="I372" i="4"/>
  <c r="H372" i="4"/>
  <c r="E372" i="4"/>
  <c r="M372" i="4" s="1"/>
  <c r="P138" i="4"/>
  <c r="L138" i="4"/>
  <c r="I138" i="4"/>
  <c r="H138" i="4"/>
  <c r="E138" i="4"/>
  <c r="P624" i="4"/>
  <c r="L624" i="4"/>
  <c r="I624" i="4"/>
  <c r="H624" i="4"/>
  <c r="E624" i="4"/>
  <c r="P110" i="4"/>
  <c r="L110" i="4"/>
  <c r="I110" i="4"/>
  <c r="M110" i="4" s="1"/>
  <c r="H110" i="4"/>
  <c r="E110" i="4"/>
  <c r="P164" i="4"/>
  <c r="L164" i="4"/>
  <c r="I164" i="4"/>
  <c r="H164" i="4"/>
  <c r="E164" i="4"/>
  <c r="P423" i="4"/>
  <c r="L423" i="4"/>
  <c r="I423" i="4"/>
  <c r="H423" i="4"/>
  <c r="E423" i="4"/>
  <c r="M423" i="4" s="1"/>
  <c r="P124" i="4"/>
  <c r="L124" i="4"/>
  <c r="I124" i="4"/>
  <c r="H124" i="4"/>
  <c r="E124" i="4"/>
  <c r="P119" i="4"/>
  <c r="L119" i="4"/>
  <c r="I119" i="4"/>
  <c r="H119" i="4"/>
  <c r="E119" i="4"/>
  <c r="P257" i="4"/>
  <c r="L257" i="4"/>
  <c r="I257" i="4"/>
  <c r="H257" i="4"/>
  <c r="E257" i="4"/>
  <c r="P311" i="4"/>
  <c r="L311" i="4"/>
  <c r="I311" i="4"/>
  <c r="H311" i="4"/>
  <c r="E311" i="4"/>
  <c r="M311" i="4" s="1"/>
  <c r="P105" i="4"/>
  <c r="L105" i="4"/>
  <c r="I105" i="4"/>
  <c r="H105" i="4"/>
  <c r="E105" i="4"/>
  <c r="M105" i="4" s="1"/>
  <c r="P279" i="4"/>
  <c r="L279" i="4"/>
  <c r="I279" i="4"/>
  <c r="H279" i="4"/>
  <c r="E279" i="4"/>
  <c r="P492" i="4"/>
  <c r="L492" i="4"/>
  <c r="I492" i="4"/>
  <c r="H492" i="4"/>
  <c r="E492" i="4"/>
  <c r="P544" i="4"/>
  <c r="L544" i="4"/>
  <c r="I544" i="4"/>
  <c r="H544" i="4"/>
  <c r="E544" i="4"/>
  <c r="M544" i="4" s="1"/>
  <c r="P163" i="4"/>
  <c r="L163" i="4"/>
  <c r="I163" i="4"/>
  <c r="H163" i="4"/>
  <c r="E163" i="4"/>
  <c r="M163" i="4" s="1"/>
  <c r="P329" i="4"/>
  <c r="L329" i="4"/>
  <c r="I329" i="4"/>
  <c r="H329" i="4"/>
  <c r="E329" i="4"/>
  <c r="P607" i="4"/>
  <c r="L607" i="4"/>
  <c r="I607" i="4"/>
  <c r="H607" i="4"/>
  <c r="E607" i="4"/>
  <c r="M607" i="4" s="1"/>
  <c r="P293" i="4"/>
  <c r="L293" i="4"/>
  <c r="I293" i="4"/>
  <c r="H293" i="4"/>
  <c r="E293" i="4"/>
  <c r="P19" i="4"/>
  <c r="L19" i="4"/>
  <c r="I19" i="4"/>
  <c r="H19" i="4"/>
  <c r="E19" i="4"/>
  <c r="M19" i="4" s="1"/>
  <c r="P704" i="4"/>
  <c r="L704" i="4"/>
  <c r="I704" i="4"/>
  <c r="H704" i="4"/>
  <c r="E704" i="4"/>
  <c r="M704" i="4" s="1"/>
  <c r="P702" i="4"/>
  <c r="L702" i="4"/>
  <c r="I702" i="4"/>
  <c r="H702" i="4"/>
  <c r="E702" i="4"/>
  <c r="P503" i="4"/>
  <c r="L503" i="4"/>
  <c r="I503" i="4"/>
  <c r="H503" i="4"/>
  <c r="E503" i="4"/>
  <c r="P160" i="4"/>
  <c r="L160" i="4"/>
  <c r="I160" i="4"/>
  <c r="H160" i="4"/>
  <c r="E160" i="4"/>
  <c r="P341" i="4"/>
  <c r="L341" i="4"/>
  <c r="I341" i="4"/>
  <c r="H341" i="4"/>
  <c r="E341" i="4"/>
  <c r="P362" i="4"/>
  <c r="L362" i="4"/>
  <c r="I362" i="4"/>
  <c r="H362" i="4"/>
  <c r="E362" i="4"/>
  <c r="P188" i="4"/>
  <c r="L188" i="4"/>
  <c r="I188" i="4"/>
  <c r="H188" i="4"/>
  <c r="E188" i="4"/>
  <c r="P235" i="4"/>
  <c r="L235" i="4"/>
  <c r="I235" i="4"/>
  <c r="H235" i="4"/>
  <c r="E235" i="4"/>
  <c r="M235" i="4" s="1"/>
  <c r="P231" i="4"/>
  <c r="L231" i="4"/>
  <c r="I231" i="4"/>
  <c r="M231" i="4" s="1"/>
  <c r="H231" i="4"/>
  <c r="E231" i="4"/>
  <c r="P440" i="4"/>
  <c r="L440" i="4"/>
  <c r="I440" i="4"/>
  <c r="H440" i="4"/>
  <c r="E440" i="4"/>
  <c r="M440" i="4" s="1"/>
  <c r="P418" i="4"/>
  <c r="L418" i="4"/>
  <c r="I418" i="4"/>
  <c r="H418" i="4"/>
  <c r="E418" i="4"/>
  <c r="M418" i="4" s="1"/>
  <c r="P347" i="4"/>
  <c r="L347" i="4"/>
  <c r="I347" i="4"/>
  <c r="H347" i="4"/>
  <c r="E347" i="4"/>
  <c r="P391" i="4"/>
  <c r="L391" i="4"/>
  <c r="I391" i="4"/>
  <c r="H391" i="4"/>
  <c r="E391" i="4"/>
  <c r="P61" i="4"/>
  <c r="L61" i="4"/>
  <c r="I61" i="4"/>
  <c r="H61" i="4"/>
  <c r="E61" i="4"/>
  <c r="M61" i="4" s="1"/>
  <c r="P101" i="4"/>
  <c r="L101" i="4"/>
  <c r="I101" i="4"/>
  <c r="H101" i="4"/>
  <c r="E101" i="4"/>
  <c r="P330" i="4"/>
  <c r="L330" i="4"/>
  <c r="I330" i="4"/>
  <c r="H330" i="4"/>
  <c r="E330" i="4"/>
  <c r="M330" i="4" s="1"/>
  <c r="P737" i="4"/>
  <c r="L737" i="4"/>
  <c r="I737" i="4"/>
  <c r="H737" i="4"/>
  <c r="E737" i="4"/>
  <c r="M737" i="4" s="1"/>
  <c r="P328" i="4"/>
  <c r="L328" i="4"/>
  <c r="I328" i="4"/>
  <c r="H328" i="4"/>
  <c r="E328" i="4"/>
  <c r="P582" i="4"/>
  <c r="L582" i="4"/>
  <c r="I582" i="4"/>
  <c r="H582" i="4"/>
  <c r="E582" i="4"/>
  <c r="M582" i="4" s="1"/>
  <c r="P99" i="4"/>
  <c r="L99" i="4"/>
  <c r="I99" i="4"/>
  <c r="H99" i="4"/>
  <c r="E99" i="4"/>
  <c r="P300" i="4"/>
  <c r="L300" i="4"/>
  <c r="I300" i="4"/>
  <c r="H300" i="4"/>
  <c r="E300" i="4"/>
  <c r="P143" i="4"/>
  <c r="L143" i="4"/>
  <c r="I143" i="4"/>
  <c r="H143" i="4"/>
  <c r="E143" i="4"/>
  <c r="M143" i="4" s="1"/>
  <c r="P663" i="4"/>
  <c r="L663" i="4"/>
  <c r="I663" i="4"/>
  <c r="H663" i="4"/>
  <c r="E663" i="4"/>
  <c r="P675" i="4"/>
  <c r="L675" i="4"/>
  <c r="I675" i="4"/>
  <c r="H675" i="4"/>
  <c r="E675" i="4"/>
  <c r="P313" i="4"/>
  <c r="L313" i="4"/>
  <c r="I313" i="4"/>
  <c r="H313" i="4"/>
  <c r="E313" i="4"/>
  <c r="P463" i="4"/>
  <c r="L463" i="4"/>
  <c r="I463" i="4"/>
  <c r="H463" i="4"/>
  <c r="E463" i="4"/>
  <c r="P572" i="4"/>
  <c r="L572" i="4"/>
  <c r="I572" i="4"/>
  <c r="H572" i="4"/>
  <c r="E572" i="4"/>
  <c r="M572" i="4" s="1"/>
  <c r="P54" i="4"/>
  <c r="L54" i="4"/>
  <c r="I54" i="4"/>
  <c r="H54" i="4"/>
  <c r="E54" i="4"/>
  <c r="P483" i="4"/>
  <c r="L483" i="4"/>
  <c r="I483" i="4"/>
  <c r="H483" i="4"/>
  <c r="E483" i="4"/>
  <c r="P27" i="4"/>
  <c r="L27" i="4"/>
  <c r="I27" i="4"/>
  <c r="H27" i="4"/>
  <c r="E27" i="4"/>
  <c r="M27" i="4" s="1"/>
  <c r="P189" i="4"/>
  <c r="M189" i="4"/>
  <c r="L189" i="4"/>
  <c r="I189" i="4"/>
  <c r="H189" i="4"/>
  <c r="E189" i="4"/>
  <c r="P446" i="4"/>
  <c r="L446" i="4"/>
  <c r="I446" i="4"/>
  <c r="M446" i="4" s="1"/>
  <c r="H446" i="4"/>
  <c r="E446" i="4"/>
  <c r="P377" i="4"/>
  <c r="L377" i="4"/>
  <c r="I377" i="4"/>
  <c r="H377" i="4"/>
  <c r="E377" i="4"/>
  <c r="M377" i="4" s="1"/>
  <c r="P203" i="4"/>
  <c r="L203" i="4"/>
  <c r="I203" i="4"/>
  <c r="H203" i="4"/>
  <c r="E203" i="4"/>
  <c r="M203" i="4" s="1"/>
  <c r="P15" i="4"/>
  <c r="L15" i="4"/>
  <c r="I15" i="4"/>
  <c r="H15" i="4"/>
  <c r="E15" i="4"/>
  <c r="M15" i="4" s="1"/>
  <c r="P78" i="4"/>
  <c r="L78" i="4"/>
  <c r="I78" i="4"/>
  <c r="H78" i="4"/>
  <c r="E78" i="4"/>
  <c r="P417" i="4"/>
  <c r="L417" i="4"/>
  <c r="I417" i="4"/>
  <c r="H417" i="4"/>
  <c r="E417" i="4"/>
  <c r="P249" i="4"/>
  <c r="L249" i="4"/>
  <c r="I249" i="4"/>
  <c r="H249" i="4"/>
  <c r="E249" i="4"/>
  <c r="M249" i="4" s="1"/>
  <c r="P83" i="4"/>
  <c r="L83" i="4"/>
  <c r="I83" i="4"/>
  <c r="H83" i="4"/>
  <c r="E83" i="4"/>
  <c r="P88" i="4"/>
  <c r="L88" i="4"/>
  <c r="I88" i="4"/>
  <c r="M88" i="4" s="1"/>
  <c r="H88" i="4"/>
  <c r="E88" i="4"/>
  <c r="P234" i="4"/>
  <c r="L234" i="4"/>
  <c r="I234" i="4"/>
  <c r="H234" i="4"/>
  <c r="E234" i="4"/>
  <c r="M234" i="4" s="1"/>
  <c r="P334" i="4"/>
  <c r="L334" i="4"/>
  <c r="I334" i="4"/>
  <c r="H334" i="4"/>
  <c r="E334" i="4"/>
  <c r="P53" i="4"/>
  <c r="L53" i="4"/>
  <c r="I53" i="4"/>
  <c r="H53" i="4"/>
  <c r="E53" i="4"/>
  <c r="P122" i="4"/>
  <c r="L122" i="4"/>
  <c r="I122" i="4"/>
  <c r="H122" i="4"/>
  <c r="E122" i="4"/>
  <c r="P153" i="4"/>
  <c r="L153" i="4"/>
  <c r="I153" i="4"/>
  <c r="H153" i="4"/>
  <c r="E153" i="4"/>
  <c r="M153" i="4" s="1"/>
  <c r="P34" i="4"/>
  <c r="L34" i="4"/>
  <c r="I34" i="4"/>
  <c r="H34" i="4"/>
  <c r="E34" i="4"/>
  <c r="P59" i="4"/>
  <c r="L59" i="4"/>
  <c r="I59" i="4"/>
  <c r="H59" i="4"/>
  <c r="E59" i="4"/>
  <c r="M59" i="4" s="1"/>
  <c r="P351" i="4"/>
  <c r="L351" i="4"/>
  <c r="I351" i="4"/>
  <c r="H351" i="4"/>
  <c r="E351" i="4"/>
  <c r="P104" i="4"/>
  <c r="L104" i="4"/>
  <c r="I104" i="4"/>
  <c r="H104" i="4"/>
  <c r="E104" i="4"/>
  <c r="P519" i="4"/>
  <c r="L519" i="4"/>
  <c r="I519" i="4"/>
  <c r="H519" i="4"/>
  <c r="E519" i="4"/>
  <c r="M519" i="4" s="1"/>
  <c r="P82" i="4"/>
  <c r="L82" i="4"/>
  <c r="I82" i="4"/>
  <c r="H82" i="4"/>
  <c r="E82" i="4"/>
  <c r="M82" i="4" s="1"/>
  <c r="P23" i="4"/>
  <c r="L23" i="4"/>
  <c r="I23" i="4"/>
  <c r="H23" i="4"/>
  <c r="E23" i="4"/>
  <c r="P435" i="4"/>
  <c r="L435" i="4"/>
  <c r="I435" i="4"/>
  <c r="H435" i="4"/>
  <c r="E435" i="4"/>
  <c r="P98" i="4"/>
  <c r="L98" i="4"/>
  <c r="I98" i="4"/>
  <c r="H98" i="4"/>
  <c r="E98" i="4"/>
  <c r="M98" i="4" s="1"/>
  <c r="P18" i="4"/>
  <c r="L18" i="4"/>
  <c r="I18" i="4"/>
  <c r="M18" i="4" s="1"/>
  <c r="H18" i="4"/>
  <c r="E18" i="4"/>
  <c r="P109" i="4"/>
  <c r="L109" i="4"/>
  <c r="I109" i="4"/>
  <c r="H109" i="4"/>
  <c r="E109" i="4"/>
  <c r="P33" i="4"/>
  <c r="L33" i="4"/>
  <c r="I33" i="4"/>
  <c r="H33" i="4"/>
  <c r="E33" i="4"/>
  <c r="M33" i="4" s="1"/>
  <c r="P13" i="4"/>
  <c r="L13" i="4"/>
  <c r="I13" i="4"/>
  <c r="H13" i="4"/>
  <c r="E13" i="4"/>
  <c r="P321" i="4"/>
  <c r="L321" i="4"/>
  <c r="I321" i="4"/>
  <c r="H321" i="4"/>
  <c r="E321" i="4"/>
  <c r="P374" i="4"/>
  <c r="L374" i="4"/>
  <c r="I374" i="4"/>
  <c r="M374" i="4" s="1"/>
  <c r="H374" i="4"/>
  <c r="E374" i="4"/>
  <c r="P32" i="4"/>
  <c r="L32" i="4"/>
  <c r="I32" i="4"/>
  <c r="H32" i="4"/>
  <c r="E32" i="4"/>
  <c r="M32" i="4" s="1"/>
  <c r="P11" i="4"/>
  <c r="L11" i="4"/>
  <c r="I11" i="4"/>
  <c r="H11" i="4"/>
  <c r="E11" i="4"/>
  <c r="P86" i="4"/>
  <c r="L86" i="4"/>
  <c r="I86" i="4"/>
  <c r="H86" i="4"/>
  <c r="E86" i="4"/>
  <c r="M86" i="4" s="1"/>
  <c r="P611" i="4"/>
  <c r="L611" i="4"/>
  <c r="I611" i="4"/>
  <c r="H611" i="4"/>
  <c r="E611" i="4"/>
  <c r="P309" i="4"/>
  <c r="L309" i="4"/>
  <c r="I309" i="4"/>
  <c r="H309" i="4"/>
  <c r="E309" i="4"/>
  <c r="P130" i="4"/>
  <c r="L130" i="4"/>
  <c r="I130" i="4"/>
  <c r="H130" i="4"/>
  <c r="E130" i="4"/>
  <c r="P277" i="4"/>
  <c r="L277" i="4"/>
  <c r="I277" i="4"/>
  <c r="H277" i="4"/>
  <c r="E277" i="4"/>
  <c r="M277" i="4" s="1"/>
  <c r="P322" i="4"/>
  <c r="L322" i="4"/>
  <c r="I322" i="4"/>
  <c r="H322" i="4"/>
  <c r="E322" i="4"/>
  <c r="P571" i="4"/>
  <c r="L571" i="4"/>
  <c r="I571" i="4"/>
  <c r="H571" i="4"/>
  <c r="E571" i="4"/>
  <c r="P379" i="4"/>
  <c r="L379" i="4"/>
  <c r="I379" i="4"/>
  <c r="H379" i="4"/>
  <c r="E379" i="4"/>
  <c r="M379" i="4" s="1"/>
  <c r="P80" i="4"/>
  <c r="L80" i="4"/>
  <c r="I80" i="4"/>
  <c r="H80" i="4"/>
  <c r="E80" i="4"/>
  <c r="M80" i="4" s="1"/>
  <c r="P532" i="4"/>
  <c r="L532" i="4"/>
  <c r="I532" i="4"/>
  <c r="H532" i="4"/>
  <c r="E532" i="4"/>
  <c r="P17" i="4"/>
  <c r="L17" i="4"/>
  <c r="I17" i="4"/>
  <c r="H17" i="4"/>
  <c r="E17" i="4"/>
  <c r="P48" i="4"/>
  <c r="L48" i="4"/>
  <c r="I48" i="4"/>
  <c r="H48" i="4"/>
  <c r="E48" i="4"/>
  <c r="P159" i="4"/>
  <c r="L159" i="4"/>
  <c r="I159" i="4"/>
  <c r="H159" i="4"/>
  <c r="E159" i="4"/>
  <c r="P213" i="4"/>
  <c r="L213" i="4"/>
  <c r="I213" i="4"/>
  <c r="H213" i="4"/>
  <c r="E213" i="4"/>
  <c r="M213" i="4" s="1"/>
  <c r="P580" i="4"/>
  <c r="L580" i="4"/>
  <c r="I580" i="4"/>
  <c r="H580" i="4"/>
  <c r="E580" i="4"/>
  <c r="P196" i="4"/>
  <c r="L196" i="4"/>
  <c r="I196" i="4"/>
  <c r="H196" i="4"/>
  <c r="E196" i="4"/>
  <c r="M196" i="4" s="1"/>
  <c r="P264" i="4"/>
  <c r="L264" i="4"/>
  <c r="I264" i="4"/>
  <c r="H264" i="4"/>
  <c r="E264" i="4"/>
  <c r="P416" i="4"/>
  <c r="L416" i="4"/>
  <c r="I416" i="4"/>
  <c r="H416" i="4"/>
  <c r="E416" i="4"/>
  <c r="P91" i="4"/>
  <c r="L91" i="4"/>
  <c r="I91" i="4"/>
  <c r="H91" i="4"/>
  <c r="E91" i="4"/>
  <c r="M91" i="4" s="1"/>
  <c r="P207" i="4"/>
  <c r="L207" i="4"/>
  <c r="I207" i="4"/>
  <c r="H207" i="4"/>
  <c r="E207" i="4"/>
  <c r="M207" i="4" s="1"/>
  <c r="P476" i="4"/>
  <c r="L476" i="4"/>
  <c r="I476" i="4"/>
  <c r="H476" i="4"/>
  <c r="E476" i="4"/>
  <c r="P490" i="4"/>
  <c r="L490" i="4"/>
  <c r="I490" i="4"/>
  <c r="H490" i="4"/>
  <c r="E490" i="4"/>
  <c r="M490" i="4" s="1"/>
  <c r="P688" i="4"/>
  <c r="L688" i="4"/>
  <c r="I688" i="4"/>
  <c r="H688" i="4"/>
  <c r="E688" i="4"/>
  <c r="M688" i="4" s="1"/>
  <c r="P128" i="4"/>
  <c r="L128" i="4"/>
  <c r="I128" i="4"/>
  <c r="H128" i="4"/>
  <c r="E128" i="4"/>
  <c r="P408" i="4"/>
  <c r="L408" i="4"/>
  <c r="I408" i="4"/>
  <c r="H408" i="4"/>
  <c r="E408" i="4"/>
  <c r="M408" i="4" s="1"/>
  <c r="P200" i="4"/>
  <c r="L200" i="4"/>
  <c r="I200" i="4"/>
  <c r="H200" i="4"/>
  <c r="E200" i="4"/>
  <c r="P25" i="4"/>
  <c r="L25" i="4"/>
  <c r="I25" i="4"/>
  <c r="H25" i="4"/>
  <c r="E25" i="4"/>
  <c r="P381" i="4"/>
  <c r="L381" i="4"/>
  <c r="I381" i="4"/>
  <c r="H381" i="4"/>
  <c r="E381" i="4"/>
  <c r="P10" i="4"/>
  <c r="L10" i="4"/>
  <c r="I10" i="4"/>
  <c r="H10" i="4"/>
  <c r="E10" i="4"/>
  <c r="P44" i="4"/>
  <c r="L44" i="4"/>
  <c r="I44" i="4"/>
  <c r="H44" i="4"/>
  <c r="E44" i="4"/>
  <c r="P162" i="4"/>
  <c r="L162" i="4"/>
  <c r="I162" i="4"/>
  <c r="H162" i="4"/>
  <c r="E162" i="4"/>
  <c r="P155" i="4"/>
  <c r="L155" i="4"/>
  <c r="I155" i="4"/>
  <c r="H155" i="4"/>
  <c r="E155" i="4"/>
  <c r="P693" i="4"/>
  <c r="L693" i="4"/>
  <c r="I693" i="4"/>
  <c r="M693" i="4" s="1"/>
  <c r="H693" i="4"/>
  <c r="E693" i="4"/>
  <c r="P516" i="4"/>
  <c r="L516" i="4"/>
  <c r="I516" i="4"/>
  <c r="H516" i="4"/>
  <c r="E516" i="4"/>
  <c r="P69" i="4"/>
  <c r="L69" i="4"/>
  <c r="I69" i="4"/>
  <c r="H69" i="4"/>
  <c r="E69" i="4"/>
  <c r="P647" i="4"/>
  <c r="L647" i="4"/>
  <c r="I647" i="4"/>
  <c r="H647" i="4"/>
  <c r="E647" i="4"/>
  <c r="M647" i="4" s="1"/>
  <c r="P290" i="4"/>
  <c r="L290" i="4"/>
  <c r="I290" i="4"/>
  <c r="H290" i="4"/>
  <c r="E290" i="4"/>
  <c r="P182" i="4"/>
  <c r="L182" i="4"/>
  <c r="I182" i="4"/>
  <c r="H182" i="4"/>
  <c r="E182" i="4"/>
  <c r="M182" i="4" s="1"/>
  <c r="P76" i="4"/>
  <c r="L76" i="4"/>
  <c r="I76" i="4"/>
  <c r="H76" i="4"/>
  <c r="E76" i="4"/>
  <c r="M76" i="4" s="1"/>
  <c r="P181" i="4"/>
  <c r="L181" i="4"/>
  <c r="I181" i="4"/>
  <c r="H181" i="4"/>
  <c r="E181" i="4"/>
  <c r="P161" i="4"/>
  <c r="L161" i="4"/>
  <c r="I161" i="4"/>
  <c r="H161" i="4"/>
  <c r="E161" i="4"/>
  <c r="M161" i="4" s="1"/>
  <c r="P453" i="4"/>
  <c r="L453" i="4"/>
  <c r="I453" i="4"/>
  <c r="H453" i="4"/>
  <c r="E453" i="4"/>
  <c r="P287" i="4"/>
  <c r="L287" i="4"/>
  <c r="I287" i="4"/>
  <c r="H287" i="4"/>
  <c r="E287" i="4"/>
  <c r="P174" i="4"/>
  <c r="L174" i="4"/>
  <c r="I174" i="4"/>
  <c r="H174" i="4"/>
  <c r="E174" i="4"/>
  <c r="P39" i="4"/>
  <c r="L39" i="4"/>
  <c r="I39" i="4"/>
  <c r="H39" i="4"/>
  <c r="E39" i="4"/>
  <c r="P466" i="4"/>
  <c r="L466" i="4"/>
  <c r="I466" i="4"/>
  <c r="H466" i="4"/>
  <c r="E466" i="4"/>
  <c r="P289" i="4"/>
  <c r="L289" i="4"/>
  <c r="I289" i="4"/>
  <c r="H289" i="4"/>
  <c r="E289" i="4"/>
  <c r="P276" i="4"/>
  <c r="L276" i="4"/>
  <c r="I276" i="4"/>
  <c r="H276" i="4"/>
  <c r="E276" i="4"/>
  <c r="P64" i="4"/>
  <c r="L64" i="4"/>
  <c r="I64" i="4"/>
  <c r="H64" i="4"/>
  <c r="E64" i="4"/>
  <c r="M64" i="4" s="1"/>
  <c r="P20" i="4"/>
  <c r="L20" i="4"/>
  <c r="I20" i="4"/>
  <c r="H20" i="4"/>
  <c r="E20" i="4"/>
  <c r="P42" i="4"/>
  <c r="L42" i="4"/>
  <c r="I42" i="4"/>
  <c r="H42" i="4"/>
  <c r="E42" i="4"/>
  <c r="P31" i="4"/>
  <c r="L31" i="4"/>
  <c r="I31" i="4"/>
  <c r="H31" i="4"/>
  <c r="E31" i="4"/>
  <c r="P16" i="4"/>
  <c r="L16" i="4"/>
  <c r="I16" i="4"/>
  <c r="H16" i="4"/>
  <c r="E16" i="4"/>
  <c r="M16" i="4" s="1"/>
  <c r="P368" i="4"/>
  <c r="L368" i="4"/>
  <c r="I368" i="4"/>
  <c r="H368" i="4"/>
  <c r="E368" i="4"/>
  <c r="P127" i="4"/>
  <c r="L127" i="4"/>
  <c r="I127" i="4"/>
  <c r="H127" i="4"/>
  <c r="E127" i="4"/>
  <c r="P263" i="4"/>
  <c r="L263" i="4"/>
  <c r="I263" i="4"/>
  <c r="H263" i="4"/>
  <c r="E263" i="4"/>
  <c r="P9" i="4"/>
  <c r="L9" i="4"/>
  <c r="I9" i="4"/>
  <c r="H9" i="4"/>
  <c r="E9" i="4"/>
  <c r="M9" i="4" s="1"/>
  <c r="P304" i="4"/>
  <c r="L304" i="4"/>
  <c r="I304" i="4"/>
  <c r="H304" i="4"/>
  <c r="E304" i="4"/>
  <c r="P376" i="4"/>
  <c r="L376" i="4"/>
  <c r="I376" i="4"/>
  <c r="H376" i="4"/>
  <c r="E376" i="4"/>
  <c r="M376" i="4" s="1"/>
  <c r="P228" i="4"/>
  <c r="L228" i="4"/>
  <c r="I228" i="4"/>
  <c r="H228" i="4"/>
  <c r="E228" i="4"/>
  <c r="M228" i="4" s="1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L99" i="3"/>
  <c r="I99" i="3"/>
  <c r="H99" i="3"/>
  <c r="E99" i="3"/>
  <c r="L371" i="3"/>
  <c r="I371" i="3"/>
  <c r="H371" i="3"/>
  <c r="E371" i="3"/>
  <c r="L240" i="3"/>
  <c r="I240" i="3"/>
  <c r="H240" i="3"/>
  <c r="E240" i="3"/>
  <c r="L180" i="3"/>
  <c r="I180" i="3"/>
  <c r="H180" i="3"/>
  <c r="E180" i="3"/>
  <c r="L328" i="3"/>
  <c r="I328" i="3"/>
  <c r="H328" i="3"/>
  <c r="E328" i="3"/>
  <c r="L47" i="3"/>
  <c r="I47" i="3"/>
  <c r="H47" i="3"/>
  <c r="E47" i="3"/>
  <c r="L94" i="3"/>
  <c r="I94" i="3"/>
  <c r="H94" i="3"/>
  <c r="E94" i="3"/>
  <c r="L74" i="3"/>
  <c r="I74" i="3"/>
  <c r="H74" i="3"/>
  <c r="E74" i="3"/>
  <c r="L196" i="3"/>
  <c r="I196" i="3"/>
  <c r="H196" i="3"/>
  <c r="E196" i="3"/>
  <c r="L564" i="3"/>
  <c r="I564" i="3"/>
  <c r="H564" i="3"/>
  <c r="E564" i="3"/>
  <c r="M564" i="3" s="1"/>
  <c r="L730" i="3"/>
  <c r="I730" i="3"/>
  <c r="H730" i="3"/>
  <c r="E730" i="3"/>
  <c r="L714" i="3"/>
  <c r="I714" i="3"/>
  <c r="H714" i="3"/>
  <c r="E714" i="3"/>
  <c r="L360" i="3"/>
  <c r="I360" i="3"/>
  <c r="H360" i="3"/>
  <c r="E360" i="3"/>
  <c r="L43" i="3"/>
  <c r="I43" i="3"/>
  <c r="H43" i="3"/>
  <c r="E43" i="3"/>
  <c r="L731" i="3"/>
  <c r="I731" i="3"/>
  <c r="H731" i="3"/>
  <c r="E731" i="3"/>
  <c r="L750" i="3"/>
  <c r="I750" i="3"/>
  <c r="H750" i="3"/>
  <c r="E750" i="3"/>
  <c r="L16" i="3"/>
  <c r="I16" i="3"/>
  <c r="H16" i="3"/>
  <c r="E16" i="3"/>
  <c r="L559" i="3"/>
  <c r="I559" i="3"/>
  <c r="H559" i="3"/>
  <c r="E559" i="3"/>
  <c r="L595" i="3"/>
  <c r="I595" i="3"/>
  <c r="H595" i="3"/>
  <c r="E595" i="3"/>
  <c r="L613" i="3"/>
  <c r="I613" i="3"/>
  <c r="H613" i="3"/>
  <c r="E613" i="3"/>
  <c r="L599" i="3"/>
  <c r="I599" i="3"/>
  <c r="H599" i="3"/>
  <c r="E599" i="3"/>
  <c r="L253" i="3"/>
  <c r="I253" i="3"/>
  <c r="H253" i="3"/>
  <c r="E253" i="3"/>
  <c r="L389" i="3"/>
  <c r="I389" i="3"/>
  <c r="H389" i="3"/>
  <c r="E389" i="3"/>
  <c r="L659" i="3"/>
  <c r="I659" i="3"/>
  <c r="H659" i="3"/>
  <c r="E659" i="3"/>
  <c r="L431" i="3"/>
  <c r="I431" i="3"/>
  <c r="H431" i="3"/>
  <c r="E431" i="3"/>
  <c r="L133" i="3"/>
  <c r="I133" i="3"/>
  <c r="H133" i="3"/>
  <c r="E133" i="3"/>
  <c r="L782" i="3"/>
  <c r="I782" i="3"/>
  <c r="H782" i="3"/>
  <c r="E782" i="3"/>
  <c r="M782" i="3" s="1"/>
  <c r="L369" i="3"/>
  <c r="I369" i="3"/>
  <c r="H369" i="3"/>
  <c r="E369" i="3"/>
  <c r="L728" i="3"/>
  <c r="I728" i="3"/>
  <c r="H728" i="3"/>
  <c r="E728" i="3"/>
  <c r="L364" i="3"/>
  <c r="I364" i="3"/>
  <c r="H364" i="3"/>
  <c r="E364" i="3"/>
  <c r="L108" i="3"/>
  <c r="I108" i="3"/>
  <c r="H108" i="3"/>
  <c r="E108" i="3"/>
  <c r="M108" i="3" s="1"/>
  <c r="L675" i="3"/>
  <c r="I675" i="3"/>
  <c r="H675" i="3"/>
  <c r="E675" i="3"/>
  <c r="L432" i="3"/>
  <c r="I432" i="3"/>
  <c r="H432" i="3"/>
  <c r="E432" i="3"/>
  <c r="L408" i="3"/>
  <c r="I408" i="3"/>
  <c r="H408" i="3"/>
  <c r="E408" i="3"/>
  <c r="L589" i="3"/>
  <c r="I589" i="3"/>
  <c r="H589" i="3"/>
  <c r="E589" i="3"/>
  <c r="L152" i="3"/>
  <c r="I152" i="3"/>
  <c r="H152" i="3"/>
  <c r="E152" i="3"/>
  <c r="L169" i="3"/>
  <c r="I169" i="3"/>
  <c r="H169" i="3"/>
  <c r="E169" i="3"/>
  <c r="L584" i="3"/>
  <c r="I584" i="3"/>
  <c r="H584" i="3"/>
  <c r="E584" i="3"/>
  <c r="L370" i="3"/>
  <c r="I370" i="3"/>
  <c r="H370" i="3"/>
  <c r="E370" i="3"/>
  <c r="L403" i="3"/>
  <c r="I403" i="3"/>
  <c r="H403" i="3"/>
  <c r="E403" i="3"/>
  <c r="L413" i="3"/>
  <c r="I413" i="3"/>
  <c r="H413" i="3"/>
  <c r="E413" i="3"/>
  <c r="L243" i="3"/>
  <c r="I243" i="3"/>
  <c r="H243" i="3"/>
  <c r="E243" i="3"/>
  <c r="L727" i="3"/>
  <c r="I727" i="3"/>
  <c r="H727" i="3"/>
  <c r="E727" i="3"/>
  <c r="M727" i="3" s="1"/>
  <c r="L331" i="3"/>
  <c r="I331" i="3"/>
  <c r="H331" i="3"/>
  <c r="E331" i="3"/>
  <c r="L756" i="3"/>
  <c r="I756" i="3"/>
  <c r="H756" i="3"/>
  <c r="E756" i="3"/>
  <c r="L721" i="3"/>
  <c r="I721" i="3"/>
  <c r="H721" i="3"/>
  <c r="E721" i="3"/>
  <c r="L22" i="3"/>
  <c r="I22" i="3"/>
  <c r="H22" i="3"/>
  <c r="E22" i="3"/>
  <c r="L651" i="3"/>
  <c r="I651" i="3"/>
  <c r="H651" i="3"/>
  <c r="E651" i="3"/>
  <c r="L103" i="3"/>
  <c r="I103" i="3"/>
  <c r="H103" i="3"/>
  <c r="E103" i="3"/>
  <c r="L402" i="3"/>
  <c r="I402" i="3"/>
  <c r="H402" i="3"/>
  <c r="E402" i="3"/>
  <c r="L520" i="3"/>
  <c r="I520" i="3"/>
  <c r="H520" i="3"/>
  <c r="E520" i="3"/>
  <c r="L569" i="3"/>
  <c r="I569" i="3"/>
  <c r="H569" i="3"/>
  <c r="E569" i="3"/>
  <c r="L421" i="3"/>
  <c r="I421" i="3"/>
  <c r="H421" i="3"/>
  <c r="E421" i="3"/>
  <c r="L294" i="3"/>
  <c r="I294" i="3"/>
  <c r="H294" i="3"/>
  <c r="E294" i="3"/>
  <c r="L197" i="3"/>
  <c r="I197" i="3"/>
  <c r="H197" i="3"/>
  <c r="E197" i="3"/>
  <c r="L205" i="3"/>
  <c r="I205" i="3"/>
  <c r="H205" i="3"/>
  <c r="E205" i="3"/>
  <c r="L449" i="3"/>
  <c r="I449" i="3"/>
  <c r="H449" i="3"/>
  <c r="E449" i="3"/>
  <c r="L153" i="3"/>
  <c r="I153" i="3"/>
  <c r="H153" i="3"/>
  <c r="E153" i="3"/>
  <c r="L501" i="3"/>
  <c r="I501" i="3"/>
  <c r="H501" i="3"/>
  <c r="E501" i="3"/>
  <c r="M501" i="3" s="1"/>
  <c r="L200" i="3"/>
  <c r="I200" i="3"/>
  <c r="H200" i="3"/>
  <c r="E200" i="3"/>
  <c r="L752" i="3"/>
  <c r="I752" i="3"/>
  <c r="H752" i="3"/>
  <c r="E752" i="3"/>
  <c r="L255" i="3"/>
  <c r="I255" i="3"/>
  <c r="H255" i="3"/>
  <c r="E255" i="3"/>
  <c r="L483" i="3"/>
  <c r="I483" i="3"/>
  <c r="H483" i="3"/>
  <c r="E483" i="3"/>
  <c r="M483" i="3" s="1"/>
  <c r="L698" i="3"/>
  <c r="I698" i="3"/>
  <c r="H698" i="3"/>
  <c r="E698" i="3"/>
  <c r="L339" i="3"/>
  <c r="I339" i="3"/>
  <c r="H339" i="3"/>
  <c r="E339" i="3"/>
  <c r="L283" i="3"/>
  <c r="I283" i="3"/>
  <c r="H283" i="3"/>
  <c r="E283" i="3"/>
  <c r="L337" i="3"/>
  <c r="I337" i="3"/>
  <c r="H337" i="3"/>
  <c r="E337" i="3"/>
  <c r="L573" i="3"/>
  <c r="I573" i="3"/>
  <c r="H573" i="3"/>
  <c r="E573" i="3"/>
  <c r="L344" i="3"/>
  <c r="I344" i="3"/>
  <c r="H344" i="3"/>
  <c r="E344" i="3"/>
  <c r="L500" i="3"/>
  <c r="I500" i="3"/>
  <c r="H500" i="3"/>
  <c r="E500" i="3"/>
  <c r="L638" i="3"/>
  <c r="I638" i="3"/>
  <c r="H638" i="3"/>
  <c r="E638" i="3"/>
  <c r="L704" i="3"/>
  <c r="I704" i="3"/>
  <c r="H704" i="3"/>
  <c r="E704" i="3"/>
  <c r="L498" i="3"/>
  <c r="I498" i="3"/>
  <c r="H498" i="3"/>
  <c r="E498" i="3"/>
  <c r="L209" i="3"/>
  <c r="I209" i="3"/>
  <c r="H209" i="3"/>
  <c r="E209" i="3"/>
  <c r="L340" i="3"/>
  <c r="I340" i="3"/>
  <c r="H340" i="3"/>
  <c r="E340" i="3"/>
  <c r="L112" i="3"/>
  <c r="I112" i="3"/>
  <c r="H112" i="3"/>
  <c r="E112" i="3"/>
  <c r="L31" i="3"/>
  <c r="I31" i="3"/>
  <c r="H31" i="3"/>
  <c r="E31" i="3"/>
  <c r="L211" i="3"/>
  <c r="I211" i="3"/>
  <c r="H211" i="3"/>
  <c r="E211" i="3"/>
  <c r="L508" i="3"/>
  <c r="I508" i="3"/>
  <c r="H508" i="3"/>
  <c r="E508" i="3"/>
  <c r="L645" i="3"/>
  <c r="I645" i="3"/>
  <c r="H645" i="3"/>
  <c r="E645" i="3"/>
  <c r="L524" i="3"/>
  <c r="I524" i="3"/>
  <c r="H524" i="3"/>
  <c r="E524" i="3"/>
  <c r="L764" i="3"/>
  <c r="I764" i="3"/>
  <c r="H764" i="3"/>
  <c r="E764" i="3"/>
  <c r="L131" i="3"/>
  <c r="I131" i="3"/>
  <c r="H131" i="3"/>
  <c r="E131" i="3"/>
  <c r="L101" i="3"/>
  <c r="I101" i="3"/>
  <c r="H101" i="3"/>
  <c r="E101" i="3"/>
  <c r="L305" i="3"/>
  <c r="I305" i="3"/>
  <c r="H305" i="3"/>
  <c r="E305" i="3"/>
  <c r="L232" i="3"/>
  <c r="I232" i="3"/>
  <c r="H232" i="3"/>
  <c r="E232" i="3"/>
  <c r="L121" i="3"/>
  <c r="I121" i="3"/>
  <c r="H121" i="3"/>
  <c r="E121" i="3"/>
  <c r="L554" i="3"/>
  <c r="I554" i="3"/>
  <c r="H554" i="3"/>
  <c r="E554" i="3"/>
  <c r="L556" i="3"/>
  <c r="I556" i="3"/>
  <c r="H556" i="3"/>
  <c r="E556" i="3"/>
  <c r="L373" i="3"/>
  <c r="I373" i="3"/>
  <c r="H373" i="3"/>
  <c r="E373" i="3"/>
  <c r="L658" i="3"/>
  <c r="I658" i="3"/>
  <c r="H658" i="3"/>
  <c r="E658" i="3"/>
  <c r="L576" i="3"/>
  <c r="I576" i="3"/>
  <c r="H576" i="3"/>
  <c r="E576" i="3"/>
  <c r="L709" i="3"/>
  <c r="I709" i="3"/>
  <c r="H709" i="3"/>
  <c r="E709" i="3"/>
  <c r="L129" i="3"/>
  <c r="I129" i="3"/>
  <c r="H129" i="3"/>
  <c r="E129" i="3"/>
  <c r="L316" i="3"/>
  <c r="I316" i="3"/>
  <c r="H316" i="3"/>
  <c r="E316" i="3"/>
  <c r="L214" i="3"/>
  <c r="I214" i="3"/>
  <c r="H214" i="3"/>
  <c r="E214" i="3"/>
  <c r="L496" i="3"/>
  <c r="I496" i="3"/>
  <c r="H496" i="3"/>
  <c r="E496" i="3"/>
  <c r="L174" i="3"/>
  <c r="I174" i="3"/>
  <c r="H174" i="3"/>
  <c r="E174" i="3"/>
  <c r="L436" i="3"/>
  <c r="I436" i="3"/>
  <c r="H436" i="3"/>
  <c r="E436" i="3"/>
  <c r="L703" i="3"/>
  <c r="I703" i="3"/>
  <c r="H703" i="3"/>
  <c r="E703" i="3"/>
  <c r="L506" i="3"/>
  <c r="I506" i="3"/>
  <c r="H506" i="3"/>
  <c r="E506" i="3"/>
  <c r="L707" i="3"/>
  <c r="I707" i="3"/>
  <c r="H707" i="3"/>
  <c r="E707" i="3"/>
  <c r="L293" i="3"/>
  <c r="I293" i="3"/>
  <c r="H293" i="3"/>
  <c r="E293" i="3"/>
  <c r="L9" i="3"/>
  <c r="I9" i="3"/>
  <c r="H9" i="3"/>
  <c r="E9" i="3"/>
  <c r="E3" i="3" s="1"/>
  <c r="L84" i="3"/>
  <c r="I84" i="3"/>
  <c r="H84" i="3"/>
  <c r="E84" i="3"/>
  <c r="L355" i="3"/>
  <c r="I355" i="3"/>
  <c r="H355" i="3"/>
  <c r="E355" i="3"/>
  <c r="L343" i="3"/>
  <c r="I343" i="3"/>
  <c r="H343" i="3"/>
  <c r="E343" i="3"/>
  <c r="L215" i="3"/>
  <c r="I215" i="3"/>
  <c r="H215" i="3"/>
  <c r="E215" i="3"/>
  <c r="L221" i="3"/>
  <c r="I221" i="3"/>
  <c r="H221" i="3"/>
  <c r="E221" i="3"/>
  <c r="L458" i="3"/>
  <c r="I458" i="3"/>
  <c r="H458" i="3"/>
  <c r="E458" i="3"/>
  <c r="L525" i="3"/>
  <c r="I525" i="3"/>
  <c r="H525" i="3"/>
  <c r="E525" i="3"/>
  <c r="L743" i="3"/>
  <c r="I743" i="3"/>
  <c r="H743" i="3"/>
  <c r="E743" i="3"/>
  <c r="L82" i="3"/>
  <c r="I82" i="3"/>
  <c r="H82" i="3"/>
  <c r="E82" i="3"/>
  <c r="L678" i="3"/>
  <c r="I678" i="3"/>
  <c r="H678" i="3"/>
  <c r="E678" i="3"/>
  <c r="L697" i="3"/>
  <c r="I697" i="3"/>
  <c r="H697" i="3"/>
  <c r="E697" i="3"/>
  <c r="L723" i="3"/>
  <c r="I723" i="3"/>
  <c r="H723" i="3"/>
  <c r="E723" i="3"/>
  <c r="L302" i="3"/>
  <c r="I302" i="3"/>
  <c r="H302" i="3"/>
  <c r="E302" i="3"/>
  <c r="L217" i="3"/>
  <c r="I217" i="3"/>
  <c r="H217" i="3"/>
  <c r="E217" i="3"/>
  <c r="L342" i="3"/>
  <c r="I342" i="3"/>
  <c r="H342" i="3"/>
  <c r="E342" i="3"/>
  <c r="L469" i="3"/>
  <c r="I469" i="3"/>
  <c r="H469" i="3"/>
  <c r="E469" i="3"/>
  <c r="L139" i="3"/>
  <c r="I139" i="3"/>
  <c r="H139" i="3"/>
  <c r="E139" i="3"/>
  <c r="L771" i="3"/>
  <c r="I771" i="3"/>
  <c r="H771" i="3"/>
  <c r="E771" i="3"/>
  <c r="L297" i="3"/>
  <c r="I297" i="3"/>
  <c r="H297" i="3"/>
  <c r="E297" i="3"/>
  <c r="L776" i="3"/>
  <c r="I776" i="3"/>
  <c r="H776" i="3"/>
  <c r="E776" i="3"/>
  <c r="L164" i="3"/>
  <c r="I164" i="3"/>
  <c r="H164" i="3"/>
  <c r="E164" i="3"/>
  <c r="L15" i="3"/>
  <c r="I15" i="3"/>
  <c r="H15" i="3"/>
  <c r="E15" i="3"/>
  <c r="L40" i="3"/>
  <c r="I40" i="3"/>
  <c r="H40" i="3"/>
  <c r="E40" i="3"/>
  <c r="L115" i="3"/>
  <c r="I115" i="3"/>
  <c r="H115" i="3"/>
  <c r="E115" i="3"/>
  <c r="L346" i="3"/>
  <c r="I346" i="3"/>
  <c r="H346" i="3"/>
  <c r="E346" i="3"/>
  <c r="L137" i="3"/>
  <c r="I137" i="3"/>
  <c r="H137" i="3"/>
  <c r="E137" i="3"/>
  <c r="L705" i="3"/>
  <c r="I705" i="3"/>
  <c r="H705" i="3"/>
  <c r="E705" i="3"/>
  <c r="L620" i="3"/>
  <c r="I620" i="3"/>
  <c r="H620" i="3"/>
  <c r="E620" i="3"/>
  <c r="L536" i="3"/>
  <c r="I536" i="3"/>
  <c r="H536" i="3"/>
  <c r="E536" i="3"/>
  <c r="L231" i="3"/>
  <c r="I231" i="3"/>
  <c r="H231" i="3"/>
  <c r="E231" i="3"/>
  <c r="L332" i="3"/>
  <c r="I332" i="3"/>
  <c r="H332" i="3"/>
  <c r="E332" i="3"/>
  <c r="L286" i="3"/>
  <c r="I286" i="3"/>
  <c r="H286" i="3"/>
  <c r="E286" i="3"/>
  <c r="L444" i="3"/>
  <c r="I444" i="3"/>
  <c r="H444" i="3"/>
  <c r="E444" i="3"/>
  <c r="L292" i="3"/>
  <c r="I292" i="3"/>
  <c r="H292" i="3"/>
  <c r="E292" i="3"/>
  <c r="L775" i="3"/>
  <c r="I775" i="3"/>
  <c r="H775" i="3"/>
  <c r="E775" i="3"/>
  <c r="L523" i="3"/>
  <c r="I523" i="3"/>
  <c r="H523" i="3"/>
  <c r="E523" i="3"/>
  <c r="L591" i="3"/>
  <c r="I591" i="3"/>
  <c r="H591" i="3"/>
  <c r="E591" i="3"/>
  <c r="L313" i="3"/>
  <c r="I313" i="3"/>
  <c r="H313" i="3"/>
  <c r="E313" i="3"/>
  <c r="L278" i="3"/>
  <c r="I278" i="3"/>
  <c r="H278" i="3"/>
  <c r="E278" i="3"/>
  <c r="L179" i="3"/>
  <c r="I179" i="3"/>
  <c r="H179" i="3"/>
  <c r="E179" i="3"/>
  <c r="L636" i="3"/>
  <c r="I636" i="3"/>
  <c r="H636" i="3"/>
  <c r="E636" i="3"/>
  <c r="L20" i="3"/>
  <c r="I20" i="3"/>
  <c r="H20" i="3"/>
  <c r="E20" i="3"/>
  <c r="L290" i="3"/>
  <c r="I290" i="3"/>
  <c r="H290" i="3"/>
  <c r="E290" i="3"/>
  <c r="L296" i="3"/>
  <c r="I296" i="3"/>
  <c r="H296" i="3"/>
  <c r="E296" i="3"/>
  <c r="L779" i="3"/>
  <c r="I779" i="3"/>
  <c r="H779" i="3"/>
  <c r="E779" i="3"/>
  <c r="L575" i="3"/>
  <c r="I575" i="3"/>
  <c r="H575" i="3"/>
  <c r="E575" i="3"/>
  <c r="L173" i="3"/>
  <c r="I173" i="3"/>
  <c r="H173" i="3"/>
  <c r="E173" i="3"/>
  <c r="L670" i="3"/>
  <c r="I670" i="3"/>
  <c r="H670" i="3"/>
  <c r="E670" i="3"/>
  <c r="L783" i="3"/>
  <c r="I783" i="3"/>
  <c r="H783" i="3"/>
  <c r="E783" i="3"/>
  <c r="L298" i="3"/>
  <c r="I298" i="3"/>
  <c r="H298" i="3"/>
  <c r="E298" i="3"/>
  <c r="L104" i="3"/>
  <c r="I104" i="3"/>
  <c r="H104" i="3"/>
  <c r="E104" i="3"/>
  <c r="L171" i="3"/>
  <c r="I171" i="3"/>
  <c r="H171" i="3"/>
  <c r="E171" i="3"/>
  <c r="L134" i="3"/>
  <c r="I134" i="3"/>
  <c r="H134" i="3"/>
  <c r="E134" i="3"/>
  <c r="L281" i="3"/>
  <c r="I281" i="3"/>
  <c r="H281" i="3"/>
  <c r="E281" i="3"/>
  <c r="L41" i="3"/>
  <c r="I41" i="3"/>
  <c r="H41" i="3"/>
  <c r="E41" i="3"/>
  <c r="L10" i="3"/>
  <c r="I10" i="3"/>
  <c r="H10" i="3"/>
  <c r="E10" i="3"/>
  <c r="L443" i="3"/>
  <c r="I443" i="3"/>
  <c r="H443" i="3"/>
  <c r="E443" i="3"/>
  <c r="L741" i="3"/>
  <c r="I741" i="3"/>
  <c r="H741" i="3"/>
  <c r="E741" i="3"/>
  <c r="L522" i="3"/>
  <c r="I522" i="3"/>
  <c r="H522" i="3"/>
  <c r="E522" i="3"/>
  <c r="L628" i="3"/>
  <c r="I628" i="3"/>
  <c r="H628" i="3"/>
  <c r="E628" i="3"/>
  <c r="L62" i="3"/>
  <c r="I62" i="3"/>
  <c r="H62" i="3"/>
  <c r="E62" i="3"/>
  <c r="L423" i="3"/>
  <c r="I423" i="3"/>
  <c r="H423" i="3"/>
  <c r="E423" i="3"/>
  <c r="L422" i="3"/>
  <c r="I422" i="3"/>
  <c r="H422" i="3"/>
  <c r="E422" i="3"/>
  <c r="L643" i="3"/>
  <c r="I643" i="3"/>
  <c r="H643" i="3"/>
  <c r="E643" i="3"/>
  <c r="L610" i="3"/>
  <c r="I610" i="3"/>
  <c r="H610" i="3"/>
  <c r="E610" i="3"/>
  <c r="L660" i="3"/>
  <c r="I660" i="3"/>
  <c r="H660" i="3"/>
  <c r="E660" i="3"/>
  <c r="L303" i="3"/>
  <c r="I303" i="3"/>
  <c r="H303" i="3"/>
  <c r="E303" i="3"/>
  <c r="L769" i="3"/>
  <c r="I769" i="3"/>
  <c r="H769" i="3"/>
  <c r="E769" i="3"/>
  <c r="L382" i="3"/>
  <c r="I382" i="3"/>
  <c r="H382" i="3"/>
  <c r="E382" i="3"/>
  <c r="L271" i="3"/>
  <c r="I271" i="3"/>
  <c r="H271" i="3"/>
  <c r="E271" i="3"/>
  <c r="L54" i="3"/>
  <c r="I54" i="3"/>
  <c r="H54" i="3"/>
  <c r="E54" i="3"/>
  <c r="L685" i="3"/>
  <c r="I685" i="3"/>
  <c r="H685" i="3"/>
  <c r="E685" i="3"/>
  <c r="L239" i="3"/>
  <c r="I239" i="3"/>
  <c r="H239" i="3"/>
  <c r="E239" i="3"/>
  <c r="L135" i="3"/>
  <c r="I135" i="3"/>
  <c r="H135" i="3"/>
  <c r="E135" i="3"/>
  <c r="L695" i="3"/>
  <c r="I695" i="3"/>
  <c r="H695" i="3"/>
  <c r="E695" i="3"/>
  <c r="L412" i="3"/>
  <c r="I412" i="3"/>
  <c r="H412" i="3"/>
  <c r="E412" i="3"/>
  <c r="L512" i="3"/>
  <c r="I512" i="3"/>
  <c r="H512" i="3"/>
  <c r="E512" i="3"/>
  <c r="L146" i="3"/>
  <c r="I146" i="3"/>
  <c r="H146" i="3"/>
  <c r="E146" i="3"/>
  <c r="L85" i="3"/>
  <c r="I85" i="3"/>
  <c r="H85" i="3"/>
  <c r="E85" i="3"/>
  <c r="L517" i="3"/>
  <c r="I517" i="3"/>
  <c r="H517" i="3"/>
  <c r="E517" i="3"/>
  <c r="L452" i="3"/>
  <c r="I452" i="3"/>
  <c r="H452" i="3"/>
  <c r="E452" i="3"/>
  <c r="L347" i="3"/>
  <c r="I347" i="3"/>
  <c r="H347" i="3"/>
  <c r="E347" i="3"/>
  <c r="L682" i="3"/>
  <c r="I682" i="3"/>
  <c r="H682" i="3"/>
  <c r="E682" i="3"/>
  <c r="L259" i="3"/>
  <c r="I259" i="3"/>
  <c r="H259" i="3"/>
  <c r="E259" i="3"/>
  <c r="L513" i="3"/>
  <c r="I513" i="3"/>
  <c r="H513" i="3"/>
  <c r="E513" i="3"/>
  <c r="L76" i="3"/>
  <c r="I76" i="3"/>
  <c r="H76" i="3"/>
  <c r="E76" i="3"/>
  <c r="L265" i="3"/>
  <c r="I265" i="3"/>
  <c r="H265" i="3"/>
  <c r="E265" i="3"/>
  <c r="L699" i="3"/>
  <c r="I699" i="3"/>
  <c r="H699" i="3"/>
  <c r="E699" i="3"/>
  <c r="L763" i="3"/>
  <c r="I763" i="3"/>
  <c r="H763" i="3"/>
  <c r="E763" i="3"/>
  <c r="L475" i="3"/>
  <c r="I475" i="3"/>
  <c r="H475" i="3"/>
  <c r="E475" i="3"/>
  <c r="L295" i="3"/>
  <c r="I295" i="3"/>
  <c r="H295" i="3"/>
  <c r="E295" i="3"/>
  <c r="L400" i="3"/>
  <c r="I400" i="3"/>
  <c r="H400" i="3"/>
  <c r="E400" i="3"/>
  <c r="L52" i="3"/>
  <c r="I52" i="3"/>
  <c r="H52" i="3"/>
  <c r="E52" i="3"/>
  <c r="L461" i="3"/>
  <c r="I461" i="3"/>
  <c r="H461" i="3"/>
  <c r="E461" i="3"/>
  <c r="L56" i="3"/>
  <c r="I56" i="3"/>
  <c r="H56" i="3"/>
  <c r="E56" i="3"/>
  <c r="L213" i="3"/>
  <c r="I213" i="3"/>
  <c r="H213" i="3"/>
  <c r="E213" i="3"/>
  <c r="L542" i="3"/>
  <c r="I542" i="3"/>
  <c r="H542" i="3"/>
  <c r="E542" i="3"/>
  <c r="L770" i="3"/>
  <c r="I770" i="3"/>
  <c r="H770" i="3"/>
  <c r="E770" i="3"/>
  <c r="L34" i="3"/>
  <c r="I34" i="3"/>
  <c r="H34" i="3"/>
  <c r="E34" i="3"/>
  <c r="L760" i="3"/>
  <c r="I760" i="3"/>
  <c r="H760" i="3"/>
  <c r="E760" i="3"/>
  <c r="L203" i="3"/>
  <c r="I203" i="3"/>
  <c r="H203" i="3"/>
  <c r="E203" i="3"/>
  <c r="L744" i="3"/>
  <c r="I744" i="3"/>
  <c r="H744" i="3"/>
  <c r="E744" i="3"/>
  <c r="L38" i="3"/>
  <c r="I38" i="3"/>
  <c r="H38" i="3"/>
  <c r="E38" i="3"/>
  <c r="L387" i="3"/>
  <c r="I387" i="3"/>
  <c r="H387" i="3"/>
  <c r="E387" i="3"/>
  <c r="L600" i="3"/>
  <c r="I600" i="3"/>
  <c r="H600" i="3"/>
  <c r="E600" i="3"/>
  <c r="L220" i="3"/>
  <c r="I220" i="3"/>
  <c r="H220" i="3"/>
  <c r="E220" i="3"/>
  <c r="L579" i="3"/>
  <c r="I579" i="3"/>
  <c r="H579" i="3"/>
  <c r="E579" i="3"/>
  <c r="L719" i="3"/>
  <c r="I719" i="3"/>
  <c r="H719" i="3"/>
  <c r="E719" i="3"/>
  <c r="L178" i="3"/>
  <c r="I178" i="3"/>
  <c r="H178" i="3"/>
  <c r="E178" i="3"/>
  <c r="L149" i="3"/>
  <c r="I149" i="3"/>
  <c r="H149" i="3"/>
  <c r="E149" i="3"/>
  <c r="L321" i="3"/>
  <c r="I321" i="3"/>
  <c r="H321" i="3"/>
  <c r="E321" i="3"/>
  <c r="L236" i="3"/>
  <c r="I236" i="3"/>
  <c r="H236" i="3"/>
  <c r="E236" i="3"/>
  <c r="L450" i="3"/>
  <c r="I450" i="3"/>
  <c r="H450" i="3"/>
  <c r="E450" i="3"/>
  <c r="L110" i="3"/>
  <c r="I110" i="3"/>
  <c r="H110" i="3"/>
  <c r="E110" i="3"/>
  <c r="L487" i="3"/>
  <c r="I487" i="3"/>
  <c r="H487" i="3"/>
  <c r="E487" i="3"/>
  <c r="L448" i="3"/>
  <c r="I448" i="3"/>
  <c r="H448" i="3"/>
  <c r="E448" i="3"/>
  <c r="L608" i="3"/>
  <c r="I608" i="3"/>
  <c r="H608" i="3"/>
  <c r="E608" i="3"/>
  <c r="L732" i="3"/>
  <c r="I732" i="3"/>
  <c r="H732" i="3"/>
  <c r="E732" i="3"/>
  <c r="L509" i="3"/>
  <c r="I509" i="3"/>
  <c r="H509" i="3"/>
  <c r="E509" i="3"/>
  <c r="L514" i="3"/>
  <c r="I514" i="3"/>
  <c r="H514" i="3"/>
  <c r="E514" i="3"/>
  <c r="L537" i="3"/>
  <c r="I537" i="3"/>
  <c r="H537" i="3"/>
  <c r="E537" i="3"/>
  <c r="L492" i="3"/>
  <c r="I492" i="3"/>
  <c r="H492" i="3"/>
  <c r="E492" i="3"/>
  <c r="L362" i="3"/>
  <c r="I362" i="3"/>
  <c r="H362" i="3"/>
  <c r="E362" i="3"/>
  <c r="L39" i="3"/>
  <c r="I39" i="3"/>
  <c r="H39" i="3"/>
  <c r="E39" i="3"/>
  <c r="L571" i="3"/>
  <c r="I571" i="3"/>
  <c r="H571" i="3"/>
  <c r="E571" i="3"/>
  <c r="L397" i="3"/>
  <c r="I397" i="3"/>
  <c r="H397" i="3"/>
  <c r="E397" i="3"/>
  <c r="L350" i="3"/>
  <c r="I350" i="3"/>
  <c r="H350" i="3"/>
  <c r="E350" i="3"/>
  <c r="L315" i="3"/>
  <c r="I315" i="3"/>
  <c r="H315" i="3"/>
  <c r="E315" i="3"/>
  <c r="L142" i="3"/>
  <c r="I142" i="3"/>
  <c r="H142" i="3"/>
  <c r="E142" i="3"/>
  <c r="L739" i="3"/>
  <c r="I739" i="3"/>
  <c r="H739" i="3"/>
  <c r="E739" i="3"/>
  <c r="L353" i="3"/>
  <c r="I353" i="3"/>
  <c r="H353" i="3"/>
  <c r="E353" i="3"/>
  <c r="L251" i="3"/>
  <c r="I251" i="3"/>
  <c r="H251" i="3"/>
  <c r="E251" i="3"/>
  <c r="L312" i="3"/>
  <c r="I312" i="3"/>
  <c r="H312" i="3"/>
  <c r="E312" i="3"/>
  <c r="L268" i="3"/>
  <c r="I268" i="3"/>
  <c r="H268" i="3"/>
  <c r="E268" i="3"/>
  <c r="L674" i="3"/>
  <c r="I674" i="3"/>
  <c r="H674" i="3"/>
  <c r="E674" i="3"/>
  <c r="L166" i="3"/>
  <c r="I166" i="3"/>
  <c r="H166" i="3"/>
  <c r="E166" i="3"/>
  <c r="L358" i="3"/>
  <c r="I358" i="3"/>
  <c r="H358" i="3"/>
  <c r="E358" i="3"/>
  <c r="L735" i="3"/>
  <c r="I735" i="3"/>
  <c r="H735" i="3"/>
  <c r="E735" i="3"/>
  <c r="L503" i="3"/>
  <c r="I503" i="3"/>
  <c r="H503" i="3"/>
  <c r="E503" i="3"/>
  <c r="L601" i="3"/>
  <c r="I601" i="3"/>
  <c r="H601" i="3"/>
  <c r="E601" i="3"/>
  <c r="L63" i="3"/>
  <c r="I63" i="3"/>
  <c r="H63" i="3"/>
  <c r="E63" i="3"/>
  <c r="L299" i="3"/>
  <c r="I299" i="3"/>
  <c r="H299" i="3"/>
  <c r="E299" i="3"/>
  <c r="L183" i="3"/>
  <c r="I183" i="3"/>
  <c r="H183" i="3"/>
  <c r="E183" i="3"/>
  <c r="L464" i="3"/>
  <c r="I464" i="3"/>
  <c r="H464" i="3"/>
  <c r="E464" i="3"/>
  <c r="L687" i="3"/>
  <c r="I687" i="3"/>
  <c r="H687" i="3"/>
  <c r="E687" i="3"/>
  <c r="L612" i="3"/>
  <c r="I612" i="3"/>
  <c r="H612" i="3"/>
  <c r="E612" i="3"/>
  <c r="L639" i="3"/>
  <c r="I639" i="3"/>
  <c r="H639" i="3"/>
  <c r="E639" i="3"/>
  <c r="L90" i="3"/>
  <c r="I90" i="3"/>
  <c r="H90" i="3"/>
  <c r="E90" i="3"/>
  <c r="L380" i="3"/>
  <c r="I380" i="3"/>
  <c r="H380" i="3"/>
  <c r="E380" i="3"/>
  <c r="L83" i="3"/>
  <c r="I83" i="3"/>
  <c r="H83" i="3"/>
  <c r="E83" i="3"/>
  <c r="L226" i="3"/>
  <c r="I226" i="3"/>
  <c r="H226" i="3"/>
  <c r="E226" i="3"/>
  <c r="L633" i="3"/>
  <c r="I633" i="3"/>
  <c r="H633" i="3"/>
  <c r="E633" i="3"/>
  <c r="L594" i="3"/>
  <c r="I594" i="3"/>
  <c r="H594" i="3"/>
  <c r="E594" i="3"/>
  <c r="L291" i="3"/>
  <c r="I291" i="3"/>
  <c r="H291" i="3"/>
  <c r="E291" i="3"/>
  <c r="L117" i="3"/>
  <c r="I117" i="3"/>
  <c r="H117" i="3"/>
  <c r="E117" i="3"/>
  <c r="L96" i="3"/>
  <c r="I96" i="3"/>
  <c r="H96" i="3"/>
  <c r="E96" i="3"/>
  <c r="L187" i="3"/>
  <c r="I187" i="3"/>
  <c r="H187" i="3"/>
  <c r="E187" i="3"/>
  <c r="L566" i="3"/>
  <c r="I566" i="3"/>
  <c r="H566" i="3"/>
  <c r="E566" i="3"/>
  <c r="L285" i="3"/>
  <c r="I285" i="3"/>
  <c r="H285" i="3"/>
  <c r="E285" i="3"/>
  <c r="L781" i="3"/>
  <c r="I781" i="3"/>
  <c r="H781" i="3"/>
  <c r="E781" i="3"/>
  <c r="L17" i="3"/>
  <c r="I17" i="3"/>
  <c r="H17" i="3"/>
  <c r="E17" i="3"/>
  <c r="L78" i="3"/>
  <c r="I78" i="3"/>
  <c r="H78" i="3"/>
  <c r="E78" i="3"/>
  <c r="L754" i="3"/>
  <c r="I754" i="3"/>
  <c r="H754" i="3"/>
  <c r="E754" i="3"/>
  <c r="L686" i="3"/>
  <c r="I686" i="3"/>
  <c r="H686" i="3"/>
  <c r="E686" i="3"/>
  <c r="L71" i="3"/>
  <c r="I71" i="3"/>
  <c r="H71" i="3"/>
  <c r="E71" i="3"/>
  <c r="L657" i="3"/>
  <c r="I657" i="3"/>
  <c r="H657" i="3"/>
  <c r="E657" i="3"/>
  <c r="L111" i="3"/>
  <c r="I111" i="3"/>
  <c r="H111" i="3"/>
  <c r="E111" i="3"/>
  <c r="L495" i="3"/>
  <c r="I495" i="3"/>
  <c r="H495" i="3"/>
  <c r="E495" i="3"/>
  <c r="L539" i="3"/>
  <c r="I539" i="3"/>
  <c r="H539" i="3"/>
  <c r="E539" i="3"/>
  <c r="L272" i="3"/>
  <c r="I272" i="3"/>
  <c r="H272" i="3"/>
  <c r="E272" i="3"/>
  <c r="L244" i="3"/>
  <c r="I244" i="3"/>
  <c r="H244" i="3"/>
  <c r="E244" i="3"/>
  <c r="L227" i="3"/>
  <c r="I227" i="3"/>
  <c r="H227" i="3"/>
  <c r="E227" i="3"/>
  <c r="L663" i="3"/>
  <c r="I663" i="3"/>
  <c r="H663" i="3"/>
  <c r="E663" i="3"/>
  <c r="L206" i="3"/>
  <c r="I206" i="3"/>
  <c r="H206" i="3"/>
  <c r="E206" i="3"/>
  <c r="L46" i="3"/>
  <c r="I46" i="3"/>
  <c r="H46" i="3"/>
  <c r="E46" i="3"/>
  <c r="L79" i="3"/>
  <c r="I79" i="3"/>
  <c r="H79" i="3"/>
  <c r="E79" i="3"/>
  <c r="L418" i="3"/>
  <c r="I418" i="3"/>
  <c r="H418" i="3"/>
  <c r="E418" i="3"/>
  <c r="L518" i="3"/>
  <c r="I518" i="3"/>
  <c r="H518" i="3"/>
  <c r="E518" i="3"/>
  <c r="L773" i="3"/>
  <c r="I773" i="3"/>
  <c r="H773" i="3"/>
  <c r="E773" i="3"/>
  <c r="L229" i="3"/>
  <c r="I229" i="3"/>
  <c r="H229" i="3"/>
  <c r="E229" i="3"/>
  <c r="L667" i="3"/>
  <c r="I667" i="3"/>
  <c r="H667" i="3"/>
  <c r="E667" i="3"/>
  <c r="L338" i="3"/>
  <c r="I338" i="3"/>
  <c r="H338" i="3"/>
  <c r="E338" i="3"/>
  <c r="L182" i="3"/>
  <c r="I182" i="3"/>
  <c r="H182" i="3"/>
  <c r="E182" i="3"/>
  <c r="L515" i="3"/>
  <c r="I515" i="3"/>
  <c r="H515" i="3"/>
  <c r="E515" i="3"/>
  <c r="L233" i="3"/>
  <c r="I233" i="3"/>
  <c r="H233" i="3"/>
  <c r="E233" i="3"/>
  <c r="L394" i="3"/>
  <c r="I394" i="3"/>
  <c r="H394" i="3"/>
  <c r="E394" i="3"/>
  <c r="L376" i="3"/>
  <c r="I376" i="3"/>
  <c r="H376" i="3"/>
  <c r="E376" i="3"/>
  <c r="L459" i="3"/>
  <c r="I459" i="3"/>
  <c r="H459" i="3"/>
  <c r="E459" i="3"/>
  <c r="L611" i="3"/>
  <c r="I611" i="3"/>
  <c r="H611" i="3"/>
  <c r="E611" i="3"/>
  <c r="L372" i="3"/>
  <c r="I372" i="3"/>
  <c r="H372" i="3"/>
  <c r="E372" i="3"/>
  <c r="L198" i="3"/>
  <c r="I198" i="3"/>
  <c r="H198" i="3"/>
  <c r="E198" i="3"/>
  <c r="L529" i="3"/>
  <c r="I529" i="3"/>
  <c r="H529" i="3"/>
  <c r="E529" i="3"/>
  <c r="L755" i="3"/>
  <c r="I755" i="3"/>
  <c r="H755" i="3"/>
  <c r="E755" i="3"/>
  <c r="L726" i="3"/>
  <c r="I726" i="3"/>
  <c r="H726" i="3"/>
  <c r="E726" i="3"/>
  <c r="L37" i="3"/>
  <c r="I37" i="3"/>
  <c r="H37" i="3"/>
  <c r="E37" i="3"/>
  <c r="L68" i="3"/>
  <c r="I68" i="3"/>
  <c r="H68" i="3"/>
  <c r="E68" i="3"/>
  <c r="L252" i="3"/>
  <c r="I252" i="3"/>
  <c r="H252" i="3"/>
  <c r="E252" i="3"/>
  <c r="L767" i="3"/>
  <c r="I767" i="3"/>
  <c r="H767" i="3"/>
  <c r="E767" i="3"/>
  <c r="L155" i="3"/>
  <c r="I155" i="3"/>
  <c r="H155" i="3"/>
  <c r="E155" i="3"/>
  <c r="L419" i="3"/>
  <c r="I419" i="3"/>
  <c r="H419" i="3"/>
  <c r="E419" i="3"/>
  <c r="L530" i="3"/>
  <c r="I530" i="3"/>
  <c r="H530" i="3"/>
  <c r="E530" i="3"/>
  <c r="L314" i="3"/>
  <c r="I314" i="3"/>
  <c r="H314" i="3"/>
  <c r="E314" i="3"/>
  <c r="L491" i="3"/>
  <c r="I491" i="3"/>
  <c r="H491" i="3"/>
  <c r="E491" i="3"/>
  <c r="L766" i="3"/>
  <c r="I766" i="3"/>
  <c r="H766" i="3"/>
  <c r="E766" i="3"/>
  <c r="L544" i="3"/>
  <c r="I544" i="3"/>
  <c r="H544" i="3"/>
  <c r="E544" i="3"/>
  <c r="L722" i="3"/>
  <c r="I722" i="3"/>
  <c r="H722" i="3"/>
  <c r="E722" i="3"/>
  <c r="L519" i="3"/>
  <c r="I519" i="3"/>
  <c r="H519" i="3"/>
  <c r="E519" i="3"/>
  <c r="L476" i="3"/>
  <c r="I476" i="3"/>
  <c r="H476" i="3"/>
  <c r="E476" i="3"/>
  <c r="L609" i="3"/>
  <c r="I609" i="3"/>
  <c r="H609" i="3"/>
  <c r="E609" i="3"/>
  <c r="L93" i="3"/>
  <c r="I93" i="3"/>
  <c r="H93" i="3"/>
  <c r="E93" i="3"/>
  <c r="L170" i="3"/>
  <c r="I170" i="3"/>
  <c r="H170" i="3"/>
  <c r="E170" i="3"/>
  <c r="L14" i="3"/>
  <c r="I14" i="3"/>
  <c r="H14" i="3"/>
  <c r="E14" i="3"/>
  <c r="L429" i="3"/>
  <c r="I429" i="3"/>
  <c r="H429" i="3"/>
  <c r="E429" i="3"/>
  <c r="L368" i="3"/>
  <c r="I368" i="3"/>
  <c r="H368" i="3"/>
  <c r="E368" i="3"/>
  <c r="L477" i="3"/>
  <c r="I477" i="3"/>
  <c r="H477" i="3"/>
  <c r="E477" i="3"/>
  <c r="L425" i="3"/>
  <c r="I425" i="3"/>
  <c r="H425" i="3"/>
  <c r="E425" i="3"/>
  <c r="L12" i="3"/>
  <c r="I12" i="3"/>
  <c r="H12" i="3"/>
  <c r="E12" i="3"/>
  <c r="L260" i="3"/>
  <c r="I260" i="3"/>
  <c r="H260" i="3"/>
  <c r="E260" i="3"/>
  <c r="L352" i="3"/>
  <c r="I352" i="3"/>
  <c r="H352" i="3"/>
  <c r="E352" i="3"/>
  <c r="L207" i="3"/>
  <c r="I207" i="3"/>
  <c r="H207" i="3"/>
  <c r="E207" i="3"/>
  <c r="L407" i="3"/>
  <c r="I407" i="3"/>
  <c r="H407" i="3"/>
  <c r="E407" i="3"/>
  <c r="L35" i="3"/>
  <c r="I35" i="3"/>
  <c r="H35" i="3"/>
  <c r="E35" i="3"/>
  <c r="L445" i="3"/>
  <c r="I445" i="3"/>
  <c r="H445" i="3"/>
  <c r="E445" i="3"/>
  <c r="L482" i="3"/>
  <c r="I482" i="3"/>
  <c r="H482" i="3"/>
  <c r="E482" i="3"/>
  <c r="L561" i="3"/>
  <c r="I561" i="3"/>
  <c r="H561" i="3"/>
  <c r="E561" i="3"/>
  <c r="L661" i="3"/>
  <c r="I661" i="3"/>
  <c r="H661" i="3"/>
  <c r="E661" i="3"/>
  <c r="L130" i="3"/>
  <c r="I130" i="3"/>
  <c r="H130" i="3"/>
  <c r="E130" i="3"/>
  <c r="L696" i="3"/>
  <c r="I696" i="3"/>
  <c r="H696" i="3"/>
  <c r="E696" i="3"/>
  <c r="L453" i="3"/>
  <c r="I453" i="3"/>
  <c r="H453" i="3"/>
  <c r="E453" i="3"/>
  <c r="L642" i="3"/>
  <c r="I642" i="3"/>
  <c r="H642" i="3"/>
  <c r="E642" i="3"/>
  <c r="L582" i="3"/>
  <c r="I582" i="3"/>
  <c r="H582" i="3"/>
  <c r="E582" i="3"/>
  <c r="L555" i="3"/>
  <c r="I555" i="3"/>
  <c r="H555" i="3"/>
  <c r="E555" i="3"/>
  <c r="L348" i="3"/>
  <c r="I348" i="3"/>
  <c r="H348" i="3"/>
  <c r="E348" i="3"/>
  <c r="L341" i="3"/>
  <c r="I341" i="3"/>
  <c r="H341" i="3"/>
  <c r="E341" i="3"/>
  <c r="L420" i="3"/>
  <c r="I420" i="3"/>
  <c r="H420" i="3"/>
  <c r="E420" i="3"/>
  <c r="L598" i="3"/>
  <c r="I598" i="3"/>
  <c r="H598" i="3"/>
  <c r="E598" i="3"/>
  <c r="L391" i="3"/>
  <c r="I391" i="3"/>
  <c r="H391" i="3"/>
  <c r="E391" i="3"/>
  <c r="L223" i="3"/>
  <c r="I223" i="3"/>
  <c r="H223" i="3"/>
  <c r="E223" i="3"/>
  <c r="L668" i="3"/>
  <c r="I668" i="3"/>
  <c r="H668" i="3"/>
  <c r="E668" i="3"/>
  <c r="L505" i="3"/>
  <c r="I505" i="3"/>
  <c r="H505" i="3"/>
  <c r="E505" i="3"/>
  <c r="L87" i="3"/>
  <c r="I87" i="3"/>
  <c r="H87" i="3"/>
  <c r="E87" i="3"/>
  <c r="L50" i="3"/>
  <c r="I50" i="3"/>
  <c r="H50" i="3"/>
  <c r="E50" i="3"/>
  <c r="L602" i="3"/>
  <c r="I602" i="3"/>
  <c r="H602" i="3"/>
  <c r="E602" i="3"/>
  <c r="L605" i="3"/>
  <c r="I605" i="3"/>
  <c r="H605" i="3"/>
  <c r="E605" i="3"/>
  <c r="L712" i="3"/>
  <c r="I712" i="3"/>
  <c r="H712" i="3"/>
  <c r="E712" i="3"/>
  <c r="L27" i="3"/>
  <c r="I27" i="3"/>
  <c r="H27" i="3"/>
  <c r="E27" i="3"/>
  <c r="L201" i="3"/>
  <c r="I201" i="3"/>
  <c r="H201" i="3"/>
  <c r="E201" i="3"/>
  <c r="L762" i="3"/>
  <c r="I762" i="3"/>
  <c r="H762" i="3"/>
  <c r="E762" i="3"/>
  <c r="L535" i="3"/>
  <c r="I535" i="3"/>
  <c r="H535" i="3"/>
  <c r="E535" i="3"/>
  <c r="L284" i="3"/>
  <c r="I284" i="3"/>
  <c r="H284" i="3"/>
  <c r="E284" i="3"/>
  <c r="L415" i="3"/>
  <c r="I415" i="3"/>
  <c r="H415" i="3"/>
  <c r="E415" i="3"/>
  <c r="L354" i="3"/>
  <c r="I354" i="3"/>
  <c r="H354" i="3"/>
  <c r="E354" i="3"/>
  <c r="L276" i="3"/>
  <c r="I276" i="3"/>
  <c r="H276" i="3"/>
  <c r="E276" i="3"/>
  <c r="L33" i="3"/>
  <c r="I33" i="3"/>
  <c r="H33" i="3"/>
  <c r="E33" i="3"/>
  <c r="L548" i="3"/>
  <c r="I548" i="3"/>
  <c r="H548" i="3"/>
  <c r="E548" i="3"/>
  <c r="L70" i="3"/>
  <c r="I70" i="3"/>
  <c r="H70" i="3"/>
  <c r="E70" i="3"/>
  <c r="L467" i="3"/>
  <c r="I467" i="3"/>
  <c r="H467" i="3"/>
  <c r="E467" i="3"/>
  <c r="L107" i="3"/>
  <c r="I107" i="3"/>
  <c r="H107" i="3"/>
  <c r="E107" i="3"/>
  <c r="L615" i="3"/>
  <c r="I615" i="3"/>
  <c r="H615" i="3"/>
  <c r="E615" i="3"/>
  <c r="L309" i="3"/>
  <c r="I309" i="3"/>
  <c r="H309" i="3"/>
  <c r="E309" i="3"/>
  <c r="L740" i="3"/>
  <c r="I740" i="3"/>
  <c r="H740" i="3"/>
  <c r="E740" i="3"/>
  <c r="L154" i="3"/>
  <c r="I154" i="3"/>
  <c r="H154" i="3"/>
  <c r="E154" i="3"/>
  <c r="L409" i="3"/>
  <c r="I409" i="3"/>
  <c r="H409" i="3"/>
  <c r="E409" i="3"/>
  <c r="L141" i="3"/>
  <c r="I141" i="3"/>
  <c r="H141" i="3"/>
  <c r="E141" i="3"/>
  <c r="L650" i="3"/>
  <c r="I650" i="3"/>
  <c r="H650" i="3"/>
  <c r="E650" i="3"/>
  <c r="L270" i="3"/>
  <c r="I270" i="3"/>
  <c r="H270" i="3"/>
  <c r="E270" i="3"/>
  <c r="L560" i="3"/>
  <c r="I560" i="3"/>
  <c r="H560" i="3"/>
  <c r="E560" i="3"/>
  <c r="L336" i="3"/>
  <c r="I336" i="3"/>
  <c r="H336" i="3"/>
  <c r="E336" i="3"/>
  <c r="L778" i="3"/>
  <c r="I778" i="3"/>
  <c r="H778" i="3"/>
  <c r="E778" i="3"/>
  <c r="L734" i="3"/>
  <c r="I734" i="3"/>
  <c r="H734" i="3"/>
  <c r="E734" i="3"/>
  <c r="L427" i="3"/>
  <c r="I427" i="3"/>
  <c r="H427" i="3"/>
  <c r="E427" i="3"/>
  <c r="L58" i="3"/>
  <c r="I58" i="3"/>
  <c r="H58" i="3"/>
  <c r="E58" i="3"/>
  <c r="L202" i="3"/>
  <c r="I202" i="3"/>
  <c r="H202" i="3"/>
  <c r="E202" i="3"/>
  <c r="L565" i="3"/>
  <c r="I565" i="3"/>
  <c r="H565" i="3"/>
  <c r="E565" i="3"/>
  <c r="L191" i="3"/>
  <c r="I191" i="3"/>
  <c r="H191" i="3"/>
  <c r="E191" i="3"/>
  <c r="L308" i="3"/>
  <c r="I308" i="3"/>
  <c r="H308" i="3"/>
  <c r="E308" i="3"/>
  <c r="L665" i="3"/>
  <c r="I665" i="3"/>
  <c r="H665" i="3"/>
  <c r="E665" i="3"/>
  <c r="L580" i="3"/>
  <c r="I580" i="3"/>
  <c r="H580" i="3"/>
  <c r="E580" i="3"/>
  <c r="L324" i="3"/>
  <c r="I324" i="3"/>
  <c r="H324" i="3"/>
  <c r="E324" i="3"/>
  <c r="L248" i="3"/>
  <c r="I248" i="3"/>
  <c r="H248" i="3"/>
  <c r="E248" i="3"/>
  <c r="L258" i="3"/>
  <c r="I258" i="3"/>
  <c r="H258" i="3"/>
  <c r="E258" i="3"/>
  <c r="L275" i="3"/>
  <c r="I275" i="3"/>
  <c r="H275" i="3"/>
  <c r="E275" i="3"/>
  <c r="L150" i="3"/>
  <c r="I150" i="3"/>
  <c r="H150" i="3"/>
  <c r="E150" i="3"/>
  <c r="L23" i="3"/>
  <c r="I23" i="3"/>
  <c r="H23" i="3"/>
  <c r="E23" i="3"/>
  <c r="L680" i="3"/>
  <c r="I680" i="3"/>
  <c r="H680" i="3"/>
  <c r="E680" i="3"/>
  <c r="L550" i="3"/>
  <c r="I550" i="3"/>
  <c r="H550" i="3"/>
  <c r="E550" i="3"/>
  <c r="L720" i="3"/>
  <c r="I720" i="3"/>
  <c r="H720" i="3"/>
  <c r="E720" i="3"/>
  <c r="L175" i="3"/>
  <c r="I175" i="3"/>
  <c r="H175" i="3"/>
  <c r="E175" i="3"/>
  <c r="L637" i="3"/>
  <c r="I637" i="3"/>
  <c r="H637" i="3"/>
  <c r="E637" i="3"/>
  <c r="L424" i="3"/>
  <c r="I424" i="3"/>
  <c r="H424" i="3"/>
  <c r="E424" i="3"/>
  <c r="L379" i="3"/>
  <c r="I379" i="3"/>
  <c r="H379" i="3"/>
  <c r="E379" i="3"/>
  <c r="L280" i="3"/>
  <c r="I280" i="3"/>
  <c r="H280" i="3"/>
  <c r="E280" i="3"/>
  <c r="L241" i="3"/>
  <c r="I241" i="3"/>
  <c r="H241" i="3"/>
  <c r="E241" i="3"/>
  <c r="L136" i="3"/>
  <c r="I136" i="3"/>
  <c r="H136" i="3"/>
  <c r="E136" i="3"/>
  <c r="L588" i="3"/>
  <c r="I588" i="3"/>
  <c r="H588" i="3"/>
  <c r="E588" i="3"/>
  <c r="L718" i="3"/>
  <c r="I718" i="3"/>
  <c r="H718" i="3"/>
  <c r="E718" i="3"/>
  <c r="L318" i="3"/>
  <c r="I318" i="3"/>
  <c r="H318" i="3"/>
  <c r="E318" i="3"/>
  <c r="L653" i="3"/>
  <c r="I653" i="3"/>
  <c r="H653" i="3"/>
  <c r="E653" i="3"/>
  <c r="L655" i="3"/>
  <c r="I655" i="3"/>
  <c r="H655" i="3"/>
  <c r="E655" i="3"/>
  <c r="L261" i="3"/>
  <c r="I261" i="3"/>
  <c r="H261" i="3"/>
  <c r="E261" i="3"/>
  <c r="L69" i="3"/>
  <c r="I69" i="3"/>
  <c r="H69" i="3"/>
  <c r="E69" i="3"/>
  <c r="L158" i="3"/>
  <c r="I158" i="3"/>
  <c r="H158" i="3"/>
  <c r="E158" i="3"/>
  <c r="L330" i="3"/>
  <c r="I330" i="3"/>
  <c r="H330" i="3"/>
  <c r="E330" i="3"/>
  <c r="L648" i="3"/>
  <c r="I648" i="3"/>
  <c r="H648" i="3"/>
  <c r="E648" i="3"/>
  <c r="L688" i="3"/>
  <c r="I688" i="3"/>
  <c r="H688" i="3"/>
  <c r="E688" i="3"/>
  <c r="L751" i="3"/>
  <c r="I751" i="3"/>
  <c r="H751" i="3"/>
  <c r="E751" i="3"/>
  <c r="L97" i="3"/>
  <c r="I97" i="3"/>
  <c r="H97" i="3"/>
  <c r="E97" i="3"/>
  <c r="L470" i="3"/>
  <c r="I470" i="3"/>
  <c r="H470" i="3"/>
  <c r="E470" i="3"/>
  <c r="L143" i="3"/>
  <c r="I143" i="3"/>
  <c r="H143" i="3"/>
  <c r="E143" i="3"/>
  <c r="L222" i="3"/>
  <c r="I222" i="3"/>
  <c r="H222" i="3"/>
  <c r="E222" i="3"/>
  <c r="L710" i="3"/>
  <c r="I710" i="3"/>
  <c r="H710" i="3"/>
  <c r="E710" i="3"/>
  <c r="L123" i="3"/>
  <c r="I123" i="3"/>
  <c r="H123" i="3"/>
  <c r="E123" i="3"/>
  <c r="L81" i="3"/>
  <c r="I81" i="3"/>
  <c r="H81" i="3"/>
  <c r="E81" i="3"/>
  <c r="L144" i="3"/>
  <c r="I144" i="3"/>
  <c r="H144" i="3"/>
  <c r="E144" i="3"/>
  <c r="L282" i="3"/>
  <c r="I282" i="3"/>
  <c r="H282" i="3"/>
  <c r="E282" i="3"/>
  <c r="L235" i="3"/>
  <c r="I235" i="3"/>
  <c r="H235" i="3"/>
  <c r="E235" i="3"/>
  <c r="L617" i="3"/>
  <c r="I617" i="3"/>
  <c r="H617" i="3"/>
  <c r="E617" i="3"/>
  <c r="L219" i="3"/>
  <c r="I219" i="3"/>
  <c r="H219" i="3"/>
  <c r="E219" i="3"/>
  <c r="L619" i="3"/>
  <c r="I619" i="3"/>
  <c r="H619" i="3"/>
  <c r="E619" i="3"/>
  <c r="L193" i="3"/>
  <c r="I193" i="3"/>
  <c r="H193" i="3"/>
  <c r="E193" i="3"/>
  <c r="L247" i="3"/>
  <c r="I247" i="3"/>
  <c r="H247" i="3"/>
  <c r="E247" i="3"/>
  <c r="L729" i="3"/>
  <c r="I729" i="3"/>
  <c r="H729" i="3"/>
  <c r="E729" i="3"/>
  <c r="L334" i="3"/>
  <c r="I334" i="3"/>
  <c r="H334" i="3"/>
  <c r="E334" i="3"/>
  <c r="L784" i="3"/>
  <c r="I784" i="3"/>
  <c r="H784" i="3"/>
  <c r="E784" i="3"/>
  <c r="L157" i="3"/>
  <c r="I157" i="3"/>
  <c r="H157" i="3"/>
  <c r="E157" i="3"/>
  <c r="L327" i="3"/>
  <c r="I327" i="3"/>
  <c r="H327" i="3"/>
  <c r="E327" i="3"/>
  <c r="L749" i="3"/>
  <c r="I749" i="3"/>
  <c r="H749" i="3"/>
  <c r="E749" i="3"/>
  <c r="L681" i="3"/>
  <c r="I681" i="3"/>
  <c r="H681" i="3"/>
  <c r="E681" i="3"/>
  <c r="L114" i="3"/>
  <c r="I114" i="3"/>
  <c r="H114" i="3"/>
  <c r="E114" i="3"/>
  <c r="L618" i="3"/>
  <c r="I618" i="3"/>
  <c r="H618" i="3"/>
  <c r="E618" i="3"/>
  <c r="L684" i="3"/>
  <c r="I684" i="3"/>
  <c r="H684" i="3"/>
  <c r="E684" i="3"/>
  <c r="L479" i="3"/>
  <c r="I479" i="3"/>
  <c r="H479" i="3"/>
  <c r="E479" i="3"/>
  <c r="L77" i="3"/>
  <c r="I77" i="3"/>
  <c r="H77" i="3"/>
  <c r="E77" i="3"/>
  <c r="L24" i="3"/>
  <c r="I24" i="3"/>
  <c r="H24" i="3"/>
  <c r="E24" i="3"/>
  <c r="L257" i="3"/>
  <c r="I257" i="3"/>
  <c r="H257" i="3"/>
  <c r="E257" i="3"/>
  <c r="L237" i="3"/>
  <c r="I237" i="3"/>
  <c r="H237" i="3"/>
  <c r="E237" i="3"/>
  <c r="L325" i="3"/>
  <c r="I325" i="3"/>
  <c r="H325" i="3"/>
  <c r="E325" i="3"/>
  <c r="L647" i="3"/>
  <c r="I647" i="3"/>
  <c r="H647" i="3"/>
  <c r="E647" i="3"/>
  <c r="L67" i="3"/>
  <c r="I67" i="3"/>
  <c r="H67" i="3"/>
  <c r="E67" i="3"/>
  <c r="L574" i="3"/>
  <c r="I574" i="3"/>
  <c r="H574" i="3"/>
  <c r="E574" i="3"/>
  <c r="L322" i="3"/>
  <c r="I322" i="3"/>
  <c r="H322" i="3"/>
  <c r="E322" i="3"/>
  <c r="L48" i="3"/>
  <c r="I48" i="3"/>
  <c r="H48" i="3"/>
  <c r="E48" i="3"/>
  <c r="L521" i="3"/>
  <c r="I521" i="3"/>
  <c r="H521" i="3"/>
  <c r="E521" i="3"/>
  <c r="L438" i="3"/>
  <c r="I438" i="3"/>
  <c r="H438" i="3"/>
  <c r="E438" i="3"/>
  <c r="L433" i="3"/>
  <c r="I433" i="3"/>
  <c r="H433" i="3"/>
  <c r="E433" i="3"/>
  <c r="L526" i="3"/>
  <c r="I526" i="3"/>
  <c r="H526" i="3"/>
  <c r="E526" i="3"/>
  <c r="L254" i="3"/>
  <c r="I254" i="3"/>
  <c r="H254" i="3"/>
  <c r="E254" i="3"/>
  <c r="L100" i="3"/>
  <c r="I100" i="3"/>
  <c r="H100" i="3"/>
  <c r="E100" i="3"/>
  <c r="L614" i="3"/>
  <c r="I614" i="3"/>
  <c r="H614" i="3"/>
  <c r="E614" i="3"/>
  <c r="L55" i="3"/>
  <c r="I55" i="3"/>
  <c r="H55" i="3"/>
  <c r="E55" i="3"/>
  <c r="L640" i="3"/>
  <c r="I640" i="3"/>
  <c r="H640" i="3"/>
  <c r="E640" i="3"/>
  <c r="L162" i="3"/>
  <c r="I162" i="3"/>
  <c r="H162" i="3"/>
  <c r="E162" i="3"/>
  <c r="L245" i="3"/>
  <c r="I245" i="3"/>
  <c r="H245" i="3"/>
  <c r="E245" i="3"/>
  <c r="L724" i="3"/>
  <c r="I724" i="3"/>
  <c r="H724" i="3"/>
  <c r="E724" i="3"/>
  <c r="L733" i="3"/>
  <c r="I733" i="3"/>
  <c r="H733" i="3"/>
  <c r="E733" i="3"/>
  <c r="L91" i="3"/>
  <c r="I91" i="3"/>
  <c r="H91" i="3"/>
  <c r="E91" i="3"/>
  <c r="L502" i="3"/>
  <c r="I502" i="3"/>
  <c r="H502" i="3"/>
  <c r="E502" i="3"/>
  <c r="L176" i="3"/>
  <c r="I176" i="3"/>
  <c r="H176" i="3"/>
  <c r="E176" i="3"/>
  <c r="L384" i="3"/>
  <c r="I384" i="3"/>
  <c r="H384" i="3"/>
  <c r="E384" i="3"/>
  <c r="L772" i="3"/>
  <c r="I772" i="3"/>
  <c r="H772" i="3"/>
  <c r="E772" i="3"/>
  <c r="L694" i="3"/>
  <c r="I694" i="3"/>
  <c r="H694" i="3"/>
  <c r="E694" i="3"/>
  <c r="L662" i="3"/>
  <c r="I662" i="3"/>
  <c r="H662" i="3"/>
  <c r="E662" i="3"/>
  <c r="L553" i="3"/>
  <c r="I553" i="3"/>
  <c r="H553" i="3"/>
  <c r="E553" i="3"/>
  <c r="L472" i="3"/>
  <c r="I472" i="3"/>
  <c r="H472" i="3"/>
  <c r="E472" i="3"/>
  <c r="L396" i="3"/>
  <c r="I396" i="3"/>
  <c r="H396" i="3"/>
  <c r="E396" i="3"/>
  <c r="L485" i="3"/>
  <c r="I485" i="3"/>
  <c r="H485" i="3"/>
  <c r="E485" i="3"/>
  <c r="L716" i="3"/>
  <c r="I716" i="3"/>
  <c r="H716" i="3"/>
  <c r="E716" i="3"/>
  <c r="L266" i="3"/>
  <c r="I266" i="3"/>
  <c r="H266" i="3"/>
  <c r="E266" i="3"/>
  <c r="L474" i="3"/>
  <c r="I474" i="3"/>
  <c r="H474" i="3"/>
  <c r="E474" i="3"/>
  <c r="L701" i="3"/>
  <c r="I701" i="3"/>
  <c r="H701" i="3"/>
  <c r="E701" i="3"/>
  <c r="L73" i="3"/>
  <c r="I73" i="3"/>
  <c r="H73" i="3"/>
  <c r="E73" i="3"/>
  <c r="L301" i="3"/>
  <c r="I301" i="3"/>
  <c r="H301" i="3"/>
  <c r="E301" i="3"/>
  <c r="L311" i="3"/>
  <c r="I311" i="3"/>
  <c r="H311" i="3"/>
  <c r="E311" i="3"/>
  <c r="L49" i="3"/>
  <c r="I49" i="3"/>
  <c r="H49" i="3"/>
  <c r="E49" i="3"/>
  <c r="L465" i="3"/>
  <c r="I465" i="3"/>
  <c r="H465" i="3"/>
  <c r="E465" i="3"/>
  <c r="L29" i="3"/>
  <c r="I29" i="3"/>
  <c r="H29" i="3"/>
  <c r="E29" i="3"/>
  <c r="L543" i="3"/>
  <c r="I543" i="3"/>
  <c r="H543" i="3"/>
  <c r="E543" i="3"/>
  <c r="L616" i="3"/>
  <c r="I616" i="3"/>
  <c r="H616" i="3"/>
  <c r="E616" i="3"/>
  <c r="L75" i="3"/>
  <c r="I75" i="3"/>
  <c r="H75" i="3"/>
  <c r="E75" i="3"/>
  <c r="L745" i="3"/>
  <c r="I745" i="3"/>
  <c r="H745" i="3"/>
  <c r="E745" i="3"/>
  <c r="L717" i="3"/>
  <c r="I717" i="3"/>
  <c r="H717" i="3"/>
  <c r="E717" i="3"/>
  <c r="L460" i="3"/>
  <c r="I460" i="3"/>
  <c r="H460" i="3"/>
  <c r="E460" i="3"/>
  <c r="L359" i="3"/>
  <c r="I359" i="3"/>
  <c r="H359" i="3"/>
  <c r="E359" i="3"/>
  <c r="L664" i="3"/>
  <c r="I664" i="3"/>
  <c r="H664" i="3"/>
  <c r="E664" i="3"/>
  <c r="L581" i="3"/>
  <c r="I581" i="3"/>
  <c r="H581" i="3"/>
  <c r="E581" i="3"/>
  <c r="L486" i="3"/>
  <c r="I486" i="3"/>
  <c r="H486" i="3"/>
  <c r="E486" i="3"/>
  <c r="L568" i="3"/>
  <c r="I568" i="3"/>
  <c r="H568" i="3"/>
  <c r="E568" i="3"/>
  <c r="L127" i="3"/>
  <c r="I127" i="3"/>
  <c r="H127" i="3"/>
  <c r="E127" i="3"/>
  <c r="L748" i="3"/>
  <c r="I748" i="3"/>
  <c r="H748" i="3"/>
  <c r="E748" i="3"/>
  <c r="L626" i="3"/>
  <c r="I626" i="3"/>
  <c r="H626" i="3"/>
  <c r="E626" i="3"/>
  <c r="L399" i="3"/>
  <c r="I399" i="3"/>
  <c r="H399" i="3"/>
  <c r="E399" i="3"/>
  <c r="L484" i="3"/>
  <c r="I484" i="3"/>
  <c r="H484" i="3"/>
  <c r="E484" i="3"/>
  <c r="L120" i="3"/>
  <c r="I120" i="3"/>
  <c r="H120" i="3"/>
  <c r="E120" i="3"/>
  <c r="L132" i="3"/>
  <c r="I132" i="3"/>
  <c r="H132" i="3"/>
  <c r="E132" i="3"/>
  <c r="L30" i="3"/>
  <c r="I30" i="3"/>
  <c r="H30" i="3"/>
  <c r="E30" i="3"/>
  <c r="L466" i="3"/>
  <c r="I466" i="3"/>
  <c r="H466" i="3"/>
  <c r="E466" i="3"/>
  <c r="L208" i="3"/>
  <c r="I208" i="3"/>
  <c r="H208" i="3"/>
  <c r="E208" i="3"/>
  <c r="L758" i="3"/>
  <c r="I758" i="3"/>
  <c r="H758" i="3"/>
  <c r="E758" i="3"/>
  <c r="L349" i="3"/>
  <c r="I349" i="3"/>
  <c r="H349" i="3"/>
  <c r="E349" i="3"/>
  <c r="L288" i="3"/>
  <c r="I288" i="3"/>
  <c r="H288" i="3"/>
  <c r="E288" i="3"/>
  <c r="L18" i="3"/>
  <c r="I18" i="3"/>
  <c r="H18" i="3"/>
  <c r="E18" i="3"/>
  <c r="L172" i="3"/>
  <c r="I172" i="3"/>
  <c r="H172" i="3"/>
  <c r="E172" i="3"/>
  <c r="L51" i="3"/>
  <c r="I51" i="3"/>
  <c r="H51" i="3"/>
  <c r="E51" i="3"/>
  <c r="L541" i="3"/>
  <c r="I541" i="3"/>
  <c r="H541" i="3"/>
  <c r="E541" i="3"/>
  <c r="L527" i="3"/>
  <c r="I527" i="3"/>
  <c r="H527" i="3"/>
  <c r="E527" i="3"/>
  <c r="L499" i="3"/>
  <c r="I499" i="3"/>
  <c r="H499" i="3"/>
  <c r="E499" i="3"/>
  <c r="L623" i="3"/>
  <c r="I623" i="3"/>
  <c r="H623" i="3"/>
  <c r="E623" i="3"/>
  <c r="L442" i="3"/>
  <c r="I442" i="3"/>
  <c r="H442" i="3"/>
  <c r="E442" i="3"/>
  <c r="L383" i="3"/>
  <c r="I383" i="3"/>
  <c r="H383" i="3"/>
  <c r="E383" i="3"/>
  <c r="L190" i="3"/>
  <c r="I190" i="3"/>
  <c r="H190" i="3"/>
  <c r="E190" i="3"/>
  <c r="L631" i="3"/>
  <c r="I631" i="3"/>
  <c r="H631" i="3"/>
  <c r="E631" i="3"/>
  <c r="L590" i="3"/>
  <c r="I590" i="3"/>
  <c r="H590" i="3"/>
  <c r="E590" i="3"/>
  <c r="L398" i="3"/>
  <c r="I398" i="3"/>
  <c r="H398" i="3"/>
  <c r="E398" i="3"/>
  <c r="L426" i="3"/>
  <c r="I426" i="3"/>
  <c r="H426" i="3"/>
  <c r="E426" i="3"/>
  <c r="L406" i="3"/>
  <c r="I406" i="3"/>
  <c r="H406" i="3"/>
  <c r="E406" i="3"/>
  <c r="L540" i="3"/>
  <c r="I540" i="3"/>
  <c r="H540" i="3"/>
  <c r="E540" i="3"/>
  <c r="L596" i="3"/>
  <c r="I596" i="3"/>
  <c r="H596" i="3"/>
  <c r="E596" i="3"/>
  <c r="L95" i="3"/>
  <c r="I95" i="3"/>
  <c r="H95" i="3"/>
  <c r="E95" i="3"/>
  <c r="L411" i="3"/>
  <c r="I411" i="3"/>
  <c r="H411" i="3"/>
  <c r="E411" i="3"/>
  <c r="L691" i="3"/>
  <c r="I691" i="3"/>
  <c r="H691" i="3"/>
  <c r="E691" i="3"/>
  <c r="L711" i="3"/>
  <c r="I711" i="3"/>
  <c r="H711" i="3"/>
  <c r="E711" i="3"/>
  <c r="L279" i="3"/>
  <c r="I279" i="3"/>
  <c r="H279" i="3"/>
  <c r="E279" i="3"/>
  <c r="L567" i="3"/>
  <c r="I567" i="3"/>
  <c r="H567" i="3"/>
  <c r="E567" i="3"/>
  <c r="L57" i="3"/>
  <c r="I57" i="3"/>
  <c r="H57" i="3"/>
  <c r="E57" i="3"/>
  <c r="L335" i="3"/>
  <c r="I335" i="3"/>
  <c r="H335" i="3"/>
  <c r="E335" i="3"/>
  <c r="L592" i="3"/>
  <c r="I592" i="3"/>
  <c r="H592" i="3"/>
  <c r="E592" i="3"/>
  <c r="L357" i="3"/>
  <c r="I357" i="3"/>
  <c r="H357" i="3"/>
  <c r="E357" i="3"/>
  <c r="L632" i="3"/>
  <c r="I632" i="3"/>
  <c r="H632" i="3"/>
  <c r="E632" i="3"/>
  <c r="L439" i="3"/>
  <c r="I439" i="3"/>
  <c r="H439" i="3"/>
  <c r="E439" i="3"/>
  <c r="L89" i="3"/>
  <c r="I89" i="3"/>
  <c r="H89" i="3"/>
  <c r="E89" i="3"/>
  <c r="L92" i="3"/>
  <c r="I92" i="3"/>
  <c r="H92" i="3"/>
  <c r="E92" i="3"/>
  <c r="L230" i="3"/>
  <c r="I230" i="3"/>
  <c r="H230" i="3"/>
  <c r="E230" i="3"/>
  <c r="L310" i="3"/>
  <c r="I310" i="3"/>
  <c r="H310" i="3"/>
  <c r="E310" i="3"/>
  <c r="L593" i="3"/>
  <c r="I593" i="3"/>
  <c r="H593" i="3"/>
  <c r="E593" i="3"/>
  <c r="L319" i="3"/>
  <c r="I319" i="3"/>
  <c r="H319" i="3"/>
  <c r="E319" i="3"/>
  <c r="L262" i="3"/>
  <c r="I262" i="3"/>
  <c r="H262" i="3"/>
  <c r="E262" i="3"/>
  <c r="L119" i="3"/>
  <c r="I119" i="3"/>
  <c r="H119" i="3"/>
  <c r="E119" i="3"/>
  <c r="L742" i="3"/>
  <c r="I742" i="3"/>
  <c r="H742" i="3"/>
  <c r="E742" i="3"/>
  <c r="L780" i="3"/>
  <c r="I780" i="3"/>
  <c r="H780" i="3"/>
  <c r="E780" i="3"/>
  <c r="L274" i="3"/>
  <c r="I274" i="3"/>
  <c r="H274" i="3"/>
  <c r="E274" i="3"/>
  <c r="L317" i="3"/>
  <c r="I317" i="3"/>
  <c r="H317" i="3"/>
  <c r="E317" i="3"/>
  <c r="L106" i="3"/>
  <c r="I106" i="3"/>
  <c r="H106" i="3"/>
  <c r="E106" i="3"/>
  <c r="L140" i="3"/>
  <c r="I140" i="3"/>
  <c r="H140" i="3"/>
  <c r="E140" i="3"/>
  <c r="L304" i="3"/>
  <c r="I304" i="3"/>
  <c r="H304" i="3"/>
  <c r="E304" i="3"/>
  <c r="L604" i="3"/>
  <c r="I604" i="3"/>
  <c r="H604" i="3"/>
  <c r="E604" i="3"/>
  <c r="L708" i="3"/>
  <c r="I708" i="3"/>
  <c r="H708" i="3"/>
  <c r="E708" i="3"/>
  <c r="L430" i="3"/>
  <c r="I430" i="3"/>
  <c r="H430" i="3"/>
  <c r="E430" i="3"/>
  <c r="L381" i="3"/>
  <c r="I381" i="3"/>
  <c r="H381" i="3"/>
  <c r="E381" i="3"/>
  <c r="L13" i="3"/>
  <c r="I13" i="3"/>
  <c r="H13" i="3"/>
  <c r="E13" i="3"/>
  <c r="L463" i="3"/>
  <c r="I463" i="3"/>
  <c r="H463" i="3"/>
  <c r="E463" i="3"/>
  <c r="L105" i="3"/>
  <c r="I105" i="3"/>
  <c r="H105" i="3"/>
  <c r="E105" i="3"/>
  <c r="L672" i="3"/>
  <c r="I672" i="3"/>
  <c r="H672" i="3"/>
  <c r="E672" i="3"/>
  <c r="L646" i="3"/>
  <c r="I646" i="3"/>
  <c r="H646" i="3"/>
  <c r="E646" i="3"/>
  <c r="L629" i="3"/>
  <c r="I629" i="3"/>
  <c r="H629" i="3"/>
  <c r="E629" i="3"/>
  <c r="L216" i="3"/>
  <c r="I216" i="3"/>
  <c r="H216" i="3"/>
  <c r="E216" i="3"/>
  <c r="L504" i="3"/>
  <c r="I504" i="3"/>
  <c r="H504" i="3"/>
  <c r="E504" i="3"/>
  <c r="L375" i="3"/>
  <c r="I375" i="3"/>
  <c r="H375" i="3"/>
  <c r="E375" i="3"/>
  <c r="L263" i="3"/>
  <c r="I263" i="3"/>
  <c r="H263" i="3"/>
  <c r="E263" i="3"/>
  <c r="L634" i="3"/>
  <c r="I634" i="3"/>
  <c r="H634" i="3"/>
  <c r="E634" i="3"/>
  <c r="L455" i="3"/>
  <c r="I455" i="3"/>
  <c r="H455" i="3"/>
  <c r="E455" i="3"/>
  <c r="L641" i="3"/>
  <c r="I641" i="3"/>
  <c r="H641" i="3"/>
  <c r="E641" i="3"/>
  <c r="L42" i="3"/>
  <c r="I42" i="3"/>
  <c r="H42" i="3"/>
  <c r="E42" i="3"/>
  <c r="L306" i="3"/>
  <c r="I306" i="3"/>
  <c r="H306" i="3"/>
  <c r="E306" i="3"/>
  <c r="L125" i="3"/>
  <c r="I125" i="3"/>
  <c r="H125" i="3"/>
  <c r="E125" i="3"/>
  <c r="L494" i="3"/>
  <c r="I494" i="3"/>
  <c r="H494" i="3"/>
  <c r="E494" i="3"/>
  <c r="L273" i="3"/>
  <c r="I273" i="3"/>
  <c r="H273" i="3"/>
  <c r="E273" i="3"/>
  <c r="L225" i="3"/>
  <c r="I225" i="3"/>
  <c r="H225" i="3"/>
  <c r="E225" i="3"/>
  <c r="L212" i="3"/>
  <c r="I212" i="3"/>
  <c r="H212" i="3"/>
  <c r="E212" i="3"/>
  <c r="L122" i="3"/>
  <c r="I122" i="3"/>
  <c r="H122" i="3"/>
  <c r="E122" i="3"/>
  <c r="L577" i="3"/>
  <c r="I577" i="3"/>
  <c r="H577" i="3"/>
  <c r="E577" i="3"/>
  <c r="L757" i="3"/>
  <c r="I757" i="3"/>
  <c r="H757" i="3"/>
  <c r="E757" i="3"/>
  <c r="L656" i="3"/>
  <c r="I656" i="3"/>
  <c r="H656" i="3"/>
  <c r="E656" i="3"/>
  <c r="L98" i="3"/>
  <c r="I98" i="3"/>
  <c r="H98" i="3"/>
  <c r="E98" i="3"/>
  <c r="L218" i="3"/>
  <c r="I218" i="3"/>
  <c r="H218" i="3"/>
  <c r="E218" i="3"/>
  <c r="L124" i="3"/>
  <c r="I124" i="3"/>
  <c r="H124" i="3"/>
  <c r="E124" i="3"/>
  <c r="L689" i="3"/>
  <c r="I689" i="3"/>
  <c r="H689" i="3"/>
  <c r="E689" i="3"/>
  <c r="L395" i="3"/>
  <c r="I395" i="3"/>
  <c r="H395" i="3"/>
  <c r="E395" i="3"/>
  <c r="L138" i="3"/>
  <c r="I138" i="3"/>
  <c r="H138" i="3"/>
  <c r="E138" i="3"/>
  <c r="L194" i="3"/>
  <c r="I194" i="3"/>
  <c r="H194" i="3"/>
  <c r="E194" i="3"/>
  <c r="L256" i="3"/>
  <c r="I256" i="3"/>
  <c r="H256" i="3"/>
  <c r="E256" i="3"/>
  <c r="L510" i="3"/>
  <c r="I510" i="3"/>
  <c r="H510" i="3"/>
  <c r="E510" i="3"/>
  <c r="L25" i="3"/>
  <c r="I25" i="3"/>
  <c r="H25" i="3"/>
  <c r="E25" i="3"/>
  <c r="L753" i="3"/>
  <c r="I753" i="3"/>
  <c r="H753" i="3"/>
  <c r="E753" i="3"/>
  <c r="L264" i="3"/>
  <c r="I264" i="3"/>
  <c r="H264" i="3"/>
  <c r="E264" i="3"/>
  <c r="L351" i="3"/>
  <c r="I351" i="3"/>
  <c r="H351" i="3"/>
  <c r="E351" i="3"/>
  <c r="L287" i="3"/>
  <c r="I287" i="3"/>
  <c r="H287" i="3"/>
  <c r="E287" i="3"/>
  <c r="L679" i="3"/>
  <c r="I679" i="3"/>
  <c r="H679" i="3"/>
  <c r="E679" i="3"/>
  <c r="L192" i="3"/>
  <c r="I192" i="3"/>
  <c r="H192" i="3"/>
  <c r="E192" i="3"/>
  <c r="L435" i="3"/>
  <c r="I435" i="3"/>
  <c r="H435" i="3"/>
  <c r="E435" i="3"/>
  <c r="L462" i="3"/>
  <c r="I462" i="3"/>
  <c r="H462" i="3"/>
  <c r="E462" i="3"/>
  <c r="L19" i="3"/>
  <c r="I19" i="3"/>
  <c r="H19" i="3"/>
  <c r="E19" i="3"/>
  <c r="L627" i="3"/>
  <c r="I627" i="3"/>
  <c r="H627" i="3"/>
  <c r="E627" i="3"/>
  <c r="L765" i="3"/>
  <c r="I765" i="3"/>
  <c r="H765" i="3"/>
  <c r="E765" i="3"/>
  <c r="L161" i="3"/>
  <c r="I161" i="3"/>
  <c r="H161" i="3"/>
  <c r="E161" i="3"/>
  <c r="L774" i="3"/>
  <c r="I774" i="3"/>
  <c r="H774" i="3"/>
  <c r="E774" i="3"/>
  <c r="L159" i="3"/>
  <c r="I159" i="3"/>
  <c r="H159" i="3"/>
  <c r="E159" i="3"/>
  <c r="L725" i="3"/>
  <c r="I725" i="3"/>
  <c r="H725" i="3"/>
  <c r="E725" i="3"/>
  <c r="L11" i="3"/>
  <c r="I11" i="3"/>
  <c r="H11" i="3"/>
  <c r="E11" i="3"/>
  <c r="L761" i="3"/>
  <c r="I761" i="3"/>
  <c r="H761" i="3"/>
  <c r="E761" i="3"/>
  <c r="L184" i="3"/>
  <c r="I184" i="3"/>
  <c r="H184" i="3"/>
  <c r="E184" i="3"/>
  <c r="L156" i="3"/>
  <c r="I156" i="3"/>
  <c r="H156" i="3"/>
  <c r="E156" i="3"/>
  <c r="L557" i="3"/>
  <c r="I557" i="3"/>
  <c r="H557" i="3"/>
  <c r="E557" i="3"/>
  <c r="L36" i="3"/>
  <c r="I36" i="3"/>
  <c r="H36" i="3"/>
  <c r="E36" i="3"/>
  <c r="L546" i="3"/>
  <c r="I546" i="3"/>
  <c r="H546" i="3"/>
  <c r="E546" i="3"/>
  <c r="L168" i="3"/>
  <c r="I168" i="3"/>
  <c r="H168" i="3"/>
  <c r="E168" i="3"/>
  <c r="L563" i="3"/>
  <c r="I563" i="3"/>
  <c r="H563" i="3"/>
  <c r="E563" i="3"/>
  <c r="L456" i="3"/>
  <c r="I456" i="3"/>
  <c r="H456" i="3"/>
  <c r="E456" i="3"/>
  <c r="L28" i="3"/>
  <c r="I28" i="3"/>
  <c r="H28" i="3"/>
  <c r="E28" i="3"/>
  <c r="L86" i="3"/>
  <c r="I86" i="3"/>
  <c r="H86" i="3"/>
  <c r="E86" i="3"/>
  <c r="L603" i="3"/>
  <c r="I603" i="3"/>
  <c r="H603" i="3"/>
  <c r="E603" i="3"/>
  <c r="L199" i="3"/>
  <c r="I199" i="3"/>
  <c r="H199" i="3"/>
  <c r="E199" i="3"/>
  <c r="L414" i="3"/>
  <c r="I414" i="3"/>
  <c r="H414" i="3"/>
  <c r="E414" i="3"/>
  <c r="L690" i="3"/>
  <c r="I690" i="3"/>
  <c r="H690" i="3"/>
  <c r="E690" i="3"/>
  <c r="L676" i="3"/>
  <c r="I676" i="3"/>
  <c r="H676" i="3"/>
  <c r="E676" i="3"/>
  <c r="L267" i="3"/>
  <c r="I267" i="3"/>
  <c r="H267" i="3"/>
  <c r="E267" i="3"/>
  <c r="L759" i="3"/>
  <c r="I759" i="3"/>
  <c r="H759" i="3"/>
  <c r="E759" i="3"/>
  <c r="L587" i="3"/>
  <c r="I587" i="3"/>
  <c r="H587" i="3"/>
  <c r="E587" i="3"/>
  <c r="L677" i="3"/>
  <c r="I677" i="3"/>
  <c r="H677" i="3"/>
  <c r="E677" i="3"/>
  <c r="L65" i="3"/>
  <c r="I65" i="3"/>
  <c r="H65" i="3"/>
  <c r="E65" i="3"/>
  <c r="L165" i="3"/>
  <c r="I165" i="3"/>
  <c r="H165" i="3"/>
  <c r="E165" i="3"/>
  <c r="L186" i="3"/>
  <c r="I186" i="3"/>
  <c r="H186" i="3"/>
  <c r="E186" i="3"/>
  <c r="L163" i="3"/>
  <c r="I163" i="3"/>
  <c r="H163" i="3"/>
  <c r="E163" i="3"/>
  <c r="L570" i="3"/>
  <c r="I570" i="3"/>
  <c r="H570" i="3"/>
  <c r="E570" i="3"/>
  <c r="L702" i="3"/>
  <c r="I702" i="3"/>
  <c r="H702" i="3"/>
  <c r="E702" i="3"/>
  <c r="L700" i="3"/>
  <c r="I700" i="3"/>
  <c r="H700" i="3"/>
  <c r="E700" i="3"/>
  <c r="L558" i="3"/>
  <c r="I558" i="3"/>
  <c r="H558" i="3"/>
  <c r="E558" i="3"/>
  <c r="L44" i="3"/>
  <c r="I44" i="3"/>
  <c r="H44" i="3"/>
  <c r="E44" i="3"/>
  <c r="L624" i="3"/>
  <c r="I624" i="3"/>
  <c r="H624" i="3"/>
  <c r="E624" i="3"/>
  <c r="L673" i="3"/>
  <c r="I673" i="3"/>
  <c r="H673" i="3"/>
  <c r="E673" i="3"/>
  <c r="L60" i="3"/>
  <c r="I60" i="3"/>
  <c r="H60" i="3"/>
  <c r="E60" i="3"/>
  <c r="L706" i="3"/>
  <c r="I706" i="3"/>
  <c r="H706" i="3"/>
  <c r="E706" i="3"/>
  <c r="L118" i="3"/>
  <c r="I118" i="3"/>
  <c r="H118" i="3"/>
  <c r="E118" i="3"/>
  <c r="L606" i="3"/>
  <c r="I606" i="3"/>
  <c r="H606" i="3"/>
  <c r="E606" i="3"/>
  <c r="L116" i="3"/>
  <c r="I116" i="3"/>
  <c r="H116" i="3"/>
  <c r="E116" i="3"/>
  <c r="L61" i="3"/>
  <c r="I61" i="3"/>
  <c r="H61" i="3"/>
  <c r="E61" i="3"/>
  <c r="L238" i="3"/>
  <c r="I238" i="3"/>
  <c r="H238" i="3"/>
  <c r="E238" i="3"/>
  <c r="L497" i="3"/>
  <c r="I497" i="3"/>
  <c r="H497" i="3"/>
  <c r="E497" i="3"/>
  <c r="L644" i="3"/>
  <c r="I644" i="3"/>
  <c r="H644" i="3"/>
  <c r="E644" i="3"/>
  <c r="L26" i="3"/>
  <c r="I26" i="3"/>
  <c r="H26" i="3"/>
  <c r="E26" i="3"/>
  <c r="L538" i="3"/>
  <c r="I538" i="3"/>
  <c r="H538" i="3"/>
  <c r="E538" i="3"/>
  <c r="L621" i="3"/>
  <c r="I621" i="3"/>
  <c r="H621" i="3"/>
  <c r="E621" i="3"/>
  <c r="L374" i="3"/>
  <c r="I374" i="3"/>
  <c r="H374" i="3"/>
  <c r="E374" i="3"/>
  <c r="L669" i="3"/>
  <c r="I669" i="3"/>
  <c r="H669" i="3"/>
  <c r="E669" i="3"/>
  <c r="L242" i="3"/>
  <c r="I242" i="3"/>
  <c r="H242" i="3"/>
  <c r="E242" i="3"/>
  <c r="L552" i="3"/>
  <c r="I552" i="3"/>
  <c r="H552" i="3"/>
  <c r="E552" i="3"/>
  <c r="L345" i="3"/>
  <c r="I345" i="3"/>
  <c r="H345" i="3"/>
  <c r="E345" i="3"/>
  <c r="L607" i="3"/>
  <c r="I607" i="3"/>
  <c r="H607" i="3"/>
  <c r="E607" i="3"/>
  <c r="L468" i="3"/>
  <c r="I468" i="3"/>
  <c r="H468" i="3"/>
  <c r="E468" i="3"/>
  <c r="L250" i="3"/>
  <c r="I250" i="3"/>
  <c r="H250" i="3"/>
  <c r="E250" i="3"/>
  <c r="L181" i="3"/>
  <c r="I181" i="3"/>
  <c r="H181" i="3"/>
  <c r="E181" i="3"/>
  <c r="L249" i="3"/>
  <c r="I249" i="3"/>
  <c r="H249" i="3"/>
  <c r="E249" i="3"/>
  <c r="L528" i="3"/>
  <c r="I528" i="3"/>
  <c r="H528" i="3"/>
  <c r="E528" i="3"/>
  <c r="L145" i="3"/>
  <c r="I145" i="3"/>
  <c r="H145" i="3"/>
  <c r="E145" i="3"/>
  <c r="L768" i="3"/>
  <c r="I768" i="3"/>
  <c r="H768" i="3"/>
  <c r="E768" i="3"/>
  <c r="L246" i="3"/>
  <c r="I246" i="3"/>
  <c r="H246" i="3"/>
  <c r="E246" i="3"/>
  <c r="L671" i="3"/>
  <c r="I671" i="3"/>
  <c r="H671" i="3"/>
  <c r="E671" i="3"/>
  <c r="L393" i="3"/>
  <c r="I393" i="3"/>
  <c r="H393" i="3"/>
  <c r="E393" i="3"/>
  <c r="L45" i="3"/>
  <c r="I45" i="3"/>
  <c r="H45" i="3"/>
  <c r="E45" i="3"/>
  <c r="L195" i="3"/>
  <c r="I195" i="3"/>
  <c r="H195" i="3"/>
  <c r="E195" i="3"/>
  <c r="L583" i="3"/>
  <c r="I583" i="3"/>
  <c r="H583" i="3"/>
  <c r="E583" i="3"/>
  <c r="L746" i="3"/>
  <c r="I746" i="3"/>
  <c r="H746" i="3"/>
  <c r="E746" i="3"/>
  <c r="L377" i="3"/>
  <c r="I377" i="3"/>
  <c r="H377" i="3"/>
  <c r="E377" i="3"/>
  <c r="L72" i="3"/>
  <c r="I72" i="3"/>
  <c r="H72" i="3"/>
  <c r="E72" i="3"/>
  <c r="L507" i="3"/>
  <c r="I507" i="3"/>
  <c r="H507" i="3"/>
  <c r="E507" i="3"/>
  <c r="L404" i="3"/>
  <c r="I404" i="3"/>
  <c r="H404" i="3"/>
  <c r="E404" i="3"/>
  <c r="L471" i="3"/>
  <c r="I471" i="3"/>
  <c r="H471" i="3"/>
  <c r="E471" i="3"/>
  <c r="L148" i="3"/>
  <c r="I148" i="3"/>
  <c r="H148" i="3"/>
  <c r="E148" i="3"/>
  <c r="L363" i="3"/>
  <c r="I363" i="3"/>
  <c r="H363" i="3"/>
  <c r="E363" i="3"/>
  <c r="L585" i="3"/>
  <c r="I585" i="3"/>
  <c r="H585" i="3"/>
  <c r="E585" i="3"/>
  <c r="L289" i="3"/>
  <c r="I289" i="3"/>
  <c r="H289" i="3"/>
  <c r="E289" i="3"/>
  <c r="L654" i="3"/>
  <c r="I654" i="3"/>
  <c r="H654" i="3"/>
  <c r="E654" i="3"/>
  <c r="L490" i="3"/>
  <c r="I490" i="3"/>
  <c r="H490" i="3"/>
  <c r="E490" i="3"/>
  <c r="L204" i="3"/>
  <c r="I204" i="3"/>
  <c r="H204" i="3"/>
  <c r="E204" i="3"/>
  <c r="L88" i="3"/>
  <c r="I88" i="3"/>
  <c r="H88" i="3"/>
  <c r="E88" i="3"/>
  <c r="L390" i="3"/>
  <c r="I390" i="3"/>
  <c r="H390" i="3"/>
  <c r="E390" i="3"/>
  <c r="L167" i="3"/>
  <c r="I167" i="3"/>
  <c r="H167" i="3"/>
  <c r="E167" i="3"/>
  <c r="L572" i="3"/>
  <c r="I572" i="3"/>
  <c r="H572" i="3"/>
  <c r="E572" i="3"/>
  <c r="L578" i="3"/>
  <c r="I578" i="3"/>
  <c r="H578" i="3"/>
  <c r="E578" i="3"/>
  <c r="L738" i="3"/>
  <c r="I738" i="3"/>
  <c r="H738" i="3"/>
  <c r="E738" i="3"/>
  <c r="L511" i="3"/>
  <c r="I511" i="3"/>
  <c r="H511" i="3"/>
  <c r="E511" i="3"/>
  <c r="L489" i="3"/>
  <c r="I489" i="3"/>
  <c r="H489" i="3"/>
  <c r="E489" i="3"/>
  <c r="L210" i="3"/>
  <c r="I210" i="3"/>
  <c r="H210" i="3"/>
  <c r="E210" i="3"/>
  <c r="L388" i="3"/>
  <c r="I388" i="3"/>
  <c r="H388" i="3"/>
  <c r="E388" i="3"/>
  <c r="L481" i="3"/>
  <c r="I481" i="3"/>
  <c r="H481" i="3"/>
  <c r="E481" i="3"/>
  <c r="L326" i="3"/>
  <c r="I326" i="3"/>
  <c r="H326" i="3"/>
  <c r="E326" i="3"/>
  <c r="L488" i="3"/>
  <c r="I488" i="3"/>
  <c r="H488" i="3"/>
  <c r="E488" i="3"/>
  <c r="L516" i="3"/>
  <c r="I516" i="3"/>
  <c r="H516" i="3"/>
  <c r="E516" i="3"/>
  <c r="L401" i="3"/>
  <c r="I401" i="3"/>
  <c r="H401" i="3"/>
  <c r="E401" i="3"/>
  <c r="L434" i="3"/>
  <c r="I434" i="3"/>
  <c r="H434" i="3"/>
  <c r="E434" i="3"/>
  <c r="L113" i="3"/>
  <c r="I113" i="3"/>
  <c r="H113" i="3"/>
  <c r="E113" i="3"/>
  <c r="L366" i="3"/>
  <c r="I366" i="3"/>
  <c r="H366" i="3"/>
  <c r="E366" i="3"/>
  <c r="L307" i="3"/>
  <c r="I307" i="3"/>
  <c r="H307" i="3"/>
  <c r="E307" i="3"/>
  <c r="L428" i="3"/>
  <c r="I428" i="3"/>
  <c r="H428" i="3"/>
  <c r="E428" i="3"/>
  <c r="L385" i="3"/>
  <c r="I385" i="3"/>
  <c r="H385" i="3"/>
  <c r="E385" i="3"/>
  <c r="L323" i="3"/>
  <c r="I323" i="3"/>
  <c r="H323" i="3"/>
  <c r="E323" i="3"/>
  <c r="L416" i="3"/>
  <c r="I416" i="3"/>
  <c r="H416" i="3"/>
  <c r="E416" i="3"/>
  <c r="L437" i="3"/>
  <c r="I437" i="3"/>
  <c r="H437" i="3"/>
  <c r="E437" i="3"/>
  <c r="L777" i="3"/>
  <c r="I777" i="3"/>
  <c r="H777" i="3"/>
  <c r="E777" i="3"/>
  <c r="L80" i="3"/>
  <c r="I80" i="3"/>
  <c r="H80" i="3"/>
  <c r="E80" i="3"/>
  <c r="L356" i="3"/>
  <c r="I356" i="3"/>
  <c r="H356" i="3"/>
  <c r="E356" i="3"/>
  <c r="L446" i="3"/>
  <c r="I446" i="3"/>
  <c r="H446" i="3"/>
  <c r="E446" i="3"/>
  <c r="L713" i="3"/>
  <c r="I713" i="3"/>
  <c r="H713" i="3"/>
  <c r="E713" i="3"/>
  <c r="L188" i="3"/>
  <c r="I188" i="3"/>
  <c r="H188" i="3"/>
  <c r="E188" i="3"/>
  <c r="L597" i="3"/>
  <c r="I597" i="3"/>
  <c r="H597" i="3"/>
  <c r="E597" i="3"/>
  <c r="L683" i="3"/>
  <c r="I683" i="3"/>
  <c r="H683" i="3"/>
  <c r="E683" i="3"/>
  <c r="L635" i="3"/>
  <c r="I635" i="3"/>
  <c r="H635" i="3"/>
  <c r="E635" i="3"/>
  <c r="L361" i="3"/>
  <c r="I361" i="3"/>
  <c r="H361" i="3"/>
  <c r="E361" i="3"/>
  <c r="L630" i="3"/>
  <c r="I630" i="3"/>
  <c r="H630" i="3"/>
  <c r="E630" i="3"/>
  <c r="L451" i="3"/>
  <c r="I451" i="3"/>
  <c r="H451" i="3"/>
  <c r="E451" i="3"/>
  <c r="L545" i="3"/>
  <c r="I545" i="3"/>
  <c r="H545" i="3"/>
  <c r="E545" i="3"/>
  <c r="L320" i="3"/>
  <c r="I320" i="3"/>
  <c r="H320" i="3"/>
  <c r="E320" i="3"/>
  <c r="L102" i="3"/>
  <c r="I102" i="3"/>
  <c r="H102" i="3"/>
  <c r="E102" i="3"/>
  <c r="L66" i="3"/>
  <c r="I66" i="3"/>
  <c r="H66" i="3"/>
  <c r="E66" i="3"/>
  <c r="L64" i="3"/>
  <c r="I64" i="3"/>
  <c r="H64" i="3"/>
  <c r="E64" i="3"/>
  <c r="L367" i="3"/>
  <c r="I367" i="3"/>
  <c r="H367" i="3"/>
  <c r="E367" i="3"/>
  <c r="L365" i="3"/>
  <c r="I365" i="3"/>
  <c r="H365" i="3"/>
  <c r="E365" i="3"/>
  <c r="L177" i="3"/>
  <c r="I177" i="3"/>
  <c r="H177" i="3"/>
  <c r="E177" i="3"/>
  <c r="L737" i="3"/>
  <c r="I737" i="3"/>
  <c r="H737" i="3"/>
  <c r="E737" i="3"/>
  <c r="L473" i="3"/>
  <c r="I473" i="3"/>
  <c r="H473" i="3"/>
  <c r="E473" i="3"/>
  <c r="L386" i="3"/>
  <c r="I386" i="3"/>
  <c r="H386" i="3"/>
  <c r="E386" i="3"/>
  <c r="L457" i="3"/>
  <c r="I457" i="3"/>
  <c r="H457" i="3"/>
  <c r="E457" i="3"/>
  <c r="L652" i="3"/>
  <c r="I652" i="3"/>
  <c r="H652" i="3"/>
  <c r="E652" i="3"/>
  <c r="L666" i="3"/>
  <c r="I666" i="3"/>
  <c r="H666" i="3"/>
  <c r="E666" i="3"/>
  <c r="L551" i="3"/>
  <c r="I551" i="3"/>
  <c r="H551" i="3"/>
  <c r="E551" i="3"/>
  <c r="L300" i="3"/>
  <c r="I300" i="3"/>
  <c r="H300" i="3"/>
  <c r="E300" i="3"/>
  <c r="L532" i="3"/>
  <c r="I532" i="3"/>
  <c r="H532" i="3"/>
  <c r="E532" i="3"/>
  <c r="L447" i="3"/>
  <c r="I447" i="3"/>
  <c r="H447" i="3"/>
  <c r="E447" i="3"/>
  <c r="L333" i="3"/>
  <c r="I333" i="3"/>
  <c r="H333" i="3"/>
  <c r="E333" i="3"/>
  <c r="L410" i="3"/>
  <c r="I410" i="3"/>
  <c r="H410" i="3"/>
  <c r="E410" i="3"/>
  <c r="L147" i="3"/>
  <c r="I147" i="3"/>
  <c r="H147" i="3"/>
  <c r="E147" i="3"/>
  <c r="L625" i="3"/>
  <c r="I625" i="3"/>
  <c r="H625" i="3"/>
  <c r="E625" i="3"/>
  <c r="L478" i="3"/>
  <c r="I478" i="3"/>
  <c r="H478" i="3"/>
  <c r="E478" i="3"/>
  <c r="L392" i="3"/>
  <c r="I392" i="3"/>
  <c r="H392" i="3"/>
  <c r="E392" i="3"/>
  <c r="L269" i="3"/>
  <c r="I269" i="3"/>
  <c r="H269" i="3"/>
  <c r="E269" i="3"/>
  <c r="L747" i="3"/>
  <c r="I747" i="3"/>
  <c r="H747" i="3"/>
  <c r="E747" i="3"/>
  <c r="L151" i="3"/>
  <c r="I151" i="3"/>
  <c r="H151" i="3"/>
  <c r="E151" i="3"/>
  <c r="L160" i="3"/>
  <c r="I160" i="3"/>
  <c r="H160" i="3"/>
  <c r="E160" i="3"/>
  <c r="L53" i="3"/>
  <c r="I53" i="3"/>
  <c r="H53" i="3"/>
  <c r="E53" i="3"/>
  <c r="L622" i="3"/>
  <c r="I622" i="3"/>
  <c r="H622" i="3"/>
  <c r="E622" i="3"/>
  <c r="L126" i="3"/>
  <c r="I126" i="3"/>
  <c r="H126" i="3"/>
  <c r="E126" i="3"/>
  <c r="L405" i="3"/>
  <c r="I405" i="3"/>
  <c r="H405" i="3"/>
  <c r="E405" i="3"/>
  <c r="L277" i="3"/>
  <c r="I277" i="3"/>
  <c r="H277" i="3"/>
  <c r="E277" i="3"/>
  <c r="L59" i="3"/>
  <c r="I59" i="3"/>
  <c r="H59" i="3"/>
  <c r="E59" i="3"/>
  <c r="L692" i="3"/>
  <c r="I692" i="3"/>
  <c r="H692" i="3"/>
  <c r="E692" i="3"/>
  <c r="L531" i="3"/>
  <c r="I531" i="3"/>
  <c r="H531" i="3"/>
  <c r="E531" i="3"/>
  <c r="L562" i="3"/>
  <c r="I562" i="3"/>
  <c r="H562" i="3"/>
  <c r="E562" i="3"/>
  <c r="L441" i="3"/>
  <c r="I441" i="3"/>
  <c r="H441" i="3"/>
  <c r="E441" i="3"/>
  <c r="L128" i="3"/>
  <c r="I128" i="3"/>
  <c r="H128" i="3"/>
  <c r="E128" i="3"/>
  <c r="L736" i="3"/>
  <c r="I736" i="3"/>
  <c r="H736" i="3"/>
  <c r="E736" i="3"/>
  <c r="L586" i="3"/>
  <c r="I586" i="3"/>
  <c r="H586" i="3"/>
  <c r="E586" i="3"/>
  <c r="L693" i="3"/>
  <c r="I693" i="3"/>
  <c r="H693" i="3"/>
  <c r="E693" i="3"/>
  <c r="L109" i="3"/>
  <c r="I109" i="3"/>
  <c r="H109" i="3"/>
  <c r="E109" i="3"/>
  <c r="L189" i="3"/>
  <c r="I189" i="3"/>
  <c r="H189" i="3"/>
  <c r="E189" i="3"/>
  <c r="L493" i="3"/>
  <c r="I493" i="3"/>
  <c r="H493" i="3"/>
  <c r="E493" i="3"/>
  <c r="L533" i="3"/>
  <c r="I533" i="3"/>
  <c r="H533" i="3"/>
  <c r="E533" i="3"/>
  <c r="L440" i="3"/>
  <c r="I440" i="3"/>
  <c r="H440" i="3"/>
  <c r="E440" i="3"/>
  <c r="L185" i="3"/>
  <c r="I185" i="3"/>
  <c r="H185" i="3"/>
  <c r="E185" i="3"/>
  <c r="L378" i="3"/>
  <c r="I378" i="3"/>
  <c r="H378" i="3"/>
  <c r="E378" i="3"/>
  <c r="L228" i="3"/>
  <c r="I228" i="3"/>
  <c r="H228" i="3"/>
  <c r="E228" i="3"/>
  <c r="L32" i="3"/>
  <c r="I32" i="3"/>
  <c r="H32" i="3"/>
  <c r="E32" i="3"/>
  <c r="L547" i="3"/>
  <c r="I547" i="3"/>
  <c r="H547" i="3"/>
  <c r="E547" i="3"/>
  <c r="L329" i="3"/>
  <c r="I329" i="3"/>
  <c r="H329" i="3"/>
  <c r="E329" i="3"/>
  <c r="L649" i="3"/>
  <c r="I649" i="3"/>
  <c r="H649" i="3"/>
  <c r="E649" i="3"/>
  <c r="L454" i="3"/>
  <c r="I454" i="3"/>
  <c r="H454" i="3"/>
  <c r="E454" i="3"/>
  <c r="L715" i="3"/>
  <c r="I715" i="3"/>
  <c r="H715" i="3"/>
  <c r="E715" i="3"/>
  <c r="L21" i="3"/>
  <c r="I21" i="3"/>
  <c r="H21" i="3"/>
  <c r="E21" i="3"/>
  <c r="L417" i="3"/>
  <c r="I417" i="3"/>
  <c r="H417" i="3"/>
  <c r="E417" i="3"/>
  <c r="L224" i="3"/>
  <c r="I224" i="3"/>
  <c r="H224" i="3"/>
  <c r="E224" i="3"/>
  <c r="L534" i="3"/>
  <c r="I534" i="3"/>
  <c r="H534" i="3"/>
  <c r="E534" i="3"/>
  <c r="L549" i="3"/>
  <c r="I549" i="3"/>
  <c r="H549" i="3"/>
  <c r="E549" i="3"/>
  <c r="L234" i="3"/>
  <c r="I234" i="3"/>
  <c r="H234" i="3"/>
  <c r="E234" i="3"/>
  <c r="L480" i="3"/>
  <c r="I480" i="3"/>
  <c r="H480" i="3"/>
  <c r="E480" i="3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E3" i="1"/>
  <c r="I3" i="1"/>
  <c r="E4" i="1"/>
  <c r="I4" i="1"/>
  <c r="E5" i="1"/>
  <c r="I5" i="1"/>
  <c r="E6" i="1"/>
  <c r="I6" i="1"/>
  <c r="E7" i="1"/>
  <c r="I7" i="1"/>
  <c r="E8" i="1"/>
  <c r="I8" i="1"/>
  <c r="E9" i="1"/>
  <c r="I9" i="1"/>
  <c r="E10" i="1"/>
  <c r="I10" i="1"/>
  <c r="E11" i="1"/>
  <c r="I11" i="1"/>
  <c r="E12" i="1"/>
  <c r="I12" i="1"/>
  <c r="E13" i="1"/>
  <c r="I13" i="1"/>
  <c r="E14" i="1"/>
  <c r="I14" i="1"/>
  <c r="E15" i="1"/>
  <c r="I15" i="1"/>
  <c r="E16" i="1"/>
  <c r="I16" i="1"/>
  <c r="E17" i="1"/>
  <c r="I17" i="1"/>
  <c r="E18" i="1"/>
  <c r="I18" i="1"/>
  <c r="E19" i="1"/>
  <c r="I19" i="1"/>
  <c r="E20" i="1"/>
  <c r="I20" i="1"/>
  <c r="E21" i="1"/>
  <c r="I21" i="1"/>
  <c r="E22" i="1"/>
  <c r="I22" i="1"/>
  <c r="E23" i="1"/>
  <c r="I23" i="1"/>
  <c r="E24" i="1"/>
  <c r="I24" i="1"/>
  <c r="E25" i="1"/>
  <c r="I25" i="1"/>
  <c r="E26" i="1"/>
  <c r="I26" i="1"/>
  <c r="E27" i="1"/>
  <c r="I27" i="1"/>
  <c r="E28" i="1"/>
  <c r="I28" i="1"/>
  <c r="E29" i="1"/>
  <c r="I29" i="1"/>
  <c r="E30" i="1"/>
  <c r="I30" i="1"/>
  <c r="E31" i="1"/>
  <c r="I31" i="1"/>
  <c r="E32" i="1"/>
  <c r="I32" i="1"/>
  <c r="E33" i="1"/>
  <c r="I33" i="1"/>
  <c r="E34" i="1"/>
  <c r="I34" i="1"/>
  <c r="E35" i="1"/>
  <c r="I35" i="1"/>
  <c r="E36" i="1"/>
  <c r="I36" i="1"/>
  <c r="E37" i="1"/>
  <c r="I37" i="1"/>
  <c r="E38" i="1"/>
  <c r="I38" i="1"/>
  <c r="E39" i="1"/>
  <c r="I39" i="1"/>
  <c r="E40" i="1"/>
  <c r="I40" i="1"/>
  <c r="E41" i="1"/>
  <c r="I41" i="1"/>
  <c r="E42" i="1"/>
  <c r="I42" i="1"/>
  <c r="E43" i="1"/>
  <c r="I43" i="1"/>
  <c r="E44" i="1"/>
  <c r="I44" i="1"/>
  <c r="E45" i="1"/>
  <c r="I45" i="1"/>
  <c r="E46" i="1"/>
  <c r="I46" i="1"/>
  <c r="E47" i="1"/>
  <c r="I47" i="1"/>
  <c r="E48" i="1"/>
  <c r="I48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E56" i="1"/>
  <c r="I56" i="1"/>
  <c r="E57" i="1"/>
  <c r="I57" i="1"/>
  <c r="E58" i="1"/>
  <c r="I58" i="1"/>
  <c r="E59" i="1"/>
  <c r="I59" i="1"/>
  <c r="E60" i="1"/>
  <c r="I60" i="1"/>
  <c r="E61" i="1"/>
  <c r="I61" i="1"/>
  <c r="E62" i="1"/>
  <c r="I62" i="1"/>
  <c r="E63" i="1"/>
  <c r="I63" i="1"/>
  <c r="E64" i="1"/>
  <c r="I64" i="1"/>
  <c r="E65" i="1"/>
  <c r="I65" i="1"/>
  <c r="E66" i="1"/>
  <c r="I66" i="1"/>
  <c r="E67" i="1"/>
  <c r="I67" i="1"/>
  <c r="E68" i="1"/>
  <c r="I68" i="1"/>
  <c r="E69" i="1"/>
  <c r="I69" i="1"/>
  <c r="E70" i="1"/>
  <c r="I70" i="1"/>
  <c r="E71" i="1"/>
  <c r="I71" i="1"/>
  <c r="E72" i="1"/>
  <c r="I72" i="1"/>
  <c r="E73" i="1"/>
  <c r="I73" i="1"/>
  <c r="E74" i="1"/>
  <c r="I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E83" i="1"/>
  <c r="I83" i="1"/>
  <c r="E84" i="1"/>
  <c r="I84" i="1"/>
  <c r="E85" i="1"/>
  <c r="I85" i="1"/>
  <c r="E86" i="1"/>
  <c r="I86" i="1"/>
  <c r="E87" i="1"/>
  <c r="I87" i="1"/>
  <c r="E88" i="1"/>
  <c r="I88" i="1"/>
  <c r="E89" i="1"/>
  <c r="I89" i="1"/>
  <c r="E90" i="1"/>
  <c r="I90" i="1"/>
  <c r="E91" i="1"/>
  <c r="I91" i="1"/>
  <c r="E92" i="1"/>
  <c r="I92" i="1"/>
  <c r="E93" i="1"/>
  <c r="I93" i="1"/>
  <c r="E94" i="1"/>
  <c r="I94" i="1"/>
  <c r="E95" i="1"/>
  <c r="I95" i="1"/>
  <c r="E96" i="1"/>
  <c r="I96" i="1"/>
  <c r="E97" i="1"/>
  <c r="I97" i="1"/>
  <c r="E98" i="1"/>
  <c r="I98" i="1"/>
  <c r="E99" i="1"/>
  <c r="I99" i="1"/>
  <c r="E100" i="1"/>
  <c r="I100" i="1"/>
  <c r="E101" i="1"/>
  <c r="I101" i="1"/>
  <c r="E102" i="1"/>
  <c r="I102" i="1"/>
  <c r="E103" i="1"/>
  <c r="I103" i="1"/>
  <c r="E104" i="1"/>
  <c r="I104" i="1"/>
  <c r="E105" i="1"/>
  <c r="I105" i="1"/>
  <c r="E106" i="1"/>
  <c r="I106" i="1"/>
  <c r="E107" i="1"/>
  <c r="I107" i="1"/>
  <c r="E108" i="1"/>
  <c r="I108" i="1"/>
  <c r="E109" i="1"/>
  <c r="I109" i="1"/>
  <c r="E110" i="1"/>
  <c r="I110" i="1"/>
  <c r="E111" i="1"/>
  <c r="I111" i="1"/>
  <c r="E112" i="1"/>
  <c r="I112" i="1"/>
  <c r="E113" i="1"/>
  <c r="I113" i="1"/>
  <c r="E114" i="1"/>
  <c r="I114" i="1"/>
  <c r="E115" i="1"/>
  <c r="I115" i="1"/>
  <c r="E116" i="1"/>
  <c r="I116" i="1"/>
  <c r="E117" i="1"/>
  <c r="I117" i="1"/>
  <c r="E118" i="1"/>
  <c r="I118" i="1"/>
  <c r="E119" i="1"/>
  <c r="I119" i="1"/>
  <c r="E120" i="1"/>
  <c r="I120" i="1"/>
  <c r="E121" i="1"/>
  <c r="I121" i="1"/>
  <c r="E122" i="1"/>
  <c r="I122" i="1"/>
  <c r="E123" i="1"/>
  <c r="I123" i="1"/>
  <c r="E124" i="1"/>
  <c r="I124" i="1"/>
  <c r="E125" i="1"/>
  <c r="I125" i="1"/>
  <c r="E126" i="1"/>
  <c r="I126" i="1"/>
  <c r="E127" i="1"/>
  <c r="I127" i="1"/>
  <c r="E128" i="1"/>
  <c r="I128" i="1"/>
  <c r="E129" i="1"/>
  <c r="I129" i="1"/>
  <c r="E130" i="1"/>
  <c r="I130" i="1"/>
  <c r="E131" i="1"/>
  <c r="I131" i="1"/>
  <c r="E132" i="1"/>
  <c r="I132" i="1"/>
  <c r="E133" i="1"/>
  <c r="I133" i="1"/>
  <c r="E134" i="1"/>
  <c r="I134" i="1"/>
  <c r="E135" i="1"/>
  <c r="I135" i="1"/>
  <c r="E136" i="1"/>
  <c r="I136" i="1"/>
  <c r="E137" i="1"/>
  <c r="I137" i="1"/>
  <c r="E138" i="1"/>
  <c r="I138" i="1"/>
  <c r="E139" i="1"/>
  <c r="I139" i="1"/>
  <c r="E140" i="1"/>
  <c r="I140" i="1"/>
  <c r="E141" i="1"/>
  <c r="I141" i="1"/>
  <c r="E142" i="1"/>
  <c r="I142" i="1"/>
  <c r="E143" i="1"/>
  <c r="I143" i="1"/>
  <c r="E144" i="1"/>
  <c r="I144" i="1"/>
  <c r="E145" i="1"/>
  <c r="I145" i="1"/>
  <c r="E146" i="1"/>
  <c r="I146" i="1"/>
  <c r="E147" i="1"/>
  <c r="I147" i="1"/>
  <c r="E148" i="1"/>
  <c r="I148" i="1"/>
  <c r="E149" i="1"/>
  <c r="I149" i="1"/>
  <c r="E150" i="1"/>
  <c r="I150" i="1"/>
  <c r="E151" i="1"/>
  <c r="I151" i="1"/>
  <c r="E152" i="1"/>
  <c r="I152" i="1"/>
  <c r="E153" i="1"/>
  <c r="I153" i="1"/>
  <c r="E154" i="1"/>
  <c r="I154" i="1"/>
  <c r="E155" i="1"/>
  <c r="I155" i="1"/>
  <c r="E156" i="1"/>
  <c r="I156" i="1"/>
  <c r="E157" i="1"/>
  <c r="I157" i="1"/>
  <c r="E158" i="1"/>
  <c r="I158" i="1"/>
  <c r="E159" i="1"/>
  <c r="I159" i="1"/>
  <c r="E160" i="1"/>
  <c r="I160" i="1"/>
  <c r="E161" i="1"/>
  <c r="I161" i="1"/>
  <c r="E162" i="1"/>
  <c r="I162" i="1"/>
  <c r="E163" i="1"/>
  <c r="I163" i="1"/>
  <c r="E164" i="1"/>
  <c r="I164" i="1"/>
  <c r="E165" i="1"/>
  <c r="I165" i="1"/>
  <c r="E166" i="1"/>
  <c r="I166" i="1"/>
  <c r="E167" i="1"/>
  <c r="I167" i="1"/>
  <c r="E168" i="1"/>
  <c r="I168" i="1"/>
  <c r="E169" i="1"/>
  <c r="I169" i="1"/>
  <c r="E170" i="1"/>
  <c r="I170" i="1"/>
  <c r="E171" i="1"/>
  <c r="I171" i="1"/>
  <c r="E172" i="1"/>
  <c r="I172" i="1"/>
  <c r="E173" i="1"/>
  <c r="I173" i="1"/>
  <c r="E174" i="1"/>
  <c r="I174" i="1"/>
  <c r="E175" i="1"/>
  <c r="I175" i="1"/>
  <c r="E176" i="1"/>
  <c r="I176" i="1"/>
  <c r="E177" i="1"/>
  <c r="I177" i="1"/>
  <c r="E178" i="1"/>
  <c r="I178" i="1"/>
  <c r="E179" i="1"/>
  <c r="I179" i="1"/>
  <c r="E180" i="1"/>
  <c r="I180" i="1"/>
  <c r="E181" i="1"/>
  <c r="I181" i="1"/>
  <c r="E182" i="1"/>
  <c r="I182" i="1"/>
  <c r="E183" i="1"/>
  <c r="I183" i="1"/>
  <c r="E184" i="1"/>
  <c r="I184" i="1"/>
  <c r="E185" i="1"/>
  <c r="I185" i="1"/>
  <c r="E186" i="1"/>
  <c r="I186" i="1"/>
  <c r="E187" i="1"/>
  <c r="I187" i="1"/>
  <c r="E188" i="1"/>
  <c r="I188" i="1"/>
  <c r="E189" i="1"/>
  <c r="I189" i="1"/>
  <c r="E190" i="1"/>
  <c r="I190" i="1"/>
  <c r="E191" i="1"/>
  <c r="I191" i="1"/>
  <c r="E192" i="1"/>
  <c r="I192" i="1"/>
  <c r="E193" i="1"/>
  <c r="I193" i="1"/>
  <c r="E194" i="1"/>
  <c r="I194" i="1"/>
  <c r="E195" i="1"/>
  <c r="I195" i="1"/>
  <c r="E196" i="1"/>
  <c r="I196" i="1"/>
  <c r="E197" i="1"/>
  <c r="I197" i="1"/>
  <c r="E198" i="1"/>
  <c r="I198" i="1"/>
  <c r="E199" i="1"/>
  <c r="I199" i="1"/>
  <c r="E200" i="1"/>
  <c r="I200" i="1"/>
  <c r="E201" i="1"/>
  <c r="I201" i="1"/>
  <c r="E202" i="1"/>
  <c r="I202" i="1"/>
  <c r="E203" i="1"/>
  <c r="I203" i="1"/>
  <c r="E204" i="1"/>
  <c r="I204" i="1"/>
  <c r="E205" i="1"/>
  <c r="I205" i="1"/>
  <c r="E206" i="1"/>
  <c r="I206" i="1"/>
  <c r="E207" i="1"/>
  <c r="I207" i="1"/>
  <c r="E208" i="1"/>
  <c r="I208" i="1"/>
  <c r="E209" i="1"/>
  <c r="I209" i="1"/>
  <c r="E210" i="1"/>
  <c r="I210" i="1"/>
  <c r="E211" i="1"/>
  <c r="I211" i="1"/>
  <c r="E212" i="1"/>
  <c r="I212" i="1"/>
  <c r="E213" i="1"/>
  <c r="I213" i="1"/>
  <c r="E214" i="1"/>
  <c r="I214" i="1"/>
  <c r="E215" i="1"/>
  <c r="I215" i="1"/>
  <c r="E216" i="1"/>
  <c r="I216" i="1"/>
  <c r="E217" i="1"/>
  <c r="I217" i="1"/>
  <c r="E218" i="1"/>
  <c r="I218" i="1"/>
  <c r="E219" i="1"/>
  <c r="I219" i="1"/>
  <c r="E220" i="1"/>
  <c r="I220" i="1"/>
  <c r="E221" i="1"/>
  <c r="I221" i="1"/>
  <c r="E222" i="1"/>
  <c r="I222" i="1"/>
  <c r="E223" i="1"/>
  <c r="I223" i="1"/>
  <c r="E224" i="1"/>
  <c r="I224" i="1"/>
  <c r="E225" i="1"/>
  <c r="I225" i="1"/>
  <c r="E226" i="1"/>
  <c r="I226" i="1"/>
  <c r="E227" i="1"/>
  <c r="I227" i="1"/>
  <c r="E228" i="1"/>
  <c r="I228" i="1"/>
  <c r="E229" i="1"/>
  <c r="I229" i="1"/>
  <c r="E230" i="1"/>
  <c r="I230" i="1"/>
  <c r="E231" i="1"/>
  <c r="I231" i="1"/>
  <c r="E232" i="1"/>
  <c r="I232" i="1"/>
  <c r="E233" i="1"/>
  <c r="I233" i="1"/>
  <c r="E234" i="1"/>
  <c r="I234" i="1"/>
  <c r="E235" i="1"/>
  <c r="I235" i="1"/>
  <c r="E236" i="1"/>
  <c r="I236" i="1"/>
  <c r="E237" i="1"/>
  <c r="I237" i="1"/>
  <c r="E238" i="1"/>
  <c r="I238" i="1"/>
  <c r="E239" i="1"/>
  <c r="I239" i="1"/>
  <c r="E240" i="1"/>
  <c r="I240" i="1"/>
  <c r="E241" i="1"/>
  <c r="I241" i="1"/>
  <c r="E242" i="1"/>
  <c r="I242" i="1"/>
  <c r="E243" i="1"/>
  <c r="I243" i="1"/>
  <c r="E244" i="1"/>
  <c r="I244" i="1"/>
  <c r="E245" i="1"/>
  <c r="I245" i="1"/>
  <c r="E246" i="1"/>
  <c r="I246" i="1"/>
  <c r="E247" i="1"/>
  <c r="I247" i="1"/>
  <c r="E248" i="1"/>
  <c r="I248" i="1"/>
  <c r="E249" i="1"/>
  <c r="I249" i="1"/>
  <c r="E250" i="1"/>
  <c r="I250" i="1"/>
  <c r="E251" i="1"/>
  <c r="I251" i="1"/>
  <c r="E252" i="1"/>
  <c r="I252" i="1"/>
  <c r="E253" i="1"/>
  <c r="I253" i="1"/>
  <c r="E254" i="1"/>
  <c r="I254" i="1"/>
  <c r="E255" i="1"/>
  <c r="I255" i="1"/>
  <c r="E256" i="1"/>
  <c r="I256" i="1"/>
  <c r="E257" i="1"/>
  <c r="I257" i="1"/>
  <c r="E258" i="1"/>
  <c r="I258" i="1"/>
  <c r="E259" i="1"/>
  <c r="I259" i="1"/>
  <c r="E260" i="1"/>
  <c r="I260" i="1"/>
  <c r="E261" i="1"/>
  <c r="I261" i="1"/>
  <c r="E262" i="1"/>
  <c r="I262" i="1"/>
  <c r="E263" i="1"/>
  <c r="I263" i="1"/>
  <c r="E264" i="1"/>
  <c r="I264" i="1"/>
  <c r="E265" i="1"/>
  <c r="I265" i="1"/>
  <c r="E266" i="1"/>
  <c r="I266" i="1"/>
  <c r="E267" i="1"/>
  <c r="I267" i="1"/>
  <c r="E268" i="1"/>
  <c r="I268" i="1"/>
  <c r="E269" i="1"/>
  <c r="I269" i="1"/>
  <c r="E270" i="1"/>
  <c r="I270" i="1"/>
  <c r="E271" i="1"/>
  <c r="I271" i="1"/>
  <c r="E272" i="1"/>
  <c r="I272" i="1"/>
  <c r="E273" i="1"/>
  <c r="I273" i="1"/>
  <c r="E274" i="1"/>
  <c r="I274" i="1"/>
  <c r="E275" i="1"/>
  <c r="I275" i="1"/>
  <c r="E276" i="1"/>
  <c r="I276" i="1"/>
  <c r="E277" i="1"/>
  <c r="I277" i="1"/>
  <c r="E278" i="1"/>
  <c r="I278" i="1"/>
  <c r="E279" i="1"/>
  <c r="I279" i="1"/>
  <c r="E280" i="1"/>
  <c r="I280" i="1"/>
  <c r="E281" i="1"/>
  <c r="I281" i="1"/>
  <c r="E282" i="1"/>
  <c r="I282" i="1"/>
  <c r="E283" i="1"/>
  <c r="I283" i="1"/>
  <c r="E284" i="1"/>
  <c r="I284" i="1"/>
  <c r="E285" i="1"/>
  <c r="I285" i="1"/>
  <c r="E286" i="1"/>
  <c r="I286" i="1"/>
  <c r="E287" i="1"/>
  <c r="I287" i="1"/>
  <c r="E288" i="1"/>
  <c r="I288" i="1"/>
  <c r="E289" i="1"/>
  <c r="I289" i="1"/>
  <c r="E290" i="1"/>
  <c r="I290" i="1"/>
  <c r="E291" i="1"/>
  <c r="I291" i="1"/>
  <c r="E292" i="1"/>
  <c r="I292" i="1"/>
  <c r="E293" i="1"/>
  <c r="I293" i="1"/>
  <c r="E294" i="1"/>
  <c r="I294" i="1"/>
  <c r="E295" i="1"/>
  <c r="I295" i="1"/>
  <c r="E296" i="1"/>
  <c r="I296" i="1"/>
  <c r="E297" i="1"/>
  <c r="I297" i="1"/>
  <c r="E298" i="1"/>
  <c r="I298" i="1"/>
  <c r="E299" i="1"/>
  <c r="I299" i="1"/>
  <c r="E300" i="1"/>
  <c r="I300" i="1"/>
  <c r="E301" i="1"/>
  <c r="I301" i="1"/>
  <c r="E302" i="1"/>
  <c r="I302" i="1"/>
  <c r="E303" i="1"/>
  <c r="I303" i="1"/>
  <c r="E304" i="1"/>
  <c r="I304" i="1"/>
  <c r="E305" i="1"/>
  <c r="I305" i="1"/>
  <c r="E306" i="1"/>
  <c r="I306" i="1"/>
  <c r="E307" i="1"/>
  <c r="I307" i="1"/>
  <c r="E308" i="1"/>
  <c r="I308" i="1"/>
  <c r="E309" i="1"/>
  <c r="I309" i="1"/>
  <c r="E310" i="1"/>
  <c r="I310" i="1"/>
  <c r="E311" i="1"/>
  <c r="I311" i="1"/>
  <c r="E312" i="1"/>
  <c r="I312" i="1"/>
  <c r="E313" i="1"/>
  <c r="I313" i="1"/>
  <c r="E314" i="1"/>
  <c r="I314" i="1"/>
  <c r="E315" i="1"/>
  <c r="I315" i="1"/>
  <c r="E316" i="1"/>
  <c r="I316" i="1"/>
  <c r="E317" i="1"/>
  <c r="I317" i="1"/>
  <c r="E318" i="1"/>
  <c r="I318" i="1"/>
  <c r="E319" i="1"/>
  <c r="I319" i="1"/>
  <c r="E320" i="1"/>
  <c r="I320" i="1"/>
  <c r="E321" i="1"/>
  <c r="I321" i="1"/>
  <c r="E322" i="1"/>
  <c r="I322" i="1"/>
  <c r="E323" i="1"/>
  <c r="I323" i="1"/>
  <c r="E324" i="1"/>
  <c r="I324" i="1"/>
  <c r="E325" i="1"/>
  <c r="I325" i="1"/>
  <c r="E326" i="1"/>
  <c r="I326" i="1"/>
  <c r="E327" i="1"/>
  <c r="I327" i="1"/>
  <c r="E328" i="1"/>
  <c r="I328" i="1"/>
  <c r="E329" i="1"/>
  <c r="I329" i="1"/>
  <c r="E330" i="1"/>
  <c r="I330" i="1"/>
  <c r="E331" i="1"/>
  <c r="I331" i="1"/>
  <c r="E332" i="1"/>
  <c r="I332" i="1"/>
  <c r="E333" i="1"/>
  <c r="I333" i="1"/>
  <c r="E334" i="1"/>
  <c r="I334" i="1"/>
  <c r="E335" i="1"/>
  <c r="I335" i="1"/>
  <c r="E336" i="1"/>
  <c r="I336" i="1"/>
  <c r="E337" i="1"/>
  <c r="I337" i="1"/>
  <c r="E338" i="1"/>
  <c r="I338" i="1"/>
  <c r="E339" i="1"/>
  <c r="I339" i="1"/>
  <c r="E340" i="1"/>
  <c r="I340" i="1"/>
  <c r="E341" i="1"/>
  <c r="I341" i="1"/>
  <c r="E342" i="1"/>
  <c r="I342" i="1"/>
  <c r="E343" i="1"/>
  <c r="I343" i="1"/>
  <c r="E344" i="1"/>
  <c r="I344" i="1"/>
  <c r="E345" i="1"/>
  <c r="I345" i="1"/>
  <c r="E346" i="1"/>
  <c r="I346" i="1"/>
  <c r="E347" i="1"/>
  <c r="I347" i="1"/>
  <c r="E348" i="1"/>
  <c r="I348" i="1"/>
  <c r="E349" i="1"/>
  <c r="I349" i="1"/>
  <c r="E350" i="1"/>
  <c r="I350" i="1"/>
  <c r="E351" i="1"/>
  <c r="I351" i="1"/>
  <c r="E352" i="1"/>
  <c r="I352" i="1"/>
  <c r="E353" i="1"/>
  <c r="I353" i="1"/>
  <c r="E354" i="1"/>
  <c r="I354" i="1"/>
  <c r="E355" i="1"/>
  <c r="I355" i="1"/>
  <c r="E356" i="1"/>
  <c r="I356" i="1"/>
  <c r="E357" i="1"/>
  <c r="I357" i="1"/>
  <c r="E358" i="1"/>
  <c r="I358" i="1"/>
  <c r="E359" i="1"/>
  <c r="I359" i="1"/>
  <c r="E360" i="1"/>
  <c r="I360" i="1"/>
  <c r="E361" i="1"/>
  <c r="I361" i="1"/>
  <c r="E362" i="1"/>
  <c r="I362" i="1"/>
  <c r="E363" i="1"/>
  <c r="I363" i="1"/>
  <c r="E364" i="1"/>
  <c r="I364" i="1"/>
  <c r="E365" i="1"/>
  <c r="I365" i="1"/>
  <c r="E366" i="1"/>
  <c r="I366" i="1"/>
  <c r="E367" i="1"/>
  <c r="I367" i="1"/>
  <c r="E368" i="1"/>
  <c r="I368" i="1"/>
  <c r="E369" i="1"/>
  <c r="I369" i="1"/>
  <c r="E370" i="1"/>
  <c r="I370" i="1"/>
  <c r="E371" i="1"/>
  <c r="I371" i="1"/>
  <c r="E372" i="1"/>
  <c r="I372" i="1"/>
  <c r="E373" i="1"/>
  <c r="I373" i="1"/>
  <c r="E374" i="1"/>
  <c r="I374" i="1"/>
  <c r="E375" i="1"/>
  <c r="I375" i="1"/>
  <c r="E376" i="1"/>
  <c r="I376" i="1"/>
  <c r="E377" i="1"/>
  <c r="I377" i="1"/>
  <c r="E378" i="1"/>
  <c r="I378" i="1"/>
  <c r="E379" i="1"/>
  <c r="I379" i="1"/>
  <c r="E380" i="1"/>
  <c r="I380" i="1"/>
  <c r="E381" i="1"/>
  <c r="I381" i="1"/>
  <c r="E382" i="1"/>
  <c r="I382" i="1"/>
  <c r="E383" i="1"/>
  <c r="I383" i="1"/>
  <c r="E384" i="1"/>
  <c r="I384" i="1"/>
  <c r="E385" i="1"/>
  <c r="I385" i="1"/>
  <c r="E386" i="1"/>
  <c r="I386" i="1"/>
  <c r="E387" i="1"/>
  <c r="I387" i="1"/>
  <c r="E388" i="1"/>
  <c r="I388" i="1"/>
  <c r="E389" i="1"/>
  <c r="I389" i="1"/>
  <c r="E390" i="1"/>
  <c r="I390" i="1"/>
  <c r="E391" i="1"/>
  <c r="I391" i="1"/>
  <c r="E392" i="1"/>
  <c r="I392" i="1"/>
  <c r="E393" i="1"/>
  <c r="I393" i="1"/>
  <c r="E394" i="1"/>
  <c r="I394" i="1"/>
  <c r="E395" i="1"/>
  <c r="I395" i="1"/>
  <c r="E396" i="1"/>
  <c r="I396" i="1"/>
  <c r="E397" i="1"/>
  <c r="I397" i="1"/>
  <c r="E398" i="1"/>
  <c r="I398" i="1"/>
  <c r="E399" i="1"/>
  <c r="I399" i="1"/>
  <c r="E400" i="1"/>
  <c r="I400" i="1"/>
  <c r="E401" i="1"/>
  <c r="I401" i="1"/>
  <c r="E402" i="1"/>
  <c r="I402" i="1"/>
  <c r="E403" i="1"/>
  <c r="I403" i="1"/>
  <c r="E404" i="1"/>
  <c r="I404" i="1"/>
  <c r="E405" i="1"/>
  <c r="I405" i="1"/>
  <c r="E406" i="1"/>
  <c r="I406" i="1"/>
  <c r="E407" i="1"/>
  <c r="I407" i="1"/>
  <c r="E408" i="1"/>
  <c r="I408" i="1"/>
  <c r="E409" i="1"/>
  <c r="I409" i="1"/>
  <c r="E410" i="1"/>
  <c r="I410" i="1"/>
  <c r="E411" i="1"/>
  <c r="I411" i="1"/>
  <c r="E412" i="1"/>
  <c r="I412" i="1"/>
  <c r="E413" i="1"/>
  <c r="I413" i="1"/>
  <c r="E414" i="1"/>
  <c r="I414" i="1"/>
  <c r="E415" i="1"/>
  <c r="I415" i="1"/>
  <c r="E416" i="1"/>
  <c r="I416" i="1"/>
  <c r="E417" i="1"/>
  <c r="I417" i="1"/>
  <c r="E418" i="1"/>
  <c r="I418" i="1"/>
  <c r="E419" i="1"/>
  <c r="I419" i="1"/>
  <c r="E420" i="1"/>
  <c r="I420" i="1"/>
  <c r="E421" i="1"/>
  <c r="I421" i="1"/>
  <c r="E422" i="1"/>
  <c r="I422" i="1"/>
  <c r="E423" i="1"/>
  <c r="I423" i="1"/>
  <c r="E424" i="1"/>
  <c r="I424" i="1"/>
  <c r="E425" i="1"/>
  <c r="I425" i="1"/>
  <c r="E426" i="1"/>
  <c r="I426" i="1"/>
  <c r="E427" i="1"/>
  <c r="I427" i="1"/>
  <c r="E428" i="1"/>
  <c r="I428" i="1"/>
  <c r="E429" i="1"/>
  <c r="I429" i="1"/>
  <c r="E430" i="1"/>
  <c r="I430" i="1"/>
  <c r="E431" i="1"/>
  <c r="I431" i="1"/>
  <c r="E432" i="1"/>
  <c r="I432" i="1"/>
  <c r="E433" i="1"/>
  <c r="I433" i="1"/>
  <c r="E434" i="1"/>
  <c r="I434" i="1"/>
  <c r="E435" i="1"/>
  <c r="I435" i="1"/>
  <c r="E436" i="1"/>
  <c r="I436" i="1"/>
  <c r="E437" i="1"/>
  <c r="I437" i="1"/>
  <c r="E438" i="1"/>
  <c r="I438" i="1"/>
  <c r="E439" i="1"/>
  <c r="I439" i="1"/>
  <c r="E440" i="1"/>
  <c r="I440" i="1"/>
  <c r="E441" i="1"/>
  <c r="I441" i="1"/>
  <c r="E442" i="1"/>
  <c r="I442" i="1"/>
  <c r="E443" i="1"/>
  <c r="I443" i="1"/>
  <c r="E444" i="1"/>
  <c r="I444" i="1"/>
  <c r="E445" i="1"/>
  <c r="I445" i="1"/>
  <c r="E446" i="1"/>
  <c r="I446" i="1"/>
  <c r="E447" i="1"/>
  <c r="I447" i="1"/>
  <c r="E448" i="1"/>
  <c r="I448" i="1"/>
  <c r="E449" i="1"/>
  <c r="I449" i="1"/>
  <c r="E450" i="1"/>
  <c r="I450" i="1"/>
  <c r="E451" i="1"/>
  <c r="I451" i="1"/>
  <c r="E452" i="1"/>
  <c r="I452" i="1"/>
  <c r="E453" i="1"/>
  <c r="I453" i="1"/>
  <c r="E454" i="1"/>
  <c r="I454" i="1"/>
  <c r="E455" i="1"/>
  <c r="I455" i="1"/>
  <c r="E456" i="1"/>
  <c r="I456" i="1"/>
  <c r="E457" i="1"/>
  <c r="I457" i="1"/>
  <c r="E458" i="1"/>
  <c r="I458" i="1"/>
  <c r="E459" i="1"/>
  <c r="I459" i="1"/>
  <c r="E460" i="1"/>
  <c r="I460" i="1"/>
  <c r="E461" i="1"/>
  <c r="I461" i="1"/>
  <c r="E462" i="1"/>
  <c r="I462" i="1"/>
  <c r="E463" i="1"/>
  <c r="I463" i="1"/>
  <c r="E464" i="1"/>
  <c r="I464" i="1"/>
  <c r="E465" i="1"/>
  <c r="I465" i="1"/>
  <c r="E466" i="1"/>
  <c r="I466" i="1"/>
  <c r="E467" i="1"/>
  <c r="I467" i="1"/>
  <c r="E468" i="1"/>
  <c r="I468" i="1"/>
  <c r="E469" i="1"/>
  <c r="I469" i="1"/>
  <c r="E470" i="1"/>
  <c r="I470" i="1"/>
  <c r="E471" i="1"/>
  <c r="I471" i="1"/>
  <c r="E472" i="1"/>
  <c r="I472" i="1"/>
  <c r="E473" i="1"/>
  <c r="I473" i="1"/>
  <c r="E474" i="1"/>
  <c r="I474" i="1"/>
  <c r="E475" i="1"/>
  <c r="I475" i="1"/>
  <c r="E476" i="1"/>
  <c r="I476" i="1"/>
  <c r="E477" i="1"/>
  <c r="I477" i="1"/>
  <c r="E478" i="1"/>
  <c r="I478" i="1"/>
  <c r="E479" i="1"/>
  <c r="I479" i="1"/>
  <c r="E480" i="1"/>
  <c r="I480" i="1"/>
  <c r="E481" i="1"/>
  <c r="I481" i="1"/>
  <c r="E482" i="1"/>
  <c r="I482" i="1"/>
  <c r="E483" i="1"/>
  <c r="I483" i="1"/>
  <c r="E484" i="1"/>
  <c r="I484" i="1"/>
  <c r="E485" i="1"/>
  <c r="I485" i="1"/>
  <c r="E486" i="1"/>
  <c r="I486" i="1"/>
  <c r="E487" i="1"/>
  <c r="I487" i="1"/>
  <c r="E488" i="1"/>
  <c r="I488" i="1"/>
  <c r="E489" i="1"/>
  <c r="I489" i="1"/>
  <c r="E490" i="1"/>
  <c r="I490" i="1"/>
  <c r="E491" i="1"/>
  <c r="I491" i="1"/>
  <c r="E492" i="1"/>
  <c r="I492" i="1"/>
  <c r="E493" i="1"/>
  <c r="I493" i="1"/>
  <c r="E494" i="1"/>
  <c r="I494" i="1"/>
  <c r="E495" i="1"/>
  <c r="I495" i="1"/>
  <c r="E496" i="1"/>
  <c r="I496" i="1"/>
  <c r="E497" i="1"/>
  <c r="I497" i="1"/>
  <c r="E498" i="1"/>
  <c r="I498" i="1"/>
  <c r="E499" i="1"/>
  <c r="I499" i="1"/>
  <c r="E500" i="1"/>
  <c r="I500" i="1"/>
  <c r="E501" i="1"/>
  <c r="I501" i="1"/>
  <c r="E502" i="1"/>
  <c r="I502" i="1"/>
  <c r="E503" i="1"/>
  <c r="I503" i="1"/>
  <c r="E504" i="1"/>
  <c r="I504" i="1"/>
  <c r="E505" i="1"/>
  <c r="I505" i="1"/>
  <c r="E506" i="1"/>
  <c r="I506" i="1"/>
  <c r="E507" i="1"/>
  <c r="I507" i="1"/>
  <c r="E508" i="1"/>
  <c r="I508" i="1"/>
  <c r="E509" i="1"/>
  <c r="I509" i="1"/>
  <c r="E510" i="1"/>
  <c r="I510" i="1"/>
  <c r="E511" i="1"/>
  <c r="I511" i="1"/>
  <c r="E512" i="1"/>
  <c r="I512" i="1"/>
  <c r="E513" i="1"/>
  <c r="I513" i="1"/>
  <c r="E514" i="1"/>
  <c r="I514" i="1"/>
  <c r="E515" i="1"/>
  <c r="I515" i="1"/>
  <c r="E516" i="1"/>
  <c r="I516" i="1"/>
  <c r="E517" i="1"/>
  <c r="I517" i="1"/>
  <c r="E518" i="1"/>
  <c r="I518" i="1"/>
  <c r="E519" i="1"/>
  <c r="I519" i="1"/>
  <c r="E520" i="1"/>
  <c r="I520" i="1"/>
  <c r="E521" i="1"/>
  <c r="I521" i="1"/>
  <c r="E522" i="1"/>
  <c r="I522" i="1"/>
  <c r="E523" i="1"/>
  <c r="I523" i="1"/>
  <c r="E524" i="1"/>
  <c r="I524" i="1"/>
  <c r="E525" i="1"/>
  <c r="I525" i="1"/>
  <c r="E526" i="1"/>
  <c r="I526" i="1"/>
  <c r="E527" i="1"/>
  <c r="I527" i="1"/>
  <c r="E528" i="1"/>
  <c r="I528" i="1"/>
  <c r="E529" i="1"/>
  <c r="I529" i="1"/>
  <c r="E530" i="1"/>
  <c r="I530" i="1"/>
  <c r="E531" i="1"/>
  <c r="I531" i="1"/>
  <c r="E532" i="1"/>
  <c r="I532" i="1"/>
  <c r="E533" i="1"/>
  <c r="I533" i="1"/>
  <c r="E534" i="1"/>
  <c r="I534" i="1"/>
  <c r="E535" i="1"/>
  <c r="I535" i="1"/>
  <c r="E536" i="1"/>
  <c r="I536" i="1"/>
  <c r="E537" i="1"/>
  <c r="I537" i="1"/>
  <c r="E538" i="1"/>
  <c r="I538" i="1"/>
  <c r="E539" i="1"/>
  <c r="I539" i="1"/>
  <c r="E540" i="1"/>
  <c r="I540" i="1"/>
  <c r="E541" i="1"/>
  <c r="I541" i="1"/>
  <c r="E542" i="1"/>
  <c r="I542" i="1"/>
  <c r="E543" i="1"/>
  <c r="I543" i="1"/>
  <c r="E544" i="1"/>
  <c r="I544" i="1"/>
  <c r="E545" i="1"/>
  <c r="I545" i="1"/>
  <c r="E546" i="1"/>
  <c r="I546" i="1"/>
  <c r="E547" i="1"/>
  <c r="I547" i="1"/>
  <c r="E548" i="1"/>
  <c r="I548" i="1"/>
  <c r="E549" i="1"/>
  <c r="I549" i="1"/>
  <c r="E550" i="1"/>
  <c r="I550" i="1"/>
  <c r="E551" i="1"/>
  <c r="I551" i="1"/>
  <c r="E552" i="1"/>
  <c r="I552" i="1"/>
  <c r="E553" i="1"/>
  <c r="I553" i="1"/>
  <c r="E554" i="1"/>
  <c r="I554" i="1"/>
  <c r="E555" i="1"/>
  <c r="I555" i="1"/>
  <c r="E556" i="1"/>
  <c r="I556" i="1"/>
  <c r="E557" i="1"/>
  <c r="I557" i="1"/>
  <c r="E558" i="1"/>
  <c r="I558" i="1"/>
  <c r="E559" i="1"/>
  <c r="I559" i="1"/>
  <c r="E560" i="1"/>
  <c r="I560" i="1"/>
  <c r="E561" i="1"/>
  <c r="I561" i="1"/>
  <c r="E562" i="1"/>
  <c r="I562" i="1"/>
  <c r="E563" i="1"/>
  <c r="I563" i="1"/>
  <c r="E564" i="1"/>
  <c r="I564" i="1"/>
  <c r="E565" i="1"/>
  <c r="I565" i="1"/>
  <c r="E566" i="1"/>
  <c r="I566" i="1"/>
  <c r="E567" i="1"/>
  <c r="I567" i="1"/>
  <c r="E568" i="1"/>
  <c r="I568" i="1"/>
  <c r="E569" i="1"/>
  <c r="I569" i="1"/>
  <c r="E570" i="1"/>
  <c r="I570" i="1"/>
  <c r="E571" i="1"/>
  <c r="I571" i="1"/>
  <c r="E572" i="1"/>
  <c r="I572" i="1"/>
  <c r="E573" i="1"/>
  <c r="I573" i="1"/>
  <c r="E574" i="1"/>
  <c r="I574" i="1"/>
  <c r="E575" i="1"/>
  <c r="I575" i="1"/>
  <c r="E576" i="1"/>
  <c r="I576" i="1"/>
  <c r="E577" i="1"/>
  <c r="I577" i="1"/>
  <c r="E578" i="1"/>
  <c r="I578" i="1"/>
  <c r="E579" i="1"/>
  <c r="I579" i="1"/>
  <c r="E580" i="1"/>
  <c r="I580" i="1"/>
  <c r="E581" i="1"/>
  <c r="I581" i="1"/>
  <c r="E582" i="1"/>
  <c r="I582" i="1"/>
  <c r="E583" i="1"/>
  <c r="I583" i="1"/>
  <c r="E584" i="1"/>
  <c r="I584" i="1"/>
  <c r="E585" i="1"/>
  <c r="I585" i="1"/>
  <c r="E586" i="1"/>
  <c r="I586" i="1"/>
  <c r="E587" i="1"/>
  <c r="I587" i="1"/>
  <c r="E588" i="1"/>
  <c r="I588" i="1"/>
  <c r="E589" i="1"/>
  <c r="I589" i="1"/>
  <c r="E590" i="1"/>
  <c r="I590" i="1"/>
  <c r="E591" i="1"/>
  <c r="I591" i="1"/>
  <c r="E592" i="1"/>
  <c r="I592" i="1"/>
  <c r="E593" i="1"/>
  <c r="I593" i="1"/>
  <c r="E594" i="1"/>
  <c r="I594" i="1"/>
  <c r="E595" i="1"/>
  <c r="I595" i="1"/>
  <c r="E596" i="1"/>
  <c r="I596" i="1"/>
  <c r="E597" i="1"/>
  <c r="I597" i="1"/>
  <c r="E598" i="1"/>
  <c r="I598" i="1"/>
  <c r="E599" i="1"/>
  <c r="I599" i="1"/>
  <c r="E600" i="1"/>
  <c r="I600" i="1"/>
  <c r="E601" i="1"/>
  <c r="I601" i="1"/>
  <c r="E602" i="1"/>
  <c r="I602" i="1"/>
  <c r="E603" i="1"/>
  <c r="I603" i="1"/>
  <c r="E604" i="1"/>
  <c r="I604" i="1"/>
  <c r="E605" i="1"/>
  <c r="I605" i="1"/>
  <c r="E606" i="1"/>
  <c r="I606" i="1"/>
  <c r="E607" i="1"/>
  <c r="I607" i="1"/>
  <c r="E608" i="1"/>
  <c r="I608" i="1"/>
  <c r="E609" i="1"/>
  <c r="I609" i="1"/>
  <c r="E610" i="1"/>
  <c r="I610" i="1"/>
  <c r="E611" i="1"/>
  <c r="I611" i="1"/>
  <c r="E612" i="1"/>
  <c r="I612" i="1"/>
  <c r="E613" i="1"/>
  <c r="I613" i="1"/>
  <c r="E614" i="1"/>
  <c r="I614" i="1"/>
  <c r="E615" i="1"/>
  <c r="I615" i="1"/>
  <c r="E616" i="1"/>
  <c r="I616" i="1"/>
  <c r="E617" i="1"/>
  <c r="I617" i="1"/>
  <c r="E618" i="1"/>
  <c r="I618" i="1"/>
  <c r="E619" i="1"/>
  <c r="I619" i="1"/>
  <c r="E620" i="1"/>
  <c r="I620" i="1"/>
  <c r="E621" i="1"/>
  <c r="I621" i="1"/>
  <c r="E622" i="1"/>
  <c r="I622" i="1"/>
  <c r="E623" i="1"/>
  <c r="I623" i="1"/>
  <c r="E624" i="1"/>
  <c r="I624" i="1"/>
  <c r="E625" i="1"/>
  <c r="I625" i="1"/>
  <c r="E626" i="1"/>
  <c r="I626" i="1"/>
  <c r="E627" i="1"/>
  <c r="I627" i="1"/>
  <c r="E628" i="1"/>
  <c r="I628" i="1"/>
  <c r="E629" i="1"/>
  <c r="I629" i="1"/>
  <c r="E630" i="1"/>
  <c r="I630" i="1"/>
  <c r="E631" i="1"/>
  <c r="I631" i="1"/>
  <c r="E632" i="1"/>
  <c r="I632" i="1"/>
  <c r="E633" i="1"/>
  <c r="I633" i="1"/>
  <c r="E634" i="1"/>
  <c r="I634" i="1"/>
  <c r="E635" i="1"/>
  <c r="I635" i="1"/>
  <c r="E636" i="1"/>
  <c r="I636" i="1"/>
  <c r="E637" i="1"/>
  <c r="I637" i="1"/>
  <c r="E638" i="1"/>
  <c r="I638" i="1"/>
  <c r="E639" i="1"/>
  <c r="I639" i="1"/>
  <c r="E640" i="1"/>
  <c r="I640" i="1"/>
  <c r="E641" i="1"/>
  <c r="I641" i="1"/>
  <c r="E642" i="1"/>
  <c r="I642" i="1"/>
  <c r="E643" i="1"/>
  <c r="I643" i="1"/>
  <c r="E644" i="1"/>
  <c r="I644" i="1"/>
  <c r="E645" i="1"/>
  <c r="I645" i="1"/>
  <c r="E646" i="1"/>
  <c r="I646" i="1"/>
  <c r="E647" i="1"/>
  <c r="I647" i="1"/>
  <c r="E648" i="1"/>
  <c r="I648" i="1"/>
  <c r="E649" i="1"/>
  <c r="I649" i="1"/>
  <c r="E650" i="1"/>
  <c r="I650" i="1"/>
  <c r="E651" i="1"/>
  <c r="I651" i="1"/>
  <c r="E652" i="1"/>
  <c r="I652" i="1"/>
  <c r="E653" i="1"/>
  <c r="I653" i="1"/>
  <c r="E654" i="1"/>
  <c r="I654" i="1"/>
  <c r="E655" i="1"/>
  <c r="I655" i="1"/>
  <c r="E656" i="1"/>
  <c r="I656" i="1"/>
  <c r="E657" i="1"/>
  <c r="I657" i="1"/>
  <c r="E658" i="1"/>
  <c r="I658" i="1"/>
  <c r="E659" i="1"/>
  <c r="I659" i="1"/>
  <c r="E660" i="1"/>
  <c r="I660" i="1"/>
  <c r="E661" i="1"/>
  <c r="I661" i="1"/>
  <c r="E662" i="1"/>
  <c r="I662" i="1"/>
  <c r="E663" i="1"/>
  <c r="I663" i="1"/>
  <c r="E664" i="1"/>
  <c r="I664" i="1"/>
  <c r="E665" i="1"/>
  <c r="I665" i="1"/>
  <c r="E666" i="1"/>
  <c r="I666" i="1"/>
  <c r="E667" i="1"/>
  <c r="I667" i="1"/>
  <c r="E668" i="1"/>
  <c r="I668" i="1"/>
  <c r="E669" i="1"/>
  <c r="I669" i="1"/>
  <c r="E670" i="1"/>
  <c r="I670" i="1"/>
  <c r="E671" i="1"/>
  <c r="I671" i="1"/>
  <c r="E672" i="1"/>
  <c r="I672" i="1"/>
  <c r="E673" i="1"/>
  <c r="I673" i="1"/>
  <c r="E674" i="1"/>
  <c r="I674" i="1"/>
  <c r="E675" i="1"/>
  <c r="I675" i="1"/>
  <c r="E676" i="1"/>
  <c r="I676" i="1"/>
  <c r="E677" i="1"/>
  <c r="I677" i="1"/>
  <c r="E678" i="1"/>
  <c r="I678" i="1"/>
  <c r="E679" i="1"/>
  <c r="I679" i="1"/>
  <c r="E680" i="1"/>
  <c r="I680" i="1"/>
  <c r="E681" i="1"/>
  <c r="I681" i="1"/>
  <c r="E682" i="1"/>
  <c r="I682" i="1"/>
  <c r="E683" i="1"/>
  <c r="I683" i="1"/>
  <c r="E684" i="1"/>
  <c r="I684" i="1"/>
  <c r="E685" i="1"/>
  <c r="I685" i="1"/>
  <c r="E686" i="1"/>
  <c r="I686" i="1"/>
  <c r="E687" i="1"/>
  <c r="I687" i="1"/>
  <c r="E688" i="1"/>
  <c r="I688" i="1"/>
  <c r="E689" i="1"/>
  <c r="I689" i="1"/>
  <c r="E690" i="1"/>
  <c r="I690" i="1"/>
  <c r="E691" i="1"/>
  <c r="I691" i="1"/>
  <c r="E692" i="1"/>
  <c r="I692" i="1"/>
  <c r="E693" i="1"/>
  <c r="I693" i="1"/>
  <c r="E694" i="1"/>
  <c r="I694" i="1"/>
  <c r="E695" i="1"/>
  <c r="I695" i="1"/>
  <c r="E696" i="1"/>
  <c r="I696" i="1"/>
  <c r="E697" i="1"/>
  <c r="I697" i="1"/>
  <c r="E698" i="1"/>
  <c r="I698" i="1"/>
  <c r="E699" i="1"/>
  <c r="I699" i="1"/>
  <c r="E700" i="1"/>
  <c r="I700" i="1"/>
  <c r="E701" i="1"/>
  <c r="I701" i="1"/>
  <c r="E702" i="1"/>
  <c r="I702" i="1"/>
  <c r="E703" i="1"/>
  <c r="I703" i="1"/>
  <c r="E704" i="1"/>
  <c r="I704" i="1"/>
  <c r="E705" i="1"/>
  <c r="I705" i="1"/>
  <c r="E706" i="1"/>
  <c r="I706" i="1"/>
  <c r="E707" i="1"/>
  <c r="I707" i="1"/>
  <c r="E708" i="1"/>
  <c r="I708" i="1"/>
  <c r="E709" i="1"/>
  <c r="I709" i="1"/>
  <c r="E710" i="1"/>
  <c r="I710" i="1"/>
  <c r="E711" i="1"/>
  <c r="I711" i="1"/>
  <c r="E712" i="1"/>
  <c r="I712" i="1"/>
  <c r="E713" i="1"/>
  <c r="I713" i="1"/>
  <c r="E714" i="1"/>
  <c r="I714" i="1"/>
  <c r="E715" i="1"/>
  <c r="I715" i="1"/>
  <c r="E716" i="1"/>
  <c r="I716" i="1"/>
  <c r="E717" i="1"/>
  <c r="I717" i="1"/>
  <c r="E718" i="1"/>
  <c r="I718" i="1"/>
  <c r="E719" i="1"/>
  <c r="I719" i="1"/>
  <c r="E720" i="1"/>
  <c r="I720" i="1"/>
  <c r="E721" i="1"/>
  <c r="I721" i="1"/>
  <c r="E722" i="1"/>
  <c r="I722" i="1"/>
  <c r="E723" i="1"/>
  <c r="I723" i="1"/>
  <c r="E724" i="1"/>
  <c r="I724" i="1"/>
  <c r="E725" i="1"/>
  <c r="I725" i="1"/>
  <c r="E726" i="1"/>
  <c r="I726" i="1"/>
  <c r="E727" i="1"/>
  <c r="I727" i="1"/>
  <c r="E728" i="1"/>
  <c r="I728" i="1"/>
  <c r="E729" i="1"/>
  <c r="I729" i="1"/>
  <c r="E730" i="1"/>
  <c r="I730" i="1"/>
  <c r="E731" i="1"/>
  <c r="I731" i="1"/>
  <c r="E732" i="1"/>
  <c r="I732" i="1"/>
  <c r="E733" i="1"/>
  <c r="I733" i="1"/>
  <c r="E734" i="1"/>
  <c r="I734" i="1"/>
  <c r="E735" i="1"/>
  <c r="I735" i="1"/>
  <c r="E736" i="1"/>
  <c r="I736" i="1"/>
  <c r="E737" i="1"/>
  <c r="I737" i="1"/>
  <c r="E738" i="1"/>
  <c r="I738" i="1"/>
  <c r="E739" i="1"/>
  <c r="I739" i="1"/>
  <c r="E740" i="1"/>
  <c r="I740" i="1"/>
  <c r="E741" i="1"/>
  <c r="I741" i="1"/>
  <c r="E742" i="1"/>
  <c r="I742" i="1"/>
  <c r="E743" i="1"/>
  <c r="I743" i="1"/>
  <c r="E744" i="1"/>
  <c r="I744" i="1"/>
  <c r="E745" i="1"/>
  <c r="I745" i="1"/>
  <c r="E746" i="1"/>
  <c r="I746" i="1"/>
  <c r="E747" i="1"/>
  <c r="I747" i="1"/>
  <c r="E748" i="1"/>
  <c r="I748" i="1"/>
  <c r="E749" i="1"/>
  <c r="I749" i="1"/>
  <c r="E750" i="1"/>
  <c r="I750" i="1"/>
  <c r="E751" i="1"/>
  <c r="I751" i="1"/>
  <c r="E752" i="1"/>
  <c r="I752" i="1"/>
  <c r="E753" i="1"/>
  <c r="I753" i="1"/>
  <c r="E754" i="1"/>
  <c r="I754" i="1"/>
  <c r="E755" i="1"/>
  <c r="I755" i="1"/>
  <c r="E756" i="1"/>
  <c r="I756" i="1"/>
  <c r="E757" i="1"/>
  <c r="I757" i="1"/>
  <c r="E758" i="1"/>
  <c r="I758" i="1"/>
  <c r="E759" i="1"/>
  <c r="I759" i="1"/>
  <c r="E760" i="1"/>
  <c r="I760" i="1"/>
  <c r="E761" i="1"/>
  <c r="I761" i="1"/>
  <c r="E762" i="1"/>
  <c r="I762" i="1"/>
  <c r="E763" i="1"/>
  <c r="I763" i="1"/>
  <c r="E764" i="1"/>
  <c r="I764" i="1"/>
  <c r="E765" i="1"/>
  <c r="I765" i="1"/>
  <c r="E766" i="1"/>
  <c r="I766" i="1"/>
  <c r="E767" i="1"/>
  <c r="I767" i="1"/>
  <c r="E768" i="1"/>
  <c r="I768" i="1"/>
  <c r="E769" i="1"/>
  <c r="I769" i="1"/>
  <c r="E770" i="1"/>
  <c r="I770" i="1"/>
  <c r="E771" i="1"/>
  <c r="I771" i="1"/>
  <c r="E772" i="1"/>
  <c r="I772" i="1"/>
  <c r="E773" i="1"/>
  <c r="I773" i="1"/>
  <c r="E774" i="1"/>
  <c r="I774" i="1"/>
  <c r="E775" i="1"/>
  <c r="I775" i="1"/>
  <c r="E776" i="1"/>
  <c r="I776" i="1"/>
  <c r="E777" i="1"/>
  <c r="I777" i="1"/>
  <c r="I2" i="1"/>
  <c r="E2" i="1"/>
  <c r="H2" i="1"/>
  <c r="L2" i="1"/>
  <c r="T72" i="5" l="1"/>
  <c r="T193" i="5"/>
  <c r="T211" i="5"/>
  <c r="T363" i="5"/>
  <c r="T189" i="5"/>
  <c r="T317" i="5"/>
  <c r="T642" i="5"/>
  <c r="T145" i="5"/>
  <c r="T540" i="5"/>
  <c r="T429" i="5"/>
  <c r="T272" i="5"/>
  <c r="T459" i="5"/>
  <c r="T723" i="5"/>
  <c r="T389" i="5"/>
  <c r="T24" i="5"/>
  <c r="T165" i="5"/>
  <c r="T298" i="5"/>
  <c r="T191" i="5"/>
  <c r="T147" i="5"/>
  <c r="T267" i="5"/>
  <c r="T283" i="5"/>
  <c r="T441" i="5"/>
  <c r="T471" i="5"/>
  <c r="T610" i="5"/>
  <c r="T665" i="5"/>
  <c r="T749" i="5"/>
  <c r="T688" i="5"/>
  <c r="T37" i="5"/>
  <c r="T299" i="5"/>
  <c r="T216" i="5"/>
  <c r="T468" i="5"/>
  <c r="T435" i="5"/>
  <c r="T448" i="5"/>
  <c r="T586" i="5"/>
  <c r="T588" i="5"/>
  <c r="T739" i="5"/>
  <c r="T753" i="5"/>
  <c r="T784" i="5"/>
  <c r="T174" i="5"/>
  <c r="T375" i="5"/>
  <c r="T348" i="5"/>
  <c r="T308" i="5"/>
  <c r="T200" i="5"/>
  <c r="T640" i="5"/>
  <c r="T576" i="5"/>
  <c r="T648" i="5"/>
  <c r="T597" i="5"/>
  <c r="T733" i="5"/>
  <c r="T455" i="5"/>
  <c r="T617" i="5"/>
  <c r="N9" i="5"/>
  <c r="N138" i="5"/>
  <c r="N426" i="5"/>
  <c r="N470" i="5"/>
  <c r="T620" i="5"/>
  <c r="T462" i="5"/>
  <c r="T573" i="5"/>
  <c r="T80" i="5"/>
  <c r="T123" i="5"/>
  <c r="T515" i="5"/>
  <c r="T115" i="5"/>
  <c r="T398" i="5"/>
  <c r="T162" i="5"/>
  <c r="T157" i="5"/>
  <c r="T659" i="5"/>
  <c r="T404" i="5"/>
  <c r="T47" i="5"/>
  <c r="T129" i="5"/>
  <c r="T175" i="5"/>
  <c r="T190" i="5"/>
  <c r="T237" i="5"/>
  <c r="T409" i="5"/>
  <c r="T248" i="5"/>
  <c r="T622" i="5"/>
  <c r="T29" i="5"/>
  <c r="T67" i="5"/>
  <c r="T139" i="5"/>
  <c r="T109" i="5"/>
  <c r="T250" i="5"/>
  <c r="T161" i="5"/>
  <c r="T463" i="5"/>
  <c r="T130" i="5"/>
  <c r="T170" i="5"/>
  <c r="T340" i="5"/>
  <c r="T273" i="5"/>
  <c r="T365" i="5"/>
  <c r="T149" i="5"/>
  <c r="T276" i="5"/>
  <c r="T287" i="5"/>
  <c r="T103" i="5"/>
  <c r="T238" i="5"/>
  <c r="T465" i="5"/>
  <c r="T612" i="5"/>
  <c r="T408" i="5"/>
  <c r="T520" i="5"/>
  <c r="T518" i="5"/>
  <c r="T565" i="5"/>
  <c r="T513" i="5"/>
  <c r="T436" i="5"/>
  <c r="T487" i="5"/>
  <c r="T433" i="5"/>
  <c r="T656" i="5"/>
  <c r="T639" i="5"/>
  <c r="T619" i="5"/>
  <c r="T735" i="5"/>
  <c r="T674" i="5"/>
  <c r="T765" i="5"/>
  <c r="T763" i="5"/>
  <c r="T717" i="5"/>
  <c r="T692" i="5"/>
  <c r="T776" i="5"/>
  <c r="T350" i="5"/>
  <c r="T330" i="5"/>
  <c r="T466" i="5"/>
  <c r="T535" i="5"/>
  <c r="T534" i="5"/>
  <c r="T17" i="5"/>
  <c r="T89" i="5"/>
  <c r="T106" i="5"/>
  <c r="T132" i="5"/>
  <c r="T271" i="5"/>
  <c r="T239" i="5"/>
  <c r="T415" i="5"/>
  <c r="T770" i="5"/>
  <c r="T11" i="5"/>
  <c r="T490" i="5"/>
  <c r="T686" i="5"/>
  <c r="T40" i="5"/>
  <c r="T171" i="5"/>
  <c r="T172" i="5"/>
  <c r="T256" i="5"/>
  <c r="T88" i="5"/>
  <c r="T101" i="5"/>
  <c r="T327" i="5"/>
  <c r="T494" i="5"/>
  <c r="T232" i="5"/>
  <c r="T598" i="5"/>
  <c r="T638" i="5"/>
  <c r="T570" i="5"/>
  <c r="T713" i="5"/>
  <c r="T571" i="5"/>
  <c r="T671" i="5"/>
  <c r="T654" i="5"/>
  <c r="T609" i="5"/>
  <c r="T635" i="5"/>
  <c r="T754" i="5"/>
  <c r="T783" i="5"/>
  <c r="T122" i="5"/>
  <c r="T396" i="5"/>
  <c r="T664" i="5"/>
  <c r="T30" i="5"/>
  <c r="T214" i="5"/>
  <c r="T437" i="5"/>
  <c r="T524" i="5"/>
  <c r="T406" i="5"/>
  <c r="T550" i="5"/>
  <c r="T579" i="5"/>
  <c r="T715" i="5"/>
  <c r="T760" i="5"/>
  <c r="T181" i="5"/>
  <c r="T489" i="5"/>
  <c r="T402" i="5"/>
  <c r="T745" i="5"/>
  <c r="T557" i="5"/>
  <c r="T757" i="5"/>
  <c r="T637" i="5"/>
  <c r="T347" i="5"/>
  <c r="T59" i="5"/>
  <c r="T76" i="5"/>
  <c r="T39" i="5"/>
  <c r="T57" i="5"/>
  <c r="T498" i="5"/>
  <c r="T506" i="5"/>
  <c r="T698" i="5"/>
  <c r="T352" i="5"/>
  <c r="T669" i="5"/>
  <c r="N733" i="5"/>
  <c r="T42" i="5"/>
  <c r="T156" i="5"/>
  <c r="T79" i="5"/>
  <c r="T136" i="5"/>
  <c r="T196" i="5"/>
  <c r="T230" i="5"/>
  <c r="T91" i="5"/>
  <c r="T371" i="5"/>
  <c r="T176" i="5"/>
  <c r="T410" i="5"/>
  <c r="T508" i="5"/>
  <c r="T205" i="5"/>
  <c r="T781" i="5"/>
  <c r="T12" i="5"/>
  <c r="T54" i="5"/>
  <c r="T46" i="5"/>
  <c r="T182" i="5"/>
  <c r="T351" i="5"/>
  <c r="T154" i="5"/>
  <c r="T188" i="5"/>
  <c r="T124" i="5"/>
  <c r="T233" i="5"/>
  <c r="T141" i="5"/>
  <c r="T265" i="5"/>
  <c r="T405" i="5"/>
  <c r="T392" i="5"/>
  <c r="T341" i="5"/>
  <c r="T282" i="5"/>
  <c r="T315" i="5"/>
  <c r="T486" i="5"/>
  <c r="T118" i="5"/>
  <c r="T253" i="5"/>
  <c r="T605" i="5"/>
  <c r="T387" i="5"/>
  <c r="T647" i="5"/>
  <c r="T495" i="5"/>
  <c r="T561" i="5"/>
  <c r="T614" i="5"/>
  <c r="T593" i="5"/>
  <c r="T657" i="5"/>
  <c r="T499" i="5"/>
  <c r="T481" i="5"/>
  <c r="T414" i="5"/>
  <c r="T590" i="5"/>
  <c r="T373" i="5"/>
  <c r="T417" i="5"/>
  <c r="T693" i="5"/>
  <c r="T675" i="5"/>
  <c r="T378" i="5"/>
  <c r="T704" i="5"/>
  <c r="T682" i="5"/>
  <c r="T552" i="5"/>
  <c r="T651" i="5"/>
  <c r="T666" i="5"/>
  <c r="T234" i="5"/>
  <c r="T386" i="5"/>
  <c r="T578" i="5"/>
  <c r="T696" i="5"/>
  <c r="T697" i="5"/>
  <c r="T649" i="5"/>
  <c r="T587" i="5"/>
  <c r="T746" i="5"/>
  <c r="T774" i="5"/>
  <c r="T744" i="5"/>
  <c r="T326" i="5"/>
  <c r="N20" i="5"/>
  <c r="N34" i="5"/>
  <c r="T116" i="5"/>
  <c r="N107" i="5"/>
  <c r="T229" i="5"/>
  <c r="N100" i="5"/>
  <c r="T83" i="5"/>
  <c r="T388" i="5"/>
  <c r="N342" i="5"/>
  <c r="T152" i="5"/>
  <c r="N397" i="5"/>
  <c r="T202" i="5"/>
  <c r="N453" i="5"/>
  <c r="T258" i="5"/>
  <c r="N307" i="5"/>
  <c r="N507" i="5"/>
  <c r="N286" i="5"/>
  <c r="N510" i="5"/>
  <c r="N206" i="5"/>
  <c r="N422" i="5"/>
  <c r="N353" i="5"/>
  <c r="N536" i="5"/>
  <c r="T684" i="5"/>
  <c r="T477" i="5"/>
  <c r="T509" i="5"/>
  <c r="T677" i="5"/>
  <c r="T716" i="5"/>
  <c r="N620" i="5"/>
  <c r="N370" i="5"/>
  <c r="T628" i="5"/>
  <c r="N626" i="5"/>
  <c r="N740" i="5"/>
  <c r="N705" i="5"/>
  <c r="T725" i="5"/>
  <c r="N747" i="5"/>
  <c r="N711" i="5"/>
  <c r="T768" i="5"/>
  <c r="N751" i="5"/>
  <c r="T23" i="5"/>
  <c r="T9" i="5"/>
  <c r="T27" i="5"/>
  <c r="T178" i="5"/>
  <c r="T112" i="5"/>
  <c r="T74" i="5"/>
  <c r="T98" i="5"/>
  <c r="T126" i="5"/>
  <c r="T257" i="5"/>
  <c r="T289" i="5"/>
  <c r="T105" i="5"/>
  <c r="T114" i="5"/>
  <c r="T138" i="5"/>
  <c r="T310" i="5"/>
  <c r="T302" i="5"/>
  <c r="T421" i="5"/>
  <c r="T169" i="5"/>
  <c r="T426" i="5"/>
  <c r="T313" i="5"/>
  <c r="T359" i="5"/>
  <c r="T291" i="5"/>
  <c r="T445" i="5"/>
  <c r="T321" i="5"/>
  <c r="T243" i="5"/>
  <c r="T187" i="5"/>
  <c r="T470" i="5"/>
  <c r="T319" i="5"/>
  <c r="T142" i="5"/>
  <c r="T566" i="5"/>
  <c r="T488" i="5"/>
  <c r="T603" i="5"/>
  <c r="T575" i="5"/>
  <c r="T601" i="5"/>
  <c r="T689" i="5"/>
  <c r="T627" i="5"/>
  <c r="T399" i="5"/>
  <c r="T548" i="5"/>
  <c r="T616" i="5"/>
  <c r="T673" i="5"/>
  <c r="T458" i="5"/>
  <c r="T708" i="5"/>
  <c r="T676" i="5"/>
  <c r="T595" i="5"/>
  <c r="T662" i="5"/>
  <c r="T694" i="5"/>
  <c r="T752" i="5"/>
  <c r="T762" i="5"/>
  <c r="T782" i="5"/>
  <c r="T16" i="5"/>
  <c r="T26" i="5"/>
  <c r="T49" i="5"/>
  <c r="T35" i="5"/>
  <c r="T61" i="5"/>
  <c r="T93" i="5"/>
  <c r="T184" i="5"/>
  <c r="T155" i="5"/>
  <c r="T179" i="5"/>
  <c r="T219" i="5"/>
  <c r="T255" i="5"/>
  <c r="T185" i="5"/>
  <c r="T53" i="5"/>
  <c r="T197" i="5"/>
  <c r="T311" i="5"/>
  <c r="T277" i="5"/>
  <c r="T312" i="5"/>
  <c r="T502" i="5"/>
  <c r="T431" i="5"/>
  <c r="T316" i="5"/>
  <c r="T163" i="5"/>
  <c r="T338" i="5"/>
  <c r="T479" i="5"/>
  <c r="T493" i="5"/>
  <c r="T528" i="5"/>
  <c r="T643" i="5"/>
  <c r="T736" i="5"/>
  <c r="T111" i="5"/>
  <c r="T227" i="5"/>
  <c r="T137" i="5"/>
  <c r="T322" i="5"/>
  <c r="T236" i="5"/>
  <c r="T517" i="5"/>
  <c r="T107" i="5"/>
  <c r="T100" i="5"/>
  <c r="T263" i="5"/>
  <c r="T710" i="5"/>
  <c r="T711" i="5"/>
  <c r="T160" i="5"/>
  <c r="T419" i="5"/>
  <c r="T393" i="5"/>
  <c r="T381" i="5"/>
  <c r="T714" i="5"/>
  <c r="T729" i="5"/>
  <c r="T748" i="5"/>
  <c r="T743" i="5"/>
  <c r="T148" i="5"/>
  <c r="T99" i="5"/>
  <c r="T285" i="5"/>
  <c r="T297" i="5"/>
  <c r="T491" i="5"/>
  <c r="T228" i="5"/>
  <c r="T438" i="5"/>
  <c r="T469" i="5"/>
  <c r="T56" i="5"/>
  <c r="T62" i="5"/>
  <c r="T751" i="5"/>
  <c r="T349" i="5"/>
  <c r="T159" i="5"/>
  <c r="T198" i="5"/>
  <c r="T87" i="5"/>
  <c r="T731" i="5"/>
  <c r="T63" i="5"/>
  <c r="T231" i="5"/>
  <c r="T220" i="5"/>
  <c r="T288" i="5"/>
  <c r="T259" i="5"/>
  <c r="T423" i="5"/>
  <c r="T554" i="5"/>
  <c r="T624" i="5"/>
  <c r="T444" i="5"/>
  <c r="T646" i="5"/>
  <c r="T607" i="5"/>
  <c r="T734" i="5"/>
  <c r="T655" i="5"/>
  <c r="T683" i="5"/>
  <c r="T756" i="5"/>
  <c r="T769" i="5"/>
  <c r="T28" i="5"/>
  <c r="T25" i="5"/>
  <c r="T82" i="5"/>
  <c r="T64" i="5"/>
  <c r="T121" i="5"/>
  <c r="T120" i="5"/>
  <c r="T66" i="5"/>
  <c r="T261" i="5"/>
  <c r="T102" i="5"/>
  <c r="T453" i="5"/>
  <c r="T307" i="5"/>
  <c r="T206" i="5"/>
  <c r="T370" i="5"/>
  <c r="T705" i="5"/>
  <c r="T33" i="5"/>
  <c r="T454" i="5"/>
  <c r="T246" i="5"/>
  <c r="T260" i="5"/>
  <c r="T275" i="5"/>
  <c r="T413" i="5"/>
  <c r="T318" i="5"/>
  <c r="T511" i="5"/>
  <c r="T15" i="5"/>
  <c r="T678" i="5"/>
  <c r="T472" i="5"/>
  <c r="T286" i="5"/>
  <c r="T422" i="5"/>
  <c r="T353" i="5"/>
  <c r="T536" i="5"/>
  <c r="T225" i="5"/>
  <c r="T667" i="5"/>
  <c r="T551" i="5"/>
  <c r="T681" i="5"/>
  <c r="T613" i="5"/>
  <c r="T740" i="5"/>
  <c r="T21" i="5"/>
  <c r="T96" i="5"/>
  <c r="T249" i="5"/>
  <c r="T354" i="5"/>
  <c r="T450" i="5"/>
  <c r="T416" i="5"/>
  <c r="T483" i="5"/>
  <c r="T280" i="5"/>
  <c r="T262" i="5"/>
  <c r="T293" i="5"/>
  <c r="T134" i="5"/>
  <c r="T336" i="5"/>
  <c r="T43" i="5"/>
  <c r="T301" i="5"/>
  <c r="T464" i="5"/>
  <c r="T504" i="5"/>
  <c r="T546" i="5"/>
  <c r="T379" i="5"/>
  <c r="T478" i="5"/>
  <c r="T223" i="5"/>
  <c r="T507" i="5"/>
  <c r="T510" i="5"/>
  <c r="T621" i="5"/>
  <c r="T460" i="5"/>
  <c r="T585" i="5"/>
  <c r="T224" i="5"/>
  <c r="T364" i="5"/>
  <c r="T523" i="5"/>
  <c r="T701" i="5"/>
  <c r="T687" i="5"/>
  <c r="T95" i="5"/>
  <c r="T222" i="5"/>
  <c r="T78" i="5"/>
  <c r="T380" i="5"/>
  <c r="T623" i="5"/>
  <c r="T20" i="5"/>
  <c r="T372" i="5"/>
  <c r="T125" i="5"/>
  <c r="T195" i="5"/>
  <c r="T600" i="5"/>
  <c r="T51" i="5"/>
  <c r="T331" i="5"/>
  <c r="T618" i="5"/>
  <c r="T611" i="5"/>
  <c r="T589" i="5"/>
  <c r="T480" i="5"/>
  <c r="T496" i="5"/>
  <c r="T529" i="5"/>
  <c r="T695" i="5"/>
  <c r="T556" i="5"/>
  <c r="T604" i="5"/>
  <c r="T560" i="5"/>
  <c r="T602" i="5"/>
  <c r="T555" i="5"/>
  <c r="T629" i="5"/>
  <c r="T543" i="5"/>
  <c r="T672" i="5"/>
  <c r="T738" i="5"/>
  <c r="T658" i="5"/>
  <c r="T625" i="5"/>
  <c r="T767" i="5"/>
  <c r="T772" i="5"/>
  <c r="T766" i="5"/>
  <c r="T71" i="5"/>
  <c r="T45" i="5"/>
  <c r="T146" i="5"/>
  <c r="T48" i="5"/>
  <c r="T113" i="5"/>
  <c r="T131" i="5"/>
  <c r="T207" i="5"/>
  <c r="T36" i="5"/>
  <c r="T167" i="5"/>
  <c r="T85" i="5"/>
  <c r="T70" i="5"/>
  <c r="T328" i="5"/>
  <c r="T390" i="5"/>
  <c r="T360" i="5"/>
  <c r="T439" i="5"/>
  <c r="T343" i="5"/>
  <c r="T268" i="5"/>
  <c r="T443" i="5"/>
  <c r="T564" i="5"/>
  <c r="T94" i="5"/>
  <c r="T395" i="5"/>
  <c r="T385" i="5"/>
  <c r="T521" i="5"/>
  <c r="T144" i="5"/>
  <c r="T482" i="5"/>
  <c r="T591" i="5"/>
  <c r="T461" i="5"/>
  <c r="T407" i="5"/>
  <c r="T512" i="5"/>
  <c r="T544" i="5"/>
  <c r="T503" i="5"/>
  <c r="T568" i="5"/>
  <c r="T574" i="5"/>
  <c r="T567" i="5"/>
  <c r="T420" i="5"/>
  <c r="T653" i="5"/>
  <c r="T606" i="5"/>
  <c r="T583" i="5"/>
  <c r="T663" i="5"/>
  <c r="T599" i="5"/>
  <c r="T497" i="5"/>
  <c r="T582" i="5"/>
  <c r="T679" i="5"/>
  <c r="T702" i="5"/>
  <c r="T720" i="5"/>
  <c r="T719" i="5"/>
  <c r="T779" i="5"/>
  <c r="T38" i="5"/>
  <c r="T278" i="5"/>
  <c r="T221" i="5"/>
  <c r="T376" i="5"/>
  <c r="T400" i="5"/>
  <c r="T128" i="5"/>
  <c r="T296" i="5"/>
  <c r="T254" i="5"/>
  <c r="T516" i="5"/>
  <c r="T361" i="5"/>
  <c r="T432" i="5"/>
  <c r="T569" i="5"/>
  <c r="T608" i="5"/>
  <c r="T727" i="5"/>
  <c r="T549" i="5"/>
  <c r="T641" i="5"/>
  <c r="T661" i="5"/>
  <c r="T703" i="5"/>
  <c r="T724" i="5"/>
  <c r="T208" i="5"/>
  <c r="T158" i="5"/>
  <c r="T177" i="5"/>
  <c r="T300" i="5"/>
  <c r="T264" i="5"/>
  <c r="T309" i="5"/>
  <c r="T306" i="5"/>
  <c r="T434" i="5"/>
  <c r="T430" i="5"/>
  <c r="T362" i="5"/>
  <c r="T545" i="5"/>
  <c r="T650" i="5"/>
  <c r="T632" i="5"/>
  <c r="T660" i="5"/>
  <c r="T22" i="5"/>
  <c r="T339" i="5"/>
  <c r="T449" i="5"/>
  <c r="T305" i="5"/>
  <c r="T425" i="5"/>
  <c r="T332" i="5"/>
  <c r="T476" i="5"/>
  <c r="T242" i="5"/>
  <c r="T251" i="5"/>
  <c r="T473" i="5"/>
  <c r="T538" i="5"/>
  <c r="T377" i="5"/>
  <c r="T514" i="5"/>
  <c r="T334" i="5"/>
  <c r="T700" i="5"/>
  <c r="T563" i="5"/>
  <c r="T531" i="5"/>
  <c r="T718" i="5"/>
  <c r="T730" i="5"/>
  <c r="T759" i="5"/>
  <c r="T13" i="5"/>
  <c r="T19" i="5"/>
  <c r="T133" i="5"/>
  <c r="T73" i="5"/>
  <c r="T135" i="5"/>
  <c r="T75" i="5"/>
  <c r="T41" i="5"/>
  <c r="T247" i="5"/>
  <c r="T108" i="5"/>
  <c r="T150" i="5"/>
  <c r="T153" i="5"/>
  <c r="T427" i="5"/>
  <c r="T284" i="5"/>
  <c r="T110" i="5"/>
  <c r="T240" i="5"/>
  <c r="T151" i="5"/>
  <c r="T452" i="5"/>
  <c r="T226" i="5"/>
  <c r="T519" i="5"/>
  <c r="T314" i="5"/>
  <c r="T355" i="5"/>
  <c r="T244" i="5"/>
  <c r="T685" i="5"/>
  <c r="T636" i="5"/>
  <c r="T428" i="5"/>
  <c r="T670" i="5"/>
  <c r="T542" i="5"/>
  <c r="T581" i="5"/>
  <c r="T644" i="5"/>
  <c r="T721" i="5"/>
  <c r="T596" i="5"/>
  <c r="T706" i="5"/>
  <c r="T761" i="5"/>
  <c r="T726" i="5"/>
  <c r="T771" i="5"/>
  <c r="T18" i="5"/>
  <c r="T166" i="5"/>
  <c r="T382" i="5"/>
  <c r="T92" i="5"/>
  <c r="T270" i="5"/>
  <c r="T442" i="5"/>
  <c r="T485" i="5"/>
  <c r="T755" i="5"/>
  <c r="T773" i="5"/>
  <c r="T32" i="5"/>
  <c r="T65" i="5"/>
  <c r="T58" i="5"/>
  <c r="T81" i="5"/>
  <c r="T97" i="5"/>
  <c r="T235" i="5"/>
  <c r="T217" i="5"/>
  <c r="T292" i="5"/>
  <c r="T346" i="5"/>
  <c r="T274" i="5"/>
  <c r="T492" i="5"/>
  <c r="T559" i="5"/>
  <c r="T212" i="5"/>
  <c r="T324" i="5"/>
  <c r="T501" i="5"/>
  <c r="T526" i="5"/>
  <c r="T634" i="5"/>
  <c r="T505" i="5"/>
  <c r="T594" i="5"/>
  <c r="T631" i="5"/>
  <c r="T709" i="5"/>
  <c r="T633" i="5"/>
  <c r="T547" i="5"/>
  <c r="T764" i="5"/>
  <c r="T732" i="5"/>
  <c r="T777" i="5"/>
  <c r="T90" i="5"/>
  <c r="T192" i="5"/>
  <c r="T201" i="5"/>
  <c r="T104" i="5"/>
  <c r="T357" i="5"/>
  <c r="T384" i="5"/>
  <c r="T424" i="5"/>
  <c r="T266" i="5"/>
  <c r="T369" i="5"/>
  <c r="T447" i="5"/>
  <c r="T10" i="5"/>
  <c r="T50" i="5"/>
  <c r="T86" i="5"/>
  <c r="T77" i="5"/>
  <c r="T168" i="5"/>
  <c r="T84" i="5"/>
  <c r="T204" i="5"/>
  <c r="T199" i="5"/>
  <c r="T304" i="5"/>
  <c r="T500" i="5"/>
  <c r="T119" i="5"/>
  <c r="T572" i="5"/>
  <c r="T645" i="5"/>
  <c r="T467" i="5"/>
  <c r="T457" i="5"/>
  <c r="T451" i="5"/>
  <c r="T533" i="5"/>
  <c r="T690" i="5"/>
  <c r="T707" i="5"/>
  <c r="T31" i="5"/>
  <c r="T180" i="5"/>
  <c r="T245" i="5"/>
  <c r="T484" i="5"/>
  <c r="T367" i="5"/>
  <c r="T592" i="5"/>
  <c r="T394" i="5"/>
  <c r="T630" i="5"/>
  <c r="T446" i="5"/>
  <c r="T358" i="5"/>
  <c r="T668" i="5"/>
  <c r="T741" i="5"/>
  <c r="T780" i="5"/>
  <c r="N40" i="5"/>
  <c r="N192" i="5"/>
  <c r="N166" i="5"/>
  <c r="N270" i="5"/>
  <c r="N104" i="5"/>
  <c r="N384" i="5"/>
  <c r="N317" i="5"/>
  <c r="N449" i="5"/>
  <c r="N403" i="5"/>
  <c r="N682" i="5"/>
  <c r="N125" i="5"/>
  <c r="N80" i="5"/>
  <c r="N349" i="5"/>
  <c r="N320" i="5"/>
  <c r="N354" i="5"/>
  <c r="N450" i="5"/>
  <c r="N416" i="5"/>
  <c r="N157" i="5"/>
  <c r="N483" i="5"/>
  <c r="N280" i="5"/>
  <c r="N262" i="5"/>
  <c r="N585" i="5"/>
  <c r="N224" i="5"/>
  <c r="N600" i="5"/>
  <c r="N462" i="5"/>
  <c r="N731" i="5"/>
  <c r="N714" i="5"/>
  <c r="N729" i="5"/>
  <c r="N748" i="5"/>
  <c r="N15" i="5"/>
  <c r="N285" i="5"/>
  <c r="N220" i="5"/>
  <c r="N336" i="5"/>
  <c r="N288" i="5"/>
  <c r="N301" i="5"/>
  <c r="N297" i="5"/>
  <c r="N423" i="5"/>
  <c r="N111" i="5"/>
  <c r="N228" i="5"/>
  <c r="N464" i="5"/>
  <c r="N438" i="5"/>
  <c r="N227" i="5"/>
  <c r="N444" i="5"/>
  <c r="N646" i="5"/>
  <c r="N678" i="5"/>
  <c r="N734" i="5"/>
  <c r="N655" i="5"/>
  <c r="N775" i="5"/>
  <c r="N59" i="5"/>
  <c r="N42" i="5"/>
  <c r="N115" i="5"/>
  <c r="N156" i="5"/>
  <c r="N57" i="5"/>
  <c r="N136" i="5"/>
  <c r="N91" i="5"/>
  <c r="N366" i="5"/>
  <c r="N386" i="5"/>
  <c r="N490" i="5"/>
  <c r="N67" i="5"/>
  <c r="N674" i="5"/>
  <c r="N606" i="5"/>
  <c r="N497" i="5"/>
  <c r="N717" i="5"/>
  <c r="N776" i="5"/>
  <c r="N62" i="5"/>
  <c r="N72" i="5"/>
  <c r="N89" i="5"/>
  <c r="N106" i="5"/>
  <c r="N159" i="5"/>
  <c r="N432" i="5"/>
  <c r="N680" i="5"/>
  <c r="N25" i="5"/>
  <c r="N82" i="5"/>
  <c r="N64" i="5"/>
  <c r="N208" i="5"/>
  <c r="N66" i="5"/>
  <c r="N158" i="5"/>
  <c r="N172" i="5"/>
  <c r="N256" i="5"/>
  <c r="N88" i="5"/>
  <c r="N177" i="5"/>
  <c r="N300" i="5"/>
  <c r="N264" i="5"/>
  <c r="N211" i="5"/>
  <c r="N434" i="5"/>
  <c r="N430" i="5"/>
  <c r="N474" i="5"/>
  <c r="N232" i="5"/>
  <c r="N545" i="5"/>
  <c r="N411" i="5"/>
  <c r="N632" i="5"/>
  <c r="N383" i="5"/>
  <c r="N638" i="5"/>
  <c r="N570" i="5"/>
  <c r="N654" i="5"/>
  <c r="N609" i="5"/>
  <c r="N635" i="5"/>
  <c r="N660" i="5"/>
  <c r="N13" i="5"/>
  <c r="N19" i="5"/>
  <c r="N247" i="5"/>
  <c r="N150" i="5"/>
  <c r="N181" i="5"/>
  <c r="N284" i="5"/>
  <c r="N110" i="5"/>
  <c r="N240" i="5"/>
  <c r="N519" i="5"/>
  <c r="N540" i="5"/>
  <c r="N213" i="5"/>
  <c r="N355" i="5"/>
  <c r="N553" i="5"/>
  <c r="N723" i="5"/>
  <c r="N771" i="5"/>
  <c r="N54" i="5"/>
  <c r="N46" i="5"/>
  <c r="N182" i="5"/>
  <c r="N52" i="5"/>
  <c r="N118" i="5"/>
  <c r="N687" i="5"/>
  <c r="N16" i="5"/>
  <c r="N184" i="5"/>
  <c r="N179" i="5"/>
  <c r="N219" i="5"/>
  <c r="N255" i="5"/>
  <c r="N185" i="5"/>
  <c r="N53" i="5"/>
  <c r="N197" i="5"/>
  <c r="N277" i="5"/>
  <c r="N312" i="5"/>
  <c r="N502" i="5"/>
  <c r="N431" i="5"/>
  <c r="N316" i="5"/>
  <c r="N163" i="5"/>
  <c r="N338" i="5"/>
  <c r="N479" i="5"/>
  <c r="N528" i="5"/>
  <c r="N556" i="5"/>
  <c r="N604" i="5"/>
  <c r="N643" i="5"/>
  <c r="N602" i="5"/>
  <c r="N555" i="5"/>
  <c r="N736" i="5"/>
  <c r="N404" i="5"/>
  <c r="N629" i="5"/>
  <c r="N543" i="5"/>
  <c r="N738" i="5"/>
  <c r="N658" i="5"/>
  <c r="N625" i="5"/>
  <c r="N63" i="5"/>
  <c r="N85" i="5"/>
  <c r="N70" i="5"/>
  <c r="N237" i="5"/>
  <c r="N390" i="5"/>
  <c r="N360" i="5"/>
  <c r="N343" i="5"/>
  <c r="N517" i="5"/>
  <c r="N443" i="5"/>
  <c r="N385" i="5"/>
  <c r="N455" i="5"/>
  <c r="N617" i="5"/>
  <c r="N407" i="5"/>
  <c r="N503" i="5"/>
  <c r="N568" i="5"/>
  <c r="N574" i="5"/>
  <c r="N567" i="5"/>
  <c r="N653" i="5"/>
  <c r="N583" i="5"/>
  <c r="N599" i="5"/>
  <c r="N582" i="5"/>
  <c r="N679" i="5"/>
  <c r="N772" i="5"/>
  <c r="N778" i="5"/>
  <c r="N69" i="5"/>
  <c r="N139" i="5"/>
  <c r="N207" i="5"/>
  <c r="N170" i="5"/>
  <c r="N326" i="5"/>
  <c r="N365" i="5"/>
  <c r="N149" i="5"/>
  <c r="N518" i="5"/>
  <c r="N565" i="5"/>
  <c r="N436" i="5"/>
  <c r="N433" i="5"/>
  <c r="N389" i="5"/>
  <c r="N544" i="5"/>
  <c r="N656" i="5"/>
  <c r="N619" i="5"/>
  <c r="N720" i="5"/>
  <c r="N779" i="5"/>
  <c r="N728" i="5"/>
  <c r="N298" i="5"/>
  <c r="N191" i="5"/>
  <c r="N147" i="5"/>
  <c r="N526" i="5"/>
  <c r="N505" i="5"/>
  <c r="N594" i="5"/>
  <c r="N722" i="5"/>
  <c r="N631" i="5"/>
  <c r="N527" i="5"/>
  <c r="N610" i="5"/>
  <c r="N669" i="5"/>
  <c r="N50" i="5"/>
  <c r="N116" i="5"/>
  <c r="N37" i="5"/>
  <c r="N86" i="5"/>
  <c r="N83" i="5"/>
  <c r="N77" i="5"/>
  <c r="N168" i="5"/>
  <c r="N299" i="5"/>
  <c r="N412" i="5"/>
  <c r="N457" i="5"/>
  <c r="N684" i="5"/>
  <c r="N477" i="5"/>
  <c r="N509" i="5"/>
  <c r="N677" i="5"/>
  <c r="N716" i="5"/>
  <c r="N533" i="5"/>
  <c r="N448" i="5"/>
  <c r="N732" i="5"/>
  <c r="N688" i="5"/>
  <c r="N777" i="5"/>
  <c r="N31" i="5"/>
  <c r="N44" i="5"/>
  <c r="N47" i="5"/>
  <c r="N55" i="5"/>
  <c r="N269" i="5"/>
  <c r="N367" i="5"/>
  <c r="N396" i="5"/>
  <c r="N630" i="5"/>
  <c r="N358" i="5"/>
  <c r="N640" i="5"/>
  <c r="N615" i="5"/>
  <c r="N664" i="5"/>
  <c r="N691" i="5"/>
  <c r="N725" i="5"/>
  <c r="N707" i="5"/>
  <c r="N768" i="5"/>
  <c r="N784" i="5"/>
  <c r="N485" i="5"/>
  <c r="N456" i="5"/>
  <c r="N589" i="5"/>
  <c r="N781" i="5"/>
  <c r="N534" i="5"/>
  <c r="N696" i="5"/>
  <c r="N697" i="5"/>
  <c r="N746" i="5"/>
  <c r="N171" i="5"/>
  <c r="N65" i="5"/>
  <c r="N58" i="5"/>
  <c r="N165" i="5"/>
  <c r="N81" i="5"/>
  <c r="N41" i="5"/>
  <c r="N235" i="5"/>
  <c r="N141" i="5"/>
  <c r="N278" i="5"/>
  <c r="N221" i="5"/>
  <c r="N276" i="5"/>
  <c r="N287" i="5"/>
  <c r="N142" i="5"/>
  <c r="N601" i="5"/>
  <c r="N399" i="5"/>
  <c r="N708" i="5"/>
  <c r="N683" i="5"/>
  <c r="N756" i="5"/>
  <c r="N480" i="5"/>
  <c r="N695" i="5"/>
  <c r="N120" i="5"/>
  <c r="N762" i="5"/>
  <c r="N749" i="5"/>
  <c r="N388" i="5"/>
  <c r="N452" i="5"/>
  <c r="N429" i="5"/>
  <c r="N425" i="5"/>
  <c r="N332" i="5"/>
  <c r="N476" i="5"/>
  <c r="N590" i="5"/>
  <c r="N145" i="5"/>
  <c r="N151" i="5"/>
  <c r="N651" i="5"/>
  <c r="N51" i="5"/>
  <c r="N95" i="5"/>
  <c r="N152" i="5"/>
  <c r="N392" i="5"/>
  <c r="N204" i="5"/>
  <c r="N216" i="5"/>
  <c r="N199" i="5"/>
  <c r="N486" i="5"/>
  <c r="N267" i="5"/>
  <c r="N283" i="5"/>
  <c r="N647" i="5"/>
  <c r="N440" i="5"/>
  <c r="N492" i="5"/>
  <c r="N441" i="5"/>
  <c r="N414" i="5"/>
  <c r="N428" i="5"/>
  <c r="N473" i="5"/>
  <c r="N537" i="5"/>
  <c r="N402" i="5"/>
  <c r="N334" i="5"/>
  <c r="N642" i="5"/>
  <c r="N700" i="5"/>
  <c r="N563" i="5"/>
  <c r="N637" i="5"/>
  <c r="N74" i="5"/>
  <c r="N98" i="5"/>
  <c r="N99" i="5"/>
  <c r="N78" i="5"/>
  <c r="N231" i="5"/>
  <c r="N245" i="5"/>
  <c r="N346" i="5"/>
  <c r="N174" i="5"/>
  <c r="N183" i="5"/>
  <c r="N330" i="5"/>
  <c r="N375" i="5"/>
  <c r="N274" i="5"/>
  <c r="N368" i="5"/>
  <c r="N209" i="5"/>
  <c r="N471" i="5"/>
  <c r="N324" i="5"/>
  <c r="N501" i="5"/>
  <c r="N272" i="5"/>
  <c r="N581" i="5"/>
  <c r="N721" i="5"/>
  <c r="N584" i="5"/>
  <c r="N596" i="5"/>
  <c r="N671" i="5"/>
  <c r="N706" i="5"/>
  <c r="N761" i="5"/>
  <c r="N726" i="5"/>
  <c r="N742" i="5"/>
  <c r="N311" i="5"/>
  <c r="N259" i="5"/>
  <c r="N233" i="5"/>
  <c r="N45" i="5"/>
  <c r="N26" i="5"/>
  <c r="N27" i="5"/>
  <c r="N23" i="5"/>
  <c r="N148" i="5"/>
  <c r="N71" i="5"/>
  <c r="N178" i="5"/>
  <c r="N49" i="5"/>
  <c r="N35" i="5"/>
  <c r="N306" i="5"/>
  <c r="N363" i="5"/>
  <c r="N494" i="5"/>
  <c r="N144" i="5"/>
  <c r="N482" i="5"/>
  <c r="N591" i="5"/>
  <c r="N461" i="5"/>
  <c r="N618" i="5"/>
  <c r="N379" i="5"/>
  <c r="N623" i="5"/>
  <c r="N478" i="5"/>
  <c r="N611" i="5"/>
  <c r="N624" i="5"/>
  <c r="N381" i="5"/>
  <c r="N755" i="5"/>
  <c r="N28" i="5"/>
  <c r="N146" i="5"/>
  <c r="N369" i="5"/>
  <c r="N447" i="5"/>
  <c r="N356" i="5"/>
  <c r="N410" i="5"/>
  <c r="N627" i="5"/>
  <c r="N134" i="5"/>
  <c r="N560" i="5"/>
  <c r="N22" i="5"/>
  <c r="N257" i="5"/>
  <c r="N167" i="5"/>
  <c r="N289" i="5"/>
  <c r="N190" i="5"/>
  <c r="N322" i="5"/>
  <c r="N236" i="5"/>
  <c r="N290" i="5"/>
  <c r="N215" i="5"/>
  <c r="N372" i="5"/>
  <c r="N102" i="5"/>
  <c r="N484" i="5"/>
  <c r="N304" i="5"/>
  <c r="N202" i="5"/>
  <c r="N500" i="5"/>
  <c r="N387" i="5"/>
  <c r="N258" i="5"/>
  <c r="N119" i="5"/>
  <c r="N468" i="5"/>
  <c r="N614" i="5"/>
  <c r="N593" i="5"/>
  <c r="N489" i="5"/>
  <c r="N636" i="5"/>
  <c r="N329" i="5"/>
  <c r="N608" i="5"/>
  <c r="N735" i="5"/>
  <c r="N420" i="5"/>
  <c r="N205" i="5"/>
  <c r="N498" i="5"/>
  <c r="N169" i="5"/>
  <c r="N558" i="5"/>
  <c r="N133" i="5"/>
  <c r="N73" i="5"/>
  <c r="N135" i="5"/>
  <c r="N75" i="5"/>
  <c r="N250" i="5"/>
  <c r="N155" i="5"/>
  <c r="N161" i="5"/>
  <c r="N130" i="5"/>
  <c r="N331" i="5"/>
  <c r="N160" i="5"/>
  <c r="N275" i="5"/>
  <c r="N195" i="5"/>
  <c r="N194" i="5"/>
  <c r="N348" i="5"/>
  <c r="N605" i="5"/>
  <c r="N335" i="5"/>
  <c r="N345" i="5"/>
  <c r="N559" i="5"/>
  <c r="N672" i="5"/>
  <c r="N499" i="5"/>
  <c r="N481" i="5"/>
  <c r="N650" i="5"/>
  <c r="N765" i="5"/>
  <c r="N524" i="5"/>
  <c r="N391" i="5"/>
  <c r="N212" i="5"/>
  <c r="N394" i="5"/>
  <c r="N435" i="5"/>
  <c r="N373" i="5"/>
  <c r="N675" i="5"/>
  <c r="N713" i="5"/>
  <c r="N571" i="5"/>
  <c r="N763" i="5"/>
  <c r="N702" i="5"/>
  <c r="N767" i="5"/>
  <c r="N352" i="5"/>
  <c r="N641" i="5"/>
  <c r="N350" i="5"/>
  <c r="N217" i="5"/>
  <c r="N427" i="5"/>
  <c r="N303" i="5"/>
  <c r="N424" i="5"/>
  <c r="N291" i="5"/>
  <c r="N564" i="5"/>
  <c r="N622" i="5"/>
  <c r="N337" i="5"/>
  <c r="N634" i="5"/>
  <c r="N347" i="5"/>
  <c r="N766" i="5"/>
  <c r="N96" i="5"/>
  <c r="N173" i="5"/>
  <c r="N292" i="5"/>
  <c r="N193" i="5"/>
  <c r="N203" i="5"/>
  <c r="N238" i="5"/>
  <c r="N94" i="5"/>
  <c r="N395" i="5"/>
  <c r="N493" i="5"/>
  <c r="N418" i="5"/>
  <c r="N506" i="5"/>
  <c r="N668" i="5"/>
  <c r="N709" i="5"/>
  <c r="N459" i="5"/>
  <c r="N547" i="5"/>
  <c r="N61" i="5"/>
  <c r="N127" i="5"/>
  <c r="N249" i="5"/>
  <c r="N223" i="5"/>
  <c r="N218" i="5"/>
  <c r="N164" i="5"/>
  <c r="N296" i="5"/>
  <c r="N465" i="5"/>
  <c r="N612" i="5"/>
  <c r="N408" i="5"/>
  <c r="N488" i="5"/>
  <c r="N504" i="5"/>
  <c r="N225" i="5"/>
  <c r="N667" i="5"/>
  <c r="N551" i="5"/>
  <c r="N652" i="5"/>
  <c r="N681" i="5"/>
  <c r="N613" i="5"/>
  <c r="N621" i="5"/>
  <c r="N586" i="5"/>
  <c r="N628" i="5"/>
  <c r="N665" i="5"/>
  <c r="N764" i="5"/>
  <c r="N754" i="5"/>
  <c r="N783" i="5"/>
  <c r="N48" i="5"/>
  <c r="N113" i="5"/>
  <c r="N131" i="5"/>
  <c r="N137" i="5"/>
  <c r="N93" i="5"/>
  <c r="N126" i="5"/>
  <c r="N222" i="5"/>
  <c r="N123" i="5"/>
  <c r="N234" i="5"/>
  <c r="N162" i="5"/>
  <c r="N246" i="5"/>
  <c r="N323" i="5"/>
  <c r="N281" i="5"/>
  <c r="N341" i="5"/>
  <c r="N309" i="5"/>
  <c r="N530" i="5"/>
  <c r="N101" i="5"/>
  <c r="N327" i="5"/>
  <c r="N210" i="5"/>
  <c r="N521" i="5"/>
  <c r="N380" i="5"/>
  <c r="N496" i="5"/>
  <c r="N529" i="5"/>
  <c r="N419" i="5"/>
  <c r="N293" i="5"/>
  <c r="N515" i="5"/>
  <c r="N393" i="5"/>
  <c r="N523" i="5"/>
  <c r="N633" i="5"/>
  <c r="N597" i="5"/>
  <c r="N588" i="5"/>
  <c r="N739" i="5"/>
  <c r="N753" i="5"/>
  <c r="N699" i="5"/>
  <c r="N759" i="5"/>
  <c r="N33" i="5"/>
  <c r="N105" i="5"/>
  <c r="N295" i="5"/>
  <c r="N226" i="5"/>
  <c r="N128" i="5"/>
  <c r="N445" i="5"/>
  <c r="N566" i="5"/>
  <c r="N546" i="5"/>
  <c r="N550" i="5"/>
  <c r="N578" i="5"/>
  <c r="N607" i="5"/>
  <c r="N649" i="5"/>
  <c r="N129" i="5"/>
  <c r="N68" i="5"/>
  <c r="N214" i="5"/>
  <c r="N577" i="5"/>
  <c r="N415" i="5"/>
  <c r="N244" i="5"/>
  <c r="N361" i="5"/>
  <c r="N548" i="5"/>
  <c r="N712" i="5"/>
  <c r="N744" i="5"/>
  <c r="N188" i="5"/>
  <c r="N302" i="5"/>
  <c r="N495" i="5"/>
  <c r="N657" i="5"/>
  <c r="N532" i="5"/>
  <c r="N542" i="5"/>
  <c r="N333" i="5"/>
  <c r="N549" i="5"/>
  <c r="N313" i="5"/>
  <c r="N442" i="5"/>
  <c r="N580" i="5"/>
  <c r="N378" i="5"/>
  <c r="N587" i="5"/>
  <c r="N661" i="5"/>
  <c r="N694" i="5"/>
  <c r="N401" i="5"/>
  <c r="N475" i="5"/>
  <c r="N770" i="5"/>
  <c r="N21" i="5"/>
  <c r="N30" i="5"/>
  <c r="N265" i="5"/>
  <c r="N282" i="5"/>
  <c r="N263" i="5"/>
  <c r="N321" i="5"/>
  <c r="N562" i="5"/>
  <c r="N645" i="5"/>
  <c r="N406" i="5"/>
  <c r="N538" i="5"/>
  <c r="N598" i="5"/>
  <c r="N715" i="5"/>
  <c r="N773" i="5"/>
  <c r="N686" i="5"/>
  <c r="N693" i="5"/>
  <c r="N750" i="5"/>
  <c r="N554" i="5"/>
  <c r="N662" i="5"/>
  <c r="N38" i="5"/>
  <c r="N114" i="5"/>
  <c r="N248" i="5"/>
  <c r="N253" i="5"/>
  <c r="N689" i="5"/>
  <c r="N616" i="5"/>
  <c r="N676" i="5"/>
  <c r="N760" i="5"/>
  <c r="N14" i="5"/>
  <c r="N271" i="5"/>
  <c r="N458" i="5"/>
  <c r="N90" i="5"/>
  <c r="N79" i="5"/>
  <c r="N124" i="5"/>
  <c r="N239" i="5"/>
  <c r="N421" i="5"/>
  <c r="N561" i="5"/>
  <c r="N552" i="5"/>
  <c r="N752" i="5"/>
  <c r="N400" i="5"/>
  <c r="N176" i="5"/>
  <c r="N525" i="5"/>
  <c r="N252" i="5"/>
  <c r="N508" i="5"/>
  <c r="N398" i="5"/>
  <c r="N18" i="5"/>
  <c r="N29" i="5"/>
  <c r="N87" i="5"/>
  <c r="N39" i="5"/>
  <c r="N60" i="5"/>
  <c r="N109" i="5"/>
  <c r="N36" i="5"/>
  <c r="N344" i="5"/>
  <c r="N579" i="5"/>
  <c r="N417" i="5"/>
  <c r="N737" i="5"/>
  <c r="N698" i="5"/>
  <c r="N230" i="5"/>
  <c r="N516" i="5"/>
  <c r="N666" i="5"/>
  <c r="N782" i="5"/>
  <c r="N774" i="5"/>
  <c r="N186" i="5"/>
  <c r="N437" i="5"/>
  <c r="N704" i="5"/>
  <c r="N12" i="5"/>
  <c r="N229" i="5"/>
  <c r="N97" i="5"/>
  <c r="N351" i="5"/>
  <c r="N153" i="5"/>
  <c r="N294" i="5"/>
  <c r="N43" i="5"/>
  <c r="N371" i="5"/>
  <c r="N376" i="5"/>
  <c r="N359" i="5"/>
  <c r="N314" i="5"/>
  <c r="N339" i="5"/>
  <c r="N254" i="5"/>
  <c r="N243" i="5"/>
  <c r="N573" i="5"/>
  <c r="N572" i="5"/>
  <c r="N685" i="5"/>
  <c r="N242" i="5"/>
  <c r="N362" i="5"/>
  <c r="N409" i="5"/>
  <c r="N539" i="5"/>
  <c r="N663" i="5"/>
  <c r="N595" i="5"/>
  <c r="N741" i="5"/>
  <c r="N703" i="5"/>
  <c r="N692" i="5"/>
  <c r="N719" i="5"/>
  <c r="N769" i="5"/>
  <c r="N743" i="5"/>
  <c r="N758" i="5"/>
  <c r="N541" i="5"/>
  <c r="N32" i="5"/>
  <c r="N187" i="5"/>
  <c r="N154" i="5"/>
  <c r="N310" i="5"/>
  <c r="N575" i="5"/>
  <c r="N10" i="5"/>
  <c r="N24" i="5"/>
  <c r="N112" i="5"/>
  <c r="N241" i="5"/>
  <c r="N132" i="5"/>
  <c r="N261" i="5"/>
  <c r="N180" i="5"/>
  <c r="N84" i="5"/>
  <c r="N201" i="5"/>
  <c r="N198" i="5"/>
  <c r="N196" i="5"/>
  <c r="N405" i="5"/>
  <c r="N273" i="5"/>
  <c r="N328" i="5"/>
  <c r="N315" i="5"/>
  <c r="N268" i="5"/>
  <c r="N325" i="5"/>
  <c r="N472" i="5"/>
  <c r="N374" i="5"/>
  <c r="N319" i="5"/>
  <c r="N466" i="5"/>
  <c r="N467" i="5"/>
  <c r="N569" i="5"/>
  <c r="N603" i="5"/>
  <c r="N522" i="5"/>
  <c r="N451" i="5"/>
  <c r="N644" i="5"/>
  <c r="N745" i="5"/>
  <c r="N727" i="5"/>
  <c r="N673" i="5"/>
  <c r="N648" i="5"/>
  <c r="N690" i="5"/>
  <c r="N710" i="5"/>
  <c r="N724" i="5"/>
  <c r="N17" i="5"/>
  <c r="N140" i="5"/>
  <c r="N491" i="5"/>
  <c r="N487" i="5"/>
  <c r="F3" i="5"/>
  <c r="N11" i="5"/>
  <c r="N56" i="5"/>
  <c r="N121" i="5"/>
  <c r="N108" i="5"/>
  <c r="N92" i="5"/>
  <c r="N469" i="5"/>
  <c r="J3" i="5"/>
  <c r="N76" i="5"/>
  <c r="N200" i="5"/>
  <c r="N175" i="5"/>
  <c r="N670" i="5"/>
  <c r="N514" i="5"/>
  <c r="N463" i="5"/>
  <c r="N357" i="5"/>
  <c r="N439" i="5"/>
  <c r="N189" i="5"/>
  <c r="N520" i="5"/>
  <c r="N251" i="5"/>
  <c r="N512" i="5"/>
  <c r="N557" i="5"/>
  <c r="N454" i="5"/>
  <c r="N117" i="5"/>
  <c r="N413" i="5"/>
  <c r="N308" i="5"/>
  <c r="N460" i="5"/>
  <c r="N592" i="5"/>
  <c r="N511" i="5"/>
  <c r="N446" i="5"/>
  <c r="N701" i="5"/>
  <c r="N382" i="5"/>
  <c r="N340" i="5"/>
  <c r="N266" i="5"/>
  <c r="N103" i="5"/>
  <c r="N305" i="5"/>
  <c r="N513" i="5"/>
  <c r="N377" i="5"/>
  <c r="N639" i="5"/>
  <c r="N757" i="5"/>
  <c r="N531" i="5"/>
  <c r="N718" i="5"/>
  <c r="N730" i="5"/>
  <c r="N143" i="5"/>
  <c r="N260" i="5"/>
  <c r="N279" i="5"/>
  <c r="N318" i="5"/>
  <c r="N122" i="5"/>
  <c r="N659" i="5"/>
  <c r="N535" i="5"/>
  <c r="N364" i="5"/>
  <c r="N576" i="5"/>
  <c r="M784" i="4"/>
  <c r="M41" i="4"/>
  <c r="M684" i="4"/>
  <c r="M94" i="4"/>
  <c r="M605" i="4"/>
  <c r="M305" i="4"/>
  <c r="M227" i="4"/>
  <c r="M430" i="4"/>
  <c r="M401" i="4"/>
  <c r="M548" i="4"/>
  <c r="M673" i="4"/>
  <c r="M711" i="4"/>
  <c r="M590" i="4"/>
  <c r="M275" i="4"/>
  <c r="M767" i="4"/>
  <c r="M240" i="4"/>
  <c r="M754" i="4"/>
  <c r="M152" i="4"/>
  <c r="M142" i="4"/>
  <c r="M636" i="4"/>
  <c r="M14" i="4"/>
  <c r="M171" i="4"/>
  <c r="M381" i="4"/>
  <c r="M83" i="4"/>
  <c r="M99" i="4"/>
  <c r="M160" i="4"/>
  <c r="M289" i="4"/>
  <c r="M23" i="4"/>
  <c r="M334" i="4"/>
  <c r="M663" i="4"/>
  <c r="M188" i="4"/>
  <c r="M274" i="4"/>
  <c r="M609" i="4"/>
  <c r="M432" i="4"/>
  <c r="M148" i="4"/>
  <c r="M352" i="4"/>
  <c r="M288" i="4"/>
  <c r="M217" i="4"/>
  <c r="M195" i="4"/>
  <c r="M680" i="4"/>
  <c r="M574" i="4"/>
  <c r="M733" i="4"/>
  <c r="M689" i="4"/>
  <c r="M409" i="4"/>
  <c r="M751" i="4"/>
  <c r="M660" i="4"/>
  <c r="M579" i="4"/>
  <c r="M637" i="4"/>
  <c r="M745" i="4"/>
  <c r="M770" i="4"/>
  <c r="M147" i="4"/>
  <c r="M263" i="4"/>
  <c r="M492" i="4"/>
  <c r="M547" i="4"/>
  <c r="M146" i="4"/>
  <c r="M596" i="4"/>
  <c r="M501" i="4"/>
  <c r="M375" i="4"/>
  <c r="M219" i="4"/>
  <c r="M307" i="4"/>
  <c r="M619" i="4"/>
  <c r="M750" i="4"/>
  <c r="M175" i="4"/>
  <c r="M434" i="4"/>
  <c r="M192" i="4"/>
  <c r="M771" i="4"/>
  <c r="M766" i="4"/>
  <c r="M185" i="4"/>
  <c r="M497" i="4"/>
  <c r="M687" i="4"/>
  <c r="M781" i="4"/>
  <c r="M760" i="4"/>
  <c r="M516" i="4"/>
  <c r="M416" i="4"/>
  <c r="M728" i="4"/>
  <c r="M285" i="4"/>
  <c r="M458" i="4"/>
  <c r="M615" i="4"/>
  <c r="M329" i="4"/>
  <c r="M345" i="4"/>
  <c r="M357" i="4"/>
  <c r="M734" i="4"/>
  <c r="M225" i="4"/>
  <c r="M448" i="4"/>
  <c r="M25" i="4"/>
  <c r="M264" i="4"/>
  <c r="M122" i="4"/>
  <c r="M257" i="4"/>
  <c r="M624" i="4"/>
  <c r="M90" i="4"/>
  <c r="M60" i="4"/>
  <c r="M56" i="4"/>
  <c r="M444" i="4"/>
  <c r="M335" i="4"/>
  <c r="M520" i="4"/>
  <c r="M454" i="4"/>
  <c r="M535" i="4"/>
  <c r="M575" i="4"/>
  <c r="M668" i="4"/>
  <c r="M686" i="4"/>
  <c r="M606" i="4"/>
  <c r="M44" i="4"/>
  <c r="M65" i="4"/>
  <c r="M517" i="4"/>
  <c r="M107" i="4"/>
  <c r="M695" i="4"/>
  <c r="M224" i="4"/>
  <c r="M542" i="4"/>
  <c r="M459" i="4"/>
  <c r="M394" i="4"/>
  <c r="M89" i="4"/>
  <c r="M612" i="4"/>
  <c r="M774" i="4"/>
  <c r="M741" i="4"/>
  <c r="M675" i="4"/>
  <c r="M119" i="4"/>
  <c r="M215" i="4"/>
  <c r="M58" i="4"/>
  <c r="M691" i="4"/>
  <c r="M390" i="4"/>
  <c r="M241" i="4"/>
  <c r="M571" i="4"/>
  <c r="M435" i="4"/>
  <c r="M54" i="4"/>
  <c r="M347" i="4"/>
  <c r="M293" i="4"/>
  <c r="M106" i="4"/>
  <c r="M190" i="4"/>
  <c r="M396" i="4"/>
  <c r="M369" i="4"/>
  <c r="M461" i="4"/>
  <c r="M112" i="4"/>
  <c r="M140" i="4"/>
  <c r="M556" i="4"/>
  <c r="M346" i="4"/>
  <c r="M93" i="4"/>
  <c r="M514" i="4"/>
  <c r="M634" i="4"/>
  <c r="M398" i="4"/>
  <c r="M614" i="4"/>
  <c r="M320" i="4"/>
  <c r="M489" i="4"/>
  <c r="M327" i="4"/>
  <c r="M406" i="4"/>
  <c r="M732" i="4"/>
  <c r="M768" i="4"/>
  <c r="M587" i="4"/>
  <c r="M763" i="4"/>
  <c r="M304" i="4"/>
  <c r="M39" i="4"/>
  <c r="M10" i="4"/>
  <c r="M159" i="4"/>
  <c r="M199" i="4"/>
  <c r="M324" i="4"/>
  <c r="M96" i="4"/>
  <c r="M455" i="4"/>
  <c r="M218" i="4"/>
  <c r="M258" i="4"/>
  <c r="M349" i="4"/>
  <c r="M292" i="4"/>
  <c r="M282" i="4"/>
  <c r="M622" i="4"/>
  <c r="M738" i="4"/>
  <c r="M482" i="4"/>
  <c r="M700" i="4"/>
  <c r="M735" i="4"/>
  <c r="M551" i="4"/>
  <c r="M692" i="4"/>
  <c r="M403" i="4"/>
  <c r="M671" i="4"/>
  <c r="M635" i="4"/>
  <c r="M539" i="4"/>
  <c r="M533" i="4"/>
  <c r="M13" i="4"/>
  <c r="M300" i="4"/>
  <c r="M328" i="4"/>
  <c r="M101" i="4"/>
  <c r="M392" i="4"/>
  <c r="M498" i="4"/>
  <c r="M658" i="4"/>
  <c r="M642" i="4"/>
  <c r="M223" i="4"/>
  <c r="M450" i="4"/>
  <c r="M413" i="4"/>
  <c r="M708" i="4"/>
  <c r="M165" i="4"/>
  <c r="M729" i="4"/>
  <c r="M262" i="4"/>
  <c r="M685" i="4"/>
  <c r="M471" i="4"/>
  <c r="M569" i="4"/>
  <c r="M567" i="4"/>
  <c r="M415" i="4"/>
  <c r="M589" i="4"/>
  <c r="M552" i="4"/>
  <c r="M716" i="4"/>
  <c r="M724" i="4"/>
  <c r="M144" i="4"/>
  <c r="M775" i="4"/>
  <c r="M656" i="4"/>
  <c r="M473" i="4"/>
  <c r="M586" i="4"/>
  <c r="M279" i="4"/>
  <c r="M342" i="4"/>
  <c r="M368" i="4"/>
  <c r="M69" i="4"/>
  <c r="M200" i="4"/>
  <c r="M463" i="4"/>
  <c r="M341" i="4"/>
  <c r="M138" i="4"/>
  <c r="M302" i="4"/>
  <c r="M75" i="4"/>
  <c r="M540" i="4"/>
  <c r="M24" i="4"/>
  <c r="M208" i="4"/>
  <c r="M281" i="4"/>
  <c r="M433" i="4"/>
  <c r="M428" i="4"/>
  <c r="M470" i="4"/>
  <c r="M676" i="4"/>
  <c r="M467" i="4"/>
  <c r="M581" i="4"/>
  <c r="M740" i="4"/>
  <c r="M469" i="4"/>
  <c r="M507" i="4"/>
  <c r="M373" i="4"/>
  <c r="M131" i="4"/>
  <c r="M419" i="4"/>
  <c r="M595" i="4"/>
  <c r="M63" i="4"/>
  <c r="M338" i="4"/>
  <c r="M584" i="4"/>
  <c r="M746" i="4"/>
  <c r="M681" i="4"/>
  <c r="M42" i="4"/>
  <c r="M78" i="4"/>
  <c r="M702" i="4"/>
  <c r="M382" i="4"/>
  <c r="M315" i="4"/>
  <c r="M367" i="4"/>
  <c r="M527" i="4"/>
  <c r="M511" i="4"/>
  <c r="M485" i="4"/>
  <c r="M515" i="4"/>
  <c r="M351" i="4"/>
  <c r="M174" i="4"/>
  <c r="M130" i="4"/>
  <c r="M483" i="4"/>
  <c r="M250" i="4"/>
  <c r="M412" i="4"/>
  <c r="M12" i="4"/>
  <c r="M120" i="4"/>
  <c r="M326" i="4"/>
  <c r="M291" i="4"/>
  <c r="M114" i="4"/>
  <c r="M116" i="4"/>
  <c r="M239" i="4"/>
  <c r="M705" i="4"/>
  <c r="M261" i="4"/>
  <c r="M133" i="4"/>
  <c r="M502" i="4"/>
  <c r="M414" i="4"/>
  <c r="M402" i="4"/>
  <c r="M780" i="4"/>
  <c r="M506" i="4"/>
  <c r="M371" i="4"/>
  <c r="M137" i="4"/>
  <c r="M251" i="4"/>
  <c r="M299" i="4"/>
  <c r="M744" i="4"/>
  <c r="M613" i="4"/>
  <c r="M201" i="4"/>
  <c r="M560" i="4"/>
  <c r="M683" i="4"/>
  <c r="M491" i="4"/>
  <c r="M452" i="4"/>
  <c r="M730" i="4"/>
  <c r="M531" i="4"/>
  <c r="M453" i="4"/>
  <c r="M427" i="4"/>
  <c r="M429" i="4"/>
  <c r="M117" i="4"/>
  <c r="M703" i="4"/>
  <c r="M35" i="4"/>
  <c r="M773" i="4"/>
  <c r="M134" i="4"/>
  <c r="M20" i="4"/>
  <c r="M532" i="4"/>
  <c r="M655" i="4"/>
  <c r="M303" i="4"/>
  <c r="M529" i="4"/>
  <c r="M220" i="4"/>
  <c r="M682" i="4"/>
  <c r="M577" i="4"/>
  <c r="M407" i="4"/>
  <c r="M525" i="4"/>
  <c r="M546" i="4"/>
  <c r="M252" i="4"/>
  <c r="M162" i="4"/>
  <c r="M321" i="4"/>
  <c r="M313" i="4"/>
  <c r="M623" i="4"/>
  <c r="M364" i="4"/>
  <c r="M721" i="4"/>
  <c r="M678" i="4"/>
  <c r="M226" i="4"/>
  <c r="M449" i="4"/>
  <c r="M294" i="4"/>
  <c r="M460" i="4"/>
  <c r="M404" i="4"/>
  <c r="M206" i="4"/>
  <c r="M383" i="4"/>
  <c r="M370" i="4"/>
  <c r="M260" i="4"/>
  <c r="M384" i="4"/>
  <c r="M639" i="4"/>
  <c r="M508" i="4"/>
  <c r="M523" i="4"/>
  <c r="M538" i="4"/>
  <c r="M100" i="4"/>
  <c r="M616" i="4"/>
  <c r="M617" i="4"/>
  <c r="M248" i="4"/>
  <c r="M641" i="4"/>
  <c r="M287" i="4"/>
  <c r="M181" i="4"/>
  <c r="M290" i="4"/>
  <c r="M11" i="4"/>
  <c r="M109" i="4"/>
  <c r="M391" i="4"/>
  <c r="M124" i="4"/>
  <c r="M479" i="4"/>
  <c r="M154" i="4"/>
  <c r="M628" i="4"/>
  <c r="M256" i="4"/>
  <c r="M295" i="4"/>
  <c r="M679" i="4"/>
  <c r="M43" i="4"/>
  <c r="M360" i="4"/>
  <c r="M253" i="4"/>
  <c r="M764" i="4"/>
  <c r="M593" i="4"/>
  <c r="M355" i="4"/>
  <c r="M601" i="4"/>
  <c r="M337" i="4"/>
  <c r="M451" i="4"/>
  <c r="M739" i="4"/>
  <c r="M184" i="4"/>
  <c r="M640" i="4"/>
  <c r="M727" i="4"/>
  <c r="M753" i="4"/>
  <c r="M176" i="4"/>
  <c r="M743" i="4"/>
  <c r="M31" i="4"/>
  <c r="M580" i="4"/>
  <c r="M48" i="4"/>
  <c r="M417" i="4"/>
  <c r="M503" i="4"/>
  <c r="M222" i="4"/>
  <c r="M563" i="4"/>
  <c r="M40" i="4"/>
  <c r="M157" i="4"/>
  <c r="M405" i="4"/>
  <c r="M169" i="4"/>
  <c r="M464" i="4"/>
  <c r="M445" i="4"/>
  <c r="M211" i="4"/>
  <c r="M57" i="4"/>
  <c r="M512" i="4"/>
  <c r="M528" i="4"/>
  <c r="M659" i="4"/>
  <c r="M312" i="4"/>
  <c r="M522" i="4"/>
  <c r="M167" i="4"/>
  <c r="M447" i="4"/>
  <c r="M247" i="4"/>
  <c r="M783" i="4"/>
  <c r="M725" i="4"/>
  <c r="M611" i="4"/>
  <c r="M136" i="4"/>
  <c r="M543" i="4"/>
  <c r="M156" i="4"/>
  <c r="M715" i="4"/>
  <c r="M597" i="4"/>
  <c r="M50" i="4"/>
  <c r="M127" i="4"/>
  <c r="M466" i="4"/>
  <c r="M128" i="4"/>
  <c r="M476" i="4"/>
  <c r="M322" i="4"/>
  <c r="M104" i="4"/>
  <c r="M34" i="4"/>
  <c r="M53" i="4"/>
  <c r="M323" i="4"/>
  <c r="M504" i="4"/>
  <c r="M22" i="4"/>
  <c r="M204" i="4"/>
  <c r="M26" i="4"/>
  <c r="M183" i="4"/>
  <c r="M359" i="4"/>
  <c r="M178" i="4"/>
  <c r="M630" i="4"/>
  <c r="M306" i="4"/>
  <c r="M68" i="4"/>
  <c r="M141" i="4"/>
  <c r="M667" i="4"/>
  <c r="M298" i="4"/>
  <c r="M669" i="4"/>
  <c r="M121" i="4"/>
  <c r="M333" i="4"/>
  <c r="M769" i="4"/>
  <c r="M173" i="4"/>
  <c r="M553" i="4"/>
  <c r="M87" i="4"/>
  <c r="M672" i="4"/>
  <c r="M608" i="4"/>
  <c r="M765" i="4"/>
  <c r="M343" i="4"/>
  <c r="M339" i="4"/>
  <c r="M592" i="4"/>
  <c r="M756" i="4"/>
  <c r="M155" i="4"/>
  <c r="M17" i="4"/>
  <c r="M719" i="4"/>
  <c r="M468" i="4"/>
  <c r="M362" i="4"/>
  <c r="E3" i="4"/>
  <c r="M340" i="4"/>
  <c r="M236" i="4"/>
  <c r="M772" i="4"/>
  <c r="M276" i="4"/>
  <c r="M309" i="4"/>
  <c r="M164" i="4"/>
  <c r="M113" i="4"/>
  <c r="M29" i="4"/>
  <c r="M72" i="4"/>
  <c r="M495" i="4"/>
  <c r="M666" i="4"/>
  <c r="M650" i="4"/>
  <c r="M21" i="4"/>
  <c r="M477" i="4"/>
  <c r="M363" i="4"/>
  <c r="M255" i="4"/>
  <c r="M308" i="4"/>
  <c r="M356" i="4"/>
  <c r="M150" i="4"/>
  <c r="M242" i="4"/>
  <c r="M648" i="4"/>
  <c r="I3" i="4"/>
  <c r="M314" i="4"/>
  <c r="M661" i="4"/>
  <c r="M186" i="4"/>
  <c r="M549" i="4"/>
  <c r="M588" i="4"/>
  <c r="M126" i="4"/>
  <c r="M286" i="4"/>
  <c r="M361" i="4"/>
  <c r="M594" i="4"/>
  <c r="M714" i="4"/>
  <c r="M115" i="4"/>
  <c r="M45" i="4"/>
  <c r="M51" i="4"/>
  <c r="M578" i="4"/>
  <c r="M388" i="4"/>
  <c r="M723" i="4"/>
  <c r="M441" i="4"/>
  <c r="M762" i="4"/>
  <c r="M500" i="4"/>
  <c r="M526" i="4"/>
  <c r="M385" i="3"/>
  <c r="M377" i="3"/>
  <c r="M676" i="3"/>
  <c r="M486" i="3"/>
  <c r="M724" i="3"/>
  <c r="M751" i="3"/>
  <c r="M107" i="3"/>
  <c r="M661" i="3"/>
  <c r="M518" i="3"/>
  <c r="M739" i="3"/>
  <c r="M770" i="3"/>
  <c r="M298" i="3"/>
  <c r="M771" i="3"/>
  <c r="M373" i="3"/>
  <c r="M153" i="3"/>
  <c r="M23" i="3"/>
  <c r="M248" i="3"/>
  <c r="M308" i="3"/>
  <c r="M58" i="3"/>
  <c r="M336" i="3"/>
  <c r="M141" i="3"/>
  <c r="M309" i="3"/>
  <c r="M70" i="3"/>
  <c r="M448" i="3"/>
  <c r="M576" i="3"/>
  <c r="M554" i="3"/>
  <c r="M205" i="3"/>
  <c r="M331" i="3"/>
  <c r="M287" i="3"/>
  <c r="M462" i="3"/>
  <c r="M534" i="3"/>
  <c r="M715" i="3"/>
  <c r="M547" i="3"/>
  <c r="M185" i="3"/>
  <c r="M189" i="3"/>
  <c r="M736" i="3"/>
  <c r="M531" i="3"/>
  <c r="M405" i="3"/>
  <c r="M160" i="3"/>
  <c r="M410" i="3"/>
  <c r="M177" i="3"/>
  <c r="M66" i="3"/>
  <c r="M451" i="3"/>
  <c r="M683" i="3"/>
  <c r="M446" i="3"/>
  <c r="M437" i="3"/>
  <c r="M428" i="3"/>
  <c r="M434" i="3"/>
  <c r="M326" i="3"/>
  <c r="M489" i="3"/>
  <c r="M572" i="3"/>
  <c r="M204" i="3"/>
  <c r="M585" i="3"/>
  <c r="M404" i="3"/>
  <c r="M746" i="3"/>
  <c r="M393" i="3"/>
  <c r="M145" i="3"/>
  <c r="M250" i="3"/>
  <c r="M552" i="3"/>
  <c r="M621" i="3"/>
  <c r="M497" i="3"/>
  <c r="M606" i="3"/>
  <c r="M673" i="3"/>
  <c r="M700" i="3"/>
  <c r="M186" i="3"/>
  <c r="M587" i="3"/>
  <c r="M690" i="3"/>
  <c r="M86" i="3"/>
  <c r="M168" i="3"/>
  <c r="M156" i="3"/>
  <c r="M725" i="3"/>
  <c r="M765" i="3"/>
  <c r="M435" i="3"/>
  <c r="M351" i="3"/>
  <c r="M510" i="3"/>
  <c r="M395" i="3"/>
  <c r="M98" i="3"/>
  <c r="M122" i="3"/>
  <c r="M494" i="3"/>
  <c r="M641" i="3"/>
  <c r="M375" i="3"/>
  <c r="M646" i="3"/>
  <c r="M13" i="3"/>
  <c r="M604" i="3"/>
  <c r="M317" i="3"/>
  <c r="M119" i="3"/>
  <c r="M310" i="3"/>
  <c r="M439" i="3"/>
  <c r="M335" i="3"/>
  <c r="M711" i="3"/>
  <c r="M596" i="3"/>
  <c r="M398" i="3"/>
  <c r="M383" i="3"/>
  <c r="M527" i="3"/>
  <c r="M18" i="3"/>
  <c r="M208" i="3"/>
  <c r="M120" i="3"/>
  <c r="M748" i="3"/>
  <c r="M581" i="3"/>
  <c r="M717" i="3"/>
  <c r="M543" i="3"/>
  <c r="M311" i="3"/>
  <c r="M474" i="3"/>
  <c r="M396" i="3"/>
  <c r="M694" i="3"/>
  <c r="M502" i="3"/>
  <c r="M245" i="3"/>
  <c r="M614" i="3"/>
  <c r="M433" i="3"/>
  <c r="M322" i="3"/>
  <c r="M325" i="3"/>
  <c r="M77" i="3"/>
  <c r="M114" i="3"/>
  <c r="M157" i="3"/>
  <c r="M247" i="3"/>
  <c r="M617" i="3"/>
  <c r="M81" i="3"/>
  <c r="M143" i="3"/>
  <c r="M688" i="3"/>
  <c r="M69" i="3"/>
  <c r="M318" i="3"/>
  <c r="M241" i="3"/>
  <c r="M637" i="3"/>
  <c r="M202" i="3"/>
  <c r="M467" i="3"/>
  <c r="M87" i="3"/>
  <c r="M561" i="3"/>
  <c r="M755" i="3"/>
  <c r="M418" i="3"/>
  <c r="M687" i="3"/>
  <c r="M142" i="3"/>
  <c r="M542" i="3"/>
  <c r="M513" i="3"/>
  <c r="M610" i="3"/>
  <c r="M134" i="3"/>
  <c r="M139" i="3"/>
  <c r="M84" i="3"/>
  <c r="M709" i="3"/>
  <c r="M31" i="3"/>
  <c r="M449" i="3"/>
  <c r="M756" i="3"/>
  <c r="M431" i="3"/>
  <c r="M360" i="3"/>
  <c r="M265" i="3"/>
  <c r="M682" i="3"/>
  <c r="M41" i="3"/>
  <c r="M104" i="3"/>
  <c r="M278" i="3"/>
  <c r="M775" i="3"/>
  <c r="M40" i="3"/>
  <c r="M297" i="3"/>
  <c r="M525" i="3"/>
  <c r="M316" i="3"/>
  <c r="M508" i="3"/>
  <c r="M340" i="3"/>
  <c r="M562" i="3"/>
  <c r="M263" i="3"/>
  <c r="M742" i="3"/>
  <c r="M279" i="3"/>
  <c r="M132" i="3"/>
  <c r="M190" i="3"/>
  <c r="M218" i="3"/>
  <c r="M172" i="3"/>
  <c r="M301" i="3"/>
  <c r="M329" i="3"/>
  <c r="M586" i="3"/>
  <c r="M532" i="3"/>
  <c r="M116" i="3"/>
  <c r="M106" i="3"/>
  <c r="M25" i="3"/>
  <c r="M277" i="3"/>
  <c r="M737" i="3"/>
  <c r="M713" i="3"/>
  <c r="M210" i="3"/>
  <c r="M345" i="3"/>
  <c r="M273" i="3"/>
  <c r="M463" i="3"/>
  <c r="M499" i="3"/>
  <c r="M21" i="3"/>
  <c r="M488" i="3"/>
  <c r="M557" i="3"/>
  <c r="M592" i="3"/>
  <c r="M193" i="3"/>
  <c r="M147" i="3"/>
  <c r="M64" i="3"/>
  <c r="M289" i="3"/>
  <c r="M60" i="3"/>
  <c r="M11" i="3"/>
  <c r="M629" i="3"/>
  <c r="M95" i="3"/>
  <c r="M378" i="3"/>
  <c r="M269" i="3"/>
  <c r="M545" i="3"/>
  <c r="M777" i="3"/>
  <c r="M578" i="3"/>
  <c r="M471" i="3"/>
  <c r="M768" i="3"/>
  <c r="M181" i="3"/>
  <c r="M644" i="3"/>
  <c r="M163" i="3"/>
  <c r="M677" i="3"/>
  <c r="M563" i="3"/>
  <c r="M577" i="3"/>
  <c r="M593" i="3"/>
  <c r="M626" i="3"/>
  <c r="M409" i="3"/>
  <c r="M111" i="3"/>
  <c r="M754" i="3"/>
  <c r="M674" i="3"/>
  <c r="M509" i="3"/>
  <c r="M487" i="3"/>
  <c r="M54" i="3"/>
  <c r="M303" i="3"/>
  <c r="M343" i="3"/>
  <c r="M658" i="3"/>
  <c r="M22" i="3"/>
  <c r="M731" i="3"/>
  <c r="M730" i="3"/>
  <c r="M616" i="3"/>
  <c r="M49" i="3"/>
  <c r="M701" i="3"/>
  <c r="M662" i="3"/>
  <c r="M176" i="3"/>
  <c r="M526" i="3"/>
  <c r="M48" i="3"/>
  <c r="M647" i="3"/>
  <c r="M618" i="3"/>
  <c r="M327" i="3"/>
  <c r="M729" i="3"/>
  <c r="M144" i="3"/>
  <c r="M222" i="3"/>
  <c r="M653" i="3"/>
  <c r="M136" i="3"/>
  <c r="M424" i="3"/>
  <c r="M275" i="3"/>
  <c r="M580" i="3"/>
  <c r="M565" i="3"/>
  <c r="M270" i="3"/>
  <c r="M154" i="3"/>
  <c r="M284" i="3"/>
  <c r="M27" i="3"/>
  <c r="M50" i="3"/>
  <c r="M341" i="3"/>
  <c r="M642" i="3"/>
  <c r="M260" i="3"/>
  <c r="M368" i="3"/>
  <c r="M93" i="3"/>
  <c r="M314" i="3"/>
  <c r="M767" i="3"/>
  <c r="M726" i="3"/>
  <c r="M394" i="3"/>
  <c r="M338" i="3"/>
  <c r="M272" i="3"/>
  <c r="M657" i="3"/>
  <c r="M78" i="3"/>
  <c r="M291" i="3"/>
  <c r="M83" i="3"/>
  <c r="M612" i="3"/>
  <c r="M735" i="3"/>
  <c r="M268" i="3"/>
  <c r="M492" i="3"/>
  <c r="M732" i="3"/>
  <c r="M110" i="3"/>
  <c r="M220" i="3"/>
  <c r="M744" i="3"/>
  <c r="M475" i="3"/>
  <c r="M76" i="3"/>
  <c r="M347" i="3"/>
  <c r="M135" i="3"/>
  <c r="M271" i="3"/>
  <c r="M660" i="3"/>
  <c r="M741" i="3"/>
  <c r="M281" i="3"/>
  <c r="M20" i="3"/>
  <c r="M313" i="3"/>
  <c r="M292" i="3"/>
  <c r="M137" i="3"/>
  <c r="M15" i="3"/>
  <c r="M678" i="3"/>
  <c r="M458" i="3"/>
  <c r="M355" i="3"/>
  <c r="M174" i="3"/>
  <c r="M129" i="3"/>
  <c r="M232" i="3"/>
  <c r="M764" i="3"/>
  <c r="M211" i="3"/>
  <c r="M209" i="3"/>
  <c r="M500" i="3"/>
  <c r="M283" i="3"/>
  <c r="M255" i="3"/>
  <c r="M294" i="3"/>
  <c r="M402" i="3"/>
  <c r="M721" i="3"/>
  <c r="M243" i="3"/>
  <c r="M584" i="3"/>
  <c r="M408" i="3"/>
  <c r="M364" i="3"/>
  <c r="M133" i="3"/>
  <c r="M253" i="3"/>
  <c r="M559" i="3"/>
  <c r="M43" i="3"/>
  <c r="M47" i="3"/>
  <c r="M371" i="3"/>
  <c r="M450" i="3"/>
  <c r="M382" i="3"/>
  <c r="M444" i="3"/>
  <c r="M164" i="3"/>
  <c r="M556" i="3"/>
  <c r="M752" i="3"/>
  <c r="M196" i="3"/>
  <c r="M354" i="3"/>
  <c r="M762" i="3"/>
  <c r="M605" i="3"/>
  <c r="M505" i="3"/>
  <c r="M598" i="3"/>
  <c r="M555" i="3"/>
  <c r="M696" i="3"/>
  <c r="M482" i="3"/>
  <c r="M207" i="3"/>
  <c r="M425" i="3"/>
  <c r="M14" i="3"/>
  <c r="M476" i="3"/>
  <c r="M766" i="3"/>
  <c r="M419" i="3"/>
  <c r="M68" i="3"/>
  <c r="M529" i="3"/>
  <c r="M459" i="3"/>
  <c r="M515" i="3"/>
  <c r="M229" i="3"/>
  <c r="M79" i="3"/>
  <c r="M227" i="3"/>
  <c r="M495" i="3"/>
  <c r="M686" i="3"/>
  <c r="M781" i="3"/>
  <c r="M96" i="3"/>
  <c r="M633" i="3"/>
  <c r="M90" i="3"/>
  <c r="M464" i="3"/>
  <c r="M601" i="3"/>
  <c r="M166" i="3"/>
  <c r="M251" i="3"/>
  <c r="M315" i="3"/>
  <c r="M39" i="3"/>
  <c r="M514" i="3"/>
  <c r="M236" i="3"/>
  <c r="M719" i="3"/>
  <c r="M387" i="3"/>
  <c r="M760" i="3"/>
  <c r="M213" i="3"/>
  <c r="M400" i="3"/>
  <c r="M699" i="3"/>
  <c r="M259" i="3"/>
  <c r="M517" i="3"/>
  <c r="M412" i="3"/>
  <c r="M685" i="3"/>
  <c r="M769" i="3"/>
  <c r="M643" i="3"/>
  <c r="M628" i="3"/>
  <c r="M171" i="3"/>
  <c r="M670" i="3"/>
  <c r="M296" i="3"/>
  <c r="M179" i="3"/>
  <c r="M523" i="3"/>
  <c r="M286" i="3"/>
  <c r="M620" i="3"/>
  <c r="M115" i="3"/>
  <c r="M776" i="3"/>
  <c r="M469" i="3"/>
  <c r="M723" i="3"/>
  <c r="M743" i="3"/>
  <c r="M215" i="3"/>
  <c r="M9" i="3"/>
  <c r="M703" i="3"/>
  <c r="M214" i="3"/>
  <c r="M101" i="3"/>
  <c r="M645" i="3"/>
  <c r="M112" i="3"/>
  <c r="M704" i="3"/>
  <c r="M573" i="3"/>
  <c r="M698" i="3"/>
  <c r="M200" i="3"/>
  <c r="M569" i="3"/>
  <c r="M651" i="3"/>
  <c r="M403" i="3"/>
  <c r="M152" i="3"/>
  <c r="M675" i="3"/>
  <c r="M369" i="3"/>
  <c r="M659" i="3"/>
  <c r="M613" i="3"/>
  <c r="M750" i="3"/>
  <c r="M714" i="3"/>
  <c r="M74" i="3"/>
  <c r="M180" i="3"/>
  <c r="M392" i="3"/>
  <c r="M300" i="3"/>
  <c r="M457" i="3"/>
  <c r="M480" i="3"/>
  <c r="M224" i="3"/>
  <c r="M454" i="3"/>
  <c r="M32" i="3"/>
  <c r="M440" i="3"/>
  <c r="M109" i="3"/>
  <c r="M128" i="3"/>
  <c r="M692" i="3"/>
  <c r="M356" i="3"/>
  <c r="M511" i="3"/>
  <c r="M184" i="3"/>
  <c r="M381" i="3"/>
  <c r="M234" i="3"/>
  <c r="M417" i="3"/>
  <c r="M649" i="3"/>
  <c r="M228" i="3"/>
  <c r="M533" i="3"/>
  <c r="M693" i="3"/>
  <c r="M441" i="3"/>
  <c r="M59" i="3"/>
  <c r="M622" i="3"/>
  <c r="M747" i="3"/>
  <c r="M625" i="3"/>
  <c r="M447" i="3"/>
  <c r="M666" i="3"/>
  <c r="M473" i="3"/>
  <c r="M367" i="3"/>
  <c r="M320" i="3"/>
  <c r="M361" i="3"/>
  <c r="M188" i="3"/>
  <c r="M80" i="3"/>
  <c r="M323" i="3"/>
  <c r="M366" i="3"/>
  <c r="M516" i="3"/>
  <c r="M388" i="3"/>
  <c r="M738" i="3"/>
  <c r="M390" i="3"/>
  <c r="M654" i="3"/>
  <c r="M148" i="3"/>
  <c r="M72" i="3"/>
  <c r="M195" i="3"/>
  <c r="M246" i="3"/>
  <c r="M249" i="3"/>
  <c r="M607" i="3"/>
  <c r="M669" i="3"/>
  <c r="M26" i="3"/>
  <c r="M61" i="3"/>
  <c r="M706" i="3"/>
  <c r="M44" i="3"/>
  <c r="M570" i="3"/>
  <c r="M65" i="3"/>
  <c r="M267" i="3"/>
  <c r="M199" i="3"/>
  <c r="M456" i="3"/>
  <c r="M36" i="3"/>
  <c r="M761" i="3"/>
  <c r="M774" i="3"/>
  <c r="M19" i="3"/>
  <c r="M679" i="3"/>
  <c r="M753" i="3"/>
  <c r="M194" i="3"/>
  <c r="M124" i="3"/>
  <c r="M757" i="3"/>
  <c r="M225" i="3"/>
  <c r="M306" i="3"/>
  <c r="M634" i="3"/>
  <c r="M216" i="3"/>
  <c r="M105" i="3"/>
  <c r="M430" i="3"/>
  <c r="M140" i="3"/>
  <c r="M780" i="3"/>
  <c r="M319" i="3"/>
  <c r="M92" i="3"/>
  <c r="M357" i="3"/>
  <c r="M567" i="3"/>
  <c r="M411" i="3"/>
  <c r="M406" i="3"/>
  <c r="M631" i="3"/>
  <c r="M623" i="3"/>
  <c r="M51" i="3"/>
  <c r="M349" i="3"/>
  <c r="M399" i="3"/>
  <c r="M30" i="3"/>
  <c r="M568" i="3"/>
  <c r="M359" i="3"/>
  <c r="M75" i="3"/>
  <c r="M465" i="3"/>
  <c r="M73" i="3"/>
  <c r="M716" i="3"/>
  <c r="M553" i="3"/>
  <c r="M384" i="3"/>
  <c r="M733" i="3"/>
  <c r="M640" i="3"/>
  <c r="M254" i="3"/>
  <c r="M521" i="3"/>
  <c r="M67" i="3"/>
  <c r="M257" i="3"/>
  <c r="M684" i="3"/>
  <c r="M749" i="3"/>
  <c r="M334" i="3"/>
  <c r="M619" i="3"/>
  <c r="M282" i="3"/>
  <c r="M710" i="3"/>
  <c r="M97" i="3"/>
  <c r="M330" i="3"/>
  <c r="M655" i="3"/>
  <c r="M588" i="3"/>
  <c r="M379" i="3"/>
  <c r="M324" i="3"/>
  <c r="M191" i="3"/>
  <c r="M615" i="3"/>
  <c r="M201" i="3"/>
  <c r="M602" i="3"/>
  <c r="M582" i="3"/>
  <c r="M130" i="3"/>
  <c r="M477" i="3"/>
  <c r="M170" i="3"/>
  <c r="M155" i="3"/>
  <c r="M37" i="3"/>
  <c r="M182" i="3"/>
  <c r="M773" i="3"/>
  <c r="M226" i="3"/>
  <c r="M639" i="3"/>
  <c r="M353" i="3"/>
  <c r="M38" i="3"/>
  <c r="M34" i="3"/>
  <c r="M126" i="3"/>
  <c r="M151" i="3"/>
  <c r="M478" i="3"/>
  <c r="M333" i="3"/>
  <c r="M551" i="3"/>
  <c r="M386" i="3"/>
  <c r="M365" i="3"/>
  <c r="M102" i="3"/>
  <c r="M630" i="3"/>
  <c r="M597" i="3"/>
  <c r="M416" i="3"/>
  <c r="M307" i="3"/>
  <c r="M401" i="3"/>
  <c r="M481" i="3"/>
  <c r="M167" i="3"/>
  <c r="M490" i="3"/>
  <c r="M363" i="3"/>
  <c r="M507" i="3"/>
  <c r="M583" i="3"/>
  <c r="M671" i="3"/>
  <c r="M528" i="3"/>
  <c r="M468" i="3"/>
  <c r="M242" i="3"/>
  <c r="M538" i="3"/>
  <c r="M238" i="3"/>
  <c r="M118" i="3"/>
  <c r="M624" i="3"/>
  <c r="M702" i="3"/>
  <c r="M165" i="3"/>
  <c r="M759" i="3"/>
  <c r="M414" i="3"/>
  <c r="M28" i="3"/>
  <c r="M546" i="3"/>
  <c r="M159" i="3"/>
  <c r="M627" i="3"/>
  <c r="M192" i="3"/>
  <c r="M264" i="3"/>
  <c r="M256" i="3"/>
  <c r="M689" i="3"/>
  <c r="M656" i="3"/>
  <c r="M212" i="3"/>
  <c r="M125" i="3"/>
  <c r="M455" i="3"/>
  <c r="M504" i="3"/>
  <c r="M672" i="3"/>
  <c r="M304" i="3"/>
  <c r="M274" i="3"/>
  <c r="M262" i="3"/>
  <c r="M230" i="3"/>
  <c r="M632" i="3"/>
  <c r="M57" i="3"/>
  <c r="M691" i="3"/>
  <c r="M540" i="3"/>
  <c r="M590" i="3"/>
  <c r="M442" i="3"/>
  <c r="M541" i="3"/>
  <c r="M288" i="3"/>
  <c r="M466" i="3"/>
  <c r="M484" i="3"/>
  <c r="M127" i="3"/>
  <c r="M664" i="3"/>
  <c r="M745" i="3"/>
  <c r="M29" i="3"/>
  <c r="M266" i="3"/>
  <c r="M472" i="3"/>
  <c r="M772" i="3"/>
  <c r="M91" i="3"/>
  <c r="M162" i="3"/>
  <c r="M100" i="3"/>
  <c r="M438" i="3"/>
  <c r="M574" i="3"/>
  <c r="M237" i="3"/>
  <c r="M479" i="3"/>
  <c r="M681" i="3"/>
  <c r="M784" i="3"/>
  <c r="M235" i="3"/>
  <c r="M123" i="3"/>
  <c r="M470" i="3"/>
  <c r="M648" i="3"/>
  <c r="M261" i="3"/>
  <c r="M718" i="3"/>
  <c r="M280" i="3"/>
  <c r="M175" i="3"/>
  <c r="M680" i="3"/>
  <c r="M258" i="3"/>
  <c r="M665" i="3"/>
  <c r="M778" i="3"/>
  <c r="M650" i="3"/>
  <c r="M740" i="3"/>
  <c r="M276" i="3"/>
  <c r="M535" i="3"/>
  <c r="M712" i="3"/>
  <c r="M391" i="3"/>
  <c r="M348" i="3"/>
  <c r="M453" i="3"/>
  <c r="M407" i="3"/>
  <c r="M12" i="3"/>
  <c r="M429" i="3"/>
  <c r="M609" i="3"/>
  <c r="M544" i="3"/>
  <c r="M530" i="3"/>
  <c r="M252" i="3"/>
  <c r="M611" i="3"/>
  <c r="M233" i="3"/>
  <c r="M667" i="3"/>
  <c r="M663" i="3"/>
  <c r="M539" i="3"/>
  <c r="M71" i="3"/>
  <c r="M17" i="3"/>
  <c r="M187" i="3"/>
  <c r="M594" i="3"/>
  <c r="M380" i="3"/>
  <c r="M63" i="3"/>
  <c r="M358" i="3"/>
  <c r="M312" i="3"/>
  <c r="M571" i="3"/>
  <c r="M537" i="3"/>
  <c r="M608" i="3"/>
  <c r="M178" i="3"/>
  <c r="M600" i="3"/>
  <c r="M203" i="3"/>
  <c r="M52" i="3"/>
  <c r="M763" i="3"/>
  <c r="M452" i="3"/>
  <c r="M512" i="3"/>
  <c r="M239" i="3"/>
  <c r="M62" i="3"/>
  <c r="M443" i="3"/>
  <c r="M783" i="3"/>
  <c r="M779" i="3"/>
  <c r="M636" i="3"/>
  <c r="M591" i="3"/>
  <c r="M536" i="3"/>
  <c r="M346" i="3"/>
  <c r="M302" i="3"/>
  <c r="M82" i="3"/>
  <c r="M221" i="3"/>
  <c r="M506" i="3"/>
  <c r="M496" i="3"/>
  <c r="M305" i="3"/>
  <c r="M524" i="3"/>
  <c r="M498" i="3"/>
  <c r="M344" i="3"/>
  <c r="M339" i="3"/>
  <c r="M421" i="3"/>
  <c r="M103" i="3"/>
  <c r="M413" i="3"/>
  <c r="M169" i="3"/>
  <c r="M432" i="3"/>
  <c r="M728" i="3"/>
  <c r="M599" i="3"/>
  <c r="M16" i="3"/>
  <c r="M328" i="3"/>
  <c r="M99" i="3"/>
  <c r="M720" i="3"/>
  <c r="M150" i="3"/>
  <c r="M427" i="3"/>
  <c r="M560" i="3"/>
  <c r="M548" i="3"/>
  <c r="M415" i="3"/>
  <c r="M668" i="3"/>
  <c r="M420" i="3"/>
  <c r="M445" i="3"/>
  <c r="M352" i="3"/>
  <c r="M519" i="3"/>
  <c r="M491" i="3"/>
  <c r="M198" i="3"/>
  <c r="M376" i="3"/>
  <c r="M46" i="3"/>
  <c r="M244" i="3"/>
  <c r="M285" i="3"/>
  <c r="M117" i="3"/>
  <c r="M183" i="3"/>
  <c r="M503" i="3"/>
  <c r="M350" i="3"/>
  <c r="M362" i="3"/>
  <c r="M321" i="3"/>
  <c r="M579" i="3"/>
  <c r="M56" i="3"/>
  <c r="M295" i="3"/>
  <c r="M85" i="3"/>
  <c r="M695" i="3"/>
  <c r="M422" i="3"/>
  <c r="M522" i="3"/>
  <c r="M173" i="3"/>
  <c r="M290" i="3"/>
  <c r="M332" i="3"/>
  <c r="M705" i="3"/>
  <c r="M342" i="3"/>
  <c r="M697" i="3"/>
  <c r="M293" i="3"/>
  <c r="M436" i="3"/>
  <c r="M121" i="3"/>
  <c r="M131" i="3"/>
  <c r="M638" i="3"/>
  <c r="M337" i="3"/>
  <c r="M197" i="3"/>
  <c r="M520" i="3"/>
  <c r="M370" i="3"/>
  <c r="M589" i="3"/>
  <c r="M389" i="3"/>
  <c r="M595" i="3"/>
  <c r="M94" i="3"/>
  <c r="M240" i="3"/>
  <c r="M549" i="3"/>
  <c r="M493" i="3"/>
  <c r="M53" i="3"/>
  <c r="M652" i="3"/>
  <c r="M635" i="3"/>
  <c r="M113" i="3"/>
  <c r="M88" i="3"/>
  <c r="M45" i="3"/>
  <c r="M374" i="3"/>
  <c r="M558" i="3"/>
  <c r="M603" i="3"/>
  <c r="M161" i="3"/>
  <c r="M138" i="3"/>
  <c r="M42" i="3"/>
  <c r="M708" i="3"/>
  <c r="M89" i="3"/>
  <c r="M426" i="3"/>
  <c r="M758" i="3"/>
  <c r="M460" i="3"/>
  <c r="M485" i="3"/>
  <c r="M55" i="3"/>
  <c r="M24" i="3"/>
  <c r="M219" i="3"/>
  <c r="M158" i="3"/>
  <c r="M550" i="3"/>
  <c r="M734" i="3"/>
  <c r="M33" i="3"/>
  <c r="M223" i="3"/>
  <c r="M35" i="3"/>
  <c r="M722" i="3"/>
  <c r="M372" i="3"/>
  <c r="M206" i="3"/>
  <c r="M566" i="3"/>
  <c r="M299" i="3"/>
  <c r="M397" i="3"/>
  <c r="M149" i="3"/>
  <c r="M461" i="3"/>
  <c r="M146" i="3"/>
  <c r="M423" i="3"/>
  <c r="M575" i="3"/>
  <c r="M231" i="3"/>
  <c r="M217" i="3"/>
  <c r="M707" i="3"/>
  <c r="I3" i="3"/>
  <c r="M10" i="3"/>
  <c r="N4" i="5" l="1"/>
  <c r="N3" i="5"/>
  <c r="M4" i="4"/>
  <c r="M3" i="4"/>
  <c r="M4" i="3"/>
  <c r="M3" i="3"/>
</calcChain>
</file>

<file path=xl/sharedStrings.xml><?xml version="1.0" encoding="utf-8"?>
<sst xmlns="http://schemas.openxmlformats.org/spreadsheetml/2006/main" count="6277" uniqueCount="83">
  <si>
    <t>season</t>
  </si>
  <si>
    <t>team</t>
  </si>
  <si>
    <t>wins</t>
  </si>
  <si>
    <t>losses</t>
  </si>
  <si>
    <t>2000-01</t>
  </si>
  <si>
    <t>Atlanta Hawks</t>
  </si>
  <si>
    <t>Boston Celtics</t>
  </si>
  <si>
    <t>Charlotte Hornets</t>
  </si>
  <si>
    <t>Chicago Bulls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</si>
  <si>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</si>
  <si>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</si>
  <si>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</si>
  <si>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</si>
  <si>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</si>
  <si>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</si>
  <si>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</si>
  <si>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</si>
  <si>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</si>
  <si>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Miami Heat</t>
  </si>
  <si>
    <t>Milwaukee Bucks</t>
  </si>
  <si>
    <t>Minnesota Timberwolves</t>
  </si>
  <si>
    <t>New Jersey Nets</t>
  </si>
  <si>
    <t>New York Knicks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</si>
  <si>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</si>
  <si>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</si>
  <si>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</si>
  <si>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</si>
  <si>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</si>
  <si>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</si>
  <si>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Seattle SuperSonics</t>
  </si>
  <si>
    <t>Toronto Raptors</t>
  </si>
  <si>
    <t>Utah Jazz</t>
  </si>
  <si>
    <t>Vancouver Grizzlies</t>
  </si>
  <si>
    <t>Washington Wizards</t>
  </si>
  <si>
    <t>2001-02</t>
  </si>
  <si>
    <t>Memphis Grizzlies</t>
  </si>
  <si>
    <t>2002-03</t>
  </si>
  <si>
    <t>New Orleans Hornets</t>
  </si>
  <si>
    <t>2003-04</t>
  </si>
  <si>
    <t>2004-05</t>
  </si>
  <si>
    <t>Charlotte Bobcats</t>
  </si>
  <si>
    <t>2005-06</t>
  </si>
  <si>
    <t>New Orleans/Oklahoma City Hornets</t>
  </si>
  <si>
    <t>2006-07</t>
  </si>
  <si>
    <t>2007-08</t>
  </si>
  <si>
    <t>2008-09</t>
  </si>
  <si>
    <t>Oklahoma City Thunder</t>
  </si>
  <si>
    <t>2009-10</t>
  </si>
  <si>
    <t>2010-11</t>
  </si>
  <si>
    <t>2011-12</t>
  </si>
  <si>
    <t>2012-13</t>
  </si>
  <si>
    <t>Brooklyn Nets</t>
  </si>
  <si>
    <t>2013-14</t>
  </si>
  <si>
    <t>New Orleans Pelicans</t>
  </si>
  <si>
    <t>2014-15</t>
  </si>
  <si>
    <t>2015-16</t>
  </si>
  <si>
    <t>LA Clippers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</si>
  <si>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</si>
  <si>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</si>
  <si>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</si>
  <si>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</si>
  <si>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</si>
  <si>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</si>
  <si>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</si>
  <si>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</si>
  <si>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</si>
  <si>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</si>
  <si>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ortg</t>
  </si>
  <si>
    <t>drtg</t>
  </si>
  <si>
    <t>net rtg</t>
  </si>
  <si>
    <t>pts scored</t>
  </si>
  <si>
    <t>pts allow</t>
  </si>
  <si>
    <t>net diff</t>
  </si>
  <si>
    <t>pythag</t>
  </si>
  <si>
    <t>pct</t>
  </si>
  <si>
    <t>resid</t>
  </si>
  <si>
    <t>clutch ortg</t>
  </si>
  <si>
    <t>clutch drtg</t>
  </si>
  <si>
    <t>Q4 diff</t>
  </si>
  <si>
    <t>clutch diff</t>
  </si>
  <si>
    <t>Q4 nrtg</t>
  </si>
  <si>
    <t>Z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</si>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</sst>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4"/>
      <color theme="1"/>
      <name val="AndaleMono"/>
      <family val="2"/>
    </font>
    <font>
      <sz val="14"/>
      <color theme="1"/>
      <name val="AndaleMon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ndaleMono"/>
      <family val="2"/>
    </font>
    <font>
      <b/>
      <sz val="13"/>
      <color theme="3"/>
      <name val="AndaleMono"/>
      <family val="2"/>
    </font>
    <font>
      <b/>
      <sz val="11"/>
      <color theme="3"/>
      <name val="AndaleMono"/>
      <family val="2"/>
    </font>
    <font>
      <sz val="14"/>
      <color rgb="FF006100"/>
      <name val="AndaleMono"/>
      <family val="2"/>
    </font>
    <font>
      <sz val="14"/>
      <color rgb="FF9C0006"/>
      <name val="AndaleMono"/>
      <family val="2"/>
    </font>
    <font>
      <sz val="14"/>
      <color rgb="FF9C5700"/>
      <name val="AndaleMono"/>
      <family val="2"/>
    </font>
    <font>
      <sz val="14"/>
      <color rgb="FF3F3F76"/>
      <name val="AndaleMono"/>
      <family val="2"/>
    </font>
    <font>
      <b/>
      <sz val="14"/>
      <color rgb="FF3F3F3F"/>
      <name val="AndaleMono"/>
      <family val="2"/>
    </font>
    <font>
      <b/>
      <sz val="14"/>
      <color rgb="FFFA7D00"/>
      <name val="AndaleMono"/>
      <family val="2"/>
    </font>
    <font>
      <sz val="14"/>
      <color rgb="FFFA7D00"/>
      <name val="AndaleMono"/>
      <family val="2"/>
    </font>
    <font>
      <b/>
      <sz val="14"/>
      <color theme="0"/>
      <name val="AndaleMono"/>
      <family val="2"/>
    </font>
    <font>
      <sz val="14"/>
      <color rgb="FFFF0000"/>
      <name val="AndaleMono"/>
      <family val="2"/>
    </font>
    <font>
      <i/>
      <sz val="14"/>
      <color rgb="FF7F7F7F"/>
      <name val="AndaleMono"/>
      <family val="2"/>
    </font>
    <font>
      <b/>
      <sz val="14"/>
      <color theme="1"/>
      <name val="AndaleMono"/>
      <family val="2"/>
    </font>
    <font>
      <sz val="14"/>
      <color theme="0"/>
      <name val="AndaleMono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0" fontId="0" fillId="0" borderId="0" xfId="1" applyNumberFormat="1" applyFont="1"/>
    <xf numFmtId="0" fontId="0" fillId="33" borderId="0" xfId="0" applyFill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B007-B350-0541-8BBD-2A99716098C3}">
  <dimension ref="A1:O777"/>
  <sheetViews>
    <sheetView workbookViewId="0">
      <selection activeCell="E9" sqref="E9"/>
    </sheetView>
  </sheetViews>
  <sheetFormatPr baseColWidth="10" defaultRowHeight="18"/>
  <cols>
    <col min="2" max="2" width="20.625" customWidth="1"/>
    <col min="3" max="12" width="12.625" customWidth="1"/>
  </cols>
  <sheetData>
    <row r="1" spans="1:15">
      <c r="A1" t="s">
        <v>0</v>
      </c>
      <c r="B1" t="s">
        <v>1</v>
      </c>
      <c r="C1" s="3" t="s">
        <v>2</v>
      </c>
      <c r="D1" s="3" t="s">
        <v>3</v>
      </c>
      <c r="E1" s="3" t="s">
        <v>74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67</v>
      </c>
      <c r="K1" s="3" t="s">
        <v>68</v>
      </c>
      <c r="L1" s="3" t="s">
        <v>69</v>
      </c>
      <c r="M1" t="s">
        <v>76</v>
      </c>
      <c r="N1" t="s">
        <v>77</v>
      </c>
      <c r="O1" t="s">
        <v>78</v>
      </c>
    </row>
    <row r="2" spans="1:15">
      <c r="A2" t="s">
        <v>4</v>
      </c>
      <c r="B2" t="s">
        <v>5</v>
      </c>
      <c r="C2">
        <v>25</v>
      </c>
      <c r="D2">
        <v>57</v>
      </c>
      <c r="E2" s="1">
        <f>+C2/(C2+D2)</f>
        <v>0.3048780487804878</v>
      </c>
      <c r="F2" s="2">
        <v>91</v>
      </c>
      <c r="G2" s="2">
        <v>96.2</v>
      </c>
      <c r="H2" s="2">
        <f>+F2-G2</f>
        <v>-5.2000000000000028</v>
      </c>
      <c r="I2" s="1">
        <f t="shared" ref="I2:I65" si="0">+(F2^14)/((F2^14+G2^14))</f>
        <v>0.31475585496453756</v>
      </c>
      <c r="J2" s="2">
        <v>96.9</v>
      </c>
      <c r="K2" s="2">
        <v>102.4</v>
      </c>
      <c r="L2" s="2">
        <f>+J2-K2</f>
        <v>-5.5</v>
      </c>
      <c r="M2">
        <v>87</v>
      </c>
      <c r="N2">
        <v>104.5</v>
      </c>
      <c r="O2">
        <v>-0.9</v>
      </c>
    </row>
    <row r="3" spans="1:15">
      <c r="A3" t="s">
        <v>4</v>
      </c>
      <c r="B3" t="s">
        <v>6</v>
      </c>
      <c r="C3">
        <v>36</v>
      </c>
      <c r="D3">
        <v>46</v>
      </c>
      <c r="E3" s="1">
        <f t="shared" ref="E3:E66" si="1">+C3/(C3+D3)</f>
        <v>0.43902439024390244</v>
      </c>
      <c r="F3" s="2">
        <v>94.6</v>
      </c>
      <c r="G3" s="2">
        <v>96.8</v>
      </c>
      <c r="H3" s="2">
        <f t="shared" ref="H3:H66" si="2">+F3-G3</f>
        <v>-2.2000000000000028</v>
      </c>
      <c r="I3" s="1">
        <f t="shared" si="0"/>
        <v>0.42022416188672446</v>
      </c>
      <c r="J3" s="2">
        <v>100.1</v>
      </c>
      <c r="K3" s="2">
        <v>102.3</v>
      </c>
      <c r="L3" s="2">
        <f t="shared" ref="L3:L66" si="3">+J3-K3</f>
        <v>-2.2000000000000028</v>
      </c>
      <c r="M3">
        <v>95.1</v>
      </c>
      <c r="N3">
        <v>96.9</v>
      </c>
      <c r="O3">
        <v>-0.8</v>
      </c>
    </row>
    <row r="4" spans="1:15">
      <c r="A4" t="s">
        <v>4</v>
      </c>
      <c r="B4" t="s">
        <v>7</v>
      </c>
      <c r="C4">
        <v>46</v>
      </c>
      <c r="D4">
        <v>36</v>
      </c>
      <c r="E4" s="1">
        <f t="shared" si="1"/>
        <v>0.56097560975609762</v>
      </c>
      <c r="F4" s="2">
        <v>91.9</v>
      </c>
      <c r="G4" s="2">
        <v>89.8</v>
      </c>
      <c r="H4" s="2">
        <f t="shared" si="2"/>
        <v>2.1000000000000085</v>
      </c>
      <c r="I4" s="1">
        <f t="shared" si="0"/>
        <v>0.58020737825185043</v>
      </c>
      <c r="J4" s="2">
        <v>99.7</v>
      </c>
      <c r="K4" s="2">
        <v>97.6</v>
      </c>
      <c r="L4" s="2">
        <f t="shared" si="3"/>
        <v>2.1000000000000085</v>
      </c>
      <c r="M4">
        <v>91.6</v>
      </c>
      <c r="N4">
        <v>96.4</v>
      </c>
      <c r="O4">
        <v>-0.2</v>
      </c>
    </row>
    <row r="5" spans="1:15">
      <c r="A5" t="s">
        <v>4</v>
      </c>
      <c r="B5" t="s">
        <v>8</v>
      </c>
      <c r="C5">
        <v>15</v>
      </c>
      <c r="D5">
        <v>67</v>
      </c>
      <c r="E5" s="1">
        <f t="shared" si="1"/>
        <v>0.18292682926829268</v>
      </c>
      <c r="F5" s="2">
        <v>87.6</v>
      </c>
      <c r="G5" s="2">
        <v>96.7</v>
      </c>
      <c r="H5" s="2">
        <f t="shared" si="2"/>
        <v>-9.1000000000000085</v>
      </c>
      <c r="I5" s="1">
        <f t="shared" si="0"/>
        <v>0.20042284639847754</v>
      </c>
      <c r="J5" s="2">
        <v>95.9</v>
      </c>
      <c r="K5" s="2">
        <v>105.9</v>
      </c>
      <c r="L5" s="2">
        <f t="shared" si="3"/>
        <v>-10</v>
      </c>
      <c r="M5">
        <v>93.5</v>
      </c>
      <c r="N5">
        <v>107.4</v>
      </c>
      <c r="O5">
        <v>-2.8</v>
      </c>
    </row>
    <row r="6" spans="1:15">
      <c r="A6" t="s">
        <v>4</v>
      </c>
      <c r="B6" t="s">
        <v>9</v>
      </c>
      <c r="C6">
        <v>30</v>
      </c>
      <c r="D6">
        <v>52</v>
      </c>
      <c r="E6" s="1">
        <f t="shared" si="1"/>
        <v>0.36585365853658536</v>
      </c>
      <c r="F6" s="2">
        <v>92.2</v>
      </c>
      <c r="G6" s="2">
        <v>96.5</v>
      </c>
      <c r="H6" s="2">
        <f t="shared" si="2"/>
        <v>-4.2999999999999972</v>
      </c>
      <c r="I6" s="1">
        <f t="shared" si="0"/>
        <v>0.34566252690458571</v>
      </c>
      <c r="J6" s="2">
        <v>99.3</v>
      </c>
      <c r="K6" s="2">
        <v>103.5</v>
      </c>
      <c r="L6" s="2">
        <f t="shared" si="3"/>
        <v>-4.2000000000000028</v>
      </c>
      <c r="M6">
        <v>91.3</v>
      </c>
      <c r="N6">
        <v>86.8</v>
      </c>
      <c r="O6">
        <v>1</v>
      </c>
    </row>
    <row r="7" spans="1:15">
      <c r="A7" t="s">
        <v>4</v>
      </c>
      <c r="B7" t="s">
        <v>10</v>
      </c>
      <c r="C7">
        <v>53</v>
      </c>
      <c r="D7">
        <v>29</v>
      </c>
      <c r="E7" s="1">
        <f t="shared" si="1"/>
        <v>0.64634146341463417</v>
      </c>
      <c r="F7" s="2">
        <v>100.5</v>
      </c>
      <c r="G7" s="2">
        <v>96.2</v>
      </c>
      <c r="H7" s="2">
        <f t="shared" si="2"/>
        <v>4.2999999999999972</v>
      </c>
      <c r="I7" s="1">
        <f t="shared" si="0"/>
        <v>0.64844184492485568</v>
      </c>
      <c r="J7" s="2">
        <v>105.6</v>
      </c>
      <c r="K7" s="2">
        <v>101.2</v>
      </c>
      <c r="L7" s="2">
        <f t="shared" si="3"/>
        <v>4.3999999999999915</v>
      </c>
      <c r="M7">
        <v>103.3</v>
      </c>
      <c r="N7">
        <v>104</v>
      </c>
      <c r="O7">
        <v>1</v>
      </c>
    </row>
    <row r="8" spans="1:15">
      <c r="A8" t="s">
        <v>4</v>
      </c>
      <c r="B8" t="s">
        <v>11</v>
      </c>
      <c r="C8">
        <v>40</v>
      </c>
      <c r="D8">
        <v>42</v>
      </c>
      <c r="E8" s="1">
        <f t="shared" si="1"/>
        <v>0.48780487804878048</v>
      </c>
      <c r="F8" s="2">
        <v>96.6</v>
      </c>
      <c r="G8" s="2">
        <v>99</v>
      </c>
      <c r="H8" s="2">
        <f t="shared" si="2"/>
        <v>-2.4000000000000057</v>
      </c>
      <c r="I8" s="1">
        <f t="shared" si="0"/>
        <v>0.41494120163391823</v>
      </c>
      <c r="J8" s="2">
        <v>102.2</v>
      </c>
      <c r="K8" s="2">
        <v>104.9</v>
      </c>
      <c r="L8" s="2">
        <f t="shared" si="3"/>
        <v>-2.7000000000000028</v>
      </c>
      <c r="M8">
        <v>100.5</v>
      </c>
      <c r="N8">
        <v>95.5</v>
      </c>
      <c r="O8">
        <v>0.1</v>
      </c>
    </row>
    <row r="9" spans="1:15">
      <c r="A9" t="s">
        <v>4</v>
      </c>
      <c r="B9" t="s">
        <v>12</v>
      </c>
      <c r="C9">
        <v>32</v>
      </c>
      <c r="D9">
        <v>50</v>
      </c>
      <c r="E9" s="1">
        <f t="shared" si="1"/>
        <v>0.3902439024390244</v>
      </c>
      <c r="F9" s="2">
        <v>95.6</v>
      </c>
      <c r="G9" s="2">
        <v>97.3</v>
      </c>
      <c r="H9" s="2">
        <f t="shared" si="2"/>
        <v>-1.7000000000000028</v>
      </c>
      <c r="I9" s="1">
        <f t="shared" si="0"/>
        <v>0.43861956554908621</v>
      </c>
      <c r="J9" s="2">
        <v>98.5</v>
      </c>
      <c r="K9" s="2">
        <v>100.3</v>
      </c>
      <c r="L9" s="2">
        <f t="shared" si="3"/>
        <v>-1.7999999999999972</v>
      </c>
      <c r="M9">
        <v>91.8</v>
      </c>
      <c r="N9">
        <v>101.5</v>
      </c>
      <c r="O9">
        <v>-0.7</v>
      </c>
    </row>
    <row r="10" spans="1:15">
      <c r="A10" t="s">
        <v>4</v>
      </c>
      <c r="B10" t="s">
        <v>13</v>
      </c>
      <c r="C10">
        <v>17</v>
      </c>
      <c r="D10">
        <v>65</v>
      </c>
      <c r="E10" s="1">
        <f t="shared" si="1"/>
        <v>0.2073170731707317</v>
      </c>
      <c r="F10" s="2">
        <v>92.5</v>
      </c>
      <c r="G10" s="2">
        <v>101.5</v>
      </c>
      <c r="H10" s="2">
        <f t="shared" si="2"/>
        <v>-9</v>
      </c>
      <c r="I10" s="1">
        <f t="shared" si="0"/>
        <v>0.21418148448904825</v>
      </c>
      <c r="J10" s="2">
        <v>96.3</v>
      </c>
      <c r="K10" s="2">
        <v>105.5</v>
      </c>
      <c r="L10" s="2">
        <f t="shared" si="3"/>
        <v>-9.2000000000000028</v>
      </c>
      <c r="M10">
        <v>84.6</v>
      </c>
      <c r="N10">
        <v>107.8</v>
      </c>
      <c r="O10">
        <v>-1.1000000000000001</v>
      </c>
    </row>
    <row r="11" spans="1:15">
      <c r="A11" t="s">
        <v>4</v>
      </c>
      <c r="B11" t="s">
        <v>14</v>
      </c>
      <c r="C11">
        <v>45</v>
      </c>
      <c r="D11">
        <v>37</v>
      </c>
      <c r="E11" s="1">
        <f t="shared" si="1"/>
        <v>0.54878048780487809</v>
      </c>
      <c r="F11" s="2">
        <v>97.2</v>
      </c>
      <c r="G11" s="2">
        <v>94.9</v>
      </c>
      <c r="H11" s="2">
        <f t="shared" si="2"/>
        <v>2.2999999999999972</v>
      </c>
      <c r="I11" s="1">
        <f t="shared" si="0"/>
        <v>0.58303819645921595</v>
      </c>
      <c r="J11" s="2">
        <v>105.2</v>
      </c>
      <c r="K11" s="2">
        <v>102.8</v>
      </c>
      <c r="L11" s="2">
        <f t="shared" si="3"/>
        <v>2.4000000000000057</v>
      </c>
      <c r="M11">
        <v>104.5</v>
      </c>
      <c r="N11">
        <v>88.1</v>
      </c>
      <c r="O11">
        <v>1.4</v>
      </c>
    </row>
    <row r="12" spans="1:15">
      <c r="A12" t="s">
        <v>4</v>
      </c>
      <c r="B12" t="s">
        <v>15</v>
      </c>
      <c r="C12">
        <v>41</v>
      </c>
      <c r="D12">
        <v>41</v>
      </c>
      <c r="E12" s="1">
        <f t="shared" si="1"/>
        <v>0.5</v>
      </c>
      <c r="F12" s="2">
        <v>92.6</v>
      </c>
      <c r="G12" s="2">
        <v>92.8</v>
      </c>
      <c r="H12" s="2">
        <f t="shared" si="2"/>
        <v>-0.20000000000000284</v>
      </c>
      <c r="I12" s="1">
        <f t="shared" si="0"/>
        <v>0.49244933056629364</v>
      </c>
      <c r="J12" s="2">
        <v>100.3</v>
      </c>
      <c r="K12" s="2">
        <v>100.5</v>
      </c>
      <c r="L12" s="2">
        <f t="shared" si="3"/>
        <v>-0.20000000000000284</v>
      </c>
      <c r="M12">
        <v>93.1</v>
      </c>
      <c r="N12">
        <v>92.3</v>
      </c>
      <c r="O12">
        <v>0</v>
      </c>
    </row>
    <row r="13" spans="1:15">
      <c r="A13" t="s">
        <v>4</v>
      </c>
      <c r="B13" t="s">
        <v>16</v>
      </c>
      <c r="C13">
        <v>31</v>
      </c>
      <c r="D13">
        <v>51</v>
      </c>
      <c r="E13" s="1">
        <f t="shared" si="1"/>
        <v>0.37804878048780488</v>
      </c>
      <c r="F13" s="2">
        <v>92.5</v>
      </c>
      <c r="G13" s="2">
        <v>95.3</v>
      </c>
      <c r="H13" s="2">
        <f t="shared" si="2"/>
        <v>-2.7999999999999972</v>
      </c>
      <c r="I13" s="1">
        <f t="shared" si="0"/>
        <v>0.39711601228610965</v>
      </c>
      <c r="J13" s="2">
        <v>100.3</v>
      </c>
      <c r="K13" s="2">
        <v>103.2</v>
      </c>
      <c r="L13" s="2">
        <f t="shared" si="3"/>
        <v>-2.9000000000000057</v>
      </c>
      <c r="M13">
        <v>95.7</v>
      </c>
      <c r="N13">
        <v>108.7</v>
      </c>
      <c r="O13">
        <v>0.4</v>
      </c>
    </row>
    <row r="14" spans="1:15">
      <c r="A14" t="s">
        <v>4</v>
      </c>
      <c r="B14" t="s">
        <v>17</v>
      </c>
      <c r="C14">
        <v>56</v>
      </c>
      <c r="D14">
        <v>26</v>
      </c>
      <c r="E14" s="1">
        <f t="shared" si="1"/>
        <v>0.68292682926829273</v>
      </c>
      <c r="F14" s="2">
        <v>100.6</v>
      </c>
      <c r="G14" s="2">
        <v>97.2</v>
      </c>
      <c r="H14" s="2">
        <f t="shared" si="2"/>
        <v>3.3999999999999915</v>
      </c>
      <c r="I14" s="1">
        <f t="shared" si="0"/>
        <v>0.61806463503344422</v>
      </c>
      <c r="J14" s="2">
        <v>107</v>
      </c>
      <c r="K14" s="2">
        <v>103.6</v>
      </c>
      <c r="L14" s="2">
        <f t="shared" si="3"/>
        <v>3.4000000000000057</v>
      </c>
      <c r="M14">
        <v>103.2</v>
      </c>
      <c r="N14">
        <v>99.2</v>
      </c>
      <c r="O14">
        <v>-1</v>
      </c>
    </row>
    <row r="15" spans="1:15">
      <c r="A15" t="s">
        <v>4</v>
      </c>
      <c r="B15" t="s">
        <v>18</v>
      </c>
      <c r="C15">
        <v>50</v>
      </c>
      <c r="D15">
        <v>32</v>
      </c>
      <c r="E15" s="1">
        <f t="shared" si="1"/>
        <v>0.6097560975609756</v>
      </c>
      <c r="F15" s="2">
        <v>88.9</v>
      </c>
      <c r="G15" s="2">
        <v>86.6</v>
      </c>
      <c r="H15" s="2">
        <f t="shared" si="2"/>
        <v>2.3000000000000114</v>
      </c>
      <c r="I15" s="1">
        <f t="shared" si="0"/>
        <v>0.59072724433353874</v>
      </c>
      <c r="J15" s="2">
        <v>99.4</v>
      </c>
      <c r="K15" s="2">
        <v>97.1</v>
      </c>
      <c r="L15" s="2">
        <f t="shared" si="3"/>
        <v>2.3000000000000114</v>
      </c>
      <c r="M15">
        <v>99.1</v>
      </c>
      <c r="N15">
        <v>92.1</v>
      </c>
      <c r="O15">
        <v>-0.3</v>
      </c>
    </row>
    <row r="16" spans="1:15">
      <c r="A16" t="s">
        <v>4</v>
      </c>
      <c r="B16" t="s">
        <v>19</v>
      </c>
      <c r="C16">
        <v>52</v>
      </c>
      <c r="D16">
        <v>30</v>
      </c>
      <c r="E16" s="1">
        <f t="shared" si="1"/>
        <v>0.63414634146341464</v>
      </c>
      <c r="F16" s="2">
        <v>100.7</v>
      </c>
      <c r="G16" s="2">
        <v>96.9</v>
      </c>
      <c r="H16" s="2">
        <f t="shared" si="2"/>
        <v>3.7999999999999972</v>
      </c>
      <c r="I16" s="1">
        <f t="shared" si="0"/>
        <v>0.63146991070867009</v>
      </c>
      <c r="J16" s="2">
        <v>106.8</v>
      </c>
      <c r="K16" s="2">
        <v>102.6</v>
      </c>
      <c r="L16" s="2">
        <f t="shared" si="3"/>
        <v>4.2000000000000028</v>
      </c>
      <c r="M16">
        <v>112.2</v>
      </c>
      <c r="N16">
        <v>103.8</v>
      </c>
      <c r="O16">
        <v>0.2</v>
      </c>
    </row>
    <row r="17" spans="1:15">
      <c r="A17" t="s">
        <v>4</v>
      </c>
      <c r="B17" t="s">
        <v>20</v>
      </c>
      <c r="C17">
        <v>47</v>
      </c>
      <c r="D17">
        <v>35</v>
      </c>
      <c r="E17" s="1">
        <f t="shared" si="1"/>
        <v>0.57317073170731703</v>
      </c>
      <c r="F17" s="2">
        <v>97.3</v>
      </c>
      <c r="G17" s="2">
        <v>96</v>
      </c>
      <c r="H17" s="2">
        <f t="shared" si="2"/>
        <v>1.2999999999999972</v>
      </c>
      <c r="I17" s="1">
        <f t="shared" si="0"/>
        <v>0.546939164426965</v>
      </c>
      <c r="J17" s="2">
        <v>103.9</v>
      </c>
      <c r="K17" s="2">
        <v>102.4</v>
      </c>
      <c r="L17" s="2">
        <f t="shared" si="3"/>
        <v>1.5</v>
      </c>
      <c r="M17">
        <v>102.8</v>
      </c>
      <c r="N17">
        <v>106.9</v>
      </c>
      <c r="O17">
        <v>-0.5</v>
      </c>
    </row>
    <row r="18" spans="1:15">
      <c r="A18" t="s">
        <v>4</v>
      </c>
      <c r="B18" t="s">
        <v>21</v>
      </c>
      <c r="C18">
        <v>26</v>
      </c>
      <c r="D18">
        <v>56</v>
      </c>
      <c r="E18" s="1">
        <f t="shared" si="1"/>
        <v>0.31707317073170732</v>
      </c>
      <c r="F18" s="2">
        <v>92.1</v>
      </c>
      <c r="G18" s="2">
        <v>97.1</v>
      </c>
      <c r="H18" s="2">
        <f t="shared" si="2"/>
        <v>-5</v>
      </c>
      <c r="I18" s="1">
        <f t="shared" si="0"/>
        <v>0.32297570638885176</v>
      </c>
      <c r="J18" s="2">
        <v>98.4</v>
      </c>
      <c r="K18" s="2">
        <v>103.8</v>
      </c>
      <c r="L18" s="2">
        <f t="shared" si="3"/>
        <v>-5.3999999999999915</v>
      </c>
      <c r="M18">
        <v>93.1</v>
      </c>
      <c r="N18">
        <v>105.7</v>
      </c>
      <c r="O18">
        <v>-1.8</v>
      </c>
    </row>
    <row r="19" spans="1:15">
      <c r="A19" t="s">
        <v>4</v>
      </c>
      <c r="B19" t="s">
        <v>22</v>
      </c>
      <c r="C19">
        <v>48</v>
      </c>
      <c r="D19">
        <v>34</v>
      </c>
      <c r="E19" s="1">
        <f t="shared" si="1"/>
        <v>0.58536585365853655</v>
      </c>
      <c r="F19" s="2">
        <v>88.7</v>
      </c>
      <c r="G19" s="2">
        <v>86.1</v>
      </c>
      <c r="H19" s="2">
        <f t="shared" si="2"/>
        <v>2.6000000000000085</v>
      </c>
      <c r="I19" s="1">
        <f t="shared" si="0"/>
        <v>0.6026470301039869</v>
      </c>
      <c r="J19" s="2">
        <v>100</v>
      </c>
      <c r="K19" s="2">
        <v>97</v>
      </c>
      <c r="L19" s="2">
        <f t="shared" si="3"/>
        <v>3</v>
      </c>
      <c r="M19">
        <v>82.7</v>
      </c>
      <c r="N19">
        <v>81</v>
      </c>
      <c r="O19">
        <v>1.3</v>
      </c>
    </row>
    <row r="20" spans="1:15">
      <c r="A20" t="s">
        <v>4</v>
      </c>
      <c r="B20" t="s">
        <v>23</v>
      </c>
      <c r="C20">
        <v>43</v>
      </c>
      <c r="D20">
        <v>39</v>
      </c>
      <c r="E20" s="1">
        <f t="shared" si="1"/>
        <v>0.52439024390243905</v>
      </c>
      <c r="F20" s="2">
        <v>97.5</v>
      </c>
      <c r="G20" s="2">
        <v>96.5</v>
      </c>
      <c r="H20" s="2">
        <f t="shared" si="2"/>
        <v>1</v>
      </c>
      <c r="I20" s="1">
        <f t="shared" si="0"/>
        <v>0.5360202858252715</v>
      </c>
      <c r="J20" s="2">
        <v>102.1</v>
      </c>
      <c r="K20" s="2">
        <v>101.1</v>
      </c>
      <c r="L20" s="2">
        <f t="shared" si="3"/>
        <v>1</v>
      </c>
      <c r="M20">
        <v>93.5</v>
      </c>
      <c r="N20">
        <v>104.3</v>
      </c>
      <c r="O20">
        <v>-0.6</v>
      </c>
    </row>
    <row r="21" spans="1:15">
      <c r="A21" t="s">
        <v>4</v>
      </c>
      <c r="B21" t="s">
        <v>24</v>
      </c>
      <c r="C21">
        <v>56</v>
      </c>
      <c r="D21">
        <v>26</v>
      </c>
      <c r="E21" s="1">
        <f t="shared" si="1"/>
        <v>0.68292682926829273</v>
      </c>
      <c r="F21" s="2">
        <v>94.7</v>
      </c>
      <c r="G21" s="2">
        <v>90.4</v>
      </c>
      <c r="H21" s="2">
        <f t="shared" si="2"/>
        <v>4.2999999999999972</v>
      </c>
      <c r="I21" s="1">
        <f t="shared" si="0"/>
        <v>0.65714030959602765</v>
      </c>
      <c r="J21" s="2">
        <v>101.9</v>
      </c>
      <c r="K21" s="2">
        <v>97.3</v>
      </c>
      <c r="L21" s="2">
        <f t="shared" si="3"/>
        <v>4.6000000000000085</v>
      </c>
      <c r="M21">
        <v>101.9</v>
      </c>
      <c r="N21">
        <v>94.6</v>
      </c>
      <c r="O21">
        <v>0.4</v>
      </c>
    </row>
    <row r="22" spans="1:15">
      <c r="A22" t="s">
        <v>4</v>
      </c>
      <c r="B22" t="s">
        <v>25</v>
      </c>
      <c r="C22">
        <v>51</v>
      </c>
      <c r="D22">
        <v>31</v>
      </c>
      <c r="E22" s="1">
        <f t="shared" si="1"/>
        <v>0.62195121951219512</v>
      </c>
      <c r="F22" s="2">
        <v>94</v>
      </c>
      <c r="G22" s="2">
        <v>91.8</v>
      </c>
      <c r="H22" s="2">
        <f t="shared" si="2"/>
        <v>2.2000000000000028</v>
      </c>
      <c r="I22" s="1">
        <f t="shared" si="0"/>
        <v>0.58213763182578848</v>
      </c>
      <c r="J22" s="2">
        <v>98.9</v>
      </c>
      <c r="K22" s="2">
        <v>96.7</v>
      </c>
      <c r="L22" s="2">
        <f t="shared" si="3"/>
        <v>2.2000000000000028</v>
      </c>
      <c r="M22">
        <v>97.7</v>
      </c>
      <c r="N22">
        <v>87.1</v>
      </c>
      <c r="O22">
        <v>1.7</v>
      </c>
    </row>
    <row r="23" spans="1:15">
      <c r="A23" t="s">
        <v>4</v>
      </c>
      <c r="B23" t="s">
        <v>26</v>
      </c>
      <c r="C23">
        <v>50</v>
      </c>
      <c r="D23">
        <v>32</v>
      </c>
      <c r="E23" s="1">
        <f t="shared" si="1"/>
        <v>0.6097560975609756</v>
      </c>
      <c r="F23" s="2">
        <v>95.4</v>
      </c>
      <c r="G23" s="2">
        <v>91.2</v>
      </c>
      <c r="H23" s="2">
        <f t="shared" si="2"/>
        <v>4.2000000000000028</v>
      </c>
      <c r="I23" s="1">
        <f t="shared" si="0"/>
        <v>0.65256463390669783</v>
      </c>
      <c r="J23" s="2">
        <v>104.7</v>
      </c>
      <c r="K23" s="2">
        <v>100.5</v>
      </c>
      <c r="L23" s="2">
        <f t="shared" si="3"/>
        <v>4.2000000000000028</v>
      </c>
      <c r="M23">
        <v>109.3</v>
      </c>
      <c r="N23">
        <v>99.6</v>
      </c>
      <c r="O23">
        <v>0.3</v>
      </c>
    </row>
    <row r="24" spans="1:15">
      <c r="A24" t="s">
        <v>4</v>
      </c>
      <c r="B24" t="s">
        <v>27</v>
      </c>
      <c r="C24">
        <v>55</v>
      </c>
      <c r="D24">
        <v>27</v>
      </c>
      <c r="E24" s="1">
        <f t="shared" si="1"/>
        <v>0.67073170731707321</v>
      </c>
      <c r="F24" s="2">
        <v>101.7</v>
      </c>
      <c r="G24" s="2">
        <v>95.9</v>
      </c>
      <c r="H24" s="2">
        <f t="shared" si="2"/>
        <v>5.7999999999999972</v>
      </c>
      <c r="I24" s="1">
        <f t="shared" si="0"/>
        <v>0.69468161097182612</v>
      </c>
      <c r="J24" s="2">
        <v>104.2</v>
      </c>
      <c r="K24" s="2">
        <v>98.5</v>
      </c>
      <c r="L24" s="2">
        <f t="shared" si="3"/>
        <v>5.7000000000000028</v>
      </c>
      <c r="M24">
        <v>94</v>
      </c>
      <c r="N24">
        <v>84.6</v>
      </c>
      <c r="O24">
        <v>1.4</v>
      </c>
    </row>
    <row r="25" spans="1:15">
      <c r="A25" t="s">
        <v>4</v>
      </c>
      <c r="B25" t="s">
        <v>28</v>
      </c>
      <c r="C25">
        <v>58</v>
      </c>
      <c r="D25">
        <v>24</v>
      </c>
      <c r="E25" s="1">
        <f t="shared" si="1"/>
        <v>0.70731707317073167</v>
      </c>
      <c r="F25" s="2">
        <v>96.2</v>
      </c>
      <c r="G25" s="2">
        <v>88.4</v>
      </c>
      <c r="H25" s="2">
        <f t="shared" si="2"/>
        <v>7.7999999999999972</v>
      </c>
      <c r="I25" s="1">
        <f t="shared" si="0"/>
        <v>0.76563098176040723</v>
      </c>
      <c r="J25" s="2">
        <v>105</v>
      </c>
      <c r="K25" s="2">
        <v>96.6</v>
      </c>
      <c r="L25" s="2">
        <f t="shared" si="3"/>
        <v>8.4000000000000057</v>
      </c>
      <c r="M25">
        <v>97.7</v>
      </c>
      <c r="N25">
        <v>100.4</v>
      </c>
      <c r="O25">
        <v>0.9</v>
      </c>
    </row>
    <row r="26" spans="1:15">
      <c r="A26" t="s">
        <v>4</v>
      </c>
      <c r="B26" t="s">
        <v>29</v>
      </c>
      <c r="C26">
        <v>44</v>
      </c>
      <c r="D26">
        <v>38</v>
      </c>
      <c r="E26" s="1">
        <f t="shared" si="1"/>
        <v>0.53658536585365857</v>
      </c>
      <c r="F26" s="2">
        <v>97.3</v>
      </c>
      <c r="G26" s="2">
        <v>97.3</v>
      </c>
      <c r="H26" s="2">
        <f t="shared" si="2"/>
        <v>0</v>
      </c>
      <c r="I26" s="1">
        <f t="shared" si="0"/>
        <v>0.5</v>
      </c>
      <c r="J26" s="2">
        <v>104.4</v>
      </c>
      <c r="K26" s="2">
        <v>104.2</v>
      </c>
      <c r="L26" s="2">
        <f t="shared" si="3"/>
        <v>0.20000000000000284</v>
      </c>
      <c r="M26">
        <v>98.3</v>
      </c>
      <c r="N26">
        <v>102.3</v>
      </c>
      <c r="O26">
        <v>-0.4</v>
      </c>
    </row>
    <row r="27" spans="1:15">
      <c r="A27" t="s">
        <v>4</v>
      </c>
      <c r="B27" t="s">
        <v>30</v>
      </c>
      <c r="C27">
        <v>47</v>
      </c>
      <c r="D27">
        <v>35</v>
      </c>
      <c r="E27" s="1">
        <f t="shared" si="1"/>
        <v>0.57317073170731703</v>
      </c>
      <c r="F27" s="2">
        <v>97.6</v>
      </c>
      <c r="G27" s="2">
        <v>95.4</v>
      </c>
      <c r="H27" s="2">
        <f t="shared" si="2"/>
        <v>2.1999999999999886</v>
      </c>
      <c r="I27" s="1">
        <f t="shared" si="0"/>
        <v>0.57912557114227126</v>
      </c>
      <c r="J27" s="2">
        <v>104.4</v>
      </c>
      <c r="K27" s="2">
        <v>102</v>
      </c>
      <c r="L27" s="2">
        <f t="shared" si="3"/>
        <v>2.4000000000000057</v>
      </c>
      <c r="M27">
        <v>96.8</v>
      </c>
      <c r="N27">
        <v>92.1</v>
      </c>
      <c r="O27">
        <v>0.7</v>
      </c>
    </row>
    <row r="28" spans="1:15">
      <c r="A28" t="s">
        <v>4</v>
      </c>
      <c r="B28" t="s">
        <v>31</v>
      </c>
      <c r="C28">
        <v>53</v>
      </c>
      <c r="D28">
        <v>29</v>
      </c>
      <c r="E28" s="1">
        <f t="shared" si="1"/>
        <v>0.64634146341463417</v>
      </c>
      <c r="F28" s="2">
        <v>97.1</v>
      </c>
      <c r="G28" s="2">
        <v>92.4</v>
      </c>
      <c r="H28" s="2">
        <f t="shared" si="2"/>
        <v>4.6999999999999886</v>
      </c>
      <c r="I28" s="1">
        <f t="shared" si="0"/>
        <v>0.66698978218466165</v>
      </c>
      <c r="J28" s="2">
        <v>106.1</v>
      </c>
      <c r="K28" s="2">
        <v>100.9</v>
      </c>
      <c r="L28" s="2">
        <f t="shared" si="3"/>
        <v>5.1999999999999886</v>
      </c>
      <c r="M28">
        <v>118.4</v>
      </c>
      <c r="N28">
        <v>96.8</v>
      </c>
      <c r="O28">
        <v>2.5</v>
      </c>
    </row>
    <row r="29" spans="1:15">
      <c r="A29" t="s">
        <v>4</v>
      </c>
      <c r="B29" t="s">
        <v>32</v>
      </c>
      <c r="C29">
        <v>23</v>
      </c>
      <c r="D29">
        <v>59</v>
      </c>
      <c r="E29" s="1">
        <f t="shared" si="1"/>
        <v>0.28048780487804881</v>
      </c>
      <c r="F29" s="2">
        <v>91.7</v>
      </c>
      <c r="G29" s="2">
        <v>97.5</v>
      </c>
      <c r="H29" s="2">
        <f t="shared" si="2"/>
        <v>-5.7999999999999972</v>
      </c>
      <c r="I29" s="1">
        <f t="shared" si="0"/>
        <v>0.29762775150060888</v>
      </c>
      <c r="J29" s="2">
        <v>98.2</v>
      </c>
      <c r="K29" s="2">
        <v>104.2</v>
      </c>
      <c r="L29" s="2">
        <f t="shared" si="3"/>
        <v>-6</v>
      </c>
      <c r="M29">
        <v>102.1</v>
      </c>
      <c r="N29">
        <v>106.7</v>
      </c>
      <c r="O29">
        <v>-1.3</v>
      </c>
    </row>
    <row r="30" spans="1:15">
      <c r="A30" t="s">
        <v>4</v>
      </c>
      <c r="B30" t="s">
        <v>33</v>
      </c>
      <c r="C30">
        <v>19</v>
      </c>
      <c r="D30">
        <v>63</v>
      </c>
      <c r="E30" s="1">
        <f t="shared" si="1"/>
        <v>0.23170731707317074</v>
      </c>
      <c r="F30" s="2">
        <v>93.2</v>
      </c>
      <c r="G30" s="2">
        <v>99.9</v>
      </c>
      <c r="H30" s="2">
        <f t="shared" si="2"/>
        <v>-6.7000000000000028</v>
      </c>
      <c r="I30" s="1">
        <f t="shared" si="0"/>
        <v>0.27450046120978927</v>
      </c>
      <c r="J30" s="2">
        <v>99.4</v>
      </c>
      <c r="K30" s="2">
        <v>106.2</v>
      </c>
      <c r="L30" s="2">
        <f t="shared" si="3"/>
        <v>-6.7999999999999972</v>
      </c>
      <c r="M30">
        <v>101.4</v>
      </c>
      <c r="N30">
        <v>100</v>
      </c>
      <c r="O30">
        <v>-1.1000000000000001</v>
      </c>
    </row>
    <row r="31" spans="1:15">
      <c r="A31" t="s">
        <v>34</v>
      </c>
      <c r="B31" t="s">
        <v>5</v>
      </c>
      <c r="C31">
        <v>33</v>
      </c>
      <c r="D31">
        <v>49</v>
      </c>
      <c r="E31" s="1">
        <f t="shared" si="1"/>
        <v>0.40243902439024393</v>
      </c>
      <c r="F31" s="2">
        <v>94</v>
      </c>
      <c r="G31" s="2">
        <v>98.3</v>
      </c>
      <c r="H31" s="2">
        <f t="shared" si="2"/>
        <v>-4.2999999999999972</v>
      </c>
      <c r="I31" s="1">
        <f t="shared" si="0"/>
        <v>0.34837053448478683</v>
      </c>
      <c r="J31" s="2">
        <v>100.4</v>
      </c>
      <c r="K31" s="2">
        <v>104.8</v>
      </c>
      <c r="L31" s="2">
        <f t="shared" si="3"/>
        <v>-4.3999999999999915</v>
      </c>
      <c r="M31">
        <v>95.5</v>
      </c>
      <c r="N31">
        <v>100.6</v>
      </c>
      <c r="O31">
        <v>-1.2</v>
      </c>
    </row>
    <row r="32" spans="1:15">
      <c r="A32" t="s">
        <v>34</v>
      </c>
      <c r="B32" t="s">
        <v>6</v>
      </c>
      <c r="C32">
        <v>49</v>
      </c>
      <c r="D32">
        <v>33</v>
      </c>
      <c r="E32" s="1">
        <f t="shared" si="1"/>
        <v>0.59756097560975607</v>
      </c>
      <c r="F32" s="2">
        <v>96.4</v>
      </c>
      <c r="G32" s="2">
        <v>94.1</v>
      </c>
      <c r="H32" s="2">
        <f t="shared" si="2"/>
        <v>2.3000000000000114</v>
      </c>
      <c r="I32" s="1">
        <f t="shared" si="0"/>
        <v>0.58372264017274567</v>
      </c>
      <c r="J32" s="2">
        <v>102.1</v>
      </c>
      <c r="K32" s="2">
        <v>99.9</v>
      </c>
      <c r="L32" s="2">
        <f t="shared" si="3"/>
        <v>2.1999999999999886</v>
      </c>
      <c r="M32">
        <v>107.8</v>
      </c>
      <c r="N32">
        <v>90.2</v>
      </c>
      <c r="O32">
        <v>1</v>
      </c>
    </row>
    <row r="33" spans="1:15">
      <c r="A33" t="s">
        <v>34</v>
      </c>
      <c r="B33" t="s">
        <v>7</v>
      </c>
      <c r="C33">
        <v>44</v>
      </c>
      <c r="D33">
        <v>38</v>
      </c>
      <c r="E33" s="1">
        <f t="shared" si="1"/>
        <v>0.53658536585365857</v>
      </c>
      <c r="F33" s="2">
        <v>93.9</v>
      </c>
      <c r="G33" s="2">
        <v>92.9</v>
      </c>
      <c r="H33" s="2">
        <f t="shared" si="2"/>
        <v>1</v>
      </c>
      <c r="I33" s="1">
        <f t="shared" si="0"/>
        <v>0.5374035846136257</v>
      </c>
      <c r="J33" s="2">
        <v>102.9</v>
      </c>
      <c r="K33" s="2">
        <v>101.8</v>
      </c>
      <c r="L33" s="2">
        <f t="shared" si="3"/>
        <v>1.1000000000000085</v>
      </c>
      <c r="M33">
        <v>101.1</v>
      </c>
      <c r="N33">
        <v>97.9</v>
      </c>
      <c r="O33">
        <v>-0.5</v>
      </c>
    </row>
    <row r="34" spans="1:15">
      <c r="A34" t="s">
        <v>34</v>
      </c>
      <c r="B34" t="s">
        <v>8</v>
      </c>
      <c r="C34">
        <v>21</v>
      </c>
      <c r="D34">
        <v>61</v>
      </c>
      <c r="E34" s="1">
        <f t="shared" si="1"/>
        <v>0.25609756097560976</v>
      </c>
      <c r="F34" s="2">
        <v>89.5</v>
      </c>
      <c r="G34" s="2">
        <v>98</v>
      </c>
      <c r="H34" s="2">
        <f t="shared" si="2"/>
        <v>-8.5</v>
      </c>
      <c r="I34" s="1">
        <f t="shared" si="0"/>
        <v>0.21922234164546633</v>
      </c>
      <c r="J34" s="2">
        <v>97.2</v>
      </c>
      <c r="K34" s="2">
        <v>106.2</v>
      </c>
      <c r="L34" s="2">
        <f t="shared" si="3"/>
        <v>-9</v>
      </c>
      <c r="M34">
        <v>99.7</v>
      </c>
      <c r="N34">
        <v>97.6</v>
      </c>
      <c r="O34">
        <v>0</v>
      </c>
    </row>
    <row r="35" spans="1:15">
      <c r="A35" t="s">
        <v>34</v>
      </c>
      <c r="B35" t="s">
        <v>9</v>
      </c>
      <c r="C35">
        <v>29</v>
      </c>
      <c r="D35">
        <v>53</v>
      </c>
      <c r="E35" s="1">
        <f t="shared" si="1"/>
        <v>0.35365853658536583</v>
      </c>
      <c r="F35" s="2">
        <v>95.3</v>
      </c>
      <c r="G35" s="2">
        <v>98.6</v>
      </c>
      <c r="H35" s="2">
        <f t="shared" si="2"/>
        <v>-3.2999999999999972</v>
      </c>
      <c r="I35" s="1">
        <f t="shared" si="0"/>
        <v>0.38305995894836997</v>
      </c>
      <c r="J35" s="2">
        <v>103.4</v>
      </c>
      <c r="K35" s="2">
        <v>107</v>
      </c>
      <c r="L35" s="2">
        <f t="shared" si="3"/>
        <v>-3.5999999999999943</v>
      </c>
      <c r="M35">
        <v>107.2</v>
      </c>
      <c r="N35">
        <v>99.7</v>
      </c>
      <c r="O35">
        <v>-0.7</v>
      </c>
    </row>
    <row r="36" spans="1:15">
      <c r="A36" t="s">
        <v>34</v>
      </c>
      <c r="B36" t="s">
        <v>10</v>
      </c>
      <c r="C36">
        <v>57</v>
      </c>
      <c r="D36">
        <v>25</v>
      </c>
      <c r="E36" s="1">
        <f t="shared" si="1"/>
        <v>0.69512195121951215</v>
      </c>
      <c r="F36" s="2">
        <v>105.2</v>
      </c>
      <c r="G36" s="2">
        <v>101</v>
      </c>
      <c r="H36" s="2">
        <f t="shared" si="2"/>
        <v>4.2000000000000028</v>
      </c>
      <c r="I36" s="1">
        <f t="shared" si="0"/>
        <v>0.63885522994426547</v>
      </c>
      <c r="J36" s="2">
        <v>110.3</v>
      </c>
      <c r="K36" s="2">
        <v>106</v>
      </c>
      <c r="L36" s="2">
        <f t="shared" si="3"/>
        <v>4.2999999999999972</v>
      </c>
      <c r="M36">
        <v>115.5</v>
      </c>
      <c r="N36">
        <v>107.2</v>
      </c>
      <c r="O36">
        <v>1.5</v>
      </c>
    </row>
    <row r="37" spans="1:15">
      <c r="A37" t="s">
        <v>34</v>
      </c>
      <c r="B37" t="s">
        <v>11</v>
      </c>
      <c r="C37">
        <v>27</v>
      </c>
      <c r="D37">
        <v>55</v>
      </c>
      <c r="E37" s="1">
        <f t="shared" si="1"/>
        <v>0.32926829268292684</v>
      </c>
      <c r="F37" s="2">
        <v>92.2</v>
      </c>
      <c r="G37" s="2">
        <v>98</v>
      </c>
      <c r="H37" s="2">
        <f t="shared" si="2"/>
        <v>-5.7999999999999972</v>
      </c>
      <c r="I37" s="1">
        <f t="shared" si="0"/>
        <v>0.29857289504453155</v>
      </c>
      <c r="J37" s="2">
        <v>100.3</v>
      </c>
      <c r="K37" s="2">
        <v>106.6</v>
      </c>
      <c r="L37" s="2">
        <f t="shared" si="3"/>
        <v>-6.2999999999999972</v>
      </c>
      <c r="M37">
        <v>89.7</v>
      </c>
      <c r="N37">
        <v>95.4</v>
      </c>
      <c r="O37">
        <v>0.1</v>
      </c>
    </row>
    <row r="38" spans="1:15">
      <c r="A38" t="s">
        <v>34</v>
      </c>
      <c r="B38" t="s">
        <v>12</v>
      </c>
      <c r="C38">
        <v>50</v>
      </c>
      <c r="D38">
        <v>32</v>
      </c>
      <c r="E38" s="1">
        <f t="shared" si="1"/>
        <v>0.6097560975609756</v>
      </c>
      <c r="F38" s="2">
        <v>94.3</v>
      </c>
      <c r="G38" s="2">
        <v>92.2</v>
      </c>
      <c r="H38" s="2">
        <f t="shared" si="2"/>
        <v>2.0999999999999943</v>
      </c>
      <c r="I38" s="1">
        <f t="shared" si="0"/>
        <v>0.57817713942580595</v>
      </c>
      <c r="J38" s="2">
        <v>103.2</v>
      </c>
      <c r="K38" s="2">
        <v>100.9</v>
      </c>
      <c r="L38" s="2">
        <f t="shared" si="3"/>
        <v>2.2999999999999972</v>
      </c>
      <c r="M38">
        <v>96.6</v>
      </c>
      <c r="N38">
        <v>93.2</v>
      </c>
      <c r="O38">
        <v>1</v>
      </c>
    </row>
    <row r="39" spans="1:15">
      <c r="A39" t="s">
        <v>34</v>
      </c>
      <c r="B39" t="s">
        <v>13</v>
      </c>
      <c r="C39">
        <v>21</v>
      </c>
      <c r="D39">
        <v>61</v>
      </c>
      <c r="E39" s="1">
        <f t="shared" si="1"/>
        <v>0.25609756097560976</v>
      </c>
      <c r="F39" s="2">
        <v>97.7</v>
      </c>
      <c r="G39" s="2">
        <v>103.1</v>
      </c>
      <c r="H39" s="2">
        <f t="shared" si="2"/>
        <v>-5.3999999999999915</v>
      </c>
      <c r="I39" s="1">
        <f t="shared" si="0"/>
        <v>0.32013104307048473</v>
      </c>
      <c r="J39" s="2">
        <v>101.5</v>
      </c>
      <c r="K39" s="2">
        <v>107.1</v>
      </c>
      <c r="L39" s="2">
        <f t="shared" si="3"/>
        <v>-5.5999999999999943</v>
      </c>
      <c r="M39">
        <v>85.4</v>
      </c>
      <c r="N39">
        <v>105.3</v>
      </c>
      <c r="O39">
        <v>0</v>
      </c>
    </row>
    <row r="40" spans="1:15">
      <c r="A40" t="s">
        <v>34</v>
      </c>
      <c r="B40" t="s">
        <v>14</v>
      </c>
      <c r="C40">
        <v>28</v>
      </c>
      <c r="D40">
        <v>54</v>
      </c>
      <c r="E40" s="1">
        <f t="shared" si="1"/>
        <v>0.34146341463414637</v>
      </c>
      <c r="F40" s="2">
        <v>92.3</v>
      </c>
      <c r="G40" s="2">
        <v>97.2</v>
      </c>
      <c r="H40" s="2">
        <f t="shared" si="2"/>
        <v>-4.9000000000000057</v>
      </c>
      <c r="I40" s="1">
        <f t="shared" si="0"/>
        <v>0.3264749470449273</v>
      </c>
      <c r="J40" s="2">
        <v>101.6</v>
      </c>
      <c r="K40" s="2">
        <v>106.9</v>
      </c>
      <c r="L40" s="2">
        <f t="shared" si="3"/>
        <v>-5.3000000000000114</v>
      </c>
      <c r="M40">
        <v>96.6</v>
      </c>
      <c r="N40">
        <v>106.7</v>
      </c>
      <c r="O40">
        <v>-1</v>
      </c>
    </row>
    <row r="41" spans="1:15">
      <c r="A41" t="s">
        <v>34</v>
      </c>
      <c r="B41" t="s">
        <v>15</v>
      </c>
      <c r="C41">
        <v>42</v>
      </c>
      <c r="D41">
        <v>40</v>
      </c>
      <c r="E41" s="1">
        <f t="shared" si="1"/>
        <v>0.51219512195121952</v>
      </c>
      <c r="F41" s="2">
        <v>96.8</v>
      </c>
      <c r="G41" s="2">
        <v>96.5</v>
      </c>
      <c r="H41" s="2">
        <f t="shared" si="2"/>
        <v>0.29999999999999716</v>
      </c>
      <c r="I41" s="1">
        <f t="shared" si="0"/>
        <v>0.51086224147445425</v>
      </c>
      <c r="J41" s="2">
        <v>102.8</v>
      </c>
      <c r="K41" s="2">
        <v>102.4</v>
      </c>
      <c r="L41" s="2">
        <f t="shared" si="3"/>
        <v>0.39999999999999147</v>
      </c>
      <c r="M41">
        <v>101.1</v>
      </c>
      <c r="N41">
        <v>103</v>
      </c>
      <c r="O41">
        <v>-0.1</v>
      </c>
    </row>
    <row r="42" spans="1:15">
      <c r="A42" t="s">
        <v>34</v>
      </c>
      <c r="B42" t="s">
        <v>16</v>
      </c>
      <c r="C42">
        <v>39</v>
      </c>
      <c r="D42">
        <v>43</v>
      </c>
      <c r="E42" s="1">
        <f t="shared" si="1"/>
        <v>0.47560975609756095</v>
      </c>
      <c r="F42" s="2">
        <v>95.7</v>
      </c>
      <c r="G42" s="2">
        <v>96.1</v>
      </c>
      <c r="H42" s="2">
        <f t="shared" si="2"/>
        <v>-0.39999999999999147</v>
      </c>
      <c r="I42" s="1">
        <f t="shared" si="0"/>
        <v>0.48540558556338809</v>
      </c>
      <c r="J42" s="2">
        <v>104.3</v>
      </c>
      <c r="K42" s="2">
        <v>104.7</v>
      </c>
      <c r="L42" s="2">
        <f t="shared" si="3"/>
        <v>-0.40000000000000568</v>
      </c>
      <c r="M42">
        <v>95.3</v>
      </c>
      <c r="N42">
        <v>100.3</v>
      </c>
      <c r="O42">
        <v>-0.5</v>
      </c>
    </row>
    <row r="43" spans="1:15">
      <c r="A43" t="s">
        <v>34</v>
      </c>
      <c r="B43" t="s">
        <v>17</v>
      </c>
      <c r="C43">
        <v>58</v>
      </c>
      <c r="D43">
        <v>24</v>
      </c>
      <c r="E43" s="1">
        <f t="shared" si="1"/>
        <v>0.70731707317073167</v>
      </c>
      <c r="F43" s="2">
        <v>101.3</v>
      </c>
      <c r="G43" s="2">
        <v>94.1</v>
      </c>
      <c r="H43" s="2">
        <f t="shared" si="2"/>
        <v>7.2000000000000028</v>
      </c>
      <c r="I43" s="1">
        <f t="shared" si="0"/>
        <v>0.73734162874338682</v>
      </c>
      <c r="J43" s="2">
        <v>108</v>
      </c>
      <c r="K43" s="2">
        <v>100.4</v>
      </c>
      <c r="L43" s="2">
        <f t="shared" si="3"/>
        <v>7.5999999999999943</v>
      </c>
      <c r="M43">
        <v>104.2</v>
      </c>
      <c r="N43">
        <v>94.6</v>
      </c>
      <c r="O43">
        <v>2.5</v>
      </c>
    </row>
    <row r="44" spans="1:15">
      <c r="A44" t="s">
        <v>34</v>
      </c>
      <c r="B44" t="s">
        <v>35</v>
      </c>
      <c r="C44">
        <v>23</v>
      </c>
      <c r="D44">
        <v>59</v>
      </c>
      <c r="E44" s="1">
        <f t="shared" si="1"/>
        <v>0.28048780487804881</v>
      </c>
      <c r="F44" s="2">
        <v>89.9</v>
      </c>
      <c r="G44" s="2">
        <v>97.3</v>
      </c>
      <c r="H44" s="2">
        <f t="shared" si="2"/>
        <v>-7.3999999999999915</v>
      </c>
      <c r="I44" s="1">
        <f t="shared" si="0"/>
        <v>0.24835318847310597</v>
      </c>
      <c r="J44" s="2">
        <v>96.6</v>
      </c>
      <c r="K44" s="2">
        <v>104.7</v>
      </c>
      <c r="L44" s="2">
        <f t="shared" si="3"/>
        <v>-8.1000000000000085</v>
      </c>
      <c r="M44">
        <v>89.1</v>
      </c>
      <c r="N44">
        <v>98.5</v>
      </c>
      <c r="O44">
        <v>-1.2</v>
      </c>
    </row>
    <row r="45" spans="1:15">
      <c r="A45" t="s">
        <v>34</v>
      </c>
      <c r="B45" t="s">
        <v>18</v>
      </c>
      <c r="C45">
        <v>36</v>
      </c>
      <c r="D45">
        <v>46</v>
      </c>
      <c r="E45" s="1">
        <f t="shared" si="1"/>
        <v>0.43902439024390244</v>
      </c>
      <c r="F45" s="2">
        <v>87.2</v>
      </c>
      <c r="G45" s="2">
        <v>88.7</v>
      </c>
      <c r="H45" s="2">
        <f t="shared" si="2"/>
        <v>-1.5</v>
      </c>
      <c r="I45" s="1">
        <f t="shared" si="0"/>
        <v>0.44058756031569546</v>
      </c>
      <c r="J45" s="2">
        <v>97.3</v>
      </c>
      <c r="K45" s="2">
        <v>99</v>
      </c>
      <c r="L45" s="2">
        <f t="shared" si="3"/>
        <v>-1.7000000000000028</v>
      </c>
      <c r="M45">
        <v>86.1</v>
      </c>
      <c r="N45">
        <v>92</v>
      </c>
      <c r="O45">
        <v>-0.4</v>
      </c>
    </row>
    <row r="46" spans="1:15">
      <c r="A46" t="s">
        <v>34</v>
      </c>
      <c r="B46" t="s">
        <v>19</v>
      </c>
      <c r="C46">
        <v>41</v>
      </c>
      <c r="D46">
        <v>41</v>
      </c>
      <c r="E46" s="1">
        <f t="shared" si="1"/>
        <v>0.5</v>
      </c>
      <c r="F46" s="2">
        <v>97.5</v>
      </c>
      <c r="G46" s="2">
        <v>97.7</v>
      </c>
      <c r="H46" s="2">
        <f t="shared" si="2"/>
        <v>-0.20000000000000284</v>
      </c>
      <c r="I46" s="1">
        <f t="shared" si="0"/>
        <v>0.49282835821021359</v>
      </c>
      <c r="J46" s="2">
        <v>105.3</v>
      </c>
      <c r="K46" s="2">
        <v>105.6</v>
      </c>
      <c r="L46" s="2">
        <f t="shared" si="3"/>
        <v>-0.29999999999999716</v>
      </c>
      <c r="M46">
        <v>107.5</v>
      </c>
      <c r="N46">
        <v>100.2</v>
      </c>
      <c r="O46">
        <v>0.4</v>
      </c>
    </row>
    <row r="47" spans="1:15">
      <c r="A47" t="s">
        <v>34</v>
      </c>
      <c r="B47" t="s">
        <v>20</v>
      </c>
      <c r="C47">
        <v>50</v>
      </c>
      <c r="D47">
        <v>32</v>
      </c>
      <c r="E47" s="1">
        <f t="shared" si="1"/>
        <v>0.6097560975609756</v>
      </c>
      <c r="F47" s="2">
        <v>99.3</v>
      </c>
      <c r="G47" s="2">
        <v>96</v>
      </c>
      <c r="H47" s="2">
        <f t="shared" si="2"/>
        <v>3.2999999999999972</v>
      </c>
      <c r="I47" s="1">
        <f t="shared" si="0"/>
        <v>0.6161321966292217</v>
      </c>
      <c r="J47" s="2">
        <v>107.5</v>
      </c>
      <c r="K47" s="2">
        <v>104.1</v>
      </c>
      <c r="L47" s="2">
        <f t="shared" si="3"/>
        <v>3.4000000000000057</v>
      </c>
      <c r="M47">
        <v>94.3</v>
      </c>
      <c r="N47">
        <v>102.6</v>
      </c>
      <c r="O47">
        <v>-0.2</v>
      </c>
    </row>
    <row r="48" spans="1:15">
      <c r="A48" t="s">
        <v>34</v>
      </c>
      <c r="B48" t="s">
        <v>21</v>
      </c>
      <c r="C48">
        <v>52</v>
      </c>
      <c r="D48">
        <v>30</v>
      </c>
      <c r="E48" s="1">
        <f t="shared" si="1"/>
        <v>0.63414634146341464</v>
      </c>
      <c r="F48" s="2">
        <v>96.2</v>
      </c>
      <c r="G48" s="2">
        <v>92</v>
      </c>
      <c r="H48" s="2">
        <f t="shared" si="2"/>
        <v>4.2000000000000028</v>
      </c>
      <c r="I48" s="1">
        <f t="shared" si="0"/>
        <v>0.65134826278971358</v>
      </c>
      <c r="J48" s="2">
        <v>102.4</v>
      </c>
      <c r="K48" s="2">
        <v>98.1</v>
      </c>
      <c r="L48" s="2">
        <f t="shared" si="3"/>
        <v>4.3000000000000114</v>
      </c>
      <c r="M48">
        <v>98.1</v>
      </c>
      <c r="N48">
        <v>98.6</v>
      </c>
      <c r="O48">
        <v>1</v>
      </c>
    </row>
    <row r="49" spans="1:15">
      <c r="A49" t="s">
        <v>34</v>
      </c>
      <c r="B49" t="s">
        <v>22</v>
      </c>
      <c r="C49">
        <v>30</v>
      </c>
      <c r="D49">
        <v>52</v>
      </c>
      <c r="E49" s="1">
        <f t="shared" si="1"/>
        <v>0.36585365853658536</v>
      </c>
      <c r="F49" s="2">
        <v>91.6</v>
      </c>
      <c r="G49" s="2">
        <v>95.6</v>
      </c>
      <c r="H49" s="2">
        <f t="shared" si="2"/>
        <v>-4</v>
      </c>
      <c r="I49" s="1">
        <f t="shared" si="0"/>
        <v>0.35471402772199295</v>
      </c>
      <c r="J49" s="2">
        <v>100.4</v>
      </c>
      <c r="K49" s="2">
        <v>104.6</v>
      </c>
      <c r="L49" s="2">
        <f t="shared" si="3"/>
        <v>-4.1999999999999886</v>
      </c>
      <c r="M49">
        <v>89.8</v>
      </c>
      <c r="N49">
        <v>100.5</v>
      </c>
      <c r="O49">
        <v>-1.2</v>
      </c>
    </row>
    <row r="50" spans="1:15">
      <c r="A50" t="s">
        <v>34</v>
      </c>
      <c r="B50" t="s">
        <v>23</v>
      </c>
      <c r="C50">
        <v>44</v>
      </c>
      <c r="D50">
        <v>38</v>
      </c>
      <c r="E50" s="1">
        <f t="shared" si="1"/>
        <v>0.53658536585365857</v>
      </c>
      <c r="F50" s="2">
        <v>100.5</v>
      </c>
      <c r="G50" s="2">
        <v>98.9</v>
      </c>
      <c r="H50" s="2">
        <f t="shared" si="2"/>
        <v>1.5999999999999943</v>
      </c>
      <c r="I50" s="1">
        <f t="shared" si="0"/>
        <v>0.5559346078100218</v>
      </c>
      <c r="J50" s="2">
        <v>105.6</v>
      </c>
      <c r="K50" s="2">
        <v>104.1</v>
      </c>
      <c r="L50" s="2">
        <f t="shared" si="3"/>
        <v>1.5</v>
      </c>
      <c r="M50">
        <v>105.5</v>
      </c>
      <c r="N50">
        <v>100.4</v>
      </c>
      <c r="O50">
        <v>-1</v>
      </c>
    </row>
    <row r="51" spans="1:15">
      <c r="A51" t="s">
        <v>34</v>
      </c>
      <c r="B51" t="s">
        <v>24</v>
      </c>
      <c r="C51">
        <v>43</v>
      </c>
      <c r="D51">
        <v>39</v>
      </c>
      <c r="E51" s="1">
        <f t="shared" si="1"/>
        <v>0.52439024390243905</v>
      </c>
      <c r="F51" s="2">
        <v>91</v>
      </c>
      <c r="G51" s="2">
        <v>89.4</v>
      </c>
      <c r="H51" s="2">
        <f t="shared" si="2"/>
        <v>1.5999999999999943</v>
      </c>
      <c r="I51" s="1">
        <f t="shared" si="0"/>
        <v>0.56176874789874143</v>
      </c>
      <c r="J51" s="2">
        <v>100.5</v>
      </c>
      <c r="K51" s="2">
        <v>98.7</v>
      </c>
      <c r="L51" s="2">
        <f t="shared" si="3"/>
        <v>1.7999999999999972</v>
      </c>
      <c r="M51">
        <v>90.2</v>
      </c>
      <c r="N51">
        <v>83</v>
      </c>
      <c r="O51">
        <v>0</v>
      </c>
    </row>
    <row r="52" spans="1:15">
      <c r="A52" t="s">
        <v>34</v>
      </c>
      <c r="B52" t="s">
        <v>25</v>
      </c>
      <c r="C52">
        <v>36</v>
      </c>
      <c r="D52">
        <v>46</v>
      </c>
      <c r="E52" s="1">
        <f t="shared" si="1"/>
        <v>0.43902439024390244</v>
      </c>
      <c r="F52" s="2">
        <v>95.1</v>
      </c>
      <c r="G52" s="2">
        <v>95.8</v>
      </c>
      <c r="H52" s="2">
        <f t="shared" si="2"/>
        <v>-0.70000000000000284</v>
      </c>
      <c r="I52" s="1">
        <f t="shared" si="0"/>
        <v>0.47435452063041067</v>
      </c>
      <c r="J52" s="2">
        <v>101.8</v>
      </c>
      <c r="K52" s="2">
        <v>102.6</v>
      </c>
      <c r="L52" s="2">
        <f t="shared" si="3"/>
        <v>-0.79999999999999716</v>
      </c>
      <c r="M52">
        <v>104</v>
      </c>
      <c r="N52">
        <v>101.8</v>
      </c>
      <c r="O52">
        <v>0.1</v>
      </c>
    </row>
    <row r="53" spans="1:15">
      <c r="A53" t="s">
        <v>34</v>
      </c>
      <c r="B53" t="s">
        <v>26</v>
      </c>
      <c r="C53">
        <v>49</v>
      </c>
      <c r="D53">
        <v>33</v>
      </c>
      <c r="E53" s="1">
        <f t="shared" si="1"/>
        <v>0.59756097560975607</v>
      </c>
      <c r="F53" s="2">
        <v>96.6</v>
      </c>
      <c r="G53" s="2">
        <v>93.7</v>
      </c>
      <c r="H53" s="2">
        <f t="shared" si="2"/>
        <v>2.8999999999999915</v>
      </c>
      <c r="I53" s="1">
        <f t="shared" si="0"/>
        <v>0.60509200990048839</v>
      </c>
      <c r="J53" s="2">
        <v>105.9</v>
      </c>
      <c r="K53" s="2">
        <v>102.6</v>
      </c>
      <c r="L53" s="2">
        <f t="shared" si="3"/>
        <v>3.3000000000000114</v>
      </c>
      <c r="M53">
        <v>111.7</v>
      </c>
      <c r="N53">
        <v>99.7</v>
      </c>
      <c r="O53">
        <v>-0.2</v>
      </c>
    </row>
    <row r="54" spans="1:15">
      <c r="A54" t="s">
        <v>34</v>
      </c>
      <c r="B54" t="s">
        <v>27</v>
      </c>
      <c r="C54">
        <v>61</v>
      </c>
      <c r="D54">
        <v>21</v>
      </c>
      <c r="E54" s="1">
        <f t="shared" si="1"/>
        <v>0.74390243902439024</v>
      </c>
      <c r="F54" s="2">
        <v>104.6</v>
      </c>
      <c r="G54" s="2">
        <v>97</v>
      </c>
      <c r="H54" s="2">
        <f t="shared" si="2"/>
        <v>7.5999999999999943</v>
      </c>
      <c r="I54" s="1">
        <f t="shared" si="0"/>
        <v>0.74193612519657792</v>
      </c>
      <c r="J54" s="2">
        <v>107.9</v>
      </c>
      <c r="K54" s="2">
        <v>99.7</v>
      </c>
      <c r="L54" s="2">
        <f t="shared" si="3"/>
        <v>8.2000000000000028</v>
      </c>
      <c r="M54">
        <v>105</v>
      </c>
      <c r="N54">
        <v>89.6</v>
      </c>
      <c r="O54">
        <v>0.8</v>
      </c>
    </row>
    <row r="55" spans="1:15">
      <c r="A55" t="s">
        <v>34</v>
      </c>
      <c r="B55" t="s">
        <v>28</v>
      </c>
      <c r="C55">
        <v>58</v>
      </c>
      <c r="D55">
        <v>24</v>
      </c>
      <c r="E55" s="1">
        <f t="shared" si="1"/>
        <v>0.70731707317073167</v>
      </c>
      <c r="F55" s="2">
        <v>96.7</v>
      </c>
      <c r="G55" s="2">
        <v>90.5</v>
      </c>
      <c r="H55" s="2">
        <f t="shared" si="2"/>
        <v>6.2000000000000028</v>
      </c>
      <c r="I55" s="1">
        <f t="shared" si="0"/>
        <v>0.71660634572291726</v>
      </c>
      <c r="J55" s="2">
        <v>105.4</v>
      </c>
      <c r="K55" s="2">
        <v>98.5</v>
      </c>
      <c r="L55" s="2">
        <f t="shared" si="3"/>
        <v>6.9000000000000057</v>
      </c>
      <c r="M55">
        <v>92.5</v>
      </c>
      <c r="N55">
        <v>96.7</v>
      </c>
      <c r="O55">
        <v>0.2</v>
      </c>
    </row>
    <row r="56" spans="1:15">
      <c r="A56" t="s">
        <v>34</v>
      </c>
      <c r="B56" t="s">
        <v>29</v>
      </c>
      <c r="C56">
        <v>45</v>
      </c>
      <c r="D56">
        <v>37</v>
      </c>
      <c r="E56" s="1">
        <f t="shared" si="1"/>
        <v>0.54878048780487809</v>
      </c>
      <c r="F56" s="2">
        <v>97.7</v>
      </c>
      <c r="G56" s="2">
        <v>94.7</v>
      </c>
      <c r="H56" s="2">
        <f t="shared" si="2"/>
        <v>3</v>
      </c>
      <c r="I56" s="1">
        <f t="shared" si="0"/>
        <v>0.60745473911501191</v>
      </c>
      <c r="J56" s="2">
        <v>107.3</v>
      </c>
      <c r="K56" s="2">
        <v>104.1</v>
      </c>
      <c r="L56" s="2">
        <f t="shared" si="3"/>
        <v>3.2000000000000028</v>
      </c>
      <c r="M56">
        <v>92.6</v>
      </c>
      <c r="N56">
        <v>98.2</v>
      </c>
      <c r="O56">
        <v>0.3</v>
      </c>
    </row>
    <row r="57" spans="1:15">
      <c r="A57" t="s">
        <v>34</v>
      </c>
      <c r="B57" t="s">
        <v>30</v>
      </c>
      <c r="C57">
        <v>42</v>
      </c>
      <c r="D57">
        <v>40</v>
      </c>
      <c r="E57" s="1">
        <f t="shared" si="1"/>
        <v>0.51219512195121952</v>
      </c>
      <c r="F57" s="2">
        <v>91.4</v>
      </c>
      <c r="G57" s="2">
        <v>91.8</v>
      </c>
      <c r="H57" s="2">
        <f t="shared" si="2"/>
        <v>-0.39999999999999147</v>
      </c>
      <c r="I57" s="1">
        <f t="shared" si="0"/>
        <v>0.48472089148498448</v>
      </c>
      <c r="J57" s="2">
        <v>101.1</v>
      </c>
      <c r="K57" s="2">
        <v>101.7</v>
      </c>
      <c r="L57" s="2">
        <f t="shared" si="3"/>
        <v>-0.60000000000000853</v>
      </c>
      <c r="M57">
        <v>93</v>
      </c>
      <c r="N57">
        <v>90.4</v>
      </c>
      <c r="O57">
        <v>-0.8</v>
      </c>
    </row>
    <row r="58" spans="1:15">
      <c r="A58" t="s">
        <v>34</v>
      </c>
      <c r="B58" t="s">
        <v>31</v>
      </c>
      <c r="C58">
        <v>44</v>
      </c>
      <c r="D58">
        <v>38</v>
      </c>
      <c r="E58" s="1">
        <f t="shared" si="1"/>
        <v>0.53658536585365857</v>
      </c>
      <c r="F58" s="2">
        <v>96</v>
      </c>
      <c r="G58" s="2">
        <v>95.1</v>
      </c>
      <c r="H58" s="2">
        <f t="shared" si="2"/>
        <v>0.90000000000000568</v>
      </c>
      <c r="I58" s="1">
        <f t="shared" si="0"/>
        <v>0.53291958603886924</v>
      </c>
      <c r="J58" s="2">
        <v>103.8</v>
      </c>
      <c r="K58" s="2">
        <v>102.9</v>
      </c>
      <c r="L58" s="2">
        <f t="shared" si="3"/>
        <v>0.89999999999999147</v>
      </c>
      <c r="M58">
        <v>102.8</v>
      </c>
      <c r="N58">
        <v>106.5</v>
      </c>
      <c r="O58">
        <v>0.6</v>
      </c>
    </row>
    <row r="59" spans="1:15">
      <c r="A59" t="s">
        <v>34</v>
      </c>
      <c r="B59" t="s">
        <v>33</v>
      </c>
      <c r="C59">
        <v>37</v>
      </c>
      <c r="D59">
        <v>45</v>
      </c>
      <c r="E59" s="1">
        <f t="shared" si="1"/>
        <v>0.45121951219512196</v>
      </c>
      <c r="F59" s="2">
        <v>92.8</v>
      </c>
      <c r="G59" s="2">
        <v>94.2</v>
      </c>
      <c r="H59" s="2">
        <f t="shared" si="2"/>
        <v>-1.4000000000000057</v>
      </c>
      <c r="I59" s="1">
        <f t="shared" si="0"/>
        <v>0.4477836824349537</v>
      </c>
      <c r="J59" s="2">
        <v>102.9</v>
      </c>
      <c r="K59" s="2">
        <v>104.5</v>
      </c>
      <c r="L59" s="2">
        <f t="shared" si="3"/>
        <v>-1.5999999999999943</v>
      </c>
      <c r="M59">
        <v>100.3</v>
      </c>
      <c r="N59">
        <v>101</v>
      </c>
      <c r="O59">
        <v>-0.4</v>
      </c>
    </row>
    <row r="60" spans="1:15">
      <c r="A60" t="s">
        <v>36</v>
      </c>
      <c r="B60" t="s">
        <v>5</v>
      </c>
      <c r="C60">
        <v>35</v>
      </c>
      <c r="D60">
        <v>47</v>
      </c>
      <c r="E60" s="1">
        <f t="shared" si="1"/>
        <v>0.42682926829268292</v>
      </c>
      <c r="F60" s="2">
        <v>94.1</v>
      </c>
      <c r="G60" s="2">
        <v>97.6</v>
      </c>
      <c r="H60" s="2">
        <f t="shared" si="2"/>
        <v>-3.5</v>
      </c>
      <c r="I60" s="1">
        <f t="shared" si="0"/>
        <v>0.37489532651227531</v>
      </c>
      <c r="J60" s="2">
        <v>100.4</v>
      </c>
      <c r="K60" s="2">
        <v>104.2</v>
      </c>
      <c r="L60" s="2">
        <f t="shared" si="3"/>
        <v>-3.7999999999999972</v>
      </c>
      <c r="M60">
        <v>102</v>
      </c>
      <c r="N60">
        <v>97.1</v>
      </c>
      <c r="O60">
        <v>-2</v>
      </c>
    </row>
    <row r="61" spans="1:15">
      <c r="A61" t="s">
        <v>36</v>
      </c>
      <c r="B61" t="s">
        <v>6</v>
      </c>
      <c r="C61">
        <v>44</v>
      </c>
      <c r="D61">
        <v>38</v>
      </c>
      <c r="E61" s="1">
        <f t="shared" si="1"/>
        <v>0.53658536585365857</v>
      </c>
      <c r="F61" s="2">
        <v>92.7</v>
      </c>
      <c r="G61" s="2">
        <v>93.1</v>
      </c>
      <c r="H61" s="2">
        <f t="shared" si="2"/>
        <v>-0.39999999999999147</v>
      </c>
      <c r="I61" s="1">
        <f t="shared" si="0"/>
        <v>0.48493457063949058</v>
      </c>
      <c r="J61" s="2">
        <v>100</v>
      </c>
      <c r="K61" s="2">
        <v>100.5</v>
      </c>
      <c r="L61" s="2">
        <f t="shared" si="3"/>
        <v>-0.5</v>
      </c>
      <c r="M61">
        <v>93.4</v>
      </c>
      <c r="N61">
        <v>90.4</v>
      </c>
      <c r="O61">
        <v>0</v>
      </c>
    </row>
    <row r="62" spans="1:15">
      <c r="A62" t="s">
        <v>36</v>
      </c>
      <c r="B62" t="s">
        <v>8</v>
      </c>
      <c r="C62">
        <v>30</v>
      </c>
      <c r="D62">
        <v>52</v>
      </c>
      <c r="E62" s="1">
        <f t="shared" si="1"/>
        <v>0.36585365853658536</v>
      </c>
      <c r="F62" s="2">
        <v>95</v>
      </c>
      <c r="G62" s="2">
        <v>100.1</v>
      </c>
      <c r="H62" s="2">
        <f t="shared" si="2"/>
        <v>-5.0999999999999943</v>
      </c>
      <c r="I62" s="1">
        <f t="shared" si="0"/>
        <v>0.32473425777947651</v>
      </c>
      <c r="J62" s="2">
        <v>99.1</v>
      </c>
      <c r="K62" s="2">
        <v>104.2</v>
      </c>
      <c r="L62" s="2">
        <f t="shared" si="3"/>
        <v>-5.1000000000000085</v>
      </c>
      <c r="M62">
        <v>100.6</v>
      </c>
      <c r="N62">
        <v>103.8</v>
      </c>
      <c r="O62">
        <v>1.6</v>
      </c>
    </row>
    <row r="63" spans="1:15">
      <c r="A63" t="s">
        <v>36</v>
      </c>
      <c r="B63" t="s">
        <v>9</v>
      </c>
      <c r="C63">
        <v>17</v>
      </c>
      <c r="D63">
        <v>65</v>
      </c>
      <c r="E63" s="1">
        <f t="shared" si="1"/>
        <v>0.2073170731707317</v>
      </c>
      <c r="F63" s="2">
        <v>91.4</v>
      </c>
      <c r="G63" s="2">
        <v>101</v>
      </c>
      <c r="H63" s="2">
        <f t="shared" si="2"/>
        <v>-9.5999999999999943</v>
      </c>
      <c r="I63" s="1">
        <f t="shared" si="0"/>
        <v>0.19809387151453933</v>
      </c>
      <c r="J63" s="2">
        <v>95.2</v>
      </c>
      <c r="K63" s="2">
        <v>105.1</v>
      </c>
      <c r="L63" s="2">
        <f t="shared" si="3"/>
        <v>-9.8999999999999915</v>
      </c>
      <c r="M63">
        <v>86.6</v>
      </c>
      <c r="N63">
        <v>96.1</v>
      </c>
      <c r="O63">
        <v>-0.2</v>
      </c>
    </row>
    <row r="64" spans="1:15">
      <c r="A64" t="s">
        <v>36</v>
      </c>
      <c r="B64" t="s">
        <v>10</v>
      </c>
      <c r="C64">
        <v>60</v>
      </c>
      <c r="D64">
        <v>22</v>
      </c>
      <c r="E64" s="1">
        <f t="shared" si="1"/>
        <v>0.73170731707317072</v>
      </c>
      <c r="F64" s="2">
        <v>103</v>
      </c>
      <c r="G64" s="2">
        <v>95.2</v>
      </c>
      <c r="H64" s="2">
        <f t="shared" si="2"/>
        <v>7.7999999999999972</v>
      </c>
      <c r="I64" s="1">
        <f t="shared" si="0"/>
        <v>0.75072573890804006</v>
      </c>
      <c r="J64" s="2">
        <v>109.3</v>
      </c>
      <c r="K64" s="2">
        <v>101</v>
      </c>
      <c r="L64" s="2">
        <f t="shared" si="3"/>
        <v>8.2999999999999972</v>
      </c>
      <c r="M64">
        <v>112.2</v>
      </c>
      <c r="N64">
        <v>101</v>
      </c>
      <c r="O64">
        <v>0.5</v>
      </c>
    </row>
    <row r="65" spans="1:15">
      <c r="A65" t="s">
        <v>36</v>
      </c>
      <c r="B65" t="s">
        <v>11</v>
      </c>
      <c r="C65">
        <v>17</v>
      </c>
      <c r="D65">
        <v>65</v>
      </c>
      <c r="E65" s="1">
        <f t="shared" si="1"/>
        <v>0.2073170731707317</v>
      </c>
      <c r="F65" s="2">
        <v>84.2</v>
      </c>
      <c r="G65" s="2">
        <v>92.4</v>
      </c>
      <c r="H65" s="2">
        <f t="shared" si="2"/>
        <v>-8.2000000000000028</v>
      </c>
      <c r="I65" s="1">
        <f t="shared" si="0"/>
        <v>0.21398855794642072</v>
      </c>
      <c r="J65" s="2">
        <v>91.2</v>
      </c>
      <c r="K65" s="2">
        <v>100.1</v>
      </c>
      <c r="L65" s="2">
        <f t="shared" si="3"/>
        <v>-8.8999999999999915</v>
      </c>
      <c r="M65">
        <v>89.6</v>
      </c>
      <c r="N65">
        <v>110.9</v>
      </c>
      <c r="O65">
        <v>-0.5</v>
      </c>
    </row>
    <row r="66" spans="1:15">
      <c r="A66" t="s">
        <v>36</v>
      </c>
      <c r="B66" t="s">
        <v>12</v>
      </c>
      <c r="C66">
        <v>50</v>
      </c>
      <c r="D66">
        <v>32</v>
      </c>
      <c r="E66" s="1">
        <f t="shared" si="1"/>
        <v>0.6097560975609756</v>
      </c>
      <c r="F66" s="2">
        <v>91.4</v>
      </c>
      <c r="G66" s="2">
        <v>87.7</v>
      </c>
      <c r="H66" s="2">
        <f t="shared" si="2"/>
        <v>3.7000000000000028</v>
      </c>
      <c r="I66" s="1">
        <f t="shared" ref="I66:I129" si="4">+(F66^14)/((F66^14+G66^14))</f>
        <v>0.64072911392339904</v>
      </c>
      <c r="J66" s="2">
        <v>102.4</v>
      </c>
      <c r="K66" s="2">
        <v>98.2</v>
      </c>
      <c r="L66" s="2">
        <f t="shared" si="3"/>
        <v>4.2000000000000028</v>
      </c>
      <c r="M66">
        <v>103.1</v>
      </c>
      <c r="N66">
        <v>92</v>
      </c>
      <c r="O66">
        <v>1.6</v>
      </c>
    </row>
    <row r="67" spans="1:15">
      <c r="A67" t="s">
        <v>36</v>
      </c>
      <c r="B67" t="s">
        <v>13</v>
      </c>
      <c r="C67">
        <v>38</v>
      </c>
      <c r="D67">
        <v>44</v>
      </c>
      <c r="E67" s="1">
        <f t="shared" ref="E67:E130" si="5">+C67/(C67+D67)</f>
        <v>0.46341463414634149</v>
      </c>
      <c r="F67" s="2">
        <v>102.4</v>
      </c>
      <c r="G67" s="2">
        <v>103.6</v>
      </c>
      <c r="H67" s="2">
        <f t="shared" ref="H67:H130" si="6">+F67-G67</f>
        <v>-1.1999999999999886</v>
      </c>
      <c r="I67" s="1">
        <f t="shared" si="4"/>
        <v>0.45931300428144822</v>
      </c>
      <c r="J67" s="2">
        <v>106.4</v>
      </c>
      <c r="K67" s="2">
        <v>107.7</v>
      </c>
      <c r="L67" s="2">
        <f t="shared" ref="L67:L130" si="7">+J67-K67</f>
        <v>-1.2999999999999972</v>
      </c>
      <c r="M67">
        <v>100.3</v>
      </c>
      <c r="N67">
        <v>105.2</v>
      </c>
      <c r="O67">
        <v>-0.2</v>
      </c>
    </row>
    <row r="68" spans="1:15">
      <c r="A68" t="s">
        <v>36</v>
      </c>
      <c r="B68" t="s">
        <v>14</v>
      </c>
      <c r="C68">
        <v>43</v>
      </c>
      <c r="D68">
        <v>39</v>
      </c>
      <c r="E68" s="1">
        <f t="shared" si="5"/>
        <v>0.52439024390243905</v>
      </c>
      <c r="F68" s="2">
        <v>93.8</v>
      </c>
      <c r="G68" s="2">
        <v>92.3</v>
      </c>
      <c r="H68" s="2">
        <f t="shared" si="6"/>
        <v>1.5</v>
      </c>
      <c r="I68" s="1">
        <f t="shared" si="4"/>
        <v>0.55618421979332688</v>
      </c>
      <c r="J68" s="2">
        <v>102.4</v>
      </c>
      <c r="K68" s="2">
        <v>100.9</v>
      </c>
      <c r="L68" s="2">
        <f t="shared" si="7"/>
        <v>1.5</v>
      </c>
      <c r="M68">
        <v>114.4</v>
      </c>
      <c r="N68">
        <v>100.9</v>
      </c>
      <c r="O68">
        <v>0.4</v>
      </c>
    </row>
    <row r="69" spans="1:15">
      <c r="A69" t="s">
        <v>36</v>
      </c>
      <c r="B69" t="s">
        <v>15</v>
      </c>
      <c r="C69">
        <v>48</v>
      </c>
      <c r="D69">
        <v>34</v>
      </c>
      <c r="E69" s="1">
        <f t="shared" si="5"/>
        <v>0.58536585365853655</v>
      </c>
      <c r="F69" s="2">
        <v>96.8</v>
      </c>
      <c r="G69" s="2">
        <v>93.3</v>
      </c>
      <c r="H69" s="2">
        <f t="shared" si="6"/>
        <v>3.5</v>
      </c>
      <c r="I69" s="1">
        <f t="shared" si="4"/>
        <v>0.62611280259686619</v>
      </c>
      <c r="J69" s="2">
        <v>103.2</v>
      </c>
      <c r="K69" s="2">
        <v>99.6</v>
      </c>
      <c r="L69" s="2">
        <f t="shared" si="7"/>
        <v>3.6000000000000085</v>
      </c>
      <c r="M69">
        <v>90.7</v>
      </c>
      <c r="N69">
        <v>97.8</v>
      </c>
      <c r="O69">
        <v>-0.6</v>
      </c>
    </row>
    <row r="70" spans="1:15">
      <c r="A70" t="s">
        <v>36</v>
      </c>
      <c r="B70" t="s">
        <v>16</v>
      </c>
      <c r="C70">
        <v>27</v>
      </c>
      <c r="D70">
        <v>55</v>
      </c>
      <c r="E70" s="1">
        <f t="shared" si="5"/>
        <v>0.32926829268292684</v>
      </c>
      <c r="F70" s="2">
        <v>93.8</v>
      </c>
      <c r="G70" s="2">
        <v>97.9</v>
      </c>
      <c r="H70" s="2">
        <f t="shared" si="6"/>
        <v>-4.1000000000000085</v>
      </c>
      <c r="I70" s="1">
        <f t="shared" si="4"/>
        <v>0.3545853935949021</v>
      </c>
      <c r="J70" s="2">
        <v>101.1</v>
      </c>
      <c r="K70" s="2">
        <v>105.1</v>
      </c>
      <c r="L70" s="2">
        <f t="shared" si="7"/>
        <v>-4</v>
      </c>
      <c r="M70">
        <v>94</v>
      </c>
      <c r="N70">
        <v>116.5</v>
      </c>
      <c r="O70">
        <v>-0.5</v>
      </c>
    </row>
    <row r="71" spans="1:15">
      <c r="A71" t="s">
        <v>36</v>
      </c>
      <c r="B71" t="s">
        <v>17</v>
      </c>
      <c r="C71">
        <v>50</v>
      </c>
      <c r="D71">
        <v>32</v>
      </c>
      <c r="E71" s="1">
        <f t="shared" si="5"/>
        <v>0.6097560975609756</v>
      </c>
      <c r="F71" s="2">
        <v>100.4</v>
      </c>
      <c r="G71" s="2">
        <v>98</v>
      </c>
      <c r="H71" s="2">
        <f t="shared" si="6"/>
        <v>2.4000000000000057</v>
      </c>
      <c r="I71" s="1">
        <f t="shared" si="4"/>
        <v>0.58388106859457733</v>
      </c>
      <c r="J71" s="2">
        <v>105.6</v>
      </c>
      <c r="K71" s="2">
        <v>103.4</v>
      </c>
      <c r="L71" s="2">
        <f t="shared" si="7"/>
        <v>2.1999999999999886</v>
      </c>
      <c r="M71">
        <v>111.5</v>
      </c>
      <c r="N71">
        <v>100.9</v>
      </c>
      <c r="O71">
        <v>0.5</v>
      </c>
    </row>
    <row r="72" spans="1:15">
      <c r="A72" t="s">
        <v>36</v>
      </c>
      <c r="B72" t="s">
        <v>35</v>
      </c>
      <c r="C72">
        <v>28</v>
      </c>
      <c r="D72">
        <v>54</v>
      </c>
      <c r="E72" s="1">
        <f t="shared" si="5"/>
        <v>0.34146341463414637</v>
      </c>
      <c r="F72" s="2">
        <v>97.5</v>
      </c>
      <c r="G72" s="2">
        <v>100.7</v>
      </c>
      <c r="H72" s="2">
        <f t="shared" si="6"/>
        <v>-3.2000000000000028</v>
      </c>
      <c r="I72" s="1">
        <f t="shared" si="4"/>
        <v>0.38885971000700537</v>
      </c>
      <c r="J72" s="2">
        <v>102.3</v>
      </c>
      <c r="K72" s="2">
        <v>105.9</v>
      </c>
      <c r="L72" s="2">
        <f t="shared" si="7"/>
        <v>-3.6000000000000085</v>
      </c>
      <c r="M72">
        <v>97.8</v>
      </c>
      <c r="N72">
        <v>104.4</v>
      </c>
      <c r="O72">
        <v>0.2</v>
      </c>
    </row>
    <row r="73" spans="1:15">
      <c r="A73" t="s">
        <v>36</v>
      </c>
      <c r="B73" t="s">
        <v>18</v>
      </c>
      <c r="C73">
        <v>25</v>
      </c>
      <c r="D73">
        <v>57</v>
      </c>
      <c r="E73" s="1">
        <f t="shared" si="5"/>
        <v>0.3048780487804878</v>
      </c>
      <c r="F73" s="2">
        <v>85.6</v>
      </c>
      <c r="G73" s="2">
        <v>90.6</v>
      </c>
      <c r="H73" s="2">
        <f t="shared" si="6"/>
        <v>-5</v>
      </c>
      <c r="I73" s="1">
        <f t="shared" si="4"/>
        <v>0.31114644436616246</v>
      </c>
      <c r="J73" s="2">
        <v>95.4</v>
      </c>
      <c r="K73" s="2">
        <v>101.2</v>
      </c>
      <c r="L73" s="2">
        <f t="shared" si="7"/>
        <v>-5.7999999999999972</v>
      </c>
      <c r="M73">
        <v>85.2</v>
      </c>
      <c r="N73">
        <v>102.5</v>
      </c>
      <c r="O73">
        <v>-0.9</v>
      </c>
    </row>
    <row r="74" spans="1:15">
      <c r="A74" t="s">
        <v>36</v>
      </c>
      <c r="B74" t="s">
        <v>19</v>
      </c>
      <c r="C74">
        <v>42</v>
      </c>
      <c r="D74">
        <v>40</v>
      </c>
      <c r="E74" s="1">
        <f t="shared" si="5"/>
        <v>0.51219512195121952</v>
      </c>
      <c r="F74" s="2">
        <v>99.5</v>
      </c>
      <c r="G74" s="2">
        <v>99.3</v>
      </c>
      <c r="H74" s="2">
        <f t="shared" si="6"/>
        <v>0.20000000000000284</v>
      </c>
      <c r="I74" s="1">
        <f t="shared" si="4"/>
        <v>0.50704179026833252</v>
      </c>
      <c r="J74" s="2">
        <v>107.2</v>
      </c>
      <c r="K74" s="2">
        <v>106.9</v>
      </c>
      <c r="L74" s="2">
        <f t="shared" si="7"/>
        <v>0.29999999999999716</v>
      </c>
      <c r="M74">
        <v>104.2</v>
      </c>
      <c r="N74">
        <v>102</v>
      </c>
      <c r="O74">
        <v>1.8</v>
      </c>
    </row>
    <row r="75" spans="1:15">
      <c r="A75" t="s">
        <v>36</v>
      </c>
      <c r="B75" t="s">
        <v>20</v>
      </c>
      <c r="C75">
        <v>51</v>
      </c>
      <c r="D75">
        <v>31</v>
      </c>
      <c r="E75" s="1">
        <f t="shared" si="5"/>
        <v>0.62195121951219512</v>
      </c>
      <c r="F75" s="2">
        <v>98.1</v>
      </c>
      <c r="G75" s="2">
        <v>96</v>
      </c>
      <c r="H75" s="2">
        <f t="shared" si="6"/>
        <v>2.0999999999999943</v>
      </c>
      <c r="I75" s="1">
        <f t="shared" si="4"/>
        <v>0.57516313158502963</v>
      </c>
      <c r="J75" s="2">
        <v>104.8</v>
      </c>
      <c r="K75" s="2">
        <v>102.5</v>
      </c>
      <c r="L75" s="2">
        <f t="shared" si="7"/>
        <v>2.2999999999999972</v>
      </c>
      <c r="M75">
        <v>107.7</v>
      </c>
      <c r="N75">
        <v>93.4</v>
      </c>
      <c r="O75">
        <v>0.1</v>
      </c>
    </row>
    <row r="76" spans="1:15">
      <c r="A76" t="s">
        <v>36</v>
      </c>
      <c r="B76" t="s">
        <v>21</v>
      </c>
      <c r="C76">
        <v>49</v>
      </c>
      <c r="D76">
        <v>33</v>
      </c>
      <c r="E76" s="1">
        <f t="shared" si="5"/>
        <v>0.59756097560975607</v>
      </c>
      <c r="F76" s="2">
        <v>95.4</v>
      </c>
      <c r="G76" s="2">
        <v>90.1</v>
      </c>
      <c r="H76" s="2">
        <f t="shared" si="6"/>
        <v>5.3000000000000114</v>
      </c>
      <c r="I76" s="1">
        <f t="shared" si="4"/>
        <v>0.69002106739686153</v>
      </c>
      <c r="J76" s="2">
        <v>102.1</v>
      </c>
      <c r="K76" s="2">
        <v>96.6</v>
      </c>
      <c r="L76" s="2">
        <f t="shared" si="7"/>
        <v>5.5</v>
      </c>
      <c r="M76">
        <v>83.1</v>
      </c>
      <c r="N76">
        <v>100</v>
      </c>
      <c r="O76">
        <v>-0.7</v>
      </c>
    </row>
    <row r="77" spans="1:15">
      <c r="A77" t="s">
        <v>36</v>
      </c>
      <c r="B77" t="s">
        <v>37</v>
      </c>
      <c r="C77">
        <v>47</v>
      </c>
      <c r="D77">
        <v>35</v>
      </c>
      <c r="E77" s="1">
        <f t="shared" si="5"/>
        <v>0.57317073170731703</v>
      </c>
      <c r="F77" s="2">
        <v>93.9</v>
      </c>
      <c r="G77" s="2">
        <v>91.8</v>
      </c>
      <c r="H77" s="2">
        <f t="shared" si="6"/>
        <v>2.1000000000000085</v>
      </c>
      <c r="I77" s="1">
        <f t="shared" si="4"/>
        <v>0.57850840531735526</v>
      </c>
      <c r="J77" s="2">
        <v>102.4</v>
      </c>
      <c r="K77" s="2">
        <v>100</v>
      </c>
      <c r="L77" s="2">
        <f t="shared" si="7"/>
        <v>2.4000000000000057</v>
      </c>
      <c r="M77">
        <v>101.5</v>
      </c>
      <c r="N77">
        <v>95.7</v>
      </c>
      <c r="O77">
        <v>0.3</v>
      </c>
    </row>
    <row r="78" spans="1:15">
      <c r="A78" t="s">
        <v>36</v>
      </c>
      <c r="B78" t="s">
        <v>22</v>
      </c>
      <c r="C78">
        <v>37</v>
      </c>
      <c r="D78">
        <v>45</v>
      </c>
      <c r="E78" s="1">
        <f t="shared" si="5"/>
        <v>0.45121951219512196</v>
      </c>
      <c r="F78" s="2">
        <v>95.9</v>
      </c>
      <c r="G78" s="2">
        <v>97.2</v>
      </c>
      <c r="H78" s="2">
        <f t="shared" si="6"/>
        <v>-1.2999999999999972</v>
      </c>
      <c r="I78" s="1">
        <f t="shared" si="4"/>
        <v>0.45301250427242873</v>
      </c>
      <c r="J78" s="2">
        <v>103.3</v>
      </c>
      <c r="K78" s="2">
        <v>104.6</v>
      </c>
      <c r="L78" s="2">
        <f t="shared" si="7"/>
        <v>-1.2999999999999972</v>
      </c>
      <c r="M78">
        <v>100</v>
      </c>
      <c r="N78">
        <v>106.3</v>
      </c>
      <c r="O78">
        <v>-0.3</v>
      </c>
    </row>
    <row r="79" spans="1:15">
      <c r="A79" t="s">
        <v>36</v>
      </c>
      <c r="B79" t="s">
        <v>23</v>
      </c>
      <c r="C79">
        <v>42</v>
      </c>
      <c r="D79">
        <v>40</v>
      </c>
      <c r="E79" s="1">
        <f t="shared" si="5"/>
        <v>0.51219512195121952</v>
      </c>
      <c r="F79" s="2">
        <v>98.5</v>
      </c>
      <c r="G79" s="2">
        <v>98.4</v>
      </c>
      <c r="H79" s="2">
        <f t="shared" si="6"/>
        <v>9.9999999999994316E-2</v>
      </c>
      <c r="I79" s="1">
        <f t="shared" si="4"/>
        <v>0.5035550445111181</v>
      </c>
      <c r="J79" s="2">
        <v>103.7</v>
      </c>
      <c r="K79" s="2">
        <v>103.7</v>
      </c>
      <c r="L79" s="2">
        <f t="shared" si="7"/>
        <v>0</v>
      </c>
      <c r="M79">
        <v>95.9</v>
      </c>
      <c r="N79">
        <v>94.6</v>
      </c>
      <c r="O79">
        <v>-1</v>
      </c>
    </row>
    <row r="80" spans="1:15">
      <c r="A80" t="s">
        <v>36</v>
      </c>
      <c r="B80" t="s">
        <v>24</v>
      </c>
      <c r="C80">
        <v>48</v>
      </c>
      <c r="D80">
        <v>34</v>
      </c>
      <c r="E80" s="1">
        <f t="shared" si="5"/>
        <v>0.58536585365853655</v>
      </c>
      <c r="F80" s="2">
        <v>96.8</v>
      </c>
      <c r="G80" s="2">
        <v>94.5</v>
      </c>
      <c r="H80" s="2">
        <f t="shared" si="6"/>
        <v>2.2999999999999972</v>
      </c>
      <c r="I80" s="1">
        <f t="shared" si="4"/>
        <v>0.58337902714403844</v>
      </c>
      <c r="J80" s="2">
        <v>103.2</v>
      </c>
      <c r="K80" s="2">
        <v>100.6</v>
      </c>
      <c r="L80" s="2">
        <f t="shared" si="7"/>
        <v>2.6000000000000085</v>
      </c>
      <c r="M80">
        <v>102.4</v>
      </c>
      <c r="N80">
        <v>98.5</v>
      </c>
      <c r="O80">
        <v>1.1000000000000001</v>
      </c>
    </row>
    <row r="81" spans="1:15">
      <c r="A81" t="s">
        <v>36</v>
      </c>
      <c r="B81" t="s">
        <v>25</v>
      </c>
      <c r="C81">
        <v>44</v>
      </c>
      <c r="D81">
        <v>38</v>
      </c>
      <c r="E81" s="1">
        <f t="shared" si="5"/>
        <v>0.53658536585365857</v>
      </c>
      <c r="F81" s="2">
        <v>95.5</v>
      </c>
      <c r="G81" s="2">
        <v>94.4</v>
      </c>
      <c r="H81" s="2">
        <f t="shared" si="6"/>
        <v>1.0999999999999943</v>
      </c>
      <c r="I81" s="1">
        <f t="shared" si="4"/>
        <v>0.5404594538627715</v>
      </c>
      <c r="J81" s="2">
        <v>102.6</v>
      </c>
      <c r="K81" s="2">
        <v>101.3</v>
      </c>
      <c r="L81" s="2">
        <f t="shared" si="7"/>
        <v>1.2999999999999972</v>
      </c>
      <c r="M81">
        <v>109</v>
      </c>
      <c r="N81">
        <v>88.1</v>
      </c>
      <c r="O81">
        <v>2.7</v>
      </c>
    </row>
    <row r="82" spans="1:15">
      <c r="A82" t="s">
        <v>36</v>
      </c>
      <c r="B82" t="s">
        <v>26</v>
      </c>
      <c r="C82">
        <v>50</v>
      </c>
      <c r="D82">
        <v>32</v>
      </c>
      <c r="E82" s="1">
        <f t="shared" si="5"/>
        <v>0.6097560975609756</v>
      </c>
      <c r="F82" s="2">
        <v>95.2</v>
      </c>
      <c r="G82" s="2">
        <v>92.5</v>
      </c>
      <c r="H82" s="2">
        <f t="shared" si="6"/>
        <v>2.7000000000000028</v>
      </c>
      <c r="I82" s="1">
        <f t="shared" si="4"/>
        <v>0.59935976254287349</v>
      </c>
      <c r="J82" s="2">
        <v>104.2</v>
      </c>
      <c r="K82" s="2">
        <v>101.5</v>
      </c>
      <c r="L82" s="2">
        <f t="shared" si="7"/>
        <v>2.7000000000000028</v>
      </c>
      <c r="M82">
        <v>97.3</v>
      </c>
      <c r="N82">
        <v>98.3</v>
      </c>
      <c r="O82">
        <v>-1</v>
      </c>
    </row>
    <row r="83" spans="1:15">
      <c r="A83" t="s">
        <v>36</v>
      </c>
      <c r="B83" t="s">
        <v>27</v>
      </c>
      <c r="C83">
        <v>59</v>
      </c>
      <c r="D83">
        <v>23</v>
      </c>
      <c r="E83" s="1">
        <f t="shared" si="5"/>
        <v>0.71951219512195119</v>
      </c>
      <c r="F83" s="2">
        <v>101.7</v>
      </c>
      <c r="G83" s="2">
        <v>95.2</v>
      </c>
      <c r="H83" s="2">
        <f t="shared" si="6"/>
        <v>6.5</v>
      </c>
      <c r="I83" s="1">
        <f t="shared" si="4"/>
        <v>0.71599128231824272</v>
      </c>
      <c r="J83" s="2">
        <v>104.4</v>
      </c>
      <c r="K83" s="2">
        <v>97.8</v>
      </c>
      <c r="L83" s="2">
        <f t="shared" si="7"/>
        <v>6.6000000000000085</v>
      </c>
      <c r="M83">
        <v>104.5</v>
      </c>
      <c r="N83">
        <v>101.8</v>
      </c>
      <c r="O83">
        <v>0.4</v>
      </c>
    </row>
    <row r="84" spans="1:15">
      <c r="A84" t="s">
        <v>36</v>
      </c>
      <c r="B84" t="s">
        <v>28</v>
      </c>
      <c r="C84">
        <v>60</v>
      </c>
      <c r="D84">
        <v>22</v>
      </c>
      <c r="E84" s="1">
        <f t="shared" si="5"/>
        <v>0.73170731707317072</v>
      </c>
      <c r="F84" s="2">
        <v>95.8</v>
      </c>
      <c r="G84" s="2">
        <v>90.4</v>
      </c>
      <c r="H84" s="2">
        <f t="shared" si="6"/>
        <v>5.3999999999999915</v>
      </c>
      <c r="I84" s="1">
        <f t="shared" si="4"/>
        <v>0.6925904288126854</v>
      </c>
      <c r="J84" s="2">
        <v>103.9</v>
      </c>
      <c r="K84" s="2">
        <v>98.1</v>
      </c>
      <c r="L84" s="2">
        <f t="shared" si="7"/>
        <v>5.8000000000000114</v>
      </c>
      <c r="M84">
        <v>102.4</v>
      </c>
      <c r="N84">
        <v>100</v>
      </c>
      <c r="O84">
        <v>-1.9</v>
      </c>
    </row>
    <row r="85" spans="1:15">
      <c r="A85" t="s">
        <v>36</v>
      </c>
      <c r="B85" t="s">
        <v>29</v>
      </c>
      <c r="C85">
        <v>40</v>
      </c>
      <c r="D85">
        <v>42</v>
      </c>
      <c r="E85" s="1">
        <f t="shared" si="5"/>
        <v>0.48780487804878048</v>
      </c>
      <c r="F85" s="2">
        <v>92.1</v>
      </c>
      <c r="G85" s="2">
        <v>92.3</v>
      </c>
      <c r="H85" s="2">
        <f t="shared" si="6"/>
        <v>-0.20000000000000284</v>
      </c>
      <c r="I85" s="1">
        <f t="shared" si="4"/>
        <v>0.49240838957943855</v>
      </c>
      <c r="J85" s="2">
        <v>102.4</v>
      </c>
      <c r="K85" s="2">
        <v>102.6</v>
      </c>
      <c r="L85" s="2">
        <f t="shared" si="7"/>
        <v>-0.19999999999998863</v>
      </c>
      <c r="M85">
        <v>101.6</v>
      </c>
      <c r="N85">
        <v>99.7</v>
      </c>
      <c r="O85">
        <v>-0.5</v>
      </c>
    </row>
    <row r="86" spans="1:15">
      <c r="A86" t="s">
        <v>36</v>
      </c>
      <c r="B86" t="s">
        <v>30</v>
      </c>
      <c r="C86">
        <v>24</v>
      </c>
      <c r="D86">
        <v>58</v>
      </c>
      <c r="E86" s="1">
        <f t="shared" si="5"/>
        <v>0.29268292682926828</v>
      </c>
      <c r="F86" s="2">
        <v>90.9</v>
      </c>
      <c r="G86" s="2">
        <v>96.8</v>
      </c>
      <c r="H86" s="2">
        <f t="shared" si="6"/>
        <v>-5.8999999999999915</v>
      </c>
      <c r="I86" s="1">
        <f t="shared" si="4"/>
        <v>0.29309118654274396</v>
      </c>
      <c r="J86" s="2">
        <v>99.3</v>
      </c>
      <c r="K86" s="2">
        <v>105.6</v>
      </c>
      <c r="L86" s="2">
        <f t="shared" si="7"/>
        <v>-6.2999999999999972</v>
      </c>
      <c r="M86">
        <v>101.2</v>
      </c>
      <c r="N86">
        <v>103.7</v>
      </c>
      <c r="O86">
        <v>-1</v>
      </c>
    </row>
    <row r="87" spans="1:15">
      <c r="A87" t="s">
        <v>36</v>
      </c>
      <c r="B87" t="s">
        <v>31</v>
      </c>
      <c r="C87">
        <v>47</v>
      </c>
      <c r="D87">
        <v>35</v>
      </c>
      <c r="E87" s="1">
        <f t="shared" si="5"/>
        <v>0.57317073170731703</v>
      </c>
      <c r="F87" s="2">
        <v>94.7</v>
      </c>
      <c r="G87" s="2">
        <v>92.3</v>
      </c>
      <c r="H87" s="2">
        <f t="shared" si="6"/>
        <v>2.4000000000000057</v>
      </c>
      <c r="I87" s="1">
        <f t="shared" si="4"/>
        <v>0.58888986228470186</v>
      </c>
      <c r="J87" s="2">
        <v>103.7</v>
      </c>
      <c r="K87" s="2">
        <v>101.1</v>
      </c>
      <c r="L87" s="2">
        <f t="shared" si="7"/>
        <v>2.6000000000000085</v>
      </c>
      <c r="M87">
        <v>102.6</v>
      </c>
      <c r="N87">
        <v>99</v>
      </c>
      <c r="O87">
        <v>0.3</v>
      </c>
    </row>
    <row r="88" spans="1:15">
      <c r="A88" t="s">
        <v>36</v>
      </c>
      <c r="B88" t="s">
        <v>33</v>
      </c>
      <c r="C88">
        <v>37</v>
      </c>
      <c r="D88">
        <v>45</v>
      </c>
      <c r="E88" s="1">
        <f t="shared" si="5"/>
        <v>0.45121951219512196</v>
      </c>
      <c r="F88" s="2">
        <v>91.5</v>
      </c>
      <c r="G88" s="2">
        <v>92.5</v>
      </c>
      <c r="H88" s="2">
        <f t="shared" si="6"/>
        <v>-1</v>
      </c>
      <c r="I88" s="1">
        <f t="shared" si="4"/>
        <v>0.4620293938086929</v>
      </c>
      <c r="J88" s="2">
        <v>101.5</v>
      </c>
      <c r="K88" s="2">
        <v>102.6</v>
      </c>
      <c r="L88" s="2">
        <f t="shared" si="7"/>
        <v>-1.0999999999999943</v>
      </c>
      <c r="M88">
        <v>103.1</v>
      </c>
      <c r="N88">
        <v>104.3</v>
      </c>
      <c r="O88">
        <v>-0.3</v>
      </c>
    </row>
    <row r="89" spans="1:15">
      <c r="A89" t="s">
        <v>38</v>
      </c>
      <c r="B89" t="s">
        <v>5</v>
      </c>
      <c r="C89">
        <v>28</v>
      </c>
      <c r="D89">
        <v>54</v>
      </c>
      <c r="E89" s="1">
        <f t="shared" si="5"/>
        <v>0.34146341463414637</v>
      </c>
      <c r="F89" s="2">
        <v>92.8</v>
      </c>
      <c r="G89" s="2">
        <v>97.5</v>
      </c>
      <c r="H89" s="2">
        <f t="shared" si="6"/>
        <v>-4.7000000000000028</v>
      </c>
      <c r="I89" s="1">
        <f t="shared" si="4"/>
        <v>0.33365937867276591</v>
      </c>
      <c r="J89" s="2">
        <v>99.1</v>
      </c>
      <c r="K89" s="2">
        <v>103.9</v>
      </c>
      <c r="L89" s="2">
        <f t="shared" si="7"/>
        <v>-4.8000000000000114</v>
      </c>
      <c r="M89">
        <v>89.9</v>
      </c>
      <c r="N89">
        <v>106.7</v>
      </c>
      <c r="O89">
        <v>-1.9</v>
      </c>
    </row>
    <row r="90" spans="1:15">
      <c r="A90" t="s">
        <v>38</v>
      </c>
      <c r="B90" t="s">
        <v>6</v>
      </c>
      <c r="C90">
        <v>36</v>
      </c>
      <c r="D90">
        <v>46</v>
      </c>
      <c r="E90" s="1">
        <f t="shared" si="5"/>
        <v>0.43902439024390244</v>
      </c>
      <c r="F90" s="2">
        <v>95.3</v>
      </c>
      <c r="G90" s="2">
        <v>96.7</v>
      </c>
      <c r="H90" s="2">
        <f t="shared" si="6"/>
        <v>-1.4000000000000057</v>
      </c>
      <c r="I90" s="1">
        <f t="shared" si="4"/>
        <v>0.44913400395840042</v>
      </c>
      <c r="J90" s="2">
        <v>100.7</v>
      </c>
      <c r="K90" s="2">
        <v>102.2</v>
      </c>
      <c r="L90" s="2">
        <f t="shared" si="7"/>
        <v>-1.5</v>
      </c>
      <c r="M90">
        <v>100.3</v>
      </c>
      <c r="N90">
        <v>104.3</v>
      </c>
      <c r="O90">
        <v>-0.4</v>
      </c>
    </row>
    <row r="91" spans="1:15">
      <c r="A91" t="s">
        <v>38</v>
      </c>
      <c r="B91" t="s">
        <v>8</v>
      </c>
      <c r="C91">
        <v>23</v>
      </c>
      <c r="D91">
        <v>59</v>
      </c>
      <c r="E91" s="1">
        <f t="shared" si="5"/>
        <v>0.28048780487804881</v>
      </c>
      <c r="F91" s="2">
        <v>89.7</v>
      </c>
      <c r="G91" s="2">
        <v>96</v>
      </c>
      <c r="H91" s="2">
        <f t="shared" si="6"/>
        <v>-6.2999999999999972</v>
      </c>
      <c r="I91" s="1">
        <f t="shared" si="4"/>
        <v>0.27882772823461371</v>
      </c>
      <c r="J91" s="2">
        <v>95.6</v>
      </c>
      <c r="K91" s="2">
        <v>102.1</v>
      </c>
      <c r="L91" s="2">
        <f t="shared" si="7"/>
        <v>-6.5</v>
      </c>
      <c r="M91">
        <v>84</v>
      </c>
      <c r="N91">
        <v>100.8</v>
      </c>
      <c r="O91">
        <v>-2.2000000000000002</v>
      </c>
    </row>
    <row r="92" spans="1:15">
      <c r="A92" t="s">
        <v>38</v>
      </c>
      <c r="B92" t="s">
        <v>9</v>
      </c>
      <c r="C92">
        <v>35</v>
      </c>
      <c r="D92">
        <v>47</v>
      </c>
      <c r="E92" s="1">
        <f t="shared" si="5"/>
        <v>0.42682926829268292</v>
      </c>
      <c r="F92" s="2">
        <v>92.9</v>
      </c>
      <c r="G92" s="2">
        <v>95.5</v>
      </c>
      <c r="H92" s="2">
        <f t="shared" si="6"/>
        <v>-2.5999999999999943</v>
      </c>
      <c r="I92" s="1">
        <f t="shared" si="4"/>
        <v>0.40457545277008533</v>
      </c>
      <c r="J92" s="2">
        <v>100.6</v>
      </c>
      <c r="K92" s="2">
        <v>103.1</v>
      </c>
      <c r="L92" s="2">
        <f t="shared" si="7"/>
        <v>-2.5</v>
      </c>
      <c r="M92">
        <v>93.1</v>
      </c>
      <c r="N92">
        <v>97.1</v>
      </c>
      <c r="O92">
        <v>-0.5</v>
      </c>
    </row>
    <row r="93" spans="1:15">
      <c r="A93" t="s">
        <v>38</v>
      </c>
      <c r="B93" t="s">
        <v>10</v>
      </c>
      <c r="C93">
        <v>52</v>
      </c>
      <c r="D93">
        <v>30</v>
      </c>
      <c r="E93" s="1">
        <f t="shared" si="5"/>
        <v>0.63414634146341464</v>
      </c>
      <c r="F93" s="2">
        <v>105.2</v>
      </c>
      <c r="G93" s="2">
        <v>100.8</v>
      </c>
      <c r="H93" s="2">
        <f t="shared" si="6"/>
        <v>4.4000000000000057</v>
      </c>
      <c r="I93" s="1">
        <f t="shared" si="4"/>
        <v>0.64523276409206387</v>
      </c>
      <c r="J93" s="2">
        <v>110.4</v>
      </c>
      <c r="K93" s="2">
        <v>105.9</v>
      </c>
      <c r="L93" s="2">
        <f t="shared" si="7"/>
        <v>4.5</v>
      </c>
      <c r="M93">
        <v>95.7</v>
      </c>
      <c r="N93">
        <v>110.5</v>
      </c>
      <c r="O93">
        <v>0.4</v>
      </c>
    </row>
    <row r="94" spans="1:15">
      <c r="A94" t="s">
        <v>38</v>
      </c>
      <c r="B94" t="s">
        <v>11</v>
      </c>
      <c r="C94">
        <v>43</v>
      </c>
      <c r="D94">
        <v>39</v>
      </c>
      <c r="E94" s="1">
        <f t="shared" si="5"/>
        <v>0.52439024390243905</v>
      </c>
      <c r="F94" s="2">
        <v>97.2</v>
      </c>
      <c r="G94" s="2">
        <v>96.1</v>
      </c>
      <c r="H94" s="2">
        <f t="shared" si="6"/>
        <v>1.1000000000000085</v>
      </c>
      <c r="I94" s="1">
        <f t="shared" si="4"/>
        <v>0.53975081670039182</v>
      </c>
      <c r="J94" s="2">
        <v>102.4</v>
      </c>
      <c r="K94" s="2">
        <v>101.4</v>
      </c>
      <c r="L94" s="2">
        <f t="shared" si="7"/>
        <v>1</v>
      </c>
      <c r="M94">
        <v>103.3</v>
      </c>
      <c r="N94">
        <v>89.6</v>
      </c>
      <c r="O94">
        <v>0.1</v>
      </c>
    </row>
    <row r="95" spans="1:15">
      <c r="A95" t="s">
        <v>38</v>
      </c>
      <c r="B95" t="s">
        <v>12</v>
      </c>
      <c r="C95">
        <v>54</v>
      </c>
      <c r="D95">
        <v>28</v>
      </c>
      <c r="E95" s="1">
        <f t="shared" si="5"/>
        <v>0.65853658536585369</v>
      </c>
      <c r="F95" s="2">
        <v>90.1</v>
      </c>
      <c r="G95" s="2">
        <v>84.3</v>
      </c>
      <c r="H95" s="2">
        <f t="shared" si="6"/>
        <v>5.7999999999999972</v>
      </c>
      <c r="I95" s="1">
        <f t="shared" si="4"/>
        <v>0.71738684209510184</v>
      </c>
      <c r="J95" s="2">
        <v>100.3</v>
      </c>
      <c r="K95" s="2">
        <v>93.9</v>
      </c>
      <c r="L95" s="2">
        <f t="shared" si="7"/>
        <v>6.3999999999999915</v>
      </c>
      <c r="M95">
        <v>103.8</v>
      </c>
      <c r="N95">
        <v>94.5</v>
      </c>
      <c r="O95">
        <v>1.3</v>
      </c>
    </row>
    <row r="96" spans="1:15">
      <c r="A96" t="s">
        <v>38</v>
      </c>
      <c r="B96" t="s">
        <v>13</v>
      </c>
      <c r="C96">
        <v>37</v>
      </c>
      <c r="D96">
        <v>45</v>
      </c>
      <c r="E96" s="1">
        <f t="shared" si="5"/>
        <v>0.45121951219512196</v>
      </c>
      <c r="F96" s="2">
        <v>93.3</v>
      </c>
      <c r="G96" s="2">
        <v>94</v>
      </c>
      <c r="H96" s="2">
        <f t="shared" si="6"/>
        <v>-0.70000000000000284</v>
      </c>
      <c r="I96" s="1">
        <f t="shared" si="4"/>
        <v>0.47386248712598766</v>
      </c>
      <c r="J96" s="2">
        <v>101.5</v>
      </c>
      <c r="K96" s="2">
        <v>102.6</v>
      </c>
      <c r="L96" s="2">
        <f t="shared" si="7"/>
        <v>-1.0999999999999943</v>
      </c>
      <c r="M96">
        <v>90.8</v>
      </c>
      <c r="N96">
        <v>102.6</v>
      </c>
      <c r="O96">
        <v>-0.3</v>
      </c>
    </row>
    <row r="97" spans="1:15">
      <c r="A97" t="s">
        <v>38</v>
      </c>
      <c r="B97" t="s">
        <v>14</v>
      </c>
      <c r="C97">
        <v>45</v>
      </c>
      <c r="D97">
        <v>37</v>
      </c>
      <c r="E97" s="1">
        <f t="shared" si="5"/>
        <v>0.54878048780487809</v>
      </c>
      <c r="F97" s="2">
        <v>89.8</v>
      </c>
      <c r="G97" s="2">
        <v>88</v>
      </c>
      <c r="H97" s="2">
        <f t="shared" si="6"/>
        <v>1.7999999999999972</v>
      </c>
      <c r="I97" s="1">
        <f t="shared" si="4"/>
        <v>0.5703977764006517</v>
      </c>
      <c r="J97" s="2">
        <v>99.7</v>
      </c>
      <c r="K97" s="2">
        <v>97.8</v>
      </c>
      <c r="L97" s="2">
        <f t="shared" si="7"/>
        <v>1.9000000000000057</v>
      </c>
      <c r="M97">
        <v>105.8</v>
      </c>
      <c r="N97">
        <v>105.7</v>
      </c>
      <c r="O97">
        <v>-0.1</v>
      </c>
    </row>
    <row r="98" spans="1:15">
      <c r="A98" t="s">
        <v>38</v>
      </c>
      <c r="B98" t="s">
        <v>15</v>
      </c>
      <c r="C98">
        <v>61</v>
      </c>
      <c r="D98">
        <v>21</v>
      </c>
      <c r="E98" s="1">
        <f t="shared" si="5"/>
        <v>0.74390243902439024</v>
      </c>
      <c r="F98" s="2">
        <v>91.4</v>
      </c>
      <c r="G98" s="2">
        <v>85.6</v>
      </c>
      <c r="H98" s="2">
        <f t="shared" si="6"/>
        <v>5.8000000000000114</v>
      </c>
      <c r="I98" s="1">
        <f t="shared" si="4"/>
        <v>0.71460234412394263</v>
      </c>
      <c r="J98" s="2">
        <v>102.5</v>
      </c>
      <c r="K98" s="2">
        <v>96.2</v>
      </c>
      <c r="L98" s="2">
        <f t="shared" si="7"/>
        <v>6.2999999999999972</v>
      </c>
      <c r="M98">
        <v>103.6</v>
      </c>
      <c r="N98">
        <v>85</v>
      </c>
      <c r="O98">
        <v>1.5</v>
      </c>
    </row>
    <row r="99" spans="1:15">
      <c r="A99" t="s">
        <v>38</v>
      </c>
      <c r="B99" t="s">
        <v>16</v>
      </c>
      <c r="C99">
        <v>28</v>
      </c>
      <c r="D99">
        <v>54</v>
      </c>
      <c r="E99" s="1">
        <f t="shared" si="5"/>
        <v>0.34146341463414637</v>
      </c>
      <c r="F99" s="2">
        <v>94.8</v>
      </c>
      <c r="G99" s="2">
        <v>99.4</v>
      </c>
      <c r="H99" s="2">
        <f t="shared" si="6"/>
        <v>-4.6000000000000085</v>
      </c>
      <c r="I99" s="1">
        <f t="shared" si="4"/>
        <v>0.33998571838438196</v>
      </c>
      <c r="J99" s="2">
        <v>101.9</v>
      </c>
      <c r="K99" s="2">
        <v>106.6</v>
      </c>
      <c r="L99" s="2">
        <f t="shared" si="7"/>
        <v>-4.6999999999999886</v>
      </c>
      <c r="M99">
        <v>93</v>
      </c>
      <c r="N99">
        <v>105.5</v>
      </c>
      <c r="O99">
        <v>-1.3</v>
      </c>
    </row>
    <row r="100" spans="1:15">
      <c r="A100" t="s">
        <v>38</v>
      </c>
      <c r="B100" t="s">
        <v>17</v>
      </c>
      <c r="C100">
        <v>56</v>
      </c>
      <c r="D100">
        <v>26</v>
      </c>
      <c r="E100" s="1">
        <f t="shared" si="5"/>
        <v>0.68292682926829273</v>
      </c>
      <c r="F100" s="2">
        <v>98.2</v>
      </c>
      <c r="G100" s="2">
        <v>94.3</v>
      </c>
      <c r="H100" s="2">
        <f t="shared" si="6"/>
        <v>3.9000000000000057</v>
      </c>
      <c r="I100" s="1">
        <f t="shared" si="4"/>
        <v>0.63815156005224649</v>
      </c>
      <c r="J100" s="2">
        <v>104.2</v>
      </c>
      <c r="K100" s="2">
        <v>100.1</v>
      </c>
      <c r="L100" s="2">
        <f t="shared" si="7"/>
        <v>4.1000000000000085</v>
      </c>
      <c r="M100">
        <v>102.8</v>
      </c>
      <c r="N100">
        <v>85.1</v>
      </c>
      <c r="O100">
        <v>1.5</v>
      </c>
    </row>
    <row r="101" spans="1:15">
      <c r="A101" t="s">
        <v>38</v>
      </c>
      <c r="B101" t="s">
        <v>35</v>
      </c>
      <c r="C101">
        <v>50</v>
      </c>
      <c r="D101">
        <v>32</v>
      </c>
      <c r="E101" s="1">
        <f t="shared" si="5"/>
        <v>0.6097560975609756</v>
      </c>
      <c r="F101" s="2">
        <v>96.7</v>
      </c>
      <c r="G101" s="2">
        <v>94.3</v>
      </c>
      <c r="H101" s="2">
        <f t="shared" si="6"/>
        <v>2.4000000000000057</v>
      </c>
      <c r="I101" s="1">
        <f t="shared" si="4"/>
        <v>0.58706636453816929</v>
      </c>
      <c r="J101" s="2">
        <v>103.4</v>
      </c>
      <c r="K101" s="2">
        <v>100.8</v>
      </c>
      <c r="L101" s="2">
        <f t="shared" si="7"/>
        <v>2.6000000000000085</v>
      </c>
      <c r="M101">
        <v>105.6</v>
      </c>
      <c r="N101">
        <v>95.5</v>
      </c>
      <c r="O101">
        <v>2</v>
      </c>
    </row>
    <row r="102" spans="1:15">
      <c r="A102" t="s">
        <v>38</v>
      </c>
      <c r="B102" t="s">
        <v>18</v>
      </c>
      <c r="C102">
        <v>42</v>
      </c>
      <c r="D102">
        <v>40</v>
      </c>
      <c r="E102" s="1">
        <f t="shared" si="5"/>
        <v>0.51219512195121952</v>
      </c>
      <c r="F102" s="2">
        <v>90.3</v>
      </c>
      <c r="G102" s="2">
        <v>89.7</v>
      </c>
      <c r="H102" s="2">
        <f t="shared" si="6"/>
        <v>0.59999999999999432</v>
      </c>
      <c r="I102" s="1">
        <f t="shared" si="4"/>
        <v>0.52331649603624697</v>
      </c>
      <c r="J102" s="2">
        <v>100.6</v>
      </c>
      <c r="K102" s="2">
        <v>100.3</v>
      </c>
      <c r="L102" s="2">
        <f t="shared" si="7"/>
        <v>0.29999999999999716</v>
      </c>
      <c r="M102">
        <v>100</v>
      </c>
      <c r="N102">
        <v>89.1</v>
      </c>
      <c r="O102">
        <v>0.5</v>
      </c>
    </row>
    <row r="103" spans="1:15">
      <c r="A103" t="s">
        <v>38</v>
      </c>
      <c r="B103" t="s">
        <v>19</v>
      </c>
      <c r="C103">
        <v>41</v>
      </c>
      <c r="D103">
        <v>41</v>
      </c>
      <c r="E103" s="1">
        <f t="shared" si="5"/>
        <v>0.5</v>
      </c>
      <c r="F103" s="2">
        <v>98</v>
      </c>
      <c r="G103" s="2">
        <v>97</v>
      </c>
      <c r="H103" s="2">
        <f t="shared" si="6"/>
        <v>1</v>
      </c>
      <c r="I103" s="1">
        <f t="shared" si="4"/>
        <v>0.53583619805025806</v>
      </c>
      <c r="J103" s="2">
        <v>104.6</v>
      </c>
      <c r="K103" s="2">
        <v>103.5</v>
      </c>
      <c r="L103" s="2">
        <f t="shared" si="7"/>
        <v>1.0999999999999943</v>
      </c>
      <c r="M103">
        <v>94.3</v>
      </c>
      <c r="N103">
        <v>97.1</v>
      </c>
      <c r="O103">
        <v>0.2</v>
      </c>
    </row>
    <row r="104" spans="1:15">
      <c r="A104" t="s">
        <v>38</v>
      </c>
      <c r="B104" t="s">
        <v>20</v>
      </c>
      <c r="C104">
        <v>58</v>
      </c>
      <c r="D104">
        <v>24</v>
      </c>
      <c r="E104" s="1">
        <f t="shared" si="5"/>
        <v>0.70731707317073167</v>
      </c>
      <c r="F104" s="2">
        <v>94.5</v>
      </c>
      <c r="G104" s="2">
        <v>89.1</v>
      </c>
      <c r="H104" s="2">
        <f t="shared" si="6"/>
        <v>5.4000000000000057</v>
      </c>
      <c r="I104" s="1">
        <f t="shared" si="4"/>
        <v>0.6950353841239254</v>
      </c>
      <c r="J104" s="2">
        <v>104.2</v>
      </c>
      <c r="K104" s="2">
        <v>98.5</v>
      </c>
      <c r="L104" s="2">
        <f t="shared" si="7"/>
        <v>5.7000000000000028</v>
      </c>
      <c r="M104">
        <v>110.4</v>
      </c>
      <c r="N104">
        <v>99.4</v>
      </c>
      <c r="O104">
        <v>1.3</v>
      </c>
    </row>
    <row r="105" spans="1:15">
      <c r="A105" t="s">
        <v>38</v>
      </c>
      <c r="B105" t="s">
        <v>21</v>
      </c>
      <c r="C105">
        <v>47</v>
      </c>
      <c r="D105">
        <v>35</v>
      </c>
      <c r="E105" s="1">
        <f t="shared" si="5"/>
        <v>0.57317073170731703</v>
      </c>
      <c r="F105" s="2">
        <v>90.3</v>
      </c>
      <c r="G105" s="2">
        <v>87.8</v>
      </c>
      <c r="H105" s="2">
        <f t="shared" si="6"/>
        <v>2.5</v>
      </c>
      <c r="I105" s="1">
        <f t="shared" si="4"/>
        <v>0.59701994134505132</v>
      </c>
      <c r="J105" s="2">
        <v>99</v>
      </c>
      <c r="K105" s="2">
        <v>96.4</v>
      </c>
      <c r="L105" s="2">
        <f t="shared" si="7"/>
        <v>2.5999999999999943</v>
      </c>
      <c r="M105">
        <v>96</v>
      </c>
      <c r="N105">
        <v>95.9</v>
      </c>
      <c r="O105">
        <v>0.3</v>
      </c>
    </row>
    <row r="106" spans="1:15">
      <c r="A106" t="s">
        <v>38</v>
      </c>
      <c r="B106" t="s">
        <v>37</v>
      </c>
      <c r="C106">
        <v>41</v>
      </c>
      <c r="D106">
        <v>41</v>
      </c>
      <c r="E106" s="1">
        <f t="shared" si="5"/>
        <v>0.5</v>
      </c>
      <c r="F106" s="2">
        <v>91.8</v>
      </c>
      <c r="G106" s="2">
        <v>91.9</v>
      </c>
      <c r="H106" s="2">
        <f t="shared" si="6"/>
        <v>-0.10000000000000853</v>
      </c>
      <c r="I106" s="1">
        <f t="shared" si="4"/>
        <v>0.49618951269946909</v>
      </c>
      <c r="J106" s="2">
        <v>100.7</v>
      </c>
      <c r="K106" s="2">
        <v>100.6</v>
      </c>
      <c r="L106" s="2">
        <f t="shared" si="7"/>
        <v>0.10000000000000853</v>
      </c>
      <c r="M106">
        <v>94.3</v>
      </c>
      <c r="N106">
        <v>92.4</v>
      </c>
      <c r="O106">
        <v>1.1000000000000001</v>
      </c>
    </row>
    <row r="107" spans="1:15">
      <c r="A107" t="s">
        <v>38</v>
      </c>
      <c r="B107" t="s">
        <v>22</v>
      </c>
      <c r="C107">
        <v>39</v>
      </c>
      <c r="D107">
        <v>43</v>
      </c>
      <c r="E107" s="1">
        <f t="shared" si="5"/>
        <v>0.47560975609756095</v>
      </c>
      <c r="F107" s="2">
        <v>92</v>
      </c>
      <c r="G107" s="2">
        <v>93.5</v>
      </c>
      <c r="H107" s="2">
        <f t="shared" si="6"/>
        <v>-1.5</v>
      </c>
      <c r="I107" s="1">
        <f t="shared" si="4"/>
        <v>0.44363558545762971</v>
      </c>
      <c r="J107" s="2">
        <v>99.7</v>
      </c>
      <c r="K107" s="2">
        <v>101.3</v>
      </c>
      <c r="L107" s="2">
        <f t="shared" si="7"/>
        <v>-1.5999999999999943</v>
      </c>
      <c r="M107">
        <v>103.3</v>
      </c>
      <c r="N107">
        <v>92.4</v>
      </c>
      <c r="O107">
        <v>0.1</v>
      </c>
    </row>
    <row r="108" spans="1:15">
      <c r="A108" t="s">
        <v>38</v>
      </c>
      <c r="B108" t="s">
        <v>23</v>
      </c>
      <c r="C108">
        <v>21</v>
      </c>
      <c r="D108">
        <v>61</v>
      </c>
      <c r="E108" s="1">
        <f t="shared" si="5"/>
        <v>0.25609756097560976</v>
      </c>
      <c r="F108" s="2">
        <v>94</v>
      </c>
      <c r="G108" s="2">
        <v>101.1</v>
      </c>
      <c r="H108" s="2">
        <f t="shared" si="6"/>
        <v>-7.0999999999999943</v>
      </c>
      <c r="I108" s="1">
        <f t="shared" si="4"/>
        <v>0.26514140361954713</v>
      </c>
      <c r="J108" s="2">
        <v>101.4</v>
      </c>
      <c r="K108" s="2">
        <v>108.8</v>
      </c>
      <c r="L108" s="2">
        <f t="shared" si="7"/>
        <v>-7.3999999999999915</v>
      </c>
      <c r="M108">
        <v>97.2</v>
      </c>
      <c r="N108">
        <v>99.4</v>
      </c>
      <c r="O108">
        <v>-2.4</v>
      </c>
    </row>
    <row r="109" spans="1:15">
      <c r="A109" t="s">
        <v>38</v>
      </c>
      <c r="B109" t="s">
        <v>24</v>
      </c>
      <c r="C109">
        <v>33</v>
      </c>
      <c r="D109">
        <v>49</v>
      </c>
      <c r="E109" s="1">
        <f t="shared" si="5"/>
        <v>0.40243902439024393</v>
      </c>
      <c r="F109" s="2">
        <v>88</v>
      </c>
      <c r="G109" s="2">
        <v>90.5</v>
      </c>
      <c r="H109" s="2">
        <f t="shared" si="6"/>
        <v>-2.5</v>
      </c>
      <c r="I109" s="1">
        <f t="shared" si="4"/>
        <v>0.4031920171201035</v>
      </c>
      <c r="J109" s="2">
        <v>97.8</v>
      </c>
      <c r="K109" s="2">
        <v>100.4</v>
      </c>
      <c r="L109" s="2">
        <f t="shared" si="7"/>
        <v>-2.6000000000000085</v>
      </c>
      <c r="M109">
        <v>82.5</v>
      </c>
      <c r="N109">
        <v>90.9</v>
      </c>
      <c r="O109">
        <v>-0.1</v>
      </c>
    </row>
    <row r="110" spans="1:15">
      <c r="A110" t="s">
        <v>38</v>
      </c>
      <c r="B110" t="s">
        <v>25</v>
      </c>
      <c r="C110">
        <v>29</v>
      </c>
      <c r="D110">
        <v>53</v>
      </c>
      <c r="E110" s="1">
        <f t="shared" si="5"/>
        <v>0.35365853658536583</v>
      </c>
      <c r="F110" s="2">
        <v>94.2</v>
      </c>
      <c r="G110" s="2">
        <v>97.9</v>
      </c>
      <c r="H110" s="2">
        <f t="shared" si="6"/>
        <v>-3.7000000000000028</v>
      </c>
      <c r="I110" s="1">
        <f t="shared" si="4"/>
        <v>0.36833434593522879</v>
      </c>
      <c r="J110" s="2">
        <v>100.3</v>
      </c>
      <c r="K110" s="2">
        <v>104.2</v>
      </c>
      <c r="L110" s="2">
        <f t="shared" si="7"/>
        <v>-3.9000000000000057</v>
      </c>
      <c r="M110">
        <v>92.8</v>
      </c>
      <c r="N110">
        <v>106.8</v>
      </c>
      <c r="O110">
        <v>-1.6</v>
      </c>
    </row>
    <row r="111" spans="1:15">
      <c r="A111" t="s">
        <v>38</v>
      </c>
      <c r="B111" t="s">
        <v>26</v>
      </c>
      <c r="C111">
        <v>41</v>
      </c>
      <c r="D111">
        <v>41</v>
      </c>
      <c r="E111" s="1">
        <f t="shared" si="5"/>
        <v>0.5</v>
      </c>
      <c r="F111" s="2">
        <v>90.7</v>
      </c>
      <c r="G111" s="2">
        <v>92</v>
      </c>
      <c r="H111" s="2">
        <f t="shared" si="6"/>
        <v>-1.2999999999999972</v>
      </c>
      <c r="I111" s="1">
        <f t="shared" si="4"/>
        <v>0.45035484545137711</v>
      </c>
      <c r="J111" s="2">
        <v>102.1</v>
      </c>
      <c r="K111" s="2">
        <v>103.5</v>
      </c>
      <c r="L111" s="2">
        <f t="shared" si="7"/>
        <v>-1.4000000000000057</v>
      </c>
      <c r="M111">
        <v>101.4</v>
      </c>
      <c r="N111">
        <v>98.8</v>
      </c>
      <c r="O111">
        <v>-1.1000000000000001</v>
      </c>
    </row>
    <row r="112" spans="1:15">
      <c r="A112" t="s">
        <v>38</v>
      </c>
      <c r="B112" t="s">
        <v>27</v>
      </c>
      <c r="C112">
        <v>55</v>
      </c>
      <c r="D112">
        <v>27</v>
      </c>
      <c r="E112" s="1">
        <f t="shared" si="5"/>
        <v>0.67073170731707321</v>
      </c>
      <c r="F112" s="2">
        <v>102.8</v>
      </c>
      <c r="G112" s="2">
        <v>97.8</v>
      </c>
      <c r="H112" s="2">
        <f t="shared" si="6"/>
        <v>5</v>
      </c>
      <c r="I112" s="1">
        <f t="shared" si="4"/>
        <v>0.66775548198710677</v>
      </c>
      <c r="J112" s="2">
        <v>108.6</v>
      </c>
      <c r="K112" s="2">
        <v>103.2</v>
      </c>
      <c r="L112" s="2">
        <f t="shared" si="7"/>
        <v>5.3999999999999915</v>
      </c>
      <c r="M112">
        <v>105.1</v>
      </c>
      <c r="N112">
        <v>96.7</v>
      </c>
      <c r="O112">
        <v>1.5</v>
      </c>
    </row>
    <row r="113" spans="1:15">
      <c r="A113" t="s">
        <v>38</v>
      </c>
      <c r="B113" t="s">
        <v>28</v>
      </c>
      <c r="C113">
        <v>57</v>
      </c>
      <c r="D113">
        <v>25</v>
      </c>
      <c r="E113" s="1">
        <f t="shared" si="5"/>
        <v>0.69512195121951215</v>
      </c>
      <c r="F113" s="2">
        <v>91.5</v>
      </c>
      <c r="G113" s="2">
        <v>84.3</v>
      </c>
      <c r="H113" s="2">
        <f t="shared" si="6"/>
        <v>7.2000000000000028</v>
      </c>
      <c r="I113" s="1">
        <f t="shared" si="4"/>
        <v>0.75903560483804922</v>
      </c>
      <c r="J113" s="2">
        <v>101</v>
      </c>
      <c r="K113" s="2">
        <v>93.1</v>
      </c>
      <c r="L113" s="2">
        <f t="shared" si="7"/>
        <v>7.9000000000000057</v>
      </c>
      <c r="M113">
        <v>95.1</v>
      </c>
      <c r="N113">
        <v>96.9</v>
      </c>
      <c r="O113">
        <v>0.4</v>
      </c>
    </row>
    <row r="114" spans="1:15">
      <c r="A114" t="s">
        <v>38</v>
      </c>
      <c r="B114" t="s">
        <v>29</v>
      </c>
      <c r="C114">
        <v>37</v>
      </c>
      <c r="D114">
        <v>45</v>
      </c>
      <c r="E114" s="1">
        <f t="shared" si="5"/>
        <v>0.45121951219512196</v>
      </c>
      <c r="F114" s="2">
        <v>97.1</v>
      </c>
      <c r="G114" s="2">
        <v>97.8</v>
      </c>
      <c r="H114" s="2">
        <f t="shared" si="6"/>
        <v>-0.70000000000000284</v>
      </c>
      <c r="I114" s="1">
        <f t="shared" si="4"/>
        <v>0.4748799608375659</v>
      </c>
      <c r="J114" s="2">
        <v>105.6</v>
      </c>
      <c r="K114" s="2">
        <v>106.4</v>
      </c>
      <c r="L114" s="2">
        <f t="shared" si="7"/>
        <v>-0.80000000000001137</v>
      </c>
      <c r="M114">
        <v>111.3</v>
      </c>
      <c r="N114">
        <v>108.4</v>
      </c>
      <c r="O114">
        <v>0.3</v>
      </c>
    </row>
    <row r="115" spans="1:15">
      <c r="A115" t="s">
        <v>38</v>
      </c>
      <c r="B115" t="s">
        <v>30</v>
      </c>
      <c r="C115">
        <v>33</v>
      </c>
      <c r="D115">
        <v>49</v>
      </c>
      <c r="E115" s="1">
        <f t="shared" si="5"/>
        <v>0.40243902439024393</v>
      </c>
      <c r="F115" s="2">
        <v>85.4</v>
      </c>
      <c r="G115" s="2">
        <v>88.5</v>
      </c>
      <c r="H115" s="2">
        <f t="shared" si="6"/>
        <v>-3.0999999999999943</v>
      </c>
      <c r="I115" s="1">
        <f t="shared" si="4"/>
        <v>0.37773096615035939</v>
      </c>
      <c r="J115" s="2">
        <v>95.3</v>
      </c>
      <c r="K115" s="2">
        <v>98.8</v>
      </c>
      <c r="L115" s="2">
        <f t="shared" si="7"/>
        <v>-3.5</v>
      </c>
      <c r="M115">
        <v>92.7</v>
      </c>
      <c r="N115">
        <v>97.2</v>
      </c>
      <c r="O115">
        <v>0.3</v>
      </c>
    </row>
    <row r="116" spans="1:15">
      <c r="A116" t="s">
        <v>38</v>
      </c>
      <c r="B116" t="s">
        <v>31</v>
      </c>
      <c r="C116">
        <v>42</v>
      </c>
      <c r="D116">
        <v>40</v>
      </c>
      <c r="E116" s="1">
        <f t="shared" si="5"/>
        <v>0.51219512195121952</v>
      </c>
      <c r="F116" s="2">
        <v>88.7</v>
      </c>
      <c r="G116" s="2">
        <v>89.9</v>
      </c>
      <c r="H116" s="2">
        <f t="shared" si="6"/>
        <v>-1.2000000000000028</v>
      </c>
      <c r="I116" s="1">
        <f t="shared" si="4"/>
        <v>0.45310505226104381</v>
      </c>
      <c r="J116" s="2">
        <v>100</v>
      </c>
      <c r="K116" s="2">
        <v>101.3</v>
      </c>
      <c r="L116" s="2">
        <f t="shared" si="7"/>
        <v>-1.2999999999999972</v>
      </c>
      <c r="M116">
        <v>108.6</v>
      </c>
      <c r="N116">
        <v>97.3</v>
      </c>
      <c r="O116">
        <v>0.3</v>
      </c>
    </row>
    <row r="117" spans="1:15">
      <c r="A117" t="s">
        <v>38</v>
      </c>
      <c r="B117" t="s">
        <v>33</v>
      </c>
      <c r="C117">
        <v>25</v>
      </c>
      <c r="D117">
        <v>57</v>
      </c>
      <c r="E117" s="1">
        <f t="shared" si="5"/>
        <v>0.3048780487804878</v>
      </c>
      <c r="F117" s="2">
        <v>91.8</v>
      </c>
      <c r="G117" s="2">
        <v>97.4</v>
      </c>
      <c r="H117" s="2">
        <f t="shared" si="6"/>
        <v>-5.6000000000000085</v>
      </c>
      <c r="I117" s="1">
        <f t="shared" si="4"/>
        <v>0.30385766011408771</v>
      </c>
      <c r="J117" s="2">
        <v>97.1</v>
      </c>
      <c r="K117" s="2">
        <v>102.9</v>
      </c>
      <c r="L117" s="2">
        <f t="shared" si="7"/>
        <v>-5.8000000000000114</v>
      </c>
      <c r="M117">
        <v>96.3</v>
      </c>
      <c r="N117">
        <v>108.8</v>
      </c>
      <c r="O117">
        <v>-1.1000000000000001</v>
      </c>
    </row>
    <row r="118" spans="1:15">
      <c r="A118" t="s">
        <v>39</v>
      </c>
      <c r="B118" t="s">
        <v>5</v>
      </c>
      <c r="C118">
        <v>13</v>
      </c>
      <c r="D118">
        <v>69</v>
      </c>
      <c r="E118" s="1">
        <f t="shared" si="5"/>
        <v>0.15853658536585366</v>
      </c>
      <c r="F118" s="2">
        <v>92.7</v>
      </c>
      <c r="G118" s="2">
        <v>102.5</v>
      </c>
      <c r="H118" s="2">
        <f t="shared" si="6"/>
        <v>-9.7999999999999972</v>
      </c>
      <c r="I118" s="1">
        <f t="shared" si="4"/>
        <v>0.19672021863355632</v>
      </c>
      <c r="J118" s="2">
        <v>98.8</v>
      </c>
      <c r="K118" s="2">
        <v>109</v>
      </c>
      <c r="L118" s="2">
        <f t="shared" si="7"/>
        <v>-10.200000000000003</v>
      </c>
      <c r="M118">
        <v>94.5</v>
      </c>
      <c r="N118">
        <v>109.5</v>
      </c>
      <c r="O118">
        <v>-2.4</v>
      </c>
    </row>
    <row r="119" spans="1:15">
      <c r="A119" t="s">
        <v>39</v>
      </c>
      <c r="B119" t="s">
        <v>6</v>
      </c>
      <c r="C119">
        <v>45</v>
      </c>
      <c r="D119">
        <v>37</v>
      </c>
      <c r="E119" s="1">
        <f t="shared" si="5"/>
        <v>0.54878048780487809</v>
      </c>
      <c r="F119" s="2">
        <v>101.3</v>
      </c>
      <c r="G119" s="2">
        <v>100.4</v>
      </c>
      <c r="H119" s="2">
        <f t="shared" si="6"/>
        <v>0.89999999999999147</v>
      </c>
      <c r="I119" s="1">
        <f t="shared" si="4"/>
        <v>0.53119414689005995</v>
      </c>
      <c r="J119" s="2">
        <v>105.9</v>
      </c>
      <c r="K119" s="2">
        <v>105.1</v>
      </c>
      <c r="L119" s="2">
        <f t="shared" si="7"/>
        <v>0.80000000000001137</v>
      </c>
      <c r="M119">
        <v>98.3</v>
      </c>
      <c r="N119">
        <v>94.9</v>
      </c>
      <c r="O119">
        <v>0.2</v>
      </c>
    </row>
    <row r="120" spans="1:15">
      <c r="A120" t="s">
        <v>39</v>
      </c>
      <c r="B120" t="s">
        <v>40</v>
      </c>
      <c r="C120">
        <v>18</v>
      </c>
      <c r="D120">
        <v>64</v>
      </c>
      <c r="E120" s="1">
        <f t="shared" si="5"/>
        <v>0.21951219512195122</v>
      </c>
      <c r="F120" s="2">
        <v>94.3</v>
      </c>
      <c r="G120" s="2">
        <v>100.2</v>
      </c>
      <c r="H120" s="2">
        <f t="shared" si="6"/>
        <v>-5.9000000000000057</v>
      </c>
      <c r="I120" s="1">
        <f t="shared" si="4"/>
        <v>0.29951299978674456</v>
      </c>
      <c r="J120" s="2">
        <v>99.8</v>
      </c>
      <c r="K120" s="2">
        <v>106</v>
      </c>
      <c r="L120" s="2">
        <f t="shared" si="7"/>
        <v>-6.2000000000000028</v>
      </c>
      <c r="M120">
        <v>91.4</v>
      </c>
      <c r="N120">
        <v>107.5</v>
      </c>
      <c r="O120">
        <v>-1.2</v>
      </c>
    </row>
    <row r="121" spans="1:15">
      <c r="A121" t="s">
        <v>39</v>
      </c>
      <c r="B121" t="s">
        <v>8</v>
      </c>
      <c r="C121">
        <v>47</v>
      </c>
      <c r="D121">
        <v>35</v>
      </c>
      <c r="E121" s="1">
        <f t="shared" si="5"/>
        <v>0.57317073170731703</v>
      </c>
      <c r="F121" s="2">
        <v>94.5</v>
      </c>
      <c r="G121" s="2">
        <v>93.4</v>
      </c>
      <c r="H121" s="2">
        <f t="shared" si="6"/>
        <v>1.0999999999999943</v>
      </c>
      <c r="I121" s="1">
        <f t="shared" si="4"/>
        <v>0.54088819998710902</v>
      </c>
      <c r="J121" s="2">
        <v>100.5</v>
      </c>
      <c r="K121" s="2">
        <v>99.1</v>
      </c>
      <c r="L121" s="2">
        <f t="shared" si="7"/>
        <v>1.4000000000000057</v>
      </c>
      <c r="M121">
        <v>96.7</v>
      </c>
      <c r="N121">
        <v>87</v>
      </c>
      <c r="O121">
        <v>0.8</v>
      </c>
    </row>
    <row r="122" spans="1:15">
      <c r="A122" t="s">
        <v>39</v>
      </c>
      <c r="B122" t="s">
        <v>9</v>
      </c>
      <c r="C122">
        <v>42</v>
      </c>
      <c r="D122">
        <v>40</v>
      </c>
      <c r="E122" s="1">
        <f t="shared" si="5"/>
        <v>0.51219512195121952</v>
      </c>
      <c r="F122" s="2">
        <v>96.5</v>
      </c>
      <c r="G122" s="2">
        <v>95.7</v>
      </c>
      <c r="H122" s="2">
        <f t="shared" si="6"/>
        <v>0.79999999999999716</v>
      </c>
      <c r="I122" s="1">
        <f t="shared" si="4"/>
        <v>0.52910354937105664</v>
      </c>
      <c r="J122" s="2">
        <v>105.3</v>
      </c>
      <c r="K122" s="2">
        <v>104.7</v>
      </c>
      <c r="L122" s="2">
        <f t="shared" si="7"/>
        <v>0.59999999999999432</v>
      </c>
      <c r="M122">
        <v>96.7</v>
      </c>
      <c r="N122">
        <v>105.1</v>
      </c>
      <c r="O122">
        <v>0.2</v>
      </c>
    </row>
    <row r="123" spans="1:15">
      <c r="A123" t="s">
        <v>39</v>
      </c>
      <c r="B123" t="s">
        <v>10</v>
      </c>
      <c r="C123">
        <v>58</v>
      </c>
      <c r="D123">
        <v>24</v>
      </c>
      <c r="E123" s="1">
        <f t="shared" si="5"/>
        <v>0.70731707317073167</v>
      </c>
      <c r="F123" s="2">
        <v>102.5</v>
      </c>
      <c r="G123" s="2">
        <v>96.8</v>
      </c>
      <c r="H123" s="2">
        <f t="shared" si="6"/>
        <v>5.7000000000000028</v>
      </c>
      <c r="I123" s="1">
        <f t="shared" si="4"/>
        <v>0.69019289618045576</v>
      </c>
      <c r="J123" s="2">
        <v>108.5</v>
      </c>
      <c r="K123" s="2">
        <v>102.6</v>
      </c>
      <c r="L123" s="2">
        <f t="shared" si="7"/>
        <v>5.9000000000000057</v>
      </c>
      <c r="M123">
        <v>113.3</v>
      </c>
      <c r="N123">
        <v>96.8</v>
      </c>
      <c r="O123">
        <v>0.8</v>
      </c>
    </row>
    <row r="124" spans="1:15">
      <c r="A124" t="s">
        <v>39</v>
      </c>
      <c r="B124" t="s">
        <v>11</v>
      </c>
      <c r="C124">
        <v>49</v>
      </c>
      <c r="D124">
        <v>33</v>
      </c>
      <c r="E124" s="1">
        <f t="shared" si="5"/>
        <v>0.59756097560975607</v>
      </c>
      <c r="F124" s="2">
        <v>99.5</v>
      </c>
      <c r="G124" s="2">
        <v>97.5</v>
      </c>
      <c r="H124" s="2">
        <f t="shared" si="6"/>
        <v>2</v>
      </c>
      <c r="I124" s="1">
        <f t="shared" si="4"/>
        <v>0.57059367194887745</v>
      </c>
      <c r="J124" s="2">
        <v>104.7</v>
      </c>
      <c r="K124" s="2">
        <v>102.6</v>
      </c>
      <c r="L124" s="2">
        <f t="shared" si="7"/>
        <v>2.1000000000000085</v>
      </c>
      <c r="M124">
        <v>107.4</v>
      </c>
      <c r="N124">
        <v>96.7</v>
      </c>
      <c r="O124">
        <v>1.1000000000000001</v>
      </c>
    </row>
    <row r="125" spans="1:15">
      <c r="A125" t="s">
        <v>39</v>
      </c>
      <c r="B125" t="s">
        <v>12</v>
      </c>
      <c r="C125">
        <v>54</v>
      </c>
      <c r="D125">
        <v>28</v>
      </c>
      <c r="E125" s="1">
        <f t="shared" si="5"/>
        <v>0.65853658536585369</v>
      </c>
      <c r="F125" s="2">
        <v>93.3</v>
      </c>
      <c r="G125" s="2">
        <v>89.5</v>
      </c>
      <c r="H125" s="2">
        <f t="shared" si="6"/>
        <v>3.7999999999999972</v>
      </c>
      <c r="I125" s="1">
        <f t="shared" si="4"/>
        <v>0.64155984536555377</v>
      </c>
      <c r="J125" s="2">
        <v>103.9</v>
      </c>
      <c r="K125" s="2">
        <v>99.6</v>
      </c>
      <c r="L125" s="2">
        <f t="shared" si="7"/>
        <v>4.3000000000000114</v>
      </c>
      <c r="M125">
        <v>100</v>
      </c>
      <c r="N125">
        <v>92</v>
      </c>
      <c r="O125">
        <v>0.1</v>
      </c>
    </row>
    <row r="126" spans="1:15">
      <c r="A126" t="s">
        <v>39</v>
      </c>
      <c r="B126" t="s">
        <v>13</v>
      </c>
      <c r="C126">
        <v>34</v>
      </c>
      <c r="D126">
        <v>48</v>
      </c>
      <c r="E126" s="1">
        <f t="shared" si="5"/>
        <v>0.41463414634146339</v>
      </c>
      <c r="F126" s="2">
        <v>98.7</v>
      </c>
      <c r="G126" s="2">
        <v>100.9</v>
      </c>
      <c r="H126" s="2">
        <f t="shared" si="6"/>
        <v>-2.2000000000000028</v>
      </c>
      <c r="I126" s="1">
        <f t="shared" si="4"/>
        <v>0.42344924071660006</v>
      </c>
      <c r="J126" s="2">
        <v>103.4</v>
      </c>
      <c r="K126" s="2">
        <v>105.5</v>
      </c>
      <c r="L126" s="2">
        <f t="shared" si="7"/>
        <v>-2.0999999999999943</v>
      </c>
      <c r="M126">
        <v>99.8</v>
      </c>
      <c r="N126">
        <v>92.9</v>
      </c>
      <c r="O126">
        <v>-0.8</v>
      </c>
    </row>
    <row r="127" spans="1:15">
      <c r="A127" t="s">
        <v>39</v>
      </c>
      <c r="B127" t="s">
        <v>14</v>
      </c>
      <c r="C127">
        <v>51</v>
      </c>
      <c r="D127">
        <v>31</v>
      </c>
      <c r="E127" s="1">
        <f t="shared" si="5"/>
        <v>0.62195121951219512</v>
      </c>
      <c r="F127" s="2">
        <v>95.1</v>
      </c>
      <c r="G127" s="2">
        <v>91</v>
      </c>
      <c r="H127" s="2">
        <f t="shared" si="6"/>
        <v>4.0999999999999943</v>
      </c>
      <c r="I127" s="1">
        <f t="shared" si="4"/>
        <v>0.64952967421468588</v>
      </c>
      <c r="J127" s="2">
        <v>104.4</v>
      </c>
      <c r="K127" s="2">
        <v>100.1</v>
      </c>
      <c r="L127" s="2">
        <f t="shared" si="7"/>
        <v>4.3000000000000114</v>
      </c>
      <c r="M127">
        <v>95.7</v>
      </c>
      <c r="N127">
        <v>104.7</v>
      </c>
      <c r="O127">
        <v>0.4</v>
      </c>
    </row>
    <row r="128" spans="1:15">
      <c r="A128" t="s">
        <v>39</v>
      </c>
      <c r="B128" t="s">
        <v>15</v>
      </c>
      <c r="C128">
        <v>44</v>
      </c>
      <c r="D128">
        <v>38</v>
      </c>
      <c r="E128" s="1">
        <f t="shared" si="5"/>
        <v>0.53658536585365857</v>
      </c>
      <c r="F128" s="2">
        <v>93</v>
      </c>
      <c r="G128" s="2">
        <v>92.2</v>
      </c>
      <c r="H128" s="2">
        <f t="shared" si="6"/>
        <v>0.79999999999999716</v>
      </c>
      <c r="I128" s="1">
        <f t="shared" si="4"/>
        <v>0.53020096014425155</v>
      </c>
      <c r="J128" s="2">
        <v>103.7</v>
      </c>
      <c r="K128" s="2">
        <v>102.7</v>
      </c>
      <c r="L128" s="2">
        <f t="shared" si="7"/>
        <v>1</v>
      </c>
      <c r="M128">
        <v>102.5</v>
      </c>
      <c r="N128">
        <v>93.4</v>
      </c>
      <c r="O128">
        <v>0</v>
      </c>
    </row>
    <row r="129" spans="1:15">
      <c r="A129" t="s">
        <v>39</v>
      </c>
      <c r="B129" t="s">
        <v>16</v>
      </c>
      <c r="C129">
        <v>37</v>
      </c>
      <c r="D129">
        <v>45</v>
      </c>
      <c r="E129" s="1">
        <f t="shared" si="5"/>
        <v>0.45121951219512196</v>
      </c>
      <c r="F129" s="2">
        <v>95.7</v>
      </c>
      <c r="G129" s="2">
        <v>96.5</v>
      </c>
      <c r="H129" s="2">
        <f t="shared" si="6"/>
        <v>-0.79999999999999716</v>
      </c>
      <c r="I129" s="1">
        <f t="shared" si="4"/>
        <v>0.47089645062894331</v>
      </c>
      <c r="J129" s="2">
        <v>103.8</v>
      </c>
      <c r="K129" s="2">
        <v>104.5</v>
      </c>
      <c r="L129" s="2">
        <f t="shared" si="7"/>
        <v>-0.70000000000000284</v>
      </c>
      <c r="M129">
        <v>101.2</v>
      </c>
      <c r="N129">
        <v>106.7</v>
      </c>
      <c r="O129">
        <v>-1.3</v>
      </c>
    </row>
    <row r="130" spans="1:15">
      <c r="A130" t="s">
        <v>39</v>
      </c>
      <c r="B130" t="s">
        <v>17</v>
      </c>
      <c r="C130">
        <v>34</v>
      </c>
      <c r="D130">
        <v>48</v>
      </c>
      <c r="E130" s="1">
        <f t="shared" si="5"/>
        <v>0.41463414634146339</v>
      </c>
      <c r="F130" s="2">
        <v>98.7</v>
      </c>
      <c r="G130" s="2">
        <v>101.7</v>
      </c>
      <c r="H130" s="2">
        <f t="shared" si="6"/>
        <v>-3</v>
      </c>
      <c r="I130" s="1">
        <f t="shared" ref="I130:I193" si="8">+(F130^14)/((F130^14+G130^14))</f>
        <v>0.39670987603328994</v>
      </c>
      <c r="J130" s="2">
        <v>106.4</v>
      </c>
      <c r="K130" s="2">
        <v>109.6</v>
      </c>
      <c r="L130" s="2">
        <f t="shared" si="7"/>
        <v>-3.1999999999999886</v>
      </c>
      <c r="M130">
        <v>104.3</v>
      </c>
      <c r="N130">
        <v>101.5</v>
      </c>
      <c r="O130">
        <v>0.7</v>
      </c>
    </row>
    <row r="131" spans="1:15">
      <c r="A131" t="s">
        <v>39</v>
      </c>
      <c r="B131" t="s">
        <v>35</v>
      </c>
      <c r="C131">
        <v>45</v>
      </c>
      <c r="D131">
        <v>37</v>
      </c>
      <c r="E131" s="1">
        <f t="shared" ref="E131:E194" si="9">+C131/(C131+D131)</f>
        <v>0.54878048780487809</v>
      </c>
      <c r="F131" s="2">
        <v>93.4</v>
      </c>
      <c r="G131" s="2">
        <v>91.1</v>
      </c>
      <c r="H131" s="2">
        <f t="shared" ref="H131:H194" si="10">+F131-G131</f>
        <v>2.3000000000000114</v>
      </c>
      <c r="I131" s="1">
        <f t="shared" si="8"/>
        <v>0.58639193476175844</v>
      </c>
      <c r="J131" s="2">
        <v>104.2</v>
      </c>
      <c r="K131" s="2">
        <v>101.5</v>
      </c>
      <c r="L131" s="2">
        <f t="shared" ref="L131:L194" si="11">+J131-K131</f>
        <v>2.7000000000000028</v>
      </c>
      <c r="M131">
        <v>103.9</v>
      </c>
      <c r="N131">
        <v>93.3</v>
      </c>
      <c r="O131">
        <v>0</v>
      </c>
    </row>
    <row r="132" spans="1:15">
      <c r="A132" t="s">
        <v>39</v>
      </c>
      <c r="B132" t="s">
        <v>18</v>
      </c>
      <c r="C132">
        <v>59</v>
      </c>
      <c r="D132">
        <v>23</v>
      </c>
      <c r="E132" s="1">
        <f t="shared" si="9"/>
        <v>0.71951219512195119</v>
      </c>
      <c r="F132" s="2">
        <v>101.5</v>
      </c>
      <c r="G132" s="2">
        <v>95</v>
      </c>
      <c r="H132" s="2">
        <f t="shared" si="10"/>
        <v>6.5</v>
      </c>
      <c r="I132" s="1">
        <f t="shared" si="8"/>
        <v>0.71637416016050837</v>
      </c>
      <c r="J132" s="2">
        <v>108.9</v>
      </c>
      <c r="K132" s="2">
        <v>102.2</v>
      </c>
      <c r="L132" s="2">
        <f t="shared" si="11"/>
        <v>6.7000000000000028</v>
      </c>
      <c r="M132">
        <v>108.8</v>
      </c>
      <c r="N132">
        <v>97.7</v>
      </c>
      <c r="O132">
        <v>2.4</v>
      </c>
    </row>
    <row r="133" spans="1:15">
      <c r="A133" t="s">
        <v>39</v>
      </c>
      <c r="B133" t="s">
        <v>19</v>
      </c>
      <c r="C133">
        <v>30</v>
      </c>
      <c r="D133">
        <v>52</v>
      </c>
      <c r="E133" s="1">
        <f t="shared" si="9"/>
        <v>0.36585365853658536</v>
      </c>
      <c r="F133" s="2">
        <v>97.2</v>
      </c>
      <c r="G133" s="2">
        <v>100.2</v>
      </c>
      <c r="H133" s="2">
        <f t="shared" si="10"/>
        <v>-3</v>
      </c>
      <c r="I133" s="1">
        <f t="shared" si="8"/>
        <v>0.3951859407291477</v>
      </c>
      <c r="J133" s="2">
        <v>105.1</v>
      </c>
      <c r="K133" s="2">
        <v>108.1</v>
      </c>
      <c r="L133" s="2">
        <f t="shared" si="11"/>
        <v>-3</v>
      </c>
      <c r="M133">
        <v>105.2</v>
      </c>
      <c r="N133">
        <v>108.2</v>
      </c>
      <c r="O133">
        <v>-1.3</v>
      </c>
    </row>
    <row r="134" spans="1:15">
      <c r="A134" t="s">
        <v>39</v>
      </c>
      <c r="B134" t="s">
        <v>20</v>
      </c>
      <c r="C134">
        <v>44</v>
      </c>
      <c r="D134">
        <v>38</v>
      </c>
      <c r="E134" s="1">
        <f t="shared" si="9"/>
        <v>0.53658536585365857</v>
      </c>
      <c r="F134" s="2">
        <v>96.8</v>
      </c>
      <c r="G134" s="2">
        <v>95.3</v>
      </c>
      <c r="H134" s="2">
        <f t="shared" si="10"/>
        <v>1.5</v>
      </c>
      <c r="I134" s="1">
        <f t="shared" si="8"/>
        <v>0.55444343215777947</v>
      </c>
      <c r="J134" s="2">
        <v>106.6</v>
      </c>
      <c r="K134" s="2">
        <v>105</v>
      </c>
      <c r="L134" s="2">
        <f t="shared" si="11"/>
        <v>1.5999999999999943</v>
      </c>
      <c r="M134">
        <v>111.9</v>
      </c>
      <c r="N134">
        <v>99.7</v>
      </c>
      <c r="O134">
        <v>0.5</v>
      </c>
    </row>
    <row r="135" spans="1:15">
      <c r="A135" t="s">
        <v>39</v>
      </c>
      <c r="B135" t="s">
        <v>21</v>
      </c>
      <c r="C135">
        <v>42</v>
      </c>
      <c r="D135">
        <v>40</v>
      </c>
      <c r="E135" s="1">
        <f t="shared" si="9"/>
        <v>0.51219512195121952</v>
      </c>
      <c r="F135" s="2">
        <v>91.4</v>
      </c>
      <c r="G135" s="2">
        <v>92.9</v>
      </c>
      <c r="H135" s="2">
        <f t="shared" si="10"/>
        <v>-1.5</v>
      </c>
      <c r="I135" s="1">
        <f t="shared" si="8"/>
        <v>0.44327172117741881</v>
      </c>
      <c r="J135" s="2">
        <v>99.9</v>
      </c>
      <c r="K135" s="2">
        <v>101.6</v>
      </c>
      <c r="L135" s="2">
        <f t="shared" si="11"/>
        <v>-1.6999999999999886</v>
      </c>
      <c r="M135">
        <v>100</v>
      </c>
      <c r="N135">
        <v>95.9</v>
      </c>
      <c r="O135">
        <v>-2.2000000000000002</v>
      </c>
    </row>
    <row r="136" spans="1:15">
      <c r="A136" t="s">
        <v>39</v>
      </c>
      <c r="B136" t="s">
        <v>37</v>
      </c>
      <c r="C136">
        <v>18</v>
      </c>
      <c r="D136">
        <v>64</v>
      </c>
      <c r="E136" s="1">
        <f t="shared" si="9"/>
        <v>0.21951219512195122</v>
      </c>
      <c r="F136" s="2">
        <v>88.4</v>
      </c>
      <c r="G136" s="2">
        <v>95.5</v>
      </c>
      <c r="H136" s="2">
        <f t="shared" si="10"/>
        <v>-7.0999999999999943</v>
      </c>
      <c r="I136" s="1">
        <f t="shared" si="8"/>
        <v>0.25321093551837054</v>
      </c>
      <c r="J136" s="2">
        <v>98.2</v>
      </c>
      <c r="K136" s="2">
        <v>105.9</v>
      </c>
      <c r="L136" s="2">
        <f t="shared" si="11"/>
        <v>-7.7000000000000028</v>
      </c>
      <c r="M136">
        <v>88</v>
      </c>
      <c r="N136">
        <v>107.5</v>
      </c>
      <c r="O136">
        <v>-0.1</v>
      </c>
    </row>
    <row r="137" spans="1:15">
      <c r="A137" t="s">
        <v>39</v>
      </c>
      <c r="B137" t="s">
        <v>22</v>
      </c>
      <c r="C137">
        <v>33</v>
      </c>
      <c r="D137">
        <v>49</v>
      </c>
      <c r="E137" s="1">
        <f t="shared" si="9"/>
        <v>0.40243902439024393</v>
      </c>
      <c r="F137" s="2">
        <v>97.3</v>
      </c>
      <c r="G137" s="2">
        <v>99.7</v>
      </c>
      <c r="H137" s="2">
        <f t="shared" si="10"/>
        <v>-2.4000000000000057</v>
      </c>
      <c r="I137" s="1">
        <f t="shared" si="8"/>
        <v>0.4155341313693024</v>
      </c>
      <c r="J137" s="2">
        <v>104.5</v>
      </c>
      <c r="K137" s="2">
        <v>107.2</v>
      </c>
      <c r="L137" s="2">
        <f t="shared" si="11"/>
        <v>-2.7000000000000028</v>
      </c>
      <c r="M137">
        <v>96.2</v>
      </c>
      <c r="N137">
        <v>111.3</v>
      </c>
      <c r="O137">
        <v>-0.8</v>
      </c>
    </row>
    <row r="138" spans="1:15">
      <c r="A138" t="s">
        <v>39</v>
      </c>
      <c r="B138" t="s">
        <v>23</v>
      </c>
      <c r="C138">
        <v>36</v>
      </c>
      <c r="D138">
        <v>46</v>
      </c>
      <c r="E138" s="1">
        <f t="shared" si="9"/>
        <v>0.43902439024390244</v>
      </c>
      <c r="F138" s="2">
        <v>99.5</v>
      </c>
      <c r="G138" s="2">
        <v>101.8</v>
      </c>
      <c r="H138" s="2">
        <f t="shared" si="10"/>
        <v>-2.2999999999999972</v>
      </c>
      <c r="I138" s="1">
        <f t="shared" si="8"/>
        <v>0.42069172557292256</v>
      </c>
      <c r="J138" s="2">
        <v>103.4</v>
      </c>
      <c r="K138" s="2">
        <v>105.7</v>
      </c>
      <c r="L138" s="2">
        <f t="shared" si="11"/>
        <v>-2.2999999999999972</v>
      </c>
      <c r="M138">
        <v>97.2</v>
      </c>
      <c r="N138">
        <v>106.7</v>
      </c>
      <c r="O138">
        <v>-0.4</v>
      </c>
    </row>
    <row r="139" spans="1:15">
      <c r="A139" t="s">
        <v>39</v>
      </c>
      <c r="B139" t="s">
        <v>24</v>
      </c>
      <c r="C139">
        <v>43</v>
      </c>
      <c r="D139">
        <v>39</v>
      </c>
      <c r="E139" s="1">
        <f t="shared" si="9"/>
        <v>0.52439024390243905</v>
      </c>
      <c r="F139" s="2">
        <v>99.1</v>
      </c>
      <c r="G139" s="2">
        <v>99.9</v>
      </c>
      <c r="H139" s="2">
        <f t="shared" si="10"/>
        <v>-0.80000000000001137</v>
      </c>
      <c r="I139" s="1">
        <f t="shared" si="8"/>
        <v>0.47188882056574427</v>
      </c>
      <c r="J139" s="2">
        <v>101.8</v>
      </c>
      <c r="K139" s="2">
        <v>102.5</v>
      </c>
      <c r="L139" s="2">
        <f t="shared" si="11"/>
        <v>-0.70000000000000284</v>
      </c>
      <c r="M139">
        <v>95.8</v>
      </c>
      <c r="N139">
        <v>94.9</v>
      </c>
      <c r="O139">
        <v>-0.7</v>
      </c>
    </row>
    <row r="140" spans="1:15">
      <c r="A140" t="s">
        <v>39</v>
      </c>
      <c r="B140" t="s">
        <v>25</v>
      </c>
      <c r="C140">
        <v>62</v>
      </c>
      <c r="D140">
        <v>20</v>
      </c>
      <c r="E140" s="1">
        <f t="shared" si="9"/>
        <v>0.75609756097560976</v>
      </c>
      <c r="F140" s="2">
        <v>110.4</v>
      </c>
      <c r="G140" s="2">
        <v>103.3</v>
      </c>
      <c r="H140" s="2">
        <f t="shared" si="10"/>
        <v>7.1000000000000085</v>
      </c>
      <c r="I140" s="1">
        <f t="shared" si="8"/>
        <v>0.71720077079913214</v>
      </c>
      <c r="J140" s="2">
        <v>112.7</v>
      </c>
      <c r="K140" s="2">
        <v>105.7</v>
      </c>
      <c r="L140" s="2">
        <f t="shared" si="11"/>
        <v>7</v>
      </c>
      <c r="M140">
        <v>111.8</v>
      </c>
      <c r="N140">
        <v>98.9</v>
      </c>
      <c r="O140">
        <v>0.3</v>
      </c>
    </row>
    <row r="141" spans="1:15">
      <c r="A141" t="s">
        <v>39</v>
      </c>
      <c r="B141" t="s">
        <v>26</v>
      </c>
      <c r="C141">
        <v>27</v>
      </c>
      <c r="D141">
        <v>55</v>
      </c>
      <c r="E141" s="1">
        <f t="shared" si="9"/>
        <v>0.32926829268292684</v>
      </c>
      <c r="F141" s="2">
        <v>92.9</v>
      </c>
      <c r="G141" s="2">
        <v>96.9</v>
      </c>
      <c r="H141" s="2">
        <f t="shared" si="10"/>
        <v>-4</v>
      </c>
      <c r="I141" s="1">
        <f t="shared" si="8"/>
        <v>0.35659304496257005</v>
      </c>
      <c r="J141" s="2">
        <v>101.9</v>
      </c>
      <c r="K141" s="2">
        <v>106.1</v>
      </c>
      <c r="L141" s="2">
        <f t="shared" si="11"/>
        <v>-4.1999999999999886</v>
      </c>
      <c r="M141">
        <v>93.4</v>
      </c>
      <c r="N141">
        <v>107.3</v>
      </c>
      <c r="O141">
        <v>-0.3</v>
      </c>
    </row>
    <row r="142" spans="1:15">
      <c r="A142" t="s">
        <v>39</v>
      </c>
      <c r="B142" t="s">
        <v>27</v>
      </c>
      <c r="C142">
        <v>50</v>
      </c>
      <c r="D142">
        <v>32</v>
      </c>
      <c r="E142" s="1">
        <f t="shared" si="9"/>
        <v>0.6097560975609756</v>
      </c>
      <c r="F142" s="2">
        <v>103.7</v>
      </c>
      <c r="G142" s="2">
        <v>101.6</v>
      </c>
      <c r="H142" s="2">
        <f t="shared" si="10"/>
        <v>2.1000000000000085</v>
      </c>
      <c r="I142" s="1">
        <f t="shared" si="8"/>
        <v>0.57111949434189069</v>
      </c>
      <c r="J142" s="2">
        <v>108.8</v>
      </c>
      <c r="K142" s="2">
        <v>106.5</v>
      </c>
      <c r="L142" s="2">
        <f t="shared" si="11"/>
        <v>2.2999999999999972</v>
      </c>
      <c r="M142">
        <v>105.2</v>
      </c>
      <c r="N142">
        <v>104.8</v>
      </c>
      <c r="O142">
        <v>0</v>
      </c>
    </row>
    <row r="143" spans="1:15">
      <c r="A143" t="s">
        <v>39</v>
      </c>
      <c r="B143" t="s">
        <v>28</v>
      </c>
      <c r="C143">
        <v>59</v>
      </c>
      <c r="D143">
        <v>23</v>
      </c>
      <c r="E143" s="1">
        <f t="shared" si="9"/>
        <v>0.71951219512195119</v>
      </c>
      <c r="F143" s="2">
        <v>96.2</v>
      </c>
      <c r="G143" s="2">
        <v>88.4</v>
      </c>
      <c r="H143" s="2">
        <f t="shared" si="10"/>
        <v>7.7999999999999972</v>
      </c>
      <c r="I143" s="1">
        <f t="shared" si="8"/>
        <v>0.76563098176040723</v>
      </c>
      <c r="J143" s="2">
        <v>106.1</v>
      </c>
      <c r="K143" s="2">
        <v>97.8</v>
      </c>
      <c r="L143" s="2">
        <f t="shared" si="11"/>
        <v>8.2999999999999972</v>
      </c>
      <c r="M143">
        <v>109.4</v>
      </c>
      <c r="N143">
        <v>110.8</v>
      </c>
      <c r="O143">
        <v>1.7</v>
      </c>
    </row>
    <row r="144" spans="1:15">
      <c r="A144" t="s">
        <v>39</v>
      </c>
      <c r="B144" t="s">
        <v>29</v>
      </c>
      <c r="C144">
        <v>52</v>
      </c>
      <c r="D144">
        <v>30</v>
      </c>
      <c r="E144" s="1">
        <f t="shared" si="9"/>
        <v>0.63414634146341464</v>
      </c>
      <c r="F144" s="2">
        <v>98.9</v>
      </c>
      <c r="G144" s="2">
        <v>96.6</v>
      </c>
      <c r="H144" s="2">
        <f t="shared" si="10"/>
        <v>2.3000000000000114</v>
      </c>
      <c r="I144" s="1">
        <f t="shared" si="8"/>
        <v>0.58161994176434872</v>
      </c>
      <c r="J144" s="2">
        <v>110.3</v>
      </c>
      <c r="K144" s="2">
        <v>108</v>
      </c>
      <c r="L144" s="2">
        <f t="shared" si="11"/>
        <v>2.2999999999999972</v>
      </c>
      <c r="M144">
        <v>119.7</v>
      </c>
      <c r="N144">
        <v>105.3</v>
      </c>
      <c r="O144">
        <v>1.5</v>
      </c>
    </row>
    <row r="145" spans="1:15">
      <c r="A145" t="s">
        <v>39</v>
      </c>
      <c r="B145" t="s">
        <v>30</v>
      </c>
      <c r="C145">
        <v>33</v>
      </c>
      <c r="D145">
        <v>49</v>
      </c>
      <c r="E145" s="1">
        <f t="shared" si="9"/>
        <v>0.40243902439024393</v>
      </c>
      <c r="F145" s="2">
        <v>99.7</v>
      </c>
      <c r="G145" s="2">
        <v>101.4</v>
      </c>
      <c r="H145" s="2">
        <f t="shared" si="10"/>
        <v>-1.7000000000000028</v>
      </c>
      <c r="I145" s="1">
        <f t="shared" si="8"/>
        <v>0.44109880691820486</v>
      </c>
      <c r="J145" s="2">
        <v>105.4</v>
      </c>
      <c r="K145" s="2">
        <v>107.2</v>
      </c>
      <c r="L145" s="2">
        <f t="shared" si="11"/>
        <v>-1.7999999999999972</v>
      </c>
      <c r="M145">
        <v>110.7</v>
      </c>
      <c r="N145">
        <v>104.6</v>
      </c>
      <c r="O145">
        <v>2</v>
      </c>
    </row>
    <row r="146" spans="1:15">
      <c r="A146" t="s">
        <v>39</v>
      </c>
      <c r="B146" t="s">
        <v>31</v>
      </c>
      <c r="C146">
        <v>26</v>
      </c>
      <c r="D146">
        <v>56</v>
      </c>
      <c r="E146" s="1">
        <f t="shared" si="9"/>
        <v>0.31707317073170732</v>
      </c>
      <c r="F146" s="2">
        <v>93</v>
      </c>
      <c r="G146" s="2">
        <v>97.3</v>
      </c>
      <c r="H146" s="2">
        <f t="shared" si="10"/>
        <v>-4.2999999999999972</v>
      </c>
      <c r="I146" s="1">
        <f t="shared" si="8"/>
        <v>0.34687751612401035</v>
      </c>
      <c r="J146" s="2">
        <v>102.9</v>
      </c>
      <c r="K146" s="2">
        <v>107.3</v>
      </c>
      <c r="L146" s="2">
        <f t="shared" si="11"/>
        <v>-4.3999999999999915</v>
      </c>
      <c r="M146">
        <v>98.8</v>
      </c>
      <c r="N146">
        <v>109.9</v>
      </c>
      <c r="O146">
        <v>-1.2</v>
      </c>
    </row>
    <row r="147" spans="1:15">
      <c r="A147" t="s">
        <v>39</v>
      </c>
      <c r="B147" t="s">
        <v>33</v>
      </c>
      <c r="C147">
        <v>45</v>
      </c>
      <c r="D147">
        <v>37</v>
      </c>
      <c r="E147" s="1">
        <f t="shared" si="9"/>
        <v>0.54878048780487809</v>
      </c>
      <c r="F147" s="2">
        <v>100.5</v>
      </c>
      <c r="G147" s="2">
        <v>100.8</v>
      </c>
      <c r="H147" s="2">
        <f t="shared" si="10"/>
        <v>-0.29999999999999716</v>
      </c>
      <c r="I147" s="1">
        <f t="shared" si="8"/>
        <v>0.48956931504516038</v>
      </c>
      <c r="J147" s="2">
        <v>105.4</v>
      </c>
      <c r="K147" s="2">
        <v>105.9</v>
      </c>
      <c r="L147" s="2">
        <f t="shared" si="11"/>
        <v>-0.5</v>
      </c>
      <c r="M147">
        <v>109.6</v>
      </c>
      <c r="N147">
        <v>109.9</v>
      </c>
      <c r="O147">
        <v>-0.3</v>
      </c>
    </row>
    <row r="148" spans="1:15">
      <c r="A148" t="s">
        <v>41</v>
      </c>
      <c r="B148" t="s">
        <v>5</v>
      </c>
      <c r="C148">
        <v>26</v>
      </c>
      <c r="D148">
        <v>56</v>
      </c>
      <c r="E148" s="1">
        <f t="shared" si="9"/>
        <v>0.31707317073170732</v>
      </c>
      <c r="F148" s="2">
        <v>97.2</v>
      </c>
      <c r="G148" s="2">
        <v>102</v>
      </c>
      <c r="H148" s="2">
        <f t="shared" si="10"/>
        <v>-4.7999999999999972</v>
      </c>
      <c r="I148" s="1">
        <f t="shared" si="8"/>
        <v>0.33741629653405997</v>
      </c>
      <c r="J148" s="2">
        <v>104.8</v>
      </c>
      <c r="K148" s="2">
        <v>110.1</v>
      </c>
      <c r="L148" s="2">
        <f t="shared" si="11"/>
        <v>-5.2999999999999972</v>
      </c>
      <c r="M148">
        <v>96</v>
      </c>
      <c r="N148">
        <v>107.4</v>
      </c>
      <c r="O148">
        <v>-0.4</v>
      </c>
    </row>
    <row r="149" spans="1:15">
      <c r="A149" t="s">
        <v>41</v>
      </c>
      <c r="B149" t="s">
        <v>6</v>
      </c>
      <c r="C149">
        <v>33</v>
      </c>
      <c r="D149">
        <v>49</v>
      </c>
      <c r="E149" s="1">
        <f t="shared" si="9"/>
        <v>0.40243902439024393</v>
      </c>
      <c r="F149" s="2">
        <v>98</v>
      </c>
      <c r="G149" s="2">
        <v>99.5</v>
      </c>
      <c r="H149" s="2">
        <f t="shared" si="10"/>
        <v>-1.5</v>
      </c>
      <c r="I149" s="1">
        <f t="shared" si="8"/>
        <v>0.44703388765865459</v>
      </c>
      <c r="J149" s="2">
        <v>104</v>
      </c>
      <c r="K149" s="2">
        <v>105.6</v>
      </c>
      <c r="L149" s="2">
        <f t="shared" si="11"/>
        <v>-1.5999999999999943</v>
      </c>
      <c r="M149">
        <v>94.7</v>
      </c>
      <c r="N149">
        <v>102.2</v>
      </c>
      <c r="O149">
        <v>-0.6</v>
      </c>
    </row>
    <row r="150" spans="1:15">
      <c r="A150" t="s">
        <v>41</v>
      </c>
      <c r="B150" t="s">
        <v>40</v>
      </c>
      <c r="C150">
        <v>26</v>
      </c>
      <c r="D150">
        <v>56</v>
      </c>
      <c r="E150" s="1">
        <f t="shared" si="9"/>
        <v>0.31707317073170732</v>
      </c>
      <c r="F150" s="2">
        <v>96.9</v>
      </c>
      <c r="G150" s="2">
        <v>100.9</v>
      </c>
      <c r="H150" s="2">
        <f t="shared" si="10"/>
        <v>-4</v>
      </c>
      <c r="I150" s="1">
        <f t="shared" si="8"/>
        <v>0.36208969727051943</v>
      </c>
      <c r="J150" s="2">
        <v>101.2</v>
      </c>
      <c r="K150" s="2">
        <v>105.6</v>
      </c>
      <c r="L150" s="2">
        <f t="shared" si="11"/>
        <v>-4.3999999999999915</v>
      </c>
      <c r="M150">
        <v>101.7</v>
      </c>
      <c r="N150">
        <v>100.9</v>
      </c>
      <c r="O150">
        <v>0.4</v>
      </c>
    </row>
    <row r="151" spans="1:15">
      <c r="A151" t="s">
        <v>41</v>
      </c>
      <c r="B151" t="s">
        <v>8</v>
      </c>
      <c r="C151">
        <v>41</v>
      </c>
      <c r="D151">
        <v>41</v>
      </c>
      <c r="E151" s="1">
        <f t="shared" si="9"/>
        <v>0.5</v>
      </c>
      <c r="F151" s="2">
        <v>97.8</v>
      </c>
      <c r="G151" s="2">
        <v>97.2</v>
      </c>
      <c r="H151" s="2">
        <f t="shared" si="10"/>
        <v>0.59999999999999432</v>
      </c>
      <c r="I151" s="1">
        <f t="shared" si="8"/>
        <v>0.52152521685612041</v>
      </c>
      <c r="J151" s="2">
        <v>103.3</v>
      </c>
      <c r="K151" s="2">
        <v>102.7</v>
      </c>
      <c r="L151" s="2">
        <f t="shared" si="11"/>
        <v>0.59999999999999432</v>
      </c>
      <c r="M151">
        <v>107.7</v>
      </c>
      <c r="N151">
        <v>94.8</v>
      </c>
      <c r="O151">
        <v>0.7</v>
      </c>
    </row>
    <row r="152" spans="1:15">
      <c r="A152" t="s">
        <v>41</v>
      </c>
      <c r="B152" t="s">
        <v>9</v>
      </c>
      <c r="C152">
        <v>50</v>
      </c>
      <c r="D152">
        <v>32</v>
      </c>
      <c r="E152" s="1">
        <f t="shared" si="9"/>
        <v>0.6097560975609756</v>
      </c>
      <c r="F152" s="2">
        <v>97.6</v>
      </c>
      <c r="G152" s="2">
        <v>95.4</v>
      </c>
      <c r="H152" s="2">
        <f t="shared" si="10"/>
        <v>2.1999999999999886</v>
      </c>
      <c r="I152" s="1">
        <f t="shared" si="8"/>
        <v>0.57912557114227126</v>
      </c>
      <c r="J152" s="2">
        <v>106.6</v>
      </c>
      <c r="K152" s="2">
        <v>104.4</v>
      </c>
      <c r="L152" s="2">
        <f t="shared" si="11"/>
        <v>2.1999999999999886</v>
      </c>
      <c r="M152">
        <v>113.8</v>
      </c>
      <c r="N152">
        <v>106.9</v>
      </c>
      <c r="O152">
        <v>0.6</v>
      </c>
    </row>
    <row r="153" spans="1:15">
      <c r="A153" t="s">
        <v>41</v>
      </c>
      <c r="B153" t="s">
        <v>10</v>
      </c>
      <c r="C153">
        <v>60</v>
      </c>
      <c r="D153">
        <v>22</v>
      </c>
      <c r="E153" s="1">
        <f t="shared" si="9"/>
        <v>0.73170731707317072</v>
      </c>
      <c r="F153" s="2">
        <v>99.1</v>
      </c>
      <c r="G153" s="2">
        <v>93.1</v>
      </c>
      <c r="H153" s="2">
        <f t="shared" si="10"/>
        <v>6</v>
      </c>
      <c r="I153" s="1">
        <f t="shared" si="8"/>
        <v>0.70565493727063389</v>
      </c>
      <c r="J153" s="2">
        <v>109.9</v>
      </c>
      <c r="K153" s="2">
        <v>103.2</v>
      </c>
      <c r="L153" s="2">
        <f t="shared" si="11"/>
        <v>6.7000000000000028</v>
      </c>
      <c r="M153">
        <v>105.6</v>
      </c>
      <c r="N153">
        <v>97.4</v>
      </c>
      <c r="O153">
        <v>1.6</v>
      </c>
    </row>
    <row r="154" spans="1:15">
      <c r="A154" t="s">
        <v>41</v>
      </c>
      <c r="B154" t="s">
        <v>11</v>
      </c>
      <c r="C154">
        <v>44</v>
      </c>
      <c r="D154">
        <v>38</v>
      </c>
      <c r="E154" s="1">
        <f t="shared" si="9"/>
        <v>0.53658536585365857</v>
      </c>
      <c r="F154" s="2">
        <v>100.3</v>
      </c>
      <c r="G154" s="2">
        <v>100.1</v>
      </c>
      <c r="H154" s="2">
        <f t="shared" si="10"/>
        <v>0.20000000000000284</v>
      </c>
      <c r="I154" s="1">
        <f t="shared" si="8"/>
        <v>0.50698557569827274</v>
      </c>
      <c r="J154" s="2">
        <v>104.4</v>
      </c>
      <c r="K154" s="2">
        <v>104.1</v>
      </c>
      <c r="L154" s="2">
        <f t="shared" si="11"/>
        <v>0.30000000000001137</v>
      </c>
      <c r="M154">
        <v>102.1</v>
      </c>
      <c r="N154">
        <v>101.8</v>
      </c>
      <c r="O154">
        <v>0.1</v>
      </c>
    </row>
    <row r="155" spans="1:15">
      <c r="A155" t="s">
        <v>41</v>
      </c>
      <c r="B155" t="s">
        <v>12</v>
      </c>
      <c r="C155">
        <v>64</v>
      </c>
      <c r="D155">
        <v>18</v>
      </c>
      <c r="E155" s="1">
        <f t="shared" si="9"/>
        <v>0.78048780487804881</v>
      </c>
      <c r="F155" s="2">
        <v>96.8</v>
      </c>
      <c r="G155" s="2">
        <v>90.2</v>
      </c>
      <c r="H155" s="2">
        <f t="shared" si="10"/>
        <v>6.5999999999999943</v>
      </c>
      <c r="I155" s="1">
        <f t="shared" si="8"/>
        <v>0.72882038739462951</v>
      </c>
      <c r="J155" s="2">
        <v>109.3</v>
      </c>
      <c r="K155" s="2">
        <v>101.7</v>
      </c>
      <c r="L155" s="2">
        <f t="shared" si="11"/>
        <v>7.5999999999999943</v>
      </c>
      <c r="M155">
        <v>111.5</v>
      </c>
      <c r="N155">
        <v>100.3</v>
      </c>
      <c r="O155">
        <v>0.2</v>
      </c>
    </row>
    <row r="156" spans="1:15">
      <c r="A156" t="s">
        <v>41</v>
      </c>
      <c r="B156" t="s">
        <v>13</v>
      </c>
      <c r="C156">
        <v>34</v>
      </c>
      <c r="D156">
        <v>48</v>
      </c>
      <c r="E156" s="1">
        <f t="shared" si="9"/>
        <v>0.41463414634146339</v>
      </c>
      <c r="F156" s="2">
        <v>98.5</v>
      </c>
      <c r="G156" s="2">
        <v>99.8</v>
      </c>
      <c r="H156" s="2">
        <f t="shared" si="10"/>
        <v>-1.2999999999999972</v>
      </c>
      <c r="I156" s="1">
        <f t="shared" si="8"/>
        <v>0.45423770290238813</v>
      </c>
      <c r="J156" s="2">
        <v>103.5</v>
      </c>
      <c r="K156" s="2">
        <v>104.9</v>
      </c>
      <c r="L156" s="2">
        <f t="shared" si="11"/>
        <v>-1.4000000000000057</v>
      </c>
      <c r="M156">
        <v>101</v>
      </c>
      <c r="N156">
        <v>112.8</v>
      </c>
      <c r="O156">
        <v>-0.6</v>
      </c>
    </row>
    <row r="157" spans="1:15">
      <c r="A157" t="s">
        <v>41</v>
      </c>
      <c r="B157" t="s">
        <v>14</v>
      </c>
      <c r="C157">
        <v>34</v>
      </c>
      <c r="D157">
        <v>48</v>
      </c>
      <c r="E157" s="1">
        <f t="shared" si="9"/>
        <v>0.41463414634146339</v>
      </c>
      <c r="F157" s="2">
        <v>90.1</v>
      </c>
      <c r="G157" s="2">
        <v>91.7</v>
      </c>
      <c r="H157" s="2">
        <f t="shared" si="10"/>
        <v>-1.6000000000000085</v>
      </c>
      <c r="I157" s="1">
        <f t="shared" si="8"/>
        <v>0.43870214445209316</v>
      </c>
      <c r="J157" s="2">
        <v>100.4</v>
      </c>
      <c r="K157" s="2">
        <v>102.1</v>
      </c>
      <c r="L157" s="2">
        <f t="shared" si="11"/>
        <v>-1.6999999999999886</v>
      </c>
      <c r="M157">
        <v>97.2</v>
      </c>
      <c r="N157">
        <v>100.5</v>
      </c>
      <c r="O157">
        <v>0.4</v>
      </c>
    </row>
    <row r="158" spans="1:15">
      <c r="A158" t="s">
        <v>41</v>
      </c>
      <c r="B158" t="s">
        <v>15</v>
      </c>
      <c r="C158">
        <v>41</v>
      </c>
      <c r="D158">
        <v>41</v>
      </c>
      <c r="E158" s="1">
        <f t="shared" si="9"/>
        <v>0.5</v>
      </c>
      <c r="F158" s="2">
        <v>93.9</v>
      </c>
      <c r="G158" s="2">
        <v>92</v>
      </c>
      <c r="H158" s="2">
        <f t="shared" si="10"/>
        <v>1.9000000000000057</v>
      </c>
      <c r="I158" s="1">
        <f t="shared" si="8"/>
        <v>0.57106198271976594</v>
      </c>
      <c r="J158" s="2">
        <v>103.1</v>
      </c>
      <c r="K158" s="2">
        <v>101</v>
      </c>
      <c r="L158" s="2">
        <f t="shared" si="11"/>
        <v>2.0999999999999943</v>
      </c>
      <c r="M158">
        <v>91.4</v>
      </c>
      <c r="N158">
        <v>101.6</v>
      </c>
      <c r="O158">
        <v>-0.2</v>
      </c>
    </row>
    <row r="159" spans="1:15">
      <c r="A159" t="s">
        <v>41</v>
      </c>
      <c r="B159" t="s">
        <v>16</v>
      </c>
      <c r="C159">
        <v>47</v>
      </c>
      <c r="D159">
        <v>35</v>
      </c>
      <c r="E159" s="1">
        <f t="shared" si="9"/>
        <v>0.57317073170731703</v>
      </c>
      <c r="F159" s="2">
        <v>97.2</v>
      </c>
      <c r="G159" s="2">
        <v>95.6</v>
      </c>
      <c r="H159" s="2">
        <f t="shared" si="10"/>
        <v>1.6000000000000085</v>
      </c>
      <c r="I159" s="1">
        <f t="shared" si="8"/>
        <v>0.55783262608685169</v>
      </c>
      <c r="J159" s="2">
        <v>103.8</v>
      </c>
      <c r="K159" s="2">
        <v>102.2</v>
      </c>
      <c r="L159" s="2">
        <f t="shared" si="11"/>
        <v>1.5999999999999943</v>
      </c>
      <c r="M159">
        <v>112</v>
      </c>
      <c r="N159">
        <v>92.3</v>
      </c>
      <c r="O159">
        <v>0.7</v>
      </c>
    </row>
    <row r="160" spans="1:15">
      <c r="A160" t="s">
        <v>41</v>
      </c>
      <c r="B160" t="s">
        <v>17</v>
      </c>
      <c r="C160">
        <v>45</v>
      </c>
      <c r="D160">
        <v>37</v>
      </c>
      <c r="E160" s="1">
        <f t="shared" si="9"/>
        <v>0.54878048780487809</v>
      </c>
      <c r="F160" s="2">
        <v>99.4</v>
      </c>
      <c r="G160" s="2">
        <v>96.9</v>
      </c>
      <c r="H160" s="2">
        <f t="shared" si="10"/>
        <v>2.5</v>
      </c>
      <c r="I160" s="1">
        <f t="shared" si="8"/>
        <v>0.58822109610228113</v>
      </c>
      <c r="J160" s="2">
        <v>106.8</v>
      </c>
      <c r="K160" s="2">
        <v>104.2</v>
      </c>
      <c r="L160" s="2">
        <f t="shared" si="11"/>
        <v>2.5999999999999943</v>
      </c>
      <c r="M160">
        <v>108.6</v>
      </c>
      <c r="N160">
        <v>109.5</v>
      </c>
      <c r="O160">
        <v>0.7</v>
      </c>
    </row>
    <row r="161" spans="1:15">
      <c r="A161" t="s">
        <v>41</v>
      </c>
      <c r="B161" t="s">
        <v>35</v>
      </c>
      <c r="C161">
        <v>49</v>
      </c>
      <c r="D161">
        <v>33</v>
      </c>
      <c r="E161" s="1">
        <f t="shared" si="9"/>
        <v>0.59756097560975607</v>
      </c>
      <c r="F161" s="2">
        <v>92.2</v>
      </c>
      <c r="G161" s="2">
        <v>88.5</v>
      </c>
      <c r="H161" s="2">
        <f t="shared" si="10"/>
        <v>3.7000000000000028</v>
      </c>
      <c r="I161" s="1">
        <f t="shared" si="8"/>
        <v>0.63954874282349128</v>
      </c>
      <c r="J161" s="2">
        <v>104.5</v>
      </c>
      <c r="K161" s="2">
        <v>100.4</v>
      </c>
      <c r="L161" s="2">
        <f t="shared" si="11"/>
        <v>4.0999999999999943</v>
      </c>
      <c r="M161">
        <v>106.3</v>
      </c>
      <c r="N161">
        <v>95.7</v>
      </c>
      <c r="O161">
        <v>-0.3</v>
      </c>
    </row>
    <row r="162" spans="1:15">
      <c r="A162" t="s">
        <v>41</v>
      </c>
      <c r="B162" t="s">
        <v>18</v>
      </c>
      <c r="C162">
        <v>52</v>
      </c>
      <c r="D162">
        <v>30</v>
      </c>
      <c r="E162" s="1">
        <f t="shared" si="9"/>
        <v>0.63414634146341464</v>
      </c>
      <c r="F162" s="2">
        <v>99.9</v>
      </c>
      <c r="G162" s="2">
        <v>96</v>
      </c>
      <c r="H162" s="2">
        <f t="shared" si="10"/>
        <v>3.9000000000000057</v>
      </c>
      <c r="I162" s="1">
        <f t="shared" si="8"/>
        <v>0.63587410412119993</v>
      </c>
      <c r="J162" s="2">
        <v>107.5</v>
      </c>
      <c r="K162" s="2">
        <v>103.4</v>
      </c>
      <c r="L162" s="2">
        <f t="shared" si="11"/>
        <v>4.0999999999999943</v>
      </c>
      <c r="M162">
        <v>115.1</v>
      </c>
      <c r="N162">
        <v>105.6</v>
      </c>
      <c r="O162">
        <v>1.5</v>
      </c>
    </row>
    <row r="163" spans="1:15">
      <c r="A163" t="s">
        <v>41</v>
      </c>
      <c r="B163" t="s">
        <v>19</v>
      </c>
      <c r="C163">
        <v>40</v>
      </c>
      <c r="D163">
        <v>42</v>
      </c>
      <c r="E163" s="1">
        <f t="shared" si="9"/>
        <v>0.48780487804878048</v>
      </c>
      <c r="F163" s="2">
        <v>97.8</v>
      </c>
      <c r="G163" s="2">
        <v>98.8</v>
      </c>
      <c r="H163" s="2">
        <f t="shared" si="10"/>
        <v>-1</v>
      </c>
      <c r="I163" s="1">
        <f t="shared" si="8"/>
        <v>0.46445446690558873</v>
      </c>
      <c r="J163" s="2">
        <v>104.9</v>
      </c>
      <c r="K163" s="2">
        <v>105.9</v>
      </c>
      <c r="L163" s="2">
        <f t="shared" si="11"/>
        <v>-1</v>
      </c>
      <c r="M163">
        <v>103.7</v>
      </c>
      <c r="N163">
        <v>95.3</v>
      </c>
      <c r="O163">
        <v>-1.1000000000000001</v>
      </c>
    </row>
    <row r="164" spans="1:15">
      <c r="A164" t="s">
        <v>41</v>
      </c>
      <c r="B164" t="s">
        <v>20</v>
      </c>
      <c r="C164">
        <v>33</v>
      </c>
      <c r="D164">
        <v>49</v>
      </c>
      <c r="E164" s="1">
        <f t="shared" si="9"/>
        <v>0.40243902439024393</v>
      </c>
      <c r="F164" s="2">
        <v>91.7</v>
      </c>
      <c r="G164" s="2">
        <v>93.6</v>
      </c>
      <c r="H164" s="2">
        <f t="shared" si="10"/>
        <v>-1.8999999999999915</v>
      </c>
      <c r="I164" s="1">
        <f t="shared" si="8"/>
        <v>0.42871102935912059</v>
      </c>
      <c r="J164" s="2">
        <v>101.5</v>
      </c>
      <c r="K164" s="2">
        <v>103.5</v>
      </c>
      <c r="L164" s="2">
        <f t="shared" si="11"/>
        <v>-2</v>
      </c>
      <c r="M164">
        <v>95.6</v>
      </c>
      <c r="N164">
        <v>110.1</v>
      </c>
      <c r="O164">
        <v>-1</v>
      </c>
    </row>
    <row r="165" spans="1:15">
      <c r="A165" t="s">
        <v>41</v>
      </c>
      <c r="B165" t="s">
        <v>21</v>
      </c>
      <c r="C165">
        <v>49</v>
      </c>
      <c r="D165">
        <v>33</v>
      </c>
      <c r="E165" s="1">
        <f t="shared" si="9"/>
        <v>0.59756097560975607</v>
      </c>
      <c r="F165" s="2">
        <v>93.8</v>
      </c>
      <c r="G165" s="2">
        <v>92.4</v>
      </c>
      <c r="H165" s="2">
        <f t="shared" si="10"/>
        <v>1.3999999999999915</v>
      </c>
      <c r="I165" s="1">
        <f t="shared" si="8"/>
        <v>0.55243902579341386</v>
      </c>
      <c r="J165" s="2">
        <v>102.4</v>
      </c>
      <c r="K165" s="2">
        <v>100.9</v>
      </c>
      <c r="L165" s="2">
        <f t="shared" si="11"/>
        <v>1.5</v>
      </c>
      <c r="M165">
        <v>109.2</v>
      </c>
      <c r="N165">
        <v>99</v>
      </c>
      <c r="O165">
        <v>-0.7</v>
      </c>
    </row>
    <row r="166" spans="1:15">
      <c r="A166" t="s">
        <v>41</v>
      </c>
      <c r="B166" t="s">
        <v>42</v>
      </c>
      <c r="C166">
        <v>38</v>
      </c>
      <c r="D166">
        <v>44</v>
      </c>
      <c r="E166" s="1">
        <f t="shared" si="9"/>
        <v>0.46341463414634149</v>
      </c>
      <c r="F166" s="2">
        <v>92.8</v>
      </c>
      <c r="G166" s="2">
        <v>95.6</v>
      </c>
      <c r="H166" s="2">
        <f t="shared" si="10"/>
        <v>-2.7999999999999972</v>
      </c>
      <c r="I166" s="1">
        <f t="shared" si="8"/>
        <v>0.3974344302617922</v>
      </c>
      <c r="J166" s="2">
        <v>102.3</v>
      </c>
      <c r="K166" s="2">
        <v>105.1</v>
      </c>
      <c r="L166" s="2">
        <f t="shared" si="11"/>
        <v>-2.7999999999999972</v>
      </c>
      <c r="M166">
        <v>111.7</v>
      </c>
      <c r="N166">
        <v>102</v>
      </c>
      <c r="O166">
        <v>-0.3</v>
      </c>
    </row>
    <row r="167" spans="1:15">
      <c r="A167" t="s">
        <v>41</v>
      </c>
      <c r="B167" t="s">
        <v>22</v>
      </c>
      <c r="C167">
        <v>23</v>
      </c>
      <c r="D167">
        <v>59</v>
      </c>
      <c r="E167" s="1">
        <f t="shared" si="9"/>
        <v>0.28048780487804881</v>
      </c>
      <c r="F167" s="2">
        <v>95.6</v>
      </c>
      <c r="G167" s="2">
        <v>102</v>
      </c>
      <c r="H167" s="2">
        <f t="shared" si="10"/>
        <v>-6.4000000000000057</v>
      </c>
      <c r="I167" s="1">
        <f t="shared" si="8"/>
        <v>0.28757316482715334</v>
      </c>
      <c r="J167" s="2">
        <v>102.7</v>
      </c>
      <c r="K167" s="2">
        <v>109.3</v>
      </c>
      <c r="L167" s="2">
        <f t="shared" si="11"/>
        <v>-6.5999999999999943</v>
      </c>
      <c r="M167">
        <v>100.3</v>
      </c>
      <c r="N167">
        <v>113.2</v>
      </c>
      <c r="O167">
        <v>1.2</v>
      </c>
    </row>
    <row r="168" spans="1:15">
      <c r="A168" t="s">
        <v>41</v>
      </c>
      <c r="B168" t="s">
        <v>23</v>
      </c>
      <c r="C168">
        <v>36</v>
      </c>
      <c r="D168">
        <v>46</v>
      </c>
      <c r="E168" s="1">
        <f t="shared" si="9"/>
        <v>0.43902439024390244</v>
      </c>
      <c r="F168" s="2">
        <v>94.9</v>
      </c>
      <c r="G168" s="2">
        <v>96</v>
      </c>
      <c r="H168" s="2">
        <f t="shared" si="10"/>
        <v>-1.0999999999999943</v>
      </c>
      <c r="I168" s="1">
        <f t="shared" si="8"/>
        <v>0.45975157223924717</v>
      </c>
      <c r="J168" s="2">
        <v>105.3</v>
      </c>
      <c r="K168" s="2">
        <v>106.6</v>
      </c>
      <c r="L168" s="2">
        <f t="shared" si="11"/>
        <v>-1.2999999999999972</v>
      </c>
      <c r="M168">
        <v>100.8</v>
      </c>
      <c r="N168">
        <v>103.9</v>
      </c>
      <c r="O168">
        <v>0.1</v>
      </c>
    </row>
    <row r="169" spans="1:15">
      <c r="A169" t="s">
        <v>41</v>
      </c>
      <c r="B169" t="s">
        <v>24</v>
      </c>
      <c r="C169">
        <v>38</v>
      </c>
      <c r="D169">
        <v>44</v>
      </c>
      <c r="E169" s="1">
        <f t="shared" si="9"/>
        <v>0.46341463414634149</v>
      </c>
      <c r="F169" s="2">
        <v>99.4</v>
      </c>
      <c r="G169" s="2">
        <v>101.3</v>
      </c>
      <c r="H169" s="2">
        <f t="shared" si="10"/>
        <v>-1.8999999999999915</v>
      </c>
      <c r="I169" s="1">
        <f t="shared" si="8"/>
        <v>0.4341153034134177</v>
      </c>
      <c r="J169" s="2">
        <v>104.7</v>
      </c>
      <c r="K169" s="2">
        <v>106.5</v>
      </c>
      <c r="L169" s="2">
        <f t="shared" si="11"/>
        <v>-1.7999999999999972</v>
      </c>
      <c r="M169">
        <v>89.7</v>
      </c>
      <c r="N169">
        <v>93.5</v>
      </c>
      <c r="O169">
        <v>-1</v>
      </c>
    </row>
    <row r="170" spans="1:15">
      <c r="A170" t="s">
        <v>41</v>
      </c>
      <c r="B170" t="s">
        <v>25</v>
      </c>
      <c r="C170">
        <v>54</v>
      </c>
      <c r="D170">
        <v>28</v>
      </c>
      <c r="E170" s="1">
        <f t="shared" si="9"/>
        <v>0.65853658536585369</v>
      </c>
      <c r="F170" s="2">
        <v>108.4</v>
      </c>
      <c r="G170" s="2">
        <v>102.8</v>
      </c>
      <c r="H170" s="2">
        <f t="shared" si="10"/>
        <v>5.6000000000000085</v>
      </c>
      <c r="I170" s="1">
        <f t="shared" si="8"/>
        <v>0.67756377223855135</v>
      </c>
      <c r="J170" s="2">
        <v>110.2</v>
      </c>
      <c r="K170" s="2">
        <v>104.7</v>
      </c>
      <c r="L170" s="2">
        <f t="shared" si="11"/>
        <v>5.5</v>
      </c>
      <c r="M170">
        <v>105.4</v>
      </c>
      <c r="N170">
        <v>104.9</v>
      </c>
      <c r="O170">
        <v>0.5</v>
      </c>
    </row>
    <row r="171" spans="1:15">
      <c r="A171" t="s">
        <v>41</v>
      </c>
      <c r="B171" t="s">
        <v>26</v>
      </c>
      <c r="C171">
        <v>21</v>
      </c>
      <c r="D171">
        <v>61</v>
      </c>
      <c r="E171" s="1">
        <f t="shared" si="9"/>
        <v>0.25609756097560976</v>
      </c>
      <c r="F171" s="2">
        <v>88.8</v>
      </c>
      <c r="G171" s="2">
        <v>98.3</v>
      </c>
      <c r="H171" s="2">
        <f t="shared" si="10"/>
        <v>-9.5</v>
      </c>
      <c r="I171" s="1">
        <f t="shared" si="8"/>
        <v>0.19420371450144952</v>
      </c>
      <c r="J171" s="2">
        <v>99.7</v>
      </c>
      <c r="K171" s="2">
        <v>110.3</v>
      </c>
      <c r="L171" s="2">
        <f t="shared" si="11"/>
        <v>-10.599999999999994</v>
      </c>
      <c r="M171">
        <v>89.2</v>
      </c>
      <c r="N171">
        <v>102.4</v>
      </c>
      <c r="O171">
        <v>-1.7</v>
      </c>
    </row>
    <row r="172" spans="1:15">
      <c r="A172" t="s">
        <v>41</v>
      </c>
      <c r="B172" t="s">
        <v>27</v>
      </c>
      <c r="C172">
        <v>44</v>
      </c>
      <c r="D172">
        <v>38</v>
      </c>
      <c r="E172" s="1">
        <f t="shared" si="9"/>
        <v>0.53658536585365857</v>
      </c>
      <c r="F172" s="2">
        <v>98.9</v>
      </c>
      <c r="G172" s="2">
        <v>97.3</v>
      </c>
      <c r="H172" s="2">
        <f t="shared" si="10"/>
        <v>1.6000000000000085</v>
      </c>
      <c r="I172" s="1">
        <f t="shared" si="8"/>
        <v>0.55683911786058593</v>
      </c>
      <c r="J172" s="2">
        <v>105.3</v>
      </c>
      <c r="K172" s="2">
        <v>103.5</v>
      </c>
      <c r="L172" s="2">
        <f t="shared" si="11"/>
        <v>1.7999999999999972</v>
      </c>
      <c r="M172">
        <v>101.9</v>
      </c>
      <c r="N172">
        <v>97.8</v>
      </c>
      <c r="O172">
        <v>-0.7</v>
      </c>
    </row>
    <row r="173" spans="1:15">
      <c r="A173" t="s">
        <v>41</v>
      </c>
      <c r="B173" t="s">
        <v>28</v>
      </c>
      <c r="C173">
        <v>63</v>
      </c>
      <c r="D173">
        <v>19</v>
      </c>
      <c r="E173" s="1">
        <f t="shared" si="9"/>
        <v>0.76829268292682928</v>
      </c>
      <c r="F173" s="2">
        <v>95.6</v>
      </c>
      <c r="G173" s="2">
        <v>88.8</v>
      </c>
      <c r="H173" s="2">
        <f t="shared" si="10"/>
        <v>6.7999999999999972</v>
      </c>
      <c r="I173" s="1">
        <f t="shared" si="8"/>
        <v>0.7374983301821354</v>
      </c>
      <c r="J173" s="2">
        <v>106.2</v>
      </c>
      <c r="K173" s="2">
        <v>98.7</v>
      </c>
      <c r="L173" s="2">
        <f t="shared" si="11"/>
        <v>7.5</v>
      </c>
      <c r="M173">
        <v>102.1</v>
      </c>
      <c r="N173">
        <v>89.8</v>
      </c>
      <c r="O173">
        <v>0.2</v>
      </c>
    </row>
    <row r="174" spans="1:15">
      <c r="A174" t="s">
        <v>41</v>
      </c>
      <c r="B174" t="s">
        <v>29</v>
      </c>
      <c r="C174">
        <v>35</v>
      </c>
      <c r="D174">
        <v>47</v>
      </c>
      <c r="E174" s="1">
        <f t="shared" si="9"/>
        <v>0.42682926829268292</v>
      </c>
      <c r="F174" s="2">
        <v>102.6</v>
      </c>
      <c r="G174" s="2">
        <v>105.6</v>
      </c>
      <c r="H174" s="2">
        <f t="shared" si="10"/>
        <v>-3</v>
      </c>
      <c r="I174" s="1">
        <f t="shared" si="8"/>
        <v>0.40047504632184655</v>
      </c>
      <c r="J174" s="2">
        <v>109.4</v>
      </c>
      <c r="K174" s="2">
        <v>112.7</v>
      </c>
      <c r="L174" s="2">
        <f t="shared" si="11"/>
        <v>-3.2999999999999972</v>
      </c>
      <c r="M174">
        <v>112.8</v>
      </c>
      <c r="N174">
        <v>111.5</v>
      </c>
      <c r="O174">
        <v>-1.2</v>
      </c>
    </row>
    <row r="175" spans="1:15">
      <c r="A175" t="s">
        <v>41</v>
      </c>
      <c r="B175" t="s">
        <v>30</v>
      </c>
      <c r="C175">
        <v>27</v>
      </c>
      <c r="D175">
        <v>55</v>
      </c>
      <c r="E175" s="1">
        <f t="shared" si="9"/>
        <v>0.32926829268292684</v>
      </c>
      <c r="F175" s="2">
        <v>101.1</v>
      </c>
      <c r="G175" s="2">
        <v>104</v>
      </c>
      <c r="H175" s="2">
        <f t="shared" si="10"/>
        <v>-2.9000000000000057</v>
      </c>
      <c r="I175" s="1">
        <f t="shared" si="8"/>
        <v>0.4022903946569592</v>
      </c>
      <c r="J175" s="2">
        <v>107.9</v>
      </c>
      <c r="K175" s="2">
        <v>111.2</v>
      </c>
      <c r="L175" s="2">
        <f t="shared" si="11"/>
        <v>-3.2999999999999972</v>
      </c>
      <c r="M175">
        <v>101.6</v>
      </c>
      <c r="N175">
        <v>114.4</v>
      </c>
      <c r="O175">
        <v>0.7</v>
      </c>
    </row>
    <row r="176" spans="1:15">
      <c r="A176" t="s">
        <v>41</v>
      </c>
      <c r="B176" t="s">
        <v>31</v>
      </c>
      <c r="C176">
        <v>41</v>
      </c>
      <c r="D176">
        <v>41</v>
      </c>
      <c r="E176" s="1">
        <f t="shared" si="9"/>
        <v>0.5</v>
      </c>
      <c r="F176" s="2">
        <v>92.4</v>
      </c>
      <c r="G176" s="2">
        <v>95</v>
      </c>
      <c r="H176" s="2">
        <f t="shared" si="10"/>
        <v>-2.5999999999999943</v>
      </c>
      <c r="I176" s="1">
        <f t="shared" si="8"/>
        <v>0.40407874070852795</v>
      </c>
      <c r="J176" s="2">
        <v>102.4</v>
      </c>
      <c r="K176" s="2">
        <v>105.1</v>
      </c>
      <c r="L176" s="2">
        <f t="shared" si="11"/>
        <v>-2.6999999999999886</v>
      </c>
      <c r="M176">
        <v>107.2</v>
      </c>
      <c r="N176">
        <v>103.9</v>
      </c>
      <c r="O176">
        <v>0.7</v>
      </c>
    </row>
    <row r="177" spans="1:15">
      <c r="A177" t="s">
        <v>41</v>
      </c>
      <c r="B177" t="s">
        <v>33</v>
      </c>
      <c r="C177">
        <v>42</v>
      </c>
      <c r="D177">
        <v>40</v>
      </c>
      <c r="E177" s="1">
        <f t="shared" si="9"/>
        <v>0.51219512195121952</v>
      </c>
      <c r="F177" s="2">
        <v>101.7</v>
      </c>
      <c r="G177" s="2">
        <v>99.8</v>
      </c>
      <c r="H177" s="2">
        <f t="shared" si="10"/>
        <v>1.9000000000000057</v>
      </c>
      <c r="I177" s="1">
        <f t="shared" si="8"/>
        <v>0.56562612482912078</v>
      </c>
      <c r="J177" s="2">
        <v>107.7</v>
      </c>
      <c r="K177" s="2">
        <v>105.8</v>
      </c>
      <c r="L177" s="2">
        <f t="shared" si="11"/>
        <v>1.9000000000000057</v>
      </c>
      <c r="M177">
        <v>101</v>
      </c>
      <c r="N177">
        <v>105.9</v>
      </c>
      <c r="O177">
        <v>-0.5</v>
      </c>
    </row>
    <row r="178" spans="1:15">
      <c r="A178" t="s">
        <v>43</v>
      </c>
      <c r="B178" t="s">
        <v>5</v>
      </c>
      <c r="C178">
        <v>30</v>
      </c>
      <c r="D178">
        <v>52</v>
      </c>
      <c r="E178" s="1">
        <f t="shared" si="9"/>
        <v>0.36585365853658536</v>
      </c>
      <c r="F178" s="2">
        <v>93.7</v>
      </c>
      <c r="G178" s="2">
        <v>98.4</v>
      </c>
      <c r="H178" s="2">
        <f t="shared" si="10"/>
        <v>-4.7000000000000028</v>
      </c>
      <c r="I178" s="1">
        <f t="shared" si="8"/>
        <v>0.33510246231607854</v>
      </c>
      <c r="J178" s="2">
        <v>102</v>
      </c>
      <c r="K178" s="2">
        <v>107</v>
      </c>
      <c r="L178" s="2">
        <f t="shared" si="11"/>
        <v>-5</v>
      </c>
      <c r="M178">
        <v>95.5</v>
      </c>
      <c r="N178">
        <v>100.9</v>
      </c>
      <c r="O178">
        <v>-0.5</v>
      </c>
    </row>
    <row r="179" spans="1:15">
      <c r="A179" t="s">
        <v>43</v>
      </c>
      <c r="B179" t="s">
        <v>6</v>
      </c>
      <c r="C179">
        <v>24</v>
      </c>
      <c r="D179">
        <v>58</v>
      </c>
      <c r="E179" s="1">
        <f t="shared" si="9"/>
        <v>0.29268292682926828</v>
      </c>
      <c r="F179" s="2">
        <v>95.8</v>
      </c>
      <c r="G179" s="2">
        <v>99.2</v>
      </c>
      <c r="H179" s="2">
        <f t="shared" si="10"/>
        <v>-3.4000000000000057</v>
      </c>
      <c r="I179" s="1">
        <f t="shared" si="8"/>
        <v>0.38030482295206253</v>
      </c>
      <c r="J179" s="2">
        <v>102.3</v>
      </c>
      <c r="K179" s="2">
        <v>105.8</v>
      </c>
      <c r="L179" s="2">
        <f t="shared" si="11"/>
        <v>-3.5</v>
      </c>
      <c r="M179">
        <v>98.7</v>
      </c>
      <c r="N179">
        <v>99</v>
      </c>
      <c r="O179">
        <v>0.1</v>
      </c>
    </row>
    <row r="180" spans="1:15">
      <c r="A180" t="s">
        <v>43</v>
      </c>
      <c r="B180" t="s">
        <v>40</v>
      </c>
      <c r="C180">
        <v>33</v>
      </c>
      <c r="D180">
        <v>49</v>
      </c>
      <c r="E180" s="1">
        <f t="shared" si="9"/>
        <v>0.40243902439024393</v>
      </c>
      <c r="F180" s="2">
        <v>96.9</v>
      </c>
      <c r="G180" s="2">
        <v>100.6</v>
      </c>
      <c r="H180" s="2">
        <f t="shared" si="10"/>
        <v>-3.6999999999999886</v>
      </c>
      <c r="I180" s="1">
        <f t="shared" si="8"/>
        <v>0.37177294637427477</v>
      </c>
      <c r="J180" s="2">
        <v>102.4</v>
      </c>
      <c r="K180" s="2">
        <v>106.3</v>
      </c>
      <c r="L180" s="2">
        <f t="shared" si="11"/>
        <v>-3.8999999999999915</v>
      </c>
      <c r="M180">
        <v>93.9</v>
      </c>
      <c r="N180">
        <v>103.3</v>
      </c>
      <c r="O180">
        <v>-1.2</v>
      </c>
    </row>
    <row r="181" spans="1:15">
      <c r="A181" t="s">
        <v>43</v>
      </c>
      <c r="B181" t="s">
        <v>8</v>
      </c>
      <c r="C181">
        <v>49</v>
      </c>
      <c r="D181">
        <v>33</v>
      </c>
      <c r="E181" s="1">
        <f t="shared" si="9"/>
        <v>0.59756097560975607</v>
      </c>
      <c r="F181" s="2">
        <v>98.8</v>
      </c>
      <c r="G181" s="2">
        <v>93.8</v>
      </c>
      <c r="H181" s="2">
        <f t="shared" si="10"/>
        <v>5</v>
      </c>
      <c r="I181" s="1">
        <f t="shared" si="8"/>
        <v>0.67415944517455229</v>
      </c>
      <c r="J181" s="2">
        <v>104</v>
      </c>
      <c r="K181" s="2">
        <v>98.8</v>
      </c>
      <c r="L181" s="2">
        <f t="shared" si="11"/>
        <v>5.2000000000000028</v>
      </c>
      <c r="M181">
        <v>98</v>
      </c>
      <c r="N181">
        <v>89.6</v>
      </c>
      <c r="O181">
        <v>0.6</v>
      </c>
    </row>
    <row r="182" spans="1:15">
      <c r="A182" t="s">
        <v>43</v>
      </c>
      <c r="B182" t="s">
        <v>9</v>
      </c>
      <c r="C182">
        <v>50</v>
      </c>
      <c r="D182">
        <v>32</v>
      </c>
      <c r="E182" s="1">
        <f t="shared" si="9"/>
        <v>0.6097560975609756</v>
      </c>
      <c r="F182" s="2">
        <v>96.8</v>
      </c>
      <c r="G182" s="2">
        <v>92.9</v>
      </c>
      <c r="H182" s="2">
        <f t="shared" si="10"/>
        <v>3.8999999999999915</v>
      </c>
      <c r="I182" s="1">
        <f t="shared" si="8"/>
        <v>0.64008356957082357</v>
      </c>
      <c r="J182" s="2">
        <v>104.4</v>
      </c>
      <c r="K182" s="2">
        <v>100.6</v>
      </c>
      <c r="L182" s="2">
        <f t="shared" si="11"/>
        <v>3.8000000000000114</v>
      </c>
      <c r="M182">
        <v>105.4</v>
      </c>
      <c r="N182">
        <v>95.1</v>
      </c>
      <c r="O182">
        <v>1.4</v>
      </c>
    </row>
    <row r="183" spans="1:15">
      <c r="A183" t="s">
        <v>43</v>
      </c>
      <c r="B183" t="s">
        <v>10</v>
      </c>
      <c r="C183">
        <v>67</v>
      </c>
      <c r="D183">
        <v>15</v>
      </c>
      <c r="E183" s="1">
        <f t="shared" si="9"/>
        <v>0.81707317073170727</v>
      </c>
      <c r="F183" s="2">
        <v>100</v>
      </c>
      <c r="G183" s="2">
        <v>92.8</v>
      </c>
      <c r="H183" s="2">
        <f t="shared" si="10"/>
        <v>7.2000000000000028</v>
      </c>
      <c r="I183" s="1">
        <f t="shared" si="8"/>
        <v>0.74003099281791473</v>
      </c>
      <c r="J183" s="2">
        <v>109.7</v>
      </c>
      <c r="K183" s="2">
        <v>102.1</v>
      </c>
      <c r="L183" s="2">
        <f t="shared" si="11"/>
        <v>7.6000000000000085</v>
      </c>
      <c r="M183">
        <v>109.8</v>
      </c>
      <c r="N183">
        <v>84.5</v>
      </c>
      <c r="O183">
        <v>1.1000000000000001</v>
      </c>
    </row>
    <row r="184" spans="1:15">
      <c r="A184" t="s">
        <v>43</v>
      </c>
      <c r="B184" t="s">
        <v>11</v>
      </c>
      <c r="C184">
        <v>45</v>
      </c>
      <c r="D184">
        <v>37</v>
      </c>
      <c r="E184" s="1">
        <f t="shared" si="9"/>
        <v>0.54878048780487809</v>
      </c>
      <c r="F184" s="2">
        <v>105.4</v>
      </c>
      <c r="G184" s="2">
        <v>103.7</v>
      </c>
      <c r="H184" s="2">
        <f t="shared" si="10"/>
        <v>1.7000000000000028</v>
      </c>
      <c r="I184" s="1">
        <f t="shared" si="8"/>
        <v>0.55666731029444283</v>
      </c>
      <c r="J184" s="2">
        <v>106.7</v>
      </c>
      <c r="K184" s="2">
        <v>105.1</v>
      </c>
      <c r="L184" s="2">
        <f t="shared" si="11"/>
        <v>1.6000000000000085</v>
      </c>
      <c r="M184">
        <v>95.3</v>
      </c>
      <c r="N184">
        <v>100.3</v>
      </c>
      <c r="O184">
        <v>-1.4</v>
      </c>
    </row>
    <row r="185" spans="1:15">
      <c r="A185" t="s">
        <v>43</v>
      </c>
      <c r="B185" t="s">
        <v>12</v>
      </c>
      <c r="C185">
        <v>53</v>
      </c>
      <c r="D185">
        <v>29</v>
      </c>
      <c r="E185" s="1">
        <f t="shared" si="9"/>
        <v>0.64634146341463417</v>
      </c>
      <c r="F185" s="2">
        <v>96</v>
      </c>
      <c r="G185" s="2">
        <v>91.8</v>
      </c>
      <c r="H185" s="2">
        <f t="shared" si="10"/>
        <v>4.2000000000000028</v>
      </c>
      <c r="I185" s="1">
        <f t="shared" si="8"/>
        <v>0.65165059639805156</v>
      </c>
      <c r="J185" s="2">
        <v>107.4</v>
      </c>
      <c r="K185" s="2">
        <v>102.6</v>
      </c>
      <c r="L185" s="2">
        <f t="shared" si="11"/>
        <v>4.8000000000000114</v>
      </c>
      <c r="M185">
        <v>113.9</v>
      </c>
      <c r="N185">
        <v>101.2</v>
      </c>
      <c r="O185">
        <v>1.5</v>
      </c>
    </row>
    <row r="186" spans="1:15">
      <c r="A186" t="s">
        <v>43</v>
      </c>
      <c r="B186" t="s">
        <v>13</v>
      </c>
      <c r="C186">
        <v>42</v>
      </c>
      <c r="D186">
        <v>40</v>
      </c>
      <c r="E186" s="1">
        <f t="shared" si="9"/>
        <v>0.51219512195121952</v>
      </c>
      <c r="F186" s="2">
        <v>106.5</v>
      </c>
      <c r="G186" s="2">
        <v>106.9</v>
      </c>
      <c r="H186" s="2">
        <f t="shared" si="10"/>
        <v>-0.40000000000000568</v>
      </c>
      <c r="I186" s="1">
        <f t="shared" si="8"/>
        <v>0.48688209591984372</v>
      </c>
      <c r="J186" s="2">
        <v>106.2</v>
      </c>
      <c r="K186" s="2">
        <v>106.5</v>
      </c>
      <c r="L186" s="2">
        <f t="shared" si="11"/>
        <v>-0.29999999999999716</v>
      </c>
      <c r="M186">
        <v>98.2</v>
      </c>
      <c r="N186">
        <v>105</v>
      </c>
      <c r="O186">
        <v>-0.5</v>
      </c>
    </row>
    <row r="187" spans="1:15">
      <c r="A187" t="s">
        <v>43</v>
      </c>
      <c r="B187" t="s">
        <v>14</v>
      </c>
      <c r="C187">
        <v>52</v>
      </c>
      <c r="D187">
        <v>30</v>
      </c>
      <c r="E187" s="1">
        <f t="shared" si="9"/>
        <v>0.63414634146341464</v>
      </c>
      <c r="F187" s="2">
        <v>97</v>
      </c>
      <c r="G187" s="2">
        <v>92.1</v>
      </c>
      <c r="H187" s="2">
        <f t="shared" si="10"/>
        <v>4.9000000000000057</v>
      </c>
      <c r="I187" s="1">
        <f t="shared" si="8"/>
        <v>0.67386194635235153</v>
      </c>
      <c r="J187" s="2">
        <v>104.7</v>
      </c>
      <c r="K187" s="2">
        <v>99.7</v>
      </c>
      <c r="L187" s="2">
        <f t="shared" si="11"/>
        <v>5</v>
      </c>
      <c r="M187">
        <v>99.7</v>
      </c>
      <c r="N187">
        <v>108.4</v>
      </c>
      <c r="O187">
        <v>-1.4</v>
      </c>
    </row>
    <row r="188" spans="1:15">
      <c r="A188" t="s">
        <v>43</v>
      </c>
      <c r="B188" t="s">
        <v>15</v>
      </c>
      <c r="C188">
        <v>35</v>
      </c>
      <c r="D188">
        <v>47</v>
      </c>
      <c r="E188" s="1">
        <f t="shared" si="9"/>
        <v>0.42682926829268292</v>
      </c>
      <c r="F188" s="2">
        <v>95.6</v>
      </c>
      <c r="G188" s="2">
        <v>98</v>
      </c>
      <c r="H188" s="2">
        <f t="shared" si="10"/>
        <v>-2.4000000000000057</v>
      </c>
      <c r="I188" s="1">
        <f t="shared" si="8"/>
        <v>0.41407972075394056</v>
      </c>
      <c r="J188" s="2">
        <v>101.9</v>
      </c>
      <c r="K188" s="2">
        <v>104.4</v>
      </c>
      <c r="L188" s="2">
        <f t="shared" si="11"/>
        <v>-2.5</v>
      </c>
      <c r="M188">
        <v>102.9</v>
      </c>
      <c r="N188">
        <v>101.2</v>
      </c>
      <c r="O188">
        <v>-0.4</v>
      </c>
    </row>
    <row r="189" spans="1:15">
      <c r="A189" t="s">
        <v>43</v>
      </c>
      <c r="B189" t="s">
        <v>16</v>
      </c>
      <c r="C189">
        <v>40</v>
      </c>
      <c r="D189">
        <v>42</v>
      </c>
      <c r="E189" s="1">
        <f t="shared" si="9"/>
        <v>0.48780487804878048</v>
      </c>
      <c r="F189" s="2">
        <v>95.6</v>
      </c>
      <c r="G189" s="2">
        <v>96.1</v>
      </c>
      <c r="H189" s="2">
        <f t="shared" si="10"/>
        <v>-0.5</v>
      </c>
      <c r="I189" s="1">
        <f t="shared" si="8"/>
        <v>0.48175037478926502</v>
      </c>
      <c r="J189" s="2">
        <v>103.8</v>
      </c>
      <c r="K189" s="2">
        <v>104.2</v>
      </c>
      <c r="L189" s="2">
        <f t="shared" si="11"/>
        <v>-0.40000000000000568</v>
      </c>
      <c r="M189">
        <v>105.7</v>
      </c>
      <c r="N189">
        <v>107.9</v>
      </c>
      <c r="O189">
        <v>-0.3</v>
      </c>
    </row>
    <row r="190" spans="1:15">
      <c r="A190" t="s">
        <v>43</v>
      </c>
      <c r="B190" t="s">
        <v>17</v>
      </c>
      <c r="C190">
        <v>42</v>
      </c>
      <c r="D190">
        <v>40</v>
      </c>
      <c r="E190" s="1">
        <f t="shared" si="9"/>
        <v>0.51219512195121952</v>
      </c>
      <c r="F190" s="2">
        <v>103.3</v>
      </c>
      <c r="G190" s="2">
        <v>103.4</v>
      </c>
      <c r="H190" s="2">
        <f t="shared" si="10"/>
        <v>-0.10000000000000853</v>
      </c>
      <c r="I190" s="1">
        <f t="shared" si="8"/>
        <v>0.49661350096437384</v>
      </c>
      <c r="J190" s="2">
        <v>107.3</v>
      </c>
      <c r="K190" s="2">
        <v>107.5</v>
      </c>
      <c r="L190" s="2">
        <f t="shared" si="11"/>
        <v>-0.20000000000000284</v>
      </c>
      <c r="M190">
        <v>105</v>
      </c>
      <c r="N190">
        <v>106.1</v>
      </c>
      <c r="O190">
        <v>-0.2</v>
      </c>
    </row>
    <row r="191" spans="1:15">
      <c r="A191" t="s">
        <v>43</v>
      </c>
      <c r="B191" t="s">
        <v>35</v>
      </c>
      <c r="C191">
        <v>22</v>
      </c>
      <c r="D191">
        <v>60</v>
      </c>
      <c r="E191" s="1">
        <f t="shared" si="9"/>
        <v>0.26829268292682928</v>
      </c>
      <c r="F191" s="2">
        <v>101.6</v>
      </c>
      <c r="G191" s="2">
        <v>106.7</v>
      </c>
      <c r="H191" s="2">
        <f t="shared" si="10"/>
        <v>-5.1000000000000085</v>
      </c>
      <c r="I191" s="1">
        <f t="shared" si="8"/>
        <v>0.33499326878539809</v>
      </c>
      <c r="J191" s="2">
        <v>105.7</v>
      </c>
      <c r="K191" s="2">
        <v>110.9</v>
      </c>
      <c r="L191" s="2">
        <f t="shared" si="11"/>
        <v>-5.2000000000000028</v>
      </c>
      <c r="M191">
        <v>102.4</v>
      </c>
      <c r="N191">
        <v>107.5</v>
      </c>
      <c r="O191">
        <v>1.6</v>
      </c>
    </row>
    <row r="192" spans="1:15">
      <c r="A192" t="s">
        <v>43</v>
      </c>
      <c r="B192" t="s">
        <v>18</v>
      </c>
      <c r="C192">
        <v>44</v>
      </c>
      <c r="D192">
        <v>38</v>
      </c>
      <c r="E192" s="1">
        <f t="shared" si="9"/>
        <v>0.53658536585365857</v>
      </c>
      <c r="F192" s="2">
        <v>94.6</v>
      </c>
      <c r="G192" s="2">
        <v>95.5</v>
      </c>
      <c r="H192" s="2">
        <f t="shared" si="10"/>
        <v>-0.90000000000000568</v>
      </c>
      <c r="I192" s="1">
        <f t="shared" si="8"/>
        <v>0.46690774637254517</v>
      </c>
      <c r="J192" s="2">
        <v>103.4</v>
      </c>
      <c r="K192" s="2">
        <v>104.6</v>
      </c>
      <c r="L192" s="2">
        <f t="shared" si="11"/>
        <v>-1.1999999999999886</v>
      </c>
      <c r="M192">
        <v>106.9</v>
      </c>
      <c r="N192">
        <v>97.6</v>
      </c>
      <c r="O192">
        <v>0.5</v>
      </c>
    </row>
    <row r="193" spans="1:15">
      <c r="A193" t="s">
        <v>43</v>
      </c>
      <c r="B193" t="s">
        <v>19</v>
      </c>
      <c r="C193">
        <v>28</v>
      </c>
      <c r="D193">
        <v>54</v>
      </c>
      <c r="E193" s="1">
        <f t="shared" si="9"/>
        <v>0.34146341463414637</v>
      </c>
      <c r="F193" s="2">
        <v>99.7</v>
      </c>
      <c r="G193" s="2">
        <v>104</v>
      </c>
      <c r="H193" s="2">
        <f t="shared" si="10"/>
        <v>-4.2999999999999972</v>
      </c>
      <c r="I193" s="1">
        <f t="shared" si="8"/>
        <v>0.35637032098910626</v>
      </c>
      <c r="J193" s="2">
        <v>106</v>
      </c>
      <c r="K193" s="2">
        <v>110.3</v>
      </c>
      <c r="L193" s="2">
        <f t="shared" si="11"/>
        <v>-4.2999999999999972</v>
      </c>
      <c r="M193">
        <v>99.2</v>
      </c>
      <c r="N193">
        <v>108.4</v>
      </c>
      <c r="O193">
        <v>-1.1000000000000001</v>
      </c>
    </row>
    <row r="194" spans="1:15">
      <c r="A194" t="s">
        <v>43</v>
      </c>
      <c r="B194" t="s">
        <v>20</v>
      </c>
      <c r="C194">
        <v>32</v>
      </c>
      <c r="D194">
        <v>50</v>
      </c>
      <c r="E194" s="1">
        <f t="shared" si="9"/>
        <v>0.3902439024390244</v>
      </c>
      <c r="F194" s="2">
        <v>96.1</v>
      </c>
      <c r="G194" s="2">
        <v>99.7</v>
      </c>
      <c r="H194" s="2">
        <f t="shared" si="10"/>
        <v>-3.6000000000000085</v>
      </c>
      <c r="I194" s="1">
        <f t="shared" ref="I194:I257" si="12">+(F194^14)/((F194^14+G194^14))</f>
        <v>0.37405280109871952</v>
      </c>
      <c r="J194" s="2">
        <v>102.4</v>
      </c>
      <c r="K194" s="2">
        <v>106.5</v>
      </c>
      <c r="L194" s="2">
        <f t="shared" si="11"/>
        <v>-4.0999999999999943</v>
      </c>
      <c r="M194">
        <v>98.2</v>
      </c>
      <c r="N194">
        <v>101.3</v>
      </c>
      <c r="O194">
        <v>0</v>
      </c>
    </row>
    <row r="195" spans="1:15">
      <c r="A195" t="s">
        <v>43</v>
      </c>
      <c r="B195" t="s">
        <v>21</v>
      </c>
      <c r="C195">
        <v>41</v>
      </c>
      <c r="D195">
        <v>41</v>
      </c>
      <c r="E195" s="1">
        <f t="shared" ref="E195:E258" si="13">+C195/(C195+D195)</f>
        <v>0.5</v>
      </c>
      <c r="F195" s="2">
        <v>97.6</v>
      </c>
      <c r="G195" s="2">
        <v>98.3</v>
      </c>
      <c r="H195" s="2">
        <f t="shared" ref="H195:H258" si="14">+F195-G195</f>
        <v>-0.70000000000000284</v>
      </c>
      <c r="I195" s="1">
        <f t="shared" si="12"/>
        <v>0.47500797658493921</v>
      </c>
      <c r="J195" s="2">
        <v>104.2</v>
      </c>
      <c r="K195" s="2">
        <v>105.1</v>
      </c>
      <c r="L195" s="2">
        <f t="shared" ref="L195:L258" si="15">+J195-K195</f>
        <v>-0.89999999999999147</v>
      </c>
      <c r="M195">
        <v>101.7</v>
      </c>
      <c r="N195">
        <v>110.4</v>
      </c>
      <c r="O195">
        <v>-0.6</v>
      </c>
    </row>
    <row r="196" spans="1:15">
      <c r="A196" t="s">
        <v>43</v>
      </c>
      <c r="B196" t="s">
        <v>42</v>
      </c>
      <c r="C196">
        <v>39</v>
      </c>
      <c r="D196">
        <v>43</v>
      </c>
      <c r="E196" s="1">
        <f t="shared" si="13"/>
        <v>0.47560975609756095</v>
      </c>
      <c r="F196" s="2">
        <v>95.5</v>
      </c>
      <c r="G196" s="2">
        <v>97.1</v>
      </c>
      <c r="H196" s="2">
        <f t="shared" si="14"/>
        <v>-1.5999999999999943</v>
      </c>
      <c r="I196" s="1">
        <f t="shared" si="12"/>
        <v>0.44210785442582834</v>
      </c>
      <c r="J196" s="2">
        <v>103.7</v>
      </c>
      <c r="K196" s="2">
        <v>105.4</v>
      </c>
      <c r="L196" s="2">
        <f t="shared" si="15"/>
        <v>-1.7000000000000028</v>
      </c>
      <c r="M196">
        <v>101.2</v>
      </c>
      <c r="N196">
        <v>96.6</v>
      </c>
      <c r="O196">
        <v>-0.2</v>
      </c>
    </row>
    <row r="197" spans="1:15">
      <c r="A197" t="s">
        <v>43</v>
      </c>
      <c r="B197" t="s">
        <v>22</v>
      </c>
      <c r="C197">
        <v>33</v>
      </c>
      <c r="D197">
        <v>49</v>
      </c>
      <c r="E197" s="1">
        <f t="shared" si="13"/>
        <v>0.40243902439024393</v>
      </c>
      <c r="F197" s="2">
        <v>97.5</v>
      </c>
      <c r="G197" s="2">
        <v>100.3</v>
      </c>
      <c r="H197" s="2">
        <f t="shared" si="14"/>
        <v>-2.7999999999999972</v>
      </c>
      <c r="I197" s="1">
        <f t="shared" si="12"/>
        <v>0.40218084588560077</v>
      </c>
      <c r="J197" s="2">
        <v>104.3</v>
      </c>
      <c r="K197" s="2">
        <v>107.4</v>
      </c>
      <c r="L197" s="2">
        <f t="shared" si="15"/>
        <v>-3.1000000000000085</v>
      </c>
      <c r="M197">
        <v>107.4</v>
      </c>
      <c r="N197">
        <v>102.9</v>
      </c>
      <c r="O197">
        <v>-0.2</v>
      </c>
    </row>
    <row r="198" spans="1:15">
      <c r="A198" t="s">
        <v>43</v>
      </c>
      <c r="B198" t="s">
        <v>23</v>
      </c>
      <c r="C198">
        <v>40</v>
      </c>
      <c r="D198">
        <v>42</v>
      </c>
      <c r="E198" s="1">
        <f t="shared" si="13"/>
        <v>0.48780487804878048</v>
      </c>
      <c r="F198" s="2">
        <v>94.8</v>
      </c>
      <c r="G198" s="2">
        <v>94</v>
      </c>
      <c r="H198" s="2">
        <f t="shared" si="14"/>
        <v>0.79999999999999716</v>
      </c>
      <c r="I198" s="1">
        <f t="shared" si="12"/>
        <v>0.52962644935389902</v>
      </c>
      <c r="J198" s="2">
        <v>104.1</v>
      </c>
      <c r="K198" s="2">
        <v>103.3</v>
      </c>
      <c r="L198" s="2">
        <f t="shared" si="15"/>
        <v>0.79999999999999716</v>
      </c>
      <c r="M198">
        <v>84.7</v>
      </c>
      <c r="N198">
        <v>100.9</v>
      </c>
      <c r="O198">
        <v>-0.4</v>
      </c>
    </row>
    <row r="199" spans="1:15">
      <c r="A199" t="s">
        <v>43</v>
      </c>
      <c r="B199" t="s">
        <v>24</v>
      </c>
      <c r="C199">
        <v>35</v>
      </c>
      <c r="D199">
        <v>47</v>
      </c>
      <c r="E199" s="1">
        <f t="shared" si="13"/>
        <v>0.42682926829268292</v>
      </c>
      <c r="F199" s="2">
        <v>94.9</v>
      </c>
      <c r="G199" s="2">
        <v>98</v>
      </c>
      <c r="H199" s="2">
        <f t="shared" si="14"/>
        <v>-3.0999999999999943</v>
      </c>
      <c r="I199" s="1">
        <f t="shared" si="12"/>
        <v>0.38935771732767777</v>
      </c>
      <c r="J199" s="2">
        <v>102.4</v>
      </c>
      <c r="K199" s="2">
        <v>105.6</v>
      </c>
      <c r="L199" s="2">
        <f t="shared" si="15"/>
        <v>-3.1999999999999886</v>
      </c>
      <c r="M199">
        <v>106.5</v>
      </c>
      <c r="N199">
        <v>97.9</v>
      </c>
      <c r="O199">
        <v>-0.1</v>
      </c>
    </row>
    <row r="200" spans="1:15">
      <c r="A200" t="s">
        <v>43</v>
      </c>
      <c r="B200" t="s">
        <v>25</v>
      </c>
      <c r="C200">
        <v>61</v>
      </c>
      <c r="D200">
        <v>21</v>
      </c>
      <c r="E200" s="1">
        <f t="shared" si="13"/>
        <v>0.74390243902439024</v>
      </c>
      <c r="F200" s="2">
        <v>110.2</v>
      </c>
      <c r="G200" s="2">
        <v>102.9</v>
      </c>
      <c r="H200" s="2">
        <f t="shared" si="14"/>
        <v>7.2999999999999972</v>
      </c>
      <c r="I200" s="1">
        <f t="shared" si="12"/>
        <v>0.72303160932792188</v>
      </c>
      <c r="J200" s="2">
        <v>112.9</v>
      </c>
      <c r="K200" s="2">
        <v>105.5</v>
      </c>
      <c r="L200" s="2">
        <f t="shared" si="15"/>
        <v>7.4000000000000057</v>
      </c>
      <c r="M200">
        <v>108.6</v>
      </c>
      <c r="N200">
        <v>101.9</v>
      </c>
      <c r="O200">
        <v>0.9</v>
      </c>
    </row>
    <row r="201" spans="1:15">
      <c r="A201" t="s">
        <v>43</v>
      </c>
      <c r="B201" t="s">
        <v>26</v>
      </c>
      <c r="C201">
        <v>32</v>
      </c>
      <c r="D201">
        <v>50</v>
      </c>
      <c r="E201" s="1">
        <f t="shared" si="13"/>
        <v>0.3902439024390244</v>
      </c>
      <c r="F201" s="2">
        <v>94.1</v>
      </c>
      <c r="G201" s="2">
        <v>98.4</v>
      </c>
      <c r="H201" s="2">
        <f t="shared" si="14"/>
        <v>-4.3000000000000114</v>
      </c>
      <c r="I201" s="1">
        <f t="shared" si="12"/>
        <v>0.34851829160504433</v>
      </c>
      <c r="J201" s="2">
        <v>103.8</v>
      </c>
      <c r="K201" s="2">
        <v>108.6</v>
      </c>
      <c r="L201" s="2">
        <f t="shared" si="15"/>
        <v>-4.7999999999999972</v>
      </c>
      <c r="M201">
        <v>113.4</v>
      </c>
      <c r="N201">
        <v>112.5</v>
      </c>
      <c r="O201">
        <v>-0.5</v>
      </c>
    </row>
    <row r="202" spans="1:15">
      <c r="A202" t="s">
        <v>43</v>
      </c>
      <c r="B202" t="s">
        <v>27</v>
      </c>
      <c r="C202">
        <v>33</v>
      </c>
      <c r="D202">
        <v>49</v>
      </c>
      <c r="E202" s="1">
        <f t="shared" si="13"/>
        <v>0.40243902439024393</v>
      </c>
      <c r="F202" s="2">
        <v>101.3</v>
      </c>
      <c r="G202" s="2">
        <v>103.1</v>
      </c>
      <c r="H202" s="2">
        <f t="shared" si="14"/>
        <v>-1.7999999999999972</v>
      </c>
      <c r="I202" s="1">
        <f t="shared" si="12"/>
        <v>0.43866503316264344</v>
      </c>
      <c r="J202" s="2">
        <v>105.1</v>
      </c>
      <c r="K202" s="2">
        <v>106.7</v>
      </c>
      <c r="L202" s="2">
        <f t="shared" si="15"/>
        <v>-1.6000000000000085</v>
      </c>
      <c r="M202">
        <v>93.7</v>
      </c>
      <c r="N202">
        <v>109</v>
      </c>
      <c r="O202">
        <v>-0.4</v>
      </c>
    </row>
    <row r="203" spans="1:15">
      <c r="A203" t="s">
        <v>43</v>
      </c>
      <c r="B203" t="s">
        <v>28</v>
      </c>
      <c r="C203">
        <v>58</v>
      </c>
      <c r="D203">
        <v>24</v>
      </c>
      <c r="E203" s="1">
        <f t="shared" si="13"/>
        <v>0.70731707317073167</v>
      </c>
      <c r="F203" s="2">
        <v>98.5</v>
      </c>
      <c r="G203" s="2">
        <v>90.1</v>
      </c>
      <c r="H203" s="2">
        <f t="shared" si="14"/>
        <v>8.4000000000000057</v>
      </c>
      <c r="I203" s="1">
        <f t="shared" si="12"/>
        <v>0.77693775330182646</v>
      </c>
      <c r="J203" s="2">
        <v>108.6</v>
      </c>
      <c r="K203" s="2">
        <v>99.4</v>
      </c>
      <c r="L203" s="2">
        <f t="shared" si="15"/>
        <v>9.1999999999999886</v>
      </c>
      <c r="M203">
        <v>102.2</v>
      </c>
      <c r="N203">
        <v>100</v>
      </c>
      <c r="O203">
        <v>1.1000000000000001</v>
      </c>
    </row>
    <row r="204" spans="1:15">
      <c r="A204" t="s">
        <v>43</v>
      </c>
      <c r="B204" t="s">
        <v>29</v>
      </c>
      <c r="C204">
        <v>31</v>
      </c>
      <c r="D204">
        <v>51</v>
      </c>
      <c r="E204" s="1">
        <f t="shared" si="13"/>
        <v>0.37804878048780488</v>
      </c>
      <c r="F204" s="2">
        <v>99.1</v>
      </c>
      <c r="G204" s="2">
        <v>102</v>
      </c>
      <c r="H204" s="2">
        <f t="shared" si="14"/>
        <v>-2.9000000000000057</v>
      </c>
      <c r="I204" s="1">
        <f t="shared" si="12"/>
        <v>0.40039796208658779</v>
      </c>
      <c r="J204" s="2">
        <v>105.9</v>
      </c>
      <c r="K204" s="2">
        <v>108.9</v>
      </c>
      <c r="L204" s="2">
        <f t="shared" si="15"/>
        <v>-3</v>
      </c>
      <c r="M204">
        <v>105.5</v>
      </c>
      <c r="N204">
        <v>103.8</v>
      </c>
      <c r="O204">
        <v>-0.4</v>
      </c>
    </row>
    <row r="205" spans="1:15">
      <c r="A205" t="s">
        <v>43</v>
      </c>
      <c r="B205" t="s">
        <v>30</v>
      </c>
      <c r="C205">
        <v>47</v>
      </c>
      <c r="D205">
        <v>35</v>
      </c>
      <c r="E205" s="1">
        <f t="shared" si="13"/>
        <v>0.57317073170731703</v>
      </c>
      <c r="F205" s="2">
        <v>99.5</v>
      </c>
      <c r="G205" s="2">
        <v>98.5</v>
      </c>
      <c r="H205" s="2">
        <f t="shared" si="14"/>
        <v>1</v>
      </c>
      <c r="I205" s="1">
        <f t="shared" si="12"/>
        <v>0.53529503549100332</v>
      </c>
      <c r="J205" s="2">
        <v>105.7</v>
      </c>
      <c r="K205" s="2">
        <v>104.4</v>
      </c>
      <c r="L205" s="2">
        <f t="shared" si="15"/>
        <v>1.2999999999999972</v>
      </c>
      <c r="M205">
        <v>106.6</v>
      </c>
      <c r="N205">
        <v>99.7</v>
      </c>
      <c r="O205">
        <v>0.3</v>
      </c>
    </row>
    <row r="206" spans="1:15">
      <c r="A206" t="s">
        <v>43</v>
      </c>
      <c r="B206" t="s">
        <v>31</v>
      </c>
      <c r="C206">
        <v>51</v>
      </c>
      <c r="D206">
        <v>31</v>
      </c>
      <c r="E206" s="1">
        <f t="shared" si="13"/>
        <v>0.62195121951219512</v>
      </c>
      <c r="F206" s="2">
        <v>101.5</v>
      </c>
      <c r="G206" s="2">
        <v>98.6</v>
      </c>
      <c r="H206" s="2">
        <f t="shared" si="14"/>
        <v>2.9000000000000057</v>
      </c>
      <c r="I206" s="1">
        <f t="shared" si="12"/>
        <v>0.60008649482988841</v>
      </c>
      <c r="J206" s="2">
        <v>108.6</v>
      </c>
      <c r="K206" s="2">
        <v>105.6</v>
      </c>
      <c r="L206" s="2">
        <f t="shared" si="15"/>
        <v>3</v>
      </c>
      <c r="M206">
        <v>116.1</v>
      </c>
      <c r="N206">
        <v>109.7</v>
      </c>
      <c r="O206">
        <v>1.9</v>
      </c>
    </row>
    <row r="207" spans="1:15">
      <c r="A207" t="s">
        <v>43</v>
      </c>
      <c r="B207" t="s">
        <v>33</v>
      </c>
      <c r="C207">
        <v>41</v>
      </c>
      <c r="D207">
        <v>41</v>
      </c>
      <c r="E207" s="1">
        <f t="shared" si="13"/>
        <v>0.5</v>
      </c>
      <c r="F207" s="2">
        <v>104.3</v>
      </c>
      <c r="G207" s="2">
        <v>104.9</v>
      </c>
      <c r="H207" s="2">
        <f t="shared" si="14"/>
        <v>-0.60000000000000853</v>
      </c>
      <c r="I207" s="1">
        <f t="shared" si="12"/>
        <v>0.47993424575681876</v>
      </c>
      <c r="J207" s="2">
        <v>108.7</v>
      </c>
      <c r="K207" s="2">
        <v>109.1</v>
      </c>
      <c r="L207" s="2">
        <f t="shared" si="15"/>
        <v>-0.39999999999999147</v>
      </c>
      <c r="M207">
        <v>102.3</v>
      </c>
      <c r="N207">
        <v>114.7</v>
      </c>
      <c r="O207">
        <v>-1.4</v>
      </c>
    </row>
    <row r="208" spans="1:15">
      <c r="A208" t="s">
        <v>44</v>
      </c>
      <c r="B208" t="s">
        <v>5</v>
      </c>
      <c r="C208">
        <v>37</v>
      </c>
      <c r="D208">
        <v>45</v>
      </c>
      <c r="E208" s="1">
        <f t="shared" si="13"/>
        <v>0.45121951219512196</v>
      </c>
      <c r="F208" s="2">
        <v>98.2</v>
      </c>
      <c r="G208" s="2">
        <v>100</v>
      </c>
      <c r="H208" s="2">
        <f t="shared" si="14"/>
        <v>-1.7999999999999972</v>
      </c>
      <c r="I208" s="1">
        <f t="shared" si="12"/>
        <v>0.43676649224387093</v>
      </c>
      <c r="J208" s="2">
        <v>105.5</v>
      </c>
      <c r="K208" s="2">
        <v>107.3</v>
      </c>
      <c r="L208" s="2">
        <f t="shared" si="15"/>
        <v>-1.7999999999999972</v>
      </c>
      <c r="M208">
        <v>100.3</v>
      </c>
      <c r="N208">
        <v>111.2</v>
      </c>
      <c r="O208">
        <v>-0.1</v>
      </c>
    </row>
    <row r="209" spans="1:15">
      <c r="A209" t="s">
        <v>44</v>
      </c>
      <c r="B209" t="s">
        <v>6</v>
      </c>
      <c r="C209">
        <v>66</v>
      </c>
      <c r="D209">
        <v>16</v>
      </c>
      <c r="E209" s="1">
        <f t="shared" si="13"/>
        <v>0.80487804878048785</v>
      </c>
      <c r="F209" s="2">
        <v>100.5</v>
      </c>
      <c r="G209" s="2">
        <v>90.3</v>
      </c>
      <c r="H209" s="2">
        <f t="shared" si="14"/>
        <v>10.200000000000003</v>
      </c>
      <c r="I209" s="1">
        <f t="shared" si="12"/>
        <v>0.81731836243506328</v>
      </c>
      <c r="J209" s="2">
        <v>108.8</v>
      </c>
      <c r="K209" s="2">
        <v>98.1</v>
      </c>
      <c r="L209" s="2">
        <f t="shared" si="15"/>
        <v>10.700000000000003</v>
      </c>
      <c r="M209">
        <v>101.4</v>
      </c>
      <c r="N209">
        <v>99.7</v>
      </c>
      <c r="O209">
        <v>1</v>
      </c>
    </row>
    <row r="210" spans="1:15">
      <c r="A210" t="s">
        <v>44</v>
      </c>
      <c r="B210" t="s">
        <v>40</v>
      </c>
      <c r="C210">
        <v>32</v>
      </c>
      <c r="D210">
        <v>50</v>
      </c>
      <c r="E210" s="1">
        <f t="shared" si="13"/>
        <v>0.3902439024390244</v>
      </c>
      <c r="F210" s="2">
        <v>97.1</v>
      </c>
      <c r="G210" s="2">
        <v>101.4</v>
      </c>
      <c r="H210" s="2">
        <f t="shared" si="14"/>
        <v>-4.3000000000000114</v>
      </c>
      <c r="I210" s="1">
        <f t="shared" si="12"/>
        <v>0.35282512141387656</v>
      </c>
      <c r="J210" s="2">
        <v>103.7</v>
      </c>
      <c r="K210" s="2">
        <v>108.2</v>
      </c>
      <c r="L210" s="2">
        <f t="shared" si="15"/>
        <v>-4.5</v>
      </c>
      <c r="M210">
        <v>101.9</v>
      </c>
      <c r="N210">
        <v>100.5</v>
      </c>
      <c r="O210">
        <v>-0.5</v>
      </c>
    </row>
    <row r="211" spans="1:15">
      <c r="A211" t="s">
        <v>44</v>
      </c>
      <c r="B211" t="s">
        <v>8</v>
      </c>
      <c r="C211">
        <v>33</v>
      </c>
      <c r="D211">
        <v>49</v>
      </c>
      <c r="E211" s="1">
        <f t="shared" si="13"/>
        <v>0.40243902439024393</v>
      </c>
      <c r="F211" s="2">
        <v>97.3</v>
      </c>
      <c r="G211" s="2">
        <v>100.4</v>
      </c>
      <c r="H211" s="2">
        <f t="shared" si="14"/>
        <v>-3.1000000000000085</v>
      </c>
      <c r="I211" s="1">
        <f t="shared" si="12"/>
        <v>0.39195900440907944</v>
      </c>
      <c r="J211" s="2">
        <v>102.9</v>
      </c>
      <c r="K211" s="2">
        <v>106</v>
      </c>
      <c r="L211" s="2">
        <f t="shared" si="15"/>
        <v>-3.0999999999999943</v>
      </c>
      <c r="M211">
        <v>90</v>
      </c>
      <c r="N211">
        <v>116</v>
      </c>
      <c r="O211">
        <v>-1.5</v>
      </c>
    </row>
    <row r="212" spans="1:15">
      <c r="A212" t="s">
        <v>44</v>
      </c>
      <c r="B212" t="s">
        <v>9</v>
      </c>
      <c r="C212">
        <v>45</v>
      </c>
      <c r="D212">
        <v>37</v>
      </c>
      <c r="E212" s="1">
        <f t="shared" si="13"/>
        <v>0.54878048780487809</v>
      </c>
      <c r="F212" s="2">
        <v>96.4</v>
      </c>
      <c r="G212" s="2">
        <v>96.7</v>
      </c>
      <c r="H212" s="2">
        <f t="shared" si="14"/>
        <v>-0.29999999999999716</v>
      </c>
      <c r="I212" s="1">
        <f t="shared" si="12"/>
        <v>0.48912651167349064</v>
      </c>
      <c r="J212" s="2">
        <v>104.8</v>
      </c>
      <c r="K212" s="2">
        <v>105.4</v>
      </c>
      <c r="L212" s="2">
        <f t="shared" si="15"/>
        <v>-0.60000000000000853</v>
      </c>
      <c r="M212">
        <v>112.8</v>
      </c>
      <c r="N212">
        <v>90.9</v>
      </c>
      <c r="O212">
        <v>1.9</v>
      </c>
    </row>
    <row r="213" spans="1:15">
      <c r="A213" t="s">
        <v>44</v>
      </c>
      <c r="B213" t="s">
        <v>10</v>
      </c>
      <c r="C213">
        <v>51</v>
      </c>
      <c r="D213">
        <v>31</v>
      </c>
      <c r="E213" s="1">
        <f t="shared" si="13"/>
        <v>0.62195121951219512</v>
      </c>
      <c r="F213" s="2">
        <v>100.4</v>
      </c>
      <c r="G213" s="2">
        <v>95.9</v>
      </c>
      <c r="H213" s="2">
        <f t="shared" si="14"/>
        <v>4.5</v>
      </c>
      <c r="I213" s="1">
        <f t="shared" si="12"/>
        <v>0.65520252150189628</v>
      </c>
      <c r="J213" s="2">
        <v>109.5</v>
      </c>
      <c r="K213" s="2">
        <v>104.7</v>
      </c>
      <c r="L213" s="2">
        <f t="shared" si="15"/>
        <v>4.7999999999999972</v>
      </c>
      <c r="M213">
        <v>114.4</v>
      </c>
      <c r="N213">
        <v>107.9</v>
      </c>
      <c r="O213">
        <v>0.5</v>
      </c>
    </row>
    <row r="214" spans="1:15">
      <c r="A214" t="s">
        <v>44</v>
      </c>
      <c r="B214" t="s">
        <v>11</v>
      </c>
      <c r="C214">
        <v>50</v>
      </c>
      <c r="D214">
        <v>32</v>
      </c>
      <c r="E214" s="1">
        <f t="shared" si="13"/>
        <v>0.6097560975609756</v>
      </c>
      <c r="F214" s="2">
        <v>110.7</v>
      </c>
      <c r="G214" s="2">
        <v>107</v>
      </c>
      <c r="H214" s="2">
        <f t="shared" si="14"/>
        <v>3.7000000000000028</v>
      </c>
      <c r="I214" s="1">
        <f t="shared" si="12"/>
        <v>0.61678636144729848</v>
      </c>
      <c r="J214" s="2">
        <v>108.9</v>
      </c>
      <c r="K214" s="2">
        <v>105.5</v>
      </c>
      <c r="L214" s="2">
        <f t="shared" si="15"/>
        <v>3.4000000000000057</v>
      </c>
      <c r="M214">
        <v>100.3</v>
      </c>
      <c r="N214">
        <v>97</v>
      </c>
      <c r="O214">
        <v>0.8</v>
      </c>
    </row>
    <row r="215" spans="1:15">
      <c r="A215" t="s">
        <v>44</v>
      </c>
      <c r="B215" t="s">
        <v>12</v>
      </c>
      <c r="C215">
        <v>59</v>
      </c>
      <c r="D215">
        <v>23</v>
      </c>
      <c r="E215" s="1">
        <f t="shared" si="13"/>
        <v>0.71951219512195119</v>
      </c>
      <c r="F215" s="2">
        <v>97.5</v>
      </c>
      <c r="G215" s="2">
        <v>90.1</v>
      </c>
      <c r="H215" s="2">
        <f t="shared" si="14"/>
        <v>7.4000000000000057</v>
      </c>
      <c r="I215" s="1">
        <f t="shared" si="12"/>
        <v>0.75120531169841753</v>
      </c>
      <c r="J215" s="2">
        <v>109.8</v>
      </c>
      <c r="K215" s="2">
        <v>101.5</v>
      </c>
      <c r="L215" s="2">
        <f t="shared" si="15"/>
        <v>8.2999999999999972</v>
      </c>
      <c r="M215">
        <v>113.7</v>
      </c>
      <c r="N215">
        <v>105.3</v>
      </c>
      <c r="O215">
        <v>0.6</v>
      </c>
    </row>
    <row r="216" spans="1:15">
      <c r="A216" t="s">
        <v>44</v>
      </c>
      <c r="B216" t="s">
        <v>13</v>
      </c>
      <c r="C216">
        <v>48</v>
      </c>
      <c r="D216">
        <v>34</v>
      </c>
      <c r="E216" s="1">
        <f t="shared" si="13"/>
        <v>0.58536585365853655</v>
      </c>
      <c r="F216" s="2">
        <v>111</v>
      </c>
      <c r="G216" s="2">
        <v>108.8</v>
      </c>
      <c r="H216" s="2">
        <f t="shared" si="14"/>
        <v>2.2000000000000028</v>
      </c>
      <c r="I216" s="1">
        <f t="shared" si="12"/>
        <v>0.56961097932319371</v>
      </c>
      <c r="J216" s="2">
        <v>110.4</v>
      </c>
      <c r="K216" s="2">
        <v>108.5</v>
      </c>
      <c r="L216" s="2">
        <f t="shared" si="15"/>
        <v>1.9000000000000057</v>
      </c>
      <c r="M216">
        <v>117.2</v>
      </c>
      <c r="N216">
        <v>103.9</v>
      </c>
      <c r="O216">
        <v>0.5</v>
      </c>
    </row>
    <row r="217" spans="1:15">
      <c r="A217" t="s">
        <v>44</v>
      </c>
      <c r="B217" t="s">
        <v>14</v>
      </c>
      <c r="C217">
        <v>55</v>
      </c>
      <c r="D217">
        <v>27</v>
      </c>
      <c r="E217" s="1">
        <f t="shared" si="13"/>
        <v>0.67073170731707321</v>
      </c>
      <c r="F217" s="2">
        <v>96.7</v>
      </c>
      <c r="G217" s="2">
        <v>92</v>
      </c>
      <c r="H217" s="2">
        <f t="shared" si="14"/>
        <v>4.7000000000000028</v>
      </c>
      <c r="I217" s="1">
        <f t="shared" si="12"/>
        <v>0.6676438096091204</v>
      </c>
      <c r="J217" s="2">
        <v>105.4</v>
      </c>
      <c r="K217" s="2">
        <v>100.5</v>
      </c>
      <c r="L217" s="2">
        <f t="shared" si="15"/>
        <v>4.9000000000000057</v>
      </c>
      <c r="M217">
        <v>99.2</v>
      </c>
      <c r="N217">
        <v>104.5</v>
      </c>
      <c r="O217">
        <v>0.1</v>
      </c>
    </row>
    <row r="218" spans="1:15">
      <c r="A218" t="s">
        <v>44</v>
      </c>
      <c r="B218" t="s">
        <v>15</v>
      </c>
      <c r="C218">
        <v>36</v>
      </c>
      <c r="D218">
        <v>46</v>
      </c>
      <c r="E218" s="1">
        <f t="shared" si="13"/>
        <v>0.43902439024390244</v>
      </c>
      <c r="F218" s="2">
        <v>104</v>
      </c>
      <c r="G218" s="2">
        <v>105.4</v>
      </c>
      <c r="H218" s="2">
        <f t="shared" si="14"/>
        <v>-1.4000000000000057</v>
      </c>
      <c r="I218" s="1">
        <f t="shared" si="12"/>
        <v>0.45333512374186213</v>
      </c>
      <c r="J218" s="2">
        <v>105.1</v>
      </c>
      <c r="K218" s="2">
        <v>106.3</v>
      </c>
      <c r="L218" s="2">
        <f t="shared" si="15"/>
        <v>-1.2000000000000028</v>
      </c>
      <c r="M218">
        <v>101.4</v>
      </c>
      <c r="N218">
        <v>113.1</v>
      </c>
      <c r="O218">
        <v>0.4</v>
      </c>
    </row>
    <row r="219" spans="1:15">
      <c r="A219" t="s">
        <v>44</v>
      </c>
      <c r="B219" t="s">
        <v>16</v>
      </c>
      <c r="C219">
        <v>23</v>
      </c>
      <c r="D219">
        <v>59</v>
      </c>
      <c r="E219" s="1">
        <f t="shared" si="13"/>
        <v>0.28048780487804881</v>
      </c>
      <c r="F219" s="2">
        <v>93.8</v>
      </c>
      <c r="G219" s="2">
        <v>101.1</v>
      </c>
      <c r="H219" s="2">
        <f t="shared" si="14"/>
        <v>-7.2999999999999972</v>
      </c>
      <c r="I219" s="1">
        <f t="shared" si="12"/>
        <v>0.25937226319296447</v>
      </c>
      <c r="J219" s="2">
        <v>99.9</v>
      </c>
      <c r="K219" s="2">
        <v>107.4</v>
      </c>
      <c r="L219" s="2">
        <f t="shared" si="15"/>
        <v>-7.5</v>
      </c>
      <c r="M219">
        <v>110.1</v>
      </c>
      <c r="N219">
        <v>122.7</v>
      </c>
      <c r="O219">
        <v>-1</v>
      </c>
    </row>
    <row r="220" spans="1:15">
      <c r="A220" t="s">
        <v>44</v>
      </c>
      <c r="B220" t="s">
        <v>17</v>
      </c>
      <c r="C220">
        <v>57</v>
      </c>
      <c r="D220">
        <v>25</v>
      </c>
      <c r="E220" s="1">
        <f t="shared" si="13"/>
        <v>0.69512195121951215</v>
      </c>
      <c r="F220" s="2">
        <v>108.6</v>
      </c>
      <c r="G220" s="2">
        <v>101.3</v>
      </c>
      <c r="H220" s="2">
        <f t="shared" si="14"/>
        <v>7.2999999999999972</v>
      </c>
      <c r="I220" s="1">
        <f t="shared" si="12"/>
        <v>0.72595385497038523</v>
      </c>
      <c r="J220" s="2">
        <v>111.7</v>
      </c>
      <c r="K220" s="2">
        <v>104.3</v>
      </c>
      <c r="L220" s="2">
        <f t="shared" si="15"/>
        <v>7.4000000000000057</v>
      </c>
      <c r="M220">
        <v>104.6</v>
      </c>
      <c r="N220">
        <v>102.1</v>
      </c>
      <c r="O220">
        <v>1.8</v>
      </c>
    </row>
    <row r="221" spans="1:15">
      <c r="A221" t="s">
        <v>44</v>
      </c>
      <c r="B221" t="s">
        <v>35</v>
      </c>
      <c r="C221">
        <v>22</v>
      </c>
      <c r="D221">
        <v>60</v>
      </c>
      <c r="E221" s="1">
        <f t="shared" si="13"/>
        <v>0.26829268292682928</v>
      </c>
      <c r="F221" s="2">
        <v>100.7</v>
      </c>
      <c r="G221" s="2">
        <v>106.9</v>
      </c>
      <c r="H221" s="2">
        <f t="shared" si="14"/>
        <v>-6.2000000000000028</v>
      </c>
      <c r="I221" s="1">
        <f t="shared" si="12"/>
        <v>0.30227828737765194</v>
      </c>
      <c r="J221" s="2">
        <v>103.9</v>
      </c>
      <c r="K221" s="2">
        <v>110.2</v>
      </c>
      <c r="L221" s="2">
        <f t="shared" si="15"/>
        <v>-6.2999999999999972</v>
      </c>
      <c r="M221">
        <v>105.8</v>
      </c>
      <c r="N221">
        <v>116.6</v>
      </c>
      <c r="O221">
        <v>0</v>
      </c>
    </row>
    <row r="222" spans="1:15">
      <c r="A222" t="s">
        <v>44</v>
      </c>
      <c r="B222" t="s">
        <v>18</v>
      </c>
      <c r="C222">
        <v>15</v>
      </c>
      <c r="D222">
        <v>67</v>
      </c>
      <c r="E222" s="1">
        <f t="shared" si="13"/>
        <v>0.18292682926829268</v>
      </c>
      <c r="F222" s="2">
        <v>91.4</v>
      </c>
      <c r="G222" s="2">
        <v>100</v>
      </c>
      <c r="H222" s="2">
        <f t="shared" si="14"/>
        <v>-8.5999999999999943</v>
      </c>
      <c r="I222" s="1">
        <f t="shared" si="12"/>
        <v>0.2211554021057861</v>
      </c>
      <c r="J222" s="2">
        <v>99.4</v>
      </c>
      <c r="K222" s="2">
        <v>108.8</v>
      </c>
      <c r="L222" s="2">
        <f t="shared" si="15"/>
        <v>-9.3999999999999915</v>
      </c>
      <c r="M222">
        <v>85.2</v>
      </c>
      <c r="N222">
        <v>111.4</v>
      </c>
      <c r="O222">
        <v>-2</v>
      </c>
    </row>
    <row r="223" spans="1:15">
      <c r="A223" t="s">
        <v>44</v>
      </c>
      <c r="B223" t="s">
        <v>19</v>
      </c>
      <c r="C223">
        <v>26</v>
      </c>
      <c r="D223">
        <v>56</v>
      </c>
      <c r="E223" s="1">
        <f t="shared" si="13"/>
        <v>0.31707317073170732</v>
      </c>
      <c r="F223" s="2">
        <v>97</v>
      </c>
      <c r="G223" s="2">
        <v>103.9</v>
      </c>
      <c r="H223" s="2">
        <f t="shared" si="14"/>
        <v>-6.9000000000000057</v>
      </c>
      <c r="I223" s="1">
        <f t="shared" si="12"/>
        <v>0.27646776360303693</v>
      </c>
      <c r="J223" s="2">
        <v>103.9</v>
      </c>
      <c r="K223" s="2">
        <v>111.1</v>
      </c>
      <c r="L223" s="2">
        <f t="shared" si="15"/>
        <v>-7.1999999999999886</v>
      </c>
      <c r="M223">
        <v>109.3</v>
      </c>
      <c r="N223">
        <v>111.5</v>
      </c>
      <c r="O223">
        <v>-1.7</v>
      </c>
    </row>
    <row r="224" spans="1:15">
      <c r="A224" t="s">
        <v>44</v>
      </c>
      <c r="B224" t="s">
        <v>20</v>
      </c>
      <c r="C224">
        <v>22</v>
      </c>
      <c r="D224">
        <v>60</v>
      </c>
      <c r="E224" s="1">
        <f t="shared" si="13"/>
        <v>0.26829268292682928</v>
      </c>
      <c r="F224" s="2">
        <v>95.6</v>
      </c>
      <c r="G224" s="2">
        <v>102.4</v>
      </c>
      <c r="H224" s="2">
        <f t="shared" si="14"/>
        <v>-6.8000000000000114</v>
      </c>
      <c r="I224" s="1">
        <f t="shared" si="12"/>
        <v>0.27647904137528079</v>
      </c>
      <c r="J224" s="2">
        <v>102.7</v>
      </c>
      <c r="K224" s="2">
        <v>110</v>
      </c>
      <c r="L224" s="2">
        <f t="shared" si="15"/>
        <v>-7.2999999999999972</v>
      </c>
      <c r="M224">
        <v>105.4</v>
      </c>
      <c r="N224">
        <v>118.7</v>
      </c>
      <c r="O224">
        <v>-1.9</v>
      </c>
    </row>
    <row r="225" spans="1:15">
      <c r="A225" t="s">
        <v>44</v>
      </c>
      <c r="B225" t="s">
        <v>21</v>
      </c>
      <c r="C225">
        <v>34</v>
      </c>
      <c r="D225">
        <v>48</v>
      </c>
      <c r="E225" s="1">
        <f t="shared" si="13"/>
        <v>0.41463414634146339</v>
      </c>
      <c r="F225" s="2">
        <v>95.8</v>
      </c>
      <c r="G225" s="2">
        <v>100.9</v>
      </c>
      <c r="H225" s="2">
        <f t="shared" si="14"/>
        <v>-5.1000000000000085</v>
      </c>
      <c r="I225" s="1">
        <f t="shared" si="12"/>
        <v>0.32604204255195213</v>
      </c>
      <c r="J225" s="2">
        <v>102.3</v>
      </c>
      <c r="K225" s="2">
        <v>107.7</v>
      </c>
      <c r="L225" s="2">
        <f t="shared" si="15"/>
        <v>-5.4000000000000057</v>
      </c>
      <c r="M225">
        <v>112.8</v>
      </c>
      <c r="N225">
        <v>107.1</v>
      </c>
      <c r="O225">
        <v>-1.8</v>
      </c>
    </row>
    <row r="226" spans="1:15">
      <c r="A226" t="s">
        <v>44</v>
      </c>
      <c r="B226" t="s">
        <v>37</v>
      </c>
      <c r="C226">
        <v>56</v>
      </c>
      <c r="D226">
        <v>26</v>
      </c>
      <c r="E226" s="1">
        <f t="shared" si="13"/>
        <v>0.68292682926829273</v>
      </c>
      <c r="F226" s="2">
        <v>100.9</v>
      </c>
      <c r="G226" s="2">
        <v>95.6</v>
      </c>
      <c r="H226" s="2">
        <f t="shared" si="14"/>
        <v>5.3000000000000114</v>
      </c>
      <c r="I226" s="1">
        <f t="shared" si="12"/>
        <v>0.68035408366862116</v>
      </c>
      <c r="J226" s="2">
        <v>110</v>
      </c>
      <c r="K226" s="2">
        <v>104.4</v>
      </c>
      <c r="L226" s="2">
        <f t="shared" si="15"/>
        <v>5.5999999999999943</v>
      </c>
      <c r="M226">
        <v>105.2</v>
      </c>
      <c r="N226">
        <v>98.5</v>
      </c>
      <c r="O226">
        <v>1.4</v>
      </c>
    </row>
    <row r="227" spans="1:15">
      <c r="A227" t="s">
        <v>44</v>
      </c>
      <c r="B227" t="s">
        <v>22</v>
      </c>
      <c r="C227">
        <v>23</v>
      </c>
      <c r="D227">
        <v>59</v>
      </c>
      <c r="E227" s="1">
        <f t="shared" si="13"/>
        <v>0.28048780487804881</v>
      </c>
      <c r="F227" s="2">
        <v>96.9</v>
      </c>
      <c r="G227" s="2">
        <v>103.5</v>
      </c>
      <c r="H227" s="2">
        <f t="shared" si="14"/>
        <v>-6.5999999999999943</v>
      </c>
      <c r="I227" s="1">
        <f t="shared" si="12"/>
        <v>0.28445095118347524</v>
      </c>
      <c r="J227" s="2">
        <v>103.5</v>
      </c>
      <c r="K227" s="2">
        <v>110.4</v>
      </c>
      <c r="L227" s="2">
        <f t="shared" si="15"/>
        <v>-6.9000000000000057</v>
      </c>
      <c r="M227">
        <v>89.9</v>
      </c>
      <c r="N227">
        <v>96.9</v>
      </c>
      <c r="O227">
        <v>-1.4</v>
      </c>
    </row>
    <row r="228" spans="1:15">
      <c r="A228" t="s">
        <v>44</v>
      </c>
      <c r="B228" t="s">
        <v>23</v>
      </c>
      <c r="C228">
        <v>52</v>
      </c>
      <c r="D228">
        <v>30</v>
      </c>
      <c r="E228" s="1">
        <f t="shared" si="13"/>
        <v>0.63414634146341464</v>
      </c>
      <c r="F228" s="2">
        <v>104.5</v>
      </c>
      <c r="G228" s="2">
        <v>99</v>
      </c>
      <c r="H228" s="2">
        <f t="shared" si="14"/>
        <v>5.5</v>
      </c>
      <c r="I228" s="1">
        <f t="shared" si="12"/>
        <v>0.68068924490801519</v>
      </c>
      <c r="J228" s="2">
        <v>110.4</v>
      </c>
      <c r="K228" s="2">
        <v>104.9</v>
      </c>
      <c r="L228" s="2">
        <f t="shared" si="15"/>
        <v>5.5</v>
      </c>
      <c r="M228">
        <v>109.5</v>
      </c>
      <c r="N228">
        <v>103.2</v>
      </c>
      <c r="O228">
        <v>1.3</v>
      </c>
    </row>
    <row r="229" spans="1:15">
      <c r="A229" t="s">
        <v>44</v>
      </c>
      <c r="B229" t="s">
        <v>24</v>
      </c>
      <c r="C229">
        <v>40</v>
      </c>
      <c r="D229">
        <v>42</v>
      </c>
      <c r="E229" s="1">
        <f t="shared" si="13"/>
        <v>0.48780487804878048</v>
      </c>
      <c r="F229" s="2">
        <v>96.6</v>
      </c>
      <c r="G229" s="2">
        <v>96.2</v>
      </c>
      <c r="H229" s="2">
        <f t="shared" si="14"/>
        <v>0.39999999999999147</v>
      </c>
      <c r="I229" s="1">
        <f t="shared" si="12"/>
        <v>0.51451875971750194</v>
      </c>
      <c r="J229" s="2">
        <v>105.1</v>
      </c>
      <c r="K229" s="2">
        <v>104.7</v>
      </c>
      <c r="L229" s="2">
        <f t="shared" si="15"/>
        <v>0.39999999999999147</v>
      </c>
      <c r="M229">
        <v>102.2</v>
      </c>
      <c r="N229">
        <v>91.7</v>
      </c>
      <c r="O229">
        <v>1.4</v>
      </c>
    </row>
    <row r="230" spans="1:15">
      <c r="A230" t="s">
        <v>44</v>
      </c>
      <c r="B230" t="s">
        <v>25</v>
      </c>
      <c r="C230">
        <v>55</v>
      </c>
      <c r="D230">
        <v>27</v>
      </c>
      <c r="E230" s="1">
        <f t="shared" si="13"/>
        <v>0.67073170731707321</v>
      </c>
      <c r="F230" s="2">
        <v>110.1</v>
      </c>
      <c r="G230" s="2">
        <v>105</v>
      </c>
      <c r="H230" s="2">
        <f t="shared" si="14"/>
        <v>5.0999999999999943</v>
      </c>
      <c r="I230" s="1">
        <f t="shared" si="12"/>
        <v>0.66015874335995706</v>
      </c>
      <c r="J230" s="2">
        <v>112</v>
      </c>
      <c r="K230" s="2">
        <v>107</v>
      </c>
      <c r="L230" s="2">
        <f t="shared" si="15"/>
        <v>5</v>
      </c>
      <c r="M230">
        <v>110.9</v>
      </c>
      <c r="N230">
        <v>96.8</v>
      </c>
      <c r="O230">
        <v>0.6</v>
      </c>
    </row>
    <row r="231" spans="1:15">
      <c r="A231" t="s">
        <v>44</v>
      </c>
      <c r="B231" t="s">
        <v>26</v>
      </c>
      <c r="C231">
        <v>41</v>
      </c>
      <c r="D231">
        <v>41</v>
      </c>
      <c r="E231" s="1">
        <f t="shared" si="13"/>
        <v>0.5</v>
      </c>
      <c r="F231" s="2">
        <v>95.4</v>
      </c>
      <c r="G231" s="2">
        <v>96.3</v>
      </c>
      <c r="H231" s="2">
        <f t="shared" si="14"/>
        <v>-0.89999999999999147</v>
      </c>
      <c r="I231" s="1">
        <f t="shared" si="12"/>
        <v>0.46718315355083007</v>
      </c>
      <c r="J231" s="2">
        <v>105.9</v>
      </c>
      <c r="K231" s="2">
        <v>106.8</v>
      </c>
      <c r="L231" s="2">
        <f t="shared" si="15"/>
        <v>-0.89999999999999147</v>
      </c>
      <c r="M231">
        <v>110.6</v>
      </c>
      <c r="N231">
        <v>107.7</v>
      </c>
      <c r="O231">
        <v>0.1</v>
      </c>
    </row>
    <row r="232" spans="1:15">
      <c r="A232" t="s">
        <v>44</v>
      </c>
      <c r="B232" t="s">
        <v>27</v>
      </c>
      <c r="C232">
        <v>38</v>
      </c>
      <c r="D232">
        <v>44</v>
      </c>
      <c r="E232" s="1">
        <f t="shared" si="13"/>
        <v>0.46341463414634149</v>
      </c>
      <c r="F232" s="2">
        <v>102.5</v>
      </c>
      <c r="G232" s="2">
        <v>104.8</v>
      </c>
      <c r="H232" s="2">
        <f t="shared" si="14"/>
        <v>-2.2999999999999972</v>
      </c>
      <c r="I232" s="1">
        <f t="shared" si="12"/>
        <v>0.42295032284639811</v>
      </c>
      <c r="J232" s="2">
        <v>106.2</v>
      </c>
      <c r="K232" s="2">
        <v>108.6</v>
      </c>
      <c r="L232" s="2">
        <f t="shared" si="15"/>
        <v>-2.3999999999999915</v>
      </c>
      <c r="M232">
        <v>109.5</v>
      </c>
      <c r="N232">
        <v>106.7</v>
      </c>
      <c r="O232">
        <v>-0.6</v>
      </c>
    </row>
    <row r="233" spans="1:15">
      <c r="A233" t="s">
        <v>44</v>
      </c>
      <c r="B233" t="s">
        <v>28</v>
      </c>
      <c r="C233">
        <v>56</v>
      </c>
      <c r="D233">
        <v>26</v>
      </c>
      <c r="E233" s="1">
        <f t="shared" si="13"/>
        <v>0.68292682926829273</v>
      </c>
      <c r="F233" s="2">
        <v>95.4</v>
      </c>
      <c r="G233" s="2">
        <v>90.6</v>
      </c>
      <c r="H233" s="2">
        <f t="shared" si="14"/>
        <v>4.8000000000000114</v>
      </c>
      <c r="I233" s="1">
        <f t="shared" si="12"/>
        <v>0.6732103435940866</v>
      </c>
      <c r="J233" s="2">
        <v>106</v>
      </c>
      <c r="K233" s="2">
        <v>100.7</v>
      </c>
      <c r="L233" s="2">
        <f t="shared" si="15"/>
        <v>5.2999999999999972</v>
      </c>
      <c r="M233">
        <v>110.6</v>
      </c>
      <c r="N233">
        <v>100.4</v>
      </c>
      <c r="O233">
        <v>1</v>
      </c>
    </row>
    <row r="234" spans="1:15">
      <c r="A234" t="s">
        <v>44</v>
      </c>
      <c r="B234" t="s">
        <v>29</v>
      </c>
      <c r="C234">
        <v>20</v>
      </c>
      <c r="D234">
        <v>62</v>
      </c>
      <c r="E234" s="1">
        <f t="shared" si="13"/>
        <v>0.24390243902439024</v>
      </c>
      <c r="F234" s="2">
        <v>97.5</v>
      </c>
      <c r="G234" s="2">
        <v>106.3</v>
      </c>
      <c r="H234" s="2">
        <f t="shared" si="14"/>
        <v>-8.7999999999999972</v>
      </c>
      <c r="I234" s="1">
        <f t="shared" si="12"/>
        <v>0.22973985536315381</v>
      </c>
      <c r="J234" s="2">
        <v>99.6</v>
      </c>
      <c r="K234" s="2">
        <v>108.3</v>
      </c>
      <c r="L234" s="2">
        <f t="shared" si="15"/>
        <v>-8.7000000000000028</v>
      </c>
      <c r="M234">
        <v>105.6</v>
      </c>
      <c r="N234">
        <v>105.8</v>
      </c>
      <c r="O234">
        <v>-2.6</v>
      </c>
    </row>
    <row r="235" spans="1:15">
      <c r="A235" t="s">
        <v>44</v>
      </c>
      <c r="B235" t="s">
        <v>30</v>
      </c>
      <c r="C235">
        <v>41</v>
      </c>
      <c r="D235">
        <v>41</v>
      </c>
      <c r="E235" s="1">
        <f t="shared" si="13"/>
        <v>0.5</v>
      </c>
      <c r="F235" s="2">
        <v>100.2</v>
      </c>
      <c r="G235" s="2">
        <v>97.3</v>
      </c>
      <c r="H235" s="2">
        <f t="shared" si="14"/>
        <v>2.9000000000000057</v>
      </c>
      <c r="I235" s="1">
        <f t="shared" si="12"/>
        <v>0.6013681002055381</v>
      </c>
      <c r="J235" s="2">
        <v>108.9</v>
      </c>
      <c r="K235" s="2">
        <v>105.6</v>
      </c>
      <c r="L235" s="2">
        <f t="shared" si="15"/>
        <v>3.3000000000000114</v>
      </c>
      <c r="M235">
        <v>115.5</v>
      </c>
      <c r="N235">
        <v>120.5</v>
      </c>
      <c r="O235">
        <v>0</v>
      </c>
    </row>
    <row r="236" spans="1:15">
      <c r="A236" t="s">
        <v>44</v>
      </c>
      <c r="B236" t="s">
        <v>31</v>
      </c>
      <c r="C236">
        <v>54</v>
      </c>
      <c r="D236">
        <v>28</v>
      </c>
      <c r="E236" s="1">
        <f t="shared" si="13"/>
        <v>0.65853658536585369</v>
      </c>
      <c r="F236" s="2">
        <v>106.2</v>
      </c>
      <c r="G236" s="2">
        <v>99.3</v>
      </c>
      <c r="H236" s="2">
        <f t="shared" si="14"/>
        <v>6.9000000000000057</v>
      </c>
      <c r="I236" s="1">
        <f t="shared" si="12"/>
        <v>0.71920054882030759</v>
      </c>
      <c r="J236" s="2">
        <v>112.1</v>
      </c>
      <c r="K236" s="2">
        <v>104.9</v>
      </c>
      <c r="L236" s="2">
        <f t="shared" si="15"/>
        <v>7.1999999999999886</v>
      </c>
      <c r="M236">
        <v>116.3</v>
      </c>
      <c r="N236">
        <v>118.1</v>
      </c>
      <c r="O236">
        <v>1.5</v>
      </c>
    </row>
    <row r="237" spans="1:15">
      <c r="A237" t="s">
        <v>44</v>
      </c>
      <c r="B237" t="s">
        <v>33</v>
      </c>
      <c r="C237">
        <v>43</v>
      </c>
      <c r="D237">
        <v>39</v>
      </c>
      <c r="E237" s="1">
        <f t="shared" si="13"/>
        <v>0.52439024390243905</v>
      </c>
      <c r="F237" s="2">
        <v>98.8</v>
      </c>
      <c r="G237" s="2">
        <v>99.2</v>
      </c>
      <c r="H237" s="2">
        <f t="shared" si="14"/>
        <v>-0.40000000000000568</v>
      </c>
      <c r="I237" s="1">
        <f t="shared" si="12"/>
        <v>0.48586233608877544</v>
      </c>
      <c r="J237" s="2">
        <v>107.6</v>
      </c>
      <c r="K237" s="2">
        <v>107.9</v>
      </c>
      <c r="L237" s="2">
        <f t="shared" si="15"/>
        <v>-0.30000000000001137</v>
      </c>
      <c r="M237">
        <v>110.5</v>
      </c>
      <c r="N237">
        <v>108.6</v>
      </c>
      <c r="O237">
        <v>-0.1</v>
      </c>
    </row>
    <row r="238" spans="1:15">
      <c r="A238" t="s">
        <v>45</v>
      </c>
      <c r="B238" t="s">
        <v>5</v>
      </c>
      <c r="C238">
        <v>47</v>
      </c>
      <c r="D238">
        <v>35</v>
      </c>
      <c r="E238" s="1">
        <f t="shared" si="13"/>
        <v>0.57317073170731703</v>
      </c>
      <c r="F238" s="2">
        <v>98.1</v>
      </c>
      <c r="G238" s="2">
        <v>96.5</v>
      </c>
      <c r="H238" s="2">
        <f t="shared" si="14"/>
        <v>1.5999999999999943</v>
      </c>
      <c r="I238" s="1">
        <f t="shared" si="12"/>
        <v>0.55730238336398075</v>
      </c>
      <c r="J238" s="2">
        <v>108.3</v>
      </c>
      <c r="K238" s="2">
        <v>106.7</v>
      </c>
      <c r="L238" s="2">
        <f t="shared" si="15"/>
        <v>1.5999999999999943</v>
      </c>
      <c r="M238">
        <v>106.7</v>
      </c>
      <c r="N238">
        <v>93.9</v>
      </c>
      <c r="O238">
        <v>2.1</v>
      </c>
    </row>
    <row r="239" spans="1:15">
      <c r="A239" t="s">
        <v>45</v>
      </c>
      <c r="B239" t="s">
        <v>6</v>
      </c>
      <c r="C239">
        <v>62</v>
      </c>
      <c r="D239">
        <v>20</v>
      </c>
      <c r="E239" s="1">
        <f t="shared" si="13"/>
        <v>0.75609756097560976</v>
      </c>
      <c r="F239" s="2">
        <v>100.9</v>
      </c>
      <c r="G239" s="2">
        <v>93.4</v>
      </c>
      <c r="H239" s="2">
        <f t="shared" si="14"/>
        <v>7.5</v>
      </c>
      <c r="I239" s="1">
        <f t="shared" si="12"/>
        <v>0.74674751044772081</v>
      </c>
      <c r="J239" s="2">
        <v>109.5</v>
      </c>
      <c r="K239" s="2">
        <v>101.6</v>
      </c>
      <c r="L239" s="2">
        <f t="shared" si="15"/>
        <v>7.9000000000000057</v>
      </c>
      <c r="M239">
        <v>113.7</v>
      </c>
      <c r="N239">
        <v>101.4</v>
      </c>
      <c r="O239">
        <v>0.5</v>
      </c>
    </row>
    <row r="240" spans="1:15">
      <c r="A240" t="s">
        <v>45</v>
      </c>
      <c r="B240" t="s">
        <v>40</v>
      </c>
      <c r="C240">
        <v>35</v>
      </c>
      <c r="D240">
        <v>47</v>
      </c>
      <c r="E240" s="1">
        <f t="shared" si="13"/>
        <v>0.42682926829268292</v>
      </c>
      <c r="F240" s="2">
        <v>93.6</v>
      </c>
      <c r="G240" s="2">
        <v>94.9</v>
      </c>
      <c r="H240" s="2">
        <f t="shared" si="14"/>
        <v>-1.3000000000000114</v>
      </c>
      <c r="I240" s="1">
        <f t="shared" si="12"/>
        <v>0.4518728353322306</v>
      </c>
      <c r="J240" s="2">
        <v>103.7</v>
      </c>
      <c r="K240" s="2">
        <v>105</v>
      </c>
      <c r="L240" s="2">
        <f t="shared" si="15"/>
        <v>-1.2999999999999972</v>
      </c>
      <c r="M240">
        <v>97.8</v>
      </c>
      <c r="N240">
        <v>96.9</v>
      </c>
      <c r="O240">
        <v>-0.3</v>
      </c>
    </row>
    <row r="241" spans="1:15">
      <c r="A241" t="s">
        <v>45</v>
      </c>
      <c r="B241" t="s">
        <v>8</v>
      </c>
      <c r="C241">
        <v>41</v>
      </c>
      <c r="D241">
        <v>41</v>
      </c>
      <c r="E241" s="1">
        <f t="shared" si="13"/>
        <v>0.5</v>
      </c>
      <c r="F241" s="2">
        <v>102.2</v>
      </c>
      <c r="G241" s="2">
        <v>102.5</v>
      </c>
      <c r="H241" s="2">
        <f t="shared" si="14"/>
        <v>-0.29999999999999716</v>
      </c>
      <c r="I241" s="1">
        <f t="shared" si="12"/>
        <v>0.48974251653386769</v>
      </c>
      <c r="J241" s="2">
        <v>107.2</v>
      </c>
      <c r="K241" s="2">
        <v>107.5</v>
      </c>
      <c r="L241" s="2">
        <f t="shared" si="15"/>
        <v>-0.29999999999999716</v>
      </c>
      <c r="M241">
        <v>107.2</v>
      </c>
      <c r="N241">
        <v>104.5</v>
      </c>
      <c r="O241">
        <v>1.6</v>
      </c>
    </row>
    <row r="242" spans="1:15">
      <c r="A242" t="s">
        <v>45</v>
      </c>
      <c r="B242" t="s">
        <v>9</v>
      </c>
      <c r="C242">
        <v>66</v>
      </c>
      <c r="D242">
        <v>16</v>
      </c>
      <c r="E242" s="1">
        <f t="shared" si="13"/>
        <v>0.80487804878048785</v>
      </c>
      <c r="F242" s="2">
        <v>100.3</v>
      </c>
      <c r="G242" s="2">
        <v>91.4</v>
      </c>
      <c r="H242" s="2">
        <f t="shared" si="14"/>
        <v>8.8999999999999915</v>
      </c>
      <c r="I242" s="1">
        <f t="shared" si="12"/>
        <v>0.78598355822200683</v>
      </c>
      <c r="J242" s="2">
        <v>111.2</v>
      </c>
      <c r="K242" s="2">
        <v>101.6</v>
      </c>
      <c r="L242" s="2">
        <f t="shared" si="15"/>
        <v>9.6000000000000085</v>
      </c>
      <c r="M242">
        <v>127.1</v>
      </c>
      <c r="N242">
        <v>93.9</v>
      </c>
      <c r="O242">
        <v>2</v>
      </c>
    </row>
    <row r="243" spans="1:15">
      <c r="A243" t="s">
        <v>45</v>
      </c>
      <c r="B243" t="s">
        <v>10</v>
      </c>
      <c r="C243">
        <v>50</v>
      </c>
      <c r="D243">
        <v>32</v>
      </c>
      <c r="E243" s="1">
        <f t="shared" si="13"/>
        <v>0.6097560975609756</v>
      </c>
      <c r="F243" s="2">
        <v>101.7</v>
      </c>
      <c r="G243" s="2">
        <v>99.8</v>
      </c>
      <c r="H243" s="2">
        <f t="shared" si="14"/>
        <v>1.9000000000000057</v>
      </c>
      <c r="I243" s="1">
        <f t="shared" si="12"/>
        <v>0.56562612482912078</v>
      </c>
      <c r="J243" s="2">
        <v>109</v>
      </c>
      <c r="K243" s="2">
        <v>107</v>
      </c>
      <c r="L243" s="2">
        <f t="shared" si="15"/>
        <v>2</v>
      </c>
      <c r="M243">
        <v>113</v>
      </c>
      <c r="N243">
        <v>98.7</v>
      </c>
      <c r="O243">
        <v>-0.2</v>
      </c>
    </row>
    <row r="244" spans="1:15">
      <c r="A244" t="s">
        <v>45</v>
      </c>
      <c r="B244" t="s">
        <v>11</v>
      </c>
      <c r="C244">
        <v>54</v>
      </c>
      <c r="D244">
        <v>28</v>
      </c>
      <c r="E244" s="1">
        <f t="shared" si="13"/>
        <v>0.65853658536585369</v>
      </c>
      <c r="F244" s="2">
        <v>104.3</v>
      </c>
      <c r="G244" s="2">
        <v>100.9</v>
      </c>
      <c r="H244" s="2">
        <f t="shared" si="14"/>
        <v>3.3999999999999915</v>
      </c>
      <c r="I244" s="1">
        <f t="shared" si="12"/>
        <v>0.61395793719078184</v>
      </c>
      <c r="J244" s="2">
        <v>109</v>
      </c>
      <c r="K244" s="2">
        <v>105.6</v>
      </c>
      <c r="L244" s="2">
        <f t="shared" si="15"/>
        <v>3.4000000000000057</v>
      </c>
      <c r="M244">
        <v>108.5</v>
      </c>
      <c r="N244">
        <v>106.3</v>
      </c>
      <c r="O244">
        <v>-0.4</v>
      </c>
    </row>
    <row r="245" spans="1:15">
      <c r="A245" t="s">
        <v>45</v>
      </c>
      <c r="B245" t="s">
        <v>12</v>
      </c>
      <c r="C245">
        <v>39</v>
      </c>
      <c r="D245">
        <v>43</v>
      </c>
      <c r="E245" s="1">
        <f t="shared" si="13"/>
        <v>0.47560975609756095</v>
      </c>
      <c r="F245" s="2">
        <v>94.2</v>
      </c>
      <c r="G245" s="2">
        <v>94.7</v>
      </c>
      <c r="H245" s="2">
        <f t="shared" si="14"/>
        <v>-0.5</v>
      </c>
      <c r="I245" s="1">
        <f t="shared" si="12"/>
        <v>0.48148011126820961</v>
      </c>
      <c r="J245" s="2">
        <v>105.8</v>
      </c>
      <c r="K245" s="2">
        <v>106.4</v>
      </c>
      <c r="L245" s="2">
        <f t="shared" si="15"/>
        <v>-0.60000000000000853</v>
      </c>
      <c r="M245">
        <v>101.4</v>
      </c>
      <c r="N245">
        <v>106.3</v>
      </c>
      <c r="O245">
        <v>-0.5</v>
      </c>
    </row>
    <row r="246" spans="1:15">
      <c r="A246" t="s">
        <v>45</v>
      </c>
      <c r="B246" t="s">
        <v>13</v>
      </c>
      <c r="C246">
        <v>29</v>
      </c>
      <c r="D246">
        <v>53</v>
      </c>
      <c r="E246" s="1">
        <f t="shared" si="13"/>
        <v>0.35365853658536583</v>
      </c>
      <c r="F246" s="2">
        <v>108.6</v>
      </c>
      <c r="G246" s="2">
        <v>112.3</v>
      </c>
      <c r="H246" s="2">
        <f t="shared" si="14"/>
        <v>-3.7000000000000028</v>
      </c>
      <c r="I246" s="1">
        <f t="shared" si="12"/>
        <v>0.38484482323315583</v>
      </c>
      <c r="J246" s="2">
        <v>108</v>
      </c>
      <c r="K246" s="2">
        <v>111.7</v>
      </c>
      <c r="L246" s="2">
        <f t="shared" si="15"/>
        <v>-3.7000000000000028</v>
      </c>
      <c r="M246">
        <v>93.7</v>
      </c>
      <c r="N246">
        <v>111.1</v>
      </c>
      <c r="O246">
        <v>-0.7</v>
      </c>
    </row>
    <row r="247" spans="1:15">
      <c r="A247" t="s">
        <v>45</v>
      </c>
      <c r="B247" t="s">
        <v>14</v>
      </c>
      <c r="C247">
        <v>53</v>
      </c>
      <c r="D247">
        <v>29</v>
      </c>
      <c r="E247" s="1">
        <f t="shared" si="13"/>
        <v>0.64634146341463417</v>
      </c>
      <c r="F247" s="2">
        <v>98.4</v>
      </c>
      <c r="G247" s="2">
        <v>94.4</v>
      </c>
      <c r="H247" s="2">
        <f t="shared" si="14"/>
        <v>4</v>
      </c>
      <c r="I247" s="1">
        <f t="shared" si="12"/>
        <v>0.64129660723482429</v>
      </c>
      <c r="J247" s="2">
        <v>107.1</v>
      </c>
      <c r="K247" s="2">
        <v>102.9</v>
      </c>
      <c r="L247" s="2">
        <f t="shared" si="15"/>
        <v>4.1999999999999886</v>
      </c>
      <c r="M247">
        <v>93.3</v>
      </c>
      <c r="N247">
        <v>103.8</v>
      </c>
      <c r="O247">
        <v>-0.6</v>
      </c>
    </row>
    <row r="248" spans="1:15">
      <c r="A248" t="s">
        <v>45</v>
      </c>
      <c r="B248" t="s">
        <v>15</v>
      </c>
      <c r="C248">
        <v>36</v>
      </c>
      <c r="D248">
        <v>46</v>
      </c>
      <c r="E248" s="1">
        <f t="shared" si="13"/>
        <v>0.43902439024390244</v>
      </c>
      <c r="F248" s="2">
        <v>105.1</v>
      </c>
      <c r="G248" s="2">
        <v>106.2</v>
      </c>
      <c r="H248" s="2">
        <f t="shared" si="14"/>
        <v>-1.1000000000000085</v>
      </c>
      <c r="I248" s="1">
        <f t="shared" si="12"/>
        <v>0.46362297938992397</v>
      </c>
      <c r="J248" s="2">
        <v>107.2</v>
      </c>
      <c r="K248" s="2">
        <v>108.2</v>
      </c>
      <c r="L248" s="2">
        <f t="shared" si="15"/>
        <v>-1</v>
      </c>
      <c r="M248">
        <v>102.7</v>
      </c>
      <c r="N248">
        <v>106.5</v>
      </c>
      <c r="O248">
        <v>-0.6</v>
      </c>
    </row>
    <row r="249" spans="1:15">
      <c r="A249" t="s">
        <v>45</v>
      </c>
      <c r="B249" t="s">
        <v>16</v>
      </c>
      <c r="C249">
        <v>19</v>
      </c>
      <c r="D249">
        <v>63</v>
      </c>
      <c r="E249" s="1">
        <f t="shared" si="13"/>
        <v>0.23170731707317074</v>
      </c>
      <c r="F249" s="2">
        <v>95.1</v>
      </c>
      <c r="G249" s="2">
        <v>103.9</v>
      </c>
      <c r="H249" s="2">
        <f t="shared" si="14"/>
        <v>-8.8000000000000114</v>
      </c>
      <c r="I249" s="1">
        <f t="shared" si="12"/>
        <v>0.22461027237292155</v>
      </c>
      <c r="J249" s="2">
        <v>101</v>
      </c>
      <c r="K249" s="2">
        <v>110.1</v>
      </c>
      <c r="L249" s="2">
        <f t="shared" si="15"/>
        <v>-9.0999999999999943</v>
      </c>
      <c r="M249">
        <v>92.9</v>
      </c>
      <c r="N249">
        <v>113.7</v>
      </c>
      <c r="O249">
        <v>-2.2000000000000002</v>
      </c>
    </row>
    <row r="250" spans="1:15">
      <c r="A250" t="s">
        <v>45</v>
      </c>
      <c r="B250" t="s">
        <v>17</v>
      </c>
      <c r="C250">
        <v>65</v>
      </c>
      <c r="D250">
        <v>17</v>
      </c>
      <c r="E250" s="1">
        <f t="shared" si="13"/>
        <v>0.79268292682926833</v>
      </c>
      <c r="F250" s="2">
        <v>106.9</v>
      </c>
      <c r="G250" s="2">
        <v>99.3</v>
      </c>
      <c r="H250" s="2">
        <f t="shared" si="14"/>
        <v>7.6000000000000085</v>
      </c>
      <c r="I250" s="1">
        <f t="shared" si="12"/>
        <v>0.73739553340542874</v>
      </c>
      <c r="J250" s="2">
        <v>111.4</v>
      </c>
      <c r="K250" s="2">
        <v>103.5</v>
      </c>
      <c r="L250" s="2">
        <f t="shared" si="15"/>
        <v>7.9000000000000057</v>
      </c>
      <c r="M250">
        <v>122.7</v>
      </c>
      <c r="N250">
        <v>104.4</v>
      </c>
      <c r="O250">
        <v>1.2</v>
      </c>
    </row>
    <row r="251" spans="1:15">
      <c r="A251" t="s">
        <v>45</v>
      </c>
      <c r="B251" t="s">
        <v>35</v>
      </c>
      <c r="C251">
        <v>24</v>
      </c>
      <c r="D251">
        <v>58</v>
      </c>
      <c r="E251" s="1">
        <f t="shared" si="13"/>
        <v>0.29268292682926828</v>
      </c>
      <c r="F251" s="2">
        <v>93.9</v>
      </c>
      <c r="G251" s="2">
        <v>99.3</v>
      </c>
      <c r="H251" s="2">
        <f t="shared" si="14"/>
        <v>-5.3999999999999915</v>
      </c>
      <c r="I251" s="1">
        <f t="shared" si="12"/>
        <v>0.31371402581860747</v>
      </c>
      <c r="J251" s="2">
        <v>102.3</v>
      </c>
      <c r="K251" s="2">
        <v>108.2</v>
      </c>
      <c r="L251" s="2">
        <f t="shared" si="15"/>
        <v>-5.9000000000000057</v>
      </c>
      <c r="M251">
        <v>90.2</v>
      </c>
      <c r="N251">
        <v>113.7</v>
      </c>
      <c r="O251">
        <v>-1.6</v>
      </c>
    </row>
    <row r="252" spans="1:15">
      <c r="A252" t="s">
        <v>45</v>
      </c>
      <c r="B252" t="s">
        <v>18</v>
      </c>
      <c r="C252">
        <v>43</v>
      </c>
      <c r="D252">
        <v>39</v>
      </c>
      <c r="E252" s="1">
        <f t="shared" si="13"/>
        <v>0.52439024390243905</v>
      </c>
      <c r="F252" s="2">
        <v>98.3</v>
      </c>
      <c r="G252" s="2">
        <v>98</v>
      </c>
      <c r="H252" s="2">
        <f t="shared" si="14"/>
        <v>0.29999999999999716</v>
      </c>
      <c r="I252" s="1">
        <f t="shared" si="12"/>
        <v>0.51069628754963348</v>
      </c>
      <c r="J252" s="2">
        <v>106.8</v>
      </c>
      <c r="K252" s="2">
        <v>106.5</v>
      </c>
      <c r="L252" s="2">
        <f t="shared" si="15"/>
        <v>0.29999999999999716</v>
      </c>
      <c r="M252">
        <v>114.1</v>
      </c>
      <c r="N252">
        <v>112.2</v>
      </c>
      <c r="O252">
        <v>-0.7</v>
      </c>
    </row>
    <row r="253" spans="1:15">
      <c r="A253" t="s">
        <v>45</v>
      </c>
      <c r="B253" t="s">
        <v>19</v>
      </c>
      <c r="C253">
        <v>34</v>
      </c>
      <c r="D253">
        <v>48</v>
      </c>
      <c r="E253" s="1">
        <f t="shared" si="13"/>
        <v>0.41463414634146339</v>
      </c>
      <c r="F253" s="2">
        <v>99.3</v>
      </c>
      <c r="G253" s="2">
        <v>100.4</v>
      </c>
      <c r="H253" s="2">
        <f t="shared" si="14"/>
        <v>-1.1000000000000085</v>
      </c>
      <c r="I253" s="1">
        <f t="shared" si="12"/>
        <v>0.46151802647482632</v>
      </c>
      <c r="J253" s="2">
        <v>105.2</v>
      </c>
      <c r="K253" s="2">
        <v>106.3</v>
      </c>
      <c r="L253" s="2">
        <f t="shared" si="15"/>
        <v>-1.0999999999999943</v>
      </c>
      <c r="M253">
        <v>102</v>
      </c>
      <c r="N253">
        <v>108.9</v>
      </c>
      <c r="O253">
        <v>-1</v>
      </c>
    </row>
    <row r="254" spans="1:15">
      <c r="A254" t="s">
        <v>45</v>
      </c>
      <c r="B254" t="s">
        <v>20</v>
      </c>
      <c r="C254">
        <v>24</v>
      </c>
      <c r="D254">
        <v>58</v>
      </c>
      <c r="E254" s="1">
        <f t="shared" si="13"/>
        <v>0.29268292682926828</v>
      </c>
      <c r="F254" s="2">
        <v>97.8</v>
      </c>
      <c r="G254" s="2">
        <v>102.7</v>
      </c>
      <c r="H254" s="2">
        <f t="shared" si="14"/>
        <v>-4.9000000000000057</v>
      </c>
      <c r="I254" s="1">
        <f t="shared" si="12"/>
        <v>0.33527428063081338</v>
      </c>
      <c r="J254" s="2">
        <v>104.9</v>
      </c>
      <c r="K254" s="2">
        <v>109.9</v>
      </c>
      <c r="L254" s="2">
        <f t="shared" si="15"/>
        <v>-5</v>
      </c>
      <c r="M254">
        <v>100.9</v>
      </c>
      <c r="N254">
        <v>119.7</v>
      </c>
      <c r="O254">
        <v>-1</v>
      </c>
    </row>
    <row r="255" spans="1:15">
      <c r="A255" t="s">
        <v>45</v>
      </c>
      <c r="B255" t="s">
        <v>21</v>
      </c>
      <c r="C255">
        <v>34</v>
      </c>
      <c r="D255">
        <v>48</v>
      </c>
      <c r="E255" s="1">
        <f t="shared" si="13"/>
        <v>0.41463414634146339</v>
      </c>
      <c r="F255" s="2">
        <v>98.1</v>
      </c>
      <c r="G255" s="2">
        <v>100.5</v>
      </c>
      <c r="H255" s="2">
        <f t="shared" si="14"/>
        <v>-2.4000000000000057</v>
      </c>
      <c r="I255" s="1">
        <f t="shared" si="12"/>
        <v>0.41620182026051067</v>
      </c>
      <c r="J255" s="2">
        <v>106.8</v>
      </c>
      <c r="K255" s="2">
        <v>109.5</v>
      </c>
      <c r="L255" s="2">
        <f t="shared" si="15"/>
        <v>-2.7000000000000028</v>
      </c>
      <c r="M255">
        <v>105.3</v>
      </c>
      <c r="N255">
        <v>108.1</v>
      </c>
      <c r="O255">
        <v>1.1000000000000001</v>
      </c>
    </row>
    <row r="256" spans="1:15">
      <c r="A256" t="s">
        <v>45</v>
      </c>
      <c r="B256" t="s">
        <v>37</v>
      </c>
      <c r="C256">
        <v>49</v>
      </c>
      <c r="D256">
        <v>33</v>
      </c>
      <c r="E256" s="1">
        <f t="shared" si="13"/>
        <v>0.59756097560975607</v>
      </c>
      <c r="F256" s="2">
        <v>95.8</v>
      </c>
      <c r="G256" s="2">
        <v>94.3</v>
      </c>
      <c r="H256" s="2">
        <f t="shared" si="14"/>
        <v>1.5</v>
      </c>
      <c r="I256" s="1">
        <f t="shared" si="12"/>
        <v>0.55501163326871295</v>
      </c>
      <c r="J256" s="2">
        <v>107.6</v>
      </c>
      <c r="K256" s="2">
        <v>105.8</v>
      </c>
      <c r="L256" s="2">
        <f t="shared" si="15"/>
        <v>1.7999999999999972</v>
      </c>
      <c r="M256">
        <v>124.8</v>
      </c>
      <c r="N256">
        <v>110.2</v>
      </c>
      <c r="O256">
        <v>0.9</v>
      </c>
    </row>
    <row r="257" spans="1:15">
      <c r="A257" t="s">
        <v>45</v>
      </c>
      <c r="B257" t="s">
        <v>22</v>
      </c>
      <c r="C257">
        <v>32</v>
      </c>
      <c r="D257">
        <v>50</v>
      </c>
      <c r="E257" s="1">
        <f t="shared" si="13"/>
        <v>0.3902439024390244</v>
      </c>
      <c r="F257" s="2">
        <v>105.2</v>
      </c>
      <c r="G257" s="2">
        <v>107.8</v>
      </c>
      <c r="H257" s="2">
        <f t="shared" si="14"/>
        <v>-2.5999999999999943</v>
      </c>
      <c r="I257" s="1">
        <f t="shared" si="12"/>
        <v>0.41537205557839157</v>
      </c>
      <c r="J257" s="2">
        <v>107</v>
      </c>
      <c r="K257" s="2">
        <v>109.4</v>
      </c>
      <c r="L257" s="2">
        <f t="shared" si="15"/>
        <v>-2.4000000000000057</v>
      </c>
      <c r="M257">
        <v>104.4</v>
      </c>
      <c r="N257">
        <v>116.8</v>
      </c>
      <c r="O257">
        <v>-1.3</v>
      </c>
    </row>
    <row r="258" spans="1:15">
      <c r="A258" t="s">
        <v>45</v>
      </c>
      <c r="B258" t="s">
        <v>46</v>
      </c>
      <c r="C258">
        <v>23</v>
      </c>
      <c r="D258">
        <v>59</v>
      </c>
      <c r="E258" s="1">
        <f t="shared" si="13"/>
        <v>0.28048780487804881</v>
      </c>
      <c r="F258" s="2">
        <v>97</v>
      </c>
      <c r="G258" s="2">
        <v>103.1</v>
      </c>
      <c r="H258" s="2">
        <f t="shared" si="14"/>
        <v>-6.0999999999999943</v>
      </c>
      <c r="I258" s="1">
        <f t="shared" ref="I258:I321" si="16">+(F258^14)/((F258^14+G258^14))</f>
        <v>0.29862841677001067</v>
      </c>
      <c r="J258" s="2">
        <v>101.4</v>
      </c>
      <c r="K258" s="2">
        <v>107.6</v>
      </c>
      <c r="L258" s="2">
        <f t="shared" si="15"/>
        <v>-6.1999999999999886</v>
      </c>
      <c r="M258">
        <v>100</v>
      </c>
      <c r="N258">
        <v>101.6</v>
      </c>
      <c r="O258">
        <v>-2.2000000000000002</v>
      </c>
    </row>
    <row r="259" spans="1:15">
      <c r="A259" t="s">
        <v>45</v>
      </c>
      <c r="B259" t="s">
        <v>23</v>
      </c>
      <c r="C259">
        <v>59</v>
      </c>
      <c r="D259">
        <v>23</v>
      </c>
      <c r="E259" s="1">
        <f t="shared" ref="E259:E322" si="17">+C259/(C259+D259)</f>
        <v>0.71951219512195119</v>
      </c>
      <c r="F259" s="2">
        <v>101</v>
      </c>
      <c r="G259" s="2">
        <v>94.4</v>
      </c>
      <c r="H259" s="2">
        <f t="shared" ref="H259:H322" si="18">+F259-G259</f>
        <v>6.5999999999999943</v>
      </c>
      <c r="I259" s="1">
        <f t="shared" si="16"/>
        <v>0.72033264065959124</v>
      </c>
      <c r="J259" s="2">
        <v>108.3</v>
      </c>
      <c r="K259" s="2">
        <v>101.3</v>
      </c>
      <c r="L259" s="2">
        <f t="shared" ref="L259:L322" si="19">+J259-K259</f>
        <v>7</v>
      </c>
      <c r="M259">
        <v>106.3</v>
      </c>
      <c r="N259">
        <v>88.6</v>
      </c>
      <c r="O259">
        <v>1.3</v>
      </c>
    </row>
    <row r="260" spans="1:15">
      <c r="A260" t="s">
        <v>45</v>
      </c>
      <c r="B260" t="s">
        <v>24</v>
      </c>
      <c r="C260">
        <v>41</v>
      </c>
      <c r="D260">
        <v>41</v>
      </c>
      <c r="E260" s="1">
        <f t="shared" si="17"/>
        <v>0.5</v>
      </c>
      <c r="F260" s="2">
        <v>97.4</v>
      </c>
      <c r="G260" s="2">
        <v>97.3</v>
      </c>
      <c r="H260" s="2">
        <f t="shared" si="18"/>
        <v>0.10000000000000853</v>
      </c>
      <c r="I260" s="1">
        <f t="shared" si="16"/>
        <v>0.50359521313575439</v>
      </c>
      <c r="J260" s="2">
        <v>106.3</v>
      </c>
      <c r="K260" s="2">
        <v>106.1</v>
      </c>
      <c r="L260" s="2">
        <f t="shared" si="19"/>
        <v>0.20000000000000284</v>
      </c>
      <c r="M260">
        <v>109.6</v>
      </c>
      <c r="N260">
        <v>97.1</v>
      </c>
      <c r="O260">
        <v>0</v>
      </c>
    </row>
    <row r="261" spans="1:15">
      <c r="A261" t="s">
        <v>45</v>
      </c>
      <c r="B261" t="s">
        <v>25</v>
      </c>
      <c r="C261">
        <v>46</v>
      </c>
      <c r="D261">
        <v>36</v>
      </c>
      <c r="E261" s="1">
        <f t="shared" si="17"/>
        <v>0.56097560975609762</v>
      </c>
      <c r="F261" s="2">
        <v>109.4</v>
      </c>
      <c r="G261" s="2">
        <v>107.5</v>
      </c>
      <c r="H261" s="2">
        <f t="shared" si="18"/>
        <v>1.9000000000000057</v>
      </c>
      <c r="I261" s="1">
        <f t="shared" si="16"/>
        <v>0.56101455538977274</v>
      </c>
      <c r="J261" s="2">
        <v>112.4</v>
      </c>
      <c r="K261" s="2">
        <v>110.4</v>
      </c>
      <c r="L261" s="2">
        <f t="shared" si="19"/>
        <v>2</v>
      </c>
      <c r="M261">
        <v>111.9</v>
      </c>
      <c r="N261">
        <v>109.8</v>
      </c>
      <c r="O261">
        <v>1.5</v>
      </c>
    </row>
    <row r="262" spans="1:15">
      <c r="A262" t="s">
        <v>45</v>
      </c>
      <c r="B262" t="s">
        <v>26</v>
      </c>
      <c r="C262">
        <v>54</v>
      </c>
      <c r="D262">
        <v>28</v>
      </c>
      <c r="E262" s="1">
        <f t="shared" si="17"/>
        <v>0.65853658536585369</v>
      </c>
      <c r="F262" s="2">
        <v>99.4</v>
      </c>
      <c r="G262" s="2">
        <v>94.1</v>
      </c>
      <c r="H262" s="2">
        <f t="shared" si="18"/>
        <v>5.3000000000000114</v>
      </c>
      <c r="I262" s="1">
        <f t="shared" si="16"/>
        <v>0.68289690002087911</v>
      </c>
      <c r="J262" s="2">
        <v>112.1</v>
      </c>
      <c r="K262" s="2">
        <v>106.1</v>
      </c>
      <c r="L262" s="2">
        <f t="shared" si="19"/>
        <v>6</v>
      </c>
      <c r="M262">
        <v>104</v>
      </c>
      <c r="N262">
        <v>97.8</v>
      </c>
      <c r="O262">
        <v>2.5</v>
      </c>
    </row>
    <row r="263" spans="1:15">
      <c r="A263" t="s">
        <v>45</v>
      </c>
      <c r="B263" t="s">
        <v>27</v>
      </c>
      <c r="C263">
        <v>17</v>
      </c>
      <c r="D263">
        <v>65</v>
      </c>
      <c r="E263" s="1">
        <f t="shared" si="17"/>
        <v>0.2073170731707317</v>
      </c>
      <c r="F263" s="2">
        <v>100.6</v>
      </c>
      <c r="G263" s="2">
        <v>109.3</v>
      </c>
      <c r="H263" s="2">
        <f t="shared" si="18"/>
        <v>-8.7000000000000028</v>
      </c>
      <c r="I263" s="1">
        <f t="shared" si="16"/>
        <v>0.23844605223588522</v>
      </c>
      <c r="J263" s="2">
        <v>104.4</v>
      </c>
      <c r="K263" s="2">
        <v>113.4</v>
      </c>
      <c r="L263" s="2">
        <f t="shared" si="19"/>
        <v>-9</v>
      </c>
      <c r="M263">
        <v>93.2</v>
      </c>
      <c r="N263">
        <v>104.6</v>
      </c>
      <c r="O263">
        <v>-1.2</v>
      </c>
    </row>
    <row r="264" spans="1:15">
      <c r="A264" t="s">
        <v>45</v>
      </c>
      <c r="B264" t="s">
        <v>28</v>
      </c>
      <c r="C264">
        <v>54</v>
      </c>
      <c r="D264">
        <v>28</v>
      </c>
      <c r="E264" s="1">
        <f t="shared" si="17"/>
        <v>0.65853658536585369</v>
      </c>
      <c r="F264" s="2">
        <v>97</v>
      </c>
      <c r="G264" s="2">
        <v>93.3</v>
      </c>
      <c r="H264" s="2">
        <f t="shared" si="18"/>
        <v>3.7000000000000028</v>
      </c>
      <c r="I264" s="1">
        <f t="shared" si="16"/>
        <v>0.63285214825789127</v>
      </c>
      <c r="J264" s="2">
        <v>107.6</v>
      </c>
      <c r="K264" s="2">
        <v>103.4</v>
      </c>
      <c r="L264" s="2">
        <f t="shared" si="19"/>
        <v>4.1999999999999886</v>
      </c>
      <c r="M264">
        <v>104.3</v>
      </c>
      <c r="N264">
        <v>95.9</v>
      </c>
      <c r="O264">
        <v>0.7</v>
      </c>
    </row>
    <row r="265" spans="1:15">
      <c r="A265" t="s">
        <v>45</v>
      </c>
      <c r="B265" t="s">
        <v>30</v>
      </c>
      <c r="C265">
        <v>33</v>
      </c>
      <c r="D265">
        <v>49</v>
      </c>
      <c r="E265" s="1">
        <f t="shared" si="17"/>
        <v>0.40243902439024393</v>
      </c>
      <c r="F265" s="2">
        <v>99</v>
      </c>
      <c r="G265" s="2">
        <v>101.9</v>
      </c>
      <c r="H265" s="2">
        <f t="shared" si="18"/>
        <v>-2.9000000000000057</v>
      </c>
      <c r="I265" s="1">
        <f t="shared" si="16"/>
        <v>0.4003014410465785</v>
      </c>
      <c r="J265" s="2">
        <v>105.5</v>
      </c>
      <c r="K265" s="2">
        <v>108.6</v>
      </c>
      <c r="L265" s="2">
        <f t="shared" si="19"/>
        <v>-3.0999999999999943</v>
      </c>
      <c r="M265">
        <v>107</v>
      </c>
      <c r="N265">
        <v>111</v>
      </c>
      <c r="O265">
        <v>-0.5</v>
      </c>
    </row>
    <row r="266" spans="1:15">
      <c r="A266" t="s">
        <v>45</v>
      </c>
      <c r="B266" t="s">
        <v>31</v>
      </c>
      <c r="C266">
        <v>48</v>
      </c>
      <c r="D266">
        <v>34</v>
      </c>
      <c r="E266" s="1">
        <f t="shared" si="17"/>
        <v>0.58536585365853655</v>
      </c>
      <c r="F266" s="2">
        <v>103.6</v>
      </c>
      <c r="G266" s="2">
        <v>100.9</v>
      </c>
      <c r="H266" s="2">
        <f t="shared" si="18"/>
        <v>2.6999999999999886</v>
      </c>
      <c r="I266" s="1">
        <f t="shared" si="16"/>
        <v>0.59138736414412263</v>
      </c>
      <c r="J266" s="2">
        <v>108.5</v>
      </c>
      <c r="K266" s="2">
        <v>105.8</v>
      </c>
      <c r="L266" s="2">
        <f t="shared" si="19"/>
        <v>2.7000000000000028</v>
      </c>
      <c r="M266">
        <v>109.6</v>
      </c>
      <c r="N266">
        <v>103.4</v>
      </c>
      <c r="O266">
        <v>1.2</v>
      </c>
    </row>
    <row r="267" spans="1:15">
      <c r="A267" t="s">
        <v>45</v>
      </c>
      <c r="B267" t="s">
        <v>33</v>
      </c>
      <c r="C267">
        <v>19</v>
      </c>
      <c r="D267">
        <v>63</v>
      </c>
      <c r="E267" s="1">
        <f t="shared" si="17"/>
        <v>0.23170731707317074</v>
      </c>
      <c r="F267" s="2">
        <v>96.1</v>
      </c>
      <c r="G267" s="2">
        <v>103.5</v>
      </c>
      <c r="H267" s="2">
        <f t="shared" si="18"/>
        <v>-7.4000000000000057</v>
      </c>
      <c r="I267" s="1">
        <f t="shared" si="16"/>
        <v>0.26142945333120382</v>
      </c>
      <c r="J267" s="2">
        <v>104</v>
      </c>
      <c r="K267" s="2">
        <v>112.1</v>
      </c>
      <c r="L267" s="2">
        <f t="shared" si="19"/>
        <v>-8.0999999999999943</v>
      </c>
      <c r="M267">
        <v>98.5</v>
      </c>
      <c r="N267">
        <v>118.7</v>
      </c>
      <c r="O267">
        <v>-1.6</v>
      </c>
    </row>
    <row r="268" spans="1:15">
      <c r="A268" t="s">
        <v>47</v>
      </c>
      <c r="B268" t="s">
        <v>5</v>
      </c>
      <c r="C268">
        <v>53</v>
      </c>
      <c r="D268">
        <v>29</v>
      </c>
      <c r="E268" s="1">
        <f t="shared" si="17"/>
        <v>0.64634146341463417</v>
      </c>
      <c r="F268" s="2">
        <v>101.7</v>
      </c>
      <c r="G268" s="2">
        <v>97</v>
      </c>
      <c r="H268" s="2">
        <f t="shared" si="18"/>
        <v>4.7000000000000028</v>
      </c>
      <c r="I268" s="1">
        <f t="shared" si="16"/>
        <v>0.65980571592524628</v>
      </c>
      <c r="J268" s="2">
        <v>111</v>
      </c>
      <c r="K268" s="2">
        <v>106</v>
      </c>
      <c r="L268" s="2">
        <f t="shared" si="19"/>
        <v>5</v>
      </c>
      <c r="M268">
        <v>105.7</v>
      </c>
      <c r="N268">
        <v>103.7</v>
      </c>
      <c r="O268">
        <v>0.3</v>
      </c>
    </row>
    <row r="269" spans="1:15">
      <c r="A269" t="s">
        <v>47</v>
      </c>
      <c r="B269" t="s">
        <v>6</v>
      </c>
      <c r="C269">
        <v>50</v>
      </c>
      <c r="D269">
        <v>32</v>
      </c>
      <c r="E269" s="1">
        <f t="shared" si="17"/>
        <v>0.6097560975609756</v>
      </c>
      <c r="F269" s="2">
        <v>99.2</v>
      </c>
      <c r="G269" s="2">
        <v>95.6</v>
      </c>
      <c r="H269" s="2">
        <f t="shared" si="18"/>
        <v>3.6000000000000085</v>
      </c>
      <c r="I269" s="1">
        <f t="shared" si="16"/>
        <v>0.62656597319638863</v>
      </c>
      <c r="J269" s="2">
        <v>106.9</v>
      </c>
      <c r="K269" s="2">
        <v>103.2</v>
      </c>
      <c r="L269" s="2">
        <f t="shared" si="19"/>
        <v>3.7000000000000028</v>
      </c>
      <c r="M269">
        <v>101.2</v>
      </c>
      <c r="N269">
        <v>95</v>
      </c>
      <c r="O269">
        <v>0</v>
      </c>
    </row>
    <row r="270" spans="1:15">
      <c r="A270" t="s">
        <v>47</v>
      </c>
      <c r="B270" t="s">
        <v>40</v>
      </c>
      <c r="C270">
        <v>44</v>
      </c>
      <c r="D270">
        <v>38</v>
      </c>
      <c r="E270" s="1">
        <f t="shared" si="17"/>
        <v>0.53658536585365857</v>
      </c>
      <c r="F270" s="2">
        <v>95.3</v>
      </c>
      <c r="G270" s="2">
        <v>93.8</v>
      </c>
      <c r="H270" s="2">
        <f t="shared" si="18"/>
        <v>1.5</v>
      </c>
      <c r="I270" s="1">
        <f t="shared" si="16"/>
        <v>0.55530018627834388</v>
      </c>
      <c r="J270" s="2">
        <v>103.9</v>
      </c>
      <c r="K270" s="2">
        <v>102</v>
      </c>
      <c r="L270" s="2">
        <f t="shared" si="19"/>
        <v>1.9000000000000057</v>
      </c>
      <c r="M270">
        <v>98.2</v>
      </c>
      <c r="N270">
        <v>98.8</v>
      </c>
      <c r="O270">
        <v>0.2</v>
      </c>
    </row>
    <row r="271" spans="1:15">
      <c r="A271" t="s">
        <v>47</v>
      </c>
      <c r="B271" t="s">
        <v>8</v>
      </c>
      <c r="C271">
        <v>41</v>
      </c>
      <c r="D271">
        <v>41</v>
      </c>
      <c r="E271" s="1">
        <f t="shared" si="17"/>
        <v>0.5</v>
      </c>
      <c r="F271" s="2">
        <v>97.5</v>
      </c>
      <c r="G271" s="2">
        <v>99.1</v>
      </c>
      <c r="H271" s="2">
        <f t="shared" si="18"/>
        <v>-1.5999999999999943</v>
      </c>
      <c r="I271" s="1">
        <f t="shared" si="16"/>
        <v>0.44327553553702231</v>
      </c>
      <c r="J271" s="2">
        <v>102.6</v>
      </c>
      <c r="K271" s="2">
        <v>104.2</v>
      </c>
      <c r="L271" s="2">
        <f t="shared" si="19"/>
        <v>-1.6000000000000085</v>
      </c>
      <c r="M271">
        <v>97.2</v>
      </c>
      <c r="N271">
        <v>98</v>
      </c>
      <c r="O271">
        <v>-0.3</v>
      </c>
    </row>
    <row r="272" spans="1:15">
      <c r="A272" t="s">
        <v>47</v>
      </c>
      <c r="B272" t="s">
        <v>9</v>
      </c>
      <c r="C272">
        <v>61</v>
      </c>
      <c r="D272">
        <v>21</v>
      </c>
      <c r="E272" s="1">
        <f t="shared" si="17"/>
        <v>0.74390243902439024</v>
      </c>
      <c r="F272" s="2">
        <v>102.1</v>
      </c>
      <c r="G272" s="2">
        <v>95.6</v>
      </c>
      <c r="H272" s="2">
        <f t="shared" si="18"/>
        <v>6.5</v>
      </c>
      <c r="I272" s="1">
        <f t="shared" si="16"/>
        <v>0.71522925438381391</v>
      </c>
      <c r="J272" s="2">
        <v>110.6</v>
      </c>
      <c r="K272" s="2">
        <v>103.8</v>
      </c>
      <c r="L272" s="2">
        <f t="shared" si="19"/>
        <v>6.7999999999999972</v>
      </c>
      <c r="M272">
        <v>115.9</v>
      </c>
      <c r="N272">
        <v>93.2</v>
      </c>
      <c r="O272">
        <v>1</v>
      </c>
    </row>
    <row r="273" spans="1:15">
      <c r="A273" t="s">
        <v>47</v>
      </c>
      <c r="B273" t="s">
        <v>10</v>
      </c>
      <c r="C273">
        <v>55</v>
      </c>
      <c r="D273">
        <v>27</v>
      </c>
      <c r="E273" s="1">
        <f t="shared" si="17"/>
        <v>0.67073170731707321</v>
      </c>
      <c r="F273" s="2">
        <v>102</v>
      </c>
      <c r="G273" s="2">
        <v>99.3</v>
      </c>
      <c r="H273" s="2">
        <f t="shared" si="18"/>
        <v>2.7000000000000028</v>
      </c>
      <c r="I273" s="1">
        <f t="shared" si="16"/>
        <v>0.59280694774061193</v>
      </c>
      <c r="J273" s="2">
        <v>107.8</v>
      </c>
      <c r="K273" s="2">
        <v>105</v>
      </c>
      <c r="L273" s="2">
        <f t="shared" si="19"/>
        <v>2.7999999999999972</v>
      </c>
      <c r="M273">
        <v>114.1</v>
      </c>
      <c r="N273">
        <v>95.3</v>
      </c>
      <c r="O273">
        <v>0.6</v>
      </c>
    </row>
    <row r="274" spans="1:15">
      <c r="A274" t="s">
        <v>47</v>
      </c>
      <c r="B274" t="s">
        <v>11</v>
      </c>
      <c r="C274">
        <v>53</v>
      </c>
      <c r="D274">
        <v>29</v>
      </c>
      <c r="E274" s="1">
        <f t="shared" si="17"/>
        <v>0.64634146341463417</v>
      </c>
      <c r="F274" s="2">
        <v>106.5</v>
      </c>
      <c r="G274" s="2">
        <v>102.4</v>
      </c>
      <c r="H274" s="2">
        <f t="shared" si="18"/>
        <v>4.0999999999999943</v>
      </c>
      <c r="I274" s="1">
        <f t="shared" si="16"/>
        <v>0.63404645270509008</v>
      </c>
      <c r="J274" s="2">
        <v>110.8</v>
      </c>
      <c r="K274" s="2">
        <v>106.5</v>
      </c>
      <c r="L274" s="2">
        <f t="shared" si="19"/>
        <v>4.2999999999999972</v>
      </c>
      <c r="M274">
        <v>117.7</v>
      </c>
      <c r="N274">
        <v>110.2</v>
      </c>
      <c r="O274">
        <v>1.6</v>
      </c>
    </row>
    <row r="275" spans="1:15">
      <c r="A275" t="s">
        <v>47</v>
      </c>
      <c r="B275" t="s">
        <v>12</v>
      </c>
      <c r="C275">
        <v>27</v>
      </c>
      <c r="D275">
        <v>55</v>
      </c>
      <c r="E275" s="1">
        <f t="shared" si="17"/>
        <v>0.32926829268292684</v>
      </c>
      <c r="F275" s="2">
        <v>94</v>
      </c>
      <c r="G275" s="2">
        <v>99.1</v>
      </c>
      <c r="H275" s="2">
        <f t="shared" si="18"/>
        <v>-5.0999999999999943</v>
      </c>
      <c r="I275" s="1">
        <f t="shared" si="16"/>
        <v>0.32307297980123056</v>
      </c>
      <c r="J275" s="2">
        <v>104.5</v>
      </c>
      <c r="K275" s="2">
        <v>110.3</v>
      </c>
      <c r="L275" s="2">
        <f t="shared" si="19"/>
        <v>-5.7999999999999972</v>
      </c>
      <c r="M275">
        <v>98.1</v>
      </c>
      <c r="N275">
        <v>105.1</v>
      </c>
      <c r="O275">
        <v>-1.1000000000000001</v>
      </c>
    </row>
    <row r="276" spans="1:15">
      <c r="A276" t="s">
        <v>47</v>
      </c>
      <c r="B276" t="s">
        <v>13</v>
      </c>
      <c r="C276">
        <v>26</v>
      </c>
      <c r="D276">
        <v>56</v>
      </c>
      <c r="E276" s="1">
        <f t="shared" si="17"/>
        <v>0.31707317073170732</v>
      </c>
      <c r="F276" s="2">
        <v>108.8</v>
      </c>
      <c r="G276" s="2">
        <v>112.4</v>
      </c>
      <c r="H276" s="2">
        <f t="shared" si="18"/>
        <v>-3.6000000000000085</v>
      </c>
      <c r="I276" s="1">
        <f t="shared" si="16"/>
        <v>0.38799774425602013</v>
      </c>
      <c r="J276" s="2">
        <v>107</v>
      </c>
      <c r="K276" s="2">
        <v>110.3</v>
      </c>
      <c r="L276" s="2">
        <f t="shared" si="19"/>
        <v>-3.2999999999999972</v>
      </c>
      <c r="M276">
        <v>94.4</v>
      </c>
      <c r="N276">
        <v>113.4</v>
      </c>
      <c r="O276">
        <v>1.4</v>
      </c>
    </row>
    <row r="277" spans="1:15">
      <c r="A277" t="s">
        <v>47</v>
      </c>
      <c r="B277" t="s">
        <v>14</v>
      </c>
      <c r="C277">
        <v>42</v>
      </c>
      <c r="D277">
        <v>40</v>
      </c>
      <c r="E277" s="1">
        <f t="shared" si="17"/>
        <v>0.51219512195121952</v>
      </c>
      <c r="F277" s="2">
        <v>102.4</v>
      </c>
      <c r="G277" s="2">
        <v>102.7</v>
      </c>
      <c r="H277" s="2">
        <f t="shared" si="18"/>
        <v>-0.29999999999999716</v>
      </c>
      <c r="I277" s="1">
        <f t="shared" si="16"/>
        <v>0.48976251580890345</v>
      </c>
      <c r="J277" s="2">
        <v>106.8</v>
      </c>
      <c r="K277" s="2">
        <v>106.8</v>
      </c>
      <c r="L277" s="2">
        <f t="shared" si="19"/>
        <v>0</v>
      </c>
      <c r="M277">
        <v>103.5</v>
      </c>
      <c r="N277">
        <v>97.2</v>
      </c>
      <c r="O277">
        <v>-0.8</v>
      </c>
    </row>
    <row r="278" spans="1:15">
      <c r="A278" t="s">
        <v>47</v>
      </c>
      <c r="B278" t="s">
        <v>15</v>
      </c>
      <c r="C278">
        <v>32</v>
      </c>
      <c r="D278">
        <v>50</v>
      </c>
      <c r="E278" s="1">
        <f t="shared" si="17"/>
        <v>0.3902439024390244</v>
      </c>
      <c r="F278" s="2">
        <v>100.8</v>
      </c>
      <c r="G278" s="2">
        <v>103.8</v>
      </c>
      <c r="H278" s="2">
        <f t="shared" si="18"/>
        <v>-3</v>
      </c>
      <c r="I278" s="1">
        <f t="shared" si="16"/>
        <v>0.39877147110517808</v>
      </c>
      <c r="J278" s="2">
        <v>103</v>
      </c>
      <c r="K278" s="2">
        <v>106</v>
      </c>
      <c r="L278" s="2">
        <f t="shared" si="19"/>
        <v>-3</v>
      </c>
      <c r="M278">
        <v>84</v>
      </c>
      <c r="N278">
        <v>103.9</v>
      </c>
      <c r="O278">
        <v>0.2</v>
      </c>
    </row>
    <row r="279" spans="1:15">
      <c r="A279" t="s">
        <v>47</v>
      </c>
      <c r="B279" t="s">
        <v>16</v>
      </c>
      <c r="C279">
        <v>29</v>
      </c>
      <c r="D279">
        <v>53</v>
      </c>
      <c r="E279" s="1">
        <f t="shared" si="17"/>
        <v>0.35365853658536583</v>
      </c>
      <c r="F279" s="2">
        <v>95.7</v>
      </c>
      <c r="G279" s="2">
        <v>102.1</v>
      </c>
      <c r="H279" s="2">
        <f t="shared" si="18"/>
        <v>-6.3999999999999915</v>
      </c>
      <c r="I279" s="1">
        <f t="shared" si="16"/>
        <v>0.28776126250180661</v>
      </c>
      <c r="J279" s="2">
        <v>102.3</v>
      </c>
      <c r="K279" s="2">
        <v>109.1</v>
      </c>
      <c r="L279" s="2">
        <f t="shared" si="19"/>
        <v>-6.7999999999999972</v>
      </c>
      <c r="M279">
        <v>106</v>
      </c>
      <c r="N279">
        <v>91.3</v>
      </c>
      <c r="O279">
        <v>-2.1</v>
      </c>
    </row>
    <row r="280" spans="1:15">
      <c r="A280" t="s">
        <v>47</v>
      </c>
      <c r="B280" t="s">
        <v>17</v>
      </c>
      <c r="C280">
        <v>57</v>
      </c>
      <c r="D280">
        <v>25</v>
      </c>
      <c r="E280" s="1">
        <f t="shared" si="17"/>
        <v>0.69512195121951215</v>
      </c>
      <c r="F280" s="2">
        <v>101.7</v>
      </c>
      <c r="G280" s="2">
        <v>97</v>
      </c>
      <c r="H280" s="2">
        <f t="shared" si="18"/>
        <v>4.7000000000000028</v>
      </c>
      <c r="I280" s="1">
        <f t="shared" si="16"/>
        <v>0.65980571592524628</v>
      </c>
      <c r="J280" s="2">
        <v>107.6</v>
      </c>
      <c r="K280" s="2">
        <v>102.7</v>
      </c>
      <c r="L280" s="2">
        <f t="shared" si="19"/>
        <v>4.8999999999999915</v>
      </c>
      <c r="M280">
        <v>99.7</v>
      </c>
      <c r="N280">
        <v>95.9</v>
      </c>
      <c r="O280">
        <v>0.2</v>
      </c>
    </row>
    <row r="281" spans="1:15">
      <c r="A281" t="s">
        <v>47</v>
      </c>
      <c r="B281" t="s">
        <v>35</v>
      </c>
      <c r="C281">
        <v>40</v>
      </c>
      <c r="D281">
        <v>42</v>
      </c>
      <c r="E281" s="1">
        <f t="shared" si="17"/>
        <v>0.48780487804878048</v>
      </c>
      <c r="F281" s="2">
        <v>102.5</v>
      </c>
      <c r="G281" s="2">
        <v>104</v>
      </c>
      <c r="H281" s="2">
        <f t="shared" si="18"/>
        <v>-1.5</v>
      </c>
      <c r="I281" s="1">
        <f t="shared" si="16"/>
        <v>0.44932622081798346</v>
      </c>
      <c r="J281" s="2">
        <v>107.5</v>
      </c>
      <c r="K281" s="2">
        <v>109</v>
      </c>
      <c r="L281" s="2">
        <f t="shared" si="19"/>
        <v>-1.5</v>
      </c>
      <c r="M281">
        <v>98.2</v>
      </c>
      <c r="N281">
        <v>99</v>
      </c>
      <c r="O281">
        <v>-1.5</v>
      </c>
    </row>
    <row r="282" spans="1:15">
      <c r="A282" t="s">
        <v>47</v>
      </c>
      <c r="B282" t="s">
        <v>18</v>
      </c>
      <c r="C282">
        <v>47</v>
      </c>
      <c r="D282">
        <v>35</v>
      </c>
      <c r="E282" s="1">
        <f t="shared" si="17"/>
        <v>0.57317073170731703</v>
      </c>
      <c r="F282" s="2">
        <v>96.5</v>
      </c>
      <c r="G282" s="2">
        <v>94.2</v>
      </c>
      <c r="H282" s="2">
        <f t="shared" si="18"/>
        <v>2.2999999999999972</v>
      </c>
      <c r="I282" s="1">
        <f t="shared" si="16"/>
        <v>0.58363647422814535</v>
      </c>
      <c r="J282" s="2">
        <v>105.7</v>
      </c>
      <c r="K282" s="2">
        <v>103.4</v>
      </c>
      <c r="L282" s="2">
        <f t="shared" si="19"/>
        <v>2.2999999999999972</v>
      </c>
      <c r="M282">
        <v>102.9</v>
      </c>
      <c r="N282">
        <v>101.7</v>
      </c>
      <c r="O282">
        <v>-0.9</v>
      </c>
    </row>
    <row r="283" spans="1:15">
      <c r="A283" t="s">
        <v>47</v>
      </c>
      <c r="B283" t="s">
        <v>19</v>
      </c>
      <c r="C283">
        <v>46</v>
      </c>
      <c r="D283">
        <v>36</v>
      </c>
      <c r="E283" s="1">
        <f t="shared" si="17"/>
        <v>0.56097560975609762</v>
      </c>
      <c r="F283" s="2">
        <v>97.7</v>
      </c>
      <c r="G283" s="2">
        <v>96</v>
      </c>
      <c r="H283" s="2">
        <f t="shared" si="18"/>
        <v>1.7000000000000028</v>
      </c>
      <c r="I283" s="1">
        <f t="shared" si="16"/>
        <v>0.56112945331002462</v>
      </c>
      <c r="J283" s="2">
        <v>104</v>
      </c>
      <c r="K283" s="2">
        <v>101.9</v>
      </c>
      <c r="L283" s="2">
        <f t="shared" si="19"/>
        <v>2.0999999999999943</v>
      </c>
      <c r="M283">
        <v>99.6</v>
      </c>
      <c r="N283">
        <v>95.1</v>
      </c>
      <c r="O283">
        <v>0.2</v>
      </c>
    </row>
    <row r="284" spans="1:15">
      <c r="A284" t="s">
        <v>47</v>
      </c>
      <c r="B284" t="s">
        <v>20</v>
      </c>
      <c r="C284">
        <v>15</v>
      </c>
      <c r="D284">
        <v>67</v>
      </c>
      <c r="E284" s="1">
        <f t="shared" si="17"/>
        <v>0.18292682926829268</v>
      </c>
      <c r="F284" s="2">
        <v>98.2</v>
      </c>
      <c r="G284" s="2">
        <v>107.8</v>
      </c>
      <c r="H284" s="2">
        <f t="shared" si="18"/>
        <v>-9.5999999999999943</v>
      </c>
      <c r="I284" s="1">
        <f t="shared" si="16"/>
        <v>0.21319047062273172</v>
      </c>
      <c r="J284" s="2">
        <v>100.6</v>
      </c>
      <c r="K284" s="2">
        <v>110.4</v>
      </c>
      <c r="L284" s="2">
        <f t="shared" si="19"/>
        <v>-9.8000000000000114</v>
      </c>
      <c r="M284">
        <v>102.7</v>
      </c>
      <c r="N284">
        <v>108.9</v>
      </c>
      <c r="O284">
        <v>0.3</v>
      </c>
    </row>
    <row r="285" spans="1:15">
      <c r="A285" t="s">
        <v>47</v>
      </c>
      <c r="B285" t="s">
        <v>21</v>
      </c>
      <c r="C285">
        <v>12</v>
      </c>
      <c r="D285">
        <v>70</v>
      </c>
      <c r="E285" s="1">
        <f t="shared" si="17"/>
        <v>0.14634146341463414</v>
      </c>
      <c r="F285" s="2">
        <v>92.4</v>
      </c>
      <c r="G285" s="2">
        <v>101.5</v>
      </c>
      <c r="H285" s="2">
        <f t="shared" si="18"/>
        <v>-9.0999999999999943</v>
      </c>
      <c r="I285" s="1">
        <f t="shared" si="16"/>
        <v>0.21164377791033548</v>
      </c>
      <c r="J285" s="2">
        <v>99.3</v>
      </c>
      <c r="K285" s="2">
        <v>108.9</v>
      </c>
      <c r="L285" s="2">
        <f t="shared" si="19"/>
        <v>-9.6000000000000085</v>
      </c>
      <c r="M285">
        <v>84.5</v>
      </c>
      <c r="N285">
        <v>109.7</v>
      </c>
      <c r="O285">
        <v>-1.1000000000000001</v>
      </c>
    </row>
    <row r="286" spans="1:15">
      <c r="A286" t="s">
        <v>47</v>
      </c>
      <c r="B286" t="s">
        <v>37</v>
      </c>
      <c r="C286">
        <v>37</v>
      </c>
      <c r="D286">
        <v>45</v>
      </c>
      <c r="E286" s="1">
        <f t="shared" si="17"/>
        <v>0.45121951219512196</v>
      </c>
      <c r="F286" s="2">
        <v>100.2</v>
      </c>
      <c r="G286" s="2">
        <v>102.7</v>
      </c>
      <c r="H286" s="2">
        <f t="shared" si="18"/>
        <v>-2.5</v>
      </c>
      <c r="I286" s="1">
        <f t="shared" si="16"/>
        <v>0.41459179126180778</v>
      </c>
      <c r="J286" s="2">
        <v>106.5</v>
      </c>
      <c r="K286" s="2">
        <v>108.9</v>
      </c>
      <c r="L286" s="2">
        <f t="shared" si="19"/>
        <v>-2.4000000000000057</v>
      </c>
      <c r="M286">
        <v>109</v>
      </c>
      <c r="N286">
        <v>99.2</v>
      </c>
      <c r="O286">
        <v>0.3</v>
      </c>
    </row>
    <row r="287" spans="1:15">
      <c r="A287" t="s">
        <v>47</v>
      </c>
      <c r="B287" t="s">
        <v>22</v>
      </c>
      <c r="C287">
        <v>29</v>
      </c>
      <c r="D287">
        <v>53</v>
      </c>
      <c r="E287" s="1">
        <f t="shared" si="17"/>
        <v>0.35365853658536583</v>
      </c>
      <c r="F287" s="2">
        <v>102.1</v>
      </c>
      <c r="G287" s="2">
        <v>105.9</v>
      </c>
      <c r="H287" s="2">
        <f t="shared" si="18"/>
        <v>-3.8000000000000114</v>
      </c>
      <c r="I287" s="1">
        <f t="shared" si="16"/>
        <v>0.3748196047848904</v>
      </c>
      <c r="J287" s="2">
        <v>106.4</v>
      </c>
      <c r="K287" s="2">
        <v>110.3</v>
      </c>
      <c r="L287" s="2">
        <f t="shared" si="19"/>
        <v>-3.8999999999999915</v>
      </c>
      <c r="M287">
        <v>99.7</v>
      </c>
      <c r="N287">
        <v>97.4</v>
      </c>
      <c r="O287">
        <v>1</v>
      </c>
    </row>
    <row r="288" spans="1:15">
      <c r="A288" t="s">
        <v>47</v>
      </c>
      <c r="B288" t="s">
        <v>46</v>
      </c>
      <c r="C288">
        <v>50</v>
      </c>
      <c r="D288">
        <v>32</v>
      </c>
      <c r="E288" s="1">
        <f t="shared" si="17"/>
        <v>0.6097560975609756</v>
      </c>
      <c r="F288" s="2">
        <v>101.5</v>
      </c>
      <c r="G288" s="2">
        <v>98</v>
      </c>
      <c r="H288" s="2">
        <f t="shared" si="18"/>
        <v>3.5</v>
      </c>
      <c r="I288" s="1">
        <f t="shared" si="16"/>
        <v>0.62040756265639296</v>
      </c>
      <c r="J288" s="2">
        <v>107</v>
      </c>
      <c r="K288" s="2">
        <v>103.5</v>
      </c>
      <c r="L288" s="2">
        <f t="shared" si="19"/>
        <v>3.5</v>
      </c>
      <c r="M288">
        <v>92.3</v>
      </c>
      <c r="N288">
        <v>98</v>
      </c>
      <c r="O288">
        <v>-0.6</v>
      </c>
    </row>
    <row r="289" spans="1:15">
      <c r="A289" t="s">
        <v>47</v>
      </c>
      <c r="B289" t="s">
        <v>23</v>
      </c>
      <c r="C289">
        <v>59</v>
      </c>
      <c r="D289">
        <v>23</v>
      </c>
      <c r="E289" s="1">
        <f t="shared" si="17"/>
        <v>0.71951219512195119</v>
      </c>
      <c r="F289" s="2">
        <v>102.8</v>
      </c>
      <c r="G289" s="2">
        <v>95.3</v>
      </c>
      <c r="H289" s="2">
        <f t="shared" si="18"/>
        <v>7.5</v>
      </c>
      <c r="I289" s="1">
        <f t="shared" si="16"/>
        <v>0.74280090861208392</v>
      </c>
      <c r="J289" s="2">
        <v>110.7</v>
      </c>
      <c r="K289" s="2">
        <v>102.8</v>
      </c>
      <c r="L289" s="2">
        <f t="shared" si="19"/>
        <v>7.9000000000000057</v>
      </c>
      <c r="M289">
        <v>107.6</v>
      </c>
      <c r="N289">
        <v>100</v>
      </c>
      <c r="O289">
        <v>1.3</v>
      </c>
    </row>
    <row r="290" spans="1:15">
      <c r="A290" t="s">
        <v>47</v>
      </c>
      <c r="B290" t="s">
        <v>24</v>
      </c>
      <c r="C290">
        <v>27</v>
      </c>
      <c r="D290">
        <v>55</v>
      </c>
      <c r="E290" s="1">
        <f t="shared" si="17"/>
        <v>0.32926829268292684</v>
      </c>
      <c r="F290" s="2">
        <v>97.7</v>
      </c>
      <c r="G290" s="2">
        <v>101.6</v>
      </c>
      <c r="H290" s="2">
        <f t="shared" si="18"/>
        <v>-3.8999999999999915</v>
      </c>
      <c r="I290" s="1">
        <f t="shared" si="16"/>
        <v>0.36633141190976742</v>
      </c>
      <c r="J290" s="2">
        <v>104.8</v>
      </c>
      <c r="K290" s="2">
        <v>108.9</v>
      </c>
      <c r="L290" s="2">
        <f t="shared" si="19"/>
        <v>-4.1000000000000085</v>
      </c>
      <c r="M290">
        <v>93.9</v>
      </c>
      <c r="N290">
        <v>111.1</v>
      </c>
      <c r="O290">
        <v>-1.4</v>
      </c>
    </row>
    <row r="291" spans="1:15">
      <c r="A291" t="s">
        <v>47</v>
      </c>
      <c r="B291" t="s">
        <v>25</v>
      </c>
      <c r="C291">
        <v>54</v>
      </c>
      <c r="D291">
        <v>28</v>
      </c>
      <c r="E291" s="1">
        <f t="shared" si="17"/>
        <v>0.65853658536585369</v>
      </c>
      <c r="F291" s="2">
        <v>110.2</v>
      </c>
      <c r="G291" s="2">
        <v>105.3</v>
      </c>
      <c r="H291" s="2">
        <f t="shared" si="18"/>
        <v>4.9000000000000057</v>
      </c>
      <c r="I291" s="1">
        <f t="shared" si="16"/>
        <v>0.654022652875209</v>
      </c>
      <c r="J291" s="2">
        <v>113.9</v>
      </c>
      <c r="K291" s="2">
        <v>109.1</v>
      </c>
      <c r="L291" s="2">
        <f t="shared" si="19"/>
        <v>4.8000000000000114</v>
      </c>
      <c r="M291">
        <v>118.3</v>
      </c>
      <c r="N291">
        <v>112.5</v>
      </c>
      <c r="O291">
        <v>0.8</v>
      </c>
    </row>
    <row r="292" spans="1:15">
      <c r="A292" t="s">
        <v>47</v>
      </c>
      <c r="B292" t="s">
        <v>26</v>
      </c>
      <c r="C292">
        <v>50</v>
      </c>
      <c r="D292">
        <v>32</v>
      </c>
      <c r="E292" s="1">
        <f t="shared" si="17"/>
        <v>0.6097560975609756</v>
      </c>
      <c r="F292" s="2">
        <v>98.1</v>
      </c>
      <c r="G292" s="2">
        <v>94.8</v>
      </c>
      <c r="H292" s="2">
        <f t="shared" si="18"/>
        <v>3.2999999999999972</v>
      </c>
      <c r="I292" s="1">
        <f t="shared" si="16"/>
        <v>0.61752385224098172</v>
      </c>
      <c r="J292" s="2">
        <v>109.6</v>
      </c>
      <c r="K292" s="2">
        <v>106.1</v>
      </c>
      <c r="L292" s="2">
        <f t="shared" si="19"/>
        <v>3.5</v>
      </c>
      <c r="M292">
        <v>100.8</v>
      </c>
      <c r="N292">
        <v>96.2</v>
      </c>
      <c r="O292">
        <v>0.4</v>
      </c>
    </row>
    <row r="293" spans="1:15">
      <c r="A293" t="s">
        <v>47</v>
      </c>
      <c r="B293" t="s">
        <v>27</v>
      </c>
      <c r="C293">
        <v>25</v>
      </c>
      <c r="D293">
        <v>57</v>
      </c>
      <c r="E293" s="1">
        <f t="shared" si="17"/>
        <v>0.3048780487804878</v>
      </c>
      <c r="F293" s="2">
        <v>100</v>
      </c>
      <c r="G293" s="2">
        <v>104.4</v>
      </c>
      <c r="H293" s="2">
        <f t="shared" si="18"/>
        <v>-4.4000000000000057</v>
      </c>
      <c r="I293" s="1">
        <f t="shared" si="16"/>
        <v>0.35369584952753241</v>
      </c>
      <c r="J293" s="2">
        <v>104.4</v>
      </c>
      <c r="K293" s="2">
        <v>109.1</v>
      </c>
      <c r="L293" s="2">
        <f t="shared" si="19"/>
        <v>-4.6999999999999886</v>
      </c>
      <c r="M293">
        <v>98.1</v>
      </c>
      <c r="N293">
        <v>114.8</v>
      </c>
      <c r="O293">
        <v>-0.9</v>
      </c>
    </row>
    <row r="294" spans="1:15">
      <c r="A294" t="s">
        <v>47</v>
      </c>
      <c r="B294" t="s">
        <v>28</v>
      </c>
      <c r="C294">
        <v>50</v>
      </c>
      <c r="D294">
        <v>32</v>
      </c>
      <c r="E294" s="1">
        <f t="shared" si="17"/>
        <v>0.6097560975609756</v>
      </c>
      <c r="F294" s="2">
        <v>101.4</v>
      </c>
      <c r="G294" s="2">
        <v>96.3</v>
      </c>
      <c r="H294" s="2">
        <f t="shared" si="18"/>
        <v>5.1000000000000085</v>
      </c>
      <c r="I294" s="1">
        <f t="shared" si="16"/>
        <v>0.67314999462615233</v>
      </c>
      <c r="J294" s="2">
        <v>109.3</v>
      </c>
      <c r="K294" s="2">
        <v>103.9</v>
      </c>
      <c r="L294" s="2">
        <f t="shared" si="19"/>
        <v>5.3999999999999915</v>
      </c>
      <c r="M294">
        <v>99.3</v>
      </c>
      <c r="N294">
        <v>112.2</v>
      </c>
      <c r="O294">
        <v>0.9</v>
      </c>
    </row>
    <row r="295" spans="1:15">
      <c r="A295" t="s">
        <v>47</v>
      </c>
      <c r="B295" t="s">
        <v>30</v>
      </c>
      <c r="C295">
        <v>40</v>
      </c>
      <c r="D295">
        <v>42</v>
      </c>
      <c r="E295" s="1">
        <f t="shared" si="17"/>
        <v>0.48780487804878048</v>
      </c>
      <c r="F295" s="2">
        <v>104.1</v>
      </c>
      <c r="G295" s="2">
        <v>105.9</v>
      </c>
      <c r="H295" s="2">
        <f t="shared" si="18"/>
        <v>-1.8000000000000114</v>
      </c>
      <c r="I295" s="1">
        <f t="shared" si="16"/>
        <v>0.44028490223940814</v>
      </c>
      <c r="J295" s="2">
        <v>110.2</v>
      </c>
      <c r="K295" s="2">
        <v>112.2</v>
      </c>
      <c r="L295" s="2">
        <f t="shared" si="19"/>
        <v>-2</v>
      </c>
      <c r="M295">
        <v>114.5</v>
      </c>
      <c r="N295">
        <v>101.9</v>
      </c>
      <c r="O295">
        <v>-0.5</v>
      </c>
    </row>
    <row r="296" spans="1:15">
      <c r="A296" t="s">
        <v>47</v>
      </c>
      <c r="B296" t="s">
        <v>31</v>
      </c>
      <c r="C296">
        <v>53</v>
      </c>
      <c r="D296">
        <v>29</v>
      </c>
      <c r="E296" s="1">
        <f t="shared" si="17"/>
        <v>0.64634146341463417</v>
      </c>
      <c r="F296" s="2">
        <v>104.2</v>
      </c>
      <c r="G296" s="2">
        <v>98.9</v>
      </c>
      <c r="H296" s="2">
        <f t="shared" si="18"/>
        <v>5.2999999999999972</v>
      </c>
      <c r="I296" s="1">
        <f t="shared" si="16"/>
        <v>0.67498968076198662</v>
      </c>
      <c r="J296" s="2">
        <v>109.7</v>
      </c>
      <c r="K296" s="2">
        <v>104</v>
      </c>
      <c r="L296" s="2">
        <f t="shared" si="19"/>
        <v>5.7000000000000028</v>
      </c>
      <c r="M296">
        <v>105.9</v>
      </c>
      <c r="N296">
        <v>110.6</v>
      </c>
      <c r="O296">
        <v>1.5</v>
      </c>
    </row>
    <row r="297" spans="1:15">
      <c r="A297" t="s">
        <v>47</v>
      </c>
      <c r="B297" t="s">
        <v>33</v>
      </c>
      <c r="C297">
        <v>26</v>
      </c>
      <c r="D297">
        <v>56</v>
      </c>
      <c r="E297" s="1">
        <f t="shared" si="17"/>
        <v>0.31707317073170732</v>
      </c>
      <c r="F297" s="2">
        <v>96.2</v>
      </c>
      <c r="G297" s="2">
        <v>101</v>
      </c>
      <c r="H297" s="2">
        <f t="shared" si="18"/>
        <v>-4.7999999999999972</v>
      </c>
      <c r="I297" s="1">
        <f t="shared" si="16"/>
        <v>0.33588728853069855</v>
      </c>
      <c r="J297" s="2">
        <v>103.1</v>
      </c>
      <c r="K297" s="2">
        <v>108.3</v>
      </c>
      <c r="L297" s="2">
        <f t="shared" si="19"/>
        <v>-5.2000000000000028</v>
      </c>
      <c r="M297">
        <v>94.2</v>
      </c>
      <c r="N297">
        <v>103.1</v>
      </c>
      <c r="O297">
        <v>-1</v>
      </c>
    </row>
    <row r="298" spans="1:15">
      <c r="A298" t="s">
        <v>48</v>
      </c>
      <c r="B298" t="s">
        <v>5</v>
      </c>
      <c r="C298">
        <v>44</v>
      </c>
      <c r="D298">
        <v>38</v>
      </c>
      <c r="E298" s="1">
        <f t="shared" si="17"/>
        <v>0.53658536585365857</v>
      </c>
      <c r="F298" s="2">
        <v>95</v>
      </c>
      <c r="G298" s="2">
        <v>95.8</v>
      </c>
      <c r="H298" s="2">
        <f t="shared" si="18"/>
        <v>-0.79999999999999716</v>
      </c>
      <c r="I298" s="1">
        <f t="shared" si="16"/>
        <v>0.47068338807108751</v>
      </c>
      <c r="J298" s="2">
        <v>105.1</v>
      </c>
      <c r="K298" s="2">
        <v>105.8</v>
      </c>
      <c r="L298" s="2">
        <f t="shared" si="19"/>
        <v>-0.70000000000000284</v>
      </c>
      <c r="M298">
        <v>112.6</v>
      </c>
      <c r="N298">
        <v>103.5</v>
      </c>
      <c r="O298">
        <v>-1.5</v>
      </c>
    </row>
    <row r="299" spans="1:15">
      <c r="A299" t="s">
        <v>48</v>
      </c>
      <c r="B299" t="s">
        <v>6</v>
      </c>
      <c r="C299">
        <v>56</v>
      </c>
      <c r="D299">
        <v>26</v>
      </c>
      <c r="E299" s="1">
        <f t="shared" si="17"/>
        <v>0.68292682926829273</v>
      </c>
      <c r="F299" s="2">
        <v>96.5</v>
      </c>
      <c r="G299" s="2">
        <v>91.1</v>
      </c>
      <c r="H299" s="2">
        <f t="shared" si="18"/>
        <v>5.4000000000000057</v>
      </c>
      <c r="I299" s="1">
        <f t="shared" si="16"/>
        <v>0.69129763241570297</v>
      </c>
      <c r="J299" s="2">
        <v>105.5</v>
      </c>
      <c r="K299" s="2">
        <v>99.8</v>
      </c>
      <c r="L299" s="2">
        <f t="shared" si="19"/>
        <v>5.7000000000000028</v>
      </c>
      <c r="M299">
        <v>98.7</v>
      </c>
      <c r="N299">
        <v>98.6</v>
      </c>
      <c r="O299">
        <v>0.5</v>
      </c>
    </row>
    <row r="300" spans="1:15">
      <c r="A300" t="s">
        <v>48</v>
      </c>
      <c r="B300" t="s">
        <v>40</v>
      </c>
      <c r="C300">
        <v>34</v>
      </c>
      <c r="D300">
        <v>48</v>
      </c>
      <c r="E300" s="1">
        <f t="shared" si="17"/>
        <v>0.41463414634146339</v>
      </c>
      <c r="F300" s="2">
        <v>93.3</v>
      </c>
      <c r="G300" s="2">
        <v>97.3</v>
      </c>
      <c r="H300" s="2">
        <f t="shared" si="18"/>
        <v>-4</v>
      </c>
      <c r="I300" s="1">
        <f t="shared" si="16"/>
        <v>0.35716175877963002</v>
      </c>
      <c r="J300" s="2">
        <v>102.8</v>
      </c>
      <c r="K300" s="2">
        <v>107</v>
      </c>
      <c r="L300" s="2">
        <f t="shared" si="19"/>
        <v>-4.2000000000000028</v>
      </c>
      <c r="M300">
        <v>105.8</v>
      </c>
      <c r="N300">
        <v>98</v>
      </c>
      <c r="O300">
        <v>0</v>
      </c>
    </row>
    <row r="301" spans="1:15">
      <c r="A301" t="s">
        <v>48</v>
      </c>
      <c r="B301" t="s">
        <v>8</v>
      </c>
      <c r="C301">
        <v>62</v>
      </c>
      <c r="D301">
        <v>20</v>
      </c>
      <c r="E301" s="1">
        <f t="shared" si="17"/>
        <v>0.75609756097560976</v>
      </c>
      <c r="F301" s="2">
        <v>98.6</v>
      </c>
      <c r="G301" s="2">
        <v>91.3</v>
      </c>
      <c r="H301" s="2">
        <f t="shared" si="18"/>
        <v>7.2999999999999972</v>
      </c>
      <c r="I301" s="1">
        <f t="shared" si="16"/>
        <v>0.7459043561062102</v>
      </c>
      <c r="J301" s="2">
        <v>107.2</v>
      </c>
      <c r="K301" s="2">
        <v>99.5</v>
      </c>
      <c r="L301" s="2">
        <f t="shared" si="19"/>
        <v>7.7000000000000028</v>
      </c>
      <c r="M301">
        <v>106.7</v>
      </c>
      <c r="N301">
        <v>88.9</v>
      </c>
      <c r="O301">
        <v>2.2999999999999998</v>
      </c>
    </row>
    <row r="302" spans="1:15">
      <c r="A302" t="s">
        <v>48</v>
      </c>
      <c r="B302" t="s">
        <v>9</v>
      </c>
      <c r="C302">
        <v>19</v>
      </c>
      <c r="D302">
        <v>63</v>
      </c>
      <c r="E302" s="1">
        <f t="shared" si="17"/>
        <v>0.23170731707317074</v>
      </c>
      <c r="F302" s="2">
        <v>95.5</v>
      </c>
      <c r="G302" s="2">
        <v>104.5</v>
      </c>
      <c r="H302" s="2">
        <f t="shared" si="18"/>
        <v>-9</v>
      </c>
      <c r="I302" s="1">
        <f t="shared" si="16"/>
        <v>0.22082734006674018</v>
      </c>
      <c r="J302" s="2">
        <v>101.5</v>
      </c>
      <c r="K302" s="2">
        <v>110.9</v>
      </c>
      <c r="L302" s="2">
        <f t="shared" si="19"/>
        <v>-9.4000000000000057</v>
      </c>
      <c r="M302">
        <v>110.9</v>
      </c>
      <c r="N302">
        <v>102.2</v>
      </c>
      <c r="O302">
        <v>-0.8</v>
      </c>
    </row>
    <row r="303" spans="1:15">
      <c r="A303" t="s">
        <v>48</v>
      </c>
      <c r="B303" t="s">
        <v>10</v>
      </c>
      <c r="C303">
        <v>57</v>
      </c>
      <c r="D303">
        <v>25</v>
      </c>
      <c r="E303" s="1">
        <f t="shared" si="17"/>
        <v>0.69512195121951215</v>
      </c>
      <c r="F303" s="2">
        <v>100.2</v>
      </c>
      <c r="G303" s="2">
        <v>96</v>
      </c>
      <c r="H303" s="2">
        <f t="shared" si="18"/>
        <v>4.2000000000000028</v>
      </c>
      <c r="I303" s="1">
        <f t="shared" si="16"/>
        <v>0.64553732038759359</v>
      </c>
      <c r="J303" s="2">
        <v>108.4</v>
      </c>
      <c r="K303" s="2">
        <v>104.1</v>
      </c>
      <c r="L303" s="2">
        <f t="shared" si="19"/>
        <v>4.3000000000000114</v>
      </c>
      <c r="M303">
        <v>118.3</v>
      </c>
      <c r="N303">
        <v>88.8</v>
      </c>
      <c r="O303">
        <v>1.5</v>
      </c>
    </row>
    <row r="304" spans="1:15">
      <c r="A304" t="s">
        <v>48</v>
      </c>
      <c r="B304" t="s">
        <v>11</v>
      </c>
      <c r="C304">
        <v>50</v>
      </c>
      <c r="D304">
        <v>32</v>
      </c>
      <c r="E304" s="1">
        <f t="shared" si="17"/>
        <v>0.6097560975609756</v>
      </c>
      <c r="F304" s="2">
        <v>107.5</v>
      </c>
      <c r="G304" s="2">
        <v>102.7</v>
      </c>
      <c r="H304" s="2">
        <f t="shared" si="18"/>
        <v>4.7999999999999972</v>
      </c>
      <c r="I304" s="1">
        <f t="shared" si="16"/>
        <v>0.65464093009494817</v>
      </c>
      <c r="J304" s="2">
        <v>111.7</v>
      </c>
      <c r="K304" s="2">
        <v>106.8</v>
      </c>
      <c r="L304" s="2">
        <f t="shared" si="19"/>
        <v>4.9000000000000057</v>
      </c>
      <c r="M304">
        <v>107.4</v>
      </c>
      <c r="N304">
        <v>101.7</v>
      </c>
      <c r="O304">
        <v>0.8</v>
      </c>
    </row>
    <row r="305" spans="1:15">
      <c r="A305" t="s">
        <v>48</v>
      </c>
      <c r="B305" t="s">
        <v>12</v>
      </c>
      <c r="C305">
        <v>30</v>
      </c>
      <c r="D305">
        <v>52</v>
      </c>
      <c r="E305" s="1">
        <f t="shared" si="17"/>
        <v>0.36585365853658536</v>
      </c>
      <c r="F305" s="2">
        <v>97</v>
      </c>
      <c r="G305" s="2">
        <v>100.6</v>
      </c>
      <c r="H305" s="2">
        <f t="shared" si="18"/>
        <v>-3.5999999999999943</v>
      </c>
      <c r="I305" s="1">
        <f t="shared" si="16"/>
        <v>0.37515182060576369</v>
      </c>
      <c r="J305" s="2">
        <v>107</v>
      </c>
      <c r="K305" s="2">
        <v>110.7</v>
      </c>
      <c r="L305" s="2">
        <f t="shared" si="19"/>
        <v>-3.7000000000000028</v>
      </c>
      <c r="M305">
        <v>99.4</v>
      </c>
      <c r="N305">
        <v>103.6</v>
      </c>
      <c r="O305">
        <v>-1.1000000000000001</v>
      </c>
    </row>
    <row r="306" spans="1:15">
      <c r="A306" t="s">
        <v>48</v>
      </c>
      <c r="B306" t="s">
        <v>13</v>
      </c>
      <c r="C306">
        <v>36</v>
      </c>
      <c r="D306">
        <v>46</v>
      </c>
      <c r="E306" s="1">
        <f t="shared" si="17"/>
        <v>0.43902439024390244</v>
      </c>
      <c r="F306" s="2">
        <v>103.4</v>
      </c>
      <c r="G306" s="2">
        <v>105.7</v>
      </c>
      <c r="H306" s="2">
        <f t="shared" si="18"/>
        <v>-2.2999999999999972</v>
      </c>
      <c r="I306" s="1">
        <f t="shared" si="16"/>
        <v>0.42360322763648928</v>
      </c>
      <c r="J306" s="2">
        <v>107.1</v>
      </c>
      <c r="K306" s="2">
        <v>109.4</v>
      </c>
      <c r="L306" s="2">
        <f t="shared" si="19"/>
        <v>-2.3000000000000114</v>
      </c>
      <c r="M306">
        <v>113</v>
      </c>
      <c r="N306">
        <v>111.2</v>
      </c>
      <c r="O306">
        <v>-0.1</v>
      </c>
    </row>
    <row r="307" spans="1:15">
      <c r="A307" t="s">
        <v>48</v>
      </c>
      <c r="B307" t="s">
        <v>14</v>
      </c>
      <c r="C307">
        <v>43</v>
      </c>
      <c r="D307">
        <v>39</v>
      </c>
      <c r="E307" s="1">
        <f t="shared" si="17"/>
        <v>0.52439024390243905</v>
      </c>
      <c r="F307" s="2">
        <v>105.9</v>
      </c>
      <c r="G307" s="2">
        <v>103.7</v>
      </c>
      <c r="H307" s="2">
        <f t="shared" si="18"/>
        <v>2.2000000000000028</v>
      </c>
      <c r="I307" s="1">
        <f t="shared" si="16"/>
        <v>0.57295160820263835</v>
      </c>
      <c r="J307" s="2">
        <v>110.2</v>
      </c>
      <c r="K307" s="2">
        <v>107.9</v>
      </c>
      <c r="L307" s="2">
        <f t="shared" si="19"/>
        <v>2.2999999999999972</v>
      </c>
      <c r="M307">
        <v>99.5</v>
      </c>
      <c r="N307">
        <v>112.1</v>
      </c>
      <c r="O307">
        <v>-0.5</v>
      </c>
    </row>
    <row r="308" spans="1:15">
      <c r="A308" t="s">
        <v>48</v>
      </c>
      <c r="B308" t="s">
        <v>15</v>
      </c>
      <c r="C308">
        <v>37</v>
      </c>
      <c r="D308">
        <v>45</v>
      </c>
      <c r="E308" s="1">
        <f t="shared" si="17"/>
        <v>0.45121951219512196</v>
      </c>
      <c r="F308" s="2">
        <v>99.8</v>
      </c>
      <c r="G308" s="2">
        <v>100.9</v>
      </c>
      <c r="H308" s="2">
        <f t="shared" si="18"/>
        <v>-1.1000000000000085</v>
      </c>
      <c r="I308" s="1">
        <f t="shared" si="16"/>
        <v>0.4617090166605291</v>
      </c>
      <c r="J308" s="2">
        <v>104.1</v>
      </c>
      <c r="K308" s="2">
        <v>105</v>
      </c>
      <c r="L308" s="2">
        <f t="shared" si="19"/>
        <v>-0.90000000000000568</v>
      </c>
      <c r="M308">
        <v>96.3</v>
      </c>
      <c r="N308">
        <v>104.4</v>
      </c>
      <c r="O308">
        <v>-1.5</v>
      </c>
    </row>
    <row r="309" spans="1:15">
      <c r="A309" t="s">
        <v>48</v>
      </c>
      <c r="B309" t="s">
        <v>16</v>
      </c>
      <c r="C309">
        <v>32</v>
      </c>
      <c r="D309">
        <v>50</v>
      </c>
      <c r="E309" s="1">
        <f t="shared" si="17"/>
        <v>0.3902439024390244</v>
      </c>
      <c r="F309" s="2">
        <v>98.6</v>
      </c>
      <c r="G309" s="2">
        <v>101.8</v>
      </c>
      <c r="H309" s="2">
        <f t="shared" si="18"/>
        <v>-3.2000000000000028</v>
      </c>
      <c r="I309" s="1">
        <f t="shared" si="16"/>
        <v>0.39004006855823664</v>
      </c>
      <c r="J309" s="2">
        <v>104.8</v>
      </c>
      <c r="K309" s="2">
        <v>108</v>
      </c>
      <c r="L309" s="2">
        <f t="shared" si="19"/>
        <v>-3.2000000000000028</v>
      </c>
      <c r="M309">
        <v>107.1</v>
      </c>
      <c r="N309">
        <v>108.2</v>
      </c>
      <c r="O309">
        <v>-1.1000000000000001</v>
      </c>
    </row>
    <row r="310" spans="1:15">
      <c r="A310" t="s">
        <v>48</v>
      </c>
      <c r="B310" t="s">
        <v>17</v>
      </c>
      <c r="C310">
        <v>57</v>
      </c>
      <c r="D310">
        <v>25</v>
      </c>
      <c r="E310" s="1">
        <f t="shared" si="17"/>
        <v>0.69512195121951215</v>
      </c>
      <c r="F310" s="2">
        <v>101.5</v>
      </c>
      <c r="G310" s="2">
        <v>95.4</v>
      </c>
      <c r="H310" s="2">
        <f t="shared" si="18"/>
        <v>6.0999999999999943</v>
      </c>
      <c r="I310" s="1">
        <f t="shared" si="16"/>
        <v>0.70427169761914954</v>
      </c>
      <c r="J310" s="2">
        <v>109.6</v>
      </c>
      <c r="K310" s="2">
        <v>103.3</v>
      </c>
      <c r="L310" s="2">
        <f t="shared" si="19"/>
        <v>6.2999999999999972</v>
      </c>
      <c r="M310">
        <v>108</v>
      </c>
      <c r="N310">
        <v>98.7</v>
      </c>
      <c r="O310">
        <v>0</v>
      </c>
    </row>
    <row r="311" spans="1:15">
      <c r="A311" t="s">
        <v>48</v>
      </c>
      <c r="B311" t="s">
        <v>35</v>
      </c>
      <c r="C311">
        <v>46</v>
      </c>
      <c r="D311">
        <v>36</v>
      </c>
      <c r="E311" s="1">
        <f t="shared" si="17"/>
        <v>0.56097560975609762</v>
      </c>
      <c r="F311" s="2">
        <v>99.9</v>
      </c>
      <c r="G311" s="2">
        <v>97.6</v>
      </c>
      <c r="H311" s="2">
        <f t="shared" si="18"/>
        <v>2.3000000000000114</v>
      </c>
      <c r="I311" s="1">
        <f t="shared" si="16"/>
        <v>0.58080787890560803</v>
      </c>
      <c r="J311" s="2">
        <v>107</v>
      </c>
      <c r="K311" s="2">
        <v>104.5</v>
      </c>
      <c r="L311" s="2">
        <f t="shared" si="19"/>
        <v>2.5</v>
      </c>
      <c r="M311">
        <v>101.7</v>
      </c>
      <c r="N311">
        <v>108.5</v>
      </c>
      <c r="O311">
        <v>1</v>
      </c>
    </row>
    <row r="312" spans="1:15">
      <c r="A312" t="s">
        <v>48</v>
      </c>
      <c r="B312" t="s">
        <v>18</v>
      </c>
      <c r="C312">
        <v>58</v>
      </c>
      <c r="D312">
        <v>24</v>
      </c>
      <c r="E312" s="1">
        <f t="shared" si="17"/>
        <v>0.70731707317073167</v>
      </c>
      <c r="F312" s="2">
        <v>102.1</v>
      </c>
      <c r="G312" s="2">
        <v>94.6</v>
      </c>
      <c r="H312" s="2">
        <f t="shared" si="18"/>
        <v>7.5</v>
      </c>
      <c r="I312" s="1">
        <f t="shared" si="16"/>
        <v>0.7442417947513682</v>
      </c>
      <c r="J312" s="2">
        <v>110.6</v>
      </c>
      <c r="K312" s="2">
        <v>102.9</v>
      </c>
      <c r="L312" s="2">
        <f t="shared" si="19"/>
        <v>7.6999999999999886</v>
      </c>
      <c r="M312">
        <v>113.5</v>
      </c>
      <c r="N312">
        <v>102.8</v>
      </c>
      <c r="O312">
        <v>1.4</v>
      </c>
    </row>
    <row r="313" spans="1:15">
      <c r="A313" t="s">
        <v>48</v>
      </c>
      <c r="B313" t="s">
        <v>19</v>
      </c>
      <c r="C313">
        <v>35</v>
      </c>
      <c r="D313">
        <v>47</v>
      </c>
      <c r="E313" s="1">
        <f t="shared" si="17"/>
        <v>0.42682926829268292</v>
      </c>
      <c r="F313" s="2">
        <v>91.9</v>
      </c>
      <c r="G313" s="2">
        <v>92.7</v>
      </c>
      <c r="H313" s="2">
        <f t="shared" si="18"/>
        <v>-0.79999999999999716</v>
      </c>
      <c r="I313" s="1">
        <f t="shared" si="16"/>
        <v>0.46970111742339138</v>
      </c>
      <c r="J313" s="2">
        <v>100.8</v>
      </c>
      <c r="K313" s="2">
        <v>101.5</v>
      </c>
      <c r="L313" s="2">
        <f t="shared" si="19"/>
        <v>-0.70000000000000284</v>
      </c>
      <c r="M313">
        <v>90.8</v>
      </c>
      <c r="N313">
        <v>95.2</v>
      </c>
      <c r="O313">
        <v>0.4</v>
      </c>
    </row>
    <row r="314" spans="1:15">
      <c r="A314" t="s">
        <v>48</v>
      </c>
      <c r="B314" t="s">
        <v>20</v>
      </c>
      <c r="C314">
        <v>17</v>
      </c>
      <c r="D314">
        <v>65</v>
      </c>
      <c r="E314" s="1">
        <f t="shared" si="17"/>
        <v>0.2073170731707317</v>
      </c>
      <c r="F314" s="2">
        <v>101.1</v>
      </c>
      <c r="G314" s="2">
        <v>107.7</v>
      </c>
      <c r="H314" s="2">
        <f t="shared" si="18"/>
        <v>-6.6000000000000085</v>
      </c>
      <c r="I314" s="1">
        <f t="shared" si="16"/>
        <v>0.2920698563562486</v>
      </c>
      <c r="J314" s="2">
        <v>103.2</v>
      </c>
      <c r="K314" s="2">
        <v>109.9</v>
      </c>
      <c r="L314" s="2">
        <f t="shared" si="19"/>
        <v>-6.7000000000000028</v>
      </c>
      <c r="M314">
        <v>91.1</v>
      </c>
      <c r="N314">
        <v>129.80000000000001</v>
      </c>
      <c r="O314">
        <v>-1.7</v>
      </c>
    </row>
    <row r="315" spans="1:15">
      <c r="A315" t="s">
        <v>48</v>
      </c>
      <c r="B315" t="s">
        <v>21</v>
      </c>
      <c r="C315">
        <v>24</v>
      </c>
      <c r="D315">
        <v>58</v>
      </c>
      <c r="E315" s="1">
        <f t="shared" si="17"/>
        <v>0.29268292682926828</v>
      </c>
      <c r="F315" s="2">
        <v>94.2</v>
      </c>
      <c r="G315" s="2">
        <v>100.4</v>
      </c>
      <c r="H315" s="2">
        <f t="shared" si="18"/>
        <v>-6.2000000000000028</v>
      </c>
      <c r="I315" s="1">
        <f t="shared" si="16"/>
        <v>0.29061719989236251</v>
      </c>
      <c r="J315" s="2">
        <v>102.1</v>
      </c>
      <c r="K315" s="2">
        <v>108.9</v>
      </c>
      <c r="L315" s="2">
        <f t="shared" si="19"/>
        <v>-6.8000000000000114</v>
      </c>
      <c r="M315">
        <v>100.5</v>
      </c>
      <c r="N315">
        <v>106.6</v>
      </c>
      <c r="O315">
        <v>-0.4</v>
      </c>
    </row>
    <row r="316" spans="1:15">
      <c r="A316" t="s">
        <v>48</v>
      </c>
      <c r="B316" t="s">
        <v>37</v>
      </c>
      <c r="C316">
        <v>46</v>
      </c>
      <c r="D316">
        <v>36</v>
      </c>
      <c r="E316" s="1">
        <f t="shared" si="17"/>
        <v>0.56097560975609762</v>
      </c>
      <c r="F316" s="2">
        <v>94.9</v>
      </c>
      <c r="G316" s="2">
        <v>94</v>
      </c>
      <c r="H316" s="2">
        <f t="shared" si="18"/>
        <v>0.90000000000000568</v>
      </c>
      <c r="I316" s="1">
        <f t="shared" si="16"/>
        <v>0.53330185727266632</v>
      </c>
      <c r="J316" s="2">
        <v>105.4</v>
      </c>
      <c r="K316" s="2">
        <v>104.4</v>
      </c>
      <c r="L316" s="2">
        <f t="shared" si="19"/>
        <v>1</v>
      </c>
      <c r="M316">
        <v>101</v>
      </c>
      <c r="N316">
        <v>90.4</v>
      </c>
      <c r="O316">
        <v>-0.4</v>
      </c>
    </row>
    <row r="317" spans="1:15">
      <c r="A317" t="s">
        <v>48</v>
      </c>
      <c r="B317" t="s">
        <v>22</v>
      </c>
      <c r="C317">
        <v>42</v>
      </c>
      <c r="D317">
        <v>40</v>
      </c>
      <c r="E317" s="1">
        <f t="shared" si="17"/>
        <v>0.51219512195121952</v>
      </c>
      <c r="F317" s="2">
        <v>106.5</v>
      </c>
      <c r="G317" s="2">
        <v>105.7</v>
      </c>
      <c r="H317" s="2">
        <f t="shared" si="18"/>
        <v>0.79999999999999716</v>
      </c>
      <c r="I317" s="1">
        <f t="shared" si="16"/>
        <v>0.52636584420943078</v>
      </c>
      <c r="J317" s="2">
        <v>109.9</v>
      </c>
      <c r="K317" s="2">
        <v>109</v>
      </c>
      <c r="L317" s="2">
        <f t="shared" si="19"/>
        <v>0.90000000000000568</v>
      </c>
      <c r="M317">
        <v>106.4</v>
      </c>
      <c r="N317">
        <v>110.4</v>
      </c>
      <c r="O317">
        <v>-0.4</v>
      </c>
    </row>
    <row r="318" spans="1:15">
      <c r="A318" t="s">
        <v>48</v>
      </c>
      <c r="B318" t="s">
        <v>46</v>
      </c>
      <c r="C318">
        <v>55</v>
      </c>
      <c r="D318">
        <v>27</v>
      </c>
      <c r="E318" s="1">
        <f t="shared" si="17"/>
        <v>0.67073170731707321</v>
      </c>
      <c r="F318" s="2">
        <v>104.8</v>
      </c>
      <c r="G318" s="2">
        <v>101</v>
      </c>
      <c r="H318" s="2">
        <f t="shared" si="18"/>
        <v>3.7999999999999972</v>
      </c>
      <c r="I318" s="1">
        <f t="shared" si="16"/>
        <v>0.62646134296899791</v>
      </c>
      <c r="J318" s="2">
        <v>109.9</v>
      </c>
      <c r="K318" s="2">
        <v>105.9</v>
      </c>
      <c r="L318" s="2">
        <f t="shared" si="19"/>
        <v>4</v>
      </c>
      <c r="M318">
        <v>105.8</v>
      </c>
      <c r="N318">
        <v>92</v>
      </c>
      <c r="O318">
        <v>0.9</v>
      </c>
    </row>
    <row r="319" spans="1:15">
      <c r="A319" t="s">
        <v>48</v>
      </c>
      <c r="B319" t="s">
        <v>23</v>
      </c>
      <c r="C319">
        <v>52</v>
      </c>
      <c r="D319">
        <v>30</v>
      </c>
      <c r="E319" s="1">
        <f t="shared" si="17"/>
        <v>0.63414634146341464</v>
      </c>
      <c r="F319" s="2">
        <v>99.2</v>
      </c>
      <c r="G319" s="2">
        <v>93.7</v>
      </c>
      <c r="H319" s="2">
        <f t="shared" si="18"/>
        <v>5.5</v>
      </c>
      <c r="I319" s="1">
        <f t="shared" si="16"/>
        <v>0.68966584270274334</v>
      </c>
      <c r="J319" s="2">
        <v>107.4</v>
      </c>
      <c r="K319" s="2">
        <v>101.8</v>
      </c>
      <c r="L319" s="2">
        <f t="shared" si="19"/>
        <v>5.6000000000000085</v>
      </c>
      <c r="M319">
        <v>107.1</v>
      </c>
      <c r="N319">
        <v>107</v>
      </c>
      <c r="O319">
        <v>1.2</v>
      </c>
    </row>
    <row r="320" spans="1:15">
      <c r="A320" t="s">
        <v>48</v>
      </c>
      <c r="B320" t="s">
        <v>24</v>
      </c>
      <c r="C320">
        <v>41</v>
      </c>
      <c r="D320">
        <v>41</v>
      </c>
      <c r="E320" s="1">
        <f t="shared" si="17"/>
        <v>0.5</v>
      </c>
      <c r="F320" s="2">
        <v>99</v>
      </c>
      <c r="G320" s="2">
        <v>97.5</v>
      </c>
      <c r="H320" s="2">
        <f t="shared" si="18"/>
        <v>1.5</v>
      </c>
      <c r="I320" s="1">
        <f t="shared" si="16"/>
        <v>0.55323363393409675</v>
      </c>
      <c r="J320" s="2">
        <v>105.3</v>
      </c>
      <c r="K320" s="2">
        <v>103.8</v>
      </c>
      <c r="L320" s="2">
        <f t="shared" si="19"/>
        <v>1.5</v>
      </c>
      <c r="M320">
        <v>97.2</v>
      </c>
      <c r="N320">
        <v>107.6</v>
      </c>
      <c r="O320">
        <v>0.3</v>
      </c>
    </row>
    <row r="321" spans="1:15">
      <c r="A321" t="s">
        <v>48</v>
      </c>
      <c r="B321" t="s">
        <v>25</v>
      </c>
      <c r="C321">
        <v>40</v>
      </c>
      <c r="D321">
        <v>42</v>
      </c>
      <c r="E321" s="1">
        <f t="shared" si="17"/>
        <v>0.48780487804878048</v>
      </c>
      <c r="F321" s="2">
        <v>105</v>
      </c>
      <c r="G321" s="2">
        <v>105.9</v>
      </c>
      <c r="H321" s="2">
        <f t="shared" si="18"/>
        <v>-0.90000000000000568</v>
      </c>
      <c r="I321" s="1">
        <f t="shared" si="16"/>
        <v>0.47016333248324643</v>
      </c>
      <c r="J321" s="2">
        <v>108.6</v>
      </c>
      <c r="K321" s="2">
        <v>109.4</v>
      </c>
      <c r="L321" s="2">
        <f t="shared" si="19"/>
        <v>-0.80000000000001137</v>
      </c>
      <c r="M321">
        <v>106.3</v>
      </c>
      <c r="N321">
        <v>106</v>
      </c>
      <c r="O321">
        <v>-0.1</v>
      </c>
    </row>
    <row r="322" spans="1:15">
      <c r="A322" t="s">
        <v>48</v>
      </c>
      <c r="B322" t="s">
        <v>26</v>
      </c>
      <c r="C322">
        <v>48</v>
      </c>
      <c r="D322">
        <v>34</v>
      </c>
      <c r="E322" s="1">
        <f t="shared" si="17"/>
        <v>0.58536585365853655</v>
      </c>
      <c r="F322" s="2">
        <v>96.3</v>
      </c>
      <c r="G322" s="2">
        <v>94.8</v>
      </c>
      <c r="H322" s="2">
        <f t="shared" si="18"/>
        <v>1.5</v>
      </c>
      <c r="I322" s="1">
        <f t="shared" ref="I322:I385" si="20">+(F322^14)/((F322^14+G322^14))</f>
        <v>0.55472606384506307</v>
      </c>
      <c r="J322" s="2">
        <v>107.3</v>
      </c>
      <c r="K322" s="2">
        <v>105.7</v>
      </c>
      <c r="L322" s="2">
        <f t="shared" si="19"/>
        <v>1.5999999999999943</v>
      </c>
      <c r="M322">
        <v>108.5</v>
      </c>
      <c r="N322">
        <v>95.4</v>
      </c>
      <c r="O322">
        <v>-0.1</v>
      </c>
    </row>
    <row r="323" spans="1:15">
      <c r="A323" t="s">
        <v>48</v>
      </c>
      <c r="B323" t="s">
        <v>27</v>
      </c>
      <c r="C323">
        <v>24</v>
      </c>
      <c r="D323">
        <v>58</v>
      </c>
      <c r="E323" s="1">
        <f t="shared" ref="E323:E386" si="21">+C323/(C323+D323)</f>
        <v>0.29268292682926828</v>
      </c>
      <c r="F323" s="2">
        <v>99.4</v>
      </c>
      <c r="G323" s="2">
        <v>104.7</v>
      </c>
      <c r="H323" s="2">
        <f t="shared" ref="H323:H386" si="22">+F323-G323</f>
        <v>-5.2999999999999972</v>
      </c>
      <c r="I323" s="1">
        <f t="shared" si="20"/>
        <v>0.32579671565672774</v>
      </c>
      <c r="J323" s="2">
        <v>102.9</v>
      </c>
      <c r="K323" s="2">
        <v>108.4</v>
      </c>
      <c r="L323" s="2">
        <f t="shared" ref="L323:L386" si="23">+J323-K323</f>
        <v>-5.5</v>
      </c>
      <c r="M323">
        <v>88.3</v>
      </c>
      <c r="N323">
        <v>107</v>
      </c>
      <c r="O323">
        <v>-0.3</v>
      </c>
    </row>
    <row r="324" spans="1:15">
      <c r="A324" t="s">
        <v>48</v>
      </c>
      <c r="B324" t="s">
        <v>28</v>
      </c>
      <c r="C324">
        <v>61</v>
      </c>
      <c r="D324">
        <v>21</v>
      </c>
      <c r="E324" s="1">
        <f t="shared" si="21"/>
        <v>0.74390243902439024</v>
      </c>
      <c r="F324" s="2">
        <v>103.7</v>
      </c>
      <c r="G324" s="2">
        <v>98</v>
      </c>
      <c r="H324" s="2">
        <f t="shared" si="22"/>
        <v>5.7000000000000028</v>
      </c>
      <c r="I324" s="1">
        <f t="shared" si="20"/>
        <v>0.68815008100174779</v>
      </c>
      <c r="J324" s="2">
        <v>110.5</v>
      </c>
      <c r="K324" s="2">
        <v>104.4</v>
      </c>
      <c r="L324" s="2">
        <f t="shared" si="23"/>
        <v>6.0999999999999943</v>
      </c>
      <c r="M324">
        <v>100.7</v>
      </c>
      <c r="N324">
        <v>93.1</v>
      </c>
      <c r="O324">
        <v>0.9</v>
      </c>
    </row>
    <row r="325" spans="1:15">
      <c r="A325" t="s">
        <v>48</v>
      </c>
      <c r="B325" t="s">
        <v>30</v>
      </c>
      <c r="C325">
        <v>22</v>
      </c>
      <c r="D325">
        <v>60</v>
      </c>
      <c r="E325" s="1">
        <f t="shared" si="21"/>
        <v>0.26829268292682928</v>
      </c>
      <c r="F325" s="2">
        <v>99.1</v>
      </c>
      <c r="G325" s="2">
        <v>105.4</v>
      </c>
      <c r="H325" s="2">
        <f t="shared" si="22"/>
        <v>-6.3000000000000114</v>
      </c>
      <c r="I325" s="1">
        <f t="shared" si="20"/>
        <v>0.29674116981682536</v>
      </c>
      <c r="J325" s="2">
        <v>105.2</v>
      </c>
      <c r="K325" s="2">
        <v>111.7</v>
      </c>
      <c r="L325" s="2">
        <f t="shared" si="23"/>
        <v>-6.5</v>
      </c>
      <c r="M325">
        <v>93.3</v>
      </c>
      <c r="N325">
        <v>113.2</v>
      </c>
      <c r="O325">
        <v>-1.7</v>
      </c>
    </row>
    <row r="326" spans="1:15">
      <c r="A326" t="s">
        <v>48</v>
      </c>
      <c r="B326" t="s">
        <v>31</v>
      </c>
      <c r="C326">
        <v>39</v>
      </c>
      <c r="D326">
        <v>43</v>
      </c>
      <c r="E326" s="1">
        <f t="shared" si="21"/>
        <v>0.47560975609756095</v>
      </c>
      <c r="F326" s="2">
        <v>99.4</v>
      </c>
      <c r="G326" s="2">
        <v>101.3</v>
      </c>
      <c r="H326" s="2">
        <f t="shared" si="22"/>
        <v>-1.8999999999999915</v>
      </c>
      <c r="I326" s="1">
        <f t="shared" si="20"/>
        <v>0.4341153034134177</v>
      </c>
      <c r="J326" s="2">
        <v>107</v>
      </c>
      <c r="K326" s="2">
        <v>108.8</v>
      </c>
      <c r="L326" s="2">
        <f t="shared" si="23"/>
        <v>-1.7999999999999972</v>
      </c>
      <c r="M326">
        <v>111.8</v>
      </c>
      <c r="N326">
        <v>103.3</v>
      </c>
      <c r="O326">
        <v>1.3</v>
      </c>
    </row>
    <row r="327" spans="1:15">
      <c r="A327" t="s">
        <v>48</v>
      </c>
      <c r="B327" t="s">
        <v>33</v>
      </c>
      <c r="C327">
        <v>23</v>
      </c>
      <c r="D327">
        <v>59</v>
      </c>
      <c r="E327" s="1">
        <f t="shared" si="21"/>
        <v>0.28048780487804881</v>
      </c>
      <c r="F327" s="2">
        <v>97.3</v>
      </c>
      <c r="G327" s="2">
        <v>104.7</v>
      </c>
      <c r="H327" s="2">
        <f t="shared" si="22"/>
        <v>-7.4000000000000057</v>
      </c>
      <c r="I327" s="1">
        <f t="shared" si="20"/>
        <v>0.26382112647972111</v>
      </c>
      <c r="J327" s="2">
        <v>101.3</v>
      </c>
      <c r="K327" s="2">
        <v>109.1</v>
      </c>
      <c r="L327" s="2">
        <f t="shared" si="23"/>
        <v>-7.7999999999999972</v>
      </c>
      <c r="M327">
        <v>98.1</v>
      </c>
      <c r="N327">
        <v>113.7</v>
      </c>
      <c r="O327">
        <v>-1</v>
      </c>
    </row>
    <row r="328" spans="1:15">
      <c r="A328" t="s">
        <v>49</v>
      </c>
      <c r="B328" t="s">
        <v>5</v>
      </c>
      <c r="C328">
        <v>40</v>
      </c>
      <c r="D328">
        <v>26</v>
      </c>
      <c r="E328" s="1">
        <f t="shared" si="21"/>
        <v>0.60606060606060608</v>
      </c>
      <c r="F328" s="2">
        <v>96.6</v>
      </c>
      <c r="G328" s="2">
        <v>93.2</v>
      </c>
      <c r="H328" s="2">
        <f t="shared" si="22"/>
        <v>3.3999999999999915</v>
      </c>
      <c r="I328" s="1">
        <f t="shared" si="20"/>
        <v>0.62284331457936171</v>
      </c>
      <c r="J328" s="2">
        <v>104.2</v>
      </c>
      <c r="K328" s="2">
        <v>100.4</v>
      </c>
      <c r="L328" s="2">
        <f t="shared" si="23"/>
        <v>3.7999999999999972</v>
      </c>
      <c r="M328">
        <v>107.2</v>
      </c>
      <c r="N328">
        <v>89.1</v>
      </c>
      <c r="O328">
        <v>1.4</v>
      </c>
    </row>
    <row r="329" spans="1:15">
      <c r="A329" t="s">
        <v>49</v>
      </c>
      <c r="B329" t="s">
        <v>6</v>
      </c>
      <c r="C329">
        <v>39</v>
      </c>
      <c r="D329">
        <v>27</v>
      </c>
      <c r="E329" s="1">
        <f t="shared" si="21"/>
        <v>0.59090909090909094</v>
      </c>
      <c r="F329" s="2">
        <v>91.8</v>
      </c>
      <c r="G329" s="2">
        <v>89.3</v>
      </c>
      <c r="H329" s="2">
        <f t="shared" si="22"/>
        <v>2.5</v>
      </c>
      <c r="I329" s="1">
        <f t="shared" si="20"/>
        <v>0.59545222881559101</v>
      </c>
      <c r="J329" s="2">
        <v>100.1</v>
      </c>
      <c r="K329" s="2">
        <v>97.5</v>
      </c>
      <c r="L329" s="2">
        <f t="shared" si="23"/>
        <v>2.5999999999999943</v>
      </c>
      <c r="M329">
        <v>101.2</v>
      </c>
      <c r="N329">
        <v>100.4</v>
      </c>
      <c r="O329">
        <v>0.1</v>
      </c>
    </row>
    <row r="330" spans="1:15">
      <c r="A330" t="s">
        <v>49</v>
      </c>
      <c r="B330" t="s">
        <v>40</v>
      </c>
      <c r="C330">
        <v>7</v>
      </c>
      <c r="D330">
        <v>59</v>
      </c>
      <c r="E330" s="1">
        <f t="shared" si="21"/>
        <v>0.10606060606060606</v>
      </c>
      <c r="F330" s="2">
        <v>87</v>
      </c>
      <c r="G330" s="2">
        <v>100.9</v>
      </c>
      <c r="H330" s="2">
        <f t="shared" si="22"/>
        <v>-13.900000000000006</v>
      </c>
      <c r="I330" s="1">
        <f t="shared" si="20"/>
        <v>0.11154010247358601</v>
      </c>
      <c r="J330" s="2">
        <v>94.4</v>
      </c>
      <c r="K330" s="2">
        <v>109.4</v>
      </c>
      <c r="L330" s="2">
        <f t="shared" si="23"/>
        <v>-15</v>
      </c>
      <c r="M330">
        <v>82.8</v>
      </c>
      <c r="N330">
        <v>116.2</v>
      </c>
      <c r="O330">
        <v>-2.8</v>
      </c>
    </row>
    <row r="331" spans="1:15">
      <c r="A331" t="s">
        <v>49</v>
      </c>
      <c r="B331" t="s">
        <v>8</v>
      </c>
      <c r="C331">
        <v>50</v>
      </c>
      <c r="D331">
        <v>16</v>
      </c>
      <c r="E331" s="1">
        <f t="shared" si="21"/>
        <v>0.75757575757575757</v>
      </c>
      <c r="F331" s="2">
        <v>96.3</v>
      </c>
      <c r="G331" s="2">
        <v>88.2</v>
      </c>
      <c r="H331" s="2">
        <f t="shared" si="22"/>
        <v>8.0999999999999943</v>
      </c>
      <c r="I331" s="1">
        <f t="shared" si="20"/>
        <v>0.77382889717097558</v>
      </c>
      <c r="J331" s="2">
        <v>106.3</v>
      </c>
      <c r="K331" s="2">
        <v>97.5</v>
      </c>
      <c r="L331" s="2">
        <f t="shared" si="23"/>
        <v>8.7999999999999972</v>
      </c>
      <c r="M331">
        <v>107.5</v>
      </c>
      <c r="N331">
        <v>94.1</v>
      </c>
      <c r="O331">
        <v>2.5</v>
      </c>
    </row>
    <row r="332" spans="1:15">
      <c r="A332" t="s">
        <v>49</v>
      </c>
      <c r="B332" t="s">
        <v>9</v>
      </c>
      <c r="C332">
        <v>21</v>
      </c>
      <c r="D332">
        <v>45</v>
      </c>
      <c r="E332" s="1">
        <f t="shared" si="21"/>
        <v>0.31818181818181818</v>
      </c>
      <c r="F332" s="2">
        <v>93</v>
      </c>
      <c r="G332" s="2">
        <v>100.2</v>
      </c>
      <c r="H332" s="2">
        <f t="shared" si="22"/>
        <v>-7.2000000000000028</v>
      </c>
      <c r="I332" s="1">
        <f t="shared" si="20"/>
        <v>0.2603862977504619</v>
      </c>
      <c r="J332" s="2">
        <v>100</v>
      </c>
      <c r="K332" s="2">
        <v>107.6</v>
      </c>
      <c r="L332" s="2">
        <f t="shared" si="23"/>
        <v>-7.5999999999999943</v>
      </c>
      <c r="M332">
        <v>103</v>
      </c>
      <c r="N332">
        <v>106</v>
      </c>
      <c r="O332">
        <v>0.3</v>
      </c>
    </row>
    <row r="333" spans="1:15">
      <c r="A333" t="s">
        <v>49</v>
      </c>
      <c r="B333" t="s">
        <v>10</v>
      </c>
      <c r="C333">
        <v>36</v>
      </c>
      <c r="D333">
        <v>30</v>
      </c>
      <c r="E333" s="1">
        <f t="shared" si="21"/>
        <v>0.54545454545454541</v>
      </c>
      <c r="F333" s="2">
        <v>95.8</v>
      </c>
      <c r="G333" s="2">
        <v>94.8</v>
      </c>
      <c r="H333" s="2">
        <f t="shared" si="22"/>
        <v>1</v>
      </c>
      <c r="I333" s="1">
        <f t="shared" si="20"/>
        <v>0.53666055673861812</v>
      </c>
      <c r="J333" s="2">
        <v>102.1</v>
      </c>
      <c r="K333" s="2">
        <v>100.9</v>
      </c>
      <c r="L333" s="2">
        <f t="shared" si="23"/>
        <v>1.1999999999999886</v>
      </c>
      <c r="M333">
        <v>101</v>
      </c>
      <c r="N333">
        <v>98.7</v>
      </c>
      <c r="O333">
        <v>-0.6</v>
      </c>
    </row>
    <row r="334" spans="1:15">
      <c r="A334" t="s">
        <v>49</v>
      </c>
      <c r="B334" t="s">
        <v>11</v>
      </c>
      <c r="C334">
        <v>38</v>
      </c>
      <c r="D334">
        <v>28</v>
      </c>
      <c r="E334" s="1">
        <f t="shared" si="21"/>
        <v>0.5757575757575758</v>
      </c>
      <c r="F334" s="2">
        <v>104.1</v>
      </c>
      <c r="G334" s="2">
        <v>101.2</v>
      </c>
      <c r="H334" s="2">
        <f t="shared" si="22"/>
        <v>2.8999999999999915</v>
      </c>
      <c r="I334" s="1">
        <f t="shared" si="20"/>
        <v>0.59761684455531594</v>
      </c>
      <c r="J334" s="2">
        <v>108.3</v>
      </c>
      <c r="K334" s="2">
        <v>105.1</v>
      </c>
      <c r="L334" s="2">
        <f t="shared" si="23"/>
        <v>3.2000000000000028</v>
      </c>
      <c r="M334">
        <v>97.9</v>
      </c>
      <c r="N334">
        <v>100</v>
      </c>
      <c r="O334">
        <v>0.3</v>
      </c>
    </row>
    <row r="335" spans="1:15">
      <c r="A335" t="s">
        <v>49</v>
      </c>
      <c r="B335" t="s">
        <v>12</v>
      </c>
      <c r="C335">
        <v>25</v>
      </c>
      <c r="D335">
        <v>41</v>
      </c>
      <c r="E335" s="1">
        <f t="shared" si="21"/>
        <v>0.37878787878787878</v>
      </c>
      <c r="F335" s="2">
        <v>90.9</v>
      </c>
      <c r="G335" s="2">
        <v>95.7</v>
      </c>
      <c r="H335" s="2">
        <f t="shared" si="22"/>
        <v>-4.7999999999999972</v>
      </c>
      <c r="I335" s="1">
        <f t="shared" si="20"/>
        <v>0.32730134783785092</v>
      </c>
      <c r="J335" s="2">
        <v>100</v>
      </c>
      <c r="K335" s="2">
        <v>105</v>
      </c>
      <c r="L335" s="2">
        <f t="shared" si="23"/>
        <v>-5</v>
      </c>
      <c r="M335">
        <v>95.9</v>
      </c>
      <c r="N335">
        <v>104.7</v>
      </c>
      <c r="O335">
        <v>-2.2999999999999998</v>
      </c>
    </row>
    <row r="336" spans="1:15">
      <c r="A336" t="s">
        <v>49</v>
      </c>
      <c r="B336" t="s">
        <v>13</v>
      </c>
      <c r="C336">
        <v>23</v>
      </c>
      <c r="D336">
        <v>43</v>
      </c>
      <c r="E336" s="1">
        <f t="shared" si="21"/>
        <v>0.34848484848484851</v>
      </c>
      <c r="F336" s="2">
        <v>97.8</v>
      </c>
      <c r="G336" s="2">
        <v>101.2</v>
      </c>
      <c r="H336" s="2">
        <f t="shared" si="22"/>
        <v>-3.4000000000000057</v>
      </c>
      <c r="I336" s="1">
        <f t="shared" si="20"/>
        <v>0.38262091434510453</v>
      </c>
      <c r="J336" s="2">
        <v>103.9</v>
      </c>
      <c r="K336" s="2">
        <v>107.3</v>
      </c>
      <c r="L336" s="2">
        <f t="shared" si="23"/>
        <v>-3.3999999999999915</v>
      </c>
      <c r="M336">
        <v>89</v>
      </c>
      <c r="N336">
        <v>106.6</v>
      </c>
      <c r="O336">
        <v>-1</v>
      </c>
    </row>
    <row r="337" spans="1:15">
      <c r="A337" t="s">
        <v>49</v>
      </c>
      <c r="B337" t="s">
        <v>14</v>
      </c>
      <c r="C337">
        <v>34</v>
      </c>
      <c r="D337">
        <v>32</v>
      </c>
      <c r="E337" s="1">
        <f t="shared" si="21"/>
        <v>0.51515151515151514</v>
      </c>
      <c r="F337" s="2">
        <v>98.1</v>
      </c>
      <c r="G337" s="2">
        <v>97.9</v>
      </c>
      <c r="H337" s="2">
        <f t="shared" si="22"/>
        <v>0.19999999999998863</v>
      </c>
      <c r="I337" s="1">
        <f t="shared" si="20"/>
        <v>0.5071423737524916</v>
      </c>
      <c r="J337" s="2">
        <v>104.2</v>
      </c>
      <c r="K337" s="2">
        <v>104</v>
      </c>
      <c r="L337" s="2">
        <f t="shared" si="23"/>
        <v>0.20000000000000284</v>
      </c>
      <c r="M337">
        <v>104.5</v>
      </c>
      <c r="N337">
        <v>97.9</v>
      </c>
      <c r="O337">
        <v>-0.5</v>
      </c>
    </row>
    <row r="338" spans="1:15">
      <c r="A338" t="s">
        <v>49</v>
      </c>
      <c r="B338" t="s">
        <v>15</v>
      </c>
      <c r="C338">
        <v>42</v>
      </c>
      <c r="D338">
        <v>24</v>
      </c>
      <c r="E338" s="1">
        <f t="shared" si="21"/>
        <v>0.63636363636363635</v>
      </c>
      <c r="F338" s="2">
        <v>97.7</v>
      </c>
      <c r="G338" s="2">
        <v>94.4</v>
      </c>
      <c r="H338" s="2">
        <f t="shared" si="22"/>
        <v>3.2999999999999972</v>
      </c>
      <c r="I338" s="1">
        <f t="shared" si="20"/>
        <v>0.61799503146389967</v>
      </c>
      <c r="J338" s="2">
        <v>105.5</v>
      </c>
      <c r="K338" s="2">
        <v>102.1</v>
      </c>
      <c r="L338" s="2">
        <f t="shared" si="23"/>
        <v>3.4000000000000057</v>
      </c>
      <c r="M338">
        <v>106.5</v>
      </c>
      <c r="N338">
        <v>85.1</v>
      </c>
      <c r="O338">
        <v>0.7</v>
      </c>
    </row>
    <row r="339" spans="1:15">
      <c r="A339" t="s">
        <v>49</v>
      </c>
      <c r="B339" t="s">
        <v>16</v>
      </c>
      <c r="C339">
        <v>40</v>
      </c>
      <c r="D339">
        <v>26</v>
      </c>
      <c r="E339" s="1">
        <f t="shared" si="21"/>
        <v>0.60606060606060608</v>
      </c>
      <c r="F339" s="2">
        <v>97.5</v>
      </c>
      <c r="G339" s="2">
        <v>95</v>
      </c>
      <c r="H339" s="2">
        <f t="shared" si="22"/>
        <v>2.5</v>
      </c>
      <c r="I339" s="1">
        <f t="shared" si="20"/>
        <v>0.58992535543589308</v>
      </c>
      <c r="J339" s="2">
        <v>107.5</v>
      </c>
      <c r="K339" s="2">
        <v>104.8</v>
      </c>
      <c r="L339" s="2">
        <f t="shared" si="23"/>
        <v>2.7000000000000028</v>
      </c>
      <c r="M339">
        <v>98.4</v>
      </c>
      <c r="N339">
        <v>99.5</v>
      </c>
      <c r="O339">
        <v>0.9</v>
      </c>
    </row>
    <row r="340" spans="1:15">
      <c r="A340" t="s">
        <v>49</v>
      </c>
      <c r="B340" t="s">
        <v>17</v>
      </c>
      <c r="C340">
        <v>41</v>
      </c>
      <c r="D340">
        <v>25</v>
      </c>
      <c r="E340" s="1">
        <f t="shared" si="21"/>
        <v>0.62121212121212122</v>
      </c>
      <c r="F340" s="2">
        <v>97.3</v>
      </c>
      <c r="G340" s="2">
        <v>95.9</v>
      </c>
      <c r="H340" s="2">
        <f t="shared" si="22"/>
        <v>1.3999999999999915</v>
      </c>
      <c r="I340" s="1">
        <f t="shared" si="20"/>
        <v>0.55055221133697552</v>
      </c>
      <c r="J340" s="2">
        <v>104.5</v>
      </c>
      <c r="K340" s="2">
        <v>103.2</v>
      </c>
      <c r="L340" s="2">
        <f t="shared" si="23"/>
        <v>1.2999999999999972</v>
      </c>
      <c r="M340">
        <v>111.2</v>
      </c>
      <c r="N340">
        <v>92.3</v>
      </c>
      <c r="O340">
        <v>-0.1</v>
      </c>
    </row>
    <row r="341" spans="1:15">
      <c r="A341" t="s">
        <v>49</v>
      </c>
      <c r="B341" t="s">
        <v>35</v>
      </c>
      <c r="C341">
        <v>41</v>
      </c>
      <c r="D341">
        <v>25</v>
      </c>
      <c r="E341" s="1">
        <f t="shared" si="21"/>
        <v>0.62121212121212122</v>
      </c>
      <c r="F341" s="2">
        <v>95</v>
      </c>
      <c r="G341" s="2">
        <v>93</v>
      </c>
      <c r="H341" s="2">
        <f t="shared" si="22"/>
        <v>2</v>
      </c>
      <c r="I341" s="1">
        <f t="shared" si="20"/>
        <v>0.57392505859345744</v>
      </c>
      <c r="J341" s="2">
        <v>102.8</v>
      </c>
      <c r="K341" s="2">
        <v>100.6</v>
      </c>
      <c r="L341" s="2">
        <f t="shared" si="23"/>
        <v>2.2000000000000028</v>
      </c>
      <c r="M341">
        <v>106.8</v>
      </c>
      <c r="N341">
        <v>93.8</v>
      </c>
      <c r="O341">
        <v>0.3</v>
      </c>
    </row>
    <row r="342" spans="1:15">
      <c r="A342" t="s">
        <v>49</v>
      </c>
      <c r="B342" t="s">
        <v>18</v>
      </c>
      <c r="C342">
        <v>46</v>
      </c>
      <c r="D342">
        <v>20</v>
      </c>
      <c r="E342" s="1">
        <f t="shared" si="21"/>
        <v>0.69696969696969702</v>
      </c>
      <c r="F342" s="2">
        <v>98.5</v>
      </c>
      <c r="G342" s="2">
        <v>92.5</v>
      </c>
      <c r="H342" s="2">
        <f t="shared" si="22"/>
        <v>6</v>
      </c>
      <c r="I342" s="1">
        <f t="shared" si="20"/>
        <v>0.70679541613451391</v>
      </c>
      <c r="J342" s="2">
        <v>105.6</v>
      </c>
      <c r="K342" s="2">
        <v>99.2</v>
      </c>
      <c r="L342" s="2">
        <f t="shared" si="23"/>
        <v>6.3999999999999915</v>
      </c>
      <c r="M342">
        <v>100.8</v>
      </c>
      <c r="N342">
        <v>90.4</v>
      </c>
      <c r="O342">
        <v>0.6</v>
      </c>
    </row>
    <row r="343" spans="1:15">
      <c r="A343" t="s">
        <v>49</v>
      </c>
      <c r="B343" t="s">
        <v>19</v>
      </c>
      <c r="C343">
        <v>31</v>
      </c>
      <c r="D343">
        <v>35</v>
      </c>
      <c r="E343" s="1">
        <f t="shared" si="21"/>
        <v>0.46969696969696972</v>
      </c>
      <c r="F343" s="2">
        <v>99</v>
      </c>
      <c r="G343" s="2">
        <v>98.7</v>
      </c>
      <c r="H343" s="2">
        <f t="shared" si="22"/>
        <v>0.29999999999999716</v>
      </c>
      <c r="I343" s="1">
        <f t="shared" si="20"/>
        <v>0.51062056521838828</v>
      </c>
      <c r="J343" s="2">
        <v>104.5</v>
      </c>
      <c r="K343" s="2">
        <v>104.1</v>
      </c>
      <c r="L343" s="2">
        <f t="shared" si="23"/>
        <v>0.40000000000000568</v>
      </c>
      <c r="M343">
        <v>96.1</v>
      </c>
      <c r="N343">
        <v>107.1</v>
      </c>
      <c r="O343">
        <v>1.1000000000000001</v>
      </c>
    </row>
    <row r="344" spans="1:15">
      <c r="A344" t="s">
        <v>49</v>
      </c>
      <c r="B344" t="s">
        <v>20</v>
      </c>
      <c r="C344">
        <v>26</v>
      </c>
      <c r="D344">
        <v>40</v>
      </c>
      <c r="E344" s="1">
        <f t="shared" si="21"/>
        <v>0.39393939393939392</v>
      </c>
      <c r="F344" s="2">
        <v>97.9</v>
      </c>
      <c r="G344" s="2">
        <v>100.1</v>
      </c>
      <c r="H344" s="2">
        <f t="shared" si="22"/>
        <v>-2.1999999999999886</v>
      </c>
      <c r="I344" s="1">
        <f t="shared" si="20"/>
        <v>0.42284042770166808</v>
      </c>
      <c r="J344" s="2">
        <v>103.1</v>
      </c>
      <c r="K344" s="2">
        <v>105.3</v>
      </c>
      <c r="L344" s="2">
        <f t="shared" si="23"/>
        <v>-2.2000000000000028</v>
      </c>
      <c r="M344">
        <v>101</v>
      </c>
      <c r="N344">
        <v>104.2</v>
      </c>
      <c r="O344">
        <v>0.2</v>
      </c>
    </row>
    <row r="345" spans="1:15">
      <c r="A345" t="s">
        <v>49</v>
      </c>
      <c r="B345" t="s">
        <v>21</v>
      </c>
      <c r="C345">
        <v>22</v>
      </c>
      <c r="D345">
        <v>44</v>
      </c>
      <c r="E345" s="1">
        <f t="shared" si="21"/>
        <v>0.33333333333333331</v>
      </c>
      <c r="F345" s="2">
        <v>93.1</v>
      </c>
      <c r="G345" s="2">
        <v>99.1</v>
      </c>
      <c r="H345" s="2">
        <f t="shared" si="22"/>
        <v>-6</v>
      </c>
      <c r="I345" s="1">
        <f t="shared" si="20"/>
        <v>0.29434506272936611</v>
      </c>
      <c r="J345" s="2">
        <v>101.8</v>
      </c>
      <c r="K345" s="2">
        <v>108.1</v>
      </c>
      <c r="L345" s="2">
        <f t="shared" si="23"/>
        <v>-6.2999999999999972</v>
      </c>
      <c r="M345">
        <v>102.3</v>
      </c>
      <c r="N345">
        <v>119.7</v>
      </c>
      <c r="O345">
        <v>-1.4</v>
      </c>
    </row>
    <row r="346" spans="1:15">
      <c r="A346" t="s">
        <v>49</v>
      </c>
      <c r="B346" t="s">
        <v>37</v>
      </c>
      <c r="C346">
        <v>21</v>
      </c>
      <c r="D346">
        <v>45</v>
      </c>
      <c r="E346" s="1">
        <f t="shared" si="21"/>
        <v>0.31818181818181818</v>
      </c>
      <c r="F346" s="2">
        <v>89.6</v>
      </c>
      <c r="G346" s="2">
        <v>93.4</v>
      </c>
      <c r="H346" s="2">
        <f t="shared" si="22"/>
        <v>-3.8000000000000114</v>
      </c>
      <c r="I346" s="1">
        <f t="shared" si="20"/>
        <v>0.35858651544032732</v>
      </c>
      <c r="J346" s="2">
        <v>99.9</v>
      </c>
      <c r="K346" s="2">
        <v>103.9</v>
      </c>
      <c r="L346" s="2">
        <f t="shared" si="23"/>
        <v>-4</v>
      </c>
      <c r="M346">
        <v>93.5</v>
      </c>
      <c r="N346">
        <v>105.4</v>
      </c>
      <c r="O346">
        <v>-0.9</v>
      </c>
    </row>
    <row r="347" spans="1:15">
      <c r="A347" t="s">
        <v>49</v>
      </c>
      <c r="B347" t="s">
        <v>22</v>
      </c>
      <c r="C347">
        <v>36</v>
      </c>
      <c r="D347">
        <v>30</v>
      </c>
      <c r="E347" s="1">
        <f t="shared" si="21"/>
        <v>0.54545454545454541</v>
      </c>
      <c r="F347" s="2">
        <v>97.8</v>
      </c>
      <c r="G347" s="2">
        <v>94.7</v>
      </c>
      <c r="H347" s="2">
        <f t="shared" si="22"/>
        <v>3.0999999999999943</v>
      </c>
      <c r="I347" s="1">
        <f t="shared" si="20"/>
        <v>0.61086462382590978</v>
      </c>
      <c r="J347" s="2">
        <v>103.5</v>
      </c>
      <c r="K347" s="2">
        <v>100.2</v>
      </c>
      <c r="L347" s="2">
        <f t="shared" si="23"/>
        <v>3.2999999999999972</v>
      </c>
      <c r="M347">
        <v>104.9</v>
      </c>
      <c r="N347">
        <v>98.8</v>
      </c>
      <c r="O347">
        <v>2</v>
      </c>
    </row>
    <row r="348" spans="1:15">
      <c r="A348" t="s">
        <v>49</v>
      </c>
      <c r="B348" t="s">
        <v>46</v>
      </c>
      <c r="C348">
        <v>47</v>
      </c>
      <c r="D348">
        <v>19</v>
      </c>
      <c r="E348" s="1">
        <f t="shared" si="21"/>
        <v>0.71212121212121215</v>
      </c>
      <c r="F348" s="2">
        <v>103.1</v>
      </c>
      <c r="G348" s="2">
        <v>96.9</v>
      </c>
      <c r="H348" s="2">
        <f t="shared" si="22"/>
        <v>6.1999999999999886</v>
      </c>
      <c r="I348" s="1">
        <f t="shared" si="20"/>
        <v>0.70438730300910357</v>
      </c>
      <c r="J348" s="2">
        <v>108.4</v>
      </c>
      <c r="K348" s="2">
        <v>102.1</v>
      </c>
      <c r="L348" s="2">
        <f t="shared" si="23"/>
        <v>6.3000000000000114</v>
      </c>
      <c r="M348">
        <v>103.4</v>
      </c>
      <c r="N348">
        <v>97.9</v>
      </c>
      <c r="O348">
        <v>0.1</v>
      </c>
    </row>
    <row r="349" spans="1:15">
      <c r="A349" t="s">
        <v>49</v>
      </c>
      <c r="B349" t="s">
        <v>23</v>
      </c>
      <c r="C349">
        <v>37</v>
      </c>
      <c r="D349">
        <v>29</v>
      </c>
      <c r="E349" s="1">
        <f t="shared" si="21"/>
        <v>0.56060606060606055</v>
      </c>
      <c r="F349" s="2">
        <v>94.2</v>
      </c>
      <c r="G349" s="2">
        <v>93.4</v>
      </c>
      <c r="H349" s="2">
        <f t="shared" si="22"/>
        <v>0.79999999999999716</v>
      </c>
      <c r="I349" s="1">
        <f t="shared" si="20"/>
        <v>0.52981551170793983</v>
      </c>
      <c r="J349" s="2">
        <v>104</v>
      </c>
      <c r="K349" s="2">
        <v>103.4</v>
      </c>
      <c r="L349" s="2">
        <f t="shared" si="23"/>
        <v>0.59999999999999432</v>
      </c>
      <c r="M349">
        <v>110</v>
      </c>
      <c r="N349">
        <v>95.1</v>
      </c>
      <c r="O349">
        <v>-0.5</v>
      </c>
    </row>
    <row r="350" spans="1:15">
      <c r="A350" t="s">
        <v>49</v>
      </c>
      <c r="B350" t="s">
        <v>24</v>
      </c>
      <c r="C350">
        <v>35</v>
      </c>
      <c r="D350">
        <v>31</v>
      </c>
      <c r="E350" s="1">
        <f t="shared" si="21"/>
        <v>0.53030303030303028</v>
      </c>
      <c r="F350" s="2">
        <v>93.6</v>
      </c>
      <c r="G350" s="2">
        <v>89.4</v>
      </c>
      <c r="H350" s="2">
        <f t="shared" si="22"/>
        <v>4.1999999999999886</v>
      </c>
      <c r="I350" s="1">
        <f t="shared" si="20"/>
        <v>0.65537163395547915</v>
      </c>
      <c r="J350" s="2">
        <v>102.7</v>
      </c>
      <c r="K350" s="2">
        <v>98.2</v>
      </c>
      <c r="L350" s="2">
        <f t="shared" si="23"/>
        <v>4.5</v>
      </c>
      <c r="M350">
        <v>89.8</v>
      </c>
      <c r="N350">
        <v>104.4</v>
      </c>
      <c r="O350">
        <v>-0.6</v>
      </c>
    </row>
    <row r="351" spans="1:15">
      <c r="A351" t="s">
        <v>49</v>
      </c>
      <c r="B351" t="s">
        <v>25</v>
      </c>
      <c r="C351">
        <v>33</v>
      </c>
      <c r="D351">
        <v>33</v>
      </c>
      <c r="E351" s="1">
        <f t="shared" si="21"/>
        <v>0.5</v>
      </c>
      <c r="F351" s="2">
        <v>98.4</v>
      </c>
      <c r="G351" s="2">
        <v>98.6</v>
      </c>
      <c r="H351" s="2">
        <f t="shared" si="22"/>
        <v>-0.19999999999998863</v>
      </c>
      <c r="I351" s="1">
        <f t="shared" si="20"/>
        <v>0.49289387708201343</v>
      </c>
      <c r="J351" s="2">
        <v>105.2</v>
      </c>
      <c r="K351" s="2">
        <v>105.2</v>
      </c>
      <c r="L351" s="2">
        <f t="shared" si="23"/>
        <v>0</v>
      </c>
      <c r="M351">
        <v>100</v>
      </c>
      <c r="N351">
        <v>114.4</v>
      </c>
      <c r="O351">
        <v>0</v>
      </c>
    </row>
    <row r="352" spans="1:15">
      <c r="A352" t="s">
        <v>49</v>
      </c>
      <c r="B352" t="s">
        <v>26</v>
      </c>
      <c r="C352">
        <v>28</v>
      </c>
      <c r="D352">
        <v>38</v>
      </c>
      <c r="E352" s="1">
        <f t="shared" si="21"/>
        <v>0.42424242424242425</v>
      </c>
      <c r="F352" s="2">
        <v>97.2</v>
      </c>
      <c r="G352" s="2">
        <v>97.8</v>
      </c>
      <c r="H352" s="2">
        <f t="shared" si="22"/>
        <v>-0.59999999999999432</v>
      </c>
      <c r="I352" s="1">
        <f t="shared" si="20"/>
        <v>0.4784747831438797</v>
      </c>
      <c r="J352" s="2">
        <v>104.4</v>
      </c>
      <c r="K352" s="2">
        <v>105.3</v>
      </c>
      <c r="L352" s="2">
        <f t="shared" si="23"/>
        <v>-0.89999999999999147</v>
      </c>
      <c r="M352">
        <v>91.5</v>
      </c>
      <c r="N352">
        <v>95.2</v>
      </c>
      <c r="O352">
        <v>0.5</v>
      </c>
    </row>
    <row r="353" spans="1:15">
      <c r="A353" t="s">
        <v>49</v>
      </c>
      <c r="B353" t="s">
        <v>27</v>
      </c>
      <c r="C353">
        <v>22</v>
      </c>
      <c r="D353">
        <v>44</v>
      </c>
      <c r="E353" s="1">
        <f t="shared" si="21"/>
        <v>0.33333333333333331</v>
      </c>
      <c r="F353" s="2">
        <v>98.8</v>
      </c>
      <c r="G353" s="2">
        <v>104.4</v>
      </c>
      <c r="H353" s="2">
        <f t="shared" si="22"/>
        <v>-5.6000000000000085</v>
      </c>
      <c r="I353" s="1">
        <f t="shared" si="20"/>
        <v>0.31607926844552064</v>
      </c>
      <c r="J353" s="2">
        <v>102.9</v>
      </c>
      <c r="K353" s="2">
        <v>108.7</v>
      </c>
      <c r="L353" s="2">
        <f t="shared" si="23"/>
        <v>-5.7999999999999972</v>
      </c>
      <c r="M353">
        <v>100</v>
      </c>
      <c r="N353">
        <v>92.5</v>
      </c>
      <c r="O353">
        <v>0</v>
      </c>
    </row>
    <row r="354" spans="1:15">
      <c r="A354" t="s">
        <v>49</v>
      </c>
      <c r="B354" t="s">
        <v>28</v>
      </c>
      <c r="C354">
        <v>50</v>
      </c>
      <c r="D354">
        <v>16</v>
      </c>
      <c r="E354" s="1">
        <f t="shared" si="21"/>
        <v>0.75757575757575757</v>
      </c>
      <c r="F354" s="2">
        <v>103.7</v>
      </c>
      <c r="G354" s="2">
        <v>96.5</v>
      </c>
      <c r="H354" s="2">
        <f t="shared" si="22"/>
        <v>7.2000000000000028</v>
      </c>
      <c r="I354" s="1">
        <f t="shared" si="20"/>
        <v>0.7325164044661483</v>
      </c>
      <c r="J354" s="2">
        <v>110</v>
      </c>
      <c r="K354" s="2">
        <v>102.3</v>
      </c>
      <c r="L354" s="2">
        <f t="shared" si="23"/>
        <v>7.7000000000000028</v>
      </c>
      <c r="M354">
        <v>104.3</v>
      </c>
      <c r="N354">
        <v>88.6</v>
      </c>
      <c r="O354">
        <v>1.1000000000000001</v>
      </c>
    </row>
    <row r="355" spans="1:15">
      <c r="A355" t="s">
        <v>49</v>
      </c>
      <c r="B355" t="s">
        <v>30</v>
      </c>
      <c r="C355">
        <v>23</v>
      </c>
      <c r="D355">
        <v>43</v>
      </c>
      <c r="E355" s="1">
        <f t="shared" si="21"/>
        <v>0.34848484848484851</v>
      </c>
      <c r="F355" s="2">
        <v>90.7</v>
      </c>
      <c r="G355" s="2">
        <v>94</v>
      </c>
      <c r="H355" s="2">
        <f t="shared" si="22"/>
        <v>-3.2999999999999972</v>
      </c>
      <c r="I355" s="1">
        <f t="shared" si="20"/>
        <v>0.37746454187633971</v>
      </c>
      <c r="J355" s="2">
        <v>99.6</v>
      </c>
      <c r="K355" s="2">
        <v>103.6</v>
      </c>
      <c r="L355" s="2">
        <f t="shared" si="23"/>
        <v>-4</v>
      </c>
      <c r="M355">
        <v>88.6</v>
      </c>
      <c r="N355">
        <v>114.7</v>
      </c>
      <c r="O355">
        <v>-1.4</v>
      </c>
    </row>
    <row r="356" spans="1:15">
      <c r="A356" t="s">
        <v>49</v>
      </c>
      <c r="B356" t="s">
        <v>31</v>
      </c>
      <c r="C356">
        <v>36</v>
      </c>
      <c r="D356">
        <v>30</v>
      </c>
      <c r="E356" s="1">
        <f t="shared" si="21"/>
        <v>0.54545454545454541</v>
      </c>
      <c r="F356" s="2">
        <v>99.7</v>
      </c>
      <c r="G356" s="2">
        <v>99</v>
      </c>
      <c r="H356" s="2">
        <f t="shared" si="22"/>
        <v>0.70000000000000284</v>
      </c>
      <c r="I356" s="1">
        <f t="shared" si="20"/>
        <v>0.52464041755417556</v>
      </c>
      <c r="J356" s="2">
        <v>105.5</v>
      </c>
      <c r="K356" s="2">
        <v>104.9</v>
      </c>
      <c r="L356" s="2">
        <f t="shared" si="23"/>
        <v>0.59999999999999432</v>
      </c>
      <c r="M356">
        <v>96.6</v>
      </c>
      <c r="N356">
        <v>98.2</v>
      </c>
      <c r="O356">
        <v>0</v>
      </c>
    </row>
    <row r="357" spans="1:15">
      <c r="A357" t="s">
        <v>49</v>
      </c>
      <c r="B357" t="s">
        <v>33</v>
      </c>
      <c r="C357">
        <v>20</v>
      </c>
      <c r="D357">
        <v>46</v>
      </c>
      <c r="E357" s="1">
        <f t="shared" si="21"/>
        <v>0.30303030303030304</v>
      </c>
      <c r="F357" s="2">
        <v>93.6</v>
      </c>
      <c r="G357" s="2">
        <v>98.4</v>
      </c>
      <c r="H357" s="2">
        <f t="shared" si="22"/>
        <v>-4.8000000000000114</v>
      </c>
      <c r="I357" s="1">
        <f t="shared" si="20"/>
        <v>0.33177988336782011</v>
      </c>
      <c r="J357" s="2">
        <v>100</v>
      </c>
      <c r="K357" s="2">
        <v>104.9</v>
      </c>
      <c r="L357" s="2">
        <f t="shared" si="23"/>
        <v>-4.9000000000000057</v>
      </c>
      <c r="M357">
        <v>90</v>
      </c>
      <c r="N357">
        <v>110.3</v>
      </c>
      <c r="O357">
        <v>-0.3</v>
      </c>
    </row>
    <row r="358" spans="1:15">
      <c r="A358" t="s">
        <v>50</v>
      </c>
      <c r="B358" t="s">
        <v>5</v>
      </c>
      <c r="C358">
        <v>44</v>
      </c>
      <c r="D358">
        <v>38</v>
      </c>
      <c r="E358" s="1">
        <f t="shared" si="21"/>
        <v>0.53658536585365857</v>
      </c>
      <c r="F358" s="2">
        <v>98</v>
      </c>
      <c r="G358" s="2">
        <v>97.5</v>
      </c>
      <c r="H358" s="2">
        <f t="shared" si="22"/>
        <v>0.5</v>
      </c>
      <c r="I358" s="1">
        <f t="shared" si="20"/>
        <v>0.51789520548021317</v>
      </c>
      <c r="J358" s="2">
        <v>103.7</v>
      </c>
      <c r="K358" s="2">
        <v>103.4</v>
      </c>
      <c r="L358" s="2">
        <f t="shared" si="23"/>
        <v>0.29999999999999716</v>
      </c>
      <c r="M358">
        <v>102.2</v>
      </c>
      <c r="N358">
        <v>87.5</v>
      </c>
      <c r="O358">
        <v>-0.2</v>
      </c>
    </row>
    <row r="359" spans="1:15">
      <c r="A359" t="s">
        <v>50</v>
      </c>
      <c r="B359" t="s">
        <v>6</v>
      </c>
      <c r="C359">
        <v>41</v>
      </c>
      <c r="D359">
        <v>40</v>
      </c>
      <c r="E359" s="1">
        <f t="shared" si="21"/>
        <v>0.50617283950617287</v>
      </c>
      <c r="F359" s="2">
        <v>96.5</v>
      </c>
      <c r="G359" s="2">
        <v>96.7</v>
      </c>
      <c r="H359" s="2">
        <f t="shared" si="22"/>
        <v>-0.20000000000000284</v>
      </c>
      <c r="I359" s="1">
        <f t="shared" si="20"/>
        <v>0.49275412790061462</v>
      </c>
      <c r="J359" s="2">
        <v>102.2</v>
      </c>
      <c r="K359" s="2">
        <v>102.6</v>
      </c>
      <c r="L359" s="2">
        <f t="shared" si="23"/>
        <v>-0.39999999999999147</v>
      </c>
      <c r="M359">
        <v>92.5</v>
      </c>
      <c r="N359">
        <v>95.1</v>
      </c>
      <c r="O359">
        <v>-0.6</v>
      </c>
    </row>
    <row r="360" spans="1:15">
      <c r="A360" t="s">
        <v>50</v>
      </c>
      <c r="B360" t="s">
        <v>51</v>
      </c>
      <c r="C360">
        <v>49</v>
      </c>
      <c r="D360">
        <v>33</v>
      </c>
      <c r="E360" s="1">
        <f t="shared" si="21"/>
        <v>0.59756097560975607</v>
      </c>
      <c r="F360" s="2">
        <v>96.9</v>
      </c>
      <c r="G360" s="2">
        <v>95.1</v>
      </c>
      <c r="H360" s="2">
        <f t="shared" si="22"/>
        <v>1.8000000000000114</v>
      </c>
      <c r="I360" s="1">
        <f t="shared" si="20"/>
        <v>0.56525263753000543</v>
      </c>
      <c r="J360" s="2">
        <v>106.9</v>
      </c>
      <c r="K360" s="2">
        <v>104.8</v>
      </c>
      <c r="L360" s="2">
        <f t="shared" si="23"/>
        <v>2.1000000000000085</v>
      </c>
      <c r="M360">
        <v>98.8</v>
      </c>
      <c r="N360">
        <v>99.7</v>
      </c>
      <c r="O360">
        <v>0.4</v>
      </c>
    </row>
    <row r="361" spans="1:15">
      <c r="A361" t="s">
        <v>50</v>
      </c>
      <c r="B361" t="s">
        <v>40</v>
      </c>
      <c r="C361">
        <v>21</v>
      </c>
      <c r="D361">
        <v>61</v>
      </c>
      <c r="E361" s="1">
        <f t="shared" si="21"/>
        <v>0.25609756097560976</v>
      </c>
      <c r="F361" s="2">
        <v>93.4</v>
      </c>
      <c r="G361" s="2">
        <v>102.7</v>
      </c>
      <c r="H361" s="2">
        <f t="shared" si="22"/>
        <v>-9.2999999999999972</v>
      </c>
      <c r="I361" s="1">
        <f t="shared" si="20"/>
        <v>0.20934289845958631</v>
      </c>
      <c r="J361" s="2">
        <v>100.4</v>
      </c>
      <c r="K361" s="2">
        <v>110.3</v>
      </c>
      <c r="L361" s="2">
        <f t="shared" si="23"/>
        <v>-9.8999999999999915</v>
      </c>
      <c r="M361">
        <v>95.9</v>
      </c>
      <c r="N361">
        <v>100.6</v>
      </c>
      <c r="O361">
        <v>-1.8</v>
      </c>
    </row>
    <row r="362" spans="1:15">
      <c r="A362" t="s">
        <v>50</v>
      </c>
      <c r="B362" t="s">
        <v>8</v>
      </c>
      <c r="C362">
        <v>45</v>
      </c>
      <c r="D362">
        <v>37</v>
      </c>
      <c r="E362" s="1">
        <f t="shared" si="21"/>
        <v>0.54878048780487809</v>
      </c>
      <c r="F362" s="2">
        <v>93.2</v>
      </c>
      <c r="G362" s="2">
        <v>92.9</v>
      </c>
      <c r="H362" s="2">
        <f t="shared" si="22"/>
        <v>0.29999999999999716</v>
      </c>
      <c r="I362" s="1">
        <f t="shared" si="20"/>
        <v>0.51128235010405287</v>
      </c>
      <c r="J362" s="2">
        <v>102.4</v>
      </c>
      <c r="K362" s="2">
        <v>101.9</v>
      </c>
      <c r="L362" s="2">
        <f t="shared" si="23"/>
        <v>0.5</v>
      </c>
      <c r="M362">
        <v>101.4</v>
      </c>
      <c r="N362">
        <v>94.7</v>
      </c>
      <c r="O362">
        <v>-0.5</v>
      </c>
    </row>
    <row r="363" spans="1:15">
      <c r="A363" t="s">
        <v>50</v>
      </c>
      <c r="B363" t="s">
        <v>9</v>
      </c>
      <c r="C363">
        <v>24</v>
      </c>
      <c r="D363">
        <v>58</v>
      </c>
      <c r="E363" s="1">
        <f t="shared" si="21"/>
        <v>0.29268292682926828</v>
      </c>
      <c r="F363" s="2">
        <v>96.5</v>
      </c>
      <c r="G363" s="2">
        <v>101.2</v>
      </c>
      <c r="H363" s="2">
        <f t="shared" si="22"/>
        <v>-4.7000000000000028</v>
      </c>
      <c r="I363" s="1">
        <f t="shared" si="20"/>
        <v>0.33944230501218881</v>
      </c>
      <c r="J363" s="2">
        <v>103.2</v>
      </c>
      <c r="K363" s="2">
        <v>108.2</v>
      </c>
      <c r="L363" s="2">
        <f t="shared" si="23"/>
        <v>-5</v>
      </c>
      <c r="M363">
        <v>102</v>
      </c>
      <c r="N363">
        <v>109.1</v>
      </c>
      <c r="O363">
        <v>-1.4</v>
      </c>
    </row>
    <row r="364" spans="1:15">
      <c r="A364" t="s">
        <v>50</v>
      </c>
      <c r="B364" t="s">
        <v>10</v>
      </c>
      <c r="C364">
        <v>41</v>
      </c>
      <c r="D364">
        <v>41</v>
      </c>
      <c r="E364" s="1">
        <f t="shared" si="21"/>
        <v>0.5</v>
      </c>
      <c r="F364" s="2">
        <v>101.1</v>
      </c>
      <c r="G364" s="2">
        <v>101.7</v>
      </c>
      <c r="H364" s="2">
        <f t="shared" si="22"/>
        <v>-0.60000000000000853</v>
      </c>
      <c r="I364" s="1">
        <f t="shared" si="20"/>
        <v>0.47930171595662069</v>
      </c>
      <c r="J364" s="2">
        <v>104.7</v>
      </c>
      <c r="K364" s="2">
        <v>105.4</v>
      </c>
      <c r="L364" s="2">
        <f t="shared" si="23"/>
        <v>-0.70000000000000284</v>
      </c>
      <c r="M364">
        <v>101</v>
      </c>
      <c r="N364">
        <v>102.2</v>
      </c>
      <c r="O364">
        <v>-0.3</v>
      </c>
    </row>
    <row r="365" spans="1:15">
      <c r="A365" t="s">
        <v>50</v>
      </c>
      <c r="B365" t="s">
        <v>11</v>
      </c>
      <c r="C365">
        <v>57</v>
      </c>
      <c r="D365">
        <v>25</v>
      </c>
      <c r="E365" s="1">
        <f t="shared" si="21"/>
        <v>0.69512195121951215</v>
      </c>
      <c r="F365" s="2">
        <v>106.1</v>
      </c>
      <c r="G365" s="2">
        <v>101.1</v>
      </c>
      <c r="H365" s="2">
        <f t="shared" si="22"/>
        <v>5</v>
      </c>
      <c r="I365" s="1">
        <f t="shared" si="20"/>
        <v>0.66280219358548198</v>
      </c>
      <c r="J365" s="2">
        <v>109.3</v>
      </c>
      <c r="K365" s="2">
        <v>104.2</v>
      </c>
      <c r="L365" s="2">
        <f t="shared" si="23"/>
        <v>5.0999999999999943</v>
      </c>
      <c r="M365">
        <v>107.2</v>
      </c>
      <c r="N365">
        <v>95.7</v>
      </c>
      <c r="O365">
        <v>1.4</v>
      </c>
    </row>
    <row r="366" spans="1:15">
      <c r="A366" t="s">
        <v>50</v>
      </c>
      <c r="B366" t="s">
        <v>12</v>
      </c>
      <c r="C366">
        <v>29</v>
      </c>
      <c r="D366">
        <v>53</v>
      </c>
      <c r="E366" s="1">
        <f t="shared" si="21"/>
        <v>0.35365853658536583</v>
      </c>
      <c r="F366" s="2">
        <v>94.9</v>
      </c>
      <c r="G366" s="2">
        <v>98.8</v>
      </c>
      <c r="H366" s="2">
        <f t="shared" si="22"/>
        <v>-3.8999999999999915</v>
      </c>
      <c r="I366" s="1">
        <f t="shared" si="20"/>
        <v>0.36266067514952754</v>
      </c>
      <c r="J366" s="2">
        <v>102.7</v>
      </c>
      <c r="K366" s="2">
        <v>107.2</v>
      </c>
      <c r="L366" s="2">
        <f t="shared" si="23"/>
        <v>-4.5</v>
      </c>
      <c r="M366">
        <v>101.4</v>
      </c>
      <c r="N366">
        <v>104.7</v>
      </c>
      <c r="O366">
        <v>-0.5</v>
      </c>
    </row>
    <row r="367" spans="1:15">
      <c r="A367" t="s">
        <v>50</v>
      </c>
      <c r="B367" t="s">
        <v>13</v>
      </c>
      <c r="C367">
        <v>47</v>
      </c>
      <c r="D367">
        <v>35</v>
      </c>
      <c r="E367" s="1">
        <f t="shared" si="21"/>
        <v>0.57317073170731703</v>
      </c>
      <c r="F367" s="2">
        <v>101.2</v>
      </c>
      <c r="G367" s="2">
        <v>100.3</v>
      </c>
      <c r="H367" s="2">
        <f t="shared" si="22"/>
        <v>0.90000000000000568</v>
      </c>
      <c r="I367" s="1">
        <f t="shared" si="20"/>
        <v>0.53122502870875743</v>
      </c>
      <c r="J367" s="2">
        <v>105.1</v>
      </c>
      <c r="K367" s="2">
        <v>104.2</v>
      </c>
      <c r="L367" s="2">
        <f t="shared" si="23"/>
        <v>0.89999999999999147</v>
      </c>
      <c r="M367">
        <v>101.8</v>
      </c>
      <c r="N367">
        <v>93.8</v>
      </c>
      <c r="O367">
        <v>0.8</v>
      </c>
    </row>
    <row r="368" spans="1:15">
      <c r="A368" t="s">
        <v>50</v>
      </c>
      <c r="B368" t="s">
        <v>14</v>
      </c>
      <c r="C368">
        <v>45</v>
      </c>
      <c r="D368">
        <v>37</v>
      </c>
      <c r="E368" s="1">
        <f t="shared" si="21"/>
        <v>0.54878048780487809</v>
      </c>
      <c r="F368" s="2">
        <v>106</v>
      </c>
      <c r="G368" s="2">
        <v>102.5</v>
      </c>
      <c r="H368" s="2">
        <f t="shared" si="22"/>
        <v>3.5</v>
      </c>
      <c r="I368" s="1">
        <f t="shared" si="20"/>
        <v>0.61539988348983532</v>
      </c>
      <c r="J368" s="2">
        <v>108.8</v>
      </c>
      <c r="K368" s="2">
        <v>105.3</v>
      </c>
      <c r="L368" s="2">
        <f t="shared" si="23"/>
        <v>3.5</v>
      </c>
      <c r="M368">
        <v>105.4</v>
      </c>
      <c r="N368">
        <v>103.3</v>
      </c>
      <c r="O368">
        <v>1.1000000000000001</v>
      </c>
    </row>
    <row r="369" spans="1:15">
      <c r="A369" t="s">
        <v>50</v>
      </c>
      <c r="B369" t="s">
        <v>15</v>
      </c>
      <c r="C369">
        <v>49</v>
      </c>
      <c r="D369">
        <v>32</v>
      </c>
      <c r="E369" s="1">
        <f t="shared" si="21"/>
        <v>0.60493827160493829</v>
      </c>
      <c r="F369" s="2">
        <v>94.7</v>
      </c>
      <c r="G369" s="2">
        <v>90.7</v>
      </c>
      <c r="H369" s="2">
        <f t="shared" si="22"/>
        <v>4</v>
      </c>
      <c r="I369" s="1">
        <f t="shared" si="20"/>
        <v>0.64661501230862617</v>
      </c>
      <c r="J369" s="2">
        <v>103.4</v>
      </c>
      <c r="K369" s="2">
        <v>99</v>
      </c>
      <c r="L369" s="2">
        <f t="shared" si="23"/>
        <v>4.4000000000000057</v>
      </c>
      <c r="M369">
        <v>97.6</v>
      </c>
      <c r="N369">
        <v>86</v>
      </c>
      <c r="O369">
        <v>0.2</v>
      </c>
    </row>
    <row r="370" spans="1:15">
      <c r="A370" t="s">
        <v>50</v>
      </c>
      <c r="B370" t="s">
        <v>16</v>
      </c>
      <c r="C370">
        <v>56</v>
      </c>
      <c r="D370">
        <v>26</v>
      </c>
      <c r="E370" s="1">
        <f t="shared" si="21"/>
        <v>0.68292682926829273</v>
      </c>
      <c r="F370" s="2">
        <v>101.1</v>
      </c>
      <c r="G370" s="2">
        <v>94.6</v>
      </c>
      <c r="H370" s="2">
        <f t="shared" si="22"/>
        <v>6.5</v>
      </c>
      <c r="I370" s="1">
        <f t="shared" si="20"/>
        <v>0.71714367068078333</v>
      </c>
      <c r="J370" s="2">
        <v>109.8</v>
      </c>
      <c r="K370" s="2">
        <v>102.8</v>
      </c>
      <c r="L370" s="2">
        <f t="shared" si="23"/>
        <v>7</v>
      </c>
      <c r="M370">
        <v>114.7</v>
      </c>
      <c r="N370">
        <v>114.9</v>
      </c>
      <c r="O370">
        <v>2.2000000000000002</v>
      </c>
    </row>
    <row r="371" spans="1:15">
      <c r="A371" t="s">
        <v>50</v>
      </c>
      <c r="B371" t="s">
        <v>17</v>
      </c>
      <c r="C371">
        <v>45</v>
      </c>
      <c r="D371">
        <v>37</v>
      </c>
      <c r="E371" s="1">
        <f t="shared" si="21"/>
        <v>0.54878048780487809</v>
      </c>
      <c r="F371" s="2">
        <v>102.2</v>
      </c>
      <c r="G371" s="2">
        <v>101</v>
      </c>
      <c r="H371" s="2">
        <f t="shared" si="22"/>
        <v>1.2000000000000028</v>
      </c>
      <c r="I371" s="1">
        <f t="shared" si="20"/>
        <v>0.54124512665476499</v>
      </c>
      <c r="J371" s="2">
        <v>107</v>
      </c>
      <c r="K371" s="2">
        <v>105.9</v>
      </c>
      <c r="L371" s="2">
        <f t="shared" si="23"/>
        <v>1.0999999999999943</v>
      </c>
      <c r="M371">
        <v>104.3</v>
      </c>
      <c r="N371">
        <v>91.6</v>
      </c>
      <c r="O371">
        <v>1.4</v>
      </c>
    </row>
    <row r="372" spans="1:15">
      <c r="A372" t="s">
        <v>50</v>
      </c>
      <c r="B372" t="s">
        <v>35</v>
      </c>
      <c r="C372">
        <v>56</v>
      </c>
      <c r="D372">
        <v>26</v>
      </c>
      <c r="E372" s="1">
        <f t="shared" si="21"/>
        <v>0.68292682926829273</v>
      </c>
      <c r="F372" s="2">
        <v>93.4</v>
      </c>
      <c r="G372" s="2">
        <v>89.3</v>
      </c>
      <c r="H372" s="2">
        <f t="shared" si="22"/>
        <v>4.1000000000000085</v>
      </c>
      <c r="I372" s="1">
        <f t="shared" si="20"/>
        <v>0.65213973687486437</v>
      </c>
      <c r="J372" s="2">
        <v>103.6</v>
      </c>
      <c r="K372" s="2">
        <v>99.1</v>
      </c>
      <c r="L372" s="2">
        <f t="shared" si="23"/>
        <v>4.5</v>
      </c>
      <c r="M372">
        <v>97.9</v>
      </c>
      <c r="N372">
        <v>90.4</v>
      </c>
      <c r="O372">
        <v>-0.7</v>
      </c>
    </row>
    <row r="373" spans="1:15">
      <c r="A373" t="s">
        <v>50</v>
      </c>
      <c r="B373" t="s">
        <v>18</v>
      </c>
      <c r="C373">
        <v>66</v>
      </c>
      <c r="D373">
        <v>16</v>
      </c>
      <c r="E373" s="1">
        <f t="shared" si="21"/>
        <v>0.80487804878048785</v>
      </c>
      <c r="F373" s="2">
        <v>102.9</v>
      </c>
      <c r="G373" s="2">
        <v>95</v>
      </c>
      <c r="H373" s="2">
        <f t="shared" si="22"/>
        <v>7.9000000000000057</v>
      </c>
      <c r="I373" s="1">
        <f t="shared" si="20"/>
        <v>0.75367891326640968</v>
      </c>
      <c r="J373" s="2">
        <v>111.4</v>
      </c>
      <c r="K373" s="2">
        <v>103.2</v>
      </c>
      <c r="L373" s="2">
        <f t="shared" si="23"/>
        <v>8.2000000000000028</v>
      </c>
      <c r="M373">
        <v>117.7</v>
      </c>
      <c r="N373">
        <v>84.5</v>
      </c>
      <c r="O373">
        <v>2.1</v>
      </c>
    </row>
    <row r="374" spans="1:15">
      <c r="A374" t="s">
        <v>50</v>
      </c>
      <c r="B374" t="s">
        <v>19</v>
      </c>
      <c r="C374">
        <v>38</v>
      </c>
      <c r="D374">
        <v>44</v>
      </c>
      <c r="E374" s="1">
        <f t="shared" si="21"/>
        <v>0.46341463414634149</v>
      </c>
      <c r="F374" s="2">
        <v>98.9</v>
      </c>
      <c r="G374" s="2">
        <v>100.4</v>
      </c>
      <c r="H374" s="2">
        <f t="shared" si="22"/>
        <v>-1.5</v>
      </c>
      <c r="I374" s="1">
        <f t="shared" si="20"/>
        <v>0.44750873634234695</v>
      </c>
      <c r="J374" s="2">
        <v>102.5</v>
      </c>
      <c r="K374" s="2">
        <v>104.2</v>
      </c>
      <c r="L374" s="2">
        <f t="shared" si="23"/>
        <v>-1.7000000000000028</v>
      </c>
      <c r="M374">
        <v>101.6</v>
      </c>
      <c r="N374">
        <v>99.1</v>
      </c>
      <c r="O374">
        <v>-1.2</v>
      </c>
    </row>
    <row r="375" spans="1:15">
      <c r="A375" t="s">
        <v>50</v>
      </c>
      <c r="B375" t="s">
        <v>20</v>
      </c>
      <c r="C375">
        <v>31</v>
      </c>
      <c r="D375">
        <v>51</v>
      </c>
      <c r="E375" s="1">
        <f t="shared" si="21"/>
        <v>0.37804878048780488</v>
      </c>
      <c r="F375" s="2">
        <v>95.7</v>
      </c>
      <c r="G375" s="2">
        <v>98.1</v>
      </c>
      <c r="H375" s="2">
        <f t="shared" si="22"/>
        <v>-2.3999999999999915</v>
      </c>
      <c r="I375" s="1">
        <f t="shared" si="20"/>
        <v>0.41416664534903919</v>
      </c>
      <c r="J375" s="2">
        <v>101.8</v>
      </c>
      <c r="K375" s="2">
        <v>104</v>
      </c>
      <c r="L375" s="2">
        <f t="shared" si="23"/>
        <v>-2.2000000000000028</v>
      </c>
      <c r="M375">
        <v>96.4</v>
      </c>
      <c r="N375">
        <v>103.9</v>
      </c>
      <c r="O375">
        <v>-1.1000000000000001</v>
      </c>
    </row>
    <row r="376" spans="1:15">
      <c r="A376" t="s">
        <v>50</v>
      </c>
      <c r="B376" t="s">
        <v>37</v>
      </c>
      <c r="C376">
        <v>27</v>
      </c>
      <c r="D376">
        <v>55</v>
      </c>
      <c r="E376" s="1">
        <f t="shared" si="21"/>
        <v>0.32926829268292684</v>
      </c>
      <c r="F376" s="2">
        <v>94.1</v>
      </c>
      <c r="G376" s="2">
        <v>97.9</v>
      </c>
      <c r="H376" s="2">
        <f t="shared" si="22"/>
        <v>-3.8000000000000114</v>
      </c>
      <c r="I376" s="1">
        <f t="shared" si="20"/>
        <v>0.3648814793953255</v>
      </c>
      <c r="J376" s="2">
        <v>104.5</v>
      </c>
      <c r="K376" s="2">
        <v>108.9</v>
      </c>
      <c r="L376" s="2">
        <f t="shared" si="23"/>
        <v>-4.4000000000000057</v>
      </c>
      <c r="M376">
        <v>93.6</v>
      </c>
      <c r="N376">
        <v>116.9</v>
      </c>
      <c r="O376">
        <v>-0.7</v>
      </c>
    </row>
    <row r="377" spans="1:15">
      <c r="A377" t="s">
        <v>50</v>
      </c>
      <c r="B377" t="s">
        <v>22</v>
      </c>
      <c r="C377">
        <v>54</v>
      </c>
      <c r="D377">
        <v>28</v>
      </c>
      <c r="E377" s="1">
        <f t="shared" si="21"/>
        <v>0.65853658536585369</v>
      </c>
      <c r="F377" s="2">
        <v>100</v>
      </c>
      <c r="G377" s="2">
        <v>95.7</v>
      </c>
      <c r="H377" s="2">
        <f t="shared" si="22"/>
        <v>4.2999999999999972</v>
      </c>
      <c r="I377" s="1">
        <f t="shared" si="20"/>
        <v>0.64915487217242029</v>
      </c>
      <c r="J377" s="2">
        <v>109.8</v>
      </c>
      <c r="K377" s="2">
        <v>105.4</v>
      </c>
      <c r="L377" s="2">
        <f t="shared" si="23"/>
        <v>4.3999999999999915</v>
      </c>
      <c r="M377">
        <v>94.7</v>
      </c>
      <c r="N377">
        <v>88.8</v>
      </c>
      <c r="O377">
        <v>2.1</v>
      </c>
    </row>
    <row r="378" spans="1:15">
      <c r="A378" t="s">
        <v>50</v>
      </c>
      <c r="B378" t="s">
        <v>46</v>
      </c>
      <c r="C378">
        <v>60</v>
      </c>
      <c r="D378">
        <v>22</v>
      </c>
      <c r="E378" s="1">
        <f t="shared" si="21"/>
        <v>0.73170731707317072</v>
      </c>
      <c r="F378" s="2">
        <v>105.7</v>
      </c>
      <c r="G378" s="2">
        <v>96.5</v>
      </c>
      <c r="H378" s="2">
        <f t="shared" si="22"/>
        <v>9.2000000000000028</v>
      </c>
      <c r="I378" s="1">
        <f t="shared" si="20"/>
        <v>0.78157465431369377</v>
      </c>
      <c r="J378" s="2">
        <v>111</v>
      </c>
      <c r="K378" s="2">
        <v>101.2</v>
      </c>
      <c r="L378" s="2">
        <f t="shared" si="23"/>
        <v>9.7999999999999972</v>
      </c>
      <c r="M378">
        <v>108.7</v>
      </c>
      <c r="N378">
        <v>98.6</v>
      </c>
      <c r="O378">
        <v>1</v>
      </c>
    </row>
    <row r="379" spans="1:15">
      <c r="A379" t="s">
        <v>50</v>
      </c>
      <c r="B379" t="s">
        <v>23</v>
      </c>
      <c r="C379">
        <v>20</v>
      </c>
      <c r="D379">
        <v>62</v>
      </c>
      <c r="E379" s="1">
        <f t="shared" si="21"/>
        <v>0.24390243902439024</v>
      </c>
      <c r="F379" s="2">
        <v>94.1</v>
      </c>
      <c r="G379" s="2">
        <v>101.1</v>
      </c>
      <c r="H379" s="2">
        <f t="shared" si="22"/>
        <v>-7</v>
      </c>
      <c r="I379" s="1">
        <f t="shared" si="20"/>
        <v>0.26805187630664556</v>
      </c>
      <c r="J379" s="2">
        <v>100.9</v>
      </c>
      <c r="K379" s="2">
        <v>108.4</v>
      </c>
      <c r="L379" s="2">
        <f t="shared" si="23"/>
        <v>-7.5</v>
      </c>
      <c r="M379">
        <v>92.7</v>
      </c>
      <c r="N379">
        <v>110.1</v>
      </c>
      <c r="O379">
        <v>-1.4</v>
      </c>
    </row>
    <row r="380" spans="1:15">
      <c r="A380" t="s">
        <v>50</v>
      </c>
      <c r="B380" t="s">
        <v>24</v>
      </c>
      <c r="C380">
        <v>34</v>
      </c>
      <c r="D380">
        <v>48</v>
      </c>
      <c r="E380" s="1">
        <f t="shared" si="21"/>
        <v>0.41463414634146339</v>
      </c>
      <c r="F380" s="2">
        <v>93.2</v>
      </c>
      <c r="G380" s="2">
        <v>96.5</v>
      </c>
      <c r="H380" s="2">
        <f t="shared" si="22"/>
        <v>-3.2999999999999972</v>
      </c>
      <c r="I380" s="1">
        <f t="shared" si="20"/>
        <v>0.38056895293996196</v>
      </c>
      <c r="J380" s="2">
        <v>101</v>
      </c>
      <c r="K380" s="2">
        <v>104.7</v>
      </c>
      <c r="L380" s="2">
        <f t="shared" si="23"/>
        <v>-3.7000000000000028</v>
      </c>
      <c r="M380">
        <v>94.2</v>
      </c>
      <c r="N380">
        <v>100</v>
      </c>
      <c r="O380">
        <v>-0.7</v>
      </c>
    </row>
    <row r="381" spans="1:15">
      <c r="A381" t="s">
        <v>50</v>
      </c>
      <c r="B381" t="s">
        <v>25</v>
      </c>
      <c r="C381">
        <v>25</v>
      </c>
      <c r="D381">
        <v>57</v>
      </c>
      <c r="E381" s="1">
        <f t="shared" si="21"/>
        <v>0.3048780487804878</v>
      </c>
      <c r="F381" s="2">
        <v>95.2</v>
      </c>
      <c r="G381" s="2">
        <v>101.6</v>
      </c>
      <c r="H381" s="2">
        <f t="shared" si="22"/>
        <v>-6.3999999999999915</v>
      </c>
      <c r="I381" s="1">
        <f t="shared" si="20"/>
        <v>0.28681768748070391</v>
      </c>
      <c r="J381" s="2">
        <v>100.2</v>
      </c>
      <c r="K381" s="2">
        <v>106.9</v>
      </c>
      <c r="L381" s="2">
        <f t="shared" si="23"/>
        <v>-6.7000000000000028</v>
      </c>
      <c r="M381">
        <v>94.8</v>
      </c>
      <c r="N381">
        <v>100.3</v>
      </c>
      <c r="O381">
        <v>-1.5</v>
      </c>
    </row>
    <row r="382" spans="1:15">
      <c r="A382" t="s">
        <v>50</v>
      </c>
      <c r="B382" t="s">
        <v>26</v>
      </c>
      <c r="C382">
        <v>33</v>
      </c>
      <c r="D382">
        <v>49</v>
      </c>
      <c r="E382" s="1">
        <f t="shared" si="21"/>
        <v>0.40243902439024393</v>
      </c>
      <c r="F382" s="2">
        <v>97.5</v>
      </c>
      <c r="G382" s="2">
        <v>100.7</v>
      </c>
      <c r="H382" s="2">
        <f t="shared" si="22"/>
        <v>-3.2000000000000028</v>
      </c>
      <c r="I382" s="1">
        <f t="shared" si="20"/>
        <v>0.38885971000700537</v>
      </c>
      <c r="J382" s="2">
        <v>104.5</v>
      </c>
      <c r="K382" s="2">
        <v>107.9</v>
      </c>
      <c r="L382" s="2">
        <f t="shared" si="23"/>
        <v>-3.4000000000000057</v>
      </c>
      <c r="M382">
        <v>105.1</v>
      </c>
      <c r="N382">
        <v>106.7</v>
      </c>
      <c r="O382">
        <v>-0.2</v>
      </c>
    </row>
    <row r="383" spans="1:15">
      <c r="A383" t="s">
        <v>50</v>
      </c>
      <c r="B383" t="s">
        <v>27</v>
      </c>
      <c r="C383">
        <v>28</v>
      </c>
      <c r="D383">
        <v>54</v>
      </c>
      <c r="E383" s="1">
        <f t="shared" si="21"/>
        <v>0.34146341463414637</v>
      </c>
      <c r="F383" s="2">
        <v>100.2</v>
      </c>
      <c r="G383" s="2">
        <v>105.1</v>
      </c>
      <c r="H383" s="2">
        <f t="shared" si="22"/>
        <v>-4.8999999999999915</v>
      </c>
      <c r="I383" s="1">
        <f t="shared" si="20"/>
        <v>0.33885133571043297</v>
      </c>
      <c r="J383" s="2">
        <v>105.3</v>
      </c>
      <c r="K383" s="2">
        <v>110</v>
      </c>
      <c r="L383" s="2">
        <f t="shared" si="23"/>
        <v>-4.7000000000000028</v>
      </c>
      <c r="M383">
        <v>101</v>
      </c>
      <c r="N383">
        <v>102.3</v>
      </c>
      <c r="O383">
        <v>-0.2</v>
      </c>
    </row>
    <row r="384" spans="1:15">
      <c r="A384" t="s">
        <v>50</v>
      </c>
      <c r="B384" t="s">
        <v>28</v>
      </c>
      <c r="C384">
        <v>58</v>
      </c>
      <c r="D384">
        <v>24</v>
      </c>
      <c r="E384" s="1">
        <f t="shared" si="21"/>
        <v>0.70731707317073167</v>
      </c>
      <c r="F384" s="2">
        <v>103</v>
      </c>
      <c r="G384" s="2">
        <v>96.6</v>
      </c>
      <c r="H384" s="2">
        <f t="shared" si="22"/>
        <v>6.4000000000000057</v>
      </c>
      <c r="I384" s="1">
        <f t="shared" si="20"/>
        <v>0.71055960682270991</v>
      </c>
      <c r="J384" s="2">
        <v>107</v>
      </c>
      <c r="K384" s="2">
        <v>100.3</v>
      </c>
      <c r="L384" s="2">
        <f t="shared" si="23"/>
        <v>6.7000000000000028</v>
      </c>
      <c r="M384">
        <v>95</v>
      </c>
      <c r="N384">
        <v>93.5</v>
      </c>
      <c r="O384">
        <v>1.2</v>
      </c>
    </row>
    <row r="385" spans="1:15">
      <c r="A385" t="s">
        <v>50</v>
      </c>
      <c r="B385" t="s">
        <v>30</v>
      </c>
      <c r="C385">
        <v>34</v>
      </c>
      <c r="D385">
        <v>48</v>
      </c>
      <c r="E385" s="1">
        <f t="shared" si="21"/>
        <v>0.41463414634146339</v>
      </c>
      <c r="F385" s="2">
        <v>97.2</v>
      </c>
      <c r="G385" s="2">
        <v>98.7</v>
      </c>
      <c r="H385" s="2">
        <f t="shared" si="22"/>
        <v>-1.5</v>
      </c>
      <c r="I385" s="1">
        <f t="shared" si="20"/>
        <v>0.4466045570075422</v>
      </c>
      <c r="J385" s="2">
        <v>105</v>
      </c>
      <c r="K385" s="2">
        <v>106.4</v>
      </c>
      <c r="L385" s="2">
        <f t="shared" si="23"/>
        <v>-1.4000000000000057</v>
      </c>
      <c r="M385">
        <v>87.8</v>
      </c>
      <c r="N385">
        <v>112.9</v>
      </c>
      <c r="O385">
        <v>-1.5</v>
      </c>
    </row>
    <row r="386" spans="1:15">
      <c r="A386" t="s">
        <v>50</v>
      </c>
      <c r="B386" t="s">
        <v>31</v>
      </c>
      <c r="C386">
        <v>43</v>
      </c>
      <c r="D386">
        <v>39</v>
      </c>
      <c r="E386" s="1">
        <f t="shared" si="21"/>
        <v>0.52439024390243905</v>
      </c>
      <c r="F386" s="2">
        <v>98</v>
      </c>
      <c r="G386" s="2">
        <v>98.1</v>
      </c>
      <c r="H386" s="2">
        <f t="shared" si="22"/>
        <v>-9.9999999999994316E-2</v>
      </c>
      <c r="I386" s="1">
        <f t="shared" ref="I386:I449" si="24">+(F386^14)/((F386^14+G386^14))</f>
        <v>0.49643045299187905</v>
      </c>
      <c r="J386" s="2">
        <v>105.4</v>
      </c>
      <c r="K386" s="2">
        <v>105.6</v>
      </c>
      <c r="L386" s="2">
        <f t="shared" si="23"/>
        <v>-0.19999999999998863</v>
      </c>
      <c r="M386">
        <v>106.4</v>
      </c>
      <c r="N386">
        <v>101.2</v>
      </c>
      <c r="O386">
        <v>-0.1</v>
      </c>
    </row>
    <row r="387" spans="1:15">
      <c r="A387" t="s">
        <v>50</v>
      </c>
      <c r="B387" t="s">
        <v>33</v>
      </c>
      <c r="C387">
        <v>29</v>
      </c>
      <c r="D387">
        <v>53</v>
      </c>
      <c r="E387" s="1">
        <f t="shared" ref="E387:E450" si="25">+C387/(C387+D387)</f>
        <v>0.35365853658536583</v>
      </c>
      <c r="F387" s="2">
        <v>93.2</v>
      </c>
      <c r="G387" s="2">
        <v>95.8</v>
      </c>
      <c r="H387" s="2">
        <f t="shared" ref="H387:H450" si="26">+F387-G387</f>
        <v>-2.5999999999999943</v>
      </c>
      <c r="I387" s="1">
        <f t="shared" si="24"/>
        <v>0.4048710493768114</v>
      </c>
      <c r="J387" s="2">
        <v>99.3</v>
      </c>
      <c r="K387" s="2">
        <v>101.6</v>
      </c>
      <c r="L387" s="2">
        <f t="shared" ref="L387:L450" si="27">+J387-K387</f>
        <v>-2.2999999999999972</v>
      </c>
      <c r="M387">
        <v>80.5</v>
      </c>
      <c r="N387">
        <v>100.7</v>
      </c>
      <c r="O387">
        <v>0.6</v>
      </c>
    </row>
    <row r="388" spans="1:15">
      <c r="A388" t="s">
        <v>52</v>
      </c>
      <c r="B388" t="s">
        <v>5</v>
      </c>
      <c r="C388">
        <v>38</v>
      </c>
      <c r="D388">
        <v>44</v>
      </c>
      <c r="E388" s="1">
        <f t="shared" si="25"/>
        <v>0.46341463414634149</v>
      </c>
      <c r="F388" s="2">
        <v>101</v>
      </c>
      <c r="G388" s="2">
        <v>101.5</v>
      </c>
      <c r="H388" s="2">
        <f t="shared" si="26"/>
        <v>-0.5</v>
      </c>
      <c r="I388" s="1">
        <f t="shared" si="24"/>
        <v>0.48272289543770702</v>
      </c>
      <c r="J388" s="2">
        <v>104.9</v>
      </c>
      <c r="K388" s="2">
        <v>105.7</v>
      </c>
      <c r="L388" s="2">
        <f t="shared" si="27"/>
        <v>-0.79999999999999716</v>
      </c>
      <c r="M388">
        <v>105.6</v>
      </c>
      <c r="N388">
        <v>100.2</v>
      </c>
      <c r="O388">
        <v>-0.9</v>
      </c>
    </row>
    <row r="389" spans="1:15">
      <c r="A389" t="s">
        <v>52</v>
      </c>
      <c r="B389" t="s">
        <v>6</v>
      </c>
      <c r="C389">
        <v>25</v>
      </c>
      <c r="D389">
        <v>57</v>
      </c>
      <c r="E389" s="1">
        <f t="shared" si="25"/>
        <v>0.3048780487804878</v>
      </c>
      <c r="F389" s="2">
        <v>96.2</v>
      </c>
      <c r="G389" s="2">
        <v>100.7</v>
      </c>
      <c r="H389" s="2">
        <f t="shared" si="26"/>
        <v>-4.5</v>
      </c>
      <c r="I389" s="1">
        <f t="shared" si="24"/>
        <v>0.34523971521963903</v>
      </c>
      <c r="J389" s="2">
        <v>101.9</v>
      </c>
      <c r="K389" s="2">
        <v>106.5</v>
      </c>
      <c r="L389" s="2">
        <f t="shared" si="27"/>
        <v>-4.5999999999999943</v>
      </c>
      <c r="M389">
        <v>88.5</v>
      </c>
      <c r="N389">
        <v>112.9</v>
      </c>
      <c r="O389">
        <v>-2</v>
      </c>
    </row>
    <row r="390" spans="1:15">
      <c r="A390" t="s">
        <v>52</v>
      </c>
      <c r="B390" t="s">
        <v>51</v>
      </c>
      <c r="C390">
        <v>44</v>
      </c>
      <c r="D390">
        <v>38</v>
      </c>
      <c r="E390" s="1">
        <f t="shared" si="25"/>
        <v>0.53658536585365857</v>
      </c>
      <c r="F390" s="2">
        <v>98.5</v>
      </c>
      <c r="G390" s="2">
        <v>99.5</v>
      </c>
      <c r="H390" s="2">
        <f t="shared" si="26"/>
        <v>-1</v>
      </c>
      <c r="I390" s="1">
        <f t="shared" si="24"/>
        <v>0.46470496450899657</v>
      </c>
      <c r="J390" s="2">
        <v>105.4</v>
      </c>
      <c r="K390" s="2">
        <v>106.7</v>
      </c>
      <c r="L390" s="2">
        <f t="shared" si="27"/>
        <v>-1.2999999999999972</v>
      </c>
      <c r="M390">
        <v>98.3</v>
      </c>
      <c r="N390">
        <v>100.6</v>
      </c>
      <c r="O390">
        <v>-1.1000000000000001</v>
      </c>
    </row>
    <row r="391" spans="1:15">
      <c r="A391" t="s">
        <v>52</v>
      </c>
      <c r="B391" t="s">
        <v>40</v>
      </c>
      <c r="C391">
        <v>43</v>
      </c>
      <c r="D391">
        <v>39</v>
      </c>
      <c r="E391" s="1">
        <f t="shared" si="25"/>
        <v>0.52439024390243905</v>
      </c>
      <c r="F391" s="2">
        <v>96.9</v>
      </c>
      <c r="G391" s="2">
        <v>97.1</v>
      </c>
      <c r="H391" s="2">
        <f t="shared" si="26"/>
        <v>-0.19999999999998863</v>
      </c>
      <c r="I391" s="1">
        <f t="shared" si="24"/>
        <v>0.49278400364904085</v>
      </c>
      <c r="J391" s="2">
        <v>103</v>
      </c>
      <c r="K391" s="2">
        <v>103.3</v>
      </c>
      <c r="L391" s="2">
        <f t="shared" si="27"/>
        <v>-0.29999999999999716</v>
      </c>
      <c r="M391">
        <v>94.6</v>
      </c>
      <c r="N391">
        <v>92.6</v>
      </c>
      <c r="O391">
        <v>-0.4</v>
      </c>
    </row>
    <row r="392" spans="1:15">
      <c r="A392" t="s">
        <v>52</v>
      </c>
      <c r="B392" t="s">
        <v>8</v>
      </c>
      <c r="C392">
        <v>48</v>
      </c>
      <c r="D392">
        <v>34</v>
      </c>
      <c r="E392" s="1">
        <f t="shared" si="25"/>
        <v>0.58536585365853655</v>
      </c>
      <c r="F392" s="2">
        <v>93.7</v>
      </c>
      <c r="G392" s="2">
        <v>91.8</v>
      </c>
      <c r="H392" s="2">
        <f t="shared" si="26"/>
        <v>1.9000000000000057</v>
      </c>
      <c r="I392" s="1">
        <f t="shared" si="24"/>
        <v>0.57121314816076207</v>
      </c>
      <c r="J392" s="2">
        <v>101.7</v>
      </c>
      <c r="K392" s="2">
        <v>99.9</v>
      </c>
      <c r="L392" s="2">
        <f t="shared" si="27"/>
        <v>1.7999999999999972</v>
      </c>
      <c r="M392">
        <v>91.5</v>
      </c>
      <c r="N392">
        <v>83.4</v>
      </c>
      <c r="O392">
        <v>1</v>
      </c>
    </row>
    <row r="393" spans="1:15">
      <c r="A393" t="s">
        <v>52</v>
      </c>
      <c r="B393" t="s">
        <v>9</v>
      </c>
      <c r="C393">
        <v>33</v>
      </c>
      <c r="D393">
        <v>49</v>
      </c>
      <c r="E393" s="1">
        <f t="shared" si="25"/>
        <v>0.40243902439024393</v>
      </c>
      <c r="F393" s="2">
        <v>98.2</v>
      </c>
      <c r="G393" s="2">
        <v>101.5</v>
      </c>
      <c r="H393" s="2">
        <f t="shared" si="26"/>
        <v>-3.2999999999999972</v>
      </c>
      <c r="I393" s="1">
        <f t="shared" si="24"/>
        <v>0.38633693083562831</v>
      </c>
      <c r="J393" s="2">
        <v>103.5</v>
      </c>
      <c r="K393" s="2">
        <v>107</v>
      </c>
      <c r="L393" s="2">
        <f t="shared" si="27"/>
        <v>-3.5</v>
      </c>
      <c r="M393">
        <v>95.4</v>
      </c>
      <c r="N393">
        <v>102.2</v>
      </c>
      <c r="O393">
        <v>0.2</v>
      </c>
    </row>
    <row r="394" spans="1:15">
      <c r="A394" t="s">
        <v>52</v>
      </c>
      <c r="B394" t="s">
        <v>10</v>
      </c>
      <c r="C394">
        <v>49</v>
      </c>
      <c r="D394">
        <v>33</v>
      </c>
      <c r="E394" s="1">
        <f t="shared" si="25"/>
        <v>0.59756097560975607</v>
      </c>
      <c r="F394" s="2">
        <v>104.8</v>
      </c>
      <c r="G394" s="2">
        <v>102.4</v>
      </c>
      <c r="H394" s="2">
        <f t="shared" si="26"/>
        <v>2.3999999999999915</v>
      </c>
      <c r="I394" s="1">
        <f t="shared" si="24"/>
        <v>0.58038129278939099</v>
      </c>
      <c r="J394" s="2">
        <v>109.5</v>
      </c>
      <c r="K394" s="2">
        <v>107.2</v>
      </c>
      <c r="L394" s="2">
        <f t="shared" si="27"/>
        <v>2.2999999999999972</v>
      </c>
      <c r="M394">
        <v>110.6</v>
      </c>
      <c r="N394">
        <v>98.1</v>
      </c>
      <c r="O394">
        <v>0.7</v>
      </c>
    </row>
    <row r="395" spans="1:15">
      <c r="A395" t="s">
        <v>52</v>
      </c>
      <c r="B395" t="s">
        <v>11</v>
      </c>
      <c r="C395">
        <v>36</v>
      </c>
      <c r="D395">
        <v>46</v>
      </c>
      <c r="E395" s="1">
        <f t="shared" si="25"/>
        <v>0.43902439024390244</v>
      </c>
      <c r="F395" s="2">
        <v>104.4</v>
      </c>
      <c r="G395" s="2">
        <v>106.5</v>
      </c>
      <c r="H395" s="2">
        <f t="shared" si="26"/>
        <v>-2.0999999999999943</v>
      </c>
      <c r="I395" s="1">
        <f t="shared" si="24"/>
        <v>0.43074448136951871</v>
      </c>
      <c r="J395" s="2">
        <v>105.1</v>
      </c>
      <c r="K395" s="2">
        <v>107.3</v>
      </c>
      <c r="L395" s="2">
        <f t="shared" si="27"/>
        <v>-2.2000000000000028</v>
      </c>
      <c r="M395">
        <v>98.8</v>
      </c>
      <c r="N395">
        <v>105.6</v>
      </c>
      <c r="O395">
        <v>-0.5</v>
      </c>
    </row>
    <row r="396" spans="1:15">
      <c r="A396" t="s">
        <v>52</v>
      </c>
      <c r="B396" t="s">
        <v>12</v>
      </c>
      <c r="C396">
        <v>29</v>
      </c>
      <c r="D396">
        <v>53</v>
      </c>
      <c r="E396" s="1">
        <f t="shared" si="25"/>
        <v>0.35365853658536583</v>
      </c>
      <c r="F396" s="2">
        <v>101</v>
      </c>
      <c r="G396" s="2">
        <v>104.7</v>
      </c>
      <c r="H396" s="2">
        <f t="shared" si="26"/>
        <v>-3.7000000000000028</v>
      </c>
      <c r="I396" s="1">
        <f t="shared" si="24"/>
        <v>0.37667145253299883</v>
      </c>
      <c r="J396" s="2">
        <v>105.2</v>
      </c>
      <c r="K396" s="2">
        <v>109</v>
      </c>
      <c r="L396" s="2">
        <f t="shared" si="27"/>
        <v>-3.7999999999999972</v>
      </c>
      <c r="M396">
        <v>85.5</v>
      </c>
      <c r="N396">
        <v>110</v>
      </c>
      <c r="O396">
        <v>-2.4</v>
      </c>
    </row>
    <row r="397" spans="1:15">
      <c r="A397" t="s">
        <v>52</v>
      </c>
      <c r="B397" t="s">
        <v>13</v>
      </c>
      <c r="C397">
        <v>51</v>
      </c>
      <c r="D397">
        <v>31</v>
      </c>
      <c r="E397" s="1">
        <f t="shared" si="25"/>
        <v>0.62195121951219512</v>
      </c>
      <c r="F397" s="2">
        <v>104.3</v>
      </c>
      <c r="G397" s="2">
        <v>99.5</v>
      </c>
      <c r="H397" s="2">
        <f t="shared" si="26"/>
        <v>4.7999999999999972</v>
      </c>
      <c r="I397" s="1">
        <f t="shared" si="24"/>
        <v>0.65916874214261856</v>
      </c>
      <c r="J397" s="2">
        <v>106.3</v>
      </c>
      <c r="K397" s="2">
        <v>101.4</v>
      </c>
      <c r="L397" s="2">
        <f t="shared" si="27"/>
        <v>4.8999999999999915</v>
      </c>
      <c r="M397">
        <v>101.2</v>
      </c>
      <c r="N397">
        <v>94.5</v>
      </c>
      <c r="O397">
        <v>0.5</v>
      </c>
    </row>
    <row r="398" spans="1:15">
      <c r="A398" t="s">
        <v>52</v>
      </c>
      <c r="B398" t="s">
        <v>14</v>
      </c>
      <c r="C398">
        <v>54</v>
      </c>
      <c r="D398">
        <v>28</v>
      </c>
      <c r="E398" s="1">
        <f t="shared" si="25"/>
        <v>0.65853658536585369</v>
      </c>
      <c r="F398" s="2">
        <v>107.7</v>
      </c>
      <c r="G398" s="2">
        <v>103.1</v>
      </c>
      <c r="H398" s="2">
        <f t="shared" si="26"/>
        <v>4.6000000000000085</v>
      </c>
      <c r="I398" s="1">
        <f t="shared" si="24"/>
        <v>0.648192302705629</v>
      </c>
      <c r="J398" s="2">
        <v>109.8</v>
      </c>
      <c r="K398" s="2">
        <v>105.2</v>
      </c>
      <c r="L398" s="2">
        <f t="shared" si="27"/>
        <v>4.5999999999999943</v>
      </c>
      <c r="M398">
        <v>111.2</v>
      </c>
      <c r="N398">
        <v>96.1</v>
      </c>
      <c r="O398">
        <v>-0.2</v>
      </c>
    </row>
    <row r="399" spans="1:15">
      <c r="A399" t="s">
        <v>52</v>
      </c>
      <c r="B399" t="s">
        <v>15</v>
      </c>
      <c r="C399">
        <v>56</v>
      </c>
      <c r="D399">
        <v>26</v>
      </c>
      <c r="E399" s="1">
        <f t="shared" si="25"/>
        <v>0.68292682926829273</v>
      </c>
      <c r="F399" s="2">
        <v>96.7</v>
      </c>
      <c r="G399" s="2">
        <v>92.3</v>
      </c>
      <c r="H399" s="2">
        <f t="shared" si="26"/>
        <v>4.4000000000000057</v>
      </c>
      <c r="I399" s="1">
        <f t="shared" si="24"/>
        <v>0.65745418217817553</v>
      </c>
      <c r="J399" s="2">
        <v>103.6</v>
      </c>
      <c r="K399" s="2">
        <v>98.9</v>
      </c>
      <c r="L399" s="2">
        <f t="shared" si="27"/>
        <v>4.6999999999999886</v>
      </c>
      <c r="M399">
        <v>113.9</v>
      </c>
      <c r="N399">
        <v>94.6</v>
      </c>
      <c r="O399">
        <v>1.4</v>
      </c>
    </row>
    <row r="400" spans="1:15">
      <c r="A400" t="s">
        <v>52</v>
      </c>
      <c r="B400" t="s">
        <v>16</v>
      </c>
      <c r="C400">
        <v>57</v>
      </c>
      <c r="D400">
        <v>25</v>
      </c>
      <c r="E400" s="1">
        <f t="shared" si="25"/>
        <v>0.69512195121951215</v>
      </c>
      <c r="F400" s="2">
        <v>107.9</v>
      </c>
      <c r="G400" s="2">
        <v>101</v>
      </c>
      <c r="H400" s="2">
        <f t="shared" si="26"/>
        <v>6.9000000000000057</v>
      </c>
      <c r="I400" s="1">
        <f t="shared" si="24"/>
        <v>0.71609658806886933</v>
      </c>
      <c r="J400" s="2">
        <v>111.3</v>
      </c>
      <c r="K400" s="2">
        <v>104</v>
      </c>
      <c r="L400" s="2">
        <f t="shared" si="27"/>
        <v>7.2999999999999972</v>
      </c>
      <c r="M400">
        <v>111.8</v>
      </c>
      <c r="N400">
        <v>100</v>
      </c>
      <c r="O400">
        <v>1.6</v>
      </c>
    </row>
    <row r="401" spans="1:15">
      <c r="A401" t="s">
        <v>52</v>
      </c>
      <c r="B401" t="s">
        <v>17</v>
      </c>
      <c r="C401">
        <v>27</v>
      </c>
      <c r="D401">
        <v>55</v>
      </c>
      <c r="E401" s="1">
        <f t="shared" si="25"/>
        <v>0.32926829268292684</v>
      </c>
      <c r="F401" s="2">
        <v>103</v>
      </c>
      <c r="G401" s="2">
        <v>109.2</v>
      </c>
      <c r="H401" s="2">
        <f t="shared" si="26"/>
        <v>-6.2000000000000028</v>
      </c>
      <c r="I401" s="1">
        <f t="shared" si="24"/>
        <v>0.30611847103175666</v>
      </c>
      <c r="J401" s="2">
        <v>103.2</v>
      </c>
      <c r="K401" s="2">
        <v>109.3</v>
      </c>
      <c r="L401" s="2">
        <f t="shared" si="27"/>
        <v>-6.0999999999999943</v>
      </c>
      <c r="M401">
        <v>100.8</v>
      </c>
      <c r="N401">
        <v>100</v>
      </c>
      <c r="O401">
        <v>0.5</v>
      </c>
    </row>
    <row r="402" spans="1:15">
      <c r="A402" t="s">
        <v>52</v>
      </c>
      <c r="B402" t="s">
        <v>35</v>
      </c>
      <c r="C402">
        <v>50</v>
      </c>
      <c r="D402">
        <v>32</v>
      </c>
      <c r="E402" s="1">
        <f t="shared" si="25"/>
        <v>0.6097560975609756</v>
      </c>
      <c r="F402" s="2">
        <v>96.1</v>
      </c>
      <c r="G402" s="2">
        <v>94.6</v>
      </c>
      <c r="H402" s="2">
        <f t="shared" si="26"/>
        <v>1.5</v>
      </c>
      <c r="I402" s="1">
        <f t="shared" si="24"/>
        <v>0.554839936539687</v>
      </c>
      <c r="J402" s="2">
        <v>105.5</v>
      </c>
      <c r="K402" s="2">
        <v>103.8</v>
      </c>
      <c r="L402" s="2">
        <f t="shared" si="27"/>
        <v>1.7000000000000028</v>
      </c>
      <c r="M402">
        <v>108.7</v>
      </c>
      <c r="N402">
        <v>82</v>
      </c>
      <c r="O402">
        <v>1.1000000000000001</v>
      </c>
    </row>
    <row r="403" spans="1:15">
      <c r="A403" t="s">
        <v>52</v>
      </c>
      <c r="B403" t="s">
        <v>18</v>
      </c>
      <c r="C403">
        <v>54</v>
      </c>
      <c r="D403">
        <v>28</v>
      </c>
      <c r="E403" s="1">
        <f t="shared" si="25"/>
        <v>0.65853658536585369</v>
      </c>
      <c r="F403" s="2">
        <v>102.2</v>
      </c>
      <c r="G403" s="2">
        <v>97.4</v>
      </c>
      <c r="H403" s="2">
        <f t="shared" si="26"/>
        <v>4.7999999999999972</v>
      </c>
      <c r="I403" s="1">
        <f t="shared" si="24"/>
        <v>0.66228117698287825</v>
      </c>
      <c r="J403" s="2">
        <v>110</v>
      </c>
      <c r="K403" s="2">
        <v>105</v>
      </c>
      <c r="L403" s="2">
        <f t="shared" si="27"/>
        <v>5</v>
      </c>
      <c r="M403">
        <v>104.5</v>
      </c>
      <c r="N403">
        <v>97.6</v>
      </c>
      <c r="O403">
        <v>1.6</v>
      </c>
    </row>
    <row r="404" spans="1:15">
      <c r="A404" t="s">
        <v>52</v>
      </c>
      <c r="B404" t="s">
        <v>19</v>
      </c>
      <c r="C404">
        <v>15</v>
      </c>
      <c r="D404">
        <v>67</v>
      </c>
      <c r="E404" s="1">
        <f t="shared" si="25"/>
        <v>0.18292682926829268</v>
      </c>
      <c r="F404" s="2">
        <v>95.5</v>
      </c>
      <c r="G404" s="2">
        <v>103.7</v>
      </c>
      <c r="H404" s="2">
        <f t="shared" si="26"/>
        <v>-8.2000000000000028</v>
      </c>
      <c r="I404" s="1">
        <f t="shared" si="24"/>
        <v>0.23989374282891526</v>
      </c>
      <c r="J404" s="2">
        <v>101.9</v>
      </c>
      <c r="K404" s="2">
        <v>110.2</v>
      </c>
      <c r="L404" s="2">
        <f t="shared" si="27"/>
        <v>-8.2999999999999972</v>
      </c>
      <c r="M404">
        <v>87.3</v>
      </c>
      <c r="N404">
        <v>108.7</v>
      </c>
      <c r="O404">
        <v>0</v>
      </c>
    </row>
    <row r="405" spans="1:15">
      <c r="A405" t="s">
        <v>52</v>
      </c>
      <c r="B405" t="s">
        <v>20</v>
      </c>
      <c r="C405">
        <v>40</v>
      </c>
      <c r="D405">
        <v>42</v>
      </c>
      <c r="E405" s="1">
        <f t="shared" si="25"/>
        <v>0.48780487804878048</v>
      </c>
      <c r="F405" s="2">
        <v>106.9</v>
      </c>
      <c r="G405" s="2">
        <v>104.3</v>
      </c>
      <c r="H405" s="2">
        <f t="shared" si="26"/>
        <v>2.6000000000000085</v>
      </c>
      <c r="I405" s="1">
        <f t="shared" si="24"/>
        <v>0.58533524678753013</v>
      </c>
      <c r="J405" s="2">
        <v>107.7</v>
      </c>
      <c r="K405" s="2">
        <v>105.2</v>
      </c>
      <c r="L405" s="2">
        <f t="shared" si="27"/>
        <v>2.5</v>
      </c>
      <c r="M405">
        <v>99.7</v>
      </c>
      <c r="N405">
        <v>116.3</v>
      </c>
      <c r="O405">
        <v>-2.2999999999999998</v>
      </c>
    </row>
    <row r="406" spans="1:15">
      <c r="A406" t="s">
        <v>52</v>
      </c>
      <c r="B406" t="s">
        <v>53</v>
      </c>
      <c r="C406">
        <v>34</v>
      </c>
      <c r="D406">
        <v>48</v>
      </c>
      <c r="E406" s="1">
        <f t="shared" si="25"/>
        <v>0.41463414634146339</v>
      </c>
      <c r="F406" s="2">
        <v>99.7</v>
      </c>
      <c r="G406" s="2">
        <v>102.4</v>
      </c>
      <c r="H406" s="2">
        <f t="shared" si="26"/>
        <v>-2.7000000000000028</v>
      </c>
      <c r="I406" s="1">
        <f t="shared" si="24"/>
        <v>0.40755201801637742</v>
      </c>
      <c r="J406" s="2">
        <v>106.2</v>
      </c>
      <c r="K406" s="2">
        <v>109.1</v>
      </c>
      <c r="L406" s="2">
        <f t="shared" si="27"/>
        <v>-2.8999999999999915</v>
      </c>
      <c r="M406">
        <v>103.6</v>
      </c>
      <c r="N406">
        <v>105.4</v>
      </c>
      <c r="O406">
        <v>-0.2</v>
      </c>
    </row>
    <row r="407" spans="1:15">
      <c r="A407" t="s">
        <v>52</v>
      </c>
      <c r="B407" t="s">
        <v>22</v>
      </c>
      <c r="C407">
        <v>37</v>
      </c>
      <c r="D407">
        <v>45</v>
      </c>
      <c r="E407" s="1">
        <f t="shared" si="25"/>
        <v>0.45121951219512196</v>
      </c>
      <c r="F407" s="2">
        <v>98.6</v>
      </c>
      <c r="G407" s="2">
        <v>99.4</v>
      </c>
      <c r="H407" s="2">
        <f t="shared" si="26"/>
        <v>-0.80000000000001137</v>
      </c>
      <c r="I407" s="1">
        <f t="shared" si="24"/>
        <v>0.47174714501702425</v>
      </c>
      <c r="J407" s="2">
        <v>107</v>
      </c>
      <c r="K407" s="2">
        <v>108.1</v>
      </c>
      <c r="L407" s="2">
        <f t="shared" si="27"/>
        <v>-1.0999999999999943</v>
      </c>
      <c r="M407">
        <v>92.3</v>
      </c>
      <c r="N407">
        <v>100.6</v>
      </c>
      <c r="O407">
        <v>-1.2</v>
      </c>
    </row>
    <row r="408" spans="1:15">
      <c r="A408" t="s">
        <v>52</v>
      </c>
      <c r="B408" t="s">
        <v>46</v>
      </c>
      <c r="C408">
        <v>59</v>
      </c>
      <c r="D408">
        <v>23</v>
      </c>
      <c r="E408" s="1">
        <f t="shared" si="25"/>
        <v>0.71951219512195119</v>
      </c>
      <c r="F408" s="2">
        <v>106.2</v>
      </c>
      <c r="G408" s="2">
        <v>99.8</v>
      </c>
      <c r="H408" s="2">
        <f t="shared" si="26"/>
        <v>6.4000000000000057</v>
      </c>
      <c r="I408" s="1">
        <f t="shared" si="24"/>
        <v>0.70478376609010041</v>
      </c>
      <c r="J408" s="2">
        <v>109.4</v>
      </c>
      <c r="K408" s="2">
        <v>103</v>
      </c>
      <c r="L408" s="2">
        <f t="shared" si="27"/>
        <v>6.4000000000000057</v>
      </c>
      <c r="M408">
        <v>103.7</v>
      </c>
      <c r="N408">
        <v>99.7</v>
      </c>
      <c r="O408">
        <v>1.1000000000000001</v>
      </c>
    </row>
    <row r="409" spans="1:15">
      <c r="A409" t="s">
        <v>52</v>
      </c>
      <c r="B409" t="s">
        <v>23</v>
      </c>
      <c r="C409">
        <v>23</v>
      </c>
      <c r="D409">
        <v>59</v>
      </c>
      <c r="E409" s="1">
        <f t="shared" si="25"/>
        <v>0.28048780487804881</v>
      </c>
      <c r="F409" s="2">
        <v>96.5</v>
      </c>
      <c r="G409" s="2">
        <v>102</v>
      </c>
      <c r="H409" s="2">
        <f t="shared" si="26"/>
        <v>-5.5</v>
      </c>
      <c r="I409" s="1">
        <f t="shared" si="24"/>
        <v>0.31517888985534531</v>
      </c>
      <c r="J409" s="2">
        <v>101</v>
      </c>
      <c r="K409" s="2">
        <v>106.6</v>
      </c>
      <c r="L409" s="2">
        <f t="shared" si="27"/>
        <v>-5.5999999999999943</v>
      </c>
      <c r="M409">
        <v>87.9</v>
      </c>
      <c r="N409">
        <v>105.2</v>
      </c>
      <c r="O409">
        <v>-0.3</v>
      </c>
    </row>
    <row r="410" spans="1:15">
      <c r="A410" t="s">
        <v>52</v>
      </c>
      <c r="B410" t="s">
        <v>24</v>
      </c>
      <c r="C410">
        <v>19</v>
      </c>
      <c r="D410">
        <v>63</v>
      </c>
      <c r="E410" s="1">
        <f t="shared" si="25"/>
        <v>0.23170731707317074</v>
      </c>
      <c r="F410" s="2">
        <v>99.5</v>
      </c>
      <c r="G410" s="2">
        <v>109.9</v>
      </c>
      <c r="H410" s="2">
        <f t="shared" si="26"/>
        <v>-10.400000000000006</v>
      </c>
      <c r="I410" s="1">
        <f t="shared" si="24"/>
        <v>0.19912293805378545</v>
      </c>
      <c r="J410" s="2">
        <v>99</v>
      </c>
      <c r="K410" s="2">
        <v>109</v>
      </c>
      <c r="L410" s="2">
        <f t="shared" si="27"/>
        <v>-10</v>
      </c>
      <c r="M410">
        <v>105</v>
      </c>
      <c r="N410">
        <v>99</v>
      </c>
      <c r="O410">
        <v>-0.8</v>
      </c>
    </row>
    <row r="411" spans="1:15">
      <c r="A411" t="s">
        <v>52</v>
      </c>
      <c r="B411" t="s">
        <v>25</v>
      </c>
      <c r="C411">
        <v>48</v>
      </c>
      <c r="D411">
        <v>34</v>
      </c>
      <c r="E411" s="1">
        <f t="shared" si="25"/>
        <v>0.58536585365853655</v>
      </c>
      <c r="F411" s="2">
        <v>105.2</v>
      </c>
      <c r="G411" s="2">
        <v>102.6</v>
      </c>
      <c r="H411" s="2">
        <f t="shared" si="26"/>
        <v>2.6000000000000085</v>
      </c>
      <c r="I411" s="1">
        <f t="shared" si="24"/>
        <v>0.58670369823184843</v>
      </c>
      <c r="J411" s="2">
        <v>108.2</v>
      </c>
      <c r="K411" s="2">
        <v>105.6</v>
      </c>
      <c r="L411" s="2">
        <f t="shared" si="27"/>
        <v>2.6000000000000085</v>
      </c>
      <c r="M411">
        <v>96.2</v>
      </c>
      <c r="N411">
        <v>97.1</v>
      </c>
      <c r="O411">
        <v>0.4</v>
      </c>
    </row>
    <row r="412" spans="1:15">
      <c r="A412" t="s">
        <v>52</v>
      </c>
      <c r="B412" t="s">
        <v>26</v>
      </c>
      <c r="C412">
        <v>54</v>
      </c>
      <c r="D412">
        <v>28</v>
      </c>
      <c r="E412" s="1">
        <f t="shared" si="25"/>
        <v>0.65853658536585369</v>
      </c>
      <c r="F412" s="2">
        <v>106.7</v>
      </c>
      <c r="G412" s="2">
        <v>102.8</v>
      </c>
      <c r="H412" s="2">
        <f t="shared" si="26"/>
        <v>3.9000000000000057</v>
      </c>
      <c r="I412" s="1">
        <f t="shared" si="24"/>
        <v>0.62745199732003099</v>
      </c>
      <c r="J412" s="2">
        <v>110.4</v>
      </c>
      <c r="K412" s="2">
        <v>106.2</v>
      </c>
      <c r="L412" s="2">
        <f t="shared" si="27"/>
        <v>4.2000000000000028</v>
      </c>
      <c r="M412">
        <v>113.7</v>
      </c>
      <c r="N412">
        <v>101</v>
      </c>
      <c r="O412">
        <v>0.6</v>
      </c>
    </row>
    <row r="413" spans="1:15">
      <c r="A413" t="s">
        <v>52</v>
      </c>
      <c r="B413" t="s">
        <v>27</v>
      </c>
      <c r="C413">
        <v>28</v>
      </c>
      <c r="D413">
        <v>54</v>
      </c>
      <c r="E413" s="1">
        <f t="shared" si="25"/>
        <v>0.34146341463414637</v>
      </c>
      <c r="F413" s="2">
        <v>100.5</v>
      </c>
      <c r="G413" s="2">
        <v>103.4</v>
      </c>
      <c r="H413" s="2">
        <f t="shared" si="26"/>
        <v>-2.9000000000000057</v>
      </c>
      <c r="I413" s="1">
        <f t="shared" si="24"/>
        <v>0.40173015666550166</v>
      </c>
      <c r="J413" s="2">
        <v>105.1</v>
      </c>
      <c r="K413" s="2">
        <v>107.8</v>
      </c>
      <c r="L413" s="2">
        <f t="shared" si="27"/>
        <v>-2.7000000000000028</v>
      </c>
      <c r="M413">
        <v>101.2</v>
      </c>
      <c r="N413">
        <v>108.8</v>
      </c>
      <c r="O413">
        <v>-1</v>
      </c>
    </row>
    <row r="414" spans="1:15">
      <c r="A414" t="s">
        <v>52</v>
      </c>
      <c r="B414" t="s">
        <v>28</v>
      </c>
      <c r="C414">
        <v>62</v>
      </c>
      <c r="D414">
        <v>20</v>
      </c>
      <c r="E414" s="1">
        <f t="shared" si="25"/>
        <v>0.75609756097560976</v>
      </c>
      <c r="F414" s="2">
        <v>105.4</v>
      </c>
      <c r="G414" s="2">
        <v>97.6</v>
      </c>
      <c r="H414" s="2">
        <f t="shared" si="26"/>
        <v>7.8000000000000114</v>
      </c>
      <c r="I414" s="1">
        <f t="shared" si="24"/>
        <v>0.74581059535578331</v>
      </c>
      <c r="J414" s="2">
        <v>109.5</v>
      </c>
      <c r="K414" s="2">
        <v>101.4</v>
      </c>
      <c r="L414" s="2">
        <f t="shared" si="27"/>
        <v>8.0999999999999943</v>
      </c>
      <c r="M414">
        <v>116.2</v>
      </c>
      <c r="N414">
        <v>103</v>
      </c>
      <c r="O414">
        <v>2</v>
      </c>
    </row>
    <row r="415" spans="1:15">
      <c r="A415" t="s">
        <v>52</v>
      </c>
      <c r="B415" t="s">
        <v>30</v>
      </c>
      <c r="C415">
        <v>48</v>
      </c>
      <c r="D415">
        <v>34</v>
      </c>
      <c r="E415" s="1">
        <f t="shared" si="25"/>
        <v>0.58536585365853655</v>
      </c>
      <c r="F415" s="2">
        <v>101.3</v>
      </c>
      <c r="G415" s="2">
        <v>98</v>
      </c>
      <c r="H415" s="2">
        <f t="shared" si="26"/>
        <v>3.2999999999999972</v>
      </c>
      <c r="I415" s="1">
        <f t="shared" si="24"/>
        <v>0.6138832683846418</v>
      </c>
      <c r="J415" s="2">
        <v>107.9</v>
      </c>
      <c r="K415" s="2">
        <v>104.6</v>
      </c>
      <c r="L415" s="2">
        <f t="shared" si="27"/>
        <v>3.3000000000000114</v>
      </c>
      <c r="M415">
        <v>102.9</v>
      </c>
      <c r="N415">
        <v>95</v>
      </c>
      <c r="O415">
        <v>2.4</v>
      </c>
    </row>
    <row r="416" spans="1:15">
      <c r="A416" t="s">
        <v>52</v>
      </c>
      <c r="B416" t="s">
        <v>31</v>
      </c>
      <c r="C416">
        <v>25</v>
      </c>
      <c r="D416">
        <v>57</v>
      </c>
      <c r="E416" s="1">
        <f t="shared" si="25"/>
        <v>0.3048780487804878</v>
      </c>
      <c r="F416" s="2">
        <v>95</v>
      </c>
      <c r="G416" s="2">
        <v>102.2</v>
      </c>
      <c r="H416" s="2">
        <f t="shared" si="26"/>
        <v>-7.2000000000000028</v>
      </c>
      <c r="I416" s="1">
        <f t="shared" si="24"/>
        <v>0.26448877178052832</v>
      </c>
      <c r="J416" s="2">
        <v>102.4</v>
      </c>
      <c r="K416" s="2">
        <v>110.1</v>
      </c>
      <c r="L416" s="2">
        <f t="shared" si="27"/>
        <v>-7.6999999999999886</v>
      </c>
      <c r="M416">
        <v>108.8</v>
      </c>
      <c r="N416">
        <v>121.1</v>
      </c>
      <c r="O416">
        <v>-1.8</v>
      </c>
    </row>
    <row r="417" spans="1:15">
      <c r="A417" t="s">
        <v>52</v>
      </c>
      <c r="B417" t="s">
        <v>33</v>
      </c>
      <c r="C417">
        <v>44</v>
      </c>
      <c r="D417">
        <v>38</v>
      </c>
      <c r="E417" s="1">
        <f t="shared" si="25"/>
        <v>0.53658536585365857</v>
      </c>
      <c r="F417" s="2">
        <v>100.7</v>
      </c>
      <c r="G417" s="2">
        <v>99.4</v>
      </c>
      <c r="H417" s="2">
        <f t="shared" si="26"/>
        <v>1.2999999999999972</v>
      </c>
      <c r="I417" s="1">
        <f t="shared" si="24"/>
        <v>0.54535290258851965</v>
      </c>
      <c r="J417" s="2">
        <v>104.9</v>
      </c>
      <c r="K417" s="2">
        <v>103.6</v>
      </c>
      <c r="L417" s="2">
        <f t="shared" si="27"/>
        <v>1.3000000000000114</v>
      </c>
      <c r="M417">
        <v>92.4</v>
      </c>
      <c r="N417">
        <v>99</v>
      </c>
      <c r="O417">
        <v>0</v>
      </c>
    </row>
    <row r="418" spans="1:15">
      <c r="A418" t="s">
        <v>54</v>
      </c>
      <c r="B418" t="s">
        <v>5</v>
      </c>
      <c r="C418">
        <v>60</v>
      </c>
      <c r="D418">
        <v>22</v>
      </c>
      <c r="E418" s="1">
        <f t="shared" si="25"/>
        <v>0.73170731707317072</v>
      </c>
      <c r="F418" s="2">
        <v>102.5</v>
      </c>
      <c r="G418" s="2">
        <v>97.1</v>
      </c>
      <c r="H418" s="2">
        <f t="shared" si="26"/>
        <v>5.4000000000000057</v>
      </c>
      <c r="I418" s="1">
        <f t="shared" si="24"/>
        <v>0.68085415464788723</v>
      </c>
      <c r="J418" s="2">
        <v>108.2</v>
      </c>
      <c r="K418" s="2">
        <v>102.3</v>
      </c>
      <c r="L418" s="2">
        <f t="shared" si="27"/>
        <v>5.9000000000000057</v>
      </c>
      <c r="M418">
        <v>112.1</v>
      </c>
      <c r="N418">
        <v>91.3</v>
      </c>
      <c r="O418">
        <v>1.2</v>
      </c>
    </row>
    <row r="419" spans="1:15">
      <c r="A419" t="s">
        <v>54</v>
      </c>
      <c r="B419" t="s">
        <v>6</v>
      </c>
      <c r="C419">
        <v>40</v>
      </c>
      <c r="D419">
        <v>42</v>
      </c>
      <c r="E419" s="1">
        <f t="shared" si="25"/>
        <v>0.48780487804878048</v>
      </c>
      <c r="F419" s="2">
        <v>101.4</v>
      </c>
      <c r="G419" s="2">
        <v>101.2</v>
      </c>
      <c r="H419" s="2">
        <f t="shared" si="26"/>
        <v>0.20000000000000284</v>
      </c>
      <c r="I419" s="1">
        <f t="shared" si="24"/>
        <v>0.50690973014497898</v>
      </c>
      <c r="J419" s="2">
        <v>103.8</v>
      </c>
      <c r="K419" s="2">
        <v>103.5</v>
      </c>
      <c r="L419" s="2">
        <f t="shared" si="27"/>
        <v>0.29999999999999716</v>
      </c>
      <c r="M419">
        <v>103</v>
      </c>
      <c r="N419">
        <v>103.8</v>
      </c>
      <c r="O419">
        <v>0.9</v>
      </c>
    </row>
    <row r="420" spans="1:15">
      <c r="A420" t="s">
        <v>54</v>
      </c>
      <c r="B420" t="s">
        <v>51</v>
      </c>
      <c r="C420">
        <v>38</v>
      </c>
      <c r="D420">
        <v>44</v>
      </c>
      <c r="E420" s="1">
        <f t="shared" si="25"/>
        <v>0.46341463414634149</v>
      </c>
      <c r="F420" s="2">
        <v>98</v>
      </c>
      <c r="G420" s="2">
        <v>100.9</v>
      </c>
      <c r="H420" s="2">
        <f t="shared" si="26"/>
        <v>-2.9000000000000057</v>
      </c>
      <c r="I420" s="1">
        <f t="shared" si="24"/>
        <v>0.3993259881358221</v>
      </c>
      <c r="J420" s="2">
        <v>103.4</v>
      </c>
      <c r="K420" s="2">
        <v>106.3</v>
      </c>
      <c r="L420" s="2">
        <f t="shared" si="27"/>
        <v>-2.8999999999999915</v>
      </c>
      <c r="M420">
        <v>91.9</v>
      </c>
      <c r="N420">
        <v>102.5</v>
      </c>
      <c r="O420">
        <v>-0.2</v>
      </c>
    </row>
    <row r="421" spans="1:15">
      <c r="A421" t="s">
        <v>54</v>
      </c>
      <c r="B421" t="s">
        <v>7</v>
      </c>
      <c r="C421">
        <v>33</v>
      </c>
      <c r="D421">
        <v>49</v>
      </c>
      <c r="E421" s="1">
        <f t="shared" si="25"/>
        <v>0.40243902439024393</v>
      </c>
      <c r="F421" s="2">
        <v>94.2</v>
      </c>
      <c r="G421" s="2">
        <v>97.3</v>
      </c>
      <c r="H421" s="2">
        <f t="shared" si="26"/>
        <v>-3.0999999999999943</v>
      </c>
      <c r="I421" s="1">
        <f t="shared" si="24"/>
        <v>0.38857566297444734</v>
      </c>
      <c r="J421" s="2">
        <v>99.6</v>
      </c>
      <c r="K421" s="2">
        <v>103</v>
      </c>
      <c r="L421" s="2">
        <f t="shared" si="27"/>
        <v>-3.4000000000000057</v>
      </c>
      <c r="M421">
        <v>89.8</v>
      </c>
      <c r="N421">
        <v>99.4</v>
      </c>
      <c r="O421">
        <v>-1.2</v>
      </c>
    </row>
    <row r="422" spans="1:15">
      <c r="A422" t="s">
        <v>54</v>
      </c>
      <c r="B422" t="s">
        <v>8</v>
      </c>
      <c r="C422">
        <v>50</v>
      </c>
      <c r="D422">
        <v>32</v>
      </c>
      <c r="E422" s="1">
        <f t="shared" si="25"/>
        <v>0.6097560975609756</v>
      </c>
      <c r="F422" s="2">
        <v>100.8</v>
      </c>
      <c r="G422" s="2">
        <v>97.8</v>
      </c>
      <c r="H422" s="2">
        <f t="shared" si="26"/>
        <v>3</v>
      </c>
      <c r="I422" s="1">
        <f t="shared" si="24"/>
        <v>0.60419920235636659</v>
      </c>
      <c r="J422" s="2">
        <v>106.3</v>
      </c>
      <c r="K422" s="2">
        <v>103.3</v>
      </c>
      <c r="L422" s="2">
        <f t="shared" si="27"/>
        <v>3</v>
      </c>
      <c r="M422">
        <v>99.7</v>
      </c>
      <c r="N422">
        <v>90.5</v>
      </c>
      <c r="O422">
        <v>1.5</v>
      </c>
    </row>
    <row r="423" spans="1:15">
      <c r="A423" t="s">
        <v>54</v>
      </c>
      <c r="B423" t="s">
        <v>9</v>
      </c>
      <c r="C423">
        <v>53</v>
      </c>
      <c r="D423">
        <v>29</v>
      </c>
      <c r="E423" s="1">
        <f t="shared" si="25"/>
        <v>0.64634146341463417</v>
      </c>
      <c r="F423" s="2">
        <v>103.1</v>
      </c>
      <c r="G423" s="2">
        <v>98.7</v>
      </c>
      <c r="H423" s="2">
        <f t="shared" si="26"/>
        <v>4.3999999999999915</v>
      </c>
      <c r="I423" s="1">
        <f t="shared" si="24"/>
        <v>0.64807816531272</v>
      </c>
      <c r="J423" s="2">
        <v>110.1</v>
      </c>
      <c r="K423" s="2">
        <v>105.3</v>
      </c>
      <c r="L423" s="2">
        <f t="shared" si="27"/>
        <v>4.7999999999999972</v>
      </c>
      <c r="M423">
        <v>112.7</v>
      </c>
      <c r="N423">
        <v>103</v>
      </c>
      <c r="O423">
        <v>0</v>
      </c>
    </row>
    <row r="424" spans="1:15">
      <c r="A424" t="s">
        <v>54</v>
      </c>
      <c r="B424" t="s">
        <v>10</v>
      </c>
      <c r="C424">
        <v>50</v>
      </c>
      <c r="D424">
        <v>32</v>
      </c>
      <c r="E424" s="1">
        <f t="shared" si="25"/>
        <v>0.6097560975609756</v>
      </c>
      <c r="F424" s="2">
        <v>105.2</v>
      </c>
      <c r="G424" s="2">
        <v>102.3</v>
      </c>
      <c r="H424" s="2">
        <f t="shared" si="26"/>
        <v>2.9000000000000057</v>
      </c>
      <c r="I424" s="1">
        <f t="shared" si="24"/>
        <v>0.59660783043206966</v>
      </c>
      <c r="J424" s="2">
        <v>108.2</v>
      </c>
      <c r="K424" s="2">
        <v>104.9</v>
      </c>
      <c r="L424" s="2">
        <f t="shared" si="27"/>
        <v>3.2999999999999972</v>
      </c>
      <c r="M424">
        <v>113.1</v>
      </c>
      <c r="N424">
        <v>95.3</v>
      </c>
      <c r="O424">
        <v>0.8</v>
      </c>
    </row>
    <row r="425" spans="1:15">
      <c r="A425" t="s">
        <v>54</v>
      </c>
      <c r="B425" t="s">
        <v>11</v>
      </c>
      <c r="C425">
        <v>30</v>
      </c>
      <c r="D425">
        <v>52</v>
      </c>
      <c r="E425" s="1">
        <f t="shared" si="25"/>
        <v>0.36585365853658536</v>
      </c>
      <c r="F425" s="2">
        <v>101.5</v>
      </c>
      <c r="G425" s="2">
        <v>105</v>
      </c>
      <c r="H425" s="2">
        <f t="shared" si="26"/>
        <v>-3.5</v>
      </c>
      <c r="I425" s="1">
        <f t="shared" si="24"/>
        <v>0.38352292862917464</v>
      </c>
      <c r="J425" s="2">
        <v>103.9</v>
      </c>
      <c r="K425" s="2">
        <v>107.1</v>
      </c>
      <c r="L425" s="2">
        <f t="shared" si="27"/>
        <v>-3.1999999999999886</v>
      </c>
      <c r="M425">
        <v>104.4</v>
      </c>
      <c r="N425">
        <v>112.3</v>
      </c>
      <c r="O425">
        <v>-0.8</v>
      </c>
    </row>
    <row r="426" spans="1:15">
      <c r="A426" t="s">
        <v>54</v>
      </c>
      <c r="B426" t="s">
        <v>12</v>
      </c>
      <c r="C426">
        <v>32</v>
      </c>
      <c r="D426">
        <v>50</v>
      </c>
      <c r="E426" s="1">
        <f t="shared" si="25"/>
        <v>0.3902439024390244</v>
      </c>
      <c r="F426" s="2">
        <v>98.5</v>
      </c>
      <c r="G426" s="2">
        <v>99.5</v>
      </c>
      <c r="H426" s="2">
        <f t="shared" si="26"/>
        <v>-1</v>
      </c>
      <c r="I426" s="1">
        <f t="shared" si="24"/>
        <v>0.46470496450899657</v>
      </c>
      <c r="J426" s="2">
        <v>104.3</v>
      </c>
      <c r="K426" s="2">
        <v>105.4</v>
      </c>
      <c r="L426" s="2">
        <f t="shared" si="27"/>
        <v>-1.1000000000000085</v>
      </c>
      <c r="M426">
        <v>90.2</v>
      </c>
      <c r="N426">
        <v>100.3</v>
      </c>
      <c r="O426">
        <v>0</v>
      </c>
    </row>
    <row r="427" spans="1:15">
      <c r="A427" t="s">
        <v>54</v>
      </c>
      <c r="B427" t="s">
        <v>13</v>
      </c>
      <c r="C427">
        <v>67</v>
      </c>
      <c r="D427">
        <v>15</v>
      </c>
      <c r="E427" s="1">
        <f t="shared" si="25"/>
        <v>0.81707317073170727</v>
      </c>
      <c r="F427" s="2">
        <v>110</v>
      </c>
      <c r="G427" s="2">
        <v>99.9</v>
      </c>
      <c r="H427" s="2">
        <f t="shared" si="26"/>
        <v>10.099999999999994</v>
      </c>
      <c r="I427" s="1">
        <f t="shared" si="24"/>
        <v>0.79385966423964438</v>
      </c>
      <c r="J427" s="2">
        <v>110.4</v>
      </c>
      <c r="K427" s="2">
        <v>100.4</v>
      </c>
      <c r="L427" s="2">
        <f t="shared" si="27"/>
        <v>10</v>
      </c>
      <c r="M427">
        <v>111</v>
      </c>
      <c r="N427">
        <v>92.1</v>
      </c>
      <c r="O427">
        <v>0.4</v>
      </c>
    </row>
    <row r="428" spans="1:15">
      <c r="A428" t="s">
        <v>54</v>
      </c>
      <c r="B428" t="s">
        <v>14</v>
      </c>
      <c r="C428">
        <v>56</v>
      </c>
      <c r="D428">
        <v>26</v>
      </c>
      <c r="E428" s="1">
        <f t="shared" si="25"/>
        <v>0.68292682926829273</v>
      </c>
      <c r="F428" s="2">
        <v>103.9</v>
      </c>
      <c r="G428" s="2">
        <v>100.5</v>
      </c>
      <c r="H428" s="2">
        <f t="shared" si="26"/>
        <v>3.4000000000000057</v>
      </c>
      <c r="I428" s="1">
        <f t="shared" si="24"/>
        <v>0.61438833657997272</v>
      </c>
      <c r="J428" s="2">
        <v>106</v>
      </c>
      <c r="K428" s="2">
        <v>102.6</v>
      </c>
      <c r="L428" s="2">
        <f t="shared" si="27"/>
        <v>3.4000000000000057</v>
      </c>
      <c r="M428">
        <v>98.4</v>
      </c>
      <c r="N428">
        <v>100.3</v>
      </c>
      <c r="O428">
        <v>-0.8</v>
      </c>
    </row>
    <row r="429" spans="1:15">
      <c r="A429" t="s">
        <v>54</v>
      </c>
      <c r="B429" t="s">
        <v>15</v>
      </c>
      <c r="C429">
        <v>38</v>
      </c>
      <c r="D429">
        <v>44</v>
      </c>
      <c r="E429" s="1">
        <f t="shared" si="25"/>
        <v>0.46341463414634149</v>
      </c>
      <c r="F429" s="2">
        <v>97.3</v>
      </c>
      <c r="G429" s="2">
        <v>97</v>
      </c>
      <c r="H429" s="2">
        <f t="shared" si="26"/>
        <v>0.29999999999999716</v>
      </c>
      <c r="I429" s="1">
        <f t="shared" si="24"/>
        <v>0.51080635435585753</v>
      </c>
      <c r="J429" s="2">
        <v>102.9</v>
      </c>
      <c r="K429" s="2">
        <v>102.7</v>
      </c>
      <c r="L429" s="2">
        <f t="shared" si="27"/>
        <v>0.20000000000000284</v>
      </c>
      <c r="M429">
        <v>97.5</v>
      </c>
      <c r="N429">
        <v>94.7</v>
      </c>
      <c r="O429">
        <v>0.7</v>
      </c>
    </row>
    <row r="430" spans="1:15">
      <c r="A430" t="s">
        <v>54</v>
      </c>
      <c r="B430" t="s">
        <v>16</v>
      </c>
      <c r="C430">
        <v>56</v>
      </c>
      <c r="D430">
        <v>26</v>
      </c>
      <c r="E430" s="1">
        <f t="shared" si="25"/>
        <v>0.68292682926829273</v>
      </c>
      <c r="F430" s="2">
        <v>106.7</v>
      </c>
      <c r="G430" s="2">
        <v>100.1</v>
      </c>
      <c r="H430" s="2">
        <f t="shared" si="26"/>
        <v>6.6000000000000085</v>
      </c>
      <c r="I430" s="1">
        <f t="shared" si="24"/>
        <v>0.70969858528213514</v>
      </c>
      <c r="J430" s="2">
        <v>111.6</v>
      </c>
      <c r="K430" s="2">
        <v>104.7</v>
      </c>
      <c r="L430" s="2">
        <f t="shared" si="27"/>
        <v>6.8999999999999915</v>
      </c>
      <c r="M430">
        <v>97.9</v>
      </c>
      <c r="N430">
        <v>91</v>
      </c>
      <c r="O430">
        <v>1.1000000000000001</v>
      </c>
    </row>
    <row r="431" spans="1:15">
      <c r="A431" t="s">
        <v>54</v>
      </c>
      <c r="B431" t="s">
        <v>17</v>
      </c>
      <c r="C431">
        <v>21</v>
      </c>
      <c r="D431">
        <v>61</v>
      </c>
      <c r="E431" s="1">
        <f t="shared" si="25"/>
        <v>0.25609756097560976</v>
      </c>
      <c r="F431" s="2">
        <v>98.5</v>
      </c>
      <c r="G431" s="2">
        <v>105.3</v>
      </c>
      <c r="H431" s="2">
        <f t="shared" si="26"/>
        <v>-6.7999999999999972</v>
      </c>
      <c r="I431" s="1">
        <f t="shared" si="24"/>
        <v>0.28199317754915287</v>
      </c>
      <c r="J431" s="2">
        <v>102.3</v>
      </c>
      <c r="K431" s="2">
        <v>109.4</v>
      </c>
      <c r="L431" s="2">
        <f t="shared" si="27"/>
        <v>-7.1000000000000085</v>
      </c>
      <c r="M431">
        <v>95.5</v>
      </c>
      <c r="N431">
        <v>109.8</v>
      </c>
      <c r="O431">
        <v>-0.5</v>
      </c>
    </row>
    <row r="432" spans="1:15">
      <c r="A432" t="s">
        <v>54</v>
      </c>
      <c r="B432" t="s">
        <v>35</v>
      </c>
      <c r="C432">
        <v>55</v>
      </c>
      <c r="D432">
        <v>27</v>
      </c>
      <c r="E432" s="1">
        <f t="shared" si="25"/>
        <v>0.67073170731707321</v>
      </c>
      <c r="F432" s="2">
        <v>98.3</v>
      </c>
      <c r="G432" s="2">
        <v>95.1</v>
      </c>
      <c r="H432" s="2">
        <f t="shared" si="26"/>
        <v>3.2000000000000028</v>
      </c>
      <c r="I432" s="1">
        <f t="shared" si="24"/>
        <v>0.61380403794976324</v>
      </c>
      <c r="J432" s="2">
        <v>104.8</v>
      </c>
      <c r="K432" s="2">
        <v>101.2</v>
      </c>
      <c r="L432" s="2">
        <f t="shared" si="27"/>
        <v>3.5999999999999943</v>
      </c>
      <c r="M432">
        <v>108.7</v>
      </c>
      <c r="N432">
        <v>95.2</v>
      </c>
      <c r="O432">
        <v>0.3</v>
      </c>
    </row>
    <row r="433" spans="1:15">
      <c r="A433" t="s">
        <v>54</v>
      </c>
      <c r="B433" t="s">
        <v>18</v>
      </c>
      <c r="C433">
        <v>37</v>
      </c>
      <c r="D433">
        <v>45</v>
      </c>
      <c r="E433" s="1">
        <f t="shared" si="25"/>
        <v>0.45121951219512196</v>
      </c>
      <c r="F433" s="2">
        <v>94.7</v>
      </c>
      <c r="G433" s="2">
        <v>97.3</v>
      </c>
      <c r="H433" s="2">
        <f t="shared" si="26"/>
        <v>-2.5999999999999943</v>
      </c>
      <c r="I433" s="1">
        <f t="shared" si="24"/>
        <v>0.40632231121075763</v>
      </c>
      <c r="J433" s="2">
        <v>103.2</v>
      </c>
      <c r="K433" s="2">
        <v>106.1</v>
      </c>
      <c r="L433" s="2">
        <f t="shared" si="27"/>
        <v>-2.8999999999999915</v>
      </c>
      <c r="M433">
        <v>102.9</v>
      </c>
      <c r="N433">
        <v>91.3</v>
      </c>
      <c r="O433">
        <v>-1.1000000000000001</v>
      </c>
    </row>
    <row r="434" spans="1:15">
      <c r="A434" t="s">
        <v>54</v>
      </c>
      <c r="B434" t="s">
        <v>19</v>
      </c>
      <c r="C434">
        <v>41</v>
      </c>
      <c r="D434">
        <v>41</v>
      </c>
      <c r="E434" s="1">
        <f t="shared" si="25"/>
        <v>0.5</v>
      </c>
      <c r="F434" s="2">
        <v>97.8</v>
      </c>
      <c r="G434" s="2">
        <v>97.4</v>
      </c>
      <c r="H434" s="2">
        <f t="shared" si="26"/>
        <v>0.39999999999999147</v>
      </c>
      <c r="I434" s="1">
        <f t="shared" si="24"/>
        <v>0.51434034839194509</v>
      </c>
      <c r="J434" s="2">
        <v>102</v>
      </c>
      <c r="K434" s="2">
        <v>101.4</v>
      </c>
      <c r="L434" s="2">
        <f t="shared" si="27"/>
        <v>0.59999999999999432</v>
      </c>
      <c r="M434">
        <v>94.2</v>
      </c>
      <c r="N434">
        <v>96.2</v>
      </c>
      <c r="O434">
        <v>-1</v>
      </c>
    </row>
    <row r="435" spans="1:15">
      <c r="A435" t="s">
        <v>54</v>
      </c>
      <c r="B435" t="s">
        <v>20</v>
      </c>
      <c r="C435">
        <v>16</v>
      </c>
      <c r="D435">
        <v>66</v>
      </c>
      <c r="E435" s="1">
        <f t="shared" si="25"/>
        <v>0.1951219512195122</v>
      </c>
      <c r="F435" s="2">
        <v>97.8</v>
      </c>
      <c r="G435" s="2">
        <v>106.5</v>
      </c>
      <c r="H435" s="2">
        <f t="shared" si="26"/>
        <v>-8.7000000000000028</v>
      </c>
      <c r="I435" s="1">
        <f t="shared" si="24"/>
        <v>0.23270751266872564</v>
      </c>
      <c r="J435" s="2">
        <v>101.8</v>
      </c>
      <c r="K435" s="2">
        <v>110.9</v>
      </c>
      <c r="L435" s="2">
        <f t="shared" si="27"/>
        <v>-9.1000000000000085</v>
      </c>
      <c r="M435">
        <v>103.7</v>
      </c>
      <c r="N435">
        <v>107.6</v>
      </c>
      <c r="O435">
        <v>-0.1</v>
      </c>
    </row>
    <row r="436" spans="1:15">
      <c r="A436" t="s">
        <v>54</v>
      </c>
      <c r="B436" t="s">
        <v>53</v>
      </c>
      <c r="C436">
        <v>45</v>
      </c>
      <c r="D436">
        <v>37</v>
      </c>
      <c r="E436" s="1">
        <f t="shared" si="25"/>
        <v>0.54878048780487809</v>
      </c>
      <c r="F436" s="2">
        <v>99.4</v>
      </c>
      <c r="G436" s="2">
        <v>98.6</v>
      </c>
      <c r="H436" s="2">
        <f t="shared" si="26"/>
        <v>0.80000000000001137</v>
      </c>
      <c r="I436" s="1">
        <f t="shared" si="24"/>
        <v>0.52825285498297569</v>
      </c>
      <c r="J436" s="2">
        <v>107.1</v>
      </c>
      <c r="K436" s="2">
        <v>106.3</v>
      </c>
      <c r="L436" s="2">
        <f t="shared" si="27"/>
        <v>0.79999999999999716</v>
      </c>
      <c r="M436">
        <v>106.2</v>
      </c>
      <c r="N436">
        <v>105.3</v>
      </c>
      <c r="O436">
        <v>-0.2</v>
      </c>
    </row>
    <row r="437" spans="1:15">
      <c r="A437" t="s">
        <v>54</v>
      </c>
      <c r="B437" t="s">
        <v>22</v>
      </c>
      <c r="C437">
        <v>17</v>
      </c>
      <c r="D437">
        <v>65</v>
      </c>
      <c r="E437" s="1">
        <f t="shared" si="25"/>
        <v>0.2073170731707317</v>
      </c>
      <c r="F437" s="2">
        <v>91.9</v>
      </c>
      <c r="G437" s="2">
        <v>101.2</v>
      </c>
      <c r="H437" s="2">
        <f t="shared" si="26"/>
        <v>-9.2999999999999972</v>
      </c>
      <c r="I437" s="1">
        <f t="shared" si="24"/>
        <v>0.20594097725423322</v>
      </c>
      <c r="J437" s="2">
        <v>98.9</v>
      </c>
      <c r="K437" s="2">
        <v>109</v>
      </c>
      <c r="L437" s="2">
        <f t="shared" si="27"/>
        <v>-10.099999999999994</v>
      </c>
      <c r="M437">
        <v>91.9</v>
      </c>
      <c r="N437">
        <v>101.5</v>
      </c>
      <c r="O437">
        <v>0.6</v>
      </c>
    </row>
    <row r="438" spans="1:15">
      <c r="A438" t="s">
        <v>54</v>
      </c>
      <c r="B438" t="s">
        <v>46</v>
      </c>
      <c r="C438">
        <v>45</v>
      </c>
      <c r="D438">
        <v>37</v>
      </c>
      <c r="E438" s="1">
        <f t="shared" si="25"/>
        <v>0.54878048780487809</v>
      </c>
      <c r="F438" s="2">
        <v>104</v>
      </c>
      <c r="G438" s="2">
        <v>101.8</v>
      </c>
      <c r="H438" s="2">
        <f t="shared" si="26"/>
        <v>2.2000000000000028</v>
      </c>
      <c r="I438" s="1">
        <f t="shared" si="24"/>
        <v>0.57427899793021731</v>
      </c>
      <c r="J438" s="2">
        <v>106.7</v>
      </c>
      <c r="K438" s="2">
        <v>104.6</v>
      </c>
      <c r="L438" s="2">
        <f t="shared" si="27"/>
        <v>2.1000000000000085</v>
      </c>
      <c r="M438">
        <v>92.7</v>
      </c>
      <c r="N438">
        <v>94</v>
      </c>
      <c r="O438">
        <v>-0.5</v>
      </c>
    </row>
    <row r="439" spans="1:15">
      <c r="A439" t="s">
        <v>54</v>
      </c>
      <c r="B439" t="s">
        <v>23</v>
      </c>
      <c r="C439">
        <v>25</v>
      </c>
      <c r="D439">
        <v>57</v>
      </c>
      <c r="E439" s="1">
        <f t="shared" si="25"/>
        <v>0.3048780487804878</v>
      </c>
      <c r="F439" s="2">
        <v>95.7</v>
      </c>
      <c r="G439" s="2">
        <v>101.4</v>
      </c>
      <c r="H439" s="2">
        <f t="shared" si="26"/>
        <v>-5.7000000000000028</v>
      </c>
      <c r="I439" s="1">
        <f t="shared" si="24"/>
        <v>0.3078975070073538</v>
      </c>
      <c r="J439" s="2">
        <v>101</v>
      </c>
      <c r="K439" s="2">
        <v>106.8</v>
      </c>
      <c r="L439" s="2">
        <f t="shared" si="27"/>
        <v>-5.7999999999999972</v>
      </c>
      <c r="M439">
        <v>100</v>
      </c>
      <c r="N439">
        <v>100</v>
      </c>
      <c r="O439">
        <v>-0.5</v>
      </c>
    </row>
    <row r="440" spans="1:15">
      <c r="A440" t="s">
        <v>54</v>
      </c>
      <c r="B440" t="s">
        <v>24</v>
      </c>
      <c r="C440">
        <v>18</v>
      </c>
      <c r="D440">
        <v>64</v>
      </c>
      <c r="E440" s="1">
        <f t="shared" si="25"/>
        <v>0.21951219512195122</v>
      </c>
      <c r="F440" s="2">
        <v>92</v>
      </c>
      <c r="G440" s="2">
        <v>101</v>
      </c>
      <c r="H440" s="2">
        <f t="shared" si="26"/>
        <v>-9</v>
      </c>
      <c r="I440" s="1">
        <f t="shared" si="24"/>
        <v>0.21304843690621958</v>
      </c>
      <c r="J440" s="2">
        <v>94.9</v>
      </c>
      <c r="K440" s="2">
        <v>103.9</v>
      </c>
      <c r="L440" s="2">
        <f t="shared" si="27"/>
        <v>-9</v>
      </c>
      <c r="M440">
        <v>84.7</v>
      </c>
      <c r="N440">
        <v>91.9</v>
      </c>
      <c r="O440">
        <v>-1</v>
      </c>
    </row>
    <row r="441" spans="1:15">
      <c r="A441" t="s">
        <v>54</v>
      </c>
      <c r="B441" t="s">
        <v>25</v>
      </c>
      <c r="C441">
        <v>39</v>
      </c>
      <c r="D441">
        <v>43</v>
      </c>
      <c r="E441" s="1">
        <f t="shared" si="25"/>
        <v>0.47560975609756095</v>
      </c>
      <c r="F441" s="2">
        <v>102.4</v>
      </c>
      <c r="G441" s="2">
        <v>103.3</v>
      </c>
      <c r="H441" s="2">
        <f t="shared" si="26"/>
        <v>-0.89999999999999147</v>
      </c>
      <c r="I441" s="1">
        <f t="shared" si="24"/>
        <v>0.4694109261885151</v>
      </c>
      <c r="J441" s="2">
        <v>104.2</v>
      </c>
      <c r="K441" s="2">
        <v>105.3</v>
      </c>
      <c r="L441" s="2">
        <f t="shared" si="27"/>
        <v>-1.0999999999999943</v>
      </c>
      <c r="M441">
        <v>98</v>
      </c>
      <c r="N441">
        <v>96.5</v>
      </c>
      <c r="O441">
        <v>0.9</v>
      </c>
    </row>
    <row r="442" spans="1:15">
      <c r="A442" t="s">
        <v>54</v>
      </c>
      <c r="B442" t="s">
        <v>26</v>
      </c>
      <c r="C442">
        <v>51</v>
      </c>
      <c r="D442">
        <v>31</v>
      </c>
      <c r="E442" s="1">
        <f t="shared" si="25"/>
        <v>0.62195121951219512</v>
      </c>
      <c r="F442" s="2">
        <v>102.8</v>
      </c>
      <c r="G442" s="2">
        <v>98.6</v>
      </c>
      <c r="H442" s="2">
        <f t="shared" si="26"/>
        <v>4.2000000000000028</v>
      </c>
      <c r="I442" s="1">
        <f t="shared" si="24"/>
        <v>0.64198666077986288</v>
      </c>
      <c r="J442" s="2">
        <v>107.1</v>
      </c>
      <c r="K442" s="2">
        <v>102.8</v>
      </c>
      <c r="L442" s="2">
        <f t="shared" si="27"/>
        <v>4.2999999999999972</v>
      </c>
      <c r="M442">
        <v>114.2</v>
      </c>
      <c r="N442">
        <v>100</v>
      </c>
      <c r="O442">
        <v>1.7</v>
      </c>
    </row>
    <row r="443" spans="1:15">
      <c r="A443" t="s">
        <v>54</v>
      </c>
      <c r="B443" t="s">
        <v>27</v>
      </c>
      <c r="C443">
        <v>29</v>
      </c>
      <c r="D443">
        <v>53</v>
      </c>
      <c r="E443" s="1">
        <f t="shared" si="25"/>
        <v>0.35365853658536583</v>
      </c>
      <c r="F443" s="2">
        <v>101.3</v>
      </c>
      <c r="G443" s="2">
        <v>105</v>
      </c>
      <c r="H443" s="2">
        <f t="shared" si="26"/>
        <v>-3.7000000000000028</v>
      </c>
      <c r="I443" s="1">
        <f t="shared" si="24"/>
        <v>0.37701554546274013</v>
      </c>
      <c r="J443" s="2">
        <v>104.5</v>
      </c>
      <c r="K443" s="2">
        <v>108.2</v>
      </c>
      <c r="L443" s="2">
        <f t="shared" si="27"/>
        <v>-3.7000000000000028</v>
      </c>
      <c r="M443">
        <v>99.6</v>
      </c>
      <c r="N443">
        <v>108.6</v>
      </c>
      <c r="O443">
        <v>-1.2</v>
      </c>
    </row>
    <row r="444" spans="1:15">
      <c r="A444" t="s">
        <v>54</v>
      </c>
      <c r="B444" t="s">
        <v>28</v>
      </c>
      <c r="C444">
        <v>55</v>
      </c>
      <c r="D444">
        <v>27</v>
      </c>
      <c r="E444" s="1">
        <f t="shared" si="25"/>
        <v>0.67073170731707321</v>
      </c>
      <c r="F444" s="2">
        <v>103.2</v>
      </c>
      <c r="G444" s="2">
        <v>97</v>
      </c>
      <c r="H444" s="2">
        <f t="shared" si="26"/>
        <v>6.2000000000000028</v>
      </c>
      <c r="I444" s="1">
        <f t="shared" si="24"/>
        <v>0.70420653798027644</v>
      </c>
      <c r="J444" s="2">
        <v>107.6</v>
      </c>
      <c r="K444" s="2">
        <v>101.4</v>
      </c>
      <c r="L444" s="2">
        <f t="shared" si="27"/>
        <v>6.1999999999999886</v>
      </c>
      <c r="M444">
        <v>95.5</v>
      </c>
      <c r="N444">
        <v>97.1</v>
      </c>
      <c r="O444">
        <v>0.9</v>
      </c>
    </row>
    <row r="445" spans="1:15">
      <c r="A445" t="s">
        <v>54</v>
      </c>
      <c r="B445" t="s">
        <v>30</v>
      </c>
      <c r="C445">
        <v>49</v>
      </c>
      <c r="D445">
        <v>33</v>
      </c>
      <c r="E445" s="1">
        <f t="shared" si="25"/>
        <v>0.59756097560975607</v>
      </c>
      <c r="F445" s="2">
        <v>104</v>
      </c>
      <c r="G445" s="2">
        <v>100.9</v>
      </c>
      <c r="H445" s="2">
        <f t="shared" si="26"/>
        <v>3.0999999999999943</v>
      </c>
      <c r="I445" s="1">
        <f t="shared" si="24"/>
        <v>0.60435719403948929</v>
      </c>
      <c r="J445" s="2">
        <v>110.2</v>
      </c>
      <c r="K445" s="2">
        <v>107.1</v>
      </c>
      <c r="L445" s="2">
        <f t="shared" si="27"/>
        <v>3.1000000000000085</v>
      </c>
      <c r="M445">
        <v>104.4</v>
      </c>
      <c r="N445">
        <v>108.7</v>
      </c>
      <c r="O445">
        <v>0.3</v>
      </c>
    </row>
    <row r="446" spans="1:15">
      <c r="A446" t="s">
        <v>54</v>
      </c>
      <c r="B446" t="s">
        <v>31</v>
      </c>
      <c r="C446">
        <v>38</v>
      </c>
      <c r="D446">
        <v>44</v>
      </c>
      <c r="E446" s="1">
        <f t="shared" si="25"/>
        <v>0.46341463414634149</v>
      </c>
      <c r="F446" s="2">
        <v>95.1</v>
      </c>
      <c r="G446" s="2">
        <v>94.9</v>
      </c>
      <c r="H446" s="2">
        <f t="shared" si="26"/>
        <v>0.19999999999998863</v>
      </c>
      <c r="I446" s="1">
        <f t="shared" si="24"/>
        <v>0.50736789040877028</v>
      </c>
      <c r="J446" s="2">
        <v>104.2</v>
      </c>
      <c r="K446" s="2">
        <v>104.1</v>
      </c>
      <c r="L446" s="2">
        <f t="shared" si="27"/>
        <v>0.10000000000000853</v>
      </c>
      <c r="M446">
        <v>95.5</v>
      </c>
      <c r="N446">
        <v>97.3</v>
      </c>
      <c r="O446">
        <v>-0.2</v>
      </c>
    </row>
    <row r="447" spans="1:15">
      <c r="A447" t="s">
        <v>54</v>
      </c>
      <c r="B447" t="s">
        <v>33</v>
      </c>
      <c r="C447">
        <v>46</v>
      </c>
      <c r="D447">
        <v>36</v>
      </c>
      <c r="E447" s="1">
        <f t="shared" si="25"/>
        <v>0.56097560975609762</v>
      </c>
      <c r="F447" s="2">
        <v>98.5</v>
      </c>
      <c r="G447" s="2">
        <v>97.8</v>
      </c>
      <c r="H447" s="2">
        <f t="shared" si="26"/>
        <v>0.70000000000000284</v>
      </c>
      <c r="I447" s="1">
        <f t="shared" si="24"/>
        <v>0.52494118140879675</v>
      </c>
      <c r="J447" s="2">
        <v>103</v>
      </c>
      <c r="K447" s="2">
        <v>102.4</v>
      </c>
      <c r="L447" s="2">
        <f t="shared" si="27"/>
        <v>0.59999999999999432</v>
      </c>
      <c r="M447">
        <v>89.6</v>
      </c>
      <c r="N447">
        <v>104</v>
      </c>
      <c r="O447">
        <v>-1.7</v>
      </c>
    </row>
    <row r="448" spans="1:15">
      <c r="A448" t="s">
        <v>55</v>
      </c>
      <c r="B448" t="s">
        <v>5</v>
      </c>
      <c r="C448">
        <v>48</v>
      </c>
      <c r="D448">
        <v>34</v>
      </c>
      <c r="E448" s="1">
        <f t="shared" si="25"/>
        <v>0.58536585365853655</v>
      </c>
      <c r="F448" s="2">
        <v>102.8</v>
      </c>
      <c r="G448" s="2">
        <v>99.2</v>
      </c>
      <c r="H448" s="2">
        <f t="shared" si="26"/>
        <v>3.5999999999999943</v>
      </c>
      <c r="I448" s="1">
        <f t="shared" si="24"/>
        <v>0.62223904687782716</v>
      </c>
      <c r="J448" s="2">
        <v>104.6</v>
      </c>
      <c r="K448" s="2">
        <v>100.8</v>
      </c>
      <c r="L448" s="2">
        <f t="shared" si="27"/>
        <v>3.7999999999999972</v>
      </c>
      <c r="M448">
        <v>104.5</v>
      </c>
      <c r="N448">
        <v>98</v>
      </c>
      <c r="O448">
        <v>2.4</v>
      </c>
    </row>
    <row r="449" spans="1:15">
      <c r="A449" t="s">
        <v>55</v>
      </c>
      <c r="B449" t="s">
        <v>6</v>
      </c>
      <c r="C449">
        <v>48</v>
      </c>
      <c r="D449">
        <v>34</v>
      </c>
      <c r="E449" s="1">
        <f t="shared" si="25"/>
        <v>0.58536585365853655</v>
      </c>
      <c r="F449" s="2">
        <v>105.7</v>
      </c>
      <c r="G449" s="2">
        <v>102.5</v>
      </c>
      <c r="H449" s="2">
        <f t="shared" si="26"/>
        <v>3.2000000000000028</v>
      </c>
      <c r="I449" s="1">
        <f t="shared" si="24"/>
        <v>0.60596663066011414</v>
      </c>
      <c r="J449" s="2">
        <v>105.8</v>
      </c>
      <c r="K449" s="2">
        <v>102.5</v>
      </c>
      <c r="L449" s="2">
        <f t="shared" si="27"/>
        <v>3.2999999999999972</v>
      </c>
      <c r="M449">
        <v>112</v>
      </c>
      <c r="N449">
        <v>105.7</v>
      </c>
      <c r="O449">
        <v>0.2</v>
      </c>
    </row>
    <row r="450" spans="1:15">
      <c r="A450" t="s">
        <v>55</v>
      </c>
      <c r="B450" t="s">
        <v>51</v>
      </c>
      <c r="C450">
        <v>21</v>
      </c>
      <c r="D450">
        <v>61</v>
      </c>
      <c r="E450" s="1">
        <f t="shared" si="25"/>
        <v>0.25609756097560976</v>
      </c>
      <c r="F450" s="2">
        <v>98.6</v>
      </c>
      <c r="G450" s="2">
        <v>106</v>
      </c>
      <c r="H450" s="2">
        <f t="shared" si="26"/>
        <v>-7.4000000000000057</v>
      </c>
      <c r="I450" s="1">
        <f t="shared" ref="I450:I513" si="28">+(F450^14)/((F450^14+G450^14))</f>
        <v>0.26636391076495491</v>
      </c>
      <c r="J450" s="2">
        <v>102.4</v>
      </c>
      <c r="K450" s="2">
        <v>109.7</v>
      </c>
      <c r="L450" s="2">
        <f t="shared" si="27"/>
        <v>-7.2999999999999972</v>
      </c>
      <c r="M450">
        <v>96.9</v>
      </c>
      <c r="N450">
        <v>104</v>
      </c>
      <c r="O450">
        <v>-1.8</v>
      </c>
    </row>
    <row r="451" spans="1:15">
      <c r="A451" t="s">
        <v>55</v>
      </c>
      <c r="B451" t="s">
        <v>7</v>
      </c>
      <c r="C451">
        <v>48</v>
      </c>
      <c r="D451">
        <v>34</v>
      </c>
      <c r="E451" s="1">
        <f t="shared" ref="E451:E514" si="29">+C451/(C451+D451)</f>
        <v>0.58536585365853655</v>
      </c>
      <c r="F451" s="2">
        <v>103.4</v>
      </c>
      <c r="G451" s="2">
        <v>100.7</v>
      </c>
      <c r="H451" s="2">
        <f t="shared" ref="H451:H514" si="30">+F451-G451</f>
        <v>2.7000000000000028</v>
      </c>
      <c r="I451" s="1">
        <f t="shared" si="28"/>
        <v>0.59156246020875802</v>
      </c>
      <c r="J451" s="2">
        <v>106.4</v>
      </c>
      <c r="K451" s="2">
        <v>103.7</v>
      </c>
      <c r="L451" s="2">
        <f t="shared" ref="L451:L514" si="31">+J451-K451</f>
        <v>2.7000000000000028</v>
      </c>
      <c r="M451">
        <v>106</v>
      </c>
      <c r="N451">
        <v>95.3</v>
      </c>
      <c r="O451">
        <v>0.6</v>
      </c>
    </row>
    <row r="452" spans="1:15">
      <c r="A452" t="s">
        <v>55</v>
      </c>
      <c r="B452" t="s">
        <v>8</v>
      </c>
      <c r="C452">
        <v>42</v>
      </c>
      <c r="D452">
        <v>40</v>
      </c>
      <c r="E452" s="1">
        <f t="shared" si="29"/>
        <v>0.51219512195121952</v>
      </c>
      <c r="F452" s="2">
        <v>101.6</v>
      </c>
      <c r="G452" s="2">
        <v>103.1</v>
      </c>
      <c r="H452" s="2">
        <f t="shared" si="30"/>
        <v>-1.5</v>
      </c>
      <c r="I452" s="1">
        <f t="shared" si="28"/>
        <v>0.44888371019614143</v>
      </c>
      <c r="J452" s="2">
        <v>104.1</v>
      </c>
      <c r="K452" s="2">
        <v>105.5</v>
      </c>
      <c r="L452" s="2">
        <f t="shared" si="31"/>
        <v>-1.4000000000000057</v>
      </c>
      <c r="M452">
        <v>95.5</v>
      </c>
      <c r="N452">
        <v>100</v>
      </c>
      <c r="O452">
        <v>-0.7</v>
      </c>
    </row>
    <row r="453" spans="1:15">
      <c r="A453" t="s">
        <v>55</v>
      </c>
      <c r="B453" t="s">
        <v>9</v>
      </c>
      <c r="C453">
        <v>57</v>
      </c>
      <c r="D453">
        <v>25</v>
      </c>
      <c r="E453" s="1">
        <f t="shared" si="29"/>
        <v>0.69512195121951215</v>
      </c>
      <c r="F453" s="2">
        <v>104.3</v>
      </c>
      <c r="G453" s="2">
        <v>98.3</v>
      </c>
      <c r="H453" s="2">
        <f t="shared" si="30"/>
        <v>6</v>
      </c>
      <c r="I453" s="1">
        <f t="shared" si="28"/>
        <v>0.6962413060313849</v>
      </c>
      <c r="J453" s="2">
        <v>110.2</v>
      </c>
      <c r="K453" s="2">
        <v>103.9</v>
      </c>
      <c r="L453" s="2">
        <f t="shared" si="31"/>
        <v>6.2999999999999972</v>
      </c>
      <c r="M453">
        <v>103.4</v>
      </c>
      <c r="N453">
        <v>98</v>
      </c>
      <c r="O453">
        <v>0.7</v>
      </c>
    </row>
    <row r="454" spans="1:15">
      <c r="A454" t="s">
        <v>55</v>
      </c>
      <c r="B454" t="s">
        <v>10</v>
      </c>
      <c r="C454">
        <v>42</v>
      </c>
      <c r="D454">
        <v>40</v>
      </c>
      <c r="E454" s="1">
        <f t="shared" si="29"/>
        <v>0.51219512195121952</v>
      </c>
      <c r="F454" s="2">
        <v>102.3</v>
      </c>
      <c r="G454" s="2">
        <v>102.6</v>
      </c>
      <c r="H454" s="2">
        <f t="shared" si="30"/>
        <v>-0.29999999999999716</v>
      </c>
      <c r="I454" s="1">
        <f t="shared" si="28"/>
        <v>0.4897525259278111</v>
      </c>
      <c r="J454" s="2">
        <v>105.5</v>
      </c>
      <c r="K454" s="2">
        <v>105.9</v>
      </c>
      <c r="L454" s="2">
        <f t="shared" si="31"/>
        <v>-0.40000000000000568</v>
      </c>
      <c r="M454">
        <v>113.5</v>
      </c>
      <c r="N454">
        <v>99.1</v>
      </c>
      <c r="O454">
        <v>0.3</v>
      </c>
    </row>
    <row r="455" spans="1:15">
      <c r="A455" t="s">
        <v>55</v>
      </c>
      <c r="B455" t="s">
        <v>11</v>
      </c>
      <c r="C455">
        <v>33</v>
      </c>
      <c r="D455">
        <v>49</v>
      </c>
      <c r="E455" s="1">
        <f t="shared" si="29"/>
        <v>0.40243902439024393</v>
      </c>
      <c r="F455" s="2">
        <v>101.9</v>
      </c>
      <c r="G455" s="2">
        <v>105</v>
      </c>
      <c r="H455" s="2">
        <f t="shared" si="30"/>
        <v>-3.0999999999999943</v>
      </c>
      <c r="I455" s="1">
        <f t="shared" si="28"/>
        <v>0.39662258414921886</v>
      </c>
      <c r="J455" s="2">
        <v>104.9</v>
      </c>
      <c r="K455" s="2">
        <v>108.2</v>
      </c>
      <c r="L455" s="2">
        <f t="shared" si="31"/>
        <v>-3.2999999999999972</v>
      </c>
      <c r="M455">
        <v>89.7</v>
      </c>
      <c r="N455">
        <v>96</v>
      </c>
      <c r="O455">
        <v>-0.2</v>
      </c>
    </row>
    <row r="456" spans="1:15">
      <c r="A456" t="s">
        <v>55</v>
      </c>
      <c r="B456" t="s">
        <v>12</v>
      </c>
      <c r="C456">
        <v>44</v>
      </c>
      <c r="D456">
        <v>38</v>
      </c>
      <c r="E456" s="1">
        <f t="shared" si="29"/>
        <v>0.53658536585365857</v>
      </c>
      <c r="F456" s="2">
        <v>102</v>
      </c>
      <c r="G456" s="2">
        <v>101.4</v>
      </c>
      <c r="H456" s="2">
        <f t="shared" si="30"/>
        <v>0.59999999999999432</v>
      </c>
      <c r="I456" s="1">
        <f t="shared" si="28"/>
        <v>0.52063729627420186</v>
      </c>
      <c r="J456" s="2">
        <v>105.3</v>
      </c>
      <c r="K456" s="2">
        <v>104.9</v>
      </c>
      <c r="L456" s="2">
        <f t="shared" si="31"/>
        <v>0.39999999999999147</v>
      </c>
      <c r="M456">
        <v>104.4</v>
      </c>
      <c r="N456">
        <v>93.9</v>
      </c>
      <c r="O456">
        <v>1.5</v>
      </c>
    </row>
    <row r="457" spans="1:15">
      <c r="A457" t="s">
        <v>55</v>
      </c>
      <c r="B457" t="s">
        <v>13</v>
      </c>
      <c r="C457">
        <v>73</v>
      </c>
      <c r="D457">
        <v>9</v>
      </c>
      <c r="E457" s="1">
        <f t="shared" si="29"/>
        <v>0.8902439024390244</v>
      </c>
      <c r="F457" s="2">
        <v>114.9</v>
      </c>
      <c r="G457" s="2">
        <v>104.1</v>
      </c>
      <c r="H457" s="2">
        <f t="shared" si="30"/>
        <v>10.800000000000011</v>
      </c>
      <c r="I457" s="1">
        <f t="shared" si="28"/>
        <v>0.7993028619398963</v>
      </c>
      <c r="J457" s="2">
        <v>113.5</v>
      </c>
      <c r="K457" s="2">
        <v>102.8</v>
      </c>
      <c r="L457" s="2">
        <f t="shared" si="31"/>
        <v>10.700000000000003</v>
      </c>
      <c r="M457">
        <v>117</v>
      </c>
      <c r="N457">
        <v>81.099999999999994</v>
      </c>
      <c r="O457">
        <v>0.4</v>
      </c>
    </row>
    <row r="458" spans="1:15">
      <c r="A458" t="s">
        <v>55</v>
      </c>
      <c r="B458" t="s">
        <v>14</v>
      </c>
      <c r="C458">
        <v>41</v>
      </c>
      <c r="D458">
        <v>41</v>
      </c>
      <c r="E458" s="1">
        <f t="shared" si="29"/>
        <v>0.5</v>
      </c>
      <c r="F458" s="2">
        <v>106.5</v>
      </c>
      <c r="G458" s="2">
        <v>106.4</v>
      </c>
      <c r="H458" s="2">
        <f t="shared" si="30"/>
        <v>9.9999999999994316E-2</v>
      </c>
      <c r="I458" s="1">
        <f t="shared" si="28"/>
        <v>0.50328788145549319</v>
      </c>
      <c r="J458" s="2">
        <v>107.3</v>
      </c>
      <c r="K458" s="2">
        <v>107.3</v>
      </c>
      <c r="L458" s="2">
        <f t="shared" si="31"/>
        <v>0</v>
      </c>
      <c r="M458">
        <v>107.3</v>
      </c>
      <c r="N458">
        <v>96</v>
      </c>
      <c r="O458">
        <v>1</v>
      </c>
    </row>
    <row r="459" spans="1:15">
      <c r="A459" t="s">
        <v>55</v>
      </c>
      <c r="B459" t="s">
        <v>15</v>
      </c>
      <c r="C459">
        <v>45</v>
      </c>
      <c r="D459">
        <v>37</v>
      </c>
      <c r="E459" s="1">
        <f t="shared" si="29"/>
        <v>0.54878048780487809</v>
      </c>
      <c r="F459" s="2">
        <v>102.2</v>
      </c>
      <c r="G459" s="2">
        <v>100.5</v>
      </c>
      <c r="H459" s="2">
        <f t="shared" si="30"/>
        <v>1.7000000000000028</v>
      </c>
      <c r="I459" s="1">
        <f t="shared" si="28"/>
        <v>0.55844050126148148</v>
      </c>
      <c r="J459" s="2">
        <v>103.8</v>
      </c>
      <c r="K459" s="2">
        <v>102.2</v>
      </c>
      <c r="L459" s="2">
        <f t="shared" si="31"/>
        <v>1.5999999999999943</v>
      </c>
      <c r="M459">
        <v>97.1</v>
      </c>
      <c r="N459">
        <v>103.7</v>
      </c>
      <c r="O459">
        <v>0.7</v>
      </c>
    </row>
    <row r="460" spans="1:15">
      <c r="A460" t="s">
        <v>55</v>
      </c>
      <c r="B460" t="s">
        <v>56</v>
      </c>
      <c r="C460">
        <v>53</v>
      </c>
      <c r="D460">
        <v>29</v>
      </c>
      <c r="E460" s="1">
        <f t="shared" si="29"/>
        <v>0.64634146341463417</v>
      </c>
      <c r="F460" s="2">
        <v>104.5</v>
      </c>
      <c r="G460" s="2">
        <v>100.2</v>
      </c>
      <c r="H460" s="2">
        <f t="shared" si="30"/>
        <v>4.2999999999999972</v>
      </c>
      <c r="I460" s="1">
        <f t="shared" si="28"/>
        <v>0.64296680993487854</v>
      </c>
      <c r="J460" s="2">
        <v>107.2</v>
      </c>
      <c r="K460" s="2">
        <v>102.7</v>
      </c>
      <c r="L460" s="2">
        <f t="shared" si="31"/>
        <v>4.5</v>
      </c>
      <c r="M460">
        <v>111.5</v>
      </c>
      <c r="N460">
        <v>102.8</v>
      </c>
      <c r="O460">
        <v>-0.2</v>
      </c>
    </row>
    <row r="461" spans="1:15">
      <c r="A461" t="s">
        <v>55</v>
      </c>
      <c r="B461" t="s">
        <v>17</v>
      </c>
      <c r="C461">
        <v>17</v>
      </c>
      <c r="D461">
        <v>65</v>
      </c>
      <c r="E461" s="1">
        <f t="shared" si="29"/>
        <v>0.2073170731707317</v>
      </c>
      <c r="F461" s="2">
        <v>97.3</v>
      </c>
      <c r="G461" s="2">
        <v>106.9</v>
      </c>
      <c r="H461" s="2">
        <f t="shared" si="30"/>
        <v>-9.6000000000000085</v>
      </c>
      <c r="I461" s="1">
        <f t="shared" si="28"/>
        <v>0.21126325417773295</v>
      </c>
      <c r="J461" s="2">
        <v>100.7</v>
      </c>
      <c r="K461" s="2">
        <v>110.3</v>
      </c>
      <c r="L461" s="2">
        <f t="shared" si="31"/>
        <v>-9.5999999999999943</v>
      </c>
      <c r="M461">
        <v>108.9</v>
      </c>
      <c r="N461">
        <v>116.7</v>
      </c>
      <c r="O461">
        <v>-0.1</v>
      </c>
    </row>
    <row r="462" spans="1:15">
      <c r="A462" t="s">
        <v>55</v>
      </c>
      <c r="B462" t="s">
        <v>35</v>
      </c>
      <c r="C462">
        <v>42</v>
      </c>
      <c r="D462">
        <v>40</v>
      </c>
      <c r="E462" s="1">
        <f t="shared" si="29"/>
        <v>0.51219512195121952</v>
      </c>
      <c r="F462" s="2">
        <v>99.1</v>
      </c>
      <c r="G462" s="2">
        <v>101.3</v>
      </c>
      <c r="H462" s="2">
        <f t="shared" si="30"/>
        <v>-2.2000000000000028</v>
      </c>
      <c r="I462" s="1">
        <f t="shared" si="28"/>
        <v>0.42375008711442541</v>
      </c>
      <c r="J462" s="2">
        <v>104.7</v>
      </c>
      <c r="K462" s="2">
        <v>107.1</v>
      </c>
      <c r="L462" s="2">
        <f t="shared" si="31"/>
        <v>-2.3999999999999915</v>
      </c>
      <c r="M462">
        <v>105.9</v>
      </c>
      <c r="N462">
        <v>94.5</v>
      </c>
      <c r="O462">
        <v>-0.1</v>
      </c>
    </row>
    <row r="463" spans="1:15">
      <c r="A463" t="s">
        <v>55</v>
      </c>
      <c r="B463" t="s">
        <v>18</v>
      </c>
      <c r="C463">
        <v>48</v>
      </c>
      <c r="D463">
        <v>34</v>
      </c>
      <c r="E463" s="1">
        <f t="shared" si="29"/>
        <v>0.58536585365853655</v>
      </c>
      <c r="F463" s="2">
        <v>100</v>
      </c>
      <c r="G463" s="2">
        <v>98.4</v>
      </c>
      <c r="H463" s="2">
        <f t="shared" si="30"/>
        <v>1.5999999999999943</v>
      </c>
      <c r="I463" s="1">
        <f t="shared" si="28"/>
        <v>0.55621417253941718</v>
      </c>
      <c r="J463" s="2">
        <v>105.5</v>
      </c>
      <c r="K463" s="2">
        <v>103.7</v>
      </c>
      <c r="L463" s="2">
        <f t="shared" si="31"/>
        <v>1.7999999999999972</v>
      </c>
      <c r="M463">
        <v>111.1</v>
      </c>
      <c r="N463">
        <v>95.2</v>
      </c>
      <c r="O463">
        <v>0.8</v>
      </c>
    </row>
    <row r="464" spans="1:15">
      <c r="A464" t="s">
        <v>55</v>
      </c>
      <c r="B464" t="s">
        <v>19</v>
      </c>
      <c r="C464">
        <v>33</v>
      </c>
      <c r="D464">
        <v>49</v>
      </c>
      <c r="E464" s="1">
        <f t="shared" si="29"/>
        <v>0.40243902439024393</v>
      </c>
      <c r="F464" s="2">
        <v>99</v>
      </c>
      <c r="G464" s="2">
        <v>103.2</v>
      </c>
      <c r="H464" s="2">
        <f t="shared" si="30"/>
        <v>-4.2000000000000028</v>
      </c>
      <c r="I464" s="1">
        <f t="shared" si="28"/>
        <v>0.35854472804772958</v>
      </c>
      <c r="J464" s="2">
        <v>103.4</v>
      </c>
      <c r="K464" s="2">
        <v>107.8</v>
      </c>
      <c r="L464" s="2">
        <f t="shared" si="31"/>
        <v>-4.3999999999999915</v>
      </c>
      <c r="M464">
        <v>101.2</v>
      </c>
      <c r="N464">
        <v>95</v>
      </c>
      <c r="O464">
        <v>-1.5</v>
      </c>
    </row>
    <row r="465" spans="1:15">
      <c r="A465" t="s">
        <v>55</v>
      </c>
      <c r="B465" t="s">
        <v>20</v>
      </c>
      <c r="C465">
        <v>29</v>
      </c>
      <c r="D465">
        <v>53</v>
      </c>
      <c r="E465" s="1">
        <f t="shared" si="29"/>
        <v>0.35365853658536583</v>
      </c>
      <c r="F465" s="2">
        <v>102.4</v>
      </c>
      <c r="G465" s="2">
        <v>106</v>
      </c>
      <c r="H465" s="2">
        <f t="shared" si="30"/>
        <v>-3.5999999999999943</v>
      </c>
      <c r="I465" s="1">
        <f t="shared" si="28"/>
        <v>0.38137093948309719</v>
      </c>
      <c r="J465" s="2">
        <v>105.4</v>
      </c>
      <c r="K465" s="2">
        <v>109</v>
      </c>
      <c r="L465" s="2">
        <f t="shared" si="31"/>
        <v>-3.5999999999999943</v>
      </c>
      <c r="M465">
        <v>98.6</v>
      </c>
      <c r="N465">
        <v>102.2</v>
      </c>
      <c r="O465">
        <v>0.1</v>
      </c>
    </row>
    <row r="466" spans="1:15">
      <c r="A466" t="s">
        <v>55</v>
      </c>
      <c r="B466" t="s">
        <v>53</v>
      </c>
      <c r="C466">
        <v>30</v>
      </c>
      <c r="D466">
        <v>52</v>
      </c>
      <c r="E466" s="1">
        <f t="shared" si="29"/>
        <v>0.36585365853658536</v>
      </c>
      <c r="F466" s="2">
        <v>102.7</v>
      </c>
      <c r="G466" s="2">
        <v>106.5</v>
      </c>
      <c r="H466" s="2">
        <f t="shared" si="30"/>
        <v>-3.7999999999999972</v>
      </c>
      <c r="I466" s="1">
        <f t="shared" si="28"/>
        <v>0.37550766895906917</v>
      </c>
      <c r="J466" s="2">
        <v>104.8</v>
      </c>
      <c r="K466" s="2">
        <v>108.4</v>
      </c>
      <c r="L466" s="2">
        <f t="shared" si="31"/>
        <v>-3.6000000000000085</v>
      </c>
      <c r="M466">
        <v>106.8</v>
      </c>
      <c r="N466">
        <v>111.8</v>
      </c>
      <c r="O466">
        <v>-0.6</v>
      </c>
    </row>
    <row r="467" spans="1:15">
      <c r="A467" t="s">
        <v>55</v>
      </c>
      <c r="B467" t="s">
        <v>22</v>
      </c>
      <c r="C467">
        <v>32</v>
      </c>
      <c r="D467">
        <v>50</v>
      </c>
      <c r="E467" s="1">
        <f t="shared" si="29"/>
        <v>0.3902439024390244</v>
      </c>
      <c r="F467" s="2">
        <v>98.4</v>
      </c>
      <c r="G467" s="2">
        <v>101.1</v>
      </c>
      <c r="H467" s="2">
        <f t="shared" si="30"/>
        <v>-2.6999999999999886</v>
      </c>
      <c r="I467" s="1">
        <f t="shared" si="28"/>
        <v>0.40637522210212157</v>
      </c>
      <c r="J467" s="2">
        <v>103.9</v>
      </c>
      <c r="K467" s="2">
        <v>106.7</v>
      </c>
      <c r="L467" s="2">
        <f t="shared" si="31"/>
        <v>-2.7999999999999972</v>
      </c>
      <c r="M467">
        <v>100.9</v>
      </c>
      <c r="N467">
        <v>112</v>
      </c>
      <c r="O467">
        <v>-2.2000000000000002</v>
      </c>
    </row>
    <row r="468" spans="1:15">
      <c r="A468" t="s">
        <v>55</v>
      </c>
      <c r="B468" t="s">
        <v>46</v>
      </c>
      <c r="C468">
        <v>55</v>
      </c>
      <c r="D468">
        <v>27</v>
      </c>
      <c r="E468" s="1">
        <f t="shared" si="29"/>
        <v>0.67073170731707321</v>
      </c>
      <c r="F468" s="2">
        <v>110.2</v>
      </c>
      <c r="G468" s="2">
        <v>102.9</v>
      </c>
      <c r="H468" s="2">
        <f t="shared" si="30"/>
        <v>7.2999999999999972</v>
      </c>
      <c r="I468" s="1">
        <f t="shared" si="28"/>
        <v>0.72303160932792188</v>
      </c>
      <c r="J468" s="2">
        <v>112.1</v>
      </c>
      <c r="K468" s="2">
        <v>104.8</v>
      </c>
      <c r="L468" s="2">
        <f t="shared" si="31"/>
        <v>7.2999999999999972</v>
      </c>
      <c r="M468">
        <v>102.2</v>
      </c>
      <c r="N468">
        <v>110.7</v>
      </c>
      <c r="O468">
        <v>0</v>
      </c>
    </row>
    <row r="469" spans="1:15">
      <c r="A469" t="s">
        <v>55</v>
      </c>
      <c r="B469" t="s">
        <v>23</v>
      </c>
      <c r="C469">
        <v>35</v>
      </c>
      <c r="D469">
        <v>47</v>
      </c>
      <c r="E469" s="1">
        <f t="shared" si="29"/>
        <v>0.42682926829268292</v>
      </c>
      <c r="F469" s="2">
        <v>102.1</v>
      </c>
      <c r="G469" s="2">
        <v>103.7</v>
      </c>
      <c r="H469" s="2">
        <f t="shared" si="30"/>
        <v>-1.6000000000000085</v>
      </c>
      <c r="I469" s="1">
        <f t="shared" si="28"/>
        <v>0.44579104414763582</v>
      </c>
      <c r="J469" s="2">
        <v>104.4</v>
      </c>
      <c r="K469" s="2">
        <v>106</v>
      </c>
      <c r="L469" s="2">
        <f t="shared" si="31"/>
        <v>-1.5999999999999943</v>
      </c>
      <c r="M469">
        <v>94.2</v>
      </c>
      <c r="N469">
        <v>97.3</v>
      </c>
      <c r="O469">
        <v>-0.7</v>
      </c>
    </row>
    <row r="470" spans="1:15">
      <c r="A470" t="s">
        <v>55</v>
      </c>
      <c r="B470" t="s">
        <v>24</v>
      </c>
      <c r="C470">
        <v>10</v>
      </c>
      <c r="D470">
        <v>72</v>
      </c>
      <c r="E470" s="1">
        <f t="shared" si="29"/>
        <v>0.12195121951219512</v>
      </c>
      <c r="F470" s="2">
        <v>97.4</v>
      </c>
      <c r="G470" s="2">
        <v>107.6</v>
      </c>
      <c r="H470" s="2">
        <f t="shared" si="30"/>
        <v>-10.199999999999989</v>
      </c>
      <c r="I470" s="1">
        <f t="shared" si="28"/>
        <v>0.1987186515098173</v>
      </c>
      <c r="J470" s="2">
        <v>98.4</v>
      </c>
      <c r="K470" s="2">
        <v>108.6</v>
      </c>
      <c r="L470" s="2">
        <f t="shared" si="31"/>
        <v>-10.199999999999989</v>
      </c>
      <c r="M470">
        <v>78.599999999999994</v>
      </c>
      <c r="N470">
        <v>123.5</v>
      </c>
      <c r="O470">
        <v>-2</v>
      </c>
    </row>
    <row r="471" spans="1:15">
      <c r="A471" t="s">
        <v>55</v>
      </c>
      <c r="B471" t="s">
        <v>25</v>
      </c>
      <c r="C471">
        <v>23</v>
      </c>
      <c r="D471">
        <v>59</v>
      </c>
      <c r="E471" s="1">
        <f t="shared" si="29"/>
        <v>0.28048780487804881</v>
      </c>
      <c r="F471" s="2">
        <v>100.9</v>
      </c>
      <c r="G471" s="2">
        <v>107.5</v>
      </c>
      <c r="H471" s="2">
        <f t="shared" si="30"/>
        <v>-6.5999999999999943</v>
      </c>
      <c r="I471" s="1">
        <f t="shared" si="28"/>
        <v>0.29171838314513582</v>
      </c>
      <c r="J471" s="2">
        <v>101.5</v>
      </c>
      <c r="K471" s="2">
        <v>107.9</v>
      </c>
      <c r="L471" s="2">
        <f t="shared" si="31"/>
        <v>-6.4000000000000057</v>
      </c>
      <c r="M471">
        <v>88.7</v>
      </c>
      <c r="N471">
        <v>116.2</v>
      </c>
      <c r="O471">
        <v>-1.7</v>
      </c>
    </row>
    <row r="472" spans="1:15">
      <c r="A472" t="s">
        <v>55</v>
      </c>
      <c r="B472" t="s">
        <v>26</v>
      </c>
      <c r="C472">
        <v>44</v>
      </c>
      <c r="D472">
        <v>38</v>
      </c>
      <c r="E472" s="1">
        <f t="shared" si="29"/>
        <v>0.53658536585365857</v>
      </c>
      <c r="F472" s="2">
        <v>105.1</v>
      </c>
      <c r="G472" s="2">
        <v>104.3</v>
      </c>
      <c r="H472" s="2">
        <f t="shared" si="30"/>
        <v>0.79999999999999716</v>
      </c>
      <c r="I472" s="1">
        <f t="shared" si="28"/>
        <v>0.52671773242887121</v>
      </c>
      <c r="J472" s="2">
        <v>107.6</v>
      </c>
      <c r="K472" s="2">
        <v>106.8</v>
      </c>
      <c r="L472" s="2">
        <f t="shared" si="31"/>
        <v>0.79999999999999716</v>
      </c>
      <c r="M472">
        <v>106.2</v>
      </c>
      <c r="N472">
        <v>108.1</v>
      </c>
      <c r="O472">
        <v>-0.3</v>
      </c>
    </row>
    <row r="473" spans="1:15">
      <c r="A473" t="s">
        <v>55</v>
      </c>
      <c r="B473" t="s">
        <v>27</v>
      </c>
      <c r="C473">
        <v>33</v>
      </c>
      <c r="D473">
        <v>49</v>
      </c>
      <c r="E473" s="1">
        <f t="shared" si="29"/>
        <v>0.40243902439024393</v>
      </c>
      <c r="F473" s="2">
        <v>106.6</v>
      </c>
      <c r="G473" s="2">
        <v>109.1</v>
      </c>
      <c r="H473" s="2">
        <f t="shared" si="30"/>
        <v>-2.5</v>
      </c>
      <c r="I473" s="1">
        <f t="shared" si="28"/>
        <v>0.41956987710459787</v>
      </c>
      <c r="J473" s="2">
        <v>105.3</v>
      </c>
      <c r="K473" s="2">
        <v>107.6</v>
      </c>
      <c r="L473" s="2">
        <f t="shared" si="31"/>
        <v>-2.2999999999999972</v>
      </c>
      <c r="M473">
        <v>93</v>
      </c>
      <c r="N473">
        <v>106.2</v>
      </c>
      <c r="O473">
        <v>0</v>
      </c>
    </row>
    <row r="474" spans="1:15">
      <c r="A474" t="s">
        <v>55</v>
      </c>
      <c r="B474" t="s">
        <v>28</v>
      </c>
      <c r="C474">
        <v>67</v>
      </c>
      <c r="D474">
        <v>15</v>
      </c>
      <c r="E474" s="1">
        <f t="shared" si="29"/>
        <v>0.81707317073170727</v>
      </c>
      <c r="F474" s="2">
        <v>103.5</v>
      </c>
      <c r="G474" s="2">
        <v>92.9</v>
      </c>
      <c r="H474" s="2">
        <f t="shared" si="30"/>
        <v>10.599999999999994</v>
      </c>
      <c r="I474" s="1">
        <f t="shared" si="28"/>
        <v>0.81945679097395319</v>
      </c>
      <c r="J474" s="2">
        <v>109.3</v>
      </c>
      <c r="K474" s="2">
        <v>98.2</v>
      </c>
      <c r="L474" s="2">
        <f t="shared" si="31"/>
        <v>11.099999999999994</v>
      </c>
      <c r="M474">
        <v>111.1</v>
      </c>
      <c r="N474">
        <v>92.4</v>
      </c>
      <c r="O474">
        <v>2</v>
      </c>
    </row>
    <row r="475" spans="1:15">
      <c r="A475" t="s">
        <v>55</v>
      </c>
      <c r="B475" t="s">
        <v>30</v>
      </c>
      <c r="C475">
        <v>56</v>
      </c>
      <c r="D475">
        <v>26</v>
      </c>
      <c r="E475" s="1">
        <f t="shared" si="29"/>
        <v>0.68292682926829273</v>
      </c>
      <c r="F475" s="2">
        <v>102.7</v>
      </c>
      <c r="G475" s="2">
        <v>98.2</v>
      </c>
      <c r="H475" s="2">
        <f t="shared" si="30"/>
        <v>4.5</v>
      </c>
      <c r="I475" s="1">
        <f t="shared" si="28"/>
        <v>0.65187304994551343</v>
      </c>
      <c r="J475" s="2">
        <v>109.3</v>
      </c>
      <c r="K475" s="2">
        <v>104.8</v>
      </c>
      <c r="L475" s="2">
        <f t="shared" si="31"/>
        <v>4.5</v>
      </c>
      <c r="M475">
        <v>108.5</v>
      </c>
      <c r="N475">
        <v>100.3</v>
      </c>
      <c r="O475">
        <v>1.5</v>
      </c>
    </row>
    <row r="476" spans="1:15">
      <c r="A476" t="s">
        <v>55</v>
      </c>
      <c r="B476" t="s">
        <v>31</v>
      </c>
      <c r="C476">
        <v>40</v>
      </c>
      <c r="D476">
        <v>42</v>
      </c>
      <c r="E476" s="1">
        <f t="shared" si="29"/>
        <v>0.48780487804878048</v>
      </c>
      <c r="F476" s="2">
        <v>97.7</v>
      </c>
      <c r="G476" s="2">
        <v>95.9</v>
      </c>
      <c r="H476" s="2">
        <f t="shared" si="30"/>
        <v>1.7999999999999972</v>
      </c>
      <c r="I476" s="1">
        <f t="shared" si="28"/>
        <v>0.56471939759532841</v>
      </c>
      <c r="J476" s="2">
        <v>105</v>
      </c>
      <c r="K476" s="2">
        <v>103.2</v>
      </c>
      <c r="L476" s="2">
        <f t="shared" si="31"/>
        <v>1.7999999999999972</v>
      </c>
      <c r="M476">
        <v>99.5</v>
      </c>
      <c r="N476">
        <v>118.9</v>
      </c>
      <c r="O476">
        <v>0.5</v>
      </c>
    </row>
    <row r="477" spans="1:15">
      <c r="A477" t="s">
        <v>55</v>
      </c>
      <c r="B477" t="s">
        <v>33</v>
      </c>
      <c r="C477">
        <v>41</v>
      </c>
      <c r="D477">
        <v>41</v>
      </c>
      <c r="E477" s="1">
        <f t="shared" si="29"/>
        <v>0.5</v>
      </c>
      <c r="F477" s="2">
        <v>104.1</v>
      </c>
      <c r="G477" s="2">
        <v>104.6</v>
      </c>
      <c r="H477" s="2">
        <f t="shared" si="30"/>
        <v>-0.5</v>
      </c>
      <c r="I477" s="1">
        <f t="shared" si="28"/>
        <v>0.48323577008477736</v>
      </c>
      <c r="J477" s="2">
        <v>104.5</v>
      </c>
      <c r="K477" s="2">
        <v>105.1</v>
      </c>
      <c r="L477" s="2">
        <f t="shared" si="31"/>
        <v>-0.59999999999999432</v>
      </c>
      <c r="M477">
        <v>101.4</v>
      </c>
      <c r="N477">
        <v>104.5</v>
      </c>
      <c r="O477">
        <v>-0.3</v>
      </c>
    </row>
    <row r="478" spans="1:15">
      <c r="A478" t="s">
        <v>57</v>
      </c>
      <c r="B478" t="s">
        <v>5</v>
      </c>
      <c r="C478">
        <v>43</v>
      </c>
      <c r="D478">
        <v>39</v>
      </c>
      <c r="E478" s="1">
        <f t="shared" si="29"/>
        <v>0.52439024390243905</v>
      </c>
      <c r="F478" s="2">
        <v>103.2</v>
      </c>
      <c r="G478" s="2">
        <v>104</v>
      </c>
      <c r="H478" s="2">
        <f t="shared" si="30"/>
        <v>-0.79999999999999716</v>
      </c>
      <c r="I478" s="1">
        <f t="shared" si="28"/>
        <v>0.47299913122451137</v>
      </c>
      <c r="J478" s="2">
        <v>104.5</v>
      </c>
      <c r="K478" s="2">
        <v>105.2</v>
      </c>
      <c r="L478" s="2">
        <f t="shared" si="31"/>
        <v>-0.70000000000000284</v>
      </c>
      <c r="M478">
        <v>109.8</v>
      </c>
      <c r="N478">
        <v>95.7</v>
      </c>
      <c r="O478">
        <v>0.6</v>
      </c>
    </row>
    <row r="479" spans="1:15">
      <c r="A479" t="s">
        <v>57</v>
      </c>
      <c r="B479" t="s">
        <v>6</v>
      </c>
      <c r="C479">
        <v>53</v>
      </c>
      <c r="D479">
        <v>29</v>
      </c>
      <c r="E479" s="1">
        <f t="shared" si="29"/>
        <v>0.64634146341463417</v>
      </c>
      <c r="F479" s="2">
        <v>108</v>
      </c>
      <c r="G479" s="2">
        <v>105.4</v>
      </c>
      <c r="H479" s="2">
        <f t="shared" si="30"/>
        <v>2.5999999999999943</v>
      </c>
      <c r="I479" s="1">
        <f t="shared" si="28"/>
        <v>0.58447233985908875</v>
      </c>
      <c r="J479" s="2">
        <v>110.6</v>
      </c>
      <c r="K479" s="2">
        <v>108</v>
      </c>
      <c r="L479" s="2">
        <f t="shared" si="31"/>
        <v>2.5999999999999943</v>
      </c>
      <c r="M479">
        <v>117.9</v>
      </c>
      <c r="N479">
        <v>107.8</v>
      </c>
      <c r="O479">
        <v>0.7</v>
      </c>
    </row>
    <row r="480" spans="1:15">
      <c r="A480" t="s">
        <v>57</v>
      </c>
      <c r="B480" t="s">
        <v>51</v>
      </c>
      <c r="C480">
        <v>20</v>
      </c>
      <c r="D480">
        <v>62</v>
      </c>
      <c r="E480" s="1">
        <f t="shared" si="29"/>
        <v>0.24390243902439024</v>
      </c>
      <c r="F480" s="2">
        <v>105.8</v>
      </c>
      <c r="G480" s="2">
        <v>112.5</v>
      </c>
      <c r="H480" s="2">
        <f t="shared" si="30"/>
        <v>-6.7000000000000028</v>
      </c>
      <c r="I480" s="1">
        <f t="shared" si="28"/>
        <v>0.29741501867468906</v>
      </c>
      <c r="J480" s="2">
        <v>103.6</v>
      </c>
      <c r="K480" s="2">
        <v>110.1</v>
      </c>
      <c r="L480" s="2">
        <f t="shared" si="31"/>
        <v>-6.5</v>
      </c>
      <c r="M480">
        <v>99.7</v>
      </c>
      <c r="N480">
        <v>116.1</v>
      </c>
      <c r="O480">
        <v>-0.7</v>
      </c>
    </row>
    <row r="481" spans="1:15">
      <c r="A481" t="s">
        <v>57</v>
      </c>
      <c r="B481" t="s">
        <v>7</v>
      </c>
      <c r="C481">
        <v>36</v>
      </c>
      <c r="D481">
        <v>46</v>
      </c>
      <c r="E481" s="1">
        <f t="shared" si="29"/>
        <v>0.43902439024390244</v>
      </c>
      <c r="F481" s="2">
        <v>104.9</v>
      </c>
      <c r="G481" s="2">
        <v>104.7</v>
      </c>
      <c r="H481" s="2">
        <f t="shared" si="30"/>
        <v>0.20000000000000284</v>
      </c>
      <c r="I481" s="1">
        <f t="shared" si="28"/>
        <v>0.50667899404030869</v>
      </c>
      <c r="J481" s="2">
        <v>108.4</v>
      </c>
      <c r="K481" s="2">
        <v>108.4</v>
      </c>
      <c r="L481" s="2">
        <f t="shared" si="31"/>
        <v>0</v>
      </c>
      <c r="M481">
        <v>115.5</v>
      </c>
      <c r="N481">
        <v>119.6</v>
      </c>
      <c r="O481">
        <v>-0.3</v>
      </c>
    </row>
    <row r="482" spans="1:15">
      <c r="A482" t="s">
        <v>57</v>
      </c>
      <c r="B482" t="s">
        <v>8</v>
      </c>
      <c r="C482">
        <v>41</v>
      </c>
      <c r="D482">
        <v>41</v>
      </c>
      <c r="E482" s="1">
        <f t="shared" si="29"/>
        <v>0.5</v>
      </c>
      <c r="F482" s="2">
        <v>102.9</v>
      </c>
      <c r="G482" s="2">
        <v>102.4</v>
      </c>
      <c r="H482" s="2">
        <f t="shared" si="30"/>
        <v>0.5</v>
      </c>
      <c r="I482" s="1">
        <f t="shared" si="28"/>
        <v>0.51704165228301435</v>
      </c>
      <c r="J482" s="2">
        <v>106.5</v>
      </c>
      <c r="K482" s="2">
        <v>106.2</v>
      </c>
      <c r="L482" s="2">
        <f t="shared" si="31"/>
        <v>0.29999999999999716</v>
      </c>
      <c r="M482">
        <v>107.3</v>
      </c>
      <c r="N482">
        <v>98.1</v>
      </c>
      <c r="O482">
        <v>-0.5</v>
      </c>
    </row>
    <row r="483" spans="1:15">
      <c r="A483" t="s">
        <v>57</v>
      </c>
      <c r="B483" t="s">
        <v>9</v>
      </c>
      <c r="C483">
        <v>51</v>
      </c>
      <c r="D483">
        <v>31</v>
      </c>
      <c r="E483" s="1">
        <f t="shared" si="29"/>
        <v>0.62195121951219512</v>
      </c>
      <c r="F483" s="2">
        <v>110.3</v>
      </c>
      <c r="G483" s="2">
        <v>107.2</v>
      </c>
      <c r="H483" s="2">
        <f t="shared" si="30"/>
        <v>3.0999999999999943</v>
      </c>
      <c r="I483" s="1">
        <f t="shared" si="28"/>
        <v>0.59847320533092052</v>
      </c>
      <c r="J483" s="2">
        <v>112.8</v>
      </c>
      <c r="K483" s="2">
        <v>109.7</v>
      </c>
      <c r="L483" s="2">
        <f t="shared" si="31"/>
        <v>3.0999999999999943</v>
      </c>
      <c r="M483">
        <v>117.1</v>
      </c>
      <c r="N483">
        <v>103.5</v>
      </c>
      <c r="O483">
        <v>-1.2</v>
      </c>
    </row>
    <row r="484" spans="1:15">
      <c r="A484" t="s">
        <v>57</v>
      </c>
      <c r="B484" t="s">
        <v>10</v>
      </c>
      <c r="C484">
        <v>33</v>
      </c>
      <c r="D484">
        <v>49</v>
      </c>
      <c r="E484" s="1">
        <f t="shared" si="29"/>
        <v>0.40243902439024393</v>
      </c>
      <c r="F484" s="2">
        <v>97.9</v>
      </c>
      <c r="G484" s="2">
        <v>100.8</v>
      </c>
      <c r="H484" s="2">
        <f t="shared" si="30"/>
        <v>-2.8999999999999915</v>
      </c>
      <c r="I484" s="1">
        <f t="shared" si="28"/>
        <v>0.39922740690355496</v>
      </c>
      <c r="J484" s="2">
        <v>104.7</v>
      </c>
      <c r="K484" s="2">
        <v>107.7</v>
      </c>
      <c r="L484" s="2">
        <f t="shared" si="31"/>
        <v>-3</v>
      </c>
      <c r="M484">
        <v>101.7</v>
      </c>
      <c r="N484">
        <v>107.8</v>
      </c>
      <c r="O484">
        <v>-0.6</v>
      </c>
    </row>
    <row r="485" spans="1:15">
      <c r="A485" t="s">
        <v>57</v>
      </c>
      <c r="B485" t="s">
        <v>11</v>
      </c>
      <c r="C485">
        <v>40</v>
      </c>
      <c r="D485">
        <v>42</v>
      </c>
      <c r="E485" s="1">
        <f t="shared" si="29"/>
        <v>0.48780487804878048</v>
      </c>
      <c r="F485" s="2">
        <v>111.7</v>
      </c>
      <c r="G485" s="2">
        <v>111.2</v>
      </c>
      <c r="H485" s="2">
        <f t="shared" si="30"/>
        <v>0.5</v>
      </c>
      <c r="I485" s="1">
        <f t="shared" si="28"/>
        <v>0.51569697497834144</v>
      </c>
      <c r="J485" s="2">
        <v>112.2</v>
      </c>
      <c r="K485" s="2">
        <v>111.7</v>
      </c>
      <c r="L485" s="2">
        <f t="shared" si="31"/>
        <v>0.5</v>
      </c>
      <c r="M485">
        <v>97.2</v>
      </c>
      <c r="N485">
        <v>105.3</v>
      </c>
      <c r="O485">
        <v>-1</v>
      </c>
    </row>
    <row r="486" spans="1:15">
      <c r="A486" t="s">
        <v>57</v>
      </c>
      <c r="B486" t="s">
        <v>12</v>
      </c>
      <c r="C486">
        <v>37</v>
      </c>
      <c r="D486">
        <v>45</v>
      </c>
      <c r="E486" s="1">
        <f t="shared" si="29"/>
        <v>0.45121951219512196</v>
      </c>
      <c r="F486" s="2">
        <v>101.3</v>
      </c>
      <c r="G486" s="2">
        <v>102.5</v>
      </c>
      <c r="H486" s="2">
        <f t="shared" si="30"/>
        <v>-1.2000000000000028</v>
      </c>
      <c r="I486" s="1">
        <f t="shared" si="28"/>
        <v>0.45887575520915785</v>
      </c>
      <c r="J486" s="2">
        <v>105.3</v>
      </c>
      <c r="K486" s="2">
        <v>106.7</v>
      </c>
      <c r="L486" s="2">
        <f t="shared" si="31"/>
        <v>-1.4000000000000057</v>
      </c>
      <c r="M486">
        <v>100.3</v>
      </c>
      <c r="N486">
        <v>112.5</v>
      </c>
      <c r="O486">
        <v>1.3</v>
      </c>
    </row>
    <row r="487" spans="1:15">
      <c r="A487" t="s">
        <v>57</v>
      </c>
      <c r="B487" t="s">
        <v>13</v>
      </c>
      <c r="C487">
        <v>67</v>
      </c>
      <c r="D487">
        <v>15</v>
      </c>
      <c r="E487" s="1">
        <f t="shared" si="29"/>
        <v>0.81707317073170727</v>
      </c>
      <c r="F487" s="2">
        <v>115.9</v>
      </c>
      <c r="G487" s="2">
        <v>104.3</v>
      </c>
      <c r="H487" s="2">
        <f t="shared" si="30"/>
        <v>11.600000000000009</v>
      </c>
      <c r="I487" s="1">
        <f t="shared" si="28"/>
        <v>0.81402660694533269</v>
      </c>
      <c r="J487" s="2">
        <v>114.8</v>
      </c>
      <c r="K487" s="2">
        <v>103.4</v>
      </c>
      <c r="L487" s="2">
        <f t="shared" si="31"/>
        <v>11.399999999999991</v>
      </c>
      <c r="M487">
        <v>109.7</v>
      </c>
      <c r="N487">
        <v>100</v>
      </c>
      <c r="O487">
        <v>0.2</v>
      </c>
    </row>
    <row r="488" spans="1:15">
      <c r="A488" t="s">
        <v>57</v>
      </c>
      <c r="B488" t="s">
        <v>14</v>
      </c>
      <c r="C488">
        <v>55</v>
      </c>
      <c r="D488">
        <v>27</v>
      </c>
      <c r="E488" s="1">
        <f t="shared" si="29"/>
        <v>0.67073170731707321</v>
      </c>
      <c r="F488" s="2">
        <v>115.3</v>
      </c>
      <c r="G488" s="2">
        <v>109.6</v>
      </c>
      <c r="H488" s="2">
        <f t="shared" si="30"/>
        <v>5.7000000000000028</v>
      </c>
      <c r="I488" s="1">
        <f t="shared" si="28"/>
        <v>0.67035712884085974</v>
      </c>
      <c r="J488" s="2">
        <v>114.1</v>
      </c>
      <c r="K488" s="2">
        <v>108.4</v>
      </c>
      <c r="L488" s="2">
        <f t="shared" si="31"/>
        <v>5.6999999999999886</v>
      </c>
      <c r="M488">
        <v>100</v>
      </c>
      <c r="N488">
        <v>105.7</v>
      </c>
      <c r="O488">
        <v>-1.1000000000000001</v>
      </c>
    </row>
    <row r="489" spans="1:15">
      <c r="A489" t="s">
        <v>57</v>
      </c>
      <c r="B489" t="s">
        <v>15</v>
      </c>
      <c r="C489">
        <v>42</v>
      </c>
      <c r="D489">
        <v>40</v>
      </c>
      <c r="E489" s="1">
        <f t="shared" si="29"/>
        <v>0.51219512195121952</v>
      </c>
      <c r="F489" s="2">
        <v>105.1</v>
      </c>
      <c r="G489" s="2">
        <v>105.3</v>
      </c>
      <c r="H489" s="2">
        <f t="shared" si="30"/>
        <v>-0.20000000000000284</v>
      </c>
      <c r="I489" s="1">
        <f t="shared" si="28"/>
        <v>0.49334639838574956</v>
      </c>
      <c r="J489" s="2">
        <v>107.9</v>
      </c>
      <c r="K489" s="2">
        <v>108.1</v>
      </c>
      <c r="L489" s="2">
        <f t="shared" si="31"/>
        <v>-0.19999999999998863</v>
      </c>
      <c r="M489">
        <v>103.1</v>
      </c>
      <c r="N489">
        <v>104.3</v>
      </c>
      <c r="O489">
        <v>-0.6</v>
      </c>
    </row>
    <row r="490" spans="1:15">
      <c r="A490" t="s">
        <v>57</v>
      </c>
      <c r="B490" t="s">
        <v>56</v>
      </c>
      <c r="C490">
        <v>51</v>
      </c>
      <c r="D490">
        <v>31</v>
      </c>
      <c r="E490" s="1">
        <f t="shared" si="29"/>
        <v>0.62195121951219512</v>
      </c>
      <c r="F490" s="2">
        <v>108.7</v>
      </c>
      <c r="G490" s="2">
        <v>104.4</v>
      </c>
      <c r="H490" s="2">
        <f t="shared" si="30"/>
        <v>4.2999999999999972</v>
      </c>
      <c r="I490" s="1">
        <f t="shared" si="28"/>
        <v>0.63762474872278996</v>
      </c>
      <c r="J490" s="2">
        <v>111.8</v>
      </c>
      <c r="K490" s="2">
        <v>107.5</v>
      </c>
      <c r="L490" s="2">
        <f t="shared" si="31"/>
        <v>4.2999999999999972</v>
      </c>
      <c r="M490">
        <v>97.3</v>
      </c>
      <c r="N490">
        <v>95.5</v>
      </c>
      <c r="O490">
        <v>-0.5</v>
      </c>
    </row>
    <row r="491" spans="1:15">
      <c r="A491" t="s">
        <v>57</v>
      </c>
      <c r="B491" t="s">
        <v>17</v>
      </c>
      <c r="C491">
        <v>26</v>
      </c>
      <c r="D491">
        <v>56</v>
      </c>
      <c r="E491" s="1">
        <f t="shared" si="29"/>
        <v>0.31707317073170732</v>
      </c>
      <c r="F491" s="2">
        <v>104.6</v>
      </c>
      <c r="G491" s="2">
        <v>111.5</v>
      </c>
      <c r="H491" s="2">
        <f t="shared" si="30"/>
        <v>-6.9000000000000057</v>
      </c>
      <c r="I491" s="1">
        <f t="shared" si="28"/>
        <v>0.29021613910677707</v>
      </c>
      <c r="J491" s="2">
        <v>105.3</v>
      </c>
      <c r="K491" s="2">
        <v>112</v>
      </c>
      <c r="L491" s="2">
        <f t="shared" si="31"/>
        <v>-6.7000000000000028</v>
      </c>
      <c r="M491">
        <v>106.9</v>
      </c>
      <c r="N491">
        <v>123.2</v>
      </c>
      <c r="O491">
        <v>-0.7</v>
      </c>
    </row>
    <row r="492" spans="1:15">
      <c r="A492" t="s">
        <v>57</v>
      </c>
      <c r="B492" t="s">
        <v>35</v>
      </c>
      <c r="C492">
        <v>43</v>
      </c>
      <c r="D492">
        <v>39</v>
      </c>
      <c r="E492" s="1">
        <f t="shared" si="29"/>
        <v>0.52439024390243905</v>
      </c>
      <c r="F492" s="2">
        <v>100.5</v>
      </c>
      <c r="G492" s="2">
        <v>100</v>
      </c>
      <c r="H492" s="2">
        <f t="shared" si="30"/>
        <v>0.5</v>
      </c>
      <c r="I492" s="1">
        <f t="shared" si="28"/>
        <v>0.51744930619443652</v>
      </c>
      <c r="J492" s="2">
        <v>107</v>
      </c>
      <c r="K492" s="2">
        <v>106.5</v>
      </c>
      <c r="L492" s="2">
        <f t="shared" si="31"/>
        <v>0.5</v>
      </c>
      <c r="M492">
        <v>101.1</v>
      </c>
      <c r="N492">
        <v>95</v>
      </c>
      <c r="O492">
        <v>1.2</v>
      </c>
    </row>
    <row r="493" spans="1:15">
      <c r="A493" t="s">
        <v>57</v>
      </c>
      <c r="B493" t="s">
        <v>18</v>
      </c>
      <c r="C493">
        <v>41</v>
      </c>
      <c r="D493">
        <v>41</v>
      </c>
      <c r="E493" s="1">
        <f t="shared" si="29"/>
        <v>0.5</v>
      </c>
      <c r="F493" s="2">
        <v>103.2</v>
      </c>
      <c r="G493" s="2">
        <v>102.1</v>
      </c>
      <c r="H493" s="2">
        <f t="shared" si="30"/>
        <v>1.1000000000000085</v>
      </c>
      <c r="I493" s="1">
        <f t="shared" si="28"/>
        <v>0.53743625677450491</v>
      </c>
      <c r="J493" s="2">
        <v>107.4</v>
      </c>
      <c r="K493" s="2">
        <v>106.4</v>
      </c>
      <c r="L493" s="2">
        <f t="shared" si="31"/>
        <v>1</v>
      </c>
      <c r="M493">
        <v>96.4</v>
      </c>
      <c r="N493">
        <v>107.3</v>
      </c>
      <c r="O493">
        <v>1</v>
      </c>
    </row>
    <row r="494" spans="1:15">
      <c r="A494" t="s">
        <v>57</v>
      </c>
      <c r="B494" t="s">
        <v>19</v>
      </c>
      <c r="C494">
        <v>42</v>
      </c>
      <c r="D494">
        <v>40</v>
      </c>
      <c r="E494" s="1">
        <f t="shared" si="29"/>
        <v>0.51219512195121952</v>
      </c>
      <c r="F494" s="2">
        <v>103.6</v>
      </c>
      <c r="G494" s="2">
        <v>103.8</v>
      </c>
      <c r="H494" s="2">
        <f t="shared" si="30"/>
        <v>-0.20000000000000284</v>
      </c>
      <c r="I494" s="1">
        <f t="shared" si="28"/>
        <v>0.49325016690450357</v>
      </c>
      <c r="J494" s="2">
        <v>108.5</v>
      </c>
      <c r="K494" s="2">
        <v>108.7</v>
      </c>
      <c r="L494" s="2">
        <f t="shared" si="31"/>
        <v>-0.20000000000000284</v>
      </c>
      <c r="M494">
        <v>88.9</v>
      </c>
      <c r="N494">
        <v>100</v>
      </c>
      <c r="O494">
        <v>0.2</v>
      </c>
    </row>
    <row r="495" spans="1:15">
      <c r="A495" t="s">
        <v>57</v>
      </c>
      <c r="B495" t="s">
        <v>20</v>
      </c>
      <c r="C495">
        <v>31</v>
      </c>
      <c r="D495">
        <v>51</v>
      </c>
      <c r="E495" s="1">
        <f t="shared" si="29"/>
        <v>0.37804878048780488</v>
      </c>
      <c r="F495" s="2">
        <v>105.6</v>
      </c>
      <c r="G495" s="2">
        <v>106.7</v>
      </c>
      <c r="H495" s="2">
        <f t="shared" si="30"/>
        <v>-1.1000000000000085</v>
      </c>
      <c r="I495" s="1">
        <f t="shared" si="28"/>
        <v>0.46379372867246205</v>
      </c>
      <c r="J495" s="2">
        <v>110</v>
      </c>
      <c r="K495" s="2">
        <v>110.9</v>
      </c>
      <c r="L495" s="2">
        <f t="shared" si="31"/>
        <v>-0.90000000000000568</v>
      </c>
      <c r="M495">
        <v>95</v>
      </c>
      <c r="N495">
        <v>104.7</v>
      </c>
      <c r="O495">
        <v>-1.1000000000000001</v>
      </c>
    </row>
    <row r="496" spans="1:15">
      <c r="A496" t="s">
        <v>57</v>
      </c>
      <c r="B496" t="s">
        <v>53</v>
      </c>
      <c r="C496">
        <v>34</v>
      </c>
      <c r="D496">
        <v>48</v>
      </c>
      <c r="E496" s="1">
        <f t="shared" si="29"/>
        <v>0.41463414634146339</v>
      </c>
      <c r="F496" s="2">
        <v>104.3</v>
      </c>
      <c r="G496" s="2">
        <v>106.4</v>
      </c>
      <c r="H496" s="2">
        <f t="shared" si="30"/>
        <v>-2.1000000000000085</v>
      </c>
      <c r="I496" s="1">
        <f t="shared" si="28"/>
        <v>0.4306795838171591</v>
      </c>
      <c r="J496" s="2">
        <v>104.7</v>
      </c>
      <c r="K496" s="2">
        <v>106.8</v>
      </c>
      <c r="L496" s="2">
        <f t="shared" si="31"/>
        <v>-2.0999999999999943</v>
      </c>
      <c r="M496">
        <v>91.6</v>
      </c>
      <c r="N496">
        <v>95.6</v>
      </c>
      <c r="O496">
        <v>-0.8</v>
      </c>
    </row>
    <row r="497" spans="1:15">
      <c r="A497" t="s">
        <v>57</v>
      </c>
      <c r="B497" t="s">
        <v>22</v>
      </c>
      <c r="C497">
        <v>31</v>
      </c>
      <c r="D497">
        <v>51</v>
      </c>
      <c r="E497" s="1">
        <f t="shared" si="29"/>
        <v>0.37804878048780488</v>
      </c>
      <c r="F497" s="2">
        <v>104.3</v>
      </c>
      <c r="G497" s="2">
        <v>108</v>
      </c>
      <c r="H497" s="2">
        <f t="shared" si="30"/>
        <v>-3.7000000000000028</v>
      </c>
      <c r="I497" s="1">
        <f t="shared" si="28"/>
        <v>0.38035584719829063</v>
      </c>
      <c r="J497" s="2">
        <v>107.1</v>
      </c>
      <c r="K497" s="2">
        <v>110.7</v>
      </c>
      <c r="L497" s="2">
        <f t="shared" si="31"/>
        <v>-3.6000000000000085</v>
      </c>
      <c r="M497">
        <v>104.7</v>
      </c>
      <c r="N497">
        <v>106.7</v>
      </c>
      <c r="O497">
        <v>0.6</v>
      </c>
    </row>
    <row r="498" spans="1:15">
      <c r="A498" t="s">
        <v>57</v>
      </c>
      <c r="B498" t="s">
        <v>46</v>
      </c>
      <c r="C498">
        <v>47</v>
      </c>
      <c r="D498">
        <v>35</v>
      </c>
      <c r="E498" s="1">
        <f t="shared" si="29"/>
        <v>0.57317073170731703</v>
      </c>
      <c r="F498" s="2">
        <v>106.6</v>
      </c>
      <c r="G498" s="2">
        <v>105.8</v>
      </c>
      <c r="H498" s="2">
        <f t="shared" si="30"/>
        <v>0.79999999999999716</v>
      </c>
      <c r="I498" s="1">
        <f t="shared" si="28"/>
        <v>0.52634106336275344</v>
      </c>
      <c r="J498" s="2">
        <v>107.9</v>
      </c>
      <c r="K498" s="2">
        <v>107.1</v>
      </c>
      <c r="L498" s="2">
        <f t="shared" si="31"/>
        <v>0.80000000000001137</v>
      </c>
      <c r="M498">
        <v>115.5</v>
      </c>
      <c r="N498">
        <v>92.6</v>
      </c>
      <c r="O498">
        <v>0.9</v>
      </c>
    </row>
    <row r="499" spans="1:15">
      <c r="A499" t="s">
        <v>57</v>
      </c>
      <c r="B499" t="s">
        <v>23</v>
      </c>
      <c r="C499">
        <v>29</v>
      </c>
      <c r="D499">
        <v>53</v>
      </c>
      <c r="E499" s="1">
        <f t="shared" si="29"/>
        <v>0.35365853658536583</v>
      </c>
      <c r="F499" s="2">
        <v>101.1</v>
      </c>
      <c r="G499" s="2">
        <v>107.6</v>
      </c>
      <c r="H499" s="2">
        <f t="shared" si="30"/>
        <v>-6.5</v>
      </c>
      <c r="I499" s="1">
        <f t="shared" si="28"/>
        <v>0.29476611175193784</v>
      </c>
      <c r="J499" s="2">
        <v>103.7</v>
      </c>
      <c r="K499" s="2">
        <v>110.3</v>
      </c>
      <c r="L499" s="2">
        <f t="shared" si="31"/>
        <v>-6.5999999999999943</v>
      </c>
      <c r="M499">
        <v>101.3</v>
      </c>
      <c r="N499">
        <v>114.2</v>
      </c>
      <c r="O499">
        <v>-1.8</v>
      </c>
    </row>
    <row r="500" spans="1:15">
      <c r="A500" t="s">
        <v>57</v>
      </c>
      <c r="B500" t="s">
        <v>24</v>
      </c>
      <c r="C500">
        <v>28</v>
      </c>
      <c r="D500">
        <v>54</v>
      </c>
      <c r="E500" s="1">
        <f t="shared" si="29"/>
        <v>0.34146341463414637</v>
      </c>
      <c r="F500" s="2">
        <v>102.4</v>
      </c>
      <c r="G500" s="2">
        <v>108.1</v>
      </c>
      <c r="H500" s="2">
        <f t="shared" si="30"/>
        <v>-5.6999999999999886</v>
      </c>
      <c r="I500" s="1">
        <f t="shared" si="28"/>
        <v>0.31899805241383661</v>
      </c>
      <c r="J500" s="2">
        <v>102.7</v>
      </c>
      <c r="K500" s="2">
        <v>108.2</v>
      </c>
      <c r="L500" s="2">
        <f t="shared" si="31"/>
        <v>-5.5</v>
      </c>
      <c r="M500">
        <v>98.1</v>
      </c>
      <c r="N500">
        <v>109.1</v>
      </c>
      <c r="O500">
        <v>-1.4</v>
      </c>
    </row>
    <row r="501" spans="1:15">
      <c r="A501" t="s">
        <v>57</v>
      </c>
      <c r="B501" t="s">
        <v>25</v>
      </c>
      <c r="C501">
        <v>24</v>
      </c>
      <c r="D501">
        <v>58</v>
      </c>
      <c r="E501" s="1">
        <f t="shared" si="29"/>
        <v>0.29268292682926828</v>
      </c>
      <c r="F501" s="2">
        <v>107.7</v>
      </c>
      <c r="G501" s="2">
        <v>113.3</v>
      </c>
      <c r="H501" s="2">
        <f t="shared" si="30"/>
        <v>-5.5999999999999943</v>
      </c>
      <c r="I501" s="1">
        <f t="shared" si="28"/>
        <v>0.3296752595531568</v>
      </c>
      <c r="J501" s="2">
        <v>106.1</v>
      </c>
      <c r="K501" s="2">
        <v>111.3</v>
      </c>
      <c r="L501" s="2">
        <f t="shared" si="31"/>
        <v>-5.2000000000000028</v>
      </c>
      <c r="M501">
        <v>103</v>
      </c>
      <c r="N501">
        <v>119.5</v>
      </c>
      <c r="O501">
        <v>-1.5</v>
      </c>
    </row>
    <row r="502" spans="1:15">
      <c r="A502" t="s">
        <v>57</v>
      </c>
      <c r="B502" t="s">
        <v>26</v>
      </c>
      <c r="C502">
        <v>41</v>
      </c>
      <c r="D502">
        <v>41</v>
      </c>
      <c r="E502" s="1">
        <f t="shared" si="29"/>
        <v>0.5</v>
      </c>
      <c r="F502" s="2">
        <v>107.9</v>
      </c>
      <c r="G502" s="2">
        <v>108.5</v>
      </c>
      <c r="H502" s="2">
        <f t="shared" si="30"/>
        <v>-0.59999999999999432</v>
      </c>
      <c r="I502" s="1">
        <f t="shared" si="28"/>
        <v>0.48060118968049892</v>
      </c>
      <c r="J502" s="2">
        <v>109.4</v>
      </c>
      <c r="K502" s="2">
        <v>110</v>
      </c>
      <c r="L502" s="2">
        <f t="shared" si="31"/>
        <v>-0.59999999999999432</v>
      </c>
      <c r="M502">
        <v>104.9</v>
      </c>
      <c r="N502">
        <v>102.4</v>
      </c>
      <c r="O502">
        <v>-0.1</v>
      </c>
    </row>
    <row r="503" spans="1:15">
      <c r="A503" t="s">
        <v>57</v>
      </c>
      <c r="B503" t="s">
        <v>27</v>
      </c>
      <c r="C503">
        <v>32</v>
      </c>
      <c r="D503">
        <v>50</v>
      </c>
      <c r="E503" s="1">
        <f t="shared" si="29"/>
        <v>0.3902439024390244</v>
      </c>
      <c r="F503" s="2">
        <v>102.8</v>
      </c>
      <c r="G503" s="2">
        <v>106.7</v>
      </c>
      <c r="H503" s="2">
        <f t="shared" si="30"/>
        <v>-3.9000000000000057</v>
      </c>
      <c r="I503" s="1">
        <f t="shared" si="28"/>
        <v>0.37254800267996896</v>
      </c>
      <c r="J503" s="2">
        <v>106.6</v>
      </c>
      <c r="K503" s="2">
        <v>110.8</v>
      </c>
      <c r="L503" s="2">
        <f t="shared" si="31"/>
        <v>-4.2000000000000028</v>
      </c>
      <c r="M503">
        <v>97.7</v>
      </c>
      <c r="N503">
        <v>108.9</v>
      </c>
      <c r="O503">
        <v>0.4</v>
      </c>
    </row>
    <row r="504" spans="1:15">
      <c r="A504" t="s">
        <v>57</v>
      </c>
      <c r="B504" t="s">
        <v>28</v>
      </c>
      <c r="C504">
        <v>61</v>
      </c>
      <c r="D504">
        <v>21</v>
      </c>
      <c r="E504" s="1">
        <f t="shared" si="29"/>
        <v>0.74390243902439024</v>
      </c>
      <c r="F504" s="2">
        <v>105.3</v>
      </c>
      <c r="G504" s="2">
        <v>98.1</v>
      </c>
      <c r="H504" s="2">
        <f t="shared" si="30"/>
        <v>7.2000000000000028</v>
      </c>
      <c r="I504" s="1">
        <f t="shared" si="28"/>
        <v>0.72939687618809401</v>
      </c>
      <c r="J504" s="2">
        <v>110.3</v>
      </c>
      <c r="K504" s="2">
        <v>102.9</v>
      </c>
      <c r="L504" s="2">
        <f t="shared" si="31"/>
        <v>7.3999999999999915</v>
      </c>
      <c r="M504">
        <v>111.4</v>
      </c>
      <c r="N504">
        <v>89.6</v>
      </c>
      <c r="O504">
        <v>1.2</v>
      </c>
    </row>
    <row r="505" spans="1:15">
      <c r="A505" t="s">
        <v>57</v>
      </c>
      <c r="B505" t="s">
        <v>30</v>
      </c>
      <c r="C505">
        <v>51</v>
      </c>
      <c r="D505">
        <v>31</v>
      </c>
      <c r="E505" s="1">
        <f t="shared" si="29"/>
        <v>0.62195121951219512</v>
      </c>
      <c r="F505" s="2">
        <v>106.9</v>
      </c>
      <c r="G505" s="2">
        <v>102.6</v>
      </c>
      <c r="H505" s="2">
        <f t="shared" si="30"/>
        <v>4.3000000000000114</v>
      </c>
      <c r="I505" s="1">
        <f t="shared" si="28"/>
        <v>0.6398659537059771</v>
      </c>
      <c r="J505" s="2">
        <v>111.4</v>
      </c>
      <c r="K505" s="2">
        <v>107.1</v>
      </c>
      <c r="L505" s="2">
        <f t="shared" si="31"/>
        <v>4.3000000000000114</v>
      </c>
      <c r="M505">
        <v>109.9</v>
      </c>
      <c r="N505">
        <v>95.4</v>
      </c>
      <c r="O505">
        <v>2.8</v>
      </c>
    </row>
    <row r="506" spans="1:15">
      <c r="A506" t="s">
        <v>57</v>
      </c>
      <c r="B506" t="s">
        <v>31</v>
      </c>
      <c r="C506">
        <v>51</v>
      </c>
      <c r="D506">
        <v>31</v>
      </c>
      <c r="E506" s="1">
        <f t="shared" si="29"/>
        <v>0.62195121951219512</v>
      </c>
      <c r="F506" s="2">
        <v>100.7</v>
      </c>
      <c r="G506" s="2">
        <v>96.8</v>
      </c>
      <c r="H506" s="2">
        <f t="shared" si="30"/>
        <v>3.9000000000000057</v>
      </c>
      <c r="I506" s="1">
        <f t="shared" si="28"/>
        <v>0.63482745651575567</v>
      </c>
      <c r="J506" s="2">
        <v>109</v>
      </c>
      <c r="K506" s="2">
        <v>104.7</v>
      </c>
      <c r="L506" s="2">
        <f t="shared" si="31"/>
        <v>4.2999999999999972</v>
      </c>
      <c r="M506">
        <v>115</v>
      </c>
      <c r="N506">
        <v>99.3</v>
      </c>
      <c r="O506">
        <v>2.2000000000000002</v>
      </c>
    </row>
    <row r="507" spans="1:15">
      <c r="A507" t="s">
        <v>57</v>
      </c>
      <c r="B507" t="s">
        <v>33</v>
      </c>
      <c r="C507">
        <v>49</v>
      </c>
      <c r="D507">
        <v>33</v>
      </c>
      <c r="E507" s="1">
        <f t="shared" si="29"/>
        <v>0.59756097560975607</v>
      </c>
      <c r="F507" s="2">
        <v>109.2</v>
      </c>
      <c r="G507" s="2">
        <v>107.4</v>
      </c>
      <c r="H507" s="2">
        <f t="shared" si="30"/>
        <v>1.7999999999999972</v>
      </c>
      <c r="I507" s="1">
        <f t="shared" si="28"/>
        <v>0.55791201251406242</v>
      </c>
      <c r="J507" s="2">
        <v>110.4</v>
      </c>
      <c r="K507" s="2">
        <v>108.8</v>
      </c>
      <c r="L507" s="2">
        <f t="shared" si="31"/>
        <v>1.6000000000000085</v>
      </c>
      <c r="M507">
        <v>116.8</v>
      </c>
      <c r="N507">
        <v>103.8</v>
      </c>
      <c r="O507">
        <v>0.8</v>
      </c>
    </row>
    <row r="508" spans="1:15">
      <c r="A508" t="s">
        <v>58</v>
      </c>
      <c r="B508" t="s">
        <v>5</v>
      </c>
      <c r="C508">
        <v>24</v>
      </c>
      <c r="D508">
        <v>58</v>
      </c>
      <c r="E508" s="1">
        <f t="shared" si="29"/>
        <v>0.29268292682926828</v>
      </c>
      <c r="F508" s="2">
        <v>103.4</v>
      </c>
      <c r="G508" s="2">
        <v>108.8</v>
      </c>
      <c r="H508" s="2">
        <f t="shared" si="30"/>
        <v>-5.3999999999999915</v>
      </c>
      <c r="I508" s="1">
        <f t="shared" si="28"/>
        <v>0.32900489498317276</v>
      </c>
      <c r="J508" s="2">
        <v>104.4</v>
      </c>
      <c r="K508" s="2">
        <v>110.1</v>
      </c>
      <c r="L508" s="2">
        <f t="shared" si="31"/>
        <v>-5.6999999999999886</v>
      </c>
      <c r="M508">
        <v>105.4</v>
      </c>
      <c r="N508">
        <v>111.5</v>
      </c>
      <c r="O508">
        <v>0.4</v>
      </c>
    </row>
    <row r="509" spans="1:15">
      <c r="A509" t="s">
        <v>58</v>
      </c>
      <c r="B509" t="s">
        <v>6</v>
      </c>
      <c r="C509">
        <v>55</v>
      </c>
      <c r="D509">
        <v>27</v>
      </c>
      <c r="E509" s="1">
        <f t="shared" si="29"/>
        <v>0.67073170731707321</v>
      </c>
      <c r="F509" s="2">
        <v>104</v>
      </c>
      <c r="G509" s="2">
        <v>100.4</v>
      </c>
      <c r="H509" s="2">
        <f t="shared" si="30"/>
        <v>3.5999999999999943</v>
      </c>
      <c r="I509" s="1">
        <f t="shared" si="28"/>
        <v>0.62086037726466381</v>
      </c>
      <c r="J509" s="2">
        <v>106.8</v>
      </c>
      <c r="K509" s="2">
        <v>103.2</v>
      </c>
      <c r="L509" s="2">
        <f t="shared" si="31"/>
        <v>3.5999999999999943</v>
      </c>
      <c r="M509">
        <v>109.6</v>
      </c>
      <c r="N509">
        <v>108.6</v>
      </c>
      <c r="O509">
        <v>0.8</v>
      </c>
    </row>
    <row r="510" spans="1:15">
      <c r="A510" t="s">
        <v>58</v>
      </c>
      <c r="B510" t="s">
        <v>51</v>
      </c>
      <c r="C510">
        <v>28</v>
      </c>
      <c r="D510">
        <v>54</v>
      </c>
      <c r="E510" s="1">
        <f t="shared" si="29"/>
        <v>0.34146341463414637</v>
      </c>
      <c r="F510" s="2">
        <v>106.6</v>
      </c>
      <c r="G510" s="2">
        <v>110.3</v>
      </c>
      <c r="H510" s="2">
        <f t="shared" si="30"/>
        <v>-3.7000000000000028</v>
      </c>
      <c r="I510" s="1">
        <f t="shared" si="28"/>
        <v>0.38279873776476753</v>
      </c>
      <c r="J510" s="2">
        <v>106.1</v>
      </c>
      <c r="K510" s="2">
        <v>109.7</v>
      </c>
      <c r="L510" s="2">
        <f t="shared" si="31"/>
        <v>-3.6000000000000085</v>
      </c>
      <c r="M510">
        <v>98.5</v>
      </c>
      <c r="N510">
        <v>108.4</v>
      </c>
      <c r="O510">
        <v>-0.7</v>
      </c>
    </row>
    <row r="511" spans="1:15">
      <c r="A511" t="s">
        <v>58</v>
      </c>
      <c r="B511" t="s">
        <v>7</v>
      </c>
      <c r="C511">
        <v>36</v>
      </c>
      <c r="D511">
        <v>46</v>
      </c>
      <c r="E511" s="1">
        <f t="shared" si="29"/>
        <v>0.43902439024390244</v>
      </c>
      <c r="F511" s="2">
        <v>108.2</v>
      </c>
      <c r="G511" s="2">
        <v>108</v>
      </c>
      <c r="H511" s="2">
        <f t="shared" si="30"/>
        <v>0.20000000000000284</v>
      </c>
      <c r="I511" s="1">
        <f t="shared" si="28"/>
        <v>0.50647512549319473</v>
      </c>
      <c r="J511" s="2">
        <v>109</v>
      </c>
      <c r="K511" s="2">
        <v>109</v>
      </c>
      <c r="L511" s="2">
        <f t="shared" si="31"/>
        <v>0</v>
      </c>
      <c r="M511">
        <v>98.8</v>
      </c>
      <c r="N511">
        <v>99.7</v>
      </c>
      <c r="O511">
        <v>-0.3</v>
      </c>
    </row>
    <row r="512" spans="1:15">
      <c r="A512" t="s">
        <v>58</v>
      </c>
      <c r="B512" t="s">
        <v>8</v>
      </c>
      <c r="C512">
        <v>27</v>
      </c>
      <c r="D512">
        <v>55</v>
      </c>
      <c r="E512" s="1">
        <f t="shared" si="29"/>
        <v>0.32926829268292684</v>
      </c>
      <c r="F512" s="2">
        <v>102.9</v>
      </c>
      <c r="G512" s="2">
        <v>110</v>
      </c>
      <c r="H512" s="2">
        <f t="shared" si="30"/>
        <v>-7.0999999999999943</v>
      </c>
      <c r="I512" s="1">
        <f t="shared" si="28"/>
        <v>0.28208998434784138</v>
      </c>
      <c r="J512" s="2">
        <v>103.4</v>
      </c>
      <c r="K512" s="2">
        <v>110.5</v>
      </c>
      <c r="L512" s="2">
        <f t="shared" si="31"/>
        <v>-7.0999999999999943</v>
      </c>
      <c r="M512">
        <v>98.4</v>
      </c>
      <c r="N512">
        <v>99.7</v>
      </c>
      <c r="O512">
        <v>-0.5</v>
      </c>
    </row>
    <row r="513" spans="1:15">
      <c r="A513" t="s">
        <v>58</v>
      </c>
      <c r="B513" t="s">
        <v>9</v>
      </c>
      <c r="C513">
        <v>50</v>
      </c>
      <c r="D513">
        <v>32</v>
      </c>
      <c r="E513" s="1">
        <f t="shared" si="29"/>
        <v>0.6097560975609756</v>
      </c>
      <c r="F513" s="2">
        <v>110.9</v>
      </c>
      <c r="G513" s="2">
        <v>109.9</v>
      </c>
      <c r="H513" s="2">
        <f t="shared" si="30"/>
        <v>1</v>
      </c>
      <c r="I513" s="1">
        <f t="shared" si="28"/>
        <v>0.53166069765175683</v>
      </c>
      <c r="J513" s="2">
        <v>112</v>
      </c>
      <c r="K513" s="2">
        <v>111.1</v>
      </c>
      <c r="L513" s="2">
        <f t="shared" si="31"/>
        <v>0.90000000000000568</v>
      </c>
      <c r="M513">
        <v>116.9</v>
      </c>
      <c r="N513">
        <v>96.1</v>
      </c>
      <c r="O513">
        <v>0.6</v>
      </c>
    </row>
    <row r="514" spans="1:15">
      <c r="A514" t="s">
        <v>58</v>
      </c>
      <c r="B514" t="s">
        <v>10</v>
      </c>
      <c r="C514">
        <v>24</v>
      </c>
      <c r="D514">
        <v>58</v>
      </c>
      <c r="E514" s="1">
        <f t="shared" si="29"/>
        <v>0.29268292682926828</v>
      </c>
      <c r="F514" s="2">
        <v>102.3</v>
      </c>
      <c r="G514" s="2">
        <v>105.4</v>
      </c>
      <c r="H514" s="2">
        <f t="shared" si="30"/>
        <v>-3.1000000000000085</v>
      </c>
      <c r="I514" s="1">
        <f t="shared" ref="I514:I577" si="32">+(F514^14)/((F514^14+G514^14))</f>
        <v>0.39700943969095354</v>
      </c>
      <c r="J514" s="2">
        <v>105.4</v>
      </c>
      <c r="K514" s="2">
        <v>108.4</v>
      </c>
      <c r="L514" s="2">
        <f t="shared" si="31"/>
        <v>-3</v>
      </c>
      <c r="M514">
        <v>88.3</v>
      </c>
      <c r="N514">
        <v>116.7</v>
      </c>
      <c r="O514">
        <v>-1</v>
      </c>
    </row>
    <row r="515" spans="1:15">
      <c r="A515" t="s">
        <v>58</v>
      </c>
      <c r="B515" t="s">
        <v>11</v>
      </c>
      <c r="C515">
        <v>46</v>
      </c>
      <c r="D515">
        <v>36</v>
      </c>
      <c r="E515" s="1">
        <f t="shared" ref="E515:E578" si="33">+C515/(C515+D515)</f>
        <v>0.56097560975609762</v>
      </c>
      <c r="F515" s="2">
        <v>110</v>
      </c>
      <c r="G515" s="2">
        <v>108.5</v>
      </c>
      <c r="H515" s="2">
        <f t="shared" ref="H515:H578" si="34">+F515-G515</f>
        <v>1.5</v>
      </c>
      <c r="I515" s="1">
        <f t="shared" si="32"/>
        <v>0.54790824985193565</v>
      </c>
      <c r="J515" s="2">
        <v>111.4</v>
      </c>
      <c r="K515" s="2">
        <v>110</v>
      </c>
      <c r="L515" s="2">
        <f t="shared" ref="L515:L578" si="35">+J515-K515</f>
        <v>1.4000000000000057</v>
      </c>
      <c r="M515">
        <v>103.6</v>
      </c>
      <c r="N515">
        <v>99.5</v>
      </c>
      <c r="O515">
        <v>-0.6</v>
      </c>
    </row>
    <row r="516" spans="1:15">
      <c r="A516" t="s">
        <v>58</v>
      </c>
      <c r="B516" t="s">
        <v>12</v>
      </c>
      <c r="C516">
        <v>39</v>
      </c>
      <c r="D516">
        <v>43</v>
      </c>
      <c r="E516" s="1">
        <f t="shared" si="33"/>
        <v>0.47560975609756095</v>
      </c>
      <c r="F516" s="2">
        <v>103.8</v>
      </c>
      <c r="G516" s="2">
        <v>103.9</v>
      </c>
      <c r="H516" s="2">
        <f t="shared" si="34"/>
        <v>-0.10000000000000853</v>
      </c>
      <c r="I516" s="1">
        <f t="shared" si="32"/>
        <v>0.49662980523369954</v>
      </c>
      <c r="J516" s="2">
        <v>106.6</v>
      </c>
      <c r="K516" s="2">
        <v>106.7</v>
      </c>
      <c r="L516" s="2">
        <f t="shared" si="35"/>
        <v>-0.10000000000000853</v>
      </c>
      <c r="M516">
        <v>101.4</v>
      </c>
      <c r="N516">
        <v>109.6</v>
      </c>
      <c r="O516">
        <v>0.8</v>
      </c>
    </row>
    <row r="517" spans="1:15">
      <c r="A517" t="s">
        <v>58</v>
      </c>
      <c r="B517" t="s">
        <v>13</v>
      </c>
      <c r="C517">
        <v>58</v>
      </c>
      <c r="D517">
        <v>24</v>
      </c>
      <c r="E517" s="1">
        <f t="shared" si="33"/>
        <v>0.70731707317073167</v>
      </c>
      <c r="F517" s="2">
        <v>113.5</v>
      </c>
      <c r="G517" s="2">
        <v>107.5</v>
      </c>
      <c r="H517" s="2">
        <f t="shared" si="34"/>
        <v>6</v>
      </c>
      <c r="I517" s="1">
        <f t="shared" si="32"/>
        <v>0.68143359288372995</v>
      </c>
      <c r="J517" s="2">
        <v>112.8</v>
      </c>
      <c r="K517" s="2">
        <v>106.8</v>
      </c>
      <c r="L517" s="2">
        <f t="shared" si="35"/>
        <v>6</v>
      </c>
      <c r="M517">
        <v>113.1</v>
      </c>
      <c r="N517">
        <v>105.3</v>
      </c>
      <c r="O517">
        <v>0</v>
      </c>
    </row>
    <row r="518" spans="1:15">
      <c r="A518" t="s">
        <v>58</v>
      </c>
      <c r="B518" t="s">
        <v>14</v>
      </c>
      <c r="C518">
        <v>65</v>
      </c>
      <c r="D518">
        <v>17</v>
      </c>
      <c r="E518" s="1">
        <f t="shared" si="33"/>
        <v>0.79268292682926833</v>
      </c>
      <c r="F518" s="2">
        <v>112.4</v>
      </c>
      <c r="G518" s="2">
        <v>103.9</v>
      </c>
      <c r="H518" s="2">
        <f t="shared" si="34"/>
        <v>8.5</v>
      </c>
      <c r="I518" s="1">
        <f t="shared" si="32"/>
        <v>0.75042693083028544</v>
      </c>
      <c r="J518" s="2">
        <v>114.1</v>
      </c>
      <c r="K518" s="2">
        <v>105.7</v>
      </c>
      <c r="L518" s="2">
        <f t="shared" si="35"/>
        <v>8.3999999999999915</v>
      </c>
      <c r="M518">
        <v>122.9</v>
      </c>
      <c r="N518">
        <v>95.9</v>
      </c>
      <c r="O518">
        <v>-0.2</v>
      </c>
    </row>
    <row r="519" spans="1:15">
      <c r="A519" t="s">
        <v>58</v>
      </c>
      <c r="B519" t="s">
        <v>15</v>
      </c>
      <c r="C519">
        <v>48</v>
      </c>
      <c r="D519">
        <v>34</v>
      </c>
      <c r="E519" s="1">
        <f t="shared" si="33"/>
        <v>0.58536585365853655</v>
      </c>
      <c r="F519" s="2">
        <v>105.6</v>
      </c>
      <c r="G519" s="2">
        <v>104.2</v>
      </c>
      <c r="H519" s="2">
        <f t="shared" si="34"/>
        <v>1.3999999999999915</v>
      </c>
      <c r="I519" s="1">
        <f t="shared" si="32"/>
        <v>0.54657641949522462</v>
      </c>
      <c r="J519" s="2">
        <v>108.5</v>
      </c>
      <c r="K519" s="2">
        <v>107.3</v>
      </c>
      <c r="L519" s="2">
        <f t="shared" si="35"/>
        <v>1.2000000000000028</v>
      </c>
      <c r="M519">
        <v>112.2</v>
      </c>
      <c r="N519">
        <v>95.5</v>
      </c>
      <c r="O519">
        <v>-0.4</v>
      </c>
    </row>
    <row r="520" spans="1:15">
      <c r="A520" t="s">
        <v>58</v>
      </c>
      <c r="B520" t="s">
        <v>56</v>
      </c>
      <c r="C520">
        <v>42</v>
      </c>
      <c r="D520">
        <v>40</v>
      </c>
      <c r="E520" s="1">
        <f t="shared" si="33"/>
        <v>0.51219512195121952</v>
      </c>
      <c r="F520" s="2">
        <v>109</v>
      </c>
      <c r="G520" s="2">
        <v>109</v>
      </c>
      <c r="H520" s="2">
        <f t="shared" si="34"/>
        <v>0</v>
      </c>
      <c r="I520" s="1">
        <f t="shared" si="32"/>
        <v>0.5</v>
      </c>
      <c r="J520" s="2">
        <v>109.4</v>
      </c>
      <c r="K520" s="2">
        <v>109.2</v>
      </c>
      <c r="L520" s="2">
        <f t="shared" si="35"/>
        <v>0.20000000000000284</v>
      </c>
      <c r="M520">
        <v>110.5</v>
      </c>
      <c r="N520">
        <v>119.1</v>
      </c>
      <c r="O520">
        <v>1.5</v>
      </c>
    </row>
    <row r="521" spans="1:15">
      <c r="A521" t="s">
        <v>58</v>
      </c>
      <c r="B521" t="s">
        <v>17</v>
      </c>
      <c r="C521">
        <v>35</v>
      </c>
      <c r="D521">
        <v>47</v>
      </c>
      <c r="E521" s="1">
        <f t="shared" si="33"/>
        <v>0.42682926829268292</v>
      </c>
      <c r="F521" s="2">
        <v>108.1</v>
      </c>
      <c r="G521" s="2">
        <v>109.6</v>
      </c>
      <c r="H521" s="2">
        <f t="shared" si="34"/>
        <v>-1.5</v>
      </c>
      <c r="I521" s="1">
        <f t="shared" si="32"/>
        <v>0.45191677770464023</v>
      </c>
      <c r="J521" s="2">
        <v>106</v>
      </c>
      <c r="K521" s="2">
        <v>107.3</v>
      </c>
      <c r="L521" s="2">
        <f t="shared" si="35"/>
        <v>-1.2999999999999972</v>
      </c>
      <c r="M521">
        <v>99.7</v>
      </c>
      <c r="N521">
        <v>105.8</v>
      </c>
      <c r="O521">
        <v>-0.4</v>
      </c>
    </row>
    <row r="522" spans="1:15">
      <c r="A522" t="s">
        <v>58</v>
      </c>
      <c r="B522" t="s">
        <v>35</v>
      </c>
      <c r="C522">
        <v>22</v>
      </c>
      <c r="D522">
        <v>60</v>
      </c>
      <c r="E522" s="1">
        <f t="shared" si="33"/>
        <v>0.26829268292682928</v>
      </c>
      <c r="F522" s="2">
        <v>99.3</v>
      </c>
      <c r="G522" s="2">
        <v>105.5</v>
      </c>
      <c r="H522" s="2">
        <f t="shared" si="34"/>
        <v>-6.2000000000000028</v>
      </c>
      <c r="I522" s="1">
        <f t="shared" si="32"/>
        <v>0.2998703440144932</v>
      </c>
      <c r="J522" s="2">
        <v>103.6</v>
      </c>
      <c r="K522" s="2">
        <v>110.4</v>
      </c>
      <c r="L522" s="2">
        <f t="shared" si="35"/>
        <v>-6.8000000000000114</v>
      </c>
      <c r="M522">
        <v>92.4</v>
      </c>
      <c r="N522">
        <v>97.4</v>
      </c>
      <c r="O522">
        <v>-1</v>
      </c>
    </row>
    <row r="523" spans="1:15">
      <c r="A523" t="s">
        <v>58</v>
      </c>
      <c r="B523" t="s">
        <v>18</v>
      </c>
      <c r="C523">
        <v>44</v>
      </c>
      <c r="D523">
        <v>38</v>
      </c>
      <c r="E523" s="1">
        <f t="shared" si="33"/>
        <v>0.53658536585365857</v>
      </c>
      <c r="F523" s="2">
        <v>103.4</v>
      </c>
      <c r="G523" s="2">
        <v>102.9</v>
      </c>
      <c r="H523" s="2">
        <f t="shared" si="34"/>
        <v>0.5</v>
      </c>
      <c r="I523" s="1">
        <f t="shared" si="32"/>
        <v>0.5169591093166388</v>
      </c>
      <c r="J523" s="2">
        <v>106.2</v>
      </c>
      <c r="K523" s="2">
        <v>105.8</v>
      </c>
      <c r="L523" s="2">
        <f t="shared" si="35"/>
        <v>0.40000000000000568</v>
      </c>
      <c r="M523">
        <v>108.7</v>
      </c>
      <c r="N523">
        <v>100.4</v>
      </c>
      <c r="O523">
        <v>0.7</v>
      </c>
    </row>
    <row r="524" spans="1:15">
      <c r="A524" t="s">
        <v>58</v>
      </c>
      <c r="B524" t="s">
        <v>19</v>
      </c>
      <c r="C524">
        <v>44</v>
      </c>
      <c r="D524">
        <v>38</v>
      </c>
      <c r="E524" s="1">
        <f t="shared" si="33"/>
        <v>0.53658536585365857</v>
      </c>
      <c r="F524" s="2">
        <v>106.5</v>
      </c>
      <c r="G524" s="2">
        <v>106.8</v>
      </c>
      <c r="H524" s="2">
        <f t="shared" si="34"/>
        <v>-0.29999999999999716</v>
      </c>
      <c r="I524" s="1">
        <f t="shared" si="32"/>
        <v>0.49015597738821681</v>
      </c>
      <c r="J524" s="2">
        <v>109</v>
      </c>
      <c r="K524" s="2">
        <v>109.1</v>
      </c>
      <c r="L524" s="2">
        <f t="shared" si="35"/>
        <v>-9.9999999999994316E-2</v>
      </c>
      <c r="M524">
        <v>102.1</v>
      </c>
      <c r="N524">
        <v>100.3</v>
      </c>
      <c r="O524">
        <v>-1.2</v>
      </c>
    </row>
    <row r="525" spans="1:15">
      <c r="A525" t="s">
        <v>58</v>
      </c>
      <c r="B525" t="s">
        <v>20</v>
      </c>
      <c r="C525">
        <v>47</v>
      </c>
      <c r="D525">
        <v>35</v>
      </c>
      <c r="E525" s="1">
        <f t="shared" si="33"/>
        <v>0.57317073170731703</v>
      </c>
      <c r="F525" s="2">
        <v>109.5</v>
      </c>
      <c r="G525" s="2">
        <v>107.3</v>
      </c>
      <c r="H525" s="2">
        <f t="shared" si="34"/>
        <v>2.2000000000000028</v>
      </c>
      <c r="I525" s="1">
        <f t="shared" si="32"/>
        <v>0.57056154224834466</v>
      </c>
      <c r="J525" s="2">
        <v>112.5</v>
      </c>
      <c r="K525" s="2">
        <v>110.2</v>
      </c>
      <c r="L525" s="2">
        <f t="shared" si="35"/>
        <v>2.2999999999999972</v>
      </c>
      <c r="M525">
        <v>107.4</v>
      </c>
      <c r="N525">
        <v>114.8</v>
      </c>
      <c r="O525">
        <v>-0.6</v>
      </c>
    </row>
    <row r="526" spans="1:15">
      <c r="A526" t="s">
        <v>58</v>
      </c>
      <c r="B526" t="s">
        <v>53</v>
      </c>
      <c r="C526">
        <v>48</v>
      </c>
      <c r="D526">
        <v>34</v>
      </c>
      <c r="E526" s="1">
        <f t="shared" si="33"/>
        <v>0.58536585365853655</v>
      </c>
      <c r="F526" s="2">
        <v>111.7</v>
      </c>
      <c r="G526" s="2">
        <v>110.4</v>
      </c>
      <c r="H526" s="2">
        <f t="shared" si="34"/>
        <v>1.2999999999999972</v>
      </c>
      <c r="I526" s="1">
        <f t="shared" si="32"/>
        <v>0.54088153523494542</v>
      </c>
      <c r="J526" s="2">
        <v>108.5</v>
      </c>
      <c r="K526" s="2">
        <v>107.4</v>
      </c>
      <c r="L526" s="2">
        <f t="shared" si="35"/>
        <v>1.0999999999999943</v>
      </c>
      <c r="M526">
        <v>106</v>
      </c>
      <c r="N526">
        <v>99.3</v>
      </c>
      <c r="O526">
        <v>0.2</v>
      </c>
    </row>
    <row r="527" spans="1:15">
      <c r="A527" t="s">
        <v>58</v>
      </c>
      <c r="B527" t="s">
        <v>22</v>
      </c>
      <c r="C527">
        <v>29</v>
      </c>
      <c r="D527">
        <v>53</v>
      </c>
      <c r="E527" s="1">
        <f t="shared" si="33"/>
        <v>0.35365853658536583</v>
      </c>
      <c r="F527" s="2">
        <v>104.5</v>
      </c>
      <c r="G527" s="2">
        <v>108</v>
      </c>
      <c r="H527" s="2">
        <f t="shared" si="34"/>
        <v>-3.5</v>
      </c>
      <c r="I527" s="1">
        <f t="shared" si="32"/>
        <v>0.38669687750275528</v>
      </c>
      <c r="J527" s="2">
        <v>106.3</v>
      </c>
      <c r="K527" s="2">
        <v>109.7</v>
      </c>
      <c r="L527" s="2">
        <f t="shared" si="35"/>
        <v>-3.4000000000000057</v>
      </c>
      <c r="M527">
        <v>95.8</v>
      </c>
      <c r="N527">
        <v>108</v>
      </c>
      <c r="O527">
        <v>-1</v>
      </c>
    </row>
    <row r="528" spans="1:15">
      <c r="A528" t="s">
        <v>58</v>
      </c>
      <c r="B528" t="s">
        <v>46</v>
      </c>
      <c r="C528">
        <v>48</v>
      </c>
      <c r="D528">
        <v>34</v>
      </c>
      <c r="E528" s="1">
        <f t="shared" si="33"/>
        <v>0.58536585365853655</v>
      </c>
      <c r="F528" s="2">
        <v>107.9</v>
      </c>
      <c r="G528" s="2">
        <v>104.4</v>
      </c>
      <c r="H528" s="2">
        <f t="shared" si="34"/>
        <v>3.5</v>
      </c>
      <c r="I528" s="1">
        <f t="shared" si="32"/>
        <v>0.61340618235435873</v>
      </c>
      <c r="J528" s="2">
        <v>110.1</v>
      </c>
      <c r="K528" s="2">
        <v>106.4</v>
      </c>
      <c r="L528" s="2">
        <f t="shared" si="35"/>
        <v>3.6999999999999886</v>
      </c>
      <c r="M528">
        <v>104.5</v>
      </c>
      <c r="N528">
        <v>107.2</v>
      </c>
      <c r="O528">
        <v>1.5</v>
      </c>
    </row>
    <row r="529" spans="1:15">
      <c r="A529" t="s">
        <v>58</v>
      </c>
      <c r="B529" t="s">
        <v>23</v>
      </c>
      <c r="C529">
        <v>25</v>
      </c>
      <c r="D529">
        <v>57</v>
      </c>
      <c r="E529" s="1">
        <f t="shared" si="33"/>
        <v>0.3048780487804878</v>
      </c>
      <c r="F529" s="2">
        <v>103.4</v>
      </c>
      <c r="G529" s="2">
        <v>108.2</v>
      </c>
      <c r="H529" s="2">
        <f t="shared" si="34"/>
        <v>-4.7999999999999972</v>
      </c>
      <c r="I529" s="1">
        <f t="shared" si="32"/>
        <v>0.34631662039158329</v>
      </c>
      <c r="J529" s="2">
        <v>104.7</v>
      </c>
      <c r="K529" s="2">
        <v>109.4</v>
      </c>
      <c r="L529" s="2">
        <f t="shared" si="35"/>
        <v>-4.7000000000000028</v>
      </c>
      <c r="M529">
        <v>98.4</v>
      </c>
      <c r="N529">
        <v>107.1</v>
      </c>
      <c r="O529">
        <v>0</v>
      </c>
    </row>
    <row r="530" spans="1:15">
      <c r="A530" t="s">
        <v>58</v>
      </c>
      <c r="B530" t="s">
        <v>24</v>
      </c>
      <c r="C530">
        <v>52</v>
      </c>
      <c r="D530">
        <v>30</v>
      </c>
      <c r="E530" s="1">
        <f t="shared" si="33"/>
        <v>0.63414634146341464</v>
      </c>
      <c r="F530" s="2">
        <v>109.8</v>
      </c>
      <c r="G530" s="2">
        <v>105.3</v>
      </c>
      <c r="H530" s="2">
        <f t="shared" si="34"/>
        <v>4.5</v>
      </c>
      <c r="I530" s="1">
        <f t="shared" si="32"/>
        <v>0.64241456879862791</v>
      </c>
      <c r="J530" s="2">
        <v>108.5</v>
      </c>
      <c r="K530" s="2">
        <v>103.9</v>
      </c>
      <c r="L530" s="2">
        <f t="shared" si="35"/>
        <v>4.5999999999999943</v>
      </c>
      <c r="M530">
        <v>114.5</v>
      </c>
      <c r="N530">
        <v>97.1</v>
      </c>
      <c r="O530">
        <v>-1.1000000000000001</v>
      </c>
    </row>
    <row r="531" spans="1:15">
      <c r="A531" t="s">
        <v>58</v>
      </c>
      <c r="B531" t="s">
        <v>25</v>
      </c>
      <c r="C531">
        <v>21</v>
      </c>
      <c r="D531">
        <v>61</v>
      </c>
      <c r="E531" s="1">
        <f t="shared" si="33"/>
        <v>0.25609756097560976</v>
      </c>
      <c r="F531" s="2">
        <v>103.9</v>
      </c>
      <c r="G531" s="2">
        <v>113.3</v>
      </c>
      <c r="H531" s="2">
        <f t="shared" si="34"/>
        <v>-9.3999999999999915</v>
      </c>
      <c r="I531" s="1">
        <f t="shared" si="32"/>
        <v>0.22925126807249627</v>
      </c>
      <c r="J531" s="2">
        <v>102.8</v>
      </c>
      <c r="K531" s="2">
        <v>111.7</v>
      </c>
      <c r="L531" s="2">
        <f t="shared" si="35"/>
        <v>-8.9000000000000057</v>
      </c>
      <c r="M531">
        <v>95.3</v>
      </c>
      <c r="N531">
        <v>104.9</v>
      </c>
      <c r="O531">
        <v>-0.4</v>
      </c>
    </row>
    <row r="532" spans="1:15">
      <c r="A532" t="s">
        <v>58</v>
      </c>
      <c r="B532" t="s">
        <v>26</v>
      </c>
      <c r="C532">
        <v>49</v>
      </c>
      <c r="D532">
        <v>33</v>
      </c>
      <c r="E532" s="1">
        <f t="shared" si="33"/>
        <v>0.59756097560975607</v>
      </c>
      <c r="F532" s="2">
        <v>105.6</v>
      </c>
      <c r="G532" s="2">
        <v>103</v>
      </c>
      <c r="H532" s="2">
        <f t="shared" si="34"/>
        <v>2.5999999999999943</v>
      </c>
      <c r="I532" s="1">
        <f t="shared" si="32"/>
        <v>0.5863778164099368</v>
      </c>
      <c r="J532" s="2">
        <v>108.4</v>
      </c>
      <c r="K532" s="2">
        <v>105.7</v>
      </c>
      <c r="L532" s="2">
        <f t="shared" si="35"/>
        <v>2.7000000000000028</v>
      </c>
      <c r="M532">
        <v>103</v>
      </c>
      <c r="N532">
        <v>96.7</v>
      </c>
      <c r="O532">
        <v>-0.4</v>
      </c>
    </row>
    <row r="533" spans="1:15">
      <c r="A533" t="s">
        <v>58</v>
      </c>
      <c r="B533" t="s">
        <v>27</v>
      </c>
      <c r="C533">
        <v>27</v>
      </c>
      <c r="D533">
        <v>55</v>
      </c>
      <c r="E533" s="1">
        <f t="shared" si="33"/>
        <v>0.32926829268292684</v>
      </c>
      <c r="F533" s="2">
        <v>98.8</v>
      </c>
      <c r="G533" s="2">
        <v>105.8</v>
      </c>
      <c r="H533" s="2">
        <f t="shared" si="34"/>
        <v>-7</v>
      </c>
      <c r="I533" s="1">
        <f t="shared" si="32"/>
        <v>0.27721051622974674</v>
      </c>
      <c r="J533" s="2">
        <v>103.1</v>
      </c>
      <c r="K533" s="2">
        <v>110.4</v>
      </c>
      <c r="L533" s="2">
        <f t="shared" si="35"/>
        <v>-7.3000000000000114</v>
      </c>
      <c r="M533">
        <v>105.8</v>
      </c>
      <c r="N533">
        <v>103.2</v>
      </c>
      <c r="O533">
        <v>-0.9</v>
      </c>
    </row>
    <row r="534" spans="1:15">
      <c r="A534" t="s">
        <v>58</v>
      </c>
      <c r="B534" t="s">
        <v>28</v>
      </c>
      <c r="C534">
        <v>47</v>
      </c>
      <c r="D534">
        <v>35</v>
      </c>
      <c r="E534" s="1">
        <f t="shared" si="33"/>
        <v>0.57317073170731703</v>
      </c>
      <c r="F534" s="2">
        <v>102.7</v>
      </c>
      <c r="G534" s="2">
        <v>99.8</v>
      </c>
      <c r="H534" s="2">
        <f t="shared" si="34"/>
        <v>2.9000000000000057</v>
      </c>
      <c r="I534" s="1">
        <f t="shared" si="32"/>
        <v>0.59893151729191718</v>
      </c>
      <c r="J534" s="2">
        <v>107.1</v>
      </c>
      <c r="K534" s="2">
        <v>104.1</v>
      </c>
      <c r="L534" s="2">
        <f t="shared" si="35"/>
        <v>3</v>
      </c>
      <c r="M534">
        <v>106.8</v>
      </c>
      <c r="N534">
        <v>104.6</v>
      </c>
      <c r="O534">
        <v>1.3</v>
      </c>
    </row>
    <row r="535" spans="1:15">
      <c r="A535" t="s">
        <v>58</v>
      </c>
      <c r="B535" t="s">
        <v>30</v>
      </c>
      <c r="C535">
        <v>59</v>
      </c>
      <c r="D535">
        <v>23</v>
      </c>
      <c r="E535" s="1">
        <f t="shared" si="33"/>
        <v>0.71951219512195119</v>
      </c>
      <c r="F535" s="2">
        <v>111.7</v>
      </c>
      <c r="G535" s="2">
        <v>103.9</v>
      </c>
      <c r="H535" s="2">
        <f t="shared" si="34"/>
        <v>7.7999999999999972</v>
      </c>
      <c r="I535" s="1">
        <f t="shared" si="32"/>
        <v>0.73369073451534572</v>
      </c>
      <c r="J535" s="2">
        <v>113</v>
      </c>
      <c r="K535" s="2">
        <v>105.3</v>
      </c>
      <c r="L535" s="2">
        <f t="shared" si="35"/>
        <v>7.7000000000000028</v>
      </c>
      <c r="M535">
        <v>103.1</v>
      </c>
      <c r="N535">
        <v>102.6</v>
      </c>
      <c r="O535">
        <v>1.9</v>
      </c>
    </row>
    <row r="536" spans="1:15">
      <c r="A536" t="s">
        <v>58</v>
      </c>
      <c r="B536" t="s">
        <v>31</v>
      </c>
      <c r="C536">
        <v>48</v>
      </c>
      <c r="D536">
        <v>34</v>
      </c>
      <c r="E536" s="1">
        <f t="shared" si="33"/>
        <v>0.58536585365853655</v>
      </c>
      <c r="F536" s="2">
        <v>104.1</v>
      </c>
      <c r="G536" s="2">
        <v>99.8</v>
      </c>
      <c r="H536" s="2">
        <f t="shared" si="34"/>
        <v>4.2999999999999972</v>
      </c>
      <c r="I536" s="1">
        <f t="shared" si="32"/>
        <v>0.64349662886143</v>
      </c>
      <c r="J536" s="2">
        <v>107.4</v>
      </c>
      <c r="K536" s="2">
        <v>103</v>
      </c>
      <c r="L536" s="2">
        <f t="shared" si="35"/>
        <v>4.4000000000000057</v>
      </c>
      <c r="M536">
        <v>107.6</v>
      </c>
      <c r="N536">
        <v>101.3</v>
      </c>
      <c r="O536">
        <v>1.8</v>
      </c>
    </row>
    <row r="537" spans="1:15">
      <c r="A537" t="s">
        <v>58</v>
      </c>
      <c r="B537" t="s">
        <v>33</v>
      </c>
      <c r="C537">
        <v>43</v>
      </c>
      <c r="D537">
        <v>39</v>
      </c>
      <c r="E537" s="1">
        <f t="shared" si="33"/>
        <v>0.52439024390243905</v>
      </c>
      <c r="F537" s="2">
        <v>106.6</v>
      </c>
      <c r="G537" s="2">
        <v>106</v>
      </c>
      <c r="H537" s="2">
        <f t="shared" si="34"/>
        <v>0.59999999999999432</v>
      </c>
      <c r="I537" s="1">
        <f t="shared" si="32"/>
        <v>0.51974518791445967</v>
      </c>
      <c r="J537" s="2">
        <v>108.1</v>
      </c>
      <c r="K537" s="2">
        <v>107.7</v>
      </c>
      <c r="L537" s="2">
        <f t="shared" si="35"/>
        <v>0.39999999999999147</v>
      </c>
      <c r="M537">
        <v>96</v>
      </c>
      <c r="N537">
        <v>104.3</v>
      </c>
      <c r="O537">
        <v>-0.8</v>
      </c>
    </row>
    <row r="538" spans="1:15">
      <c r="A538" t="s">
        <v>59</v>
      </c>
      <c r="B538" t="s">
        <v>5</v>
      </c>
      <c r="C538">
        <v>29</v>
      </c>
      <c r="D538">
        <v>53</v>
      </c>
      <c r="E538" s="1">
        <f t="shared" si="33"/>
        <v>0.35365853658536583</v>
      </c>
      <c r="F538" s="2">
        <v>113.3</v>
      </c>
      <c r="G538" s="2">
        <v>119.4</v>
      </c>
      <c r="H538" s="2">
        <f t="shared" si="34"/>
        <v>-6.1000000000000085</v>
      </c>
      <c r="I538" s="1">
        <f t="shared" si="32"/>
        <v>0.32428240772060213</v>
      </c>
      <c r="J538" s="2">
        <v>107.5</v>
      </c>
      <c r="K538" s="2">
        <v>113.1</v>
      </c>
      <c r="L538" s="2">
        <f t="shared" si="35"/>
        <v>-5.5999999999999943</v>
      </c>
      <c r="M538">
        <v>104</v>
      </c>
      <c r="N538">
        <v>97.8</v>
      </c>
      <c r="O538">
        <v>-0.1</v>
      </c>
    </row>
    <row r="539" spans="1:15">
      <c r="A539" t="s">
        <v>59</v>
      </c>
      <c r="B539" t="s">
        <v>6</v>
      </c>
      <c r="C539">
        <v>49</v>
      </c>
      <c r="D539">
        <v>33</v>
      </c>
      <c r="E539" s="1">
        <f t="shared" si="33"/>
        <v>0.59756097560975607</v>
      </c>
      <c r="F539" s="2">
        <v>112.4</v>
      </c>
      <c r="G539" s="2">
        <v>108</v>
      </c>
      <c r="H539" s="2">
        <f t="shared" si="34"/>
        <v>4.4000000000000057</v>
      </c>
      <c r="I539" s="1">
        <f t="shared" si="32"/>
        <v>0.63623453885464354</v>
      </c>
      <c r="J539" s="2">
        <v>111.3</v>
      </c>
      <c r="K539" s="2">
        <v>107</v>
      </c>
      <c r="L539" s="2">
        <f t="shared" si="35"/>
        <v>4.2999999999999972</v>
      </c>
      <c r="M539">
        <v>123.8</v>
      </c>
      <c r="N539">
        <v>114.7</v>
      </c>
      <c r="O539">
        <v>1.4</v>
      </c>
    </row>
    <row r="540" spans="1:15">
      <c r="A540" t="s">
        <v>59</v>
      </c>
      <c r="B540" t="s">
        <v>51</v>
      </c>
      <c r="C540">
        <v>42</v>
      </c>
      <c r="D540">
        <v>40</v>
      </c>
      <c r="E540" s="1">
        <f t="shared" si="33"/>
        <v>0.51219512195121952</v>
      </c>
      <c r="F540" s="2">
        <v>112.2</v>
      </c>
      <c r="G540" s="2">
        <v>112.3</v>
      </c>
      <c r="H540" s="2">
        <f t="shared" si="34"/>
        <v>-9.9999999999994316E-2</v>
      </c>
      <c r="I540" s="1">
        <f t="shared" si="32"/>
        <v>0.49688200012291167</v>
      </c>
      <c r="J540" s="2">
        <v>108.9</v>
      </c>
      <c r="K540" s="2">
        <v>109</v>
      </c>
      <c r="L540" s="2">
        <f t="shared" si="35"/>
        <v>-9.9999999999994316E-2</v>
      </c>
      <c r="M540">
        <v>109.7</v>
      </c>
      <c r="N540">
        <v>111.8</v>
      </c>
      <c r="O540">
        <v>-0.3</v>
      </c>
    </row>
    <row r="541" spans="1:15">
      <c r="A541" t="s">
        <v>59</v>
      </c>
      <c r="B541" t="s">
        <v>7</v>
      </c>
      <c r="C541">
        <v>39</v>
      </c>
      <c r="D541">
        <v>43</v>
      </c>
      <c r="E541" s="1">
        <f t="shared" si="33"/>
        <v>0.47560975609756095</v>
      </c>
      <c r="F541" s="2">
        <v>110.7</v>
      </c>
      <c r="G541" s="2">
        <v>111.8</v>
      </c>
      <c r="H541" s="2">
        <f t="shared" si="34"/>
        <v>-1.0999999999999943</v>
      </c>
      <c r="I541" s="1">
        <f t="shared" si="32"/>
        <v>0.46544813340769592</v>
      </c>
      <c r="J541" s="2">
        <v>110.7</v>
      </c>
      <c r="K541" s="2">
        <v>112</v>
      </c>
      <c r="L541" s="2">
        <f t="shared" si="35"/>
        <v>-1.2999999999999972</v>
      </c>
      <c r="M541">
        <v>109.3</v>
      </c>
      <c r="N541">
        <v>111.2</v>
      </c>
      <c r="O541">
        <v>-1.1000000000000001</v>
      </c>
    </row>
    <row r="542" spans="1:15">
      <c r="A542" t="s">
        <v>59</v>
      </c>
      <c r="B542" t="s">
        <v>8</v>
      </c>
      <c r="C542">
        <v>22</v>
      </c>
      <c r="D542">
        <v>60</v>
      </c>
      <c r="E542" s="1">
        <f t="shared" si="33"/>
        <v>0.26829268292682928</v>
      </c>
      <c r="F542" s="2">
        <v>104.9</v>
      </c>
      <c r="G542" s="2">
        <v>113.4</v>
      </c>
      <c r="H542" s="2">
        <f t="shared" si="34"/>
        <v>-8.5</v>
      </c>
      <c r="I542" s="1">
        <f t="shared" si="32"/>
        <v>0.25146874309736672</v>
      </c>
      <c r="J542" s="2">
        <v>104.5</v>
      </c>
      <c r="K542" s="2">
        <v>112.8</v>
      </c>
      <c r="L542" s="2">
        <f t="shared" si="35"/>
        <v>-8.2999999999999972</v>
      </c>
      <c r="M542">
        <v>98.8</v>
      </c>
      <c r="N542">
        <v>107.1</v>
      </c>
      <c r="O542">
        <v>-1</v>
      </c>
    </row>
    <row r="543" spans="1:15">
      <c r="A543" t="s">
        <v>59</v>
      </c>
      <c r="B543" t="s">
        <v>9</v>
      </c>
      <c r="C543">
        <v>19</v>
      </c>
      <c r="D543">
        <v>63</v>
      </c>
      <c r="E543" s="1">
        <f t="shared" si="33"/>
        <v>0.23170731707317074</v>
      </c>
      <c r="F543" s="2">
        <v>104.5</v>
      </c>
      <c r="G543" s="2">
        <v>114.1</v>
      </c>
      <c r="H543" s="2">
        <f t="shared" si="34"/>
        <v>-9.5999999999999943</v>
      </c>
      <c r="I543" s="1">
        <f t="shared" si="32"/>
        <v>0.22610537023312996</v>
      </c>
      <c r="J543" s="2">
        <v>106.8</v>
      </c>
      <c r="K543" s="2">
        <v>116.8</v>
      </c>
      <c r="L543" s="2">
        <f t="shared" si="35"/>
        <v>-10</v>
      </c>
      <c r="M543">
        <v>99</v>
      </c>
      <c r="N543">
        <v>110.6</v>
      </c>
      <c r="O543">
        <v>-1.7</v>
      </c>
    </row>
    <row r="544" spans="1:15">
      <c r="A544" t="s">
        <v>59</v>
      </c>
      <c r="B544" t="s">
        <v>10</v>
      </c>
      <c r="C544">
        <v>33</v>
      </c>
      <c r="D544">
        <v>49</v>
      </c>
      <c r="E544" s="1">
        <f t="shared" si="33"/>
        <v>0.40243902439024393</v>
      </c>
      <c r="F544" s="2">
        <v>108.9</v>
      </c>
      <c r="G544" s="2">
        <v>110.1</v>
      </c>
      <c r="H544" s="2">
        <f t="shared" si="34"/>
        <v>-1.1999999999999886</v>
      </c>
      <c r="I544" s="1">
        <f t="shared" si="32"/>
        <v>0.46171851651459928</v>
      </c>
      <c r="J544" s="2">
        <v>108.7</v>
      </c>
      <c r="K544" s="2">
        <v>110.1</v>
      </c>
      <c r="L544" s="2">
        <f t="shared" si="35"/>
        <v>-1.3999999999999915</v>
      </c>
      <c r="M544">
        <v>100.3</v>
      </c>
      <c r="N544">
        <v>108.9</v>
      </c>
      <c r="O544">
        <v>0.4</v>
      </c>
    </row>
    <row r="545" spans="1:15">
      <c r="A545" t="s">
        <v>59</v>
      </c>
      <c r="B545" t="s">
        <v>11</v>
      </c>
      <c r="C545">
        <v>54</v>
      </c>
      <c r="D545">
        <v>28</v>
      </c>
      <c r="E545" s="1">
        <f t="shared" si="33"/>
        <v>0.65853658536585369</v>
      </c>
      <c r="F545" s="2">
        <v>110.7</v>
      </c>
      <c r="G545" s="2">
        <v>106.7</v>
      </c>
      <c r="H545" s="2">
        <f t="shared" si="34"/>
        <v>4</v>
      </c>
      <c r="I545" s="1">
        <f t="shared" si="32"/>
        <v>0.62603347117131569</v>
      </c>
      <c r="J545" s="2">
        <v>112.1</v>
      </c>
      <c r="K545" s="2">
        <v>108.1</v>
      </c>
      <c r="L545" s="2">
        <f t="shared" si="35"/>
        <v>4</v>
      </c>
      <c r="M545">
        <v>106.7</v>
      </c>
      <c r="N545">
        <v>94.9</v>
      </c>
      <c r="O545">
        <v>1.6</v>
      </c>
    </row>
    <row r="546" spans="1:15">
      <c r="A546" t="s">
        <v>59</v>
      </c>
      <c r="B546" t="s">
        <v>12</v>
      </c>
      <c r="C546">
        <v>41</v>
      </c>
      <c r="D546">
        <v>41</v>
      </c>
      <c r="E546" s="1">
        <f t="shared" si="33"/>
        <v>0.5</v>
      </c>
      <c r="F546" s="2">
        <v>107</v>
      </c>
      <c r="G546" s="2">
        <v>107.3</v>
      </c>
      <c r="H546" s="2">
        <f t="shared" si="34"/>
        <v>-0.29999999999999716</v>
      </c>
      <c r="I546" s="1">
        <f t="shared" si="32"/>
        <v>0.4902019013698185</v>
      </c>
      <c r="J546" s="2">
        <v>108.4</v>
      </c>
      <c r="K546" s="2">
        <v>108.7</v>
      </c>
      <c r="L546" s="2">
        <f t="shared" si="35"/>
        <v>-0.29999999999999716</v>
      </c>
      <c r="M546">
        <v>111.9</v>
      </c>
      <c r="N546">
        <v>114</v>
      </c>
      <c r="O546">
        <v>1.1000000000000001</v>
      </c>
    </row>
    <row r="547" spans="1:15">
      <c r="A547" t="s">
        <v>59</v>
      </c>
      <c r="B547" t="s">
        <v>13</v>
      </c>
      <c r="C547">
        <v>57</v>
      </c>
      <c r="D547">
        <v>25</v>
      </c>
      <c r="E547" s="1">
        <f t="shared" si="33"/>
        <v>0.69512195121951215</v>
      </c>
      <c r="F547" s="2">
        <v>117.7</v>
      </c>
      <c r="G547" s="2">
        <v>111.2</v>
      </c>
      <c r="H547" s="2">
        <f t="shared" si="34"/>
        <v>6.5</v>
      </c>
      <c r="I547" s="1">
        <f t="shared" si="32"/>
        <v>0.68897267779673199</v>
      </c>
      <c r="J547" s="2">
        <v>115</v>
      </c>
      <c r="K547" s="2">
        <v>108.6</v>
      </c>
      <c r="L547" s="2">
        <f t="shared" si="35"/>
        <v>6.4000000000000057</v>
      </c>
      <c r="M547">
        <v>110.5</v>
      </c>
      <c r="N547">
        <v>104.6</v>
      </c>
      <c r="O547">
        <v>0.2</v>
      </c>
    </row>
    <row r="548" spans="1:15">
      <c r="A548" t="s">
        <v>59</v>
      </c>
      <c r="B548" t="s">
        <v>14</v>
      </c>
      <c r="C548">
        <v>53</v>
      </c>
      <c r="D548">
        <v>29</v>
      </c>
      <c r="E548" s="1">
        <f t="shared" si="33"/>
        <v>0.64634146341463417</v>
      </c>
      <c r="F548" s="2">
        <v>113.9</v>
      </c>
      <c r="G548" s="2">
        <v>109.1</v>
      </c>
      <c r="H548" s="2">
        <f t="shared" si="34"/>
        <v>4.8000000000000114</v>
      </c>
      <c r="I548" s="1">
        <f t="shared" si="32"/>
        <v>0.64629291131974342</v>
      </c>
      <c r="J548" s="2">
        <v>114.9</v>
      </c>
      <c r="K548" s="2">
        <v>110.1</v>
      </c>
      <c r="L548" s="2">
        <f t="shared" si="35"/>
        <v>4.8000000000000114</v>
      </c>
      <c r="M548">
        <v>111.8</v>
      </c>
      <c r="N548">
        <v>113.4</v>
      </c>
      <c r="O548">
        <v>0.5</v>
      </c>
    </row>
    <row r="549" spans="1:15">
      <c r="A549" t="s">
        <v>59</v>
      </c>
      <c r="B549" t="s">
        <v>15</v>
      </c>
      <c r="C549">
        <v>48</v>
      </c>
      <c r="D549">
        <v>34</v>
      </c>
      <c r="E549" s="1">
        <f t="shared" si="33"/>
        <v>0.58536585365853655</v>
      </c>
      <c r="F549" s="2">
        <v>108</v>
      </c>
      <c r="G549" s="2">
        <v>104.7</v>
      </c>
      <c r="H549" s="2">
        <f t="shared" si="34"/>
        <v>3.2999999999999972</v>
      </c>
      <c r="I549" s="1">
        <f t="shared" si="32"/>
        <v>0.60693567293355</v>
      </c>
      <c r="J549" s="2">
        <v>109.4</v>
      </c>
      <c r="K549" s="2">
        <v>106</v>
      </c>
      <c r="L549" s="2">
        <f t="shared" si="35"/>
        <v>3.4000000000000057</v>
      </c>
      <c r="M549">
        <v>113.9</v>
      </c>
      <c r="N549">
        <v>104.5</v>
      </c>
      <c r="O549">
        <v>0.8</v>
      </c>
    </row>
    <row r="550" spans="1:15">
      <c r="A550" t="s">
        <v>59</v>
      </c>
      <c r="B550" t="s">
        <v>56</v>
      </c>
      <c r="C550">
        <v>48</v>
      </c>
      <c r="D550">
        <v>34</v>
      </c>
      <c r="E550" s="1">
        <f t="shared" si="33"/>
        <v>0.58536585365853655</v>
      </c>
      <c r="F550" s="2">
        <v>115.1</v>
      </c>
      <c r="G550" s="2">
        <v>114.3</v>
      </c>
      <c r="H550" s="2">
        <f t="shared" si="34"/>
        <v>0.79999999999999716</v>
      </c>
      <c r="I550" s="1">
        <f t="shared" si="32"/>
        <v>0.52439222902089777</v>
      </c>
      <c r="J550" s="2">
        <v>111.4</v>
      </c>
      <c r="K550" s="2">
        <v>110.4</v>
      </c>
      <c r="L550" s="2">
        <f t="shared" si="35"/>
        <v>1</v>
      </c>
      <c r="M550">
        <v>117.2</v>
      </c>
      <c r="N550">
        <v>98.5</v>
      </c>
      <c r="O550">
        <v>1.2</v>
      </c>
    </row>
    <row r="551" spans="1:15">
      <c r="A551" t="s">
        <v>59</v>
      </c>
      <c r="B551" t="s">
        <v>17</v>
      </c>
      <c r="C551">
        <v>37</v>
      </c>
      <c r="D551">
        <v>45</v>
      </c>
      <c r="E551" s="1">
        <f t="shared" si="33"/>
        <v>0.45121951219512196</v>
      </c>
      <c r="F551" s="2">
        <v>111.8</v>
      </c>
      <c r="G551" s="2">
        <v>113.5</v>
      </c>
      <c r="H551" s="2">
        <f t="shared" si="34"/>
        <v>-1.7000000000000028</v>
      </c>
      <c r="I551" s="1">
        <f t="shared" si="32"/>
        <v>0.44737614127951658</v>
      </c>
      <c r="J551" s="2">
        <v>107.4</v>
      </c>
      <c r="K551" s="2">
        <v>108.9</v>
      </c>
      <c r="L551" s="2">
        <f t="shared" si="35"/>
        <v>-1.5</v>
      </c>
      <c r="M551">
        <v>114.7</v>
      </c>
      <c r="N551">
        <v>107.5</v>
      </c>
      <c r="O551">
        <v>-0.8</v>
      </c>
    </row>
    <row r="552" spans="1:15">
      <c r="A552" t="s">
        <v>59</v>
      </c>
      <c r="B552" t="s">
        <v>35</v>
      </c>
      <c r="C552">
        <v>33</v>
      </c>
      <c r="D552">
        <v>49</v>
      </c>
      <c r="E552" s="1">
        <f t="shared" si="33"/>
        <v>0.40243902439024393</v>
      </c>
      <c r="F552" s="2">
        <v>103.5</v>
      </c>
      <c r="G552" s="2">
        <v>106.1</v>
      </c>
      <c r="H552" s="2">
        <f t="shared" si="34"/>
        <v>-2.5999999999999943</v>
      </c>
      <c r="I552" s="1">
        <f t="shared" si="32"/>
        <v>0.41402614202375848</v>
      </c>
      <c r="J552" s="2">
        <v>105.6</v>
      </c>
      <c r="K552" s="2">
        <v>108</v>
      </c>
      <c r="L552" s="2">
        <f t="shared" si="35"/>
        <v>-2.4000000000000057</v>
      </c>
      <c r="M552">
        <v>102.9</v>
      </c>
      <c r="N552">
        <v>109.8</v>
      </c>
      <c r="O552">
        <v>-1.7</v>
      </c>
    </row>
    <row r="553" spans="1:15">
      <c r="A553" t="s">
        <v>59</v>
      </c>
      <c r="B553" t="s">
        <v>18</v>
      </c>
      <c r="C553">
        <v>39</v>
      </c>
      <c r="D553">
        <v>43</v>
      </c>
      <c r="E553" s="1">
        <f t="shared" si="33"/>
        <v>0.47560975609756095</v>
      </c>
      <c r="F553" s="2">
        <v>105.7</v>
      </c>
      <c r="G553" s="2">
        <v>105.9</v>
      </c>
      <c r="H553" s="2">
        <f t="shared" si="34"/>
        <v>-0.20000000000000284</v>
      </c>
      <c r="I553" s="1">
        <f t="shared" si="32"/>
        <v>0.49338412708182683</v>
      </c>
      <c r="J553" s="2">
        <v>106.7</v>
      </c>
      <c r="K553" s="2">
        <v>107.1</v>
      </c>
      <c r="L553" s="2">
        <f t="shared" si="35"/>
        <v>-0.39999999999999147</v>
      </c>
      <c r="M553">
        <v>93.6</v>
      </c>
      <c r="N553">
        <v>97.9</v>
      </c>
      <c r="O553">
        <v>-0.7</v>
      </c>
    </row>
    <row r="554" spans="1:15">
      <c r="A554" t="s">
        <v>59</v>
      </c>
      <c r="B554" t="s">
        <v>19</v>
      </c>
      <c r="C554">
        <v>60</v>
      </c>
      <c r="D554">
        <v>22</v>
      </c>
      <c r="E554" s="1">
        <f t="shared" si="33"/>
        <v>0.73170731707317072</v>
      </c>
      <c r="F554" s="2">
        <v>118.1</v>
      </c>
      <c r="G554" s="2">
        <v>109.3</v>
      </c>
      <c r="H554" s="2">
        <f t="shared" si="34"/>
        <v>8.7999999999999972</v>
      </c>
      <c r="I554" s="1">
        <f t="shared" si="32"/>
        <v>0.7472680645596036</v>
      </c>
      <c r="J554" s="2">
        <v>113.5</v>
      </c>
      <c r="K554" s="2">
        <v>104.9</v>
      </c>
      <c r="L554" s="2">
        <f t="shared" si="35"/>
        <v>8.5999999999999943</v>
      </c>
      <c r="M554">
        <v>113</v>
      </c>
      <c r="N554">
        <v>110.1</v>
      </c>
      <c r="O554">
        <v>2.1</v>
      </c>
    </row>
    <row r="555" spans="1:15">
      <c r="A555" t="s">
        <v>59</v>
      </c>
      <c r="B555" t="s">
        <v>20</v>
      </c>
      <c r="C555">
        <v>36</v>
      </c>
      <c r="D555">
        <v>46</v>
      </c>
      <c r="E555" s="1">
        <f t="shared" si="33"/>
        <v>0.43902439024390244</v>
      </c>
      <c r="F555" s="2">
        <v>112.5</v>
      </c>
      <c r="G555" s="2">
        <v>114</v>
      </c>
      <c r="H555" s="2">
        <f t="shared" si="34"/>
        <v>-1.5</v>
      </c>
      <c r="I555" s="1">
        <f t="shared" si="32"/>
        <v>0.45377408880323472</v>
      </c>
      <c r="J555" s="2">
        <v>110.6</v>
      </c>
      <c r="K555" s="2">
        <v>112.2</v>
      </c>
      <c r="L555" s="2">
        <f t="shared" si="35"/>
        <v>-1.6000000000000085</v>
      </c>
      <c r="M555">
        <v>100</v>
      </c>
      <c r="N555">
        <v>113.4</v>
      </c>
      <c r="O555">
        <v>-1.2</v>
      </c>
    </row>
    <row r="556" spans="1:15">
      <c r="A556" t="s">
        <v>59</v>
      </c>
      <c r="B556" t="s">
        <v>53</v>
      </c>
      <c r="C556">
        <v>33</v>
      </c>
      <c r="D556">
        <v>49</v>
      </c>
      <c r="E556" s="1">
        <f t="shared" si="33"/>
        <v>0.40243902439024393</v>
      </c>
      <c r="F556" s="2">
        <v>115.4</v>
      </c>
      <c r="G556" s="2">
        <v>116.8</v>
      </c>
      <c r="H556" s="2">
        <f t="shared" si="34"/>
        <v>-1.3999999999999915</v>
      </c>
      <c r="I556" s="1">
        <f t="shared" si="32"/>
        <v>0.45789444917000782</v>
      </c>
      <c r="J556" s="2">
        <v>110.7</v>
      </c>
      <c r="K556" s="2">
        <v>112</v>
      </c>
      <c r="L556" s="2">
        <f t="shared" si="35"/>
        <v>-1.2999999999999972</v>
      </c>
      <c r="M556">
        <v>99.4</v>
      </c>
      <c r="N556">
        <v>110</v>
      </c>
      <c r="O556">
        <v>0.8</v>
      </c>
    </row>
    <row r="557" spans="1:15">
      <c r="A557" t="s">
        <v>59</v>
      </c>
      <c r="B557" t="s">
        <v>22</v>
      </c>
      <c r="C557">
        <v>17</v>
      </c>
      <c r="D557">
        <v>65</v>
      </c>
      <c r="E557" s="1">
        <f t="shared" si="33"/>
        <v>0.2073170731707317</v>
      </c>
      <c r="F557" s="2">
        <v>104.6</v>
      </c>
      <c r="G557" s="2">
        <v>113.8</v>
      </c>
      <c r="H557" s="2">
        <f t="shared" si="34"/>
        <v>-9.2000000000000028</v>
      </c>
      <c r="I557" s="1">
        <f t="shared" si="32"/>
        <v>0.23501882994446718</v>
      </c>
      <c r="J557" s="2">
        <v>104</v>
      </c>
      <c r="K557" s="2">
        <v>112.9</v>
      </c>
      <c r="L557" s="2">
        <f t="shared" si="35"/>
        <v>-8.9000000000000057</v>
      </c>
      <c r="M557">
        <v>103</v>
      </c>
      <c r="N557">
        <v>110.8</v>
      </c>
      <c r="O557">
        <v>-1.1000000000000001</v>
      </c>
    </row>
    <row r="558" spans="1:15">
      <c r="A558" t="s">
        <v>59</v>
      </c>
      <c r="B558" t="s">
        <v>46</v>
      </c>
      <c r="C558">
        <v>49</v>
      </c>
      <c r="D558">
        <v>33</v>
      </c>
      <c r="E558" s="1">
        <f t="shared" si="33"/>
        <v>0.59756097560975607</v>
      </c>
      <c r="F558" s="2">
        <v>114.5</v>
      </c>
      <c r="G558" s="2">
        <v>111.1</v>
      </c>
      <c r="H558" s="2">
        <f t="shared" si="34"/>
        <v>3.4000000000000057</v>
      </c>
      <c r="I558" s="1">
        <f t="shared" si="32"/>
        <v>0.60396598327503692</v>
      </c>
      <c r="J558" s="2">
        <v>109.8</v>
      </c>
      <c r="K558" s="2">
        <v>106.5</v>
      </c>
      <c r="L558" s="2">
        <f t="shared" si="35"/>
        <v>3.2999999999999972</v>
      </c>
      <c r="M558">
        <v>106.9</v>
      </c>
      <c r="N558">
        <v>104.6</v>
      </c>
      <c r="O558">
        <v>1</v>
      </c>
    </row>
    <row r="559" spans="1:15">
      <c r="A559" t="s">
        <v>59</v>
      </c>
      <c r="B559" t="s">
        <v>23</v>
      </c>
      <c r="C559">
        <v>42</v>
      </c>
      <c r="D559">
        <v>40</v>
      </c>
      <c r="E559" s="1">
        <f t="shared" si="33"/>
        <v>0.51219512195121952</v>
      </c>
      <c r="F559" s="2">
        <v>107.3</v>
      </c>
      <c r="G559" s="2">
        <v>106.6</v>
      </c>
      <c r="H559" s="2">
        <f t="shared" si="34"/>
        <v>0.70000000000000284</v>
      </c>
      <c r="I559" s="1">
        <f t="shared" si="32"/>
        <v>0.52289196737820709</v>
      </c>
      <c r="J559" s="2">
        <v>108.2</v>
      </c>
      <c r="K559" s="2">
        <v>107.6</v>
      </c>
      <c r="L559" s="2">
        <f t="shared" si="35"/>
        <v>0.60000000000000853</v>
      </c>
      <c r="M559">
        <v>96</v>
      </c>
      <c r="N559">
        <v>98.5</v>
      </c>
      <c r="O559">
        <v>-0.5</v>
      </c>
    </row>
    <row r="560" spans="1:15">
      <c r="A560" t="s">
        <v>59</v>
      </c>
      <c r="B560" t="s">
        <v>24</v>
      </c>
      <c r="C560">
        <v>51</v>
      </c>
      <c r="D560">
        <v>31</v>
      </c>
      <c r="E560" s="1">
        <f t="shared" si="33"/>
        <v>0.62195121951219512</v>
      </c>
      <c r="F560" s="2">
        <v>115.2</v>
      </c>
      <c r="G560" s="2">
        <v>112.5</v>
      </c>
      <c r="H560" s="2">
        <f t="shared" si="34"/>
        <v>2.7000000000000028</v>
      </c>
      <c r="I560" s="1">
        <f t="shared" si="32"/>
        <v>0.58225355885206587</v>
      </c>
      <c r="J560" s="2">
        <v>111.6</v>
      </c>
      <c r="K560" s="2">
        <v>109</v>
      </c>
      <c r="L560" s="2">
        <f t="shared" si="35"/>
        <v>2.5999999999999943</v>
      </c>
      <c r="M560">
        <v>109.5</v>
      </c>
      <c r="N560">
        <v>106.1</v>
      </c>
      <c r="O560">
        <v>-0.1</v>
      </c>
    </row>
    <row r="561" spans="1:15">
      <c r="A561" t="s">
        <v>59</v>
      </c>
      <c r="B561" t="s">
        <v>25</v>
      </c>
      <c r="C561">
        <v>19</v>
      </c>
      <c r="D561">
        <v>63</v>
      </c>
      <c r="E561" s="1">
        <f t="shared" si="33"/>
        <v>0.23170731707317074</v>
      </c>
      <c r="F561" s="2">
        <v>107.5</v>
      </c>
      <c r="G561" s="2">
        <v>116.8</v>
      </c>
      <c r="H561" s="2">
        <f t="shared" si="34"/>
        <v>-9.2999999999999972</v>
      </c>
      <c r="I561" s="1">
        <f t="shared" si="32"/>
        <v>0.2383746596037172</v>
      </c>
      <c r="J561" s="2">
        <v>105.3</v>
      </c>
      <c r="K561" s="2">
        <v>114.2</v>
      </c>
      <c r="L561" s="2">
        <f t="shared" si="35"/>
        <v>-8.9000000000000057</v>
      </c>
      <c r="M561">
        <v>107.7</v>
      </c>
      <c r="N561">
        <v>116.9</v>
      </c>
      <c r="O561">
        <v>-2.1</v>
      </c>
    </row>
    <row r="562" spans="1:15">
      <c r="A562" t="s">
        <v>59</v>
      </c>
      <c r="B562" t="s">
        <v>26</v>
      </c>
      <c r="C562">
        <v>53</v>
      </c>
      <c r="D562">
        <v>29</v>
      </c>
      <c r="E562" s="1">
        <f t="shared" si="33"/>
        <v>0.64634146341463417</v>
      </c>
      <c r="F562" s="2">
        <v>114.7</v>
      </c>
      <c r="G562" s="2">
        <v>110.5</v>
      </c>
      <c r="H562" s="2">
        <f t="shared" si="34"/>
        <v>4.2000000000000028</v>
      </c>
      <c r="I562" s="1">
        <f t="shared" si="32"/>
        <v>0.62767678935512594</v>
      </c>
      <c r="J562" s="2">
        <v>113.7</v>
      </c>
      <c r="K562" s="2">
        <v>109.5</v>
      </c>
      <c r="L562" s="2">
        <f t="shared" si="35"/>
        <v>4.2000000000000028</v>
      </c>
      <c r="M562">
        <v>117.2</v>
      </c>
      <c r="N562">
        <v>108</v>
      </c>
      <c r="O562">
        <v>0.1</v>
      </c>
    </row>
    <row r="563" spans="1:15">
      <c r="A563" t="s">
        <v>59</v>
      </c>
      <c r="B563" t="s">
        <v>27</v>
      </c>
      <c r="C563">
        <v>39</v>
      </c>
      <c r="D563">
        <v>43</v>
      </c>
      <c r="E563" s="1">
        <f t="shared" si="33"/>
        <v>0.47560975609756095</v>
      </c>
      <c r="F563" s="2">
        <v>114.2</v>
      </c>
      <c r="G563" s="2">
        <v>115.3</v>
      </c>
      <c r="H563" s="2">
        <f t="shared" si="34"/>
        <v>-1.0999999999999943</v>
      </c>
      <c r="I563" s="1">
        <f t="shared" si="32"/>
        <v>0.466498812781387</v>
      </c>
      <c r="J563" s="2">
        <v>109.6</v>
      </c>
      <c r="K563" s="2">
        <v>110.8</v>
      </c>
      <c r="L563" s="2">
        <f t="shared" si="35"/>
        <v>-1.2000000000000028</v>
      </c>
      <c r="M563">
        <v>106.1</v>
      </c>
      <c r="N563">
        <v>107.2</v>
      </c>
      <c r="O563">
        <v>-0.2</v>
      </c>
    </row>
    <row r="564" spans="1:15">
      <c r="A564" t="s">
        <v>59</v>
      </c>
      <c r="B564" t="s">
        <v>28</v>
      </c>
      <c r="C564">
        <v>48</v>
      </c>
      <c r="D564">
        <v>34</v>
      </c>
      <c r="E564" s="1">
        <f t="shared" si="33"/>
        <v>0.58536585365853655</v>
      </c>
      <c r="F564" s="2">
        <v>111.7</v>
      </c>
      <c r="G564" s="2">
        <v>110</v>
      </c>
      <c r="H564" s="2">
        <f t="shared" si="34"/>
        <v>1.7000000000000028</v>
      </c>
      <c r="I564" s="1">
        <f t="shared" si="32"/>
        <v>0.55347192797788125</v>
      </c>
      <c r="J564" s="2">
        <v>112.2</v>
      </c>
      <c r="K564" s="2">
        <v>110.6</v>
      </c>
      <c r="L564" s="2">
        <f t="shared" si="35"/>
        <v>1.6000000000000085</v>
      </c>
      <c r="M564">
        <v>113.6</v>
      </c>
      <c r="N564">
        <v>112.5</v>
      </c>
      <c r="O564">
        <v>0.4</v>
      </c>
    </row>
    <row r="565" spans="1:15">
      <c r="A565" t="s">
        <v>59</v>
      </c>
      <c r="B565" t="s">
        <v>30</v>
      </c>
      <c r="C565">
        <v>58</v>
      </c>
      <c r="D565">
        <v>24</v>
      </c>
      <c r="E565" s="1">
        <f t="shared" si="33"/>
        <v>0.70731707317073167</v>
      </c>
      <c r="F565" s="2">
        <v>114.4</v>
      </c>
      <c r="G565" s="2">
        <v>108.4</v>
      </c>
      <c r="H565" s="2">
        <f t="shared" si="34"/>
        <v>6</v>
      </c>
      <c r="I565" s="1">
        <f t="shared" si="32"/>
        <v>0.68009792442204564</v>
      </c>
      <c r="J565" s="2">
        <v>112.6</v>
      </c>
      <c r="K565" s="2">
        <v>106.8</v>
      </c>
      <c r="L565" s="2">
        <f t="shared" si="35"/>
        <v>5.7999999999999972</v>
      </c>
      <c r="M565">
        <v>108.1</v>
      </c>
      <c r="N565">
        <v>100.3</v>
      </c>
      <c r="O565">
        <v>-0.5</v>
      </c>
    </row>
    <row r="566" spans="1:15">
      <c r="A566" t="s">
        <v>59</v>
      </c>
      <c r="B566" t="s">
        <v>31</v>
      </c>
      <c r="C566">
        <v>50</v>
      </c>
      <c r="D566">
        <v>32</v>
      </c>
      <c r="E566" s="1">
        <f t="shared" si="33"/>
        <v>0.6097560975609756</v>
      </c>
      <c r="F566" s="2">
        <v>111.7</v>
      </c>
      <c r="G566" s="2">
        <v>106.5</v>
      </c>
      <c r="H566" s="2">
        <f t="shared" si="34"/>
        <v>5.2000000000000028</v>
      </c>
      <c r="I566" s="1">
        <f t="shared" si="32"/>
        <v>0.66092164871809023</v>
      </c>
      <c r="J566" s="2">
        <v>110.3</v>
      </c>
      <c r="K566" s="2">
        <v>105.3</v>
      </c>
      <c r="L566" s="2">
        <f t="shared" si="35"/>
        <v>5</v>
      </c>
      <c r="M566">
        <v>112.7</v>
      </c>
      <c r="N566">
        <v>109.1</v>
      </c>
      <c r="O566">
        <v>0.6</v>
      </c>
    </row>
    <row r="567" spans="1:15">
      <c r="A567" t="s">
        <v>59</v>
      </c>
      <c r="B567" t="s">
        <v>33</v>
      </c>
      <c r="C567">
        <v>32</v>
      </c>
      <c r="D567">
        <v>50</v>
      </c>
      <c r="E567" s="1">
        <f t="shared" si="33"/>
        <v>0.3902439024390244</v>
      </c>
      <c r="F567" s="2">
        <v>114</v>
      </c>
      <c r="G567" s="2">
        <v>116.9</v>
      </c>
      <c r="H567" s="2">
        <f t="shared" si="34"/>
        <v>-2.9000000000000057</v>
      </c>
      <c r="I567" s="1">
        <f t="shared" si="32"/>
        <v>0.41297365907785938</v>
      </c>
      <c r="J567" s="2">
        <v>110.2</v>
      </c>
      <c r="K567" s="2">
        <v>112.9</v>
      </c>
      <c r="L567" s="2">
        <f t="shared" si="35"/>
        <v>-2.7000000000000028</v>
      </c>
      <c r="M567">
        <v>108.1</v>
      </c>
      <c r="N567">
        <v>111.8</v>
      </c>
      <c r="O567">
        <v>1.1000000000000001</v>
      </c>
    </row>
    <row r="568" spans="1:15">
      <c r="A568" t="s">
        <v>60</v>
      </c>
      <c r="B568" t="s">
        <v>5</v>
      </c>
      <c r="C568">
        <v>20</v>
      </c>
      <c r="D568">
        <v>47</v>
      </c>
      <c r="E568" s="1">
        <f t="shared" si="33"/>
        <v>0.29850746268656714</v>
      </c>
      <c r="F568" s="2">
        <v>111.8</v>
      </c>
      <c r="G568" s="2">
        <v>119.7</v>
      </c>
      <c r="H568" s="2">
        <f t="shared" si="34"/>
        <v>-7.9000000000000057</v>
      </c>
      <c r="I568" s="1">
        <f t="shared" si="32"/>
        <v>0.27770410092072012</v>
      </c>
      <c r="J568" s="2">
        <v>107</v>
      </c>
      <c r="K568" s="2">
        <v>114.4</v>
      </c>
      <c r="L568" s="2">
        <f t="shared" si="35"/>
        <v>-7.4000000000000057</v>
      </c>
      <c r="M568">
        <v>97.4</v>
      </c>
      <c r="N568">
        <v>98.9</v>
      </c>
      <c r="O568">
        <v>-1</v>
      </c>
    </row>
    <row r="569" spans="1:15">
      <c r="A569" t="s">
        <v>60</v>
      </c>
      <c r="B569" t="s">
        <v>6</v>
      </c>
      <c r="C569">
        <v>48</v>
      </c>
      <c r="D569">
        <v>24</v>
      </c>
      <c r="E569" s="1">
        <f t="shared" si="33"/>
        <v>0.66666666666666663</v>
      </c>
      <c r="F569" s="2">
        <v>113.7</v>
      </c>
      <c r="G569" s="2">
        <v>107.3</v>
      </c>
      <c r="H569" s="2">
        <f t="shared" si="34"/>
        <v>6.4000000000000057</v>
      </c>
      <c r="I569" s="1">
        <f t="shared" si="32"/>
        <v>0.69234098586672488</v>
      </c>
      <c r="J569" s="2">
        <v>112.8</v>
      </c>
      <c r="K569" s="2">
        <v>106.5</v>
      </c>
      <c r="L569" s="2">
        <f t="shared" si="35"/>
        <v>6.2999999999999972</v>
      </c>
      <c r="M569">
        <v>114.7</v>
      </c>
      <c r="N569">
        <v>111.2</v>
      </c>
      <c r="O569">
        <v>0.6</v>
      </c>
    </row>
    <row r="570" spans="1:15">
      <c r="A570" t="s">
        <v>60</v>
      </c>
      <c r="B570" t="s">
        <v>51</v>
      </c>
      <c r="C570">
        <v>35</v>
      </c>
      <c r="D570">
        <v>37</v>
      </c>
      <c r="E570" s="1">
        <f t="shared" si="33"/>
        <v>0.4861111111111111</v>
      </c>
      <c r="F570" s="2">
        <v>111.8</v>
      </c>
      <c r="G570" s="2">
        <v>112.3</v>
      </c>
      <c r="H570" s="2">
        <f t="shared" si="34"/>
        <v>-0.5</v>
      </c>
      <c r="I570" s="1">
        <f t="shared" si="32"/>
        <v>0.48438702391890293</v>
      </c>
      <c r="J570" s="2">
        <v>108.7</v>
      </c>
      <c r="K570" s="2">
        <v>109.2</v>
      </c>
      <c r="L570" s="2">
        <f t="shared" si="35"/>
        <v>-0.5</v>
      </c>
      <c r="M570">
        <v>110.4</v>
      </c>
      <c r="N570">
        <v>107.2</v>
      </c>
      <c r="O570">
        <v>-1.3</v>
      </c>
    </row>
    <row r="571" spans="1:15">
      <c r="A571" t="s">
        <v>60</v>
      </c>
      <c r="B571" t="s">
        <v>7</v>
      </c>
      <c r="C571">
        <v>23</v>
      </c>
      <c r="D571">
        <v>42</v>
      </c>
      <c r="E571" s="1">
        <f t="shared" si="33"/>
        <v>0.35384615384615387</v>
      </c>
      <c r="F571" s="2">
        <v>102.9</v>
      </c>
      <c r="G571" s="2">
        <v>109.6</v>
      </c>
      <c r="H571" s="2">
        <f t="shared" si="34"/>
        <v>-6.6999999999999886</v>
      </c>
      <c r="I571" s="1">
        <f t="shared" si="32"/>
        <v>0.29253243315718996</v>
      </c>
      <c r="J571" s="2">
        <v>105.9</v>
      </c>
      <c r="K571" s="2">
        <v>112.8</v>
      </c>
      <c r="L571" s="2">
        <f t="shared" si="35"/>
        <v>-6.8999999999999915</v>
      </c>
      <c r="M571">
        <v>120.3</v>
      </c>
      <c r="N571">
        <v>110.6</v>
      </c>
      <c r="O571">
        <v>-2.1</v>
      </c>
    </row>
    <row r="572" spans="1:15">
      <c r="A572" t="s">
        <v>60</v>
      </c>
      <c r="B572" t="s">
        <v>8</v>
      </c>
      <c r="C572">
        <v>22</v>
      </c>
      <c r="D572">
        <v>43</v>
      </c>
      <c r="E572" s="1">
        <f t="shared" si="33"/>
        <v>0.33846153846153848</v>
      </c>
      <c r="F572" s="2">
        <v>106.8</v>
      </c>
      <c r="G572" s="2">
        <v>109.9</v>
      </c>
      <c r="H572" s="2">
        <f t="shared" si="34"/>
        <v>-3.1000000000000085</v>
      </c>
      <c r="I572" s="1">
        <f t="shared" si="32"/>
        <v>0.40117273517246865</v>
      </c>
      <c r="J572" s="2">
        <v>105.8</v>
      </c>
      <c r="K572" s="2">
        <v>108.9</v>
      </c>
      <c r="L572" s="2">
        <f t="shared" si="35"/>
        <v>-3.1000000000000085</v>
      </c>
      <c r="M572">
        <v>106.5</v>
      </c>
      <c r="N572">
        <v>127.3</v>
      </c>
      <c r="O572">
        <v>-0.5</v>
      </c>
    </row>
    <row r="573" spans="1:15">
      <c r="A573" t="s">
        <v>60</v>
      </c>
      <c r="B573" t="s">
        <v>9</v>
      </c>
      <c r="C573">
        <v>19</v>
      </c>
      <c r="D573">
        <v>46</v>
      </c>
      <c r="E573" s="1">
        <f t="shared" si="33"/>
        <v>0.29230769230769232</v>
      </c>
      <c r="F573" s="2">
        <v>106.9</v>
      </c>
      <c r="G573" s="2">
        <v>114.8</v>
      </c>
      <c r="H573" s="2">
        <f t="shared" si="34"/>
        <v>-7.8999999999999915</v>
      </c>
      <c r="I573" s="1">
        <f t="shared" si="32"/>
        <v>0.26930190028801032</v>
      </c>
      <c r="J573" s="2">
        <v>106.9</v>
      </c>
      <c r="K573" s="2">
        <v>114.8</v>
      </c>
      <c r="L573" s="2">
        <f t="shared" si="35"/>
        <v>-7.8999999999999915</v>
      </c>
      <c r="M573">
        <v>103.5</v>
      </c>
      <c r="N573">
        <v>110.1</v>
      </c>
      <c r="O573">
        <v>0</v>
      </c>
    </row>
    <row r="574" spans="1:15">
      <c r="A574" t="s">
        <v>60</v>
      </c>
      <c r="B574" t="s">
        <v>10</v>
      </c>
      <c r="C574">
        <v>43</v>
      </c>
      <c r="D574">
        <v>32</v>
      </c>
      <c r="E574" s="1">
        <f t="shared" si="33"/>
        <v>0.57333333333333336</v>
      </c>
      <c r="F574" s="2">
        <v>117</v>
      </c>
      <c r="G574" s="2">
        <v>112.1</v>
      </c>
      <c r="H574" s="2">
        <f t="shared" si="34"/>
        <v>4.9000000000000057</v>
      </c>
      <c r="I574" s="1">
        <f t="shared" si="32"/>
        <v>0.64541752583706569</v>
      </c>
      <c r="J574" s="2">
        <v>115.9</v>
      </c>
      <c r="K574" s="2">
        <v>111.2</v>
      </c>
      <c r="L574" s="2">
        <f t="shared" si="35"/>
        <v>4.7000000000000028</v>
      </c>
      <c r="M574">
        <v>99.4</v>
      </c>
      <c r="N574">
        <v>107.5</v>
      </c>
      <c r="O574">
        <v>0.5</v>
      </c>
    </row>
    <row r="575" spans="1:15">
      <c r="A575" t="s">
        <v>60</v>
      </c>
      <c r="B575" t="s">
        <v>11</v>
      </c>
      <c r="C575">
        <v>46</v>
      </c>
      <c r="D575">
        <v>27</v>
      </c>
      <c r="E575" s="1">
        <f t="shared" si="33"/>
        <v>0.63013698630136983</v>
      </c>
      <c r="F575" s="2">
        <v>111.3</v>
      </c>
      <c r="G575" s="2">
        <v>109.2</v>
      </c>
      <c r="H575" s="2">
        <f t="shared" si="34"/>
        <v>2.0999999999999943</v>
      </c>
      <c r="I575" s="1">
        <f t="shared" si="32"/>
        <v>0.56627637451040547</v>
      </c>
      <c r="J575" s="2">
        <v>112.6</v>
      </c>
      <c r="K575" s="2">
        <v>110.4</v>
      </c>
      <c r="L575" s="2">
        <f t="shared" si="35"/>
        <v>2.1999999999999886</v>
      </c>
      <c r="M575">
        <v>118.5</v>
      </c>
      <c r="N575">
        <v>102.9</v>
      </c>
      <c r="O575">
        <v>0.3</v>
      </c>
    </row>
    <row r="576" spans="1:15">
      <c r="A576" t="s">
        <v>60</v>
      </c>
      <c r="B576" t="s">
        <v>12</v>
      </c>
      <c r="C576">
        <v>20</v>
      </c>
      <c r="D576">
        <v>46</v>
      </c>
      <c r="E576" s="1">
        <f t="shared" si="33"/>
        <v>0.30303030303030304</v>
      </c>
      <c r="F576" s="2">
        <v>107.2</v>
      </c>
      <c r="G576" s="2">
        <v>110.8</v>
      </c>
      <c r="H576" s="2">
        <f t="shared" si="34"/>
        <v>-3.5999999999999943</v>
      </c>
      <c r="I576" s="1">
        <f t="shared" si="32"/>
        <v>0.38641014492971848</v>
      </c>
      <c r="J576" s="2">
        <v>108.8</v>
      </c>
      <c r="K576" s="2">
        <v>112.3</v>
      </c>
      <c r="L576" s="2">
        <f t="shared" si="35"/>
        <v>-3.5</v>
      </c>
      <c r="M576">
        <v>91</v>
      </c>
      <c r="N576">
        <v>115.5</v>
      </c>
      <c r="O576">
        <v>0</v>
      </c>
    </row>
    <row r="577" spans="1:15">
      <c r="A577" t="s">
        <v>60</v>
      </c>
      <c r="B577" t="s">
        <v>13</v>
      </c>
      <c r="C577">
        <v>15</v>
      </c>
      <c r="D577">
        <v>50</v>
      </c>
      <c r="E577" s="1">
        <f t="shared" si="33"/>
        <v>0.23076923076923078</v>
      </c>
      <c r="F577" s="2">
        <v>106.3</v>
      </c>
      <c r="G577" s="2">
        <v>115</v>
      </c>
      <c r="H577" s="2">
        <f t="shared" si="34"/>
        <v>-8.7000000000000028</v>
      </c>
      <c r="I577" s="1">
        <f t="shared" si="32"/>
        <v>0.24948968898515997</v>
      </c>
      <c r="J577" s="2">
        <v>104.4</v>
      </c>
      <c r="K577" s="2">
        <v>113</v>
      </c>
      <c r="L577" s="2">
        <f t="shared" si="35"/>
        <v>-8.5999999999999943</v>
      </c>
      <c r="M577">
        <v>102.9</v>
      </c>
      <c r="N577">
        <v>124.9</v>
      </c>
      <c r="O577">
        <v>-0.5</v>
      </c>
    </row>
    <row r="578" spans="1:15">
      <c r="A578" t="s">
        <v>60</v>
      </c>
      <c r="B578" t="s">
        <v>14</v>
      </c>
      <c r="C578">
        <v>44</v>
      </c>
      <c r="D578">
        <v>28</v>
      </c>
      <c r="E578" s="1">
        <f t="shared" si="33"/>
        <v>0.61111111111111116</v>
      </c>
      <c r="F578" s="2">
        <v>117.8</v>
      </c>
      <c r="G578" s="2">
        <v>114.8</v>
      </c>
      <c r="H578" s="2">
        <f t="shared" si="34"/>
        <v>3</v>
      </c>
      <c r="I578" s="1">
        <f t="shared" ref="I578:I641" si="36">+(F578^14)/((F578^14+G578^14))</f>
        <v>0.58932000368838899</v>
      </c>
      <c r="J578" s="2">
        <v>112.5</v>
      </c>
      <c r="K578" s="2">
        <v>109.8</v>
      </c>
      <c r="L578" s="2">
        <f t="shared" si="35"/>
        <v>2.7000000000000028</v>
      </c>
      <c r="M578">
        <v>115.7</v>
      </c>
      <c r="N578">
        <v>97</v>
      </c>
      <c r="O578">
        <v>-0.5</v>
      </c>
    </row>
    <row r="579" spans="1:15">
      <c r="A579" t="s">
        <v>60</v>
      </c>
      <c r="B579" t="s">
        <v>15</v>
      </c>
      <c r="C579">
        <v>45</v>
      </c>
      <c r="D579">
        <v>28</v>
      </c>
      <c r="E579" s="1">
        <f t="shared" ref="E579:E642" si="37">+C579/(C579+D579)</f>
        <v>0.61643835616438358</v>
      </c>
      <c r="F579" s="2">
        <v>109.4</v>
      </c>
      <c r="G579" s="2">
        <v>107.5</v>
      </c>
      <c r="H579" s="2">
        <f t="shared" ref="H579:H642" si="38">+F579-G579</f>
        <v>1.9000000000000057</v>
      </c>
      <c r="I579" s="1">
        <f t="shared" si="36"/>
        <v>0.56101455538977274</v>
      </c>
      <c r="J579" s="2">
        <v>109.5</v>
      </c>
      <c r="K579" s="2">
        <v>107.5</v>
      </c>
      <c r="L579" s="2">
        <f t="shared" ref="L579:L642" si="39">+J579-K579</f>
        <v>2</v>
      </c>
      <c r="M579">
        <v>107</v>
      </c>
      <c r="N579">
        <v>97.2</v>
      </c>
      <c r="O579">
        <v>-0.8</v>
      </c>
    </row>
    <row r="580" spans="1:15">
      <c r="A580" t="s">
        <v>60</v>
      </c>
      <c r="B580" t="s">
        <v>56</v>
      </c>
      <c r="C580">
        <v>49</v>
      </c>
      <c r="D580">
        <v>23</v>
      </c>
      <c r="E580" s="1">
        <f t="shared" si="37"/>
        <v>0.68055555555555558</v>
      </c>
      <c r="F580" s="2">
        <v>116.3</v>
      </c>
      <c r="G580" s="2">
        <v>109.9</v>
      </c>
      <c r="H580" s="2">
        <f t="shared" si="38"/>
        <v>6.3999999999999915</v>
      </c>
      <c r="I580" s="1">
        <f t="shared" si="36"/>
        <v>0.68835302636242091</v>
      </c>
      <c r="J580" s="2">
        <v>113.3</v>
      </c>
      <c r="K580" s="2">
        <v>106.9</v>
      </c>
      <c r="L580" s="2">
        <f t="shared" si="39"/>
        <v>6.3999999999999915</v>
      </c>
      <c r="M580">
        <v>116</v>
      </c>
      <c r="N580">
        <v>108.3</v>
      </c>
      <c r="O580">
        <v>0.7</v>
      </c>
    </row>
    <row r="581" spans="1:15">
      <c r="A581" t="s">
        <v>60</v>
      </c>
      <c r="B581" t="s">
        <v>17</v>
      </c>
      <c r="C581">
        <v>52</v>
      </c>
      <c r="D581">
        <v>19</v>
      </c>
      <c r="E581" s="1">
        <f t="shared" si="37"/>
        <v>0.73239436619718312</v>
      </c>
      <c r="F581" s="2">
        <v>113.4</v>
      </c>
      <c r="G581" s="2">
        <v>107.6</v>
      </c>
      <c r="H581" s="2">
        <f t="shared" si="38"/>
        <v>5.8000000000000114</v>
      </c>
      <c r="I581" s="1">
        <f t="shared" si="36"/>
        <v>0.6759038081055907</v>
      </c>
      <c r="J581" s="2">
        <v>111.7</v>
      </c>
      <c r="K581" s="2">
        <v>106.1</v>
      </c>
      <c r="L581" s="2">
        <f t="shared" si="39"/>
        <v>5.6000000000000085</v>
      </c>
      <c r="M581">
        <v>107.4</v>
      </c>
      <c r="N581">
        <v>101.7</v>
      </c>
      <c r="O581">
        <v>1.7</v>
      </c>
    </row>
    <row r="582" spans="1:15">
      <c r="A582" t="s">
        <v>60</v>
      </c>
      <c r="B582" t="s">
        <v>35</v>
      </c>
      <c r="C582">
        <v>34</v>
      </c>
      <c r="D582">
        <v>39</v>
      </c>
      <c r="E582" s="1">
        <f t="shared" si="37"/>
        <v>0.46575342465753422</v>
      </c>
      <c r="F582" s="2">
        <v>112.6</v>
      </c>
      <c r="G582" s="2">
        <v>113.7</v>
      </c>
      <c r="H582" s="2">
        <f t="shared" si="38"/>
        <v>-1.1000000000000085</v>
      </c>
      <c r="I582" s="1">
        <f t="shared" si="36"/>
        <v>0.46602653038070502</v>
      </c>
      <c r="J582" s="2">
        <v>108.7</v>
      </c>
      <c r="K582" s="2">
        <v>109.7</v>
      </c>
      <c r="L582" s="2">
        <f t="shared" si="39"/>
        <v>-1</v>
      </c>
      <c r="M582">
        <v>100</v>
      </c>
      <c r="N582">
        <v>116.1</v>
      </c>
      <c r="O582">
        <v>-0.1</v>
      </c>
    </row>
    <row r="583" spans="1:15">
      <c r="A583" t="s">
        <v>60</v>
      </c>
      <c r="B583" t="s">
        <v>18</v>
      </c>
      <c r="C583">
        <v>44</v>
      </c>
      <c r="D583">
        <v>29</v>
      </c>
      <c r="E583" s="1">
        <f t="shared" si="37"/>
        <v>0.60273972602739723</v>
      </c>
      <c r="F583" s="2">
        <v>112</v>
      </c>
      <c r="G583" s="2">
        <v>109.1</v>
      </c>
      <c r="H583" s="2">
        <f t="shared" si="38"/>
        <v>2.9000000000000057</v>
      </c>
      <c r="I583" s="1">
        <f t="shared" si="36"/>
        <v>0.5908005274630016</v>
      </c>
      <c r="J583" s="2">
        <v>111.9</v>
      </c>
      <c r="K583" s="2">
        <v>109.3</v>
      </c>
      <c r="L583" s="2">
        <f t="shared" si="39"/>
        <v>2.6000000000000085</v>
      </c>
      <c r="M583">
        <v>98.1</v>
      </c>
      <c r="N583">
        <v>115.1</v>
      </c>
      <c r="O583">
        <v>-1.2</v>
      </c>
    </row>
    <row r="584" spans="1:15">
      <c r="A584" t="s">
        <v>60</v>
      </c>
      <c r="B584" t="s">
        <v>19</v>
      </c>
      <c r="C584">
        <v>56</v>
      </c>
      <c r="D584">
        <v>17</v>
      </c>
      <c r="E584" s="1">
        <f t="shared" si="37"/>
        <v>0.76712328767123283</v>
      </c>
      <c r="F584" s="2">
        <v>118.7</v>
      </c>
      <c r="G584" s="2">
        <v>108.6</v>
      </c>
      <c r="H584" s="2">
        <f t="shared" si="38"/>
        <v>10.100000000000009</v>
      </c>
      <c r="I584" s="1">
        <f t="shared" si="36"/>
        <v>0.77643149133297851</v>
      </c>
      <c r="J584" s="2">
        <v>111.9</v>
      </c>
      <c r="K584" s="2">
        <v>102.5</v>
      </c>
      <c r="L584" s="2">
        <f t="shared" si="39"/>
        <v>9.4000000000000057</v>
      </c>
      <c r="M584">
        <v>110.1</v>
      </c>
      <c r="N584">
        <v>91.9</v>
      </c>
      <c r="O584">
        <v>2.5</v>
      </c>
    </row>
    <row r="585" spans="1:15">
      <c r="A585" t="s">
        <v>60</v>
      </c>
      <c r="B585" t="s">
        <v>20</v>
      </c>
      <c r="C585">
        <v>19</v>
      </c>
      <c r="D585">
        <v>45</v>
      </c>
      <c r="E585" s="1">
        <f t="shared" si="37"/>
        <v>0.296875</v>
      </c>
      <c r="F585" s="2">
        <v>113.2</v>
      </c>
      <c r="G585" s="2">
        <v>117.5</v>
      </c>
      <c r="H585" s="2">
        <f t="shared" si="38"/>
        <v>-4.2999999999999972</v>
      </c>
      <c r="I585" s="1">
        <f t="shared" si="36"/>
        <v>0.37239628997448704</v>
      </c>
      <c r="J585" s="2">
        <v>107.6</v>
      </c>
      <c r="K585" s="2">
        <v>111.6</v>
      </c>
      <c r="L585" s="2">
        <f t="shared" si="39"/>
        <v>-4</v>
      </c>
      <c r="M585">
        <v>105.6</v>
      </c>
      <c r="N585">
        <v>116.6</v>
      </c>
      <c r="O585">
        <v>-0.4</v>
      </c>
    </row>
    <row r="586" spans="1:15">
      <c r="A586" t="s">
        <v>60</v>
      </c>
      <c r="B586" t="s">
        <v>53</v>
      </c>
      <c r="C586">
        <v>30</v>
      </c>
      <c r="D586">
        <v>42</v>
      </c>
      <c r="E586" s="1">
        <f t="shared" si="37"/>
        <v>0.41666666666666669</v>
      </c>
      <c r="F586" s="2">
        <v>115.8</v>
      </c>
      <c r="G586" s="2">
        <v>117.1</v>
      </c>
      <c r="H586" s="2">
        <f t="shared" si="38"/>
        <v>-1.2999999999999972</v>
      </c>
      <c r="I586" s="1">
        <f t="shared" si="36"/>
        <v>0.46100637384195686</v>
      </c>
      <c r="J586" s="2">
        <v>110.5</v>
      </c>
      <c r="K586" s="2">
        <v>111.8</v>
      </c>
      <c r="L586" s="2">
        <f t="shared" si="39"/>
        <v>-1.2999999999999972</v>
      </c>
      <c r="M586">
        <v>93.4</v>
      </c>
      <c r="N586">
        <v>119.8</v>
      </c>
      <c r="O586">
        <v>0.1</v>
      </c>
    </row>
    <row r="587" spans="1:15">
      <c r="A587" t="s">
        <v>60</v>
      </c>
      <c r="B587" t="s">
        <v>22</v>
      </c>
      <c r="C587">
        <v>21</v>
      </c>
      <c r="D587">
        <v>45</v>
      </c>
      <c r="E587" s="1">
        <f t="shared" si="37"/>
        <v>0.31818181818181818</v>
      </c>
      <c r="F587" s="2">
        <v>105.8</v>
      </c>
      <c r="G587" s="2">
        <v>112.3</v>
      </c>
      <c r="H587" s="2">
        <f t="shared" si="38"/>
        <v>-6.5</v>
      </c>
      <c r="I587" s="1">
        <f t="shared" si="36"/>
        <v>0.30264654338217839</v>
      </c>
      <c r="J587" s="2">
        <v>105.9</v>
      </c>
      <c r="K587" s="2">
        <v>112.4</v>
      </c>
      <c r="L587" s="2">
        <f t="shared" si="39"/>
        <v>-6.5</v>
      </c>
      <c r="M587">
        <v>106.3</v>
      </c>
      <c r="N587">
        <v>102.5</v>
      </c>
      <c r="O587">
        <v>-0.8</v>
      </c>
    </row>
    <row r="588" spans="1:15">
      <c r="A588" t="s">
        <v>60</v>
      </c>
      <c r="B588" t="s">
        <v>46</v>
      </c>
      <c r="C588">
        <v>44</v>
      </c>
      <c r="D588">
        <v>28</v>
      </c>
      <c r="E588" s="1">
        <f t="shared" si="37"/>
        <v>0.61111111111111116</v>
      </c>
      <c r="F588" s="2">
        <v>110.4</v>
      </c>
      <c r="G588" s="2">
        <v>108.4</v>
      </c>
      <c r="H588" s="2">
        <f t="shared" si="38"/>
        <v>2</v>
      </c>
      <c r="I588" s="1">
        <f t="shared" si="36"/>
        <v>0.56364011525876911</v>
      </c>
      <c r="J588" s="2">
        <v>110.1</v>
      </c>
      <c r="K588" s="2">
        <v>108.1</v>
      </c>
      <c r="L588" s="2">
        <f t="shared" si="39"/>
        <v>2</v>
      </c>
      <c r="M588">
        <v>120.9</v>
      </c>
      <c r="N588">
        <v>94.4</v>
      </c>
      <c r="O588">
        <v>2.2000000000000002</v>
      </c>
    </row>
    <row r="589" spans="1:15">
      <c r="A589" t="s">
        <v>60</v>
      </c>
      <c r="B589" t="s">
        <v>23</v>
      </c>
      <c r="C589">
        <v>33</v>
      </c>
      <c r="D589">
        <v>40</v>
      </c>
      <c r="E589" s="1">
        <f t="shared" si="37"/>
        <v>0.45205479452054792</v>
      </c>
      <c r="F589" s="2">
        <v>107.3</v>
      </c>
      <c r="G589" s="2">
        <v>108.3</v>
      </c>
      <c r="H589" s="2">
        <f t="shared" si="38"/>
        <v>-1</v>
      </c>
      <c r="I589" s="1">
        <f t="shared" si="36"/>
        <v>0.46757779264200222</v>
      </c>
      <c r="J589" s="2">
        <v>107.9</v>
      </c>
      <c r="K589" s="2">
        <v>109.2</v>
      </c>
      <c r="L589" s="2">
        <f t="shared" si="39"/>
        <v>-1.2999999999999972</v>
      </c>
      <c r="M589">
        <v>95.7</v>
      </c>
      <c r="N589">
        <v>104.7</v>
      </c>
      <c r="O589">
        <v>-0.9</v>
      </c>
    </row>
    <row r="590" spans="1:15">
      <c r="A590" t="s">
        <v>60</v>
      </c>
      <c r="B590" t="s">
        <v>24</v>
      </c>
      <c r="C590">
        <v>43</v>
      </c>
      <c r="D590">
        <v>30</v>
      </c>
      <c r="E590" s="1">
        <f t="shared" si="37"/>
        <v>0.58904109589041098</v>
      </c>
      <c r="F590" s="2">
        <v>110.7</v>
      </c>
      <c r="G590" s="2">
        <v>108.4</v>
      </c>
      <c r="H590" s="2">
        <f t="shared" si="38"/>
        <v>2.2999999999999972</v>
      </c>
      <c r="I590" s="1">
        <f t="shared" si="36"/>
        <v>0.57296056014659968</v>
      </c>
      <c r="J590" s="2">
        <v>110.7</v>
      </c>
      <c r="K590" s="2">
        <v>108.4</v>
      </c>
      <c r="L590" s="2">
        <f t="shared" si="39"/>
        <v>2.2999999999999972</v>
      </c>
      <c r="M590">
        <v>108.9</v>
      </c>
      <c r="N590">
        <v>103.6</v>
      </c>
      <c r="O590">
        <v>0</v>
      </c>
    </row>
    <row r="591" spans="1:15">
      <c r="A591" t="s">
        <v>60</v>
      </c>
      <c r="B591" t="s">
        <v>25</v>
      </c>
      <c r="C591">
        <v>34</v>
      </c>
      <c r="D591">
        <v>39</v>
      </c>
      <c r="E591" s="1">
        <f t="shared" si="37"/>
        <v>0.46575342465753422</v>
      </c>
      <c r="F591" s="2">
        <v>113.6</v>
      </c>
      <c r="G591" s="2">
        <v>113.4</v>
      </c>
      <c r="H591" s="2">
        <f t="shared" si="38"/>
        <v>0.19999999999998863</v>
      </c>
      <c r="I591" s="1">
        <f t="shared" si="36"/>
        <v>0.50616708971115398</v>
      </c>
      <c r="J591" s="2">
        <v>111.3</v>
      </c>
      <c r="K591" s="2">
        <v>110.8</v>
      </c>
      <c r="L591" s="2">
        <f t="shared" si="39"/>
        <v>0.5</v>
      </c>
      <c r="M591">
        <v>110.3</v>
      </c>
      <c r="N591">
        <v>110.8</v>
      </c>
      <c r="O591">
        <v>-0.7</v>
      </c>
    </row>
    <row r="592" spans="1:15">
      <c r="A592" t="s">
        <v>60</v>
      </c>
      <c r="B592" t="s">
        <v>26</v>
      </c>
      <c r="C592">
        <v>35</v>
      </c>
      <c r="D592">
        <v>39</v>
      </c>
      <c r="E592" s="1">
        <f t="shared" si="37"/>
        <v>0.47297297297297297</v>
      </c>
      <c r="F592" s="2">
        <v>115</v>
      </c>
      <c r="G592" s="2">
        <v>116.1</v>
      </c>
      <c r="H592" s="2">
        <f t="shared" si="38"/>
        <v>-1.0999999999999943</v>
      </c>
      <c r="I592" s="1">
        <f t="shared" si="36"/>
        <v>0.46673007111560078</v>
      </c>
      <c r="J592" s="2">
        <v>113.2</v>
      </c>
      <c r="K592" s="2">
        <v>114.3</v>
      </c>
      <c r="L592" s="2">
        <f t="shared" si="39"/>
        <v>-1.0999999999999943</v>
      </c>
      <c r="M592">
        <v>117.2</v>
      </c>
      <c r="N592">
        <v>111.2</v>
      </c>
      <c r="O592">
        <v>1</v>
      </c>
    </row>
    <row r="593" spans="1:15">
      <c r="A593" t="s">
        <v>60</v>
      </c>
      <c r="B593" t="s">
        <v>27</v>
      </c>
      <c r="C593">
        <v>31</v>
      </c>
      <c r="D593">
        <v>41</v>
      </c>
      <c r="E593" s="1">
        <f t="shared" si="37"/>
        <v>0.43055555555555558</v>
      </c>
      <c r="F593" s="2">
        <v>110.1</v>
      </c>
      <c r="G593" s="2">
        <v>112.1</v>
      </c>
      <c r="H593" s="2">
        <f t="shared" si="38"/>
        <v>-2</v>
      </c>
      <c r="I593" s="1">
        <f t="shared" si="36"/>
        <v>0.43732341582347528</v>
      </c>
      <c r="J593" s="2">
        <v>109.5</v>
      </c>
      <c r="K593" s="2">
        <v>111.4</v>
      </c>
      <c r="L593" s="2">
        <f t="shared" si="39"/>
        <v>-1.9000000000000057</v>
      </c>
      <c r="M593">
        <v>111</v>
      </c>
      <c r="N593">
        <v>113.7</v>
      </c>
      <c r="O593">
        <v>0.1</v>
      </c>
    </row>
    <row r="594" spans="1:15">
      <c r="A594" t="s">
        <v>60</v>
      </c>
      <c r="B594" t="s">
        <v>28</v>
      </c>
      <c r="C594">
        <v>32</v>
      </c>
      <c r="D594">
        <v>39</v>
      </c>
      <c r="E594" s="1">
        <f t="shared" si="37"/>
        <v>0.45070422535211269</v>
      </c>
      <c r="F594" s="2">
        <v>114.1</v>
      </c>
      <c r="G594" s="2">
        <v>115.2</v>
      </c>
      <c r="H594" s="2">
        <f t="shared" si="38"/>
        <v>-1.1000000000000085</v>
      </c>
      <c r="I594" s="1">
        <f t="shared" si="36"/>
        <v>0.46646967958188307</v>
      </c>
      <c r="J594" s="2">
        <v>111.7</v>
      </c>
      <c r="K594" s="2">
        <v>112.6</v>
      </c>
      <c r="L594" s="2">
        <f t="shared" si="39"/>
        <v>-0.89999999999999147</v>
      </c>
      <c r="M594">
        <v>105.2</v>
      </c>
      <c r="N594">
        <v>112</v>
      </c>
      <c r="O594">
        <v>-0.9</v>
      </c>
    </row>
    <row r="595" spans="1:15">
      <c r="A595" t="s">
        <v>60</v>
      </c>
      <c r="B595" t="s">
        <v>30</v>
      </c>
      <c r="C595">
        <v>53</v>
      </c>
      <c r="D595">
        <v>19</v>
      </c>
      <c r="E595" s="1">
        <f t="shared" si="37"/>
        <v>0.73611111111111116</v>
      </c>
      <c r="F595" s="2">
        <v>112.8</v>
      </c>
      <c r="G595" s="2">
        <v>106.5</v>
      </c>
      <c r="H595" s="2">
        <f t="shared" si="38"/>
        <v>6.2999999999999972</v>
      </c>
      <c r="I595" s="1">
        <f t="shared" si="36"/>
        <v>0.69095738167684095</v>
      </c>
      <c r="J595" s="2">
        <v>110.8</v>
      </c>
      <c r="K595" s="2">
        <v>104.7</v>
      </c>
      <c r="L595" s="2">
        <f t="shared" si="39"/>
        <v>6.0999999999999943</v>
      </c>
      <c r="M595">
        <v>118.1</v>
      </c>
      <c r="N595">
        <v>97.4</v>
      </c>
      <c r="O595">
        <v>1.2</v>
      </c>
    </row>
    <row r="596" spans="1:15">
      <c r="A596" t="s">
        <v>60</v>
      </c>
      <c r="B596" t="s">
        <v>31</v>
      </c>
      <c r="C596">
        <v>44</v>
      </c>
      <c r="D596">
        <v>28</v>
      </c>
      <c r="E596" s="1">
        <f t="shared" si="37"/>
        <v>0.61111111111111116</v>
      </c>
      <c r="F596" s="2">
        <v>111.3</v>
      </c>
      <c r="G596" s="2">
        <v>108.8</v>
      </c>
      <c r="H596" s="2">
        <f t="shared" si="38"/>
        <v>2.5</v>
      </c>
      <c r="I596" s="1">
        <f t="shared" si="36"/>
        <v>0.57884917653720358</v>
      </c>
      <c r="J596" s="2">
        <v>111.8</v>
      </c>
      <c r="K596" s="2">
        <v>109.3</v>
      </c>
      <c r="L596" s="2">
        <f t="shared" si="39"/>
        <v>2.5</v>
      </c>
      <c r="M596">
        <v>112.8</v>
      </c>
      <c r="N596">
        <v>100.3</v>
      </c>
      <c r="O596">
        <v>0.1</v>
      </c>
    </row>
    <row r="597" spans="1:15">
      <c r="A597" t="s">
        <v>60</v>
      </c>
      <c r="B597" t="s">
        <v>33</v>
      </c>
      <c r="C597">
        <v>25</v>
      </c>
      <c r="D597">
        <v>47</v>
      </c>
      <c r="E597" s="1">
        <f t="shared" si="37"/>
        <v>0.34722222222222221</v>
      </c>
      <c r="F597" s="2">
        <v>114.4</v>
      </c>
      <c r="G597" s="2">
        <v>119.1</v>
      </c>
      <c r="H597" s="2">
        <f t="shared" si="38"/>
        <v>-4.6999999999999886</v>
      </c>
      <c r="I597" s="1">
        <f t="shared" si="36"/>
        <v>0.36269789474955427</v>
      </c>
      <c r="J597" s="2">
        <v>110.2</v>
      </c>
      <c r="K597" s="2">
        <v>114.7</v>
      </c>
      <c r="L597" s="2">
        <f t="shared" si="39"/>
        <v>-4.5</v>
      </c>
      <c r="M597">
        <v>104.3</v>
      </c>
      <c r="N597">
        <v>119.6</v>
      </c>
      <c r="O597">
        <v>0.2</v>
      </c>
    </row>
    <row r="598" spans="1:15">
      <c r="A598" t="s">
        <v>61</v>
      </c>
      <c r="B598" t="s">
        <v>5</v>
      </c>
      <c r="C598">
        <v>41</v>
      </c>
      <c r="D598">
        <v>31</v>
      </c>
      <c r="E598" s="1">
        <f t="shared" si="37"/>
        <v>0.56944444444444442</v>
      </c>
      <c r="F598" s="2">
        <v>113.7</v>
      </c>
      <c r="G598" s="2">
        <v>111.4</v>
      </c>
      <c r="H598" s="2">
        <f t="shared" si="38"/>
        <v>2.2999999999999972</v>
      </c>
      <c r="I598" s="1">
        <f t="shared" si="36"/>
        <v>0.57104231246361747</v>
      </c>
      <c r="J598" s="2">
        <v>114.3</v>
      </c>
      <c r="K598" s="2">
        <v>112.1</v>
      </c>
      <c r="L598" s="2">
        <f t="shared" si="39"/>
        <v>2.2000000000000028</v>
      </c>
      <c r="M598">
        <v>113.7</v>
      </c>
      <c r="N598">
        <v>113.1</v>
      </c>
      <c r="O598">
        <v>0.7</v>
      </c>
    </row>
    <row r="599" spans="1:15">
      <c r="A599" t="s">
        <v>61</v>
      </c>
      <c r="B599" t="s">
        <v>6</v>
      </c>
      <c r="C599">
        <v>36</v>
      </c>
      <c r="D599">
        <v>36</v>
      </c>
      <c r="E599" s="1">
        <f t="shared" si="37"/>
        <v>0.5</v>
      </c>
      <c r="F599" s="2">
        <v>112.6</v>
      </c>
      <c r="G599" s="2">
        <v>111.2</v>
      </c>
      <c r="H599" s="2">
        <f t="shared" si="38"/>
        <v>1.3999999999999915</v>
      </c>
      <c r="I599" s="1">
        <f t="shared" si="36"/>
        <v>0.54367805340698128</v>
      </c>
      <c r="J599" s="2">
        <v>113.1</v>
      </c>
      <c r="K599" s="2">
        <v>111.8</v>
      </c>
      <c r="L599" s="2">
        <f t="shared" si="39"/>
        <v>1.2999999999999972</v>
      </c>
      <c r="M599">
        <v>101.5</v>
      </c>
      <c r="N599">
        <v>112.4</v>
      </c>
      <c r="O599">
        <v>0.5</v>
      </c>
    </row>
    <row r="600" spans="1:15">
      <c r="A600" t="s">
        <v>61</v>
      </c>
      <c r="B600" t="s">
        <v>51</v>
      </c>
      <c r="C600">
        <v>48</v>
      </c>
      <c r="D600">
        <v>24</v>
      </c>
      <c r="E600" s="1">
        <f t="shared" si="37"/>
        <v>0.66666666666666663</v>
      </c>
      <c r="F600" s="2">
        <v>118.6</v>
      </c>
      <c r="G600" s="2">
        <v>114.1</v>
      </c>
      <c r="H600" s="2">
        <f t="shared" si="38"/>
        <v>4.5</v>
      </c>
      <c r="I600" s="1">
        <f t="shared" si="36"/>
        <v>0.63216994078193656</v>
      </c>
      <c r="J600" s="2">
        <v>117.3</v>
      </c>
      <c r="K600" s="2">
        <v>113.1</v>
      </c>
      <c r="L600" s="2">
        <f t="shared" si="39"/>
        <v>4.2000000000000028</v>
      </c>
      <c r="M600">
        <v>113.2</v>
      </c>
      <c r="N600">
        <v>103.5</v>
      </c>
      <c r="O600">
        <v>0.9</v>
      </c>
    </row>
    <row r="601" spans="1:15">
      <c r="A601" t="s">
        <v>61</v>
      </c>
      <c r="B601" t="s">
        <v>7</v>
      </c>
      <c r="C601">
        <v>33</v>
      </c>
      <c r="D601">
        <v>39</v>
      </c>
      <c r="E601" s="1">
        <f t="shared" si="37"/>
        <v>0.45833333333333331</v>
      </c>
      <c r="F601" s="2">
        <v>109.5</v>
      </c>
      <c r="G601" s="2">
        <v>111.4</v>
      </c>
      <c r="H601" s="2">
        <f t="shared" si="38"/>
        <v>-1.9000000000000057</v>
      </c>
      <c r="I601" s="1">
        <f t="shared" si="36"/>
        <v>0.4400796285378884</v>
      </c>
      <c r="J601" s="2">
        <v>110.1</v>
      </c>
      <c r="K601" s="2">
        <v>112</v>
      </c>
      <c r="L601" s="2">
        <f t="shared" si="39"/>
        <v>-1.9000000000000057</v>
      </c>
      <c r="M601">
        <v>122.2</v>
      </c>
      <c r="N601">
        <v>102.4</v>
      </c>
      <c r="O601">
        <v>0</v>
      </c>
    </row>
    <row r="602" spans="1:15">
      <c r="A602" t="s">
        <v>61</v>
      </c>
      <c r="B602" t="s">
        <v>8</v>
      </c>
      <c r="C602">
        <v>31</v>
      </c>
      <c r="D602">
        <v>41</v>
      </c>
      <c r="E602" s="1">
        <f t="shared" si="37"/>
        <v>0.43055555555555558</v>
      </c>
      <c r="F602" s="2">
        <v>110.7</v>
      </c>
      <c r="G602" s="2">
        <v>111.6</v>
      </c>
      <c r="H602" s="2">
        <f t="shared" si="38"/>
        <v>-0.89999999999999147</v>
      </c>
      <c r="I602" s="1">
        <f t="shared" si="36"/>
        <v>0.47169007456598405</v>
      </c>
      <c r="J602" s="2">
        <v>110.4</v>
      </c>
      <c r="K602" s="2">
        <v>111.5</v>
      </c>
      <c r="L602" s="2">
        <f t="shared" si="39"/>
        <v>-1.0999999999999943</v>
      </c>
      <c r="M602">
        <v>107.1</v>
      </c>
      <c r="N602">
        <v>115.2</v>
      </c>
      <c r="O602">
        <v>-1.1000000000000001</v>
      </c>
    </row>
    <row r="603" spans="1:15">
      <c r="A603" t="s">
        <v>61</v>
      </c>
      <c r="B603" t="s">
        <v>9</v>
      </c>
      <c r="C603">
        <v>22</v>
      </c>
      <c r="D603">
        <v>50</v>
      </c>
      <c r="E603" s="1">
        <f t="shared" si="37"/>
        <v>0.30555555555555558</v>
      </c>
      <c r="F603" s="2">
        <v>103.8</v>
      </c>
      <c r="G603" s="2">
        <v>112.3</v>
      </c>
      <c r="H603" s="2">
        <f t="shared" si="38"/>
        <v>-8.5</v>
      </c>
      <c r="I603" s="1">
        <f t="shared" si="36"/>
        <v>0.24938210026428717</v>
      </c>
      <c r="J603" s="2">
        <v>105.2</v>
      </c>
      <c r="K603" s="2">
        <v>113.5</v>
      </c>
      <c r="L603" s="2">
        <f t="shared" si="39"/>
        <v>-8.2999999999999972</v>
      </c>
      <c r="M603">
        <v>99.1</v>
      </c>
      <c r="N603">
        <v>106.4</v>
      </c>
      <c r="O603">
        <v>-1.5</v>
      </c>
    </row>
    <row r="604" spans="1:15">
      <c r="A604" t="s">
        <v>61</v>
      </c>
      <c r="B604" t="s">
        <v>10</v>
      </c>
      <c r="C604">
        <v>42</v>
      </c>
      <c r="D604">
        <v>30</v>
      </c>
      <c r="E604" s="1">
        <f t="shared" si="37"/>
        <v>0.58333333333333337</v>
      </c>
      <c r="F604" s="2">
        <v>112.4</v>
      </c>
      <c r="G604" s="2">
        <v>110.2</v>
      </c>
      <c r="H604" s="2">
        <f t="shared" si="38"/>
        <v>2.2000000000000028</v>
      </c>
      <c r="I604" s="1">
        <f t="shared" si="36"/>
        <v>0.56874646032092568</v>
      </c>
      <c r="J604" s="2">
        <v>114.6</v>
      </c>
      <c r="K604" s="2">
        <v>112.3</v>
      </c>
      <c r="L604" s="2">
        <f t="shared" si="39"/>
        <v>2.2999999999999972</v>
      </c>
      <c r="M604">
        <v>116.3</v>
      </c>
      <c r="N604">
        <v>122</v>
      </c>
      <c r="O604">
        <v>-0.3</v>
      </c>
    </row>
    <row r="605" spans="1:15">
      <c r="A605" t="s">
        <v>61</v>
      </c>
      <c r="B605" t="s">
        <v>11</v>
      </c>
      <c r="C605">
        <v>47</v>
      </c>
      <c r="D605">
        <v>25</v>
      </c>
      <c r="E605" s="1">
        <f t="shared" si="37"/>
        <v>0.65277777777777779</v>
      </c>
      <c r="F605" s="2">
        <v>115.1</v>
      </c>
      <c r="G605" s="2">
        <v>110.1</v>
      </c>
      <c r="H605" s="2">
        <f t="shared" si="38"/>
        <v>5</v>
      </c>
      <c r="I605" s="1">
        <f t="shared" si="36"/>
        <v>0.65062141130812434</v>
      </c>
      <c r="J605" s="2">
        <v>116.3</v>
      </c>
      <c r="K605" s="2">
        <v>111.5</v>
      </c>
      <c r="L605" s="2">
        <f t="shared" si="39"/>
        <v>4.7999999999999972</v>
      </c>
      <c r="M605">
        <v>114.4</v>
      </c>
      <c r="N605">
        <v>109</v>
      </c>
      <c r="O605">
        <v>0.7</v>
      </c>
    </row>
    <row r="606" spans="1:15">
      <c r="A606" t="s">
        <v>61</v>
      </c>
      <c r="B606" t="s">
        <v>12</v>
      </c>
      <c r="C606">
        <v>20</v>
      </c>
      <c r="D606">
        <v>52</v>
      </c>
      <c r="E606" s="1">
        <f t="shared" si="37"/>
        <v>0.27777777777777779</v>
      </c>
      <c r="F606" s="2">
        <v>106.6</v>
      </c>
      <c r="G606" s="2">
        <v>111.1</v>
      </c>
      <c r="H606" s="2">
        <f t="shared" si="38"/>
        <v>-4.5</v>
      </c>
      <c r="I606" s="1">
        <f t="shared" si="36"/>
        <v>0.35919481428812144</v>
      </c>
      <c r="J606" s="2">
        <v>107.6</v>
      </c>
      <c r="K606" s="2">
        <v>112.2</v>
      </c>
      <c r="L606" s="2">
        <f t="shared" si="39"/>
        <v>-4.6000000000000085</v>
      </c>
      <c r="M606">
        <v>101.2</v>
      </c>
      <c r="N606">
        <v>121.7</v>
      </c>
      <c r="O606">
        <v>-0.3</v>
      </c>
    </row>
    <row r="607" spans="1:15">
      <c r="A607" t="s">
        <v>61</v>
      </c>
      <c r="B607" t="s">
        <v>13</v>
      </c>
      <c r="C607">
        <v>39</v>
      </c>
      <c r="D607">
        <v>33</v>
      </c>
      <c r="E607" s="1">
        <f t="shared" si="37"/>
        <v>0.54166666666666663</v>
      </c>
      <c r="F607" s="2">
        <v>113.7</v>
      </c>
      <c r="G607" s="2">
        <v>112.7</v>
      </c>
      <c r="H607" s="2">
        <f t="shared" si="38"/>
        <v>1</v>
      </c>
      <c r="I607" s="1">
        <f t="shared" si="36"/>
        <v>0.53087957866492586</v>
      </c>
      <c r="J607" s="2">
        <v>110.5</v>
      </c>
      <c r="K607" s="2">
        <v>109.4</v>
      </c>
      <c r="L607" s="2">
        <f t="shared" si="39"/>
        <v>1.0999999999999943</v>
      </c>
      <c r="M607">
        <v>112.6</v>
      </c>
      <c r="N607">
        <v>119.3</v>
      </c>
      <c r="O607">
        <v>0.2</v>
      </c>
    </row>
    <row r="608" spans="1:15">
      <c r="A608" t="s">
        <v>61</v>
      </c>
      <c r="B608" t="s">
        <v>14</v>
      </c>
      <c r="C608">
        <v>17</v>
      </c>
      <c r="D608">
        <v>55</v>
      </c>
      <c r="E608" s="1">
        <f t="shared" si="37"/>
        <v>0.2361111111111111</v>
      </c>
      <c r="F608" s="2">
        <v>108.8</v>
      </c>
      <c r="G608" s="2">
        <v>116.7</v>
      </c>
      <c r="H608" s="2">
        <f t="shared" si="38"/>
        <v>-7.9000000000000057</v>
      </c>
      <c r="I608" s="1">
        <f t="shared" si="36"/>
        <v>0.27262739354761001</v>
      </c>
      <c r="J608" s="2">
        <v>107</v>
      </c>
      <c r="K608" s="2">
        <v>114.4</v>
      </c>
      <c r="L608" s="2">
        <f t="shared" si="39"/>
        <v>-7.4000000000000057</v>
      </c>
      <c r="M608">
        <v>97</v>
      </c>
      <c r="N608">
        <v>112.9</v>
      </c>
      <c r="O608">
        <v>-1.2</v>
      </c>
    </row>
    <row r="609" spans="1:15">
      <c r="A609" t="s">
        <v>61</v>
      </c>
      <c r="B609" t="s">
        <v>15</v>
      </c>
      <c r="C609">
        <v>34</v>
      </c>
      <c r="D609">
        <v>38</v>
      </c>
      <c r="E609" s="1">
        <f t="shared" si="37"/>
        <v>0.47222222222222221</v>
      </c>
      <c r="F609" s="2">
        <v>115.3</v>
      </c>
      <c r="G609" s="2">
        <v>115.3</v>
      </c>
      <c r="H609" s="2">
        <f t="shared" si="38"/>
        <v>0</v>
      </c>
      <c r="I609" s="1">
        <f t="shared" si="36"/>
        <v>0.5</v>
      </c>
      <c r="J609" s="2">
        <v>111.9</v>
      </c>
      <c r="K609" s="2">
        <v>111.9</v>
      </c>
      <c r="L609" s="2">
        <f t="shared" si="39"/>
        <v>0</v>
      </c>
      <c r="M609">
        <v>101.1</v>
      </c>
      <c r="N609">
        <v>102.9</v>
      </c>
      <c r="O609">
        <v>-0.2</v>
      </c>
    </row>
    <row r="610" spans="1:15">
      <c r="A610" t="s">
        <v>61</v>
      </c>
      <c r="B610" t="s">
        <v>56</v>
      </c>
      <c r="C610">
        <v>47</v>
      </c>
      <c r="D610">
        <v>25</v>
      </c>
      <c r="E610" s="1">
        <f t="shared" si="37"/>
        <v>0.65277777777777779</v>
      </c>
      <c r="F610" s="2">
        <v>114</v>
      </c>
      <c r="G610" s="2">
        <v>107.8</v>
      </c>
      <c r="H610" s="2">
        <f t="shared" si="38"/>
        <v>6.2000000000000028</v>
      </c>
      <c r="I610" s="1">
        <f t="shared" si="36"/>
        <v>0.68630286858129474</v>
      </c>
      <c r="J610" s="2">
        <v>116.7</v>
      </c>
      <c r="K610" s="2">
        <v>110.6</v>
      </c>
      <c r="L610" s="2">
        <f t="shared" si="39"/>
        <v>6.1000000000000085</v>
      </c>
      <c r="M610">
        <v>110.3</v>
      </c>
      <c r="N610">
        <v>117.5</v>
      </c>
      <c r="O610">
        <v>1.1000000000000001</v>
      </c>
    </row>
    <row r="611" spans="1:15">
      <c r="A611" t="s">
        <v>61</v>
      </c>
      <c r="B611" t="s">
        <v>17</v>
      </c>
      <c r="C611">
        <v>42</v>
      </c>
      <c r="D611">
        <v>30</v>
      </c>
      <c r="E611" s="1">
        <f t="shared" si="37"/>
        <v>0.58333333333333337</v>
      </c>
      <c r="F611" s="2">
        <v>109.5</v>
      </c>
      <c r="G611" s="2">
        <v>106.8</v>
      </c>
      <c r="H611" s="2">
        <f t="shared" si="38"/>
        <v>2.7000000000000028</v>
      </c>
      <c r="I611" s="1">
        <f t="shared" si="36"/>
        <v>0.58650425971999209</v>
      </c>
      <c r="J611" s="2">
        <v>109.8</v>
      </c>
      <c r="K611" s="2">
        <v>106.8</v>
      </c>
      <c r="L611" s="2">
        <f t="shared" si="39"/>
        <v>3</v>
      </c>
      <c r="M611">
        <v>110.5</v>
      </c>
      <c r="N611">
        <v>99.6</v>
      </c>
      <c r="O611">
        <v>1.3</v>
      </c>
    </row>
    <row r="612" spans="1:15">
      <c r="A612" t="s">
        <v>61</v>
      </c>
      <c r="B612" t="s">
        <v>35</v>
      </c>
      <c r="C612">
        <v>38</v>
      </c>
      <c r="D612">
        <v>34</v>
      </c>
      <c r="E612" s="1">
        <f t="shared" si="37"/>
        <v>0.52777777777777779</v>
      </c>
      <c r="F612" s="2">
        <v>113.3</v>
      </c>
      <c r="G612" s="2">
        <v>112.3</v>
      </c>
      <c r="H612" s="2">
        <f t="shared" si="38"/>
        <v>1</v>
      </c>
      <c r="I612" s="1">
        <f t="shared" si="36"/>
        <v>0.53098880201006593</v>
      </c>
      <c r="J612" s="2">
        <v>111.7</v>
      </c>
      <c r="K612" s="2">
        <v>110.5</v>
      </c>
      <c r="L612" s="2">
        <f t="shared" si="39"/>
        <v>1.2000000000000028</v>
      </c>
      <c r="M612">
        <v>101.6</v>
      </c>
      <c r="N612">
        <v>110.9</v>
      </c>
      <c r="O612">
        <v>-0.2</v>
      </c>
    </row>
    <row r="613" spans="1:15">
      <c r="A613" t="s">
        <v>61</v>
      </c>
      <c r="B613" t="s">
        <v>18</v>
      </c>
      <c r="C613">
        <v>40</v>
      </c>
      <c r="D613">
        <v>32</v>
      </c>
      <c r="E613" s="1">
        <f t="shared" si="37"/>
        <v>0.55555555555555558</v>
      </c>
      <c r="F613" s="2">
        <v>108.1</v>
      </c>
      <c r="G613" s="2">
        <v>108</v>
      </c>
      <c r="H613" s="2">
        <f t="shared" si="38"/>
        <v>9.9999999999994316E-2</v>
      </c>
      <c r="I613" s="1">
        <f t="shared" si="36"/>
        <v>0.50323919600627853</v>
      </c>
      <c r="J613" s="2">
        <v>110.6</v>
      </c>
      <c r="K613" s="2">
        <v>110.7</v>
      </c>
      <c r="L613" s="2">
        <f t="shared" si="39"/>
        <v>-0.10000000000000853</v>
      </c>
      <c r="M613">
        <v>95.1</v>
      </c>
      <c r="N613">
        <v>102.1</v>
      </c>
      <c r="O613">
        <v>-1.1000000000000001</v>
      </c>
    </row>
    <row r="614" spans="1:15">
      <c r="A614" t="s">
        <v>61</v>
      </c>
      <c r="B614" t="s">
        <v>19</v>
      </c>
      <c r="C614">
        <v>46</v>
      </c>
      <c r="D614">
        <v>26</v>
      </c>
      <c r="E614" s="1">
        <f t="shared" si="37"/>
        <v>0.63888888888888884</v>
      </c>
      <c r="F614" s="2">
        <v>120.1</v>
      </c>
      <c r="G614" s="2">
        <v>114.2</v>
      </c>
      <c r="H614" s="2">
        <f t="shared" si="38"/>
        <v>5.8999999999999915</v>
      </c>
      <c r="I614" s="1">
        <f t="shared" si="36"/>
        <v>0.66934587633870324</v>
      </c>
      <c r="J614" s="2">
        <v>116.5</v>
      </c>
      <c r="K614" s="2">
        <v>110.7</v>
      </c>
      <c r="L614" s="2">
        <f t="shared" si="39"/>
        <v>5.7999999999999972</v>
      </c>
      <c r="M614">
        <v>107</v>
      </c>
      <c r="N614">
        <v>105.5</v>
      </c>
      <c r="O614">
        <v>-0.2</v>
      </c>
    </row>
    <row r="615" spans="1:15">
      <c r="A615" t="s">
        <v>61</v>
      </c>
      <c r="B615" t="s">
        <v>20</v>
      </c>
      <c r="C615">
        <v>23</v>
      </c>
      <c r="D615">
        <v>49</v>
      </c>
      <c r="E615" s="1">
        <f t="shared" si="37"/>
        <v>0.31944444444444442</v>
      </c>
      <c r="F615" s="2">
        <v>112.1</v>
      </c>
      <c r="G615" s="2">
        <v>117.7</v>
      </c>
      <c r="H615" s="2">
        <f t="shared" si="38"/>
        <v>-5.6000000000000085</v>
      </c>
      <c r="I615" s="1">
        <f t="shared" si="36"/>
        <v>0.3357107873197604</v>
      </c>
      <c r="J615" s="2">
        <v>109.3</v>
      </c>
      <c r="K615" s="2">
        <v>114.5</v>
      </c>
      <c r="L615" s="2">
        <f t="shared" si="39"/>
        <v>-5.2000000000000028</v>
      </c>
      <c r="M615">
        <v>105.4</v>
      </c>
      <c r="N615">
        <v>117.2</v>
      </c>
      <c r="O615">
        <v>0.4</v>
      </c>
    </row>
    <row r="616" spans="1:15">
      <c r="A616" t="s">
        <v>61</v>
      </c>
      <c r="B616" t="s">
        <v>53</v>
      </c>
      <c r="C616">
        <v>31</v>
      </c>
      <c r="D616">
        <v>41</v>
      </c>
      <c r="E616" s="1">
        <f t="shared" si="37"/>
        <v>0.43055555555555558</v>
      </c>
      <c r="F616" s="2">
        <v>114.6</v>
      </c>
      <c r="G616" s="2">
        <v>114.9</v>
      </c>
      <c r="H616" s="2">
        <f t="shared" si="38"/>
        <v>-0.30000000000001137</v>
      </c>
      <c r="I616" s="1">
        <f t="shared" si="36"/>
        <v>0.49085068937961135</v>
      </c>
      <c r="J616" s="2">
        <v>113</v>
      </c>
      <c r="K616" s="2">
        <v>113.3</v>
      </c>
      <c r="L616" s="2">
        <f t="shared" si="39"/>
        <v>-0.29999999999999716</v>
      </c>
      <c r="M616">
        <v>109</v>
      </c>
      <c r="N616">
        <v>101.5</v>
      </c>
      <c r="O616">
        <v>0.5</v>
      </c>
    </row>
    <row r="617" spans="1:15">
      <c r="A617" t="s">
        <v>61</v>
      </c>
      <c r="B617" t="s">
        <v>22</v>
      </c>
      <c r="C617">
        <v>41</v>
      </c>
      <c r="D617">
        <v>31</v>
      </c>
      <c r="E617" s="1">
        <f t="shared" si="37"/>
        <v>0.56944444444444442</v>
      </c>
      <c r="F617" s="2">
        <v>107</v>
      </c>
      <c r="G617" s="2">
        <v>104.7</v>
      </c>
      <c r="H617" s="2">
        <f t="shared" si="38"/>
        <v>2.2999999999999972</v>
      </c>
      <c r="I617" s="1">
        <f t="shared" si="36"/>
        <v>0.57547283603033039</v>
      </c>
      <c r="J617" s="2">
        <v>110.2</v>
      </c>
      <c r="K617" s="2">
        <v>107.8</v>
      </c>
      <c r="L617" s="2">
        <f t="shared" si="39"/>
        <v>2.4000000000000057</v>
      </c>
      <c r="M617">
        <v>106.3</v>
      </c>
      <c r="N617">
        <v>94.8</v>
      </c>
      <c r="O617">
        <v>-0.4</v>
      </c>
    </row>
    <row r="618" spans="1:15">
      <c r="A618" t="s">
        <v>61</v>
      </c>
      <c r="B618" t="s">
        <v>46</v>
      </c>
      <c r="C618">
        <v>22</v>
      </c>
      <c r="D618">
        <v>50</v>
      </c>
      <c r="E618" s="1">
        <f t="shared" si="37"/>
        <v>0.30555555555555558</v>
      </c>
      <c r="F618" s="2">
        <v>105</v>
      </c>
      <c r="G618" s="2">
        <v>115.6</v>
      </c>
      <c r="H618" s="2">
        <f t="shared" si="38"/>
        <v>-10.599999999999994</v>
      </c>
      <c r="I618" s="1">
        <f t="shared" si="36"/>
        <v>0.20644996928068904</v>
      </c>
      <c r="J618" s="2">
        <v>102.8</v>
      </c>
      <c r="K618" s="2">
        <v>113.4</v>
      </c>
      <c r="L618" s="2">
        <f t="shared" si="39"/>
        <v>-10.600000000000009</v>
      </c>
      <c r="M618">
        <v>102.7</v>
      </c>
      <c r="N618">
        <v>101.8</v>
      </c>
      <c r="O618">
        <v>-1.1000000000000001</v>
      </c>
    </row>
    <row r="619" spans="1:15">
      <c r="A619" t="s">
        <v>61</v>
      </c>
      <c r="B619" t="s">
        <v>23</v>
      </c>
      <c r="C619">
        <v>21</v>
      </c>
      <c r="D619">
        <v>51</v>
      </c>
      <c r="E619" s="1">
        <f t="shared" si="37"/>
        <v>0.29166666666666669</v>
      </c>
      <c r="F619" s="2">
        <v>104</v>
      </c>
      <c r="G619" s="2">
        <v>113.3</v>
      </c>
      <c r="H619" s="2">
        <f t="shared" si="38"/>
        <v>-9.2999999999999972</v>
      </c>
      <c r="I619" s="1">
        <f t="shared" si="36"/>
        <v>0.23163967366224553</v>
      </c>
      <c r="J619" s="2">
        <v>104.6</v>
      </c>
      <c r="K619" s="2">
        <v>113.9</v>
      </c>
      <c r="L619" s="2">
        <f t="shared" si="39"/>
        <v>-9.3000000000000114</v>
      </c>
      <c r="M619">
        <v>106.5</v>
      </c>
      <c r="N619">
        <v>105.7</v>
      </c>
      <c r="O619">
        <v>-1.8</v>
      </c>
    </row>
    <row r="620" spans="1:15">
      <c r="A620" t="s">
        <v>61</v>
      </c>
      <c r="B620" t="s">
        <v>24</v>
      </c>
      <c r="C620">
        <v>49</v>
      </c>
      <c r="D620">
        <v>23</v>
      </c>
      <c r="E620" s="1">
        <f t="shared" si="37"/>
        <v>0.68055555555555558</v>
      </c>
      <c r="F620" s="2">
        <v>113.6</v>
      </c>
      <c r="G620" s="2">
        <v>108.1</v>
      </c>
      <c r="H620" s="2">
        <f t="shared" si="38"/>
        <v>5.5</v>
      </c>
      <c r="I620" s="1">
        <f t="shared" si="36"/>
        <v>0.66702829346339876</v>
      </c>
      <c r="J620" s="2">
        <v>112.5</v>
      </c>
      <c r="K620" s="2">
        <v>107</v>
      </c>
      <c r="L620" s="2">
        <f t="shared" si="39"/>
        <v>5.5</v>
      </c>
      <c r="M620">
        <v>112.5</v>
      </c>
      <c r="N620">
        <v>97.4</v>
      </c>
      <c r="O620">
        <v>1.3</v>
      </c>
    </row>
    <row r="621" spans="1:15">
      <c r="A621" t="s">
        <v>61</v>
      </c>
      <c r="B621" t="s">
        <v>25</v>
      </c>
      <c r="C621">
        <v>51</v>
      </c>
      <c r="D621">
        <v>21</v>
      </c>
      <c r="E621" s="1">
        <f t="shared" si="37"/>
        <v>0.70833333333333337</v>
      </c>
      <c r="F621" s="2">
        <v>115.3</v>
      </c>
      <c r="G621" s="2">
        <v>109.5</v>
      </c>
      <c r="H621" s="2">
        <f t="shared" si="38"/>
        <v>5.7999999999999972</v>
      </c>
      <c r="I621" s="1">
        <f t="shared" si="36"/>
        <v>0.67317496175026137</v>
      </c>
      <c r="J621" s="2">
        <v>116.3</v>
      </c>
      <c r="K621" s="2">
        <v>110.4</v>
      </c>
      <c r="L621" s="2">
        <f t="shared" si="39"/>
        <v>5.8999999999999915</v>
      </c>
      <c r="M621">
        <v>110.3</v>
      </c>
      <c r="N621">
        <v>107.9</v>
      </c>
      <c r="O621">
        <v>0.7</v>
      </c>
    </row>
    <row r="622" spans="1:15">
      <c r="A622" t="s">
        <v>61</v>
      </c>
      <c r="B622" t="s">
        <v>26</v>
      </c>
      <c r="C622">
        <v>42</v>
      </c>
      <c r="D622">
        <v>30</v>
      </c>
      <c r="E622" s="1">
        <f t="shared" si="37"/>
        <v>0.58333333333333337</v>
      </c>
      <c r="F622" s="2">
        <v>116.1</v>
      </c>
      <c r="G622" s="2">
        <v>114.3</v>
      </c>
      <c r="H622" s="2">
        <f t="shared" si="38"/>
        <v>1.7999999999999972</v>
      </c>
      <c r="I622" s="1">
        <f t="shared" si="36"/>
        <v>0.55447156441574497</v>
      </c>
      <c r="J622" s="2">
        <v>117.1</v>
      </c>
      <c r="K622" s="2">
        <v>115.3</v>
      </c>
      <c r="L622" s="2">
        <f t="shared" si="39"/>
        <v>1.7999999999999972</v>
      </c>
      <c r="M622">
        <v>127.7</v>
      </c>
      <c r="N622">
        <v>98.6</v>
      </c>
      <c r="O622">
        <v>0.7</v>
      </c>
    </row>
    <row r="623" spans="1:15">
      <c r="A623" t="s">
        <v>61</v>
      </c>
      <c r="B623" t="s">
        <v>27</v>
      </c>
      <c r="C623">
        <v>31</v>
      </c>
      <c r="D623">
        <v>41</v>
      </c>
      <c r="E623" s="1">
        <f t="shared" si="37"/>
        <v>0.43055555555555558</v>
      </c>
      <c r="F623" s="2">
        <v>113.7</v>
      </c>
      <c r="G623" s="2">
        <v>117.4</v>
      </c>
      <c r="H623" s="2">
        <f t="shared" si="38"/>
        <v>-3.7000000000000028</v>
      </c>
      <c r="I623" s="1">
        <f t="shared" si="36"/>
        <v>0.38975811254317522</v>
      </c>
      <c r="J623" s="2">
        <v>112.7</v>
      </c>
      <c r="K623" s="2">
        <v>116.5</v>
      </c>
      <c r="L623" s="2">
        <f t="shared" si="39"/>
        <v>-3.7999999999999972</v>
      </c>
      <c r="M623">
        <v>107.9</v>
      </c>
      <c r="N623">
        <v>114.9</v>
      </c>
      <c r="O623">
        <v>-1</v>
      </c>
    </row>
    <row r="624" spans="1:15">
      <c r="A624" t="s">
        <v>61</v>
      </c>
      <c r="B624" t="s">
        <v>28</v>
      </c>
      <c r="C624">
        <v>33</v>
      </c>
      <c r="D624">
        <v>39</v>
      </c>
      <c r="E624" s="1">
        <f t="shared" si="37"/>
        <v>0.45833333333333331</v>
      </c>
      <c r="F624" s="2">
        <v>111.1</v>
      </c>
      <c r="G624" s="2">
        <v>112.8</v>
      </c>
      <c r="H624" s="2">
        <f t="shared" si="38"/>
        <v>-1.7000000000000028</v>
      </c>
      <c r="I624" s="1">
        <f t="shared" si="36"/>
        <v>0.44704954082867138</v>
      </c>
      <c r="J624" s="2">
        <v>110.5</v>
      </c>
      <c r="K624" s="2">
        <v>112</v>
      </c>
      <c r="L624" s="2">
        <f t="shared" si="39"/>
        <v>-1.5</v>
      </c>
      <c r="M624">
        <v>105</v>
      </c>
      <c r="N624">
        <v>108.9</v>
      </c>
      <c r="O624">
        <v>-0.3</v>
      </c>
    </row>
    <row r="625" spans="1:15">
      <c r="A625" t="s">
        <v>61</v>
      </c>
      <c r="B625" t="s">
        <v>30</v>
      </c>
      <c r="C625">
        <v>27</v>
      </c>
      <c r="D625">
        <v>45</v>
      </c>
      <c r="E625" s="1">
        <f t="shared" si="37"/>
        <v>0.375</v>
      </c>
      <c r="F625" s="2">
        <v>111.3</v>
      </c>
      <c r="G625" s="2">
        <v>111.7</v>
      </c>
      <c r="H625" s="2">
        <f t="shared" si="38"/>
        <v>-0.40000000000000568</v>
      </c>
      <c r="I625" s="1">
        <f t="shared" si="36"/>
        <v>0.48744657142272707</v>
      </c>
      <c r="J625" s="2">
        <v>111.6</v>
      </c>
      <c r="K625" s="2">
        <v>112</v>
      </c>
      <c r="L625" s="2">
        <f t="shared" si="39"/>
        <v>-0.40000000000000568</v>
      </c>
      <c r="M625">
        <v>100.8</v>
      </c>
      <c r="N625">
        <v>113.3</v>
      </c>
      <c r="O625">
        <v>0.8</v>
      </c>
    </row>
    <row r="626" spans="1:15">
      <c r="A626" t="s">
        <v>61</v>
      </c>
      <c r="B626" t="s">
        <v>31</v>
      </c>
      <c r="C626">
        <v>52</v>
      </c>
      <c r="D626">
        <v>20</v>
      </c>
      <c r="E626" s="1">
        <f t="shared" si="37"/>
        <v>0.72222222222222221</v>
      </c>
      <c r="F626" s="2">
        <v>116.4</v>
      </c>
      <c r="G626" s="2">
        <v>107.2</v>
      </c>
      <c r="H626" s="2">
        <f t="shared" si="38"/>
        <v>9.2000000000000028</v>
      </c>
      <c r="I626" s="1">
        <f t="shared" si="36"/>
        <v>0.76000519896530916</v>
      </c>
      <c r="J626" s="2">
        <v>116.5</v>
      </c>
      <c r="K626" s="2">
        <v>107.5</v>
      </c>
      <c r="L626" s="2">
        <f t="shared" si="39"/>
        <v>9</v>
      </c>
      <c r="M626">
        <v>118.2</v>
      </c>
      <c r="N626">
        <v>110.1</v>
      </c>
      <c r="O626">
        <v>1.2</v>
      </c>
    </row>
    <row r="627" spans="1:15">
      <c r="A627" t="s">
        <v>61</v>
      </c>
      <c r="B627" t="s">
        <v>33</v>
      </c>
      <c r="C627">
        <v>34</v>
      </c>
      <c r="D627">
        <v>38</v>
      </c>
      <c r="E627" s="1">
        <f t="shared" si="37"/>
        <v>0.47222222222222221</v>
      </c>
      <c r="F627" s="2">
        <v>116.6</v>
      </c>
      <c r="G627" s="2">
        <v>118.5</v>
      </c>
      <c r="H627" s="2">
        <f t="shared" si="38"/>
        <v>-1.9000000000000057</v>
      </c>
      <c r="I627" s="1">
        <f t="shared" si="36"/>
        <v>0.44366728176929326</v>
      </c>
      <c r="J627" s="2">
        <v>110.7</v>
      </c>
      <c r="K627" s="2">
        <v>112.3</v>
      </c>
      <c r="L627" s="2">
        <f t="shared" si="39"/>
        <v>-1.5999999999999943</v>
      </c>
      <c r="M627">
        <v>110.5</v>
      </c>
      <c r="N627">
        <v>107.7</v>
      </c>
      <c r="O627">
        <v>-0.3</v>
      </c>
    </row>
    <row r="628" spans="1:15">
      <c r="A628" t="s">
        <v>62</v>
      </c>
      <c r="B628" t="s">
        <v>5</v>
      </c>
      <c r="C628">
        <v>43</v>
      </c>
      <c r="D628">
        <v>39</v>
      </c>
      <c r="E628" s="1">
        <f t="shared" si="37"/>
        <v>0.52439024390243905</v>
      </c>
      <c r="F628" s="2">
        <v>113.9</v>
      </c>
      <c r="G628" s="2">
        <v>112.4</v>
      </c>
      <c r="H628" s="2">
        <f t="shared" si="38"/>
        <v>1.5</v>
      </c>
      <c r="I628" s="1">
        <f t="shared" si="36"/>
        <v>0.54626653254094071</v>
      </c>
      <c r="J628" s="2">
        <v>115.4</v>
      </c>
      <c r="K628" s="2">
        <v>113.7</v>
      </c>
      <c r="L628" s="2">
        <f t="shared" si="39"/>
        <v>1.7000000000000028</v>
      </c>
      <c r="M628">
        <v>110.5</v>
      </c>
      <c r="N628">
        <v>119.4</v>
      </c>
      <c r="O628">
        <v>-1.3</v>
      </c>
    </row>
    <row r="629" spans="1:15">
      <c r="A629" t="s">
        <v>62</v>
      </c>
      <c r="B629" t="s">
        <v>6</v>
      </c>
      <c r="C629">
        <v>51</v>
      </c>
      <c r="D629">
        <v>31</v>
      </c>
      <c r="E629" s="1">
        <f t="shared" si="37"/>
        <v>0.62195121951219512</v>
      </c>
      <c r="F629" s="2">
        <v>111.8</v>
      </c>
      <c r="G629" s="2">
        <v>104.5</v>
      </c>
      <c r="H629" s="2">
        <f t="shared" si="38"/>
        <v>7.2999999999999972</v>
      </c>
      <c r="I629" s="1">
        <f t="shared" si="36"/>
        <v>0.72017762385554718</v>
      </c>
      <c r="J629" s="2">
        <v>113.6</v>
      </c>
      <c r="K629" s="2">
        <v>106.2</v>
      </c>
      <c r="L629" s="2">
        <f t="shared" si="39"/>
        <v>7.3999999999999915</v>
      </c>
      <c r="M629">
        <v>96.8</v>
      </c>
      <c r="N629">
        <v>106.2</v>
      </c>
      <c r="O629">
        <v>0.3</v>
      </c>
    </row>
    <row r="630" spans="1:15">
      <c r="A630" t="s">
        <v>62</v>
      </c>
      <c r="B630" t="s">
        <v>51</v>
      </c>
      <c r="C630">
        <v>44</v>
      </c>
      <c r="D630">
        <v>38</v>
      </c>
      <c r="E630" s="1">
        <f t="shared" si="37"/>
        <v>0.53658536585365857</v>
      </c>
      <c r="F630" s="2">
        <v>112.9</v>
      </c>
      <c r="G630" s="2">
        <v>112.1</v>
      </c>
      <c r="H630" s="2">
        <f t="shared" si="38"/>
        <v>0.80000000000001137</v>
      </c>
      <c r="I630" s="1">
        <f t="shared" si="36"/>
        <v>0.52486845707756435</v>
      </c>
      <c r="J630" s="2">
        <v>113.2</v>
      </c>
      <c r="K630" s="2">
        <v>112.3</v>
      </c>
      <c r="L630" s="2">
        <f t="shared" si="39"/>
        <v>0.90000000000000568</v>
      </c>
      <c r="M630">
        <v>112.6</v>
      </c>
      <c r="N630">
        <v>103</v>
      </c>
      <c r="O630">
        <v>-0.1</v>
      </c>
    </row>
    <row r="631" spans="1:15">
      <c r="A631" t="s">
        <v>62</v>
      </c>
      <c r="B631" t="s">
        <v>7</v>
      </c>
      <c r="C631">
        <v>43</v>
      </c>
      <c r="D631">
        <v>39</v>
      </c>
      <c r="E631" s="1">
        <f t="shared" si="37"/>
        <v>0.52439024390243905</v>
      </c>
      <c r="F631" s="2">
        <v>115.3</v>
      </c>
      <c r="G631" s="2">
        <v>114.9</v>
      </c>
      <c r="H631" s="2">
        <f t="shared" si="38"/>
        <v>0.39999999999999147</v>
      </c>
      <c r="I631" s="1">
        <f t="shared" si="36"/>
        <v>0.5121609496635926</v>
      </c>
      <c r="J631" s="2">
        <v>113.6</v>
      </c>
      <c r="K631" s="2">
        <v>113.1</v>
      </c>
      <c r="L631" s="2">
        <f t="shared" si="39"/>
        <v>0.5</v>
      </c>
      <c r="M631">
        <v>109.6</v>
      </c>
      <c r="N631">
        <v>111.6</v>
      </c>
      <c r="O631">
        <v>0.8</v>
      </c>
    </row>
    <row r="632" spans="1:15">
      <c r="A632" t="s">
        <v>62</v>
      </c>
      <c r="B632" t="s">
        <v>8</v>
      </c>
      <c r="C632">
        <v>46</v>
      </c>
      <c r="D632">
        <v>36</v>
      </c>
      <c r="E632" s="1">
        <f t="shared" si="37"/>
        <v>0.56097560975609762</v>
      </c>
      <c r="F632" s="2">
        <v>111.6</v>
      </c>
      <c r="G632" s="2">
        <v>112</v>
      </c>
      <c r="H632" s="2">
        <f t="shared" si="38"/>
        <v>-0.40000000000000568</v>
      </c>
      <c r="I632" s="1">
        <f t="shared" si="36"/>
        <v>0.48748024280159491</v>
      </c>
      <c r="J632" s="2">
        <v>112.7</v>
      </c>
      <c r="K632" s="2">
        <v>113.2</v>
      </c>
      <c r="L632" s="2">
        <f t="shared" si="39"/>
        <v>-0.5</v>
      </c>
      <c r="M632">
        <v>121</v>
      </c>
      <c r="N632">
        <v>104.9</v>
      </c>
      <c r="O632">
        <v>0.9</v>
      </c>
    </row>
    <row r="633" spans="1:15">
      <c r="A633" t="s">
        <v>62</v>
      </c>
      <c r="B633" t="s">
        <v>9</v>
      </c>
      <c r="C633">
        <v>44</v>
      </c>
      <c r="D633">
        <v>38</v>
      </c>
      <c r="E633" s="1">
        <f t="shared" si="37"/>
        <v>0.53658536585365857</v>
      </c>
      <c r="F633" s="2">
        <v>107.8</v>
      </c>
      <c r="G633" s="2">
        <v>105.7</v>
      </c>
      <c r="H633" s="2">
        <f t="shared" si="38"/>
        <v>2.0999999999999943</v>
      </c>
      <c r="I633" s="1">
        <f t="shared" si="36"/>
        <v>0.56842270571530307</v>
      </c>
      <c r="J633" s="2">
        <v>111</v>
      </c>
      <c r="K633" s="2">
        <v>108.9</v>
      </c>
      <c r="L633" s="2">
        <f t="shared" si="39"/>
        <v>2.0999999999999943</v>
      </c>
      <c r="M633">
        <v>110</v>
      </c>
      <c r="N633">
        <v>104.4</v>
      </c>
      <c r="O633">
        <v>-0.7</v>
      </c>
    </row>
    <row r="634" spans="1:15">
      <c r="A634" t="s">
        <v>62</v>
      </c>
      <c r="B634" t="s">
        <v>10</v>
      </c>
      <c r="C634">
        <v>52</v>
      </c>
      <c r="D634">
        <v>30</v>
      </c>
      <c r="E634" s="1">
        <f t="shared" si="37"/>
        <v>0.63414634146341464</v>
      </c>
      <c r="F634" s="2">
        <v>108</v>
      </c>
      <c r="G634" s="2">
        <v>104.7</v>
      </c>
      <c r="H634" s="2">
        <f t="shared" si="38"/>
        <v>3.2999999999999972</v>
      </c>
      <c r="I634" s="1">
        <f t="shared" si="36"/>
        <v>0.60693567293355</v>
      </c>
      <c r="J634" s="2">
        <v>112.5</v>
      </c>
      <c r="K634" s="2">
        <v>109.1</v>
      </c>
      <c r="L634" s="2">
        <f t="shared" si="39"/>
        <v>3.4000000000000057</v>
      </c>
      <c r="M634">
        <v>109.5</v>
      </c>
      <c r="N634">
        <v>117</v>
      </c>
      <c r="O634">
        <v>-0.1</v>
      </c>
    </row>
    <row r="635" spans="1:15">
      <c r="A635" t="s">
        <v>62</v>
      </c>
      <c r="B635" t="s">
        <v>11</v>
      </c>
      <c r="C635">
        <v>48</v>
      </c>
      <c r="D635">
        <v>34</v>
      </c>
      <c r="E635" s="1">
        <f t="shared" si="37"/>
        <v>0.58536585365853655</v>
      </c>
      <c r="F635" s="2">
        <v>112.7</v>
      </c>
      <c r="G635" s="2">
        <v>110.4</v>
      </c>
      <c r="H635" s="2">
        <f t="shared" si="38"/>
        <v>2.2999999999999972</v>
      </c>
      <c r="I635" s="1">
        <f t="shared" si="36"/>
        <v>0.57167050088011562</v>
      </c>
      <c r="J635" s="2">
        <v>113.8</v>
      </c>
      <c r="K635" s="2">
        <v>111.5</v>
      </c>
      <c r="L635" s="2">
        <f t="shared" si="39"/>
        <v>2.2999999999999972</v>
      </c>
      <c r="M635">
        <v>106.9</v>
      </c>
      <c r="N635">
        <v>103.2</v>
      </c>
      <c r="O635">
        <v>-1.8</v>
      </c>
    </row>
    <row r="636" spans="1:15">
      <c r="A636" t="s">
        <v>62</v>
      </c>
      <c r="B636" t="s">
        <v>12</v>
      </c>
      <c r="C636">
        <v>23</v>
      </c>
      <c r="D636">
        <v>59</v>
      </c>
      <c r="E636" s="1">
        <f t="shared" si="37"/>
        <v>0.28048780487804881</v>
      </c>
      <c r="F636" s="2">
        <v>104.8</v>
      </c>
      <c r="G636" s="2">
        <v>112.5</v>
      </c>
      <c r="H636" s="2">
        <f t="shared" si="38"/>
        <v>-7.7000000000000028</v>
      </c>
      <c r="I636" s="1">
        <f t="shared" si="36"/>
        <v>0.27040035471369911</v>
      </c>
      <c r="J636" s="2">
        <v>105.6</v>
      </c>
      <c r="K636" s="2">
        <v>113.3</v>
      </c>
      <c r="L636" s="2">
        <f t="shared" si="39"/>
        <v>-7.7000000000000028</v>
      </c>
      <c r="M636">
        <v>94.1</v>
      </c>
      <c r="N636">
        <v>110.3</v>
      </c>
      <c r="O636">
        <v>-1.3</v>
      </c>
    </row>
    <row r="637" spans="1:15">
      <c r="A637" t="s">
        <v>62</v>
      </c>
      <c r="B637" t="s">
        <v>13</v>
      </c>
      <c r="C637">
        <v>53</v>
      </c>
      <c r="D637">
        <v>29</v>
      </c>
      <c r="E637" s="1">
        <f t="shared" si="37"/>
        <v>0.64634146341463417</v>
      </c>
      <c r="F637" s="2">
        <v>111</v>
      </c>
      <c r="G637" s="2">
        <v>105.5</v>
      </c>
      <c r="H637" s="2">
        <f t="shared" si="38"/>
        <v>5.5</v>
      </c>
      <c r="I637" s="1">
        <f t="shared" si="36"/>
        <v>0.67072577928625987</v>
      </c>
      <c r="J637" s="2">
        <v>112.1</v>
      </c>
      <c r="K637" s="2">
        <v>106.6</v>
      </c>
      <c r="L637" s="2">
        <f t="shared" si="39"/>
        <v>5.5</v>
      </c>
      <c r="M637">
        <v>101.7</v>
      </c>
      <c r="N637">
        <v>99</v>
      </c>
      <c r="O637">
        <v>1.3</v>
      </c>
    </row>
    <row r="638" spans="1:15">
      <c r="A638" t="s">
        <v>62</v>
      </c>
      <c r="B638" t="s">
        <v>14</v>
      </c>
      <c r="C638">
        <v>20</v>
      </c>
      <c r="D638">
        <v>62</v>
      </c>
      <c r="E638" s="1">
        <f t="shared" si="37"/>
        <v>0.24390243902439024</v>
      </c>
      <c r="F638" s="2">
        <v>109.7</v>
      </c>
      <c r="G638" s="2">
        <v>118.2</v>
      </c>
      <c r="H638" s="2">
        <f t="shared" si="38"/>
        <v>-8.5</v>
      </c>
      <c r="I638" s="1">
        <f t="shared" si="36"/>
        <v>0.2602244449686712</v>
      </c>
      <c r="J638" s="2">
        <v>108.1</v>
      </c>
      <c r="K638" s="2">
        <v>116.4</v>
      </c>
      <c r="L638" s="2">
        <f t="shared" si="39"/>
        <v>-8.3000000000000114</v>
      </c>
      <c r="M638">
        <v>100.4</v>
      </c>
      <c r="N638">
        <v>110.3</v>
      </c>
      <c r="O638">
        <v>-0.4</v>
      </c>
    </row>
    <row r="639" spans="1:15">
      <c r="A639" t="s">
        <v>62</v>
      </c>
      <c r="B639" t="s">
        <v>15</v>
      </c>
      <c r="C639">
        <v>25</v>
      </c>
      <c r="D639">
        <v>57</v>
      </c>
      <c r="E639" s="1">
        <f t="shared" si="37"/>
        <v>0.3048780487804878</v>
      </c>
      <c r="F639" s="2">
        <v>111.5</v>
      </c>
      <c r="G639" s="2">
        <v>114.9</v>
      </c>
      <c r="H639" s="2">
        <f t="shared" si="38"/>
        <v>-3.4000000000000057</v>
      </c>
      <c r="I639" s="1">
        <f t="shared" si="36"/>
        <v>0.39639081435339146</v>
      </c>
      <c r="J639" s="2">
        <v>111.9</v>
      </c>
      <c r="K639" s="2">
        <v>115.5</v>
      </c>
      <c r="L639" s="2">
        <f t="shared" si="39"/>
        <v>-3.5999999999999943</v>
      </c>
      <c r="M639">
        <v>92</v>
      </c>
      <c r="N639">
        <v>114.9</v>
      </c>
      <c r="O639">
        <v>-0.4</v>
      </c>
    </row>
    <row r="640" spans="1:15">
      <c r="A640" t="s">
        <v>62</v>
      </c>
      <c r="B640" t="s">
        <v>56</v>
      </c>
      <c r="C640">
        <v>42</v>
      </c>
      <c r="D640">
        <v>40</v>
      </c>
      <c r="E640" s="1">
        <f t="shared" si="37"/>
        <v>0.51219512195121952</v>
      </c>
      <c r="F640" s="2">
        <v>108.4</v>
      </c>
      <c r="G640" s="2">
        <v>108.4</v>
      </c>
      <c r="H640" s="2">
        <f t="shared" si="38"/>
        <v>0</v>
      </c>
      <c r="I640" s="1">
        <f t="shared" si="36"/>
        <v>0.5</v>
      </c>
      <c r="J640" s="2">
        <v>109.5</v>
      </c>
      <c r="K640" s="2">
        <v>109.5</v>
      </c>
      <c r="L640" s="2">
        <f t="shared" si="39"/>
        <v>0</v>
      </c>
      <c r="M640">
        <v>123.8</v>
      </c>
      <c r="N640">
        <v>114.3</v>
      </c>
      <c r="O640">
        <v>1.1000000000000001</v>
      </c>
    </row>
    <row r="641" spans="1:15">
      <c r="A641" t="s">
        <v>62</v>
      </c>
      <c r="B641" t="s">
        <v>17</v>
      </c>
      <c r="C641">
        <v>33</v>
      </c>
      <c r="D641">
        <v>49</v>
      </c>
      <c r="E641" s="1">
        <f t="shared" si="37"/>
        <v>0.40243902439024393</v>
      </c>
      <c r="F641" s="2">
        <v>112.1</v>
      </c>
      <c r="G641" s="2">
        <v>115.1</v>
      </c>
      <c r="H641" s="2">
        <f t="shared" si="38"/>
        <v>-3</v>
      </c>
      <c r="I641" s="1">
        <f t="shared" si="36"/>
        <v>0.40860389677498032</v>
      </c>
      <c r="J641" s="2">
        <v>110</v>
      </c>
      <c r="K641" s="2">
        <v>112.8</v>
      </c>
      <c r="L641" s="2">
        <f t="shared" si="39"/>
        <v>-2.7999999999999972</v>
      </c>
      <c r="M641">
        <v>103.8</v>
      </c>
      <c r="N641">
        <v>107.1</v>
      </c>
      <c r="O641">
        <v>0.6</v>
      </c>
    </row>
    <row r="642" spans="1:15">
      <c r="A642" t="s">
        <v>62</v>
      </c>
      <c r="B642" t="s">
        <v>35</v>
      </c>
      <c r="C642">
        <v>56</v>
      </c>
      <c r="D642">
        <v>26</v>
      </c>
      <c r="E642" s="1">
        <f t="shared" si="37"/>
        <v>0.68292682926829273</v>
      </c>
      <c r="F642" s="2">
        <v>115.6</v>
      </c>
      <c r="G642" s="2">
        <v>109.9</v>
      </c>
      <c r="H642" s="2">
        <f t="shared" si="38"/>
        <v>5.6999999999999886</v>
      </c>
      <c r="I642" s="1">
        <f t="shared" ref="I642:I705" si="40">+(F642^14)/((F642^14+G642^14))</f>
        <v>0.66993947540957544</v>
      </c>
      <c r="J642" s="2">
        <v>114.3</v>
      </c>
      <c r="K642" s="2">
        <v>108.9</v>
      </c>
      <c r="L642" s="2">
        <f t="shared" si="39"/>
        <v>5.3999999999999915</v>
      </c>
      <c r="M642">
        <v>111.6</v>
      </c>
      <c r="N642">
        <v>103.7</v>
      </c>
      <c r="O642">
        <v>0.1</v>
      </c>
    </row>
    <row r="643" spans="1:15">
      <c r="A643" t="s">
        <v>62</v>
      </c>
      <c r="B643" t="s">
        <v>18</v>
      </c>
      <c r="C643">
        <v>53</v>
      </c>
      <c r="D643">
        <v>29</v>
      </c>
      <c r="E643" s="1">
        <f t="shared" ref="E643:E706" si="41">+C643/(C643+D643)</f>
        <v>0.64634146341463417</v>
      </c>
      <c r="F643" s="2">
        <v>110</v>
      </c>
      <c r="G643" s="2">
        <v>105.6</v>
      </c>
      <c r="H643" s="2">
        <f t="shared" ref="H643:H706" si="42">+F643-G643</f>
        <v>4.4000000000000057</v>
      </c>
      <c r="I643" s="1">
        <f t="shared" si="40"/>
        <v>0.63911104772076754</v>
      </c>
      <c r="J643" s="2">
        <v>113</v>
      </c>
      <c r="K643" s="2">
        <v>108.4</v>
      </c>
      <c r="L643" s="2">
        <f t="shared" ref="L643:L706" si="43">+J643-K643</f>
        <v>4.5999999999999943</v>
      </c>
      <c r="M643">
        <v>100.4</v>
      </c>
      <c r="N643">
        <v>99.2</v>
      </c>
      <c r="O643">
        <v>0.4</v>
      </c>
    </row>
    <row r="644" spans="1:15">
      <c r="A644" t="s">
        <v>62</v>
      </c>
      <c r="B644" t="s">
        <v>19</v>
      </c>
      <c r="C644">
        <v>51</v>
      </c>
      <c r="D644">
        <v>31</v>
      </c>
      <c r="E644" s="1">
        <f t="shared" si="41"/>
        <v>0.62195121951219512</v>
      </c>
      <c r="F644" s="2">
        <v>115.5</v>
      </c>
      <c r="G644" s="2">
        <v>112.1</v>
      </c>
      <c r="H644" s="2">
        <f t="shared" si="42"/>
        <v>3.4000000000000057</v>
      </c>
      <c r="I644" s="1">
        <f t="shared" si="40"/>
        <v>0.60307848942796871</v>
      </c>
      <c r="J644" s="2">
        <v>114.3</v>
      </c>
      <c r="K644" s="2">
        <v>111.1</v>
      </c>
      <c r="L644" s="2">
        <f t="shared" si="43"/>
        <v>3.2000000000000028</v>
      </c>
      <c r="M644">
        <v>118.1</v>
      </c>
      <c r="N644">
        <v>102.8</v>
      </c>
      <c r="O644">
        <v>1</v>
      </c>
    </row>
    <row r="645" spans="1:15">
      <c r="A645" t="s">
        <v>62</v>
      </c>
      <c r="B645" t="s">
        <v>20</v>
      </c>
      <c r="C645">
        <v>46</v>
      </c>
      <c r="D645">
        <v>36</v>
      </c>
      <c r="E645" s="1">
        <f t="shared" si="41"/>
        <v>0.56097560975609762</v>
      </c>
      <c r="F645" s="2">
        <v>115.9</v>
      </c>
      <c r="G645" s="2">
        <v>113.3</v>
      </c>
      <c r="H645" s="2">
        <f t="shared" si="42"/>
        <v>2.6000000000000085</v>
      </c>
      <c r="I645" s="1">
        <f t="shared" si="40"/>
        <v>0.57874903178603399</v>
      </c>
      <c r="J645" s="2">
        <v>113.8</v>
      </c>
      <c r="K645" s="2">
        <v>111</v>
      </c>
      <c r="L645" s="2">
        <f t="shared" si="43"/>
        <v>2.7999999999999972</v>
      </c>
      <c r="M645">
        <v>107.1</v>
      </c>
      <c r="N645">
        <v>106</v>
      </c>
      <c r="O645">
        <v>-0.9</v>
      </c>
    </row>
    <row r="646" spans="1:15">
      <c r="A646" t="s">
        <v>62</v>
      </c>
      <c r="B646" t="s">
        <v>53</v>
      </c>
      <c r="C646">
        <v>36</v>
      </c>
      <c r="D646">
        <v>46</v>
      </c>
      <c r="E646" s="1">
        <f t="shared" si="41"/>
        <v>0.43902439024390244</v>
      </c>
      <c r="F646" s="2">
        <v>109.3</v>
      </c>
      <c r="G646" s="2">
        <v>110.3</v>
      </c>
      <c r="H646" s="2">
        <f t="shared" si="42"/>
        <v>-1</v>
      </c>
      <c r="I646" s="1">
        <f t="shared" si="40"/>
        <v>0.46816675732183283</v>
      </c>
      <c r="J646" s="2">
        <v>111.2</v>
      </c>
      <c r="K646" s="2">
        <v>112</v>
      </c>
      <c r="L646" s="2">
        <f t="shared" si="43"/>
        <v>-0.79999999999999716</v>
      </c>
      <c r="M646">
        <v>115.5</v>
      </c>
      <c r="N646">
        <v>120.3</v>
      </c>
      <c r="O646">
        <v>0.3</v>
      </c>
    </row>
    <row r="647" spans="1:15">
      <c r="A647" t="s">
        <v>62</v>
      </c>
      <c r="B647" t="s">
        <v>22</v>
      </c>
      <c r="C647">
        <v>37</v>
      </c>
      <c r="D647">
        <v>45</v>
      </c>
      <c r="E647" s="1">
        <f t="shared" si="41"/>
        <v>0.45121951219512196</v>
      </c>
      <c r="F647" s="2">
        <v>106.5</v>
      </c>
      <c r="G647" s="2">
        <v>106.6</v>
      </c>
      <c r="H647" s="2">
        <f t="shared" si="42"/>
        <v>-9.9999999999994316E-2</v>
      </c>
      <c r="I647" s="1">
        <f t="shared" si="40"/>
        <v>0.49671520422004956</v>
      </c>
      <c r="J647" s="2">
        <v>109.7</v>
      </c>
      <c r="K647" s="2">
        <v>110.2</v>
      </c>
      <c r="L647" s="2">
        <f t="shared" si="43"/>
        <v>-0.5</v>
      </c>
      <c r="M647">
        <v>93.2</v>
      </c>
      <c r="N647">
        <v>116.4</v>
      </c>
      <c r="O647">
        <v>-0.3</v>
      </c>
    </row>
    <row r="648" spans="1:15">
      <c r="A648" t="s">
        <v>62</v>
      </c>
      <c r="B648" t="s">
        <v>46</v>
      </c>
      <c r="C648">
        <v>24</v>
      </c>
      <c r="D648">
        <v>58</v>
      </c>
      <c r="E648" s="1">
        <f t="shared" si="41"/>
        <v>0.29268292682926828</v>
      </c>
      <c r="F648" s="2">
        <v>103.7</v>
      </c>
      <c r="G648" s="2">
        <v>111.8</v>
      </c>
      <c r="H648" s="2">
        <f t="shared" si="42"/>
        <v>-8.0999999999999943</v>
      </c>
      <c r="I648" s="1">
        <f t="shared" si="40"/>
        <v>0.25866242852383342</v>
      </c>
      <c r="J648" s="2">
        <v>103.8</v>
      </c>
      <c r="K648" s="2">
        <v>111.7</v>
      </c>
      <c r="L648" s="2">
        <f t="shared" si="43"/>
        <v>-7.9000000000000057</v>
      </c>
      <c r="M648">
        <v>105.1</v>
      </c>
      <c r="N648">
        <v>108.7</v>
      </c>
      <c r="O648">
        <v>-0.7</v>
      </c>
    </row>
    <row r="649" spans="1:15">
      <c r="A649" t="s">
        <v>62</v>
      </c>
      <c r="B649" t="s">
        <v>23</v>
      </c>
      <c r="C649">
        <v>22</v>
      </c>
      <c r="D649">
        <v>60</v>
      </c>
      <c r="E649" s="1">
        <f t="shared" si="41"/>
        <v>0.26829268292682928</v>
      </c>
      <c r="F649" s="2">
        <v>104.2</v>
      </c>
      <c r="G649" s="2">
        <v>112.2</v>
      </c>
      <c r="H649" s="2">
        <f t="shared" si="42"/>
        <v>-8</v>
      </c>
      <c r="I649" s="1">
        <f t="shared" si="40"/>
        <v>0.26200139759286833</v>
      </c>
      <c r="J649" s="2">
        <v>103.9</v>
      </c>
      <c r="K649" s="2">
        <v>112.1</v>
      </c>
      <c r="L649" s="2">
        <f t="shared" si="43"/>
        <v>-8.1999999999999886</v>
      </c>
      <c r="M649">
        <v>98.8</v>
      </c>
      <c r="N649">
        <v>101.2</v>
      </c>
      <c r="O649">
        <v>-0.2</v>
      </c>
    </row>
    <row r="650" spans="1:15">
      <c r="A650" t="s">
        <v>62</v>
      </c>
      <c r="B650" t="s">
        <v>24</v>
      </c>
      <c r="C650">
        <v>51</v>
      </c>
      <c r="D650">
        <v>31</v>
      </c>
      <c r="E650" s="1">
        <f t="shared" si="41"/>
        <v>0.62195121951219512</v>
      </c>
      <c r="F650" s="2">
        <v>109.9</v>
      </c>
      <c r="G650" s="2">
        <v>107.3</v>
      </c>
      <c r="H650" s="2">
        <f t="shared" si="42"/>
        <v>2.6000000000000085</v>
      </c>
      <c r="I650" s="1">
        <f t="shared" si="40"/>
        <v>0.58302187989199494</v>
      </c>
      <c r="J650" s="2">
        <v>113</v>
      </c>
      <c r="K650" s="2">
        <v>110.2</v>
      </c>
      <c r="L650" s="2">
        <f t="shared" si="43"/>
        <v>2.7999999999999972</v>
      </c>
      <c r="M650">
        <v>105.9</v>
      </c>
      <c r="N650">
        <v>103.6</v>
      </c>
      <c r="O650">
        <v>0.5</v>
      </c>
    </row>
    <row r="651" spans="1:15">
      <c r="A651" t="s">
        <v>62</v>
      </c>
      <c r="B651" t="s">
        <v>25</v>
      </c>
      <c r="C651">
        <v>64</v>
      </c>
      <c r="D651">
        <v>18</v>
      </c>
      <c r="E651" s="1">
        <f t="shared" si="41"/>
        <v>0.78048780487804881</v>
      </c>
      <c r="F651" s="2">
        <v>114.8</v>
      </c>
      <c r="G651" s="2">
        <v>107.3</v>
      </c>
      <c r="H651" s="2">
        <f t="shared" si="42"/>
        <v>7.5</v>
      </c>
      <c r="I651" s="1">
        <f t="shared" si="40"/>
        <v>0.72028579383295666</v>
      </c>
      <c r="J651" s="2">
        <v>114.2</v>
      </c>
      <c r="K651" s="2">
        <v>106.8</v>
      </c>
      <c r="L651" s="2">
        <f t="shared" si="43"/>
        <v>7.4000000000000057</v>
      </c>
      <c r="M651">
        <v>131.5</v>
      </c>
      <c r="N651">
        <v>98.1</v>
      </c>
      <c r="O651">
        <v>2.7</v>
      </c>
    </row>
    <row r="652" spans="1:15">
      <c r="A652" t="s">
        <v>62</v>
      </c>
      <c r="B652" t="s">
        <v>26</v>
      </c>
      <c r="C652">
        <v>27</v>
      </c>
      <c r="D652">
        <v>55</v>
      </c>
      <c r="E652" s="1">
        <f t="shared" si="41"/>
        <v>0.32926829268292684</v>
      </c>
      <c r="F652" s="2">
        <v>106.2</v>
      </c>
      <c r="G652" s="2">
        <v>115.1</v>
      </c>
      <c r="H652" s="2">
        <f t="shared" si="42"/>
        <v>-8.8999999999999915</v>
      </c>
      <c r="I652" s="1">
        <f t="shared" si="40"/>
        <v>0.24477414963979585</v>
      </c>
      <c r="J652" s="2">
        <v>107.3</v>
      </c>
      <c r="K652" s="2">
        <v>116.3</v>
      </c>
      <c r="L652" s="2">
        <f t="shared" si="43"/>
        <v>-9</v>
      </c>
      <c r="M652">
        <v>107</v>
      </c>
      <c r="N652">
        <v>105.8</v>
      </c>
      <c r="O652">
        <v>-3.6</v>
      </c>
    </row>
    <row r="653" spans="1:15">
      <c r="A653" t="s">
        <v>62</v>
      </c>
      <c r="B653" t="s">
        <v>27</v>
      </c>
      <c r="C653">
        <v>30</v>
      </c>
      <c r="D653">
        <v>52</v>
      </c>
      <c r="E653" s="1">
        <f t="shared" si="41"/>
        <v>0.36585365853658536</v>
      </c>
      <c r="F653" s="2">
        <v>110.3</v>
      </c>
      <c r="G653" s="2">
        <v>115.8</v>
      </c>
      <c r="H653" s="2">
        <f t="shared" si="42"/>
        <v>-5.5</v>
      </c>
      <c r="I653" s="1">
        <f t="shared" si="40"/>
        <v>0.33598260819490139</v>
      </c>
      <c r="J653" s="2">
        <v>109.6</v>
      </c>
      <c r="K653" s="2">
        <v>114.8</v>
      </c>
      <c r="L653" s="2">
        <f t="shared" si="43"/>
        <v>-5.2000000000000028</v>
      </c>
      <c r="M653">
        <v>110.6</v>
      </c>
      <c r="N653">
        <v>109.2</v>
      </c>
      <c r="O653">
        <v>-1.3</v>
      </c>
    </row>
    <row r="654" spans="1:15">
      <c r="A654" t="s">
        <v>62</v>
      </c>
      <c r="B654" t="s">
        <v>28</v>
      </c>
      <c r="C654">
        <v>34</v>
      </c>
      <c r="D654">
        <v>48</v>
      </c>
      <c r="E654" s="1">
        <f t="shared" si="41"/>
        <v>0.41463414634146339</v>
      </c>
      <c r="F654" s="2">
        <v>113.2</v>
      </c>
      <c r="G654" s="2">
        <v>113</v>
      </c>
      <c r="H654" s="2">
        <f t="shared" si="42"/>
        <v>0.20000000000000284</v>
      </c>
      <c r="I654" s="1">
        <f t="shared" si="40"/>
        <v>0.50618889860276861</v>
      </c>
      <c r="J654" s="2">
        <v>111.9</v>
      </c>
      <c r="K654" s="2">
        <v>111.7</v>
      </c>
      <c r="L654" s="2">
        <f t="shared" si="43"/>
        <v>0.20000000000000284</v>
      </c>
      <c r="M654">
        <v>93.4</v>
      </c>
      <c r="N654">
        <v>103.8</v>
      </c>
      <c r="O654">
        <v>0.7</v>
      </c>
    </row>
    <row r="655" spans="1:15">
      <c r="A655" t="s">
        <v>62</v>
      </c>
      <c r="B655" t="s">
        <v>30</v>
      </c>
      <c r="C655">
        <v>48</v>
      </c>
      <c r="D655">
        <v>34</v>
      </c>
      <c r="E655" s="1">
        <f t="shared" si="41"/>
        <v>0.58536585365853655</v>
      </c>
      <c r="F655" s="2">
        <v>109.4</v>
      </c>
      <c r="G655" s="2">
        <v>107.1</v>
      </c>
      <c r="H655" s="2">
        <f t="shared" si="42"/>
        <v>2.3000000000000114</v>
      </c>
      <c r="I655" s="1">
        <f t="shared" si="40"/>
        <v>0.57382411075027417</v>
      </c>
      <c r="J655" s="2">
        <v>112.1</v>
      </c>
      <c r="K655" s="2">
        <v>109.9</v>
      </c>
      <c r="L655" s="2">
        <f t="shared" si="43"/>
        <v>2.1999999999999886</v>
      </c>
      <c r="M655">
        <v>112.5</v>
      </c>
      <c r="N655">
        <v>102</v>
      </c>
      <c r="O655">
        <v>1</v>
      </c>
    </row>
    <row r="656" spans="1:15">
      <c r="A656" t="s">
        <v>62</v>
      </c>
      <c r="B656" t="s">
        <v>31</v>
      </c>
      <c r="C656">
        <v>49</v>
      </c>
      <c r="D656">
        <v>33</v>
      </c>
      <c r="E656" s="1">
        <f t="shared" si="41"/>
        <v>0.59756097560975607</v>
      </c>
      <c r="F656" s="2">
        <v>113.6</v>
      </c>
      <c r="G656" s="2">
        <v>107.6</v>
      </c>
      <c r="H656" s="2">
        <f t="shared" si="42"/>
        <v>6</v>
      </c>
      <c r="I656" s="1">
        <f t="shared" si="40"/>
        <v>0.68128425860011865</v>
      </c>
      <c r="J656" s="2">
        <v>116.2</v>
      </c>
      <c r="K656" s="2">
        <v>110</v>
      </c>
      <c r="L656" s="2">
        <f t="shared" si="43"/>
        <v>6.2000000000000028</v>
      </c>
      <c r="M656">
        <v>105.1</v>
      </c>
      <c r="N656">
        <v>113.5</v>
      </c>
      <c r="O656">
        <v>0.7</v>
      </c>
    </row>
    <row r="657" spans="1:15">
      <c r="A657" t="s">
        <v>62</v>
      </c>
      <c r="B657" t="s">
        <v>33</v>
      </c>
      <c r="C657">
        <v>35</v>
      </c>
      <c r="D657">
        <v>47</v>
      </c>
      <c r="E657" s="1">
        <f t="shared" si="41"/>
        <v>0.42682926829268292</v>
      </c>
      <c r="F657" s="2">
        <v>108.6</v>
      </c>
      <c r="G657" s="2">
        <v>112</v>
      </c>
      <c r="H657" s="2">
        <f t="shared" si="42"/>
        <v>-3.4000000000000057</v>
      </c>
      <c r="I657" s="1">
        <f t="shared" si="40"/>
        <v>0.39374803277968673</v>
      </c>
      <c r="J657" s="2">
        <v>110.2</v>
      </c>
      <c r="K657" s="2">
        <v>113.6</v>
      </c>
      <c r="L657" s="2">
        <f t="shared" si="43"/>
        <v>-3.3999999999999915</v>
      </c>
      <c r="M657">
        <v>111.5</v>
      </c>
      <c r="N657">
        <v>98.8</v>
      </c>
      <c r="O657">
        <v>0.5</v>
      </c>
    </row>
    <row r="658" spans="1:15">
      <c r="A658" t="s">
        <v>63</v>
      </c>
      <c r="B658" t="s">
        <v>5</v>
      </c>
      <c r="C658">
        <v>41</v>
      </c>
      <c r="D658">
        <v>41</v>
      </c>
      <c r="E658" s="1">
        <f t="shared" si="41"/>
        <v>0.5</v>
      </c>
      <c r="F658" s="2">
        <v>118.4</v>
      </c>
      <c r="G658" s="2">
        <v>118.1</v>
      </c>
      <c r="H658" s="2">
        <f t="shared" si="42"/>
        <v>0.30000000000001137</v>
      </c>
      <c r="I658" s="1">
        <f t="shared" si="40"/>
        <v>0.50887856400324194</v>
      </c>
      <c r="J658" s="2">
        <v>115.5</v>
      </c>
      <c r="K658" s="2">
        <v>115.4</v>
      </c>
      <c r="L658" s="2">
        <f t="shared" si="43"/>
        <v>9.9999999999994316E-2</v>
      </c>
      <c r="M658">
        <v>102.1</v>
      </c>
      <c r="N658">
        <v>118.6</v>
      </c>
      <c r="O658">
        <v>-0.9</v>
      </c>
    </row>
    <row r="659" spans="1:15">
      <c r="A659" t="s">
        <v>63</v>
      </c>
      <c r="B659" t="s">
        <v>6</v>
      </c>
      <c r="C659">
        <v>57</v>
      </c>
      <c r="D659">
        <v>25</v>
      </c>
      <c r="E659" s="1">
        <f t="shared" si="41"/>
        <v>0.69512195121951215</v>
      </c>
      <c r="F659" s="2">
        <v>117.9</v>
      </c>
      <c r="G659" s="2">
        <v>111.4</v>
      </c>
      <c r="H659" s="2">
        <f t="shared" si="42"/>
        <v>6.5</v>
      </c>
      <c r="I659" s="1">
        <f t="shared" si="40"/>
        <v>0.6886751375801452</v>
      </c>
      <c r="J659" s="2">
        <v>117.3</v>
      </c>
      <c r="K659" s="2">
        <v>110.6</v>
      </c>
      <c r="L659" s="2">
        <f t="shared" si="43"/>
        <v>6.7000000000000028</v>
      </c>
      <c r="M659">
        <v>107.4</v>
      </c>
      <c r="N659">
        <v>103.1</v>
      </c>
      <c r="O659">
        <v>0.6</v>
      </c>
    </row>
    <row r="660" spans="1:15">
      <c r="A660" t="s">
        <v>63</v>
      </c>
      <c r="B660" t="s">
        <v>51</v>
      </c>
      <c r="C660">
        <v>45</v>
      </c>
      <c r="D660">
        <v>37</v>
      </c>
      <c r="E660" s="1">
        <f t="shared" si="41"/>
        <v>0.54878048780487809</v>
      </c>
      <c r="F660" s="2">
        <v>113.4</v>
      </c>
      <c r="G660" s="2">
        <v>112.5</v>
      </c>
      <c r="H660" s="2">
        <f t="shared" si="42"/>
        <v>0.90000000000000568</v>
      </c>
      <c r="I660" s="1">
        <f t="shared" si="40"/>
        <v>0.52785970836604967</v>
      </c>
      <c r="J660" s="2">
        <v>114.6</v>
      </c>
      <c r="K660" s="2">
        <v>113.5</v>
      </c>
      <c r="L660" s="2">
        <f t="shared" si="43"/>
        <v>1.0999999999999943</v>
      </c>
      <c r="M660">
        <v>115.9</v>
      </c>
      <c r="N660">
        <v>110.2</v>
      </c>
      <c r="O660">
        <v>0.3</v>
      </c>
    </row>
    <row r="661" spans="1:15">
      <c r="A661" t="s">
        <v>63</v>
      </c>
      <c r="B661" t="s">
        <v>7</v>
      </c>
      <c r="C661">
        <v>27</v>
      </c>
      <c r="D661">
        <v>55</v>
      </c>
      <c r="E661" s="1">
        <f t="shared" si="41"/>
        <v>0.32926829268292684</v>
      </c>
      <c r="F661" s="2">
        <v>111</v>
      </c>
      <c r="G661" s="2">
        <v>117.2</v>
      </c>
      <c r="H661" s="2">
        <f t="shared" si="42"/>
        <v>-6.2000000000000028</v>
      </c>
      <c r="I661" s="1">
        <f t="shared" si="40"/>
        <v>0.31844580628258201</v>
      </c>
      <c r="J661" s="2">
        <v>108.4</v>
      </c>
      <c r="K661" s="2">
        <v>114.7</v>
      </c>
      <c r="L661" s="2">
        <f t="shared" si="43"/>
        <v>-6.2999999999999972</v>
      </c>
      <c r="M661">
        <v>108.6</v>
      </c>
      <c r="N661">
        <v>114.4</v>
      </c>
      <c r="O661">
        <v>-0.3</v>
      </c>
    </row>
    <row r="662" spans="1:15">
      <c r="A662" t="s">
        <v>63</v>
      </c>
      <c r="B662" t="s">
        <v>8</v>
      </c>
      <c r="C662">
        <v>40</v>
      </c>
      <c r="D662">
        <v>42</v>
      </c>
      <c r="E662" s="1">
        <f t="shared" si="41"/>
        <v>0.48780487804878048</v>
      </c>
      <c r="F662" s="2">
        <v>113.1</v>
      </c>
      <c r="G662" s="2">
        <v>111.8</v>
      </c>
      <c r="H662" s="2">
        <f t="shared" si="42"/>
        <v>1.2999999999999972</v>
      </c>
      <c r="I662" s="1">
        <f t="shared" si="40"/>
        <v>0.54037477901258768</v>
      </c>
      <c r="J662" s="2">
        <v>112.8</v>
      </c>
      <c r="K662" s="2">
        <v>111.5</v>
      </c>
      <c r="L662" s="2">
        <f t="shared" si="43"/>
        <v>1.2999999999999972</v>
      </c>
      <c r="M662">
        <v>106</v>
      </c>
      <c r="N662">
        <v>105.2</v>
      </c>
      <c r="O662">
        <v>0.5</v>
      </c>
    </row>
    <row r="663" spans="1:15">
      <c r="A663" t="s">
        <v>63</v>
      </c>
      <c r="B663" t="s">
        <v>9</v>
      </c>
      <c r="C663">
        <v>51</v>
      </c>
      <c r="D663">
        <v>31</v>
      </c>
      <c r="E663" s="1">
        <f t="shared" si="41"/>
        <v>0.62195121951219512</v>
      </c>
      <c r="F663" s="2">
        <v>112.3</v>
      </c>
      <c r="G663" s="2">
        <v>106.9</v>
      </c>
      <c r="H663" s="2">
        <f t="shared" si="42"/>
        <v>5.3999999999999915</v>
      </c>
      <c r="I663" s="1">
        <f t="shared" si="40"/>
        <v>0.66594926626048301</v>
      </c>
      <c r="J663" s="2">
        <v>115.5</v>
      </c>
      <c r="K663" s="2">
        <v>109.9</v>
      </c>
      <c r="L663" s="2">
        <f t="shared" si="43"/>
        <v>5.5999999999999943</v>
      </c>
      <c r="M663">
        <v>97.9</v>
      </c>
      <c r="N663">
        <v>98.8</v>
      </c>
      <c r="O663">
        <v>2.2000000000000002</v>
      </c>
    </row>
    <row r="664" spans="1:15">
      <c r="A664" t="s">
        <v>63</v>
      </c>
      <c r="B664" t="s">
        <v>10</v>
      </c>
      <c r="C664">
        <v>38</v>
      </c>
      <c r="D664">
        <v>44</v>
      </c>
      <c r="E664" s="1">
        <f t="shared" si="41"/>
        <v>0.46341463414634149</v>
      </c>
      <c r="F664" s="2">
        <v>114.2</v>
      </c>
      <c r="G664" s="2">
        <v>114.1</v>
      </c>
      <c r="H664" s="2">
        <f t="shared" si="42"/>
        <v>0.10000000000000853</v>
      </c>
      <c r="I664" s="1">
        <f t="shared" si="40"/>
        <v>0.50306610280519148</v>
      </c>
      <c r="J664" s="2">
        <v>115.9</v>
      </c>
      <c r="K664" s="2">
        <v>116.1</v>
      </c>
      <c r="L664" s="2">
        <f t="shared" si="43"/>
        <v>-0.19999999999998863</v>
      </c>
      <c r="M664">
        <v>105.1</v>
      </c>
      <c r="N664">
        <v>106.2</v>
      </c>
      <c r="O664">
        <v>-0.7</v>
      </c>
    </row>
    <row r="665" spans="1:15">
      <c r="A665" t="s">
        <v>63</v>
      </c>
      <c r="B665" t="s">
        <v>11</v>
      </c>
      <c r="C665">
        <v>53</v>
      </c>
      <c r="D665">
        <v>29</v>
      </c>
      <c r="E665" s="1">
        <f t="shared" si="41"/>
        <v>0.64634146341463417</v>
      </c>
      <c r="F665" s="2">
        <v>115.8</v>
      </c>
      <c r="G665" s="2">
        <v>112.5</v>
      </c>
      <c r="H665" s="2">
        <f t="shared" si="42"/>
        <v>3.2999999999999972</v>
      </c>
      <c r="I665" s="1">
        <f t="shared" si="40"/>
        <v>0.59983047622888896</v>
      </c>
      <c r="J665" s="2">
        <v>116.8</v>
      </c>
      <c r="K665" s="2">
        <v>113.5</v>
      </c>
      <c r="L665" s="2">
        <f t="shared" si="43"/>
        <v>3.2999999999999972</v>
      </c>
      <c r="M665">
        <v>109.2</v>
      </c>
      <c r="N665">
        <v>96.5</v>
      </c>
      <c r="O665">
        <v>-0.5</v>
      </c>
    </row>
    <row r="666" spans="1:15">
      <c r="A666" t="s">
        <v>63</v>
      </c>
      <c r="B666" t="s">
        <v>12</v>
      </c>
      <c r="C666">
        <v>17</v>
      </c>
      <c r="D666">
        <v>65</v>
      </c>
      <c r="E666" s="1">
        <f t="shared" si="41"/>
        <v>0.2073170731707317</v>
      </c>
      <c r="F666" s="2">
        <v>110.3</v>
      </c>
      <c r="G666" s="2">
        <v>118.5</v>
      </c>
      <c r="H666" s="2">
        <f t="shared" si="42"/>
        <v>-8.2000000000000028</v>
      </c>
      <c r="I666" s="1">
        <f t="shared" si="40"/>
        <v>0.26817012920716587</v>
      </c>
      <c r="J666" s="2">
        <v>109.9</v>
      </c>
      <c r="K666" s="2">
        <v>117.8</v>
      </c>
      <c r="L666" s="2">
        <f t="shared" si="43"/>
        <v>-7.8999999999999915</v>
      </c>
      <c r="M666">
        <v>104.7</v>
      </c>
      <c r="N666">
        <v>122.7</v>
      </c>
      <c r="O666">
        <v>-2.1</v>
      </c>
    </row>
    <row r="667" spans="1:15">
      <c r="A667" t="s">
        <v>63</v>
      </c>
      <c r="B667" t="s">
        <v>13</v>
      </c>
      <c r="C667">
        <v>44</v>
      </c>
      <c r="D667">
        <v>38</v>
      </c>
      <c r="E667" s="1">
        <f t="shared" si="41"/>
        <v>0.53658536585365857</v>
      </c>
      <c r="F667" s="2">
        <v>118.9</v>
      </c>
      <c r="G667" s="2">
        <v>117.1</v>
      </c>
      <c r="H667" s="2">
        <f t="shared" si="42"/>
        <v>1.8000000000000114</v>
      </c>
      <c r="I667" s="1">
        <f t="shared" si="40"/>
        <v>0.55318886020704383</v>
      </c>
      <c r="J667" s="2">
        <v>115.1</v>
      </c>
      <c r="K667" s="2">
        <v>113.4</v>
      </c>
      <c r="L667" s="2">
        <f t="shared" si="43"/>
        <v>1.6999999999999886</v>
      </c>
      <c r="M667">
        <v>104</v>
      </c>
      <c r="N667">
        <v>98.6</v>
      </c>
      <c r="O667">
        <v>0.8</v>
      </c>
    </row>
    <row r="668" spans="1:15">
      <c r="A668" t="s">
        <v>63</v>
      </c>
      <c r="B668" t="s">
        <v>14</v>
      </c>
      <c r="C668">
        <v>22</v>
      </c>
      <c r="D668">
        <v>60</v>
      </c>
      <c r="E668" s="1">
        <f t="shared" si="41"/>
        <v>0.26829268292682928</v>
      </c>
      <c r="F668" s="2">
        <v>110.7</v>
      </c>
      <c r="G668" s="2">
        <v>118.6</v>
      </c>
      <c r="H668" s="2">
        <f t="shared" si="42"/>
        <v>-7.8999999999999915</v>
      </c>
      <c r="I668" s="1">
        <f t="shared" si="40"/>
        <v>0.27586683135290885</v>
      </c>
      <c r="J668" s="2">
        <v>110.5</v>
      </c>
      <c r="K668" s="2">
        <v>118.6</v>
      </c>
      <c r="L668" s="2">
        <f t="shared" si="43"/>
        <v>-8.0999999999999943</v>
      </c>
      <c r="M668">
        <v>91.4</v>
      </c>
      <c r="N668">
        <v>101</v>
      </c>
      <c r="O668">
        <v>-1.9</v>
      </c>
    </row>
    <row r="669" spans="1:15">
      <c r="A669" t="s">
        <v>63</v>
      </c>
      <c r="B669" t="s">
        <v>15</v>
      </c>
      <c r="C669">
        <v>35</v>
      </c>
      <c r="D669">
        <v>47</v>
      </c>
      <c r="E669" s="1">
        <f t="shared" si="41"/>
        <v>0.42682926829268292</v>
      </c>
      <c r="F669" s="2">
        <v>116.3</v>
      </c>
      <c r="G669" s="2">
        <v>119.5</v>
      </c>
      <c r="H669" s="2">
        <f t="shared" si="42"/>
        <v>-3.2000000000000028</v>
      </c>
      <c r="I669" s="1">
        <f t="shared" si="40"/>
        <v>0.40612536169941066</v>
      </c>
      <c r="J669" s="2">
        <v>113.8</v>
      </c>
      <c r="K669" s="2">
        <v>117.1</v>
      </c>
      <c r="L669" s="2">
        <f t="shared" si="43"/>
        <v>-3.2999999999999972</v>
      </c>
      <c r="M669">
        <v>110</v>
      </c>
      <c r="N669">
        <v>110.7</v>
      </c>
      <c r="O669">
        <v>0.7</v>
      </c>
    </row>
    <row r="670" spans="1:15">
      <c r="A670" t="s">
        <v>63</v>
      </c>
      <c r="B670" t="s">
        <v>56</v>
      </c>
      <c r="C670">
        <v>44</v>
      </c>
      <c r="D670">
        <v>38</v>
      </c>
      <c r="E670" s="1">
        <f t="shared" si="41"/>
        <v>0.53658536585365857</v>
      </c>
      <c r="F670" s="2">
        <v>113.6</v>
      </c>
      <c r="G670" s="2">
        <v>113.1</v>
      </c>
      <c r="H670" s="2">
        <f t="shared" si="42"/>
        <v>0.5</v>
      </c>
      <c r="I670" s="1">
        <f t="shared" si="40"/>
        <v>0.515434026237649</v>
      </c>
      <c r="J670" s="2">
        <v>114</v>
      </c>
      <c r="K670" s="2">
        <v>113.6</v>
      </c>
      <c r="L670" s="2">
        <f t="shared" si="43"/>
        <v>0.40000000000000568</v>
      </c>
      <c r="M670">
        <v>112.3</v>
      </c>
      <c r="N670">
        <v>109.8</v>
      </c>
      <c r="O670">
        <v>0.7</v>
      </c>
    </row>
    <row r="671" spans="1:15">
      <c r="A671" t="s">
        <v>63</v>
      </c>
      <c r="B671" t="s">
        <v>17</v>
      </c>
      <c r="C671">
        <v>43</v>
      </c>
      <c r="D671">
        <v>39</v>
      </c>
      <c r="E671" s="1">
        <f t="shared" si="41"/>
        <v>0.52439024390243905</v>
      </c>
      <c r="F671" s="2">
        <v>117.2</v>
      </c>
      <c r="G671" s="2">
        <v>116.6</v>
      </c>
      <c r="H671" s="2">
        <f t="shared" si="42"/>
        <v>0.60000000000000853</v>
      </c>
      <c r="I671" s="1">
        <f t="shared" si="40"/>
        <v>0.5179563857008791</v>
      </c>
      <c r="J671" s="2">
        <v>113.9</v>
      </c>
      <c r="K671" s="2">
        <v>113.2</v>
      </c>
      <c r="L671" s="2">
        <f t="shared" si="43"/>
        <v>0.70000000000000284</v>
      </c>
      <c r="M671">
        <v>115.9</v>
      </c>
      <c r="N671">
        <v>111.5</v>
      </c>
      <c r="O671">
        <v>1.9</v>
      </c>
    </row>
    <row r="672" spans="1:15">
      <c r="A672" t="s">
        <v>63</v>
      </c>
      <c r="B672" t="s">
        <v>35</v>
      </c>
      <c r="C672">
        <v>51</v>
      </c>
      <c r="D672">
        <v>31</v>
      </c>
      <c r="E672" s="1">
        <f t="shared" si="41"/>
        <v>0.62195121951219512</v>
      </c>
      <c r="F672" s="2">
        <v>116.9</v>
      </c>
      <c r="G672" s="2">
        <v>113</v>
      </c>
      <c r="H672" s="2">
        <f t="shared" si="42"/>
        <v>3.9000000000000057</v>
      </c>
      <c r="I672" s="1">
        <f t="shared" si="40"/>
        <v>0.61657470721768026</v>
      </c>
      <c r="J672" s="2">
        <v>114.7</v>
      </c>
      <c r="K672" s="2">
        <v>110.7</v>
      </c>
      <c r="L672" s="2">
        <f t="shared" si="43"/>
        <v>4</v>
      </c>
      <c r="M672">
        <v>114.9</v>
      </c>
      <c r="N672">
        <v>113.9</v>
      </c>
      <c r="O672">
        <v>-1.1000000000000001</v>
      </c>
    </row>
    <row r="673" spans="1:15">
      <c r="A673" t="s">
        <v>63</v>
      </c>
      <c r="B673" t="s">
        <v>18</v>
      </c>
      <c r="C673">
        <v>44</v>
      </c>
      <c r="D673">
        <v>38</v>
      </c>
      <c r="E673" s="1">
        <f t="shared" si="41"/>
        <v>0.53658536585365857</v>
      </c>
      <c r="F673" s="2">
        <v>109.5</v>
      </c>
      <c r="G673" s="2">
        <v>109.8</v>
      </c>
      <c r="H673" s="2">
        <f t="shared" si="42"/>
        <v>-0.29999999999999716</v>
      </c>
      <c r="I673" s="1">
        <f t="shared" si="40"/>
        <v>0.49042524125901932</v>
      </c>
      <c r="J673" s="2">
        <v>112.3</v>
      </c>
      <c r="K673" s="2">
        <v>112.8</v>
      </c>
      <c r="L673" s="2">
        <f t="shared" si="43"/>
        <v>-0.5</v>
      </c>
      <c r="M673">
        <v>112.3</v>
      </c>
      <c r="N673">
        <v>95.4</v>
      </c>
      <c r="O673">
        <v>1.3</v>
      </c>
    </row>
    <row r="674" spans="1:15">
      <c r="A674" t="s">
        <v>63</v>
      </c>
      <c r="B674" t="s">
        <v>19</v>
      </c>
      <c r="C674">
        <v>58</v>
      </c>
      <c r="D674">
        <v>24</v>
      </c>
      <c r="E674" s="1">
        <f t="shared" si="41"/>
        <v>0.70731707317073167</v>
      </c>
      <c r="F674" s="2">
        <v>116.9</v>
      </c>
      <c r="G674" s="2">
        <v>113.3</v>
      </c>
      <c r="H674" s="2">
        <f t="shared" si="42"/>
        <v>3.6000000000000085</v>
      </c>
      <c r="I674" s="1">
        <f t="shared" si="40"/>
        <v>0.607762297189269</v>
      </c>
      <c r="J674" s="2">
        <v>114.3</v>
      </c>
      <c r="K674" s="2">
        <v>110.9</v>
      </c>
      <c r="L674" s="2">
        <f t="shared" si="43"/>
        <v>3.3999999999999915</v>
      </c>
      <c r="M674">
        <v>109.7</v>
      </c>
      <c r="N674">
        <v>102.8</v>
      </c>
      <c r="O674">
        <v>0.7</v>
      </c>
    </row>
    <row r="675" spans="1:15">
      <c r="A675" t="s">
        <v>63</v>
      </c>
      <c r="B675" t="s">
        <v>20</v>
      </c>
      <c r="C675">
        <v>42</v>
      </c>
      <c r="D675">
        <v>40</v>
      </c>
      <c r="E675" s="1">
        <f t="shared" si="41"/>
        <v>0.51219512195121952</v>
      </c>
      <c r="F675" s="2">
        <v>115.8</v>
      </c>
      <c r="G675" s="2">
        <v>115.8</v>
      </c>
      <c r="H675" s="2">
        <f t="shared" si="42"/>
        <v>0</v>
      </c>
      <c r="I675" s="1">
        <f t="shared" si="40"/>
        <v>0.5</v>
      </c>
      <c r="J675" s="2">
        <v>113.3</v>
      </c>
      <c r="K675" s="2">
        <v>113.1</v>
      </c>
      <c r="L675" s="2">
        <f t="shared" si="43"/>
        <v>0.20000000000000284</v>
      </c>
      <c r="M675">
        <v>100.3</v>
      </c>
      <c r="N675">
        <v>100.5</v>
      </c>
      <c r="O675">
        <v>-0.2</v>
      </c>
    </row>
    <row r="676" spans="1:15">
      <c r="A676" t="s">
        <v>63</v>
      </c>
      <c r="B676" t="s">
        <v>53</v>
      </c>
      <c r="C676">
        <v>42</v>
      </c>
      <c r="D676">
        <v>40</v>
      </c>
      <c r="E676" s="1">
        <f t="shared" si="41"/>
        <v>0.51219512195121952</v>
      </c>
      <c r="F676" s="2">
        <v>114.4</v>
      </c>
      <c r="G676" s="2">
        <v>112.5</v>
      </c>
      <c r="H676" s="2">
        <f t="shared" si="42"/>
        <v>1.9000000000000057</v>
      </c>
      <c r="I676" s="1">
        <f t="shared" si="40"/>
        <v>0.55835042155864323</v>
      </c>
      <c r="J676" s="2">
        <v>113.8</v>
      </c>
      <c r="K676" s="2">
        <v>112</v>
      </c>
      <c r="L676" s="2">
        <f t="shared" si="43"/>
        <v>1.7999999999999972</v>
      </c>
      <c r="M676">
        <v>113.1</v>
      </c>
      <c r="N676">
        <v>104</v>
      </c>
      <c r="O676">
        <v>0.4</v>
      </c>
    </row>
    <row r="677" spans="1:15">
      <c r="A677" t="s">
        <v>63</v>
      </c>
      <c r="B677" t="s">
        <v>22</v>
      </c>
      <c r="C677">
        <v>47</v>
      </c>
      <c r="D677">
        <v>35</v>
      </c>
      <c r="E677" s="1">
        <f t="shared" si="41"/>
        <v>0.57317073170731703</v>
      </c>
      <c r="F677" s="2">
        <v>116</v>
      </c>
      <c r="G677" s="2">
        <v>113.1</v>
      </c>
      <c r="H677" s="2">
        <f t="shared" si="42"/>
        <v>2.9000000000000057</v>
      </c>
      <c r="I677" s="1">
        <f t="shared" si="40"/>
        <v>0.58769610800156147</v>
      </c>
      <c r="J677" s="2">
        <v>117</v>
      </c>
      <c r="K677" s="2">
        <v>114.2</v>
      </c>
      <c r="L677" s="2">
        <f t="shared" si="43"/>
        <v>2.7999999999999972</v>
      </c>
      <c r="M677">
        <v>109.1</v>
      </c>
      <c r="N677">
        <v>119</v>
      </c>
      <c r="O677">
        <v>0</v>
      </c>
    </row>
    <row r="678" spans="1:15">
      <c r="A678" t="s">
        <v>63</v>
      </c>
      <c r="B678" t="s">
        <v>46</v>
      </c>
      <c r="C678">
        <v>40</v>
      </c>
      <c r="D678">
        <v>42</v>
      </c>
      <c r="E678" s="1">
        <f t="shared" si="41"/>
        <v>0.48780487804878048</v>
      </c>
      <c r="F678" s="2">
        <v>117.5</v>
      </c>
      <c r="G678" s="2">
        <v>116.4</v>
      </c>
      <c r="H678" s="2">
        <f t="shared" si="42"/>
        <v>1.0999999999999943</v>
      </c>
      <c r="I678" s="1">
        <f t="shared" si="40"/>
        <v>0.53287280670641013</v>
      </c>
      <c r="J678" s="2">
        <v>114.2</v>
      </c>
      <c r="K678" s="2">
        <v>113.2</v>
      </c>
      <c r="L678" s="2">
        <f t="shared" si="43"/>
        <v>1</v>
      </c>
      <c r="M678">
        <v>97.1</v>
      </c>
      <c r="N678">
        <v>106.3</v>
      </c>
      <c r="O678">
        <v>-0.7</v>
      </c>
    </row>
    <row r="679" spans="1:15">
      <c r="A679" t="s">
        <v>63</v>
      </c>
      <c r="B679" t="s">
        <v>23</v>
      </c>
      <c r="C679">
        <v>34</v>
      </c>
      <c r="D679">
        <v>48</v>
      </c>
      <c r="E679" s="1">
        <f t="shared" si="41"/>
        <v>0.41463414634146339</v>
      </c>
      <c r="F679" s="2">
        <v>111.4</v>
      </c>
      <c r="G679" s="2">
        <v>114</v>
      </c>
      <c r="H679" s="2">
        <f t="shared" si="42"/>
        <v>-2.5999999999999943</v>
      </c>
      <c r="I679" s="1">
        <f t="shared" si="40"/>
        <v>0.41994584859669859</v>
      </c>
      <c r="J679" s="2">
        <v>111.3</v>
      </c>
      <c r="K679" s="2">
        <v>113.7</v>
      </c>
      <c r="L679" s="2">
        <f t="shared" si="43"/>
        <v>-2.4000000000000057</v>
      </c>
      <c r="M679">
        <v>109.2</v>
      </c>
      <c r="N679">
        <v>120.8</v>
      </c>
      <c r="O679">
        <v>0.5</v>
      </c>
    </row>
    <row r="680" spans="1:15">
      <c r="A680" t="s">
        <v>63</v>
      </c>
      <c r="B680" t="s">
        <v>24</v>
      </c>
      <c r="C680">
        <v>54</v>
      </c>
      <c r="D680">
        <v>28</v>
      </c>
      <c r="E680" s="1">
        <f t="shared" si="41"/>
        <v>0.65853658536585369</v>
      </c>
      <c r="F680" s="2">
        <v>115.2</v>
      </c>
      <c r="G680" s="2">
        <v>110.9</v>
      </c>
      <c r="H680" s="2">
        <f t="shared" si="42"/>
        <v>4.2999999999999972</v>
      </c>
      <c r="I680" s="1">
        <f t="shared" si="40"/>
        <v>0.63008277952794978</v>
      </c>
      <c r="J680" s="2">
        <v>117</v>
      </c>
      <c r="K680" s="2">
        <v>112.7</v>
      </c>
      <c r="L680" s="2">
        <f t="shared" si="43"/>
        <v>4.2999999999999972</v>
      </c>
      <c r="M680">
        <v>110.2</v>
      </c>
      <c r="N680">
        <v>93.3</v>
      </c>
      <c r="O680">
        <v>2</v>
      </c>
    </row>
    <row r="681" spans="1:15">
      <c r="A681" t="s">
        <v>63</v>
      </c>
      <c r="B681" t="s">
        <v>25</v>
      </c>
      <c r="C681">
        <v>45</v>
      </c>
      <c r="D681">
        <v>37</v>
      </c>
      <c r="E681" s="1">
        <f t="shared" si="41"/>
        <v>0.54878048780487809</v>
      </c>
      <c r="F681" s="2">
        <v>113.6</v>
      </c>
      <c r="G681" s="2">
        <v>111.6</v>
      </c>
      <c r="H681" s="2">
        <f t="shared" si="42"/>
        <v>2</v>
      </c>
      <c r="I681" s="1">
        <f t="shared" si="40"/>
        <v>0.56185019593174323</v>
      </c>
      <c r="J681" s="2">
        <v>114.5</v>
      </c>
      <c r="K681" s="2">
        <v>112.3</v>
      </c>
      <c r="L681" s="2">
        <f t="shared" si="43"/>
        <v>2.2000000000000028</v>
      </c>
      <c r="M681">
        <v>109.4</v>
      </c>
      <c r="N681">
        <v>112.6</v>
      </c>
      <c r="O681">
        <v>-0.2</v>
      </c>
    </row>
    <row r="682" spans="1:15">
      <c r="A682" t="s">
        <v>63</v>
      </c>
      <c r="B682" t="s">
        <v>26</v>
      </c>
      <c r="C682">
        <v>33</v>
      </c>
      <c r="D682">
        <v>49</v>
      </c>
      <c r="E682" s="1">
        <f t="shared" si="41"/>
        <v>0.40243902439024393</v>
      </c>
      <c r="F682" s="2">
        <v>113.4</v>
      </c>
      <c r="G682" s="2">
        <v>117.4</v>
      </c>
      <c r="H682" s="2">
        <f t="shared" si="42"/>
        <v>-4</v>
      </c>
      <c r="I682" s="1">
        <f t="shared" si="40"/>
        <v>0.3809973284555101</v>
      </c>
      <c r="J682" s="2">
        <v>114</v>
      </c>
      <c r="K682" s="2">
        <v>118</v>
      </c>
      <c r="L682" s="2">
        <f t="shared" si="43"/>
        <v>-4</v>
      </c>
      <c r="M682">
        <v>107.1</v>
      </c>
      <c r="N682">
        <v>113.9</v>
      </c>
      <c r="O682">
        <v>-1.2</v>
      </c>
    </row>
    <row r="683" spans="1:15">
      <c r="A683" t="s">
        <v>63</v>
      </c>
      <c r="B683" t="s">
        <v>27</v>
      </c>
      <c r="C683">
        <v>48</v>
      </c>
      <c r="D683">
        <v>34</v>
      </c>
      <c r="E683" s="1">
        <f t="shared" si="41"/>
        <v>0.58536585365853655</v>
      </c>
      <c r="F683" s="2">
        <v>120.7</v>
      </c>
      <c r="G683" s="2">
        <v>118.1</v>
      </c>
      <c r="H683" s="2">
        <f t="shared" si="42"/>
        <v>2.6000000000000085</v>
      </c>
      <c r="I683" s="1">
        <f t="shared" si="40"/>
        <v>0.57563251403873306</v>
      </c>
      <c r="J683" s="2">
        <v>118.6</v>
      </c>
      <c r="K683" s="2">
        <v>116</v>
      </c>
      <c r="L683" s="2">
        <f t="shared" si="43"/>
        <v>2.5999999999999943</v>
      </c>
      <c r="M683">
        <v>129.19999999999999</v>
      </c>
      <c r="N683">
        <v>116.8</v>
      </c>
      <c r="O683">
        <v>0.9</v>
      </c>
    </row>
    <row r="684" spans="1:15">
      <c r="A684" t="s">
        <v>63</v>
      </c>
      <c r="B684" t="s">
        <v>28</v>
      </c>
      <c r="C684">
        <v>22</v>
      </c>
      <c r="D684">
        <v>60</v>
      </c>
      <c r="E684" s="1">
        <f t="shared" si="41"/>
        <v>0.26829268292682928</v>
      </c>
      <c r="F684" s="2">
        <v>113</v>
      </c>
      <c r="G684" s="2">
        <v>123.1</v>
      </c>
      <c r="H684" s="2">
        <f t="shared" si="42"/>
        <v>-10.099999999999994</v>
      </c>
      <c r="I684" s="1">
        <f t="shared" si="40"/>
        <v>0.23173700210202122</v>
      </c>
      <c r="J684" s="2">
        <v>109.7</v>
      </c>
      <c r="K684" s="2">
        <v>119.6</v>
      </c>
      <c r="L684" s="2">
        <f t="shared" si="43"/>
        <v>-9.8999999999999915</v>
      </c>
      <c r="M684">
        <v>98.2</v>
      </c>
      <c r="N684">
        <v>112.4</v>
      </c>
      <c r="O684">
        <v>-3.9</v>
      </c>
    </row>
    <row r="685" spans="1:15">
      <c r="A685" t="s">
        <v>63</v>
      </c>
      <c r="B685" t="s">
        <v>30</v>
      </c>
      <c r="C685">
        <v>41</v>
      </c>
      <c r="D685">
        <v>41</v>
      </c>
      <c r="E685" s="1">
        <f t="shared" si="41"/>
        <v>0.5</v>
      </c>
      <c r="F685" s="2">
        <v>112.9</v>
      </c>
      <c r="G685" s="2">
        <v>111.4</v>
      </c>
      <c r="H685" s="2">
        <f t="shared" si="42"/>
        <v>1.5</v>
      </c>
      <c r="I685" s="1">
        <f t="shared" si="40"/>
        <v>0.54667669581130873</v>
      </c>
      <c r="J685" s="2">
        <v>114.6</v>
      </c>
      <c r="K685" s="2">
        <v>113.1</v>
      </c>
      <c r="L685" s="2">
        <f t="shared" si="43"/>
        <v>1.5</v>
      </c>
      <c r="M685">
        <v>106.3</v>
      </c>
      <c r="N685">
        <v>107.1</v>
      </c>
      <c r="O685">
        <v>0.4</v>
      </c>
    </row>
    <row r="686" spans="1:15">
      <c r="A686" t="s">
        <v>63</v>
      </c>
      <c r="B686" t="s">
        <v>31</v>
      </c>
      <c r="C686">
        <v>37</v>
      </c>
      <c r="D686">
        <v>45</v>
      </c>
      <c r="E686" s="1">
        <f t="shared" si="41"/>
        <v>0.45121951219512196</v>
      </c>
      <c r="F686" s="2">
        <v>117.1</v>
      </c>
      <c r="G686" s="2">
        <v>118</v>
      </c>
      <c r="H686" s="2">
        <f t="shared" si="42"/>
        <v>-0.90000000000000568</v>
      </c>
      <c r="I686" s="1">
        <f t="shared" si="40"/>
        <v>0.47322838921503652</v>
      </c>
      <c r="J686" s="2">
        <v>115.3</v>
      </c>
      <c r="K686" s="2">
        <v>116</v>
      </c>
      <c r="L686" s="2">
        <f t="shared" si="43"/>
        <v>-0.70000000000000284</v>
      </c>
      <c r="M686">
        <v>117.2</v>
      </c>
      <c r="N686">
        <v>109.5</v>
      </c>
      <c r="O686">
        <v>-0.1</v>
      </c>
    </row>
    <row r="687" spans="1:15">
      <c r="A687" t="s">
        <v>63</v>
      </c>
      <c r="B687" t="s">
        <v>33</v>
      </c>
      <c r="C687">
        <v>35</v>
      </c>
      <c r="D687">
        <v>47</v>
      </c>
      <c r="E687" s="1">
        <f t="shared" si="41"/>
        <v>0.42682926829268292</v>
      </c>
      <c r="F687" s="2">
        <v>113.2</v>
      </c>
      <c r="G687" s="2">
        <v>114.4</v>
      </c>
      <c r="H687" s="2">
        <f t="shared" si="42"/>
        <v>-1.2000000000000028</v>
      </c>
      <c r="I687" s="1">
        <f t="shared" si="40"/>
        <v>0.46315968852837397</v>
      </c>
      <c r="J687" s="2">
        <v>113.7</v>
      </c>
      <c r="K687" s="2">
        <v>114.9</v>
      </c>
      <c r="L687" s="2">
        <f t="shared" si="43"/>
        <v>-1.2000000000000028</v>
      </c>
      <c r="M687">
        <v>101.4</v>
      </c>
      <c r="N687">
        <v>110.3</v>
      </c>
      <c r="O687">
        <v>0</v>
      </c>
    </row>
    <row r="688" spans="1:15">
      <c r="A688" t="s">
        <v>64</v>
      </c>
      <c r="B688" t="s">
        <v>5</v>
      </c>
      <c r="C688">
        <v>36</v>
      </c>
      <c r="D688">
        <v>46</v>
      </c>
      <c r="E688" s="1">
        <f t="shared" si="41"/>
        <v>0.43902439024390244</v>
      </c>
      <c r="F688" s="2">
        <v>118.3</v>
      </c>
      <c r="G688" s="2">
        <v>120.5</v>
      </c>
      <c r="H688" s="2">
        <f t="shared" si="42"/>
        <v>-2.2000000000000028</v>
      </c>
      <c r="I688" s="1">
        <f t="shared" si="40"/>
        <v>0.43586432994244823</v>
      </c>
      <c r="J688" s="2">
        <v>116.4</v>
      </c>
      <c r="K688" s="2">
        <v>118.4</v>
      </c>
      <c r="L688" s="2">
        <f t="shared" si="43"/>
        <v>-2</v>
      </c>
      <c r="M688">
        <v>103.9</v>
      </c>
      <c r="N688">
        <v>118.7</v>
      </c>
      <c r="O688">
        <v>-0.9</v>
      </c>
    </row>
    <row r="689" spans="1:15">
      <c r="A689" t="s">
        <v>64</v>
      </c>
      <c r="B689" t="s">
        <v>6</v>
      </c>
      <c r="C689">
        <v>64</v>
      </c>
      <c r="D689">
        <v>18</v>
      </c>
      <c r="E689" s="1">
        <f t="shared" si="41"/>
        <v>0.78048780487804881</v>
      </c>
      <c r="F689" s="2">
        <v>120.6</v>
      </c>
      <c r="G689" s="2">
        <v>109.2</v>
      </c>
      <c r="H689" s="2">
        <f t="shared" si="42"/>
        <v>11.399999999999991</v>
      </c>
      <c r="I689" s="1">
        <f t="shared" si="40"/>
        <v>0.80062019440018317</v>
      </c>
      <c r="J689" s="2">
        <v>122.2</v>
      </c>
      <c r="K689" s="2">
        <v>110.6</v>
      </c>
      <c r="L689" s="2">
        <f t="shared" si="43"/>
        <v>11.600000000000009</v>
      </c>
      <c r="M689">
        <v>116.8</v>
      </c>
      <c r="N689">
        <v>103.9</v>
      </c>
      <c r="O689">
        <v>1.9</v>
      </c>
    </row>
    <row r="690" spans="1:15">
      <c r="A690" t="s">
        <v>64</v>
      </c>
      <c r="B690" t="s">
        <v>51</v>
      </c>
      <c r="C690">
        <v>32</v>
      </c>
      <c r="D690">
        <v>50</v>
      </c>
      <c r="E690" s="1">
        <f t="shared" si="41"/>
        <v>0.3902439024390244</v>
      </c>
      <c r="F690" s="2">
        <v>110.4</v>
      </c>
      <c r="G690" s="2">
        <v>113.3</v>
      </c>
      <c r="H690" s="2">
        <f t="shared" si="42"/>
        <v>-2.8999999999999915</v>
      </c>
      <c r="I690" s="1">
        <f t="shared" si="40"/>
        <v>0.41023197755598673</v>
      </c>
      <c r="J690" s="2">
        <v>112.4</v>
      </c>
      <c r="K690" s="2">
        <v>115.4</v>
      </c>
      <c r="L690" s="2">
        <f t="shared" si="43"/>
        <v>-3</v>
      </c>
      <c r="M690">
        <v>107.5</v>
      </c>
      <c r="N690">
        <v>114.2</v>
      </c>
      <c r="O690">
        <v>-0.1</v>
      </c>
    </row>
    <row r="691" spans="1:15">
      <c r="A691" t="s">
        <v>64</v>
      </c>
      <c r="B691" t="s">
        <v>7</v>
      </c>
      <c r="C691">
        <v>21</v>
      </c>
      <c r="D691">
        <v>61</v>
      </c>
      <c r="E691" s="1">
        <f t="shared" si="41"/>
        <v>0.25609756097560976</v>
      </c>
      <c r="F691" s="2">
        <v>106.6</v>
      </c>
      <c r="G691" s="2">
        <v>116.8</v>
      </c>
      <c r="H691" s="2">
        <f t="shared" si="42"/>
        <v>-10.200000000000003</v>
      </c>
      <c r="I691" s="1">
        <f t="shared" si="40"/>
        <v>0.21766704901451664</v>
      </c>
      <c r="J691" s="2">
        <v>108.6</v>
      </c>
      <c r="K691" s="2">
        <v>119.2</v>
      </c>
      <c r="L691" s="2">
        <f t="shared" si="43"/>
        <v>-10.600000000000009</v>
      </c>
      <c r="M691">
        <v>112</v>
      </c>
      <c r="N691">
        <v>113.6</v>
      </c>
      <c r="O691">
        <v>-0.3</v>
      </c>
    </row>
    <row r="692" spans="1:15">
      <c r="A692" t="s">
        <v>64</v>
      </c>
      <c r="B692" t="s">
        <v>8</v>
      </c>
      <c r="C692">
        <v>39</v>
      </c>
      <c r="D692">
        <v>43</v>
      </c>
      <c r="E692" s="1">
        <f t="shared" si="41"/>
        <v>0.47560975609756095</v>
      </c>
      <c r="F692" s="2">
        <v>112.3</v>
      </c>
      <c r="G692" s="2">
        <v>113.7</v>
      </c>
      <c r="H692" s="2">
        <f t="shared" si="42"/>
        <v>-1.4000000000000057</v>
      </c>
      <c r="I692" s="1">
        <f t="shared" si="40"/>
        <v>0.45674500707162874</v>
      </c>
      <c r="J692" s="2">
        <v>114</v>
      </c>
      <c r="K692" s="2">
        <v>115.7</v>
      </c>
      <c r="L692" s="2">
        <f t="shared" si="43"/>
        <v>-1.7000000000000028</v>
      </c>
      <c r="M692">
        <v>119.5</v>
      </c>
      <c r="N692">
        <v>95.5</v>
      </c>
      <c r="O692">
        <v>0</v>
      </c>
    </row>
    <row r="693" spans="1:15">
      <c r="A693" t="s">
        <v>64</v>
      </c>
      <c r="B693" t="s">
        <v>9</v>
      </c>
      <c r="C693">
        <v>48</v>
      </c>
      <c r="D693">
        <v>34</v>
      </c>
      <c r="E693" s="1">
        <f t="shared" si="41"/>
        <v>0.58536585365853655</v>
      </c>
      <c r="F693" s="2">
        <v>112.6</v>
      </c>
      <c r="G693" s="2">
        <v>110.2</v>
      </c>
      <c r="H693" s="2">
        <f t="shared" si="42"/>
        <v>2.3999999999999915</v>
      </c>
      <c r="I693" s="1">
        <f t="shared" si="40"/>
        <v>0.57484031607485653</v>
      </c>
      <c r="J693" s="2">
        <v>114.7</v>
      </c>
      <c r="K693" s="2">
        <v>112.1</v>
      </c>
      <c r="L693" s="2">
        <f t="shared" si="43"/>
        <v>2.6000000000000085</v>
      </c>
      <c r="M693">
        <v>106.4</v>
      </c>
      <c r="N693">
        <v>111.1</v>
      </c>
      <c r="O693">
        <v>0.3</v>
      </c>
    </row>
    <row r="694" spans="1:15">
      <c r="A694" t="s">
        <v>64</v>
      </c>
      <c r="B694" t="s">
        <v>10</v>
      </c>
      <c r="C694">
        <v>50</v>
      </c>
      <c r="D694">
        <v>32</v>
      </c>
      <c r="E694" s="1">
        <f t="shared" si="41"/>
        <v>0.6097560975609756</v>
      </c>
      <c r="F694" s="2">
        <v>117.9</v>
      </c>
      <c r="G694" s="2">
        <v>115.6</v>
      </c>
      <c r="H694" s="2">
        <f t="shared" si="42"/>
        <v>2.3000000000000114</v>
      </c>
      <c r="I694" s="1">
        <f t="shared" si="40"/>
        <v>0.56851916226040555</v>
      </c>
      <c r="J694" s="2">
        <v>117</v>
      </c>
      <c r="K694" s="2">
        <v>114.9</v>
      </c>
      <c r="L694" s="2">
        <f t="shared" si="43"/>
        <v>2.0999999999999943</v>
      </c>
      <c r="M694">
        <v>128.19999999999999</v>
      </c>
      <c r="N694">
        <v>106.4</v>
      </c>
      <c r="O694">
        <v>0.5</v>
      </c>
    </row>
    <row r="695" spans="1:15">
      <c r="A695" t="s">
        <v>64</v>
      </c>
      <c r="B695" t="s">
        <v>11</v>
      </c>
      <c r="C695">
        <v>57</v>
      </c>
      <c r="D695">
        <v>25</v>
      </c>
      <c r="E695" s="1">
        <f t="shared" si="41"/>
        <v>0.69512195121951215</v>
      </c>
      <c r="F695" s="2">
        <v>114.9</v>
      </c>
      <c r="G695" s="2">
        <v>109.6</v>
      </c>
      <c r="H695" s="2">
        <f t="shared" si="42"/>
        <v>5.3000000000000114</v>
      </c>
      <c r="I695" s="1">
        <f t="shared" si="40"/>
        <v>0.65951807642431337</v>
      </c>
      <c r="J695" s="2">
        <v>117.8</v>
      </c>
      <c r="K695" s="2">
        <v>112.3</v>
      </c>
      <c r="L695" s="2">
        <f t="shared" si="43"/>
        <v>5.5</v>
      </c>
      <c r="M695">
        <v>121.1</v>
      </c>
      <c r="N695">
        <v>95.6</v>
      </c>
      <c r="O695">
        <v>1.2</v>
      </c>
    </row>
    <row r="696" spans="1:15">
      <c r="A696" t="s">
        <v>64</v>
      </c>
      <c r="B696" t="s">
        <v>12</v>
      </c>
      <c r="C696">
        <v>14</v>
      </c>
      <c r="D696">
        <v>68</v>
      </c>
      <c r="E696" s="1">
        <f t="shared" si="41"/>
        <v>0.17073170731707318</v>
      </c>
      <c r="F696" s="2">
        <v>109.9</v>
      </c>
      <c r="G696" s="2">
        <v>119</v>
      </c>
      <c r="H696" s="2">
        <f t="shared" si="42"/>
        <v>-9.0999999999999943</v>
      </c>
      <c r="I696" s="1">
        <f t="shared" si="40"/>
        <v>0.24717488192529891</v>
      </c>
      <c r="J696" s="2">
        <v>109</v>
      </c>
      <c r="K696" s="2">
        <v>118</v>
      </c>
      <c r="L696" s="2">
        <f t="shared" si="43"/>
        <v>-9</v>
      </c>
      <c r="M696">
        <v>93.7</v>
      </c>
      <c r="N696">
        <v>128.1</v>
      </c>
      <c r="O696">
        <v>-0.9</v>
      </c>
    </row>
    <row r="697" spans="1:15">
      <c r="A697" t="s">
        <v>64</v>
      </c>
      <c r="B697" t="s">
        <v>13</v>
      </c>
      <c r="C697">
        <v>46</v>
      </c>
      <c r="D697">
        <v>36</v>
      </c>
      <c r="E697" s="1">
        <f t="shared" si="41"/>
        <v>0.56097560975609762</v>
      </c>
      <c r="F697" s="2">
        <v>117.8</v>
      </c>
      <c r="G697" s="2">
        <v>115.2</v>
      </c>
      <c r="H697" s="2">
        <f t="shared" si="42"/>
        <v>2.5999999999999943</v>
      </c>
      <c r="I697" s="1">
        <f t="shared" si="40"/>
        <v>0.57748543979619871</v>
      </c>
      <c r="J697" s="2">
        <v>116.9</v>
      </c>
      <c r="K697" s="2">
        <v>114.5</v>
      </c>
      <c r="L697" s="2">
        <f t="shared" si="43"/>
        <v>2.4000000000000057</v>
      </c>
      <c r="M697">
        <v>116.2</v>
      </c>
      <c r="N697">
        <v>115.9</v>
      </c>
      <c r="O697">
        <v>-0.5</v>
      </c>
    </row>
    <row r="698" spans="1:15">
      <c r="A698" t="s">
        <v>64</v>
      </c>
      <c r="B698" t="s">
        <v>14</v>
      </c>
      <c r="C698">
        <v>41</v>
      </c>
      <c r="D698">
        <v>41</v>
      </c>
      <c r="E698" s="1">
        <f t="shared" si="41"/>
        <v>0.5</v>
      </c>
      <c r="F698" s="2">
        <v>114.3</v>
      </c>
      <c r="G698" s="2">
        <v>113.2</v>
      </c>
      <c r="H698" s="2">
        <f t="shared" si="42"/>
        <v>1.0999999999999943</v>
      </c>
      <c r="I698" s="1">
        <f t="shared" si="40"/>
        <v>0.53379481382340799</v>
      </c>
      <c r="J698" s="2">
        <v>113.7</v>
      </c>
      <c r="K698" s="2">
        <v>112.8</v>
      </c>
      <c r="L698" s="2">
        <f t="shared" si="43"/>
        <v>0.90000000000000568</v>
      </c>
      <c r="M698">
        <v>108.4</v>
      </c>
      <c r="N698">
        <v>121.6</v>
      </c>
      <c r="O698">
        <v>0.3</v>
      </c>
    </row>
    <row r="699" spans="1:15">
      <c r="A699" t="s">
        <v>64</v>
      </c>
      <c r="B699" t="s">
        <v>15</v>
      </c>
      <c r="C699">
        <v>46</v>
      </c>
      <c r="D699">
        <v>35</v>
      </c>
      <c r="E699" s="1">
        <f t="shared" si="41"/>
        <v>0.5679012345679012</v>
      </c>
      <c r="F699" s="2">
        <v>123.2</v>
      </c>
      <c r="G699" s="2">
        <v>120.3</v>
      </c>
      <c r="H699" s="2">
        <f t="shared" si="42"/>
        <v>2.9000000000000057</v>
      </c>
      <c r="I699" s="1">
        <f t="shared" si="40"/>
        <v>0.5826073302631597</v>
      </c>
      <c r="J699" s="2">
        <v>120.5</v>
      </c>
      <c r="K699" s="2">
        <v>117.6</v>
      </c>
      <c r="L699" s="2">
        <f t="shared" si="43"/>
        <v>2.9000000000000057</v>
      </c>
      <c r="M699">
        <v>117.2</v>
      </c>
      <c r="N699">
        <v>116.9</v>
      </c>
      <c r="O699">
        <v>0.7</v>
      </c>
    </row>
    <row r="700" spans="1:15">
      <c r="A700" t="s">
        <v>64</v>
      </c>
      <c r="B700" t="s">
        <v>56</v>
      </c>
      <c r="C700">
        <v>51</v>
      </c>
      <c r="D700">
        <v>31</v>
      </c>
      <c r="E700" s="1">
        <f t="shared" si="41"/>
        <v>0.62195121951219512</v>
      </c>
      <c r="F700" s="2">
        <v>115.6</v>
      </c>
      <c r="G700" s="2">
        <v>112.3</v>
      </c>
      <c r="H700" s="2">
        <f t="shared" si="42"/>
        <v>3.2999999999999972</v>
      </c>
      <c r="I700" s="1">
        <f t="shared" si="40"/>
        <v>0.60000101155304963</v>
      </c>
      <c r="J700" s="2">
        <v>117.9</v>
      </c>
      <c r="K700" s="2">
        <v>114.6</v>
      </c>
      <c r="L700" s="2">
        <f t="shared" si="43"/>
        <v>3.3000000000000114</v>
      </c>
      <c r="M700">
        <v>124.6</v>
      </c>
      <c r="N700">
        <v>107.8</v>
      </c>
      <c r="O700">
        <v>-0.5</v>
      </c>
    </row>
    <row r="701" spans="1:15">
      <c r="A701" t="s">
        <v>64</v>
      </c>
      <c r="B701" t="s">
        <v>17</v>
      </c>
      <c r="C701">
        <v>46</v>
      </c>
      <c r="D701">
        <v>35</v>
      </c>
      <c r="E701" s="1">
        <f t="shared" si="41"/>
        <v>0.5679012345679012</v>
      </c>
      <c r="F701" s="2">
        <v>117.9</v>
      </c>
      <c r="G701" s="2">
        <v>117.8</v>
      </c>
      <c r="H701" s="2">
        <f t="shared" si="42"/>
        <v>0.10000000000000853</v>
      </c>
      <c r="I701" s="1">
        <f t="shared" si="40"/>
        <v>0.50296984221450003</v>
      </c>
      <c r="J701" s="2">
        <v>115.2</v>
      </c>
      <c r="K701" s="2">
        <v>115.2</v>
      </c>
      <c r="L701" s="2">
        <f t="shared" si="43"/>
        <v>0</v>
      </c>
      <c r="M701">
        <v>117.6</v>
      </c>
      <c r="N701">
        <v>108.5</v>
      </c>
      <c r="O701">
        <v>0.1</v>
      </c>
    </row>
    <row r="702" spans="1:15">
      <c r="A702" t="s">
        <v>64</v>
      </c>
      <c r="B702" t="s">
        <v>35</v>
      </c>
      <c r="C702">
        <v>27</v>
      </c>
      <c r="D702">
        <v>55</v>
      </c>
      <c r="E702" s="1">
        <f t="shared" si="41"/>
        <v>0.32926829268292684</v>
      </c>
      <c r="F702" s="2">
        <v>105.8</v>
      </c>
      <c r="G702" s="2">
        <v>112.8</v>
      </c>
      <c r="H702" s="2">
        <f t="shared" si="42"/>
        <v>-7</v>
      </c>
      <c r="I702" s="1">
        <f t="shared" si="40"/>
        <v>0.28968354582770361</v>
      </c>
      <c r="J702" s="2">
        <v>106.8</v>
      </c>
      <c r="K702" s="2">
        <v>113.7</v>
      </c>
      <c r="L702" s="2">
        <f t="shared" si="43"/>
        <v>-6.9000000000000057</v>
      </c>
      <c r="M702">
        <v>98.4</v>
      </c>
      <c r="N702">
        <v>105.9</v>
      </c>
      <c r="O702">
        <v>0.4</v>
      </c>
    </row>
    <row r="703" spans="1:15">
      <c r="A703" t="s">
        <v>64</v>
      </c>
      <c r="B703" t="s">
        <v>18</v>
      </c>
      <c r="C703">
        <v>46</v>
      </c>
      <c r="D703">
        <v>36</v>
      </c>
      <c r="E703" s="1">
        <f t="shared" si="41"/>
        <v>0.56097560975609762</v>
      </c>
      <c r="F703" s="2">
        <v>110.1</v>
      </c>
      <c r="G703" s="2">
        <v>108.4</v>
      </c>
      <c r="H703" s="2">
        <f t="shared" si="42"/>
        <v>1.6999999999999886</v>
      </c>
      <c r="I703" s="1">
        <f t="shared" si="40"/>
        <v>0.55424895602857005</v>
      </c>
      <c r="J703" s="2">
        <v>113.3</v>
      </c>
      <c r="K703" s="2">
        <v>111.5</v>
      </c>
      <c r="L703" s="2">
        <f t="shared" si="43"/>
        <v>1.7999999999999972</v>
      </c>
      <c r="M703">
        <v>99.3</v>
      </c>
      <c r="N703">
        <v>112.6</v>
      </c>
      <c r="O703">
        <v>-1.2</v>
      </c>
    </row>
    <row r="704" spans="1:15">
      <c r="A704" t="s">
        <v>64</v>
      </c>
      <c r="B704" t="s">
        <v>19</v>
      </c>
      <c r="C704">
        <v>49</v>
      </c>
      <c r="D704">
        <v>32</v>
      </c>
      <c r="E704" s="1">
        <f t="shared" si="41"/>
        <v>0.60493827160493829</v>
      </c>
      <c r="F704" s="2">
        <v>119</v>
      </c>
      <c r="G704" s="2">
        <v>116.2</v>
      </c>
      <c r="H704" s="2">
        <f t="shared" si="42"/>
        <v>2.7999999999999972</v>
      </c>
      <c r="I704" s="1">
        <f t="shared" si="40"/>
        <v>0.58257403618210546</v>
      </c>
      <c r="J704" s="2">
        <v>117.7</v>
      </c>
      <c r="K704" s="2">
        <v>114.9</v>
      </c>
      <c r="L704" s="2">
        <f t="shared" si="43"/>
        <v>2.7999999999999972</v>
      </c>
      <c r="M704">
        <v>122</v>
      </c>
      <c r="N704">
        <v>106.2</v>
      </c>
      <c r="O704">
        <v>0.1</v>
      </c>
    </row>
    <row r="705" spans="1:15">
      <c r="A705" t="s">
        <v>64</v>
      </c>
      <c r="B705" t="s">
        <v>20</v>
      </c>
      <c r="C705">
        <v>56</v>
      </c>
      <c r="D705">
        <v>26</v>
      </c>
      <c r="E705" s="1">
        <f t="shared" si="41"/>
        <v>0.68292682926829273</v>
      </c>
      <c r="F705" s="2">
        <v>113</v>
      </c>
      <c r="G705" s="2">
        <v>106.5</v>
      </c>
      <c r="H705" s="2">
        <f t="shared" si="42"/>
        <v>6.5</v>
      </c>
      <c r="I705" s="1">
        <f t="shared" si="40"/>
        <v>0.6962279782158256</v>
      </c>
      <c r="J705" s="2">
        <v>114.6</v>
      </c>
      <c r="K705" s="2">
        <v>108.4</v>
      </c>
      <c r="L705" s="2">
        <f t="shared" si="43"/>
        <v>6.1999999999999886</v>
      </c>
      <c r="M705">
        <v>104.9</v>
      </c>
      <c r="N705">
        <v>116.7</v>
      </c>
      <c r="O705">
        <v>1.2</v>
      </c>
    </row>
    <row r="706" spans="1:15">
      <c r="A706" t="s">
        <v>64</v>
      </c>
      <c r="B706" t="s">
        <v>53</v>
      </c>
      <c r="C706">
        <v>49</v>
      </c>
      <c r="D706">
        <v>32</v>
      </c>
      <c r="E706" s="1">
        <f t="shared" si="41"/>
        <v>0.60493827160493829</v>
      </c>
      <c r="F706" s="2">
        <v>115.4</v>
      </c>
      <c r="G706" s="2">
        <v>110.4</v>
      </c>
      <c r="H706" s="2">
        <f t="shared" si="42"/>
        <v>5</v>
      </c>
      <c r="I706" s="1">
        <f t="shared" ref="I706:I769" si="44">+(F706^14)/((F706^14+G706^14))</f>
        <v>0.65024563171173744</v>
      </c>
      <c r="J706" s="2">
        <v>116.9</v>
      </c>
      <c r="K706" s="2">
        <v>111.7</v>
      </c>
      <c r="L706" s="2">
        <f t="shared" si="43"/>
        <v>5.2000000000000028</v>
      </c>
      <c r="M706">
        <v>99</v>
      </c>
      <c r="N706">
        <v>112.3</v>
      </c>
      <c r="O706">
        <v>-0.3</v>
      </c>
    </row>
    <row r="707" spans="1:15">
      <c r="A707" t="s">
        <v>64</v>
      </c>
      <c r="B707" t="s">
        <v>22</v>
      </c>
      <c r="C707">
        <v>50</v>
      </c>
      <c r="D707">
        <v>32</v>
      </c>
      <c r="E707" s="1">
        <f t="shared" ref="E707:E770" si="45">+C707/(C707+D707)</f>
        <v>0.6097560975609756</v>
      </c>
      <c r="F707" s="2">
        <v>112.8</v>
      </c>
      <c r="G707" s="2">
        <v>108.2</v>
      </c>
      <c r="H707" s="2">
        <f t="shared" ref="H707:H770" si="46">+F707-G707</f>
        <v>4.5999999999999943</v>
      </c>
      <c r="I707" s="1">
        <f t="shared" si="44"/>
        <v>0.64173203581076255</v>
      </c>
      <c r="J707" s="2">
        <v>117.3</v>
      </c>
      <c r="K707" s="2">
        <v>112.4</v>
      </c>
      <c r="L707" s="2">
        <f t="shared" ref="L707:L770" si="47">+J707-K707</f>
        <v>4.8999999999999915</v>
      </c>
      <c r="M707">
        <v>114.4</v>
      </c>
      <c r="N707">
        <v>100.4</v>
      </c>
      <c r="O707">
        <v>1</v>
      </c>
    </row>
    <row r="708" spans="1:15">
      <c r="A708" t="s">
        <v>64</v>
      </c>
      <c r="B708" t="s">
        <v>46</v>
      </c>
      <c r="C708">
        <v>57</v>
      </c>
      <c r="D708">
        <v>25</v>
      </c>
      <c r="E708" s="1">
        <f t="shared" si="45"/>
        <v>0.69512195121951215</v>
      </c>
      <c r="F708" s="2">
        <v>120.1</v>
      </c>
      <c r="G708" s="2">
        <v>112.7</v>
      </c>
      <c r="H708" s="2">
        <f t="shared" si="46"/>
        <v>7.3999999999999915</v>
      </c>
      <c r="I708" s="1">
        <f t="shared" si="44"/>
        <v>0.70895915812510701</v>
      </c>
      <c r="J708" s="2">
        <v>118.3</v>
      </c>
      <c r="K708" s="2">
        <v>111</v>
      </c>
      <c r="L708" s="2">
        <f t="shared" si="47"/>
        <v>7.2999999999999972</v>
      </c>
      <c r="M708">
        <v>125.5</v>
      </c>
      <c r="N708">
        <v>114</v>
      </c>
      <c r="O708">
        <v>0.8</v>
      </c>
    </row>
    <row r="709" spans="1:15">
      <c r="A709" t="s">
        <v>64</v>
      </c>
      <c r="B709" t="s">
        <v>23</v>
      </c>
      <c r="C709">
        <v>47</v>
      </c>
      <c r="D709">
        <v>35</v>
      </c>
      <c r="E709" s="1">
        <f t="shared" si="45"/>
        <v>0.57317073170731703</v>
      </c>
      <c r="F709" s="2">
        <v>110.5</v>
      </c>
      <c r="G709" s="2">
        <v>108.4</v>
      </c>
      <c r="H709" s="2">
        <f t="shared" si="46"/>
        <v>2.0999999999999943</v>
      </c>
      <c r="I709" s="1">
        <f t="shared" si="44"/>
        <v>0.56675507945775017</v>
      </c>
      <c r="J709" s="2">
        <v>112.9</v>
      </c>
      <c r="K709" s="2">
        <v>110.8</v>
      </c>
      <c r="L709" s="2">
        <f t="shared" si="47"/>
        <v>2.1000000000000085</v>
      </c>
      <c r="M709">
        <v>104.2</v>
      </c>
      <c r="N709">
        <v>100.8</v>
      </c>
      <c r="O709">
        <v>0.6</v>
      </c>
    </row>
    <row r="710" spans="1:15">
      <c r="A710" t="s">
        <v>64</v>
      </c>
      <c r="B710" t="s">
        <v>24</v>
      </c>
      <c r="C710">
        <v>47</v>
      </c>
      <c r="D710">
        <v>35</v>
      </c>
      <c r="E710" s="1">
        <f t="shared" si="45"/>
        <v>0.57317073170731703</v>
      </c>
      <c r="F710" s="2">
        <v>114.6</v>
      </c>
      <c r="G710" s="2">
        <v>111.5</v>
      </c>
      <c r="H710" s="2">
        <f t="shared" si="46"/>
        <v>3.0999999999999943</v>
      </c>
      <c r="I710" s="1">
        <f t="shared" si="44"/>
        <v>0.59481941226835489</v>
      </c>
      <c r="J710" s="2">
        <v>116.2</v>
      </c>
      <c r="K710" s="2">
        <v>113</v>
      </c>
      <c r="L710" s="2">
        <f t="shared" si="47"/>
        <v>3.2000000000000028</v>
      </c>
      <c r="M710">
        <v>115.3</v>
      </c>
      <c r="N710">
        <v>113.2</v>
      </c>
      <c r="O710">
        <v>0.7</v>
      </c>
    </row>
    <row r="711" spans="1:15">
      <c r="A711" t="s">
        <v>64</v>
      </c>
      <c r="B711" t="s">
        <v>25</v>
      </c>
      <c r="C711">
        <v>49</v>
      </c>
      <c r="D711">
        <v>33</v>
      </c>
      <c r="E711" s="1">
        <f t="shared" si="45"/>
        <v>0.59756097560975607</v>
      </c>
      <c r="F711" s="2">
        <v>116.2</v>
      </c>
      <c r="G711" s="2">
        <v>113.2</v>
      </c>
      <c r="H711" s="2">
        <f t="shared" si="46"/>
        <v>3</v>
      </c>
      <c r="I711" s="1">
        <f t="shared" si="44"/>
        <v>0.59053887488262369</v>
      </c>
      <c r="J711" s="2">
        <v>116.8</v>
      </c>
      <c r="K711" s="2">
        <v>113.7</v>
      </c>
      <c r="L711" s="2">
        <f t="shared" si="47"/>
        <v>3.0999999999999943</v>
      </c>
      <c r="M711">
        <v>102</v>
      </c>
      <c r="N711">
        <v>105.2</v>
      </c>
      <c r="O711">
        <v>-2.4</v>
      </c>
    </row>
    <row r="712" spans="1:15">
      <c r="A712" t="s">
        <v>64</v>
      </c>
      <c r="B712" t="s">
        <v>26</v>
      </c>
      <c r="C712">
        <v>21</v>
      </c>
      <c r="D712">
        <v>61</v>
      </c>
      <c r="E712" s="1">
        <f t="shared" si="45"/>
        <v>0.25609756097560976</v>
      </c>
      <c r="F712" s="2">
        <v>106.4</v>
      </c>
      <c r="G712" s="2">
        <v>115.4</v>
      </c>
      <c r="H712" s="2">
        <f t="shared" si="46"/>
        <v>-9</v>
      </c>
      <c r="I712" s="1">
        <f t="shared" si="44"/>
        <v>0.24291151759071603</v>
      </c>
      <c r="J712" s="2">
        <v>107.6</v>
      </c>
      <c r="K712" s="2">
        <v>116.6</v>
      </c>
      <c r="L712" s="2">
        <f t="shared" si="47"/>
        <v>-9</v>
      </c>
      <c r="M712">
        <v>104.8</v>
      </c>
      <c r="N712">
        <v>102.6</v>
      </c>
      <c r="O712">
        <v>-0.6</v>
      </c>
    </row>
    <row r="713" spans="1:15">
      <c r="A713" t="s">
        <v>64</v>
      </c>
      <c r="B713" t="s">
        <v>27</v>
      </c>
      <c r="C713">
        <v>46</v>
      </c>
      <c r="D713">
        <v>36</v>
      </c>
      <c r="E713" s="1">
        <f t="shared" si="45"/>
        <v>0.56097560975609762</v>
      </c>
      <c r="F713" s="2">
        <v>116.6</v>
      </c>
      <c r="G713" s="2">
        <v>114.8</v>
      </c>
      <c r="H713" s="2">
        <f t="shared" si="46"/>
        <v>1.7999999999999972</v>
      </c>
      <c r="I713" s="1">
        <f t="shared" si="44"/>
        <v>0.55423800996909134</v>
      </c>
      <c r="J713" s="2">
        <v>116.2</v>
      </c>
      <c r="K713" s="2">
        <v>114.4</v>
      </c>
      <c r="L713" s="2">
        <f t="shared" si="47"/>
        <v>1.7999999999999972</v>
      </c>
      <c r="M713">
        <v>105.6</v>
      </c>
      <c r="N713">
        <v>104.1</v>
      </c>
      <c r="O713">
        <v>-0.8</v>
      </c>
    </row>
    <row r="714" spans="1:15">
      <c r="A714" t="s">
        <v>64</v>
      </c>
      <c r="B714" t="s">
        <v>28</v>
      </c>
      <c r="C714">
        <v>22</v>
      </c>
      <c r="D714">
        <v>60</v>
      </c>
      <c r="E714" s="1">
        <f t="shared" si="45"/>
        <v>0.26829268292682928</v>
      </c>
      <c r="F714" s="2">
        <v>112.1</v>
      </c>
      <c r="G714" s="2">
        <v>118.6</v>
      </c>
      <c r="H714" s="2">
        <f t="shared" si="46"/>
        <v>-6.5</v>
      </c>
      <c r="I714" s="1">
        <f t="shared" si="44"/>
        <v>0.31235933105064495</v>
      </c>
      <c r="J714" s="2">
        <v>109.3</v>
      </c>
      <c r="K714" s="2">
        <v>115.6</v>
      </c>
      <c r="L714" s="2">
        <f t="shared" si="47"/>
        <v>-6.2999999999999972</v>
      </c>
      <c r="M714">
        <v>101</v>
      </c>
      <c r="N714">
        <v>113.6</v>
      </c>
      <c r="O714">
        <v>-0.2</v>
      </c>
    </row>
    <row r="715" spans="1:15">
      <c r="A715" t="s">
        <v>64</v>
      </c>
      <c r="B715" t="s">
        <v>30</v>
      </c>
      <c r="C715">
        <v>25</v>
      </c>
      <c r="D715">
        <v>57</v>
      </c>
      <c r="E715" s="1">
        <f t="shared" si="45"/>
        <v>0.3048780487804878</v>
      </c>
      <c r="F715" s="2">
        <v>112.4</v>
      </c>
      <c r="G715" s="2">
        <v>118.8</v>
      </c>
      <c r="H715" s="2">
        <f t="shared" si="46"/>
        <v>-6.3999999999999915</v>
      </c>
      <c r="I715" s="1">
        <f t="shared" si="44"/>
        <v>0.3153370573458385</v>
      </c>
      <c r="J715" s="2">
        <v>111.8</v>
      </c>
      <c r="K715" s="2">
        <v>118.1</v>
      </c>
      <c r="L715" s="2">
        <f t="shared" si="47"/>
        <v>-6.2999999999999972</v>
      </c>
      <c r="M715">
        <v>109</v>
      </c>
      <c r="N715">
        <v>115.5</v>
      </c>
      <c r="O715">
        <v>-1</v>
      </c>
    </row>
    <row r="716" spans="1:15">
      <c r="A716" t="s">
        <v>64</v>
      </c>
      <c r="B716" t="s">
        <v>31</v>
      </c>
      <c r="C716">
        <v>31</v>
      </c>
      <c r="D716">
        <v>51</v>
      </c>
      <c r="E716" s="1">
        <f t="shared" si="45"/>
        <v>0.37804878048780488</v>
      </c>
      <c r="F716" s="2">
        <v>115.7</v>
      </c>
      <c r="G716" s="2">
        <v>120.5</v>
      </c>
      <c r="H716" s="2">
        <f t="shared" si="46"/>
        <v>-4.7999999999999972</v>
      </c>
      <c r="I716" s="1">
        <f t="shared" si="44"/>
        <v>0.36144736866912885</v>
      </c>
      <c r="J716" s="2">
        <v>114.5</v>
      </c>
      <c r="K716" s="2">
        <v>119.6</v>
      </c>
      <c r="L716" s="2">
        <f t="shared" si="47"/>
        <v>-5.0999999999999943</v>
      </c>
      <c r="M716">
        <v>116.1</v>
      </c>
      <c r="N716">
        <v>104.3</v>
      </c>
      <c r="O716">
        <v>0.2</v>
      </c>
    </row>
    <row r="717" spans="1:15">
      <c r="A717" t="s">
        <v>64</v>
      </c>
      <c r="B717" t="s">
        <v>33</v>
      </c>
      <c r="C717">
        <v>15</v>
      </c>
      <c r="D717">
        <v>67</v>
      </c>
      <c r="E717" s="1">
        <f t="shared" si="45"/>
        <v>0.18292682926829268</v>
      </c>
      <c r="F717" s="2">
        <v>113.7</v>
      </c>
      <c r="G717" s="2">
        <v>123</v>
      </c>
      <c r="H717" s="2">
        <f t="shared" si="46"/>
        <v>-9.2999999999999972</v>
      </c>
      <c r="I717" s="1">
        <f t="shared" si="44"/>
        <v>0.24961000130344238</v>
      </c>
      <c r="J717" s="2">
        <v>110.2</v>
      </c>
      <c r="K717" s="2">
        <v>118.9</v>
      </c>
      <c r="L717" s="2">
        <f t="shared" si="47"/>
        <v>-8.7000000000000028</v>
      </c>
      <c r="M717">
        <v>85.1</v>
      </c>
      <c r="N717">
        <v>123</v>
      </c>
      <c r="O717">
        <v>-0.3</v>
      </c>
    </row>
    <row r="718" spans="1:15">
      <c r="A718" t="s">
        <v>65</v>
      </c>
      <c r="B718" t="s">
        <v>5</v>
      </c>
      <c r="C718">
        <v>40</v>
      </c>
      <c r="D718">
        <v>41</v>
      </c>
      <c r="E718" s="1">
        <f t="shared" si="45"/>
        <v>0.49382716049382713</v>
      </c>
      <c r="F718" s="2">
        <v>118.4</v>
      </c>
      <c r="G718" s="2">
        <v>119.4</v>
      </c>
      <c r="H718" s="2">
        <f t="shared" si="46"/>
        <v>-1</v>
      </c>
      <c r="I718" s="1">
        <f t="shared" si="44"/>
        <v>0.47059728800481032</v>
      </c>
      <c r="J718" s="2">
        <v>113.9</v>
      </c>
      <c r="K718" s="2">
        <v>114.9</v>
      </c>
      <c r="L718" s="2">
        <f t="shared" si="47"/>
        <v>-1</v>
      </c>
      <c r="M718">
        <v>119.4</v>
      </c>
      <c r="N718">
        <v>109.6</v>
      </c>
      <c r="O718">
        <v>1.1000000000000001</v>
      </c>
    </row>
    <row r="719" spans="1:15">
      <c r="A719" t="s">
        <v>65</v>
      </c>
      <c r="B719" t="s">
        <v>6</v>
      </c>
      <c r="C719">
        <v>61</v>
      </c>
      <c r="D719">
        <v>21</v>
      </c>
      <c r="E719" s="1">
        <f t="shared" si="45"/>
        <v>0.74390243902439024</v>
      </c>
      <c r="F719" s="2">
        <v>116.3</v>
      </c>
      <c r="G719" s="2">
        <v>107.2</v>
      </c>
      <c r="H719" s="2">
        <f t="shared" si="46"/>
        <v>9.0999999999999943</v>
      </c>
      <c r="I719" s="1">
        <f t="shared" si="44"/>
        <v>0.75780361294366638</v>
      </c>
      <c r="J719" s="2">
        <v>119.5</v>
      </c>
      <c r="K719" s="2">
        <v>110.1</v>
      </c>
      <c r="L719" s="2">
        <f t="shared" si="47"/>
        <v>9.4000000000000057</v>
      </c>
      <c r="M719">
        <v>120.4</v>
      </c>
      <c r="N719">
        <v>109.7</v>
      </c>
      <c r="O719">
        <v>0.4</v>
      </c>
    </row>
    <row r="720" spans="1:15">
      <c r="A720" t="s">
        <v>65</v>
      </c>
      <c r="B720" t="s">
        <v>51</v>
      </c>
      <c r="C720">
        <v>26</v>
      </c>
      <c r="D720">
        <v>56</v>
      </c>
      <c r="E720" s="1">
        <f t="shared" si="45"/>
        <v>0.31707317073170732</v>
      </c>
      <c r="F720" s="2">
        <v>105.1</v>
      </c>
      <c r="G720" s="2">
        <v>112.2</v>
      </c>
      <c r="H720" s="2">
        <f t="shared" si="46"/>
        <v>-7.1000000000000085</v>
      </c>
      <c r="I720" s="1">
        <f t="shared" si="44"/>
        <v>0.28593897521823097</v>
      </c>
      <c r="J720" s="2">
        <v>108.1</v>
      </c>
      <c r="K720" s="2">
        <v>115.4</v>
      </c>
      <c r="L720" s="2">
        <f t="shared" si="47"/>
        <v>-7.3000000000000114</v>
      </c>
      <c r="M720">
        <v>100.3</v>
      </c>
      <c r="N720">
        <v>116.9</v>
      </c>
      <c r="O720">
        <v>-1.6</v>
      </c>
    </row>
    <row r="721" spans="1:15">
      <c r="A721" t="s">
        <v>65</v>
      </c>
      <c r="B721" t="s">
        <v>7</v>
      </c>
      <c r="C721">
        <v>19</v>
      </c>
      <c r="D721">
        <v>63</v>
      </c>
      <c r="E721" s="1">
        <f t="shared" si="45"/>
        <v>0.23170731707317074</v>
      </c>
      <c r="F721" s="2">
        <v>105.1</v>
      </c>
      <c r="G721" s="2">
        <v>114.2</v>
      </c>
      <c r="H721" s="2">
        <f t="shared" si="46"/>
        <v>-9.1000000000000085</v>
      </c>
      <c r="I721" s="1">
        <f t="shared" si="44"/>
        <v>0.23820492240798724</v>
      </c>
      <c r="J721" s="2">
        <v>106.7</v>
      </c>
      <c r="K721" s="2">
        <v>115.7</v>
      </c>
      <c r="L721" s="2">
        <f t="shared" si="47"/>
        <v>-9</v>
      </c>
      <c r="M721">
        <v>105.4</v>
      </c>
      <c r="N721">
        <v>111.4</v>
      </c>
      <c r="O721">
        <v>-0.5</v>
      </c>
    </row>
    <row r="722" spans="1:15">
      <c r="A722" t="s">
        <v>65</v>
      </c>
      <c r="B722" t="s">
        <v>8</v>
      </c>
      <c r="C722">
        <v>39</v>
      </c>
      <c r="D722">
        <v>43</v>
      </c>
      <c r="E722" s="1">
        <f t="shared" si="45"/>
        <v>0.47560975609756095</v>
      </c>
      <c r="F722" s="2">
        <v>117.8</v>
      </c>
      <c r="G722" s="2">
        <v>119.4</v>
      </c>
      <c r="H722" s="2">
        <f t="shared" si="46"/>
        <v>-1.6000000000000085</v>
      </c>
      <c r="I722" s="1">
        <f t="shared" si="44"/>
        <v>0.45292161510107215</v>
      </c>
      <c r="J722" s="2">
        <v>113.2</v>
      </c>
      <c r="K722" s="2">
        <v>114.8</v>
      </c>
      <c r="L722" s="2">
        <f t="shared" si="47"/>
        <v>-1.5999999999999943</v>
      </c>
      <c r="M722">
        <v>115.4</v>
      </c>
      <c r="N722">
        <v>100.4</v>
      </c>
      <c r="O722">
        <v>0</v>
      </c>
    </row>
    <row r="723" spans="1:15">
      <c r="A723" t="s">
        <v>65</v>
      </c>
      <c r="B723" t="s">
        <v>9</v>
      </c>
      <c r="C723">
        <v>64</v>
      </c>
      <c r="D723">
        <v>18</v>
      </c>
      <c r="E723" s="1">
        <f t="shared" si="45"/>
        <v>0.78048780487804881</v>
      </c>
      <c r="F723" s="2">
        <v>121.9</v>
      </c>
      <c r="G723" s="2">
        <v>112.4</v>
      </c>
      <c r="H723" s="2">
        <f t="shared" si="46"/>
        <v>9.5</v>
      </c>
      <c r="I723" s="1">
        <f t="shared" si="44"/>
        <v>0.75692964586236922</v>
      </c>
      <c r="J723" s="2">
        <v>121</v>
      </c>
      <c r="K723" s="2">
        <v>111.8</v>
      </c>
      <c r="L723" s="2">
        <f t="shared" si="47"/>
        <v>9.2000000000000028</v>
      </c>
      <c r="M723">
        <v>123.8</v>
      </c>
      <c r="N723">
        <v>104.9</v>
      </c>
      <c r="O723">
        <v>2.9</v>
      </c>
    </row>
    <row r="724" spans="1:15">
      <c r="A724" t="s">
        <v>65</v>
      </c>
      <c r="B724" t="s">
        <v>10</v>
      </c>
      <c r="C724">
        <v>39</v>
      </c>
      <c r="D724">
        <v>43</v>
      </c>
      <c r="E724" s="1">
        <f t="shared" si="45"/>
        <v>0.47560975609756095</v>
      </c>
      <c r="F724" s="2">
        <v>114.2</v>
      </c>
      <c r="G724" s="2">
        <v>115.4</v>
      </c>
      <c r="H724" s="2">
        <f t="shared" si="46"/>
        <v>-1.2000000000000028</v>
      </c>
      <c r="I724" s="1">
        <f t="shared" si="44"/>
        <v>0.46347945541484592</v>
      </c>
      <c r="J724" s="2">
        <v>113.7</v>
      </c>
      <c r="K724" s="2">
        <v>115</v>
      </c>
      <c r="L724" s="2">
        <f t="shared" si="47"/>
        <v>-1.2999999999999972</v>
      </c>
      <c r="M724">
        <v>113</v>
      </c>
      <c r="N724">
        <v>111.7</v>
      </c>
      <c r="O724">
        <v>0.1</v>
      </c>
    </row>
    <row r="725" spans="1:15">
      <c r="A725" t="s">
        <v>65</v>
      </c>
      <c r="B725" t="s">
        <v>11</v>
      </c>
      <c r="C725">
        <v>50</v>
      </c>
      <c r="D725">
        <v>32</v>
      </c>
      <c r="E725" s="1">
        <f t="shared" si="45"/>
        <v>0.6097560975609756</v>
      </c>
      <c r="F725" s="2">
        <v>120.8</v>
      </c>
      <c r="G725" s="2">
        <v>116.9</v>
      </c>
      <c r="H725" s="2">
        <f t="shared" si="46"/>
        <v>3.8999999999999915</v>
      </c>
      <c r="I725" s="1">
        <f t="shared" si="44"/>
        <v>0.61288223083931581</v>
      </c>
      <c r="J725" s="2">
        <v>118.9</v>
      </c>
      <c r="K725" s="2">
        <v>115.1</v>
      </c>
      <c r="L725" s="2">
        <f t="shared" si="47"/>
        <v>3.8000000000000114</v>
      </c>
      <c r="M725">
        <v>126.8</v>
      </c>
      <c r="N725">
        <v>108</v>
      </c>
      <c r="O725">
        <v>0.2</v>
      </c>
    </row>
    <row r="726" spans="1:15">
      <c r="A726" t="s">
        <v>65</v>
      </c>
      <c r="B726" t="s">
        <v>12</v>
      </c>
      <c r="C726">
        <v>44</v>
      </c>
      <c r="D726">
        <v>38</v>
      </c>
      <c r="E726" s="1">
        <f t="shared" si="45"/>
        <v>0.53658536585365857</v>
      </c>
      <c r="F726" s="2">
        <v>115.5</v>
      </c>
      <c r="G726" s="2">
        <v>113.6</v>
      </c>
      <c r="H726" s="2">
        <f t="shared" si="46"/>
        <v>1.9000000000000057</v>
      </c>
      <c r="I726" s="1">
        <f t="shared" si="44"/>
        <v>0.55779509756392176</v>
      </c>
      <c r="J726" s="2">
        <v>114.6</v>
      </c>
      <c r="K726" s="2">
        <v>112.5</v>
      </c>
      <c r="L726" s="2">
        <f t="shared" si="47"/>
        <v>2.0999999999999943</v>
      </c>
      <c r="M726">
        <v>107.4</v>
      </c>
      <c r="N726">
        <v>117.1</v>
      </c>
      <c r="O726">
        <v>0.3</v>
      </c>
    </row>
    <row r="727" spans="1:15">
      <c r="A727" t="s">
        <v>65</v>
      </c>
      <c r="B727" t="s">
        <v>13</v>
      </c>
      <c r="C727">
        <v>48</v>
      </c>
      <c r="D727">
        <v>34</v>
      </c>
      <c r="E727" s="1">
        <f t="shared" si="45"/>
        <v>0.58536585365853655</v>
      </c>
      <c r="F727" s="2">
        <v>113.8</v>
      </c>
      <c r="G727" s="2">
        <v>110.5</v>
      </c>
      <c r="H727" s="2">
        <f t="shared" si="46"/>
        <v>3.2999999999999972</v>
      </c>
      <c r="I727" s="1">
        <f t="shared" si="44"/>
        <v>0.60156207363677106</v>
      </c>
      <c r="J727" s="2">
        <v>114.2</v>
      </c>
      <c r="K727" s="2">
        <v>111</v>
      </c>
      <c r="L727" s="2">
        <f t="shared" si="47"/>
        <v>3.2000000000000028</v>
      </c>
      <c r="M727">
        <v>111</v>
      </c>
      <c r="N727">
        <v>110.3</v>
      </c>
      <c r="O727">
        <v>0.8</v>
      </c>
    </row>
    <row r="728" spans="1:15">
      <c r="A728" t="s">
        <v>65</v>
      </c>
      <c r="B728" t="s">
        <v>14</v>
      </c>
      <c r="C728">
        <v>52</v>
      </c>
      <c r="D728">
        <v>29</v>
      </c>
      <c r="E728" s="1">
        <f t="shared" si="45"/>
        <v>0.64197530864197527</v>
      </c>
      <c r="F728" s="2">
        <v>114.5</v>
      </c>
      <c r="G728" s="2">
        <v>109.8</v>
      </c>
      <c r="H728" s="2">
        <f t="shared" si="46"/>
        <v>4.7000000000000028</v>
      </c>
      <c r="I728" s="1">
        <f t="shared" si="44"/>
        <v>0.64263060711327835</v>
      </c>
      <c r="J728" s="2">
        <v>115.1</v>
      </c>
      <c r="K728" s="2">
        <v>110.2</v>
      </c>
      <c r="L728" s="2">
        <f t="shared" si="47"/>
        <v>4.8999999999999915</v>
      </c>
      <c r="M728">
        <v>107.1</v>
      </c>
      <c r="N728">
        <v>107.1</v>
      </c>
      <c r="O728">
        <v>-0.5</v>
      </c>
    </row>
    <row r="729" spans="1:15">
      <c r="A729" t="s">
        <v>65</v>
      </c>
      <c r="B729" t="s">
        <v>15</v>
      </c>
      <c r="C729">
        <v>50</v>
      </c>
      <c r="D729">
        <v>32</v>
      </c>
      <c r="E729" s="1">
        <f t="shared" si="45"/>
        <v>0.6097560975609756</v>
      </c>
      <c r="F729" s="2">
        <v>117.4</v>
      </c>
      <c r="G729" s="2">
        <v>115.1</v>
      </c>
      <c r="H729" s="2">
        <f t="shared" si="46"/>
        <v>2.3000000000000114</v>
      </c>
      <c r="I729" s="1">
        <f t="shared" si="44"/>
        <v>0.56881015999897555</v>
      </c>
      <c r="J729" s="2">
        <v>115.4</v>
      </c>
      <c r="K729" s="2">
        <v>113.3</v>
      </c>
      <c r="L729" s="2">
        <f t="shared" si="47"/>
        <v>2.1000000000000085</v>
      </c>
      <c r="M729">
        <v>118.3</v>
      </c>
      <c r="N729">
        <v>100.6</v>
      </c>
      <c r="O729">
        <v>2.1</v>
      </c>
    </row>
    <row r="730" spans="1:15">
      <c r="A730" t="s">
        <v>65</v>
      </c>
      <c r="B730" t="s">
        <v>56</v>
      </c>
      <c r="C730">
        <v>50</v>
      </c>
      <c r="D730">
        <v>32</v>
      </c>
      <c r="E730" s="1">
        <f t="shared" si="45"/>
        <v>0.6097560975609756</v>
      </c>
      <c r="F730" s="2">
        <v>112.9</v>
      </c>
      <c r="G730" s="2">
        <v>108.2</v>
      </c>
      <c r="H730" s="2">
        <f t="shared" si="46"/>
        <v>4.7000000000000028</v>
      </c>
      <c r="I730" s="1">
        <f t="shared" si="44"/>
        <v>0.64457924701771829</v>
      </c>
      <c r="J730" s="2">
        <v>114.3</v>
      </c>
      <c r="K730" s="2">
        <v>109.4</v>
      </c>
      <c r="L730" s="2">
        <f t="shared" si="47"/>
        <v>4.8999999999999915</v>
      </c>
      <c r="M730">
        <v>105.9</v>
      </c>
      <c r="N730">
        <v>106</v>
      </c>
      <c r="O730">
        <v>1</v>
      </c>
    </row>
    <row r="731" spans="1:15">
      <c r="A731" t="s">
        <v>65</v>
      </c>
      <c r="B731" t="s">
        <v>17</v>
      </c>
      <c r="C731">
        <v>50</v>
      </c>
      <c r="D731">
        <v>32</v>
      </c>
      <c r="E731" s="1">
        <f t="shared" si="45"/>
        <v>0.6097560975609756</v>
      </c>
      <c r="F731" s="2">
        <v>113.4</v>
      </c>
      <c r="G731" s="2">
        <v>112.2</v>
      </c>
      <c r="H731" s="2">
        <f t="shared" si="46"/>
        <v>1.2000000000000028</v>
      </c>
      <c r="I731" s="1">
        <f t="shared" si="44"/>
        <v>0.5371657170333668</v>
      </c>
      <c r="J731" s="2">
        <v>115</v>
      </c>
      <c r="K731" s="2">
        <v>113.8</v>
      </c>
      <c r="L731" s="2">
        <f t="shared" si="47"/>
        <v>1.2000000000000028</v>
      </c>
      <c r="M731">
        <v>114.6</v>
      </c>
      <c r="N731">
        <v>110.6</v>
      </c>
      <c r="O731">
        <v>-0.7</v>
      </c>
    </row>
    <row r="732" spans="1:15">
      <c r="A732" t="s">
        <v>65</v>
      </c>
      <c r="B732" t="s">
        <v>35</v>
      </c>
      <c r="C732">
        <v>48</v>
      </c>
      <c r="D732">
        <v>34</v>
      </c>
      <c r="E732" s="1">
        <f t="shared" si="45"/>
        <v>0.58536585365853655</v>
      </c>
      <c r="F732" s="2">
        <v>121.7</v>
      </c>
      <c r="G732" s="2">
        <v>116.9</v>
      </c>
      <c r="H732" s="2">
        <f t="shared" si="46"/>
        <v>4.7999999999999972</v>
      </c>
      <c r="I732" s="1">
        <f t="shared" si="44"/>
        <v>0.63723004806999306</v>
      </c>
      <c r="J732" s="2">
        <v>117.2</v>
      </c>
      <c r="K732" s="2">
        <v>112.6</v>
      </c>
      <c r="L732" s="2">
        <f t="shared" si="47"/>
        <v>4.6000000000000085</v>
      </c>
      <c r="M732">
        <v>109.2</v>
      </c>
      <c r="N732">
        <v>100</v>
      </c>
      <c r="O732">
        <v>0.2</v>
      </c>
    </row>
    <row r="733" spans="1:15">
      <c r="A733" t="s">
        <v>65</v>
      </c>
      <c r="B733" t="s">
        <v>18</v>
      </c>
      <c r="C733">
        <v>37</v>
      </c>
      <c r="D733">
        <v>45</v>
      </c>
      <c r="E733" s="1">
        <f t="shared" si="45"/>
        <v>0.45121951219512196</v>
      </c>
      <c r="F733" s="2">
        <v>110.6</v>
      </c>
      <c r="G733" s="2">
        <v>110</v>
      </c>
      <c r="H733" s="2">
        <f t="shared" si="46"/>
        <v>0.59999999999999432</v>
      </c>
      <c r="I733" s="1">
        <f t="shared" si="44"/>
        <v>0.51902983505832589</v>
      </c>
      <c r="J733" s="2">
        <v>112.4</v>
      </c>
      <c r="K733" s="2">
        <v>112</v>
      </c>
      <c r="L733" s="2">
        <f t="shared" si="47"/>
        <v>0.40000000000000568</v>
      </c>
      <c r="M733">
        <v>93.7</v>
      </c>
      <c r="N733">
        <v>109.1</v>
      </c>
      <c r="O733">
        <v>-0.7</v>
      </c>
    </row>
    <row r="734" spans="1:15">
      <c r="A734" t="s">
        <v>65</v>
      </c>
      <c r="B734" t="s">
        <v>19</v>
      </c>
      <c r="C734">
        <v>47</v>
      </c>
      <c r="D734">
        <v>34</v>
      </c>
      <c r="E734" s="1">
        <f t="shared" si="45"/>
        <v>0.58024691358024694</v>
      </c>
      <c r="F734" s="2">
        <v>115.6</v>
      </c>
      <c r="G734" s="2">
        <v>113.2</v>
      </c>
      <c r="H734" s="2">
        <f t="shared" si="46"/>
        <v>2.3999999999999915</v>
      </c>
      <c r="I734" s="1">
        <f t="shared" si="44"/>
        <v>0.57290588785941787</v>
      </c>
      <c r="J734" s="2">
        <v>115.3</v>
      </c>
      <c r="K734" s="2">
        <v>112.9</v>
      </c>
      <c r="L734" s="2">
        <f t="shared" si="47"/>
        <v>2.3999999999999915</v>
      </c>
      <c r="M734">
        <v>102.5</v>
      </c>
      <c r="N734">
        <v>95</v>
      </c>
      <c r="O734">
        <v>0.2</v>
      </c>
    </row>
    <row r="735" spans="1:15">
      <c r="A735" t="s">
        <v>65</v>
      </c>
      <c r="B735" t="s">
        <v>20</v>
      </c>
      <c r="C735">
        <v>49</v>
      </c>
      <c r="D735">
        <v>33</v>
      </c>
      <c r="E735" s="1">
        <f t="shared" si="45"/>
        <v>0.59756097560975607</v>
      </c>
      <c r="F735" s="2">
        <v>114.3</v>
      </c>
      <c r="G735" s="2">
        <v>109.3</v>
      </c>
      <c r="H735" s="2">
        <f t="shared" si="46"/>
        <v>5</v>
      </c>
      <c r="I735" s="1">
        <f t="shared" si="44"/>
        <v>0.65163242349651695</v>
      </c>
      <c r="J735" s="2">
        <v>115.7</v>
      </c>
      <c r="K735" s="2">
        <v>110.8</v>
      </c>
      <c r="L735" s="2">
        <f t="shared" si="47"/>
        <v>4.9000000000000057</v>
      </c>
      <c r="M735">
        <v>105.4</v>
      </c>
      <c r="N735">
        <v>114.9</v>
      </c>
      <c r="O735">
        <v>2.2999999999999998</v>
      </c>
    </row>
    <row r="736" spans="1:15">
      <c r="A736" t="s">
        <v>65</v>
      </c>
      <c r="B736" t="s">
        <v>53</v>
      </c>
      <c r="C736">
        <v>21</v>
      </c>
      <c r="D736">
        <v>61</v>
      </c>
      <c r="E736" s="1">
        <f t="shared" si="45"/>
        <v>0.25609756097560976</v>
      </c>
      <c r="F736" s="2">
        <v>109.8</v>
      </c>
      <c r="G736" s="2">
        <v>119.3</v>
      </c>
      <c r="H736" s="2">
        <f t="shared" si="46"/>
        <v>-9.5</v>
      </c>
      <c r="I736" s="1">
        <f t="shared" si="44"/>
        <v>0.23835285935229417</v>
      </c>
      <c r="J736" s="2">
        <v>109.7</v>
      </c>
      <c r="K736" s="2">
        <v>119.1</v>
      </c>
      <c r="L736" s="2">
        <f t="shared" si="47"/>
        <v>-9.3999999999999915</v>
      </c>
      <c r="M736">
        <v>104.5</v>
      </c>
      <c r="N736">
        <v>103.3</v>
      </c>
      <c r="O736">
        <v>-1</v>
      </c>
    </row>
    <row r="737" spans="1:15">
      <c r="A737" t="s">
        <v>65</v>
      </c>
      <c r="B737" t="s">
        <v>22</v>
      </c>
      <c r="C737">
        <v>51</v>
      </c>
      <c r="D737">
        <v>31</v>
      </c>
      <c r="E737" s="1">
        <f t="shared" si="45"/>
        <v>0.62195121951219512</v>
      </c>
      <c r="F737" s="2">
        <v>115.8</v>
      </c>
      <c r="G737" s="2">
        <v>111.7</v>
      </c>
      <c r="H737" s="2">
        <f t="shared" si="46"/>
        <v>4.0999999999999943</v>
      </c>
      <c r="I737" s="1">
        <f t="shared" si="44"/>
        <v>0.62355617559165299</v>
      </c>
      <c r="J737" s="2">
        <v>117.3</v>
      </c>
      <c r="K737" s="2">
        <v>113.3</v>
      </c>
      <c r="L737" s="2">
        <f t="shared" si="47"/>
        <v>4</v>
      </c>
      <c r="M737">
        <v>111.2</v>
      </c>
      <c r="N737">
        <v>108.4</v>
      </c>
      <c r="O737">
        <v>-1</v>
      </c>
    </row>
    <row r="738" spans="1:15">
      <c r="A738" t="s">
        <v>65</v>
      </c>
      <c r="B738" t="s">
        <v>46</v>
      </c>
      <c r="C738">
        <v>67</v>
      </c>
      <c r="D738">
        <v>14</v>
      </c>
      <c r="E738" s="1">
        <f t="shared" si="45"/>
        <v>0.8271604938271605</v>
      </c>
      <c r="F738" s="2">
        <v>120.6</v>
      </c>
      <c r="G738" s="2">
        <v>107.8</v>
      </c>
      <c r="H738" s="2">
        <f t="shared" si="46"/>
        <v>12.799999999999997</v>
      </c>
      <c r="I738" s="1">
        <f t="shared" si="44"/>
        <v>0.82790086778629035</v>
      </c>
      <c r="J738" s="2">
        <v>119.3</v>
      </c>
      <c r="K738" s="2">
        <v>106.7</v>
      </c>
      <c r="L738" s="2">
        <f t="shared" si="47"/>
        <v>12.599999999999994</v>
      </c>
      <c r="M738">
        <v>118.2</v>
      </c>
      <c r="N738">
        <v>107.1</v>
      </c>
      <c r="O738">
        <v>1.9</v>
      </c>
    </row>
    <row r="739" spans="1:15">
      <c r="A739" t="s">
        <v>65</v>
      </c>
      <c r="B739" t="s">
        <v>23</v>
      </c>
      <c r="C739">
        <v>41</v>
      </c>
      <c r="D739">
        <v>41</v>
      </c>
      <c r="E739" s="1">
        <f t="shared" si="45"/>
        <v>0.5</v>
      </c>
      <c r="F739" s="2">
        <v>105.4</v>
      </c>
      <c r="G739" s="2">
        <v>105.5</v>
      </c>
      <c r="H739" s="2">
        <f t="shared" si="46"/>
        <v>-9.9999999999994316E-2</v>
      </c>
      <c r="I739" s="1">
        <f t="shared" si="44"/>
        <v>0.4966809399213436</v>
      </c>
      <c r="J739" s="2">
        <v>108.9</v>
      </c>
      <c r="K739" s="2">
        <v>109.1</v>
      </c>
      <c r="L739" s="2">
        <f t="shared" si="47"/>
        <v>-0.19999999999998863</v>
      </c>
      <c r="M739">
        <v>104.5</v>
      </c>
      <c r="N739">
        <v>97.5</v>
      </c>
      <c r="O739">
        <v>0.8</v>
      </c>
    </row>
    <row r="740" spans="1:15">
      <c r="A740" t="s">
        <v>65</v>
      </c>
      <c r="B740" t="s">
        <v>24</v>
      </c>
      <c r="C740">
        <v>24</v>
      </c>
      <c r="D740">
        <v>58</v>
      </c>
      <c r="E740" s="1">
        <f t="shared" si="45"/>
        <v>0.29268292682926828</v>
      </c>
      <c r="F740" s="2">
        <v>109.6</v>
      </c>
      <c r="G740" s="2">
        <v>115.8</v>
      </c>
      <c r="H740" s="2">
        <f t="shared" si="46"/>
        <v>-6.2000000000000028</v>
      </c>
      <c r="I740" s="1">
        <f t="shared" si="44"/>
        <v>0.31639676572205722</v>
      </c>
      <c r="J740" s="2">
        <v>111</v>
      </c>
      <c r="K740" s="2">
        <v>117.3</v>
      </c>
      <c r="L740" s="2">
        <f t="shared" si="47"/>
        <v>-6.2999999999999972</v>
      </c>
      <c r="M740">
        <v>104.2</v>
      </c>
      <c r="N740">
        <v>117</v>
      </c>
      <c r="O740">
        <v>-1.9</v>
      </c>
    </row>
    <row r="741" spans="1:15">
      <c r="A741" t="s">
        <v>65</v>
      </c>
      <c r="B741" t="s">
        <v>25</v>
      </c>
      <c r="C741">
        <v>36</v>
      </c>
      <c r="D741">
        <v>46</v>
      </c>
      <c r="E741" s="1">
        <f t="shared" si="45"/>
        <v>0.43902439024390244</v>
      </c>
      <c r="F741" s="2">
        <v>113.6</v>
      </c>
      <c r="G741" s="2">
        <v>116.6</v>
      </c>
      <c r="H741" s="2">
        <f t="shared" si="46"/>
        <v>-3</v>
      </c>
      <c r="I741" s="1">
        <f t="shared" si="44"/>
        <v>0.40976891597843029</v>
      </c>
      <c r="J741" s="2">
        <v>114.7</v>
      </c>
      <c r="K741" s="2">
        <v>117.7</v>
      </c>
      <c r="L741" s="2">
        <f t="shared" si="47"/>
        <v>-3</v>
      </c>
      <c r="M741">
        <v>115.5</v>
      </c>
      <c r="N741">
        <v>121.5</v>
      </c>
      <c r="O741">
        <v>-0.5</v>
      </c>
    </row>
    <row r="742" spans="1:15">
      <c r="A742" t="s">
        <v>65</v>
      </c>
      <c r="B742" t="s">
        <v>26</v>
      </c>
      <c r="C742">
        <v>36</v>
      </c>
      <c r="D742">
        <v>46</v>
      </c>
      <c r="E742" s="1">
        <f t="shared" si="45"/>
        <v>0.43902439024390244</v>
      </c>
      <c r="F742" s="2">
        <v>110.9</v>
      </c>
      <c r="G742" s="2">
        <v>113.9</v>
      </c>
      <c r="H742" s="2">
        <f t="shared" si="46"/>
        <v>-3</v>
      </c>
      <c r="I742" s="1">
        <f t="shared" si="44"/>
        <v>0.40765025304678426</v>
      </c>
      <c r="J742" s="2">
        <v>111</v>
      </c>
      <c r="K742" s="2">
        <v>113.7</v>
      </c>
      <c r="L742" s="2">
        <f t="shared" si="47"/>
        <v>-2.7000000000000028</v>
      </c>
      <c r="M742">
        <v>113.6</v>
      </c>
      <c r="N742">
        <v>121.9</v>
      </c>
      <c r="O742">
        <v>-1.1000000000000001</v>
      </c>
    </row>
    <row r="743" spans="1:15">
      <c r="A743" t="s">
        <v>65</v>
      </c>
      <c r="B743" t="s">
        <v>27</v>
      </c>
      <c r="C743">
        <v>40</v>
      </c>
      <c r="D743">
        <v>42</v>
      </c>
      <c r="E743" s="1">
        <f t="shared" si="45"/>
        <v>0.48780487804878048</v>
      </c>
      <c r="F743" s="2">
        <v>115.7</v>
      </c>
      <c r="G743" s="2">
        <v>115.3</v>
      </c>
      <c r="H743" s="2">
        <f t="shared" si="46"/>
        <v>0.40000000000000568</v>
      </c>
      <c r="I743" s="1">
        <f t="shared" si="44"/>
        <v>0.51211885026131998</v>
      </c>
      <c r="J743" s="2">
        <v>115.9</v>
      </c>
      <c r="K743" s="2">
        <v>115.3</v>
      </c>
      <c r="L743" s="2">
        <f t="shared" si="47"/>
        <v>0.60000000000000853</v>
      </c>
      <c r="M743">
        <v>114.8</v>
      </c>
      <c r="N743">
        <v>108.2</v>
      </c>
      <c r="O743">
        <v>0.2</v>
      </c>
    </row>
    <row r="744" spans="1:15">
      <c r="A744" t="s">
        <v>65</v>
      </c>
      <c r="B744" t="s">
        <v>28</v>
      </c>
      <c r="C744">
        <v>34</v>
      </c>
      <c r="D744">
        <v>48</v>
      </c>
      <c r="E744" s="1">
        <f t="shared" si="45"/>
        <v>0.41463414634146339</v>
      </c>
      <c r="F744" s="2">
        <v>113.9</v>
      </c>
      <c r="G744" s="2">
        <v>116.7</v>
      </c>
      <c r="H744" s="2">
        <f t="shared" si="46"/>
        <v>-2.7999999999999972</v>
      </c>
      <c r="I744" s="1">
        <f t="shared" si="44"/>
        <v>0.41580963161703305</v>
      </c>
      <c r="J744" s="2">
        <v>113.5</v>
      </c>
      <c r="K744" s="2">
        <v>116.3</v>
      </c>
      <c r="L744" s="2">
        <f t="shared" si="47"/>
        <v>-2.7999999999999972</v>
      </c>
      <c r="M744">
        <v>103.5</v>
      </c>
      <c r="N744">
        <v>107.4</v>
      </c>
      <c r="O744">
        <v>-0.2</v>
      </c>
    </row>
    <row r="745" spans="1:15">
      <c r="A745" t="s">
        <v>65</v>
      </c>
      <c r="B745" t="s">
        <v>30</v>
      </c>
      <c r="C745">
        <v>30</v>
      </c>
      <c r="D745">
        <v>52</v>
      </c>
      <c r="E745" s="1">
        <f t="shared" si="45"/>
        <v>0.36585365853658536</v>
      </c>
      <c r="F745" s="2">
        <v>110.9</v>
      </c>
      <c r="G745" s="2">
        <v>115.2</v>
      </c>
      <c r="H745" s="2">
        <f t="shared" si="46"/>
        <v>-4.2999999999999972</v>
      </c>
      <c r="I745" s="1">
        <f t="shared" si="44"/>
        <v>0.36991722047205011</v>
      </c>
      <c r="J745" s="2">
        <v>109.6</v>
      </c>
      <c r="K745" s="2">
        <v>113.6</v>
      </c>
      <c r="L745" s="2">
        <f t="shared" si="47"/>
        <v>-4</v>
      </c>
      <c r="M745">
        <v>99.6</v>
      </c>
      <c r="N745">
        <v>117.6</v>
      </c>
      <c r="O745">
        <v>-0.8</v>
      </c>
    </row>
    <row r="746" spans="1:15">
      <c r="A746" t="s">
        <v>65</v>
      </c>
      <c r="B746" t="s">
        <v>31</v>
      </c>
      <c r="C746">
        <v>17</v>
      </c>
      <c r="D746">
        <v>65</v>
      </c>
      <c r="E746" s="1">
        <f t="shared" si="45"/>
        <v>0.2073170731707317</v>
      </c>
      <c r="F746" s="2">
        <v>111.9</v>
      </c>
      <c r="G746" s="2">
        <v>121.2</v>
      </c>
      <c r="H746" s="2">
        <f t="shared" si="46"/>
        <v>-9.2999999999999972</v>
      </c>
      <c r="I746" s="1">
        <f t="shared" si="44"/>
        <v>0.24643622472101792</v>
      </c>
      <c r="J746" s="2">
        <v>110.2</v>
      </c>
      <c r="K746" s="2">
        <v>119.4</v>
      </c>
      <c r="L746" s="2">
        <f t="shared" si="47"/>
        <v>-9.2000000000000028</v>
      </c>
      <c r="M746">
        <v>106.5</v>
      </c>
      <c r="N746">
        <v>127</v>
      </c>
      <c r="O746">
        <v>-2</v>
      </c>
    </row>
    <row r="747" spans="1:15">
      <c r="A747" t="s">
        <v>65</v>
      </c>
      <c r="B747" t="s">
        <v>33</v>
      </c>
      <c r="C747">
        <v>18</v>
      </c>
      <c r="D747">
        <v>64</v>
      </c>
      <c r="E747" s="1">
        <f t="shared" si="45"/>
        <v>0.21951219512195122</v>
      </c>
      <c r="F747" s="2">
        <v>108</v>
      </c>
      <c r="G747" s="2">
        <v>120.4</v>
      </c>
      <c r="H747" s="2">
        <f t="shared" si="46"/>
        <v>-12.400000000000006</v>
      </c>
      <c r="I747" s="1">
        <f t="shared" si="44"/>
        <v>0.17922069515019554</v>
      </c>
      <c r="J747" s="2">
        <v>105.8</v>
      </c>
      <c r="K747" s="2">
        <v>118</v>
      </c>
      <c r="L747" s="2">
        <f t="shared" si="47"/>
        <v>-12.200000000000003</v>
      </c>
      <c r="M747">
        <v>102.8</v>
      </c>
      <c r="N747">
        <v>114.2</v>
      </c>
      <c r="O747">
        <v>-2</v>
      </c>
    </row>
    <row r="748" spans="1:15">
      <c r="A748" t="s">
        <v>66</v>
      </c>
      <c r="B748" t="s">
        <v>5</v>
      </c>
      <c r="C748">
        <v>33</v>
      </c>
      <c r="D748">
        <v>31</v>
      </c>
      <c r="E748" s="1">
        <f t="shared" si="45"/>
        <v>0.515625</v>
      </c>
      <c r="F748" s="2">
        <v>117.7</v>
      </c>
      <c r="G748" s="2">
        <v>117.3</v>
      </c>
      <c r="H748" s="2">
        <f t="shared" si="46"/>
        <v>0.40000000000000568</v>
      </c>
      <c r="I748" s="1">
        <f t="shared" si="44"/>
        <v>0.51191265030386746</v>
      </c>
      <c r="J748" s="2">
        <v>114.1</v>
      </c>
      <c r="K748" s="2">
        <v>113.7</v>
      </c>
      <c r="L748" s="2">
        <f t="shared" si="47"/>
        <v>0.39999999999999147</v>
      </c>
      <c r="M748">
        <v>116</v>
      </c>
      <c r="N748">
        <v>112.7</v>
      </c>
      <c r="O748">
        <v>0.7</v>
      </c>
    </row>
    <row r="749" spans="1:15">
      <c r="A749" t="s">
        <v>66</v>
      </c>
      <c r="B749" t="s">
        <v>6</v>
      </c>
      <c r="C749">
        <v>42</v>
      </c>
      <c r="D749">
        <v>21</v>
      </c>
      <c r="E749" s="1">
        <f t="shared" si="45"/>
        <v>0.66666666666666663</v>
      </c>
      <c r="F749" s="2">
        <v>114.5</v>
      </c>
      <c r="G749" s="2">
        <v>107</v>
      </c>
      <c r="H749" s="2">
        <f t="shared" si="46"/>
        <v>7.5</v>
      </c>
      <c r="I749" s="1">
        <f t="shared" si="44"/>
        <v>0.72080211390693061</v>
      </c>
      <c r="J749" s="2">
        <v>119.9</v>
      </c>
      <c r="K749" s="2">
        <v>111.7</v>
      </c>
      <c r="L749" s="2">
        <f t="shared" si="47"/>
        <v>8.2000000000000028</v>
      </c>
      <c r="M749">
        <v>113.1</v>
      </c>
      <c r="N749">
        <v>116.6</v>
      </c>
      <c r="O749">
        <v>1.2</v>
      </c>
    </row>
    <row r="750" spans="1:15">
      <c r="A750" t="s">
        <v>66</v>
      </c>
      <c r="B750" t="s">
        <v>51</v>
      </c>
      <c r="C750">
        <v>16</v>
      </c>
      <c r="D750">
        <v>47</v>
      </c>
      <c r="E750" s="1">
        <f t="shared" si="45"/>
        <v>0.25396825396825395</v>
      </c>
      <c r="F750" s="2">
        <v>106.9</v>
      </c>
      <c r="G750" s="2">
        <v>115.6</v>
      </c>
      <c r="H750" s="2">
        <f t="shared" si="46"/>
        <v>-8.6999999999999886</v>
      </c>
      <c r="I750" s="1">
        <f t="shared" si="44"/>
        <v>0.25060467792949209</v>
      </c>
      <c r="J750" s="2">
        <v>109.6</v>
      </c>
      <c r="K750" s="2">
        <v>118.3</v>
      </c>
      <c r="L750" s="2">
        <f t="shared" si="47"/>
        <v>-8.7000000000000028</v>
      </c>
      <c r="M750">
        <v>99.4</v>
      </c>
      <c r="N750">
        <v>132.1</v>
      </c>
      <c r="O750">
        <v>-1.3</v>
      </c>
    </row>
    <row r="751" spans="1:15">
      <c r="A751" t="s">
        <v>66</v>
      </c>
      <c r="B751" t="s">
        <v>7</v>
      </c>
      <c r="C751">
        <v>32</v>
      </c>
      <c r="D751">
        <v>32</v>
      </c>
      <c r="E751" s="1">
        <f t="shared" si="45"/>
        <v>0.5</v>
      </c>
      <c r="F751" s="2">
        <v>116.2</v>
      </c>
      <c r="G751" s="2">
        <v>112.5</v>
      </c>
      <c r="H751" s="2">
        <f t="shared" si="46"/>
        <v>3.7000000000000028</v>
      </c>
      <c r="I751" s="1">
        <f t="shared" si="44"/>
        <v>0.61136052280832021</v>
      </c>
      <c r="J751" s="2">
        <v>117.8</v>
      </c>
      <c r="K751" s="2">
        <v>114.1</v>
      </c>
      <c r="L751" s="2">
        <f t="shared" si="47"/>
        <v>3.7000000000000028</v>
      </c>
      <c r="M751">
        <v>108</v>
      </c>
      <c r="N751">
        <v>115.5</v>
      </c>
      <c r="O751">
        <v>-0.9</v>
      </c>
    </row>
    <row r="752" spans="1:15">
      <c r="A752" t="s">
        <v>66</v>
      </c>
      <c r="B752" t="s">
        <v>8</v>
      </c>
      <c r="C752">
        <v>26</v>
      </c>
      <c r="D752">
        <v>37</v>
      </c>
      <c r="E752" s="1">
        <f t="shared" si="45"/>
        <v>0.41269841269841268</v>
      </c>
      <c r="F752" s="2">
        <v>115.5</v>
      </c>
      <c r="G752" s="2">
        <v>119.7</v>
      </c>
      <c r="H752" s="2">
        <f t="shared" si="46"/>
        <v>-4.2000000000000028</v>
      </c>
      <c r="I752" s="1">
        <f t="shared" si="44"/>
        <v>0.37752817692129625</v>
      </c>
      <c r="J752" s="2">
        <v>112.2</v>
      </c>
      <c r="K752" s="2">
        <v>116.6</v>
      </c>
      <c r="L752" s="2">
        <f t="shared" si="47"/>
        <v>-4.3999999999999915</v>
      </c>
      <c r="M752">
        <v>108.4</v>
      </c>
      <c r="N752">
        <v>117.1</v>
      </c>
      <c r="O752">
        <v>-0.6</v>
      </c>
    </row>
    <row r="753" spans="1:15">
      <c r="A753" t="s">
        <v>66</v>
      </c>
      <c r="B753" t="s">
        <v>9</v>
      </c>
      <c r="C753">
        <v>39</v>
      </c>
      <c r="D753">
        <v>24</v>
      </c>
      <c r="E753" s="1">
        <f t="shared" si="45"/>
        <v>0.61904761904761907</v>
      </c>
      <c r="F753" s="2">
        <v>119.1</v>
      </c>
      <c r="G753" s="2">
        <v>114.9</v>
      </c>
      <c r="H753" s="2">
        <f t="shared" si="46"/>
        <v>4.1999999999999886</v>
      </c>
      <c r="I753" s="1">
        <f t="shared" si="44"/>
        <v>0.62307439243207641</v>
      </c>
      <c r="J753" s="2">
        <v>117.4</v>
      </c>
      <c r="K753" s="2">
        <v>113.1</v>
      </c>
      <c r="L753" s="2">
        <f t="shared" si="47"/>
        <v>4.3000000000000114</v>
      </c>
      <c r="M753">
        <v>114.8</v>
      </c>
      <c r="N753">
        <v>107</v>
      </c>
      <c r="O753">
        <v>1.9</v>
      </c>
    </row>
    <row r="754" spans="1:15">
      <c r="A754" t="s">
        <v>66</v>
      </c>
      <c r="B754" t="s">
        <v>10</v>
      </c>
      <c r="C754">
        <v>21</v>
      </c>
      <c r="D754">
        <v>42</v>
      </c>
      <c r="E754" s="1">
        <f t="shared" si="45"/>
        <v>0.33333333333333331</v>
      </c>
      <c r="F754" s="2">
        <v>113.3</v>
      </c>
      <c r="G754" s="2">
        <v>117.7</v>
      </c>
      <c r="H754" s="2">
        <f t="shared" si="46"/>
        <v>-4.4000000000000057</v>
      </c>
      <c r="I754" s="1">
        <f t="shared" si="44"/>
        <v>0.36972474338344835</v>
      </c>
      <c r="J754" s="2">
        <v>109.8</v>
      </c>
      <c r="K754" s="2">
        <v>114</v>
      </c>
      <c r="L754" s="2">
        <f t="shared" si="47"/>
        <v>-4.2000000000000028</v>
      </c>
      <c r="M754">
        <v>103.6</v>
      </c>
      <c r="N754">
        <v>113.4</v>
      </c>
      <c r="O754">
        <v>-0.3</v>
      </c>
    </row>
    <row r="755" spans="1:15">
      <c r="A755" t="s">
        <v>66</v>
      </c>
      <c r="B755" t="s">
        <v>11</v>
      </c>
      <c r="C755">
        <v>39</v>
      </c>
      <c r="D755">
        <v>25</v>
      </c>
      <c r="E755" s="1">
        <f t="shared" si="45"/>
        <v>0.609375</v>
      </c>
      <c r="F755" s="2">
        <v>120.2</v>
      </c>
      <c r="G755" s="2">
        <v>116.5</v>
      </c>
      <c r="H755" s="2">
        <f t="shared" si="46"/>
        <v>3.7000000000000028</v>
      </c>
      <c r="I755" s="1">
        <f t="shared" si="44"/>
        <v>0.6077157346709432</v>
      </c>
      <c r="J755" s="2">
        <v>120</v>
      </c>
      <c r="K755" s="2">
        <v>116.3</v>
      </c>
      <c r="L755" s="2">
        <f t="shared" si="47"/>
        <v>3.7000000000000028</v>
      </c>
      <c r="M755">
        <v>119.4</v>
      </c>
      <c r="N755">
        <v>128.5</v>
      </c>
      <c r="O755">
        <v>-0.5</v>
      </c>
    </row>
    <row r="756" spans="1:15">
      <c r="A756" t="s">
        <v>66</v>
      </c>
      <c r="B756" t="s">
        <v>12</v>
      </c>
      <c r="C756">
        <v>45</v>
      </c>
      <c r="D756">
        <v>17</v>
      </c>
      <c r="E756" s="1">
        <f t="shared" si="45"/>
        <v>0.72580645161290325</v>
      </c>
      <c r="F756" s="2">
        <v>116.8</v>
      </c>
      <c r="G756" s="2">
        <v>109.6</v>
      </c>
      <c r="H756" s="2">
        <f t="shared" si="46"/>
        <v>7.2000000000000028</v>
      </c>
      <c r="I756" s="1">
        <f t="shared" si="44"/>
        <v>0.70904693182577805</v>
      </c>
      <c r="J756" s="2">
        <v>116.1</v>
      </c>
      <c r="K756" s="2">
        <v>108.7</v>
      </c>
      <c r="L756" s="2">
        <f t="shared" si="47"/>
        <v>7.3999999999999915</v>
      </c>
      <c r="M756">
        <v>116.3</v>
      </c>
      <c r="N756">
        <v>103.1</v>
      </c>
      <c r="O756">
        <v>1.1000000000000001</v>
      </c>
    </row>
    <row r="757" spans="1:15">
      <c r="A757" t="s">
        <v>66</v>
      </c>
      <c r="B757" t="s">
        <v>13</v>
      </c>
      <c r="C757">
        <v>32</v>
      </c>
      <c r="D757">
        <v>31</v>
      </c>
      <c r="E757" s="1">
        <f t="shared" si="45"/>
        <v>0.50793650793650791</v>
      </c>
      <c r="F757" s="2">
        <v>115</v>
      </c>
      <c r="G757" s="2">
        <v>113.9</v>
      </c>
      <c r="H757" s="2">
        <f t="shared" si="46"/>
        <v>1.0999999999999943</v>
      </c>
      <c r="I757" s="1">
        <f t="shared" si="44"/>
        <v>0.53358873886110747</v>
      </c>
      <c r="J757" s="2">
        <v>114.1</v>
      </c>
      <c r="K757" s="2">
        <v>112.9</v>
      </c>
      <c r="L757" s="2">
        <f t="shared" si="47"/>
        <v>1.1999999999999886</v>
      </c>
      <c r="M757">
        <v>118.2</v>
      </c>
      <c r="N757">
        <v>123.4</v>
      </c>
      <c r="O757">
        <v>1</v>
      </c>
    </row>
    <row r="758" spans="1:15">
      <c r="A758" t="s">
        <v>66</v>
      </c>
      <c r="B758" t="s">
        <v>14</v>
      </c>
      <c r="C758">
        <v>39</v>
      </c>
      <c r="D758">
        <v>23</v>
      </c>
      <c r="E758" s="1">
        <f t="shared" si="45"/>
        <v>0.62903225806451613</v>
      </c>
      <c r="F758" s="2">
        <v>114.5</v>
      </c>
      <c r="G758" s="2">
        <v>109.3</v>
      </c>
      <c r="H758" s="2">
        <f t="shared" si="46"/>
        <v>5.2000000000000028</v>
      </c>
      <c r="I758" s="1">
        <f t="shared" si="44"/>
        <v>0.65716773573957665</v>
      </c>
      <c r="J758" s="2">
        <v>116.8</v>
      </c>
      <c r="K758" s="2">
        <v>111.6</v>
      </c>
      <c r="L758" s="2">
        <f t="shared" si="47"/>
        <v>5.2000000000000028</v>
      </c>
      <c r="M758">
        <v>114.4</v>
      </c>
      <c r="N758">
        <v>117.7</v>
      </c>
      <c r="O758">
        <v>-0.3</v>
      </c>
    </row>
    <row r="759" spans="1:15">
      <c r="A759" t="s">
        <v>66</v>
      </c>
      <c r="B759" t="s">
        <v>15</v>
      </c>
      <c r="C759">
        <v>15</v>
      </c>
      <c r="D759">
        <v>48</v>
      </c>
      <c r="E759" s="1">
        <f t="shared" si="45"/>
        <v>0.23809523809523808</v>
      </c>
      <c r="F759" s="2">
        <v>111.4</v>
      </c>
      <c r="G759" s="2">
        <v>119.9</v>
      </c>
      <c r="H759" s="2">
        <f t="shared" si="46"/>
        <v>-8.5</v>
      </c>
      <c r="I759" s="1">
        <f t="shared" si="44"/>
        <v>0.26319457048820816</v>
      </c>
      <c r="J759" s="2">
        <v>108.7</v>
      </c>
      <c r="K759" s="2">
        <v>117</v>
      </c>
      <c r="L759" s="2">
        <f t="shared" si="47"/>
        <v>-8.2999999999999972</v>
      </c>
      <c r="M759">
        <v>97.6</v>
      </c>
      <c r="N759">
        <v>107</v>
      </c>
      <c r="O759">
        <v>-1</v>
      </c>
    </row>
    <row r="760" spans="1:15">
      <c r="A760" t="s">
        <v>66</v>
      </c>
      <c r="B760" t="s">
        <v>56</v>
      </c>
      <c r="C760">
        <v>31</v>
      </c>
      <c r="D760">
        <v>32</v>
      </c>
      <c r="E760" s="1">
        <f t="shared" si="45"/>
        <v>0.49206349206349204</v>
      </c>
      <c r="F760" s="2">
        <v>112.6</v>
      </c>
      <c r="G760" s="2">
        <v>112.2</v>
      </c>
      <c r="H760" s="2">
        <f t="shared" si="46"/>
        <v>0.39999999999999147</v>
      </c>
      <c r="I760" s="1">
        <f t="shared" si="44"/>
        <v>0.51245295332770446</v>
      </c>
      <c r="J760" s="2">
        <v>115.6</v>
      </c>
      <c r="K760" s="2">
        <v>115.3</v>
      </c>
      <c r="L760" s="2">
        <f t="shared" si="47"/>
        <v>0.29999999999999716</v>
      </c>
      <c r="M760">
        <v>115.7</v>
      </c>
      <c r="N760">
        <v>116.4</v>
      </c>
      <c r="O760">
        <v>-0.7</v>
      </c>
    </row>
    <row r="761" spans="1:15">
      <c r="A761" t="s">
        <v>66</v>
      </c>
      <c r="B761" t="s">
        <v>17</v>
      </c>
      <c r="C761">
        <v>38</v>
      </c>
      <c r="D761">
        <v>25</v>
      </c>
      <c r="E761" s="1">
        <f t="shared" si="45"/>
        <v>0.60317460317460314</v>
      </c>
      <c r="F761" s="2">
        <v>116</v>
      </c>
      <c r="G761" s="2">
        <v>115.3</v>
      </c>
      <c r="H761" s="2">
        <f t="shared" si="46"/>
        <v>0.70000000000000284</v>
      </c>
      <c r="I761" s="1">
        <f t="shared" si="44"/>
        <v>0.52117200586871404</v>
      </c>
      <c r="J761" s="2">
        <v>116.5</v>
      </c>
      <c r="K761" s="2">
        <v>116.1</v>
      </c>
      <c r="L761" s="2">
        <f t="shared" si="47"/>
        <v>0.40000000000000568</v>
      </c>
      <c r="M761">
        <v>135.9</v>
      </c>
      <c r="N761">
        <v>109.1</v>
      </c>
      <c r="O761">
        <v>1.6</v>
      </c>
    </row>
    <row r="762" spans="1:15">
      <c r="A762" t="s">
        <v>66</v>
      </c>
      <c r="B762" t="s">
        <v>35</v>
      </c>
      <c r="C762">
        <v>23</v>
      </c>
      <c r="D762">
        <v>39</v>
      </c>
      <c r="E762" s="1">
        <f t="shared" si="45"/>
        <v>0.37096774193548387</v>
      </c>
      <c r="F762" s="2">
        <v>115.7</v>
      </c>
      <c r="G762" s="2">
        <v>117.8</v>
      </c>
      <c r="H762" s="2">
        <f t="shared" si="46"/>
        <v>-2.0999999999999943</v>
      </c>
      <c r="I762" s="1">
        <f t="shared" si="44"/>
        <v>0.43737388346402561</v>
      </c>
      <c r="J762" s="2">
        <v>113.5</v>
      </c>
      <c r="K762" s="2">
        <v>115.8</v>
      </c>
      <c r="L762" s="2">
        <f t="shared" si="47"/>
        <v>-2.2999999999999972</v>
      </c>
      <c r="M762">
        <v>100.4</v>
      </c>
      <c r="N762">
        <v>118.6</v>
      </c>
      <c r="O762">
        <v>-1.1000000000000001</v>
      </c>
    </row>
    <row r="763" spans="1:15">
      <c r="A763" t="s">
        <v>66</v>
      </c>
      <c r="B763" t="s">
        <v>18</v>
      </c>
      <c r="C763">
        <v>35</v>
      </c>
      <c r="D763">
        <v>29</v>
      </c>
      <c r="E763" s="1">
        <f t="shared" si="45"/>
        <v>0.546875</v>
      </c>
      <c r="F763" s="2">
        <v>120.1</v>
      </c>
      <c r="G763" s="2">
        <v>116.6</v>
      </c>
      <c r="H763" s="2">
        <f t="shared" si="46"/>
        <v>3.5</v>
      </c>
      <c r="I763" s="1">
        <f t="shared" si="44"/>
        <v>0.60206012084803828</v>
      </c>
      <c r="J763" s="2">
        <v>114.7</v>
      </c>
      <c r="K763" s="2">
        <v>111.5</v>
      </c>
      <c r="L763" s="2">
        <f t="shared" si="47"/>
        <v>3.2000000000000028</v>
      </c>
      <c r="M763">
        <v>109.9</v>
      </c>
      <c r="N763">
        <v>113.6</v>
      </c>
      <c r="O763">
        <v>0.9</v>
      </c>
    </row>
    <row r="764" spans="1:15">
      <c r="A764" t="s">
        <v>66</v>
      </c>
      <c r="B764" t="s">
        <v>19</v>
      </c>
      <c r="C764">
        <v>27</v>
      </c>
      <c r="D764">
        <v>35</v>
      </c>
      <c r="E764" s="1">
        <f t="shared" si="45"/>
        <v>0.43548387096774194</v>
      </c>
      <c r="F764" s="2">
        <v>111.4</v>
      </c>
      <c r="G764" s="2">
        <v>115.5</v>
      </c>
      <c r="H764" s="2">
        <f t="shared" si="46"/>
        <v>-4.0999999999999943</v>
      </c>
      <c r="I764" s="1">
        <f t="shared" si="44"/>
        <v>0.37613055154918495</v>
      </c>
      <c r="J764" s="2">
        <v>112.7</v>
      </c>
      <c r="K764" s="2">
        <v>116.7</v>
      </c>
      <c r="L764" s="2">
        <f t="shared" si="47"/>
        <v>-4</v>
      </c>
      <c r="M764">
        <v>119.7</v>
      </c>
      <c r="N764">
        <v>111.6</v>
      </c>
      <c r="O764">
        <v>-0.3</v>
      </c>
    </row>
    <row r="765" spans="1:15">
      <c r="A765" t="s">
        <v>66</v>
      </c>
      <c r="B765" t="s">
        <v>20</v>
      </c>
      <c r="C765">
        <v>40</v>
      </c>
      <c r="D765">
        <v>24</v>
      </c>
      <c r="E765" s="1">
        <f t="shared" si="45"/>
        <v>0.625</v>
      </c>
      <c r="F765" s="2">
        <v>118.6</v>
      </c>
      <c r="G765" s="2">
        <v>114.5</v>
      </c>
      <c r="H765" s="2">
        <f t="shared" si="46"/>
        <v>4.0999999999999943</v>
      </c>
      <c r="I765" s="1">
        <f t="shared" si="44"/>
        <v>0.62070538318450608</v>
      </c>
      <c r="J765" s="2">
        <v>116.1</v>
      </c>
      <c r="K765" s="2">
        <v>112.2</v>
      </c>
      <c r="L765" s="2">
        <f t="shared" si="47"/>
        <v>3.8999999999999915</v>
      </c>
      <c r="M765">
        <v>117.2</v>
      </c>
      <c r="N765">
        <v>113.4</v>
      </c>
      <c r="O765">
        <v>1.6</v>
      </c>
    </row>
    <row r="766" spans="1:15">
      <c r="A766" t="s">
        <v>66</v>
      </c>
      <c r="B766" t="s">
        <v>53</v>
      </c>
      <c r="C766">
        <v>20</v>
      </c>
      <c r="D766">
        <v>45</v>
      </c>
      <c r="E766" s="1">
        <f t="shared" si="45"/>
        <v>0.30769230769230771</v>
      </c>
      <c r="F766" s="2">
        <v>115.2</v>
      </c>
      <c r="G766" s="2">
        <v>120.2</v>
      </c>
      <c r="H766" s="2">
        <f t="shared" si="46"/>
        <v>-5</v>
      </c>
      <c r="I766" s="1">
        <f t="shared" si="44"/>
        <v>0.35552926815627678</v>
      </c>
      <c r="J766" s="2">
        <v>112.8</v>
      </c>
      <c r="K766" s="2">
        <v>117.8</v>
      </c>
      <c r="L766" s="2">
        <f t="shared" si="47"/>
        <v>-5</v>
      </c>
      <c r="M766">
        <v>105.7</v>
      </c>
      <c r="N766">
        <v>123.7</v>
      </c>
      <c r="O766">
        <v>-1.1000000000000001</v>
      </c>
    </row>
    <row r="767" spans="1:15">
      <c r="A767" t="s">
        <v>66</v>
      </c>
      <c r="B767" t="s">
        <v>22</v>
      </c>
      <c r="C767">
        <v>40</v>
      </c>
      <c r="D767">
        <v>23</v>
      </c>
      <c r="E767" s="1">
        <f t="shared" si="45"/>
        <v>0.63492063492063489</v>
      </c>
      <c r="F767" s="2">
        <v>117</v>
      </c>
      <c r="G767" s="2">
        <v>110.5</v>
      </c>
      <c r="H767" s="2">
        <f t="shared" si="46"/>
        <v>6.5</v>
      </c>
      <c r="I767" s="1">
        <f t="shared" si="44"/>
        <v>0.6900210673968612</v>
      </c>
      <c r="J767" s="2">
        <v>118.3</v>
      </c>
      <c r="K767" s="2">
        <v>111.7</v>
      </c>
      <c r="L767" s="2">
        <f t="shared" si="47"/>
        <v>6.5999999999999943</v>
      </c>
      <c r="M767">
        <v>120.9</v>
      </c>
      <c r="N767">
        <v>100.5</v>
      </c>
      <c r="O767">
        <v>2.7</v>
      </c>
    </row>
    <row r="768" spans="1:15">
      <c r="A768" t="s">
        <v>66</v>
      </c>
      <c r="B768" t="s">
        <v>46</v>
      </c>
      <c r="C768">
        <v>50</v>
      </c>
      <c r="D768">
        <v>14</v>
      </c>
      <c r="E768" s="1">
        <f t="shared" si="45"/>
        <v>0.78125</v>
      </c>
      <c r="F768" s="2">
        <v>118.8</v>
      </c>
      <c r="G768" s="2">
        <v>107.5</v>
      </c>
      <c r="H768" s="2">
        <f t="shared" si="46"/>
        <v>11.299999999999997</v>
      </c>
      <c r="I768" s="1">
        <f t="shared" si="44"/>
        <v>0.80207402882582313</v>
      </c>
      <c r="J768" s="2">
        <v>117.2</v>
      </c>
      <c r="K768" s="2">
        <v>106</v>
      </c>
      <c r="L768" s="2">
        <f t="shared" si="47"/>
        <v>11.200000000000003</v>
      </c>
      <c r="M768">
        <v>123.7</v>
      </c>
      <c r="N768">
        <v>99.2</v>
      </c>
      <c r="O768">
        <v>1.8</v>
      </c>
    </row>
    <row r="769" spans="1:15">
      <c r="A769" t="s">
        <v>66</v>
      </c>
      <c r="B769" t="s">
        <v>23</v>
      </c>
      <c r="C769">
        <v>34</v>
      </c>
      <c r="D769">
        <v>27</v>
      </c>
      <c r="E769" s="1">
        <f t="shared" si="45"/>
        <v>0.55737704918032782</v>
      </c>
      <c r="F769" s="2">
        <v>114.8</v>
      </c>
      <c r="G769" s="2">
        <v>113.7</v>
      </c>
      <c r="H769" s="2">
        <f t="shared" si="46"/>
        <v>1.0999999999999943</v>
      </c>
      <c r="I769" s="1">
        <f t="shared" si="44"/>
        <v>0.53364736091127729</v>
      </c>
      <c r="J769" s="2">
        <v>113.7</v>
      </c>
      <c r="K769" s="2">
        <v>112.7</v>
      </c>
      <c r="L769" s="2">
        <f t="shared" si="47"/>
        <v>1</v>
      </c>
      <c r="M769">
        <v>109.6</v>
      </c>
      <c r="N769">
        <v>107.4</v>
      </c>
      <c r="O769">
        <v>0.7</v>
      </c>
    </row>
    <row r="770" spans="1:15">
      <c r="A770" t="s">
        <v>66</v>
      </c>
      <c r="B770" t="s">
        <v>24</v>
      </c>
      <c r="C770">
        <v>34</v>
      </c>
      <c r="D770">
        <v>29</v>
      </c>
      <c r="E770" s="1">
        <f t="shared" si="45"/>
        <v>0.53968253968253965</v>
      </c>
      <c r="F770" s="2">
        <v>115.8</v>
      </c>
      <c r="G770" s="2">
        <v>116.1</v>
      </c>
      <c r="H770" s="2">
        <f t="shared" si="46"/>
        <v>-0.29999999999999716</v>
      </c>
      <c r="I770" s="1">
        <f t="shared" ref="I770:I777" si="48">+(F770^14)/((F770^14+G770^14))</f>
        <v>0.49094535752934715</v>
      </c>
      <c r="J770" s="2">
        <v>114.3</v>
      </c>
      <c r="K770" s="2">
        <v>114.6</v>
      </c>
      <c r="L770" s="2">
        <f t="shared" si="47"/>
        <v>-0.29999999999999716</v>
      </c>
      <c r="M770">
        <v>120.5</v>
      </c>
      <c r="N770">
        <v>99.7</v>
      </c>
      <c r="O770">
        <v>1.3</v>
      </c>
    </row>
    <row r="771" spans="1:15">
      <c r="A771" t="s">
        <v>66</v>
      </c>
      <c r="B771" t="s">
        <v>25</v>
      </c>
      <c r="C771">
        <v>36</v>
      </c>
      <c r="D771">
        <v>27</v>
      </c>
      <c r="E771" s="1">
        <f t="shared" ref="E771:E777" si="49">+C771/(C771+D771)</f>
        <v>0.5714285714285714</v>
      </c>
      <c r="F771" s="2">
        <v>112.1</v>
      </c>
      <c r="G771" s="2">
        <v>111.2</v>
      </c>
      <c r="H771" s="2">
        <f t="shared" ref="H771:H777" si="50">+F771-G771</f>
        <v>0.89999999999999147</v>
      </c>
      <c r="I771" s="1">
        <f t="shared" si="48"/>
        <v>0.52818341359119181</v>
      </c>
      <c r="J771" s="2">
        <v>113.4</v>
      </c>
      <c r="K771" s="2">
        <v>112.5</v>
      </c>
      <c r="L771" s="2">
        <f t="shared" ref="L771:L777" si="51">+J771-K771</f>
        <v>0.90000000000000568</v>
      </c>
      <c r="M771">
        <v>113.4</v>
      </c>
      <c r="N771">
        <v>114.2</v>
      </c>
      <c r="O771">
        <v>-1.1000000000000001</v>
      </c>
    </row>
    <row r="772" spans="1:15">
      <c r="A772" t="s">
        <v>66</v>
      </c>
      <c r="B772" t="s">
        <v>26</v>
      </c>
      <c r="C772">
        <v>30</v>
      </c>
      <c r="D772">
        <v>34</v>
      </c>
      <c r="E772" s="1">
        <f t="shared" si="49"/>
        <v>0.46875</v>
      </c>
      <c r="F772" s="2">
        <v>115.1</v>
      </c>
      <c r="G772" s="2">
        <v>118.1</v>
      </c>
      <c r="H772" s="2">
        <f t="shared" si="50"/>
        <v>-3</v>
      </c>
      <c r="I772" s="1">
        <f t="shared" si="48"/>
        <v>0.41090493030680209</v>
      </c>
      <c r="J772" s="2">
        <v>112.4</v>
      </c>
      <c r="K772" s="2">
        <v>115.5</v>
      </c>
      <c r="L772" s="2">
        <f t="shared" si="51"/>
        <v>-3.0999999999999943</v>
      </c>
      <c r="M772">
        <v>116.5</v>
      </c>
      <c r="N772">
        <v>120</v>
      </c>
      <c r="O772">
        <v>-1.2</v>
      </c>
    </row>
    <row r="773" spans="1:15">
      <c r="A773" t="s">
        <v>66</v>
      </c>
      <c r="B773" t="s">
        <v>27</v>
      </c>
      <c r="C773">
        <v>14</v>
      </c>
      <c r="D773">
        <v>50</v>
      </c>
      <c r="E773" s="1">
        <f t="shared" si="49"/>
        <v>0.21875</v>
      </c>
      <c r="F773" s="2">
        <v>110.4</v>
      </c>
      <c r="G773" s="2">
        <v>121.3</v>
      </c>
      <c r="H773" s="2">
        <f t="shared" si="50"/>
        <v>-10.899999999999991</v>
      </c>
      <c r="I773" s="1">
        <f t="shared" si="48"/>
        <v>0.21111899676961832</v>
      </c>
      <c r="J773" s="2">
        <v>109.6</v>
      </c>
      <c r="K773" s="2">
        <v>120.2</v>
      </c>
      <c r="L773" s="2">
        <f t="shared" si="51"/>
        <v>-10.600000000000009</v>
      </c>
      <c r="M773">
        <v>103.5</v>
      </c>
      <c r="N773">
        <v>115.8</v>
      </c>
      <c r="O773">
        <v>-3.1</v>
      </c>
    </row>
    <row r="774" spans="1:15">
      <c r="A774" t="s">
        <v>66</v>
      </c>
      <c r="B774" t="s">
        <v>28</v>
      </c>
      <c r="C774">
        <v>45</v>
      </c>
      <c r="D774">
        <v>17</v>
      </c>
      <c r="E774" s="1">
        <f t="shared" si="49"/>
        <v>0.72580645161290325</v>
      </c>
      <c r="F774" s="2">
        <v>118.3</v>
      </c>
      <c r="G774" s="2">
        <v>111.4</v>
      </c>
      <c r="H774" s="2">
        <f t="shared" si="50"/>
        <v>6.8999999999999915</v>
      </c>
      <c r="I774" s="1">
        <f t="shared" si="48"/>
        <v>0.69874950937248992</v>
      </c>
      <c r="J774" s="2">
        <v>117.3</v>
      </c>
      <c r="K774" s="2">
        <v>110.2</v>
      </c>
      <c r="L774" s="2">
        <f t="shared" si="51"/>
        <v>7.0999999999999943</v>
      </c>
      <c r="M774">
        <v>128.19999999999999</v>
      </c>
      <c r="N774">
        <v>115.8</v>
      </c>
      <c r="O774">
        <v>1.3</v>
      </c>
    </row>
    <row r="775" spans="1:15">
      <c r="A775" t="s">
        <v>66</v>
      </c>
      <c r="B775" t="s">
        <v>30</v>
      </c>
      <c r="C775">
        <v>35</v>
      </c>
      <c r="D775">
        <v>27</v>
      </c>
      <c r="E775" s="1">
        <f t="shared" si="49"/>
        <v>0.56451612903225812</v>
      </c>
      <c r="F775" s="2">
        <v>113.5</v>
      </c>
      <c r="G775" s="2">
        <v>112</v>
      </c>
      <c r="H775" s="2">
        <f t="shared" si="50"/>
        <v>1.5</v>
      </c>
      <c r="I775" s="1">
        <f t="shared" si="48"/>
        <v>0.54642973229059522</v>
      </c>
      <c r="J775" s="2">
        <v>113.7</v>
      </c>
      <c r="K775" s="2">
        <v>112.2</v>
      </c>
      <c r="L775" s="2">
        <f t="shared" si="51"/>
        <v>1.5</v>
      </c>
      <c r="M775">
        <v>104.3</v>
      </c>
      <c r="N775">
        <v>104.1</v>
      </c>
      <c r="O775">
        <v>-0.5</v>
      </c>
    </row>
    <row r="776" spans="1:15">
      <c r="A776" t="s">
        <v>66</v>
      </c>
      <c r="B776" t="s">
        <v>31</v>
      </c>
      <c r="C776">
        <v>19</v>
      </c>
      <c r="D776">
        <v>45</v>
      </c>
      <c r="E776" s="1">
        <f t="shared" si="49"/>
        <v>0.296875</v>
      </c>
      <c r="F776" s="2">
        <v>117.4</v>
      </c>
      <c r="G776" s="2">
        <v>125</v>
      </c>
      <c r="H776" s="2">
        <f t="shared" si="50"/>
        <v>-7.5999999999999943</v>
      </c>
      <c r="I776" s="1">
        <f t="shared" si="48"/>
        <v>0.29355597812960449</v>
      </c>
      <c r="J776" s="2">
        <v>113.2</v>
      </c>
      <c r="K776" s="2">
        <v>120.5</v>
      </c>
      <c r="L776" s="2">
        <f t="shared" si="51"/>
        <v>-7.2999999999999972</v>
      </c>
      <c r="M776">
        <v>113.6</v>
      </c>
      <c r="N776">
        <v>106.1</v>
      </c>
      <c r="O776">
        <v>-0.7</v>
      </c>
    </row>
    <row r="777" spans="1:15">
      <c r="A777" t="s">
        <v>66</v>
      </c>
      <c r="B777" t="s">
        <v>33</v>
      </c>
      <c r="C777">
        <v>16</v>
      </c>
      <c r="D777">
        <v>46</v>
      </c>
      <c r="E777" s="1">
        <f t="shared" si="49"/>
        <v>0.25806451612903225</v>
      </c>
      <c r="F777" s="2">
        <v>112.2</v>
      </c>
      <c r="G777" s="2">
        <v>123</v>
      </c>
      <c r="H777" s="2">
        <f t="shared" si="50"/>
        <v>-10.799999999999997</v>
      </c>
      <c r="I777" s="1">
        <f t="shared" si="48"/>
        <v>0.21642561770690236</v>
      </c>
      <c r="J777" s="2">
        <v>109.5</v>
      </c>
      <c r="K777" s="2">
        <v>120.3</v>
      </c>
      <c r="L777" s="2">
        <f t="shared" si="51"/>
        <v>-10.799999999999997</v>
      </c>
      <c r="M777">
        <v>112.8</v>
      </c>
      <c r="N777">
        <v>114.5</v>
      </c>
      <c r="O777">
        <v>-2.9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4005-F2D9-0145-A829-AE286A04FD79}">
  <dimension ref="A2:Q784"/>
  <sheetViews>
    <sheetView workbookViewId="0">
      <pane xSplit="2" ySplit="8" topLeftCell="G9" activePane="bottomRight" state="frozen"/>
      <selection pane="topRight" activeCell="C1" sqref="C1"/>
      <selection pane="bottomLeft" activeCell="A9" sqref="A9"/>
      <selection pane="bottomRight" activeCell="P9" sqref="P9:P16"/>
    </sheetView>
  </sheetViews>
  <sheetFormatPr baseColWidth="10" defaultRowHeight="18"/>
  <cols>
    <col min="2" max="2" width="20.625" customWidth="1"/>
    <col min="3" max="17" width="12.625" customWidth="1"/>
  </cols>
  <sheetData>
    <row r="2" spans="1:17">
      <c r="E2">
        <v>776</v>
      </c>
      <c r="M2" s="1">
        <v>8.2002597305889102E-2</v>
      </c>
    </row>
    <row r="3" spans="1:17">
      <c r="E3" s="4">
        <f>(E9-MIN(E$9:E$784))/(MAX(E$9:E$784)-MIN(E$9:E$784))</f>
        <v>0.76672950047125343</v>
      </c>
      <c r="I3" s="1">
        <f>+CORREL(I9:I784,E9:E784)</f>
        <v>0.9698472655115643</v>
      </c>
      <c r="M3" s="4">
        <f>(M2-MIN(M$9:M$784))/(MAX(M$9:M$784)-MIN(M$9:M$784))</f>
        <v>0.92185952012573269</v>
      </c>
    </row>
    <row r="4" spans="1:17">
      <c r="M4">
        <f>(RANK(M9,M$9:M$784,1)-1)/(COUNT($M$9:$M$784)-1)</f>
        <v>1</v>
      </c>
    </row>
    <row r="8" spans="1:17">
      <c r="A8" t="s">
        <v>0</v>
      </c>
      <c r="B8" t="s">
        <v>1</v>
      </c>
      <c r="C8" s="3" t="s">
        <v>2</v>
      </c>
      <c r="D8" s="3" t="s">
        <v>3</v>
      </c>
      <c r="E8" s="3" t="s">
        <v>74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67</v>
      </c>
      <c r="K8" s="3" t="s">
        <v>68</v>
      </c>
      <c r="L8" s="3" t="s">
        <v>69</v>
      </c>
      <c r="M8" s="3" t="s">
        <v>75</v>
      </c>
      <c r="N8" s="3" t="s">
        <v>76</v>
      </c>
      <c r="O8" s="3" t="s">
        <v>77</v>
      </c>
      <c r="P8" s="3" t="s">
        <v>79</v>
      </c>
      <c r="Q8" s="3" t="s">
        <v>78</v>
      </c>
    </row>
    <row r="9" spans="1:17">
      <c r="A9" t="s">
        <v>63</v>
      </c>
      <c r="B9" t="s">
        <v>19</v>
      </c>
      <c r="C9">
        <v>58</v>
      </c>
      <c r="D9">
        <v>24</v>
      </c>
      <c r="E9" s="1">
        <f t="shared" ref="E9:E72" si="0">+C9/(C9+D9)</f>
        <v>0.70731707317073167</v>
      </c>
      <c r="F9" s="2">
        <v>116.9</v>
      </c>
      <c r="G9" s="2">
        <v>113.3</v>
      </c>
      <c r="H9" s="2">
        <f t="shared" ref="H9:H72" si="1">+F9-G9</f>
        <v>3.6000000000000085</v>
      </c>
      <c r="I9" s="1">
        <f t="shared" ref="I9:I72" si="2">+(F9^14)/((F9^14+G9^14))</f>
        <v>0.607762297189269</v>
      </c>
      <c r="J9" s="2">
        <v>114.3</v>
      </c>
      <c r="K9" s="2">
        <v>110.9</v>
      </c>
      <c r="L9" s="2">
        <f t="shared" ref="L9:L72" si="3">+J9-K9</f>
        <v>3.3999999999999915</v>
      </c>
      <c r="M9" s="1">
        <f t="shared" ref="M9:M72" si="4">+E9-I9</f>
        <v>9.9554775981462673E-2</v>
      </c>
      <c r="N9" s="2">
        <v>109.7</v>
      </c>
      <c r="O9" s="2">
        <v>102.8</v>
      </c>
      <c r="P9" s="2">
        <f>+N9-O9</f>
        <v>6.9000000000000057</v>
      </c>
      <c r="Q9">
        <v>0.7</v>
      </c>
    </row>
    <row r="10" spans="1:17">
      <c r="A10" t="s">
        <v>61</v>
      </c>
      <c r="B10" t="s">
        <v>46</v>
      </c>
      <c r="C10">
        <v>22</v>
      </c>
      <c r="D10">
        <v>50</v>
      </c>
      <c r="E10" s="1">
        <f t="shared" si="0"/>
        <v>0.30555555555555558</v>
      </c>
      <c r="F10" s="2">
        <v>105</v>
      </c>
      <c r="G10" s="2">
        <v>115.6</v>
      </c>
      <c r="H10" s="2">
        <f t="shared" si="1"/>
        <v>-10.599999999999994</v>
      </c>
      <c r="I10" s="1">
        <f t="shared" si="2"/>
        <v>0.20644996928068904</v>
      </c>
      <c r="J10" s="2">
        <v>102.8</v>
      </c>
      <c r="K10" s="2">
        <v>113.4</v>
      </c>
      <c r="L10" s="2">
        <f t="shared" si="3"/>
        <v>-10.600000000000009</v>
      </c>
      <c r="M10" s="1">
        <f t="shared" si="4"/>
        <v>9.9105586274866542E-2</v>
      </c>
      <c r="N10" s="2">
        <v>102.7</v>
      </c>
      <c r="O10" s="2">
        <v>101.8</v>
      </c>
      <c r="P10" s="2">
        <f t="shared" ref="P10:P73" si="5">+N10-O10</f>
        <v>0.90000000000000568</v>
      </c>
      <c r="Q10">
        <v>-1.1000000000000001</v>
      </c>
    </row>
    <row r="11" spans="1:17">
      <c r="A11" t="s">
        <v>41</v>
      </c>
      <c r="B11" t="s">
        <v>31</v>
      </c>
      <c r="C11">
        <v>41</v>
      </c>
      <c r="D11">
        <v>41</v>
      </c>
      <c r="E11" s="1">
        <f t="shared" si="0"/>
        <v>0.5</v>
      </c>
      <c r="F11" s="2">
        <v>92.4</v>
      </c>
      <c r="G11" s="2">
        <v>95</v>
      </c>
      <c r="H11" s="2">
        <f t="shared" si="1"/>
        <v>-2.5999999999999943</v>
      </c>
      <c r="I11" s="1">
        <f t="shared" si="2"/>
        <v>0.40407874070852795</v>
      </c>
      <c r="J11" s="2">
        <v>102.4</v>
      </c>
      <c r="K11" s="2">
        <v>105.1</v>
      </c>
      <c r="L11" s="2">
        <f t="shared" si="3"/>
        <v>-2.6999999999999886</v>
      </c>
      <c r="M11" s="1">
        <f t="shared" si="4"/>
        <v>9.592125929147205E-2</v>
      </c>
      <c r="N11" s="2">
        <v>107.2</v>
      </c>
      <c r="O11" s="2">
        <v>103.9</v>
      </c>
      <c r="P11" s="2">
        <f t="shared" si="5"/>
        <v>3.2999999999999972</v>
      </c>
      <c r="Q11">
        <v>0.7</v>
      </c>
    </row>
    <row r="12" spans="1:17">
      <c r="A12" t="s">
        <v>55</v>
      </c>
      <c r="B12" t="s">
        <v>13</v>
      </c>
      <c r="C12">
        <v>73</v>
      </c>
      <c r="D12">
        <v>9</v>
      </c>
      <c r="E12" s="1">
        <f t="shared" si="0"/>
        <v>0.8902439024390244</v>
      </c>
      <c r="F12" s="2">
        <v>114.9</v>
      </c>
      <c r="G12" s="2">
        <v>104.1</v>
      </c>
      <c r="H12" s="2">
        <f t="shared" si="1"/>
        <v>10.800000000000011</v>
      </c>
      <c r="I12" s="1">
        <f t="shared" si="2"/>
        <v>0.7993028619398963</v>
      </c>
      <c r="J12" s="2">
        <v>113.5</v>
      </c>
      <c r="K12" s="2">
        <v>102.8</v>
      </c>
      <c r="L12" s="2">
        <f t="shared" si="3"/>
        <v>10.700000000000003</v>
      </c>
      <c r="M12" s="1">
        <f t="shared" si="4"/>
        <v>9.0941040499128101E-2</v>
      </c>
      <c r="N12" s="2">
        <v>117</v>
      </c>
      <c r="O12" s="2">
        <v>81.099999999999994</v>
      </c>
      <c r="P12" s="2">
        <f t="shared" si="5"/>
        <v>35.900000000000006</v>
      </c>
      <c r="Q12">
        <v>0.4</v>
      </c>
    </row>
    <row r="13" spans="1:17">
      <c r="A13" t="s">
        <v>44</v>
      </c>
      <c r="B13" t="s">
        <v>21</v>
      </c>
      <c r="C13">
        <v>34</v>
      </c>
      <c r="D13">
        <v>48</v>
      </c>
      <c r="E13" s="1">
        <f t="shared" si="0"/>
        <v>0.41463414634146339</v>
      </c>
      <c r="F13" s="2">
        <v>95.8</v>
      </c>
      <c r="G13" s="2">
        <v>100.9</v>
      </c>
      <c r="H13" s="2">
        <f t="shared" si="1"/>
        <v>-5.1000000000000085</v>
      </c>
      <c r="I13" s="1">
        <f t="shared" si="2"/>
        <v>0.32604204255195213</v>
      </c>
      <c r="J13" s="2">
        <v>102.3</v>
      </c>
      <c r="K13" s="2">
        <v>107.7</v>
      </c>
      <c r="L13" s="2">
        <f t="shared" si="3"/>
        <v>-5.4000000000000057</v>
      </c>
      <c r="M13" s="1">
        <f t="shared" si="4"/>
        <v>8.8592103789511267E-2</v>
      </c>
      <c r="N13" s="2">
        <v>112.8</v>
      </c>
      <c r="O13" s="2">
        <v>107.1</v>
      </c>
      <c r="P13" s="2">
        <f t="shared" si="5"/>
        <v>5.7000000000000028</v>
      </c>
      <c r="Q13">
        <v>-1.8</v>
      </c>
    </row>
    <row r="14" spans="1:17">
      <c r="A14" t="s">
        <v>55</v>
      </c>
      <c r="B14" t="s">
        <v>35</v>
      </c>
      <c r="C14">
        <v>42</v>
      </c>
      <c r="D14">
        <v>40</v>
      </c>
      <c r="E14" s="1">
        <f t="shared" si="0"/>
        <v>0.51219512195121952</v>
      </c>
      <c r="F14" s="2">
        <v>99.1</v>
      </c>
      <c r="G14" s="2">
        <v>101.3</v>
      </c>
      <c r="H14" s="2">
        <f t="shared" si="1"/>
        <v>-2.2000000000000028</v>
      </c>
      <c r="I14" s="1">
        <f t="shared" si="2"/>
        <v>0.42375008711442541</v>
      </c>
      <c r="J14" s="2">
        <v>104.7</v>
      </c>
      <c r="K14" s="2">
        <v>107.1</v>
      </c>
      <c r="L14" s="2">
        <f t="shared" si="3"/>
        <v>-2.3999999999999915</v>
      </c>
      <c r="M14" s="1">
        <f t="shared" si="4"/>
        <v>8.8445034836794112E-2</v>
      </c>
      <c r="N14" s="2">
        <v>105.9</v>
      </c>
      <c r="O14" s="2">
        <v>94.5</v>
      </c>
      <c r="P14" s="2">
        <f t="shared" si="5"/>
        <v>11.400000000000006</v>
      </c>
      <c r="Q14">
        <v>-0.1</v>
      </c>
    </row>
    <row r="15" spans="1:17">
      <c r="A15" t="s">
        <v>62</v>
      </c>
      <c r="B15" t="s">
        <v>26</v>
      </c>
      <c r="C15">
        <v>27</v>
      </c>
      <c r="D15">
        <v>55</v>
      </c>
      <c r="E15" s="1">
        <f t="shared" si="0"/>
        <v>0.32926829268292684</v>
      </c>
      <c r="F15" s="2">
        <v>106.2</v>
      </c>
      <c r="G15" s="2">
        <v>115.1</v>
      </c>
      <c r="H15" s="2">
        <f t="shared" si="1"/>
        <v>-8.8999999999999915</v>
      </c>
      <c r="I15" s="1">
        <f t="shared" si="2"/>
        <v>0.24477414963979585</v>
      </c>
      <c r="J15" s="2">
        <v>107.3</v>
      </c>
      <c r="K15" s="2">
        <v>116.3</v>
      </c>
      <c r="L15" s="2">
        <f t="shared" si="3"/>
        <v>-9</v>
      </c>
      <c r="M15" s="1">
        <f t="shared" si="4"/>
        <v>8.4494143043130993E-2</v>
      </c>
      <c r="N15" s="2">
        <v>107</v>
      </c>
      <c r="O15" s="2">
        <v>105.8</v>
      </c>
      <c r="P15" s="2">
        <f t="shared" si="5"/>
        <v>1.2000000000000028</v>
      </c>
      <c r="Q15">
        <v>-3.6</v>
      </c>
    </row>
    <row r="16" spans="1:17">
      <c r="A16" t="s">
        <v>66</v>
      </c>
      <c r="B16" t="s">
        <v>17</v>
      </c>
      <c r="C16">
        <v>38</v>
      </c>
      <c r="D16">
        <v>25</v>
      </c>
      <c r="E16" s="1">
        <f t="shared" si="0"/>
        <v>0.60317460317460314</v>
      </c>
      <c r="F16" s="2">
        <v>116</v>
      </c>
      <c r="G16" s="2">
        <v>115.3</v>
      </c>
      <c r="H16" s="2">
        <f t="shared" si="1"/>
        <v>0.70000000000000284</v>
      </c>
      <c r="I16" s="1">
        <f t="shared" si="2"/>
        <v>0.52117200586871404</v>
      </c>
      <c r="J16" s="2">
        <v>116.5</v>
      </c>
      <c r="K16" s="2">
        <v>116.1</v>
      </c>
      <c r="L16" s="2">
        <f t="shared" si="3"/>
        <v>0.40000000000000568</v>
      </c>
      <c r="M16" s="1">
        <f t="shared" si="4"/>
        <v>8.2002597305889102E-2</v>
      </c>
      <c r="N16" s="2">
        <v>135.9</v>
      </c>
      <c r="O16" s="2">
        <v>109.1</v>
      </c>
      <c r="P16" s="2">
        <f t="shared" si="5"/>
        <v>26.800000000000011</v>
      </c>
      <c r="Q16" s="2">
        <v>1.6</v>
      </c>
    </row>
    <row r="17" spans="1:17">
      <c r="A17" t="s">
        <v>58</v>
      </c>
      <c r="B17" t="s">
        <v>9</v>
      </c>
      <c r="C17">
        <v>50</v>
      </c>
      <c r="D17">
        <v>32</v>
      </c>
      <c r="E17" s="1">
        <f t="shared" si="0"/>
        <v>0.6097560975609756</v>
      </c>
      <c r="F17" s="2">
        <v>110.9</v>
      </c>
      <c r="G17" s="2">
        <v>109.9</v>
      </c>
      <c r="H17" s="2">
        <f t="shared" si="1"/>
        <v>1</v>
      </c>
      <c r="I17" s="1">
        <f t="shared" si="2"/>
        <v>0.53166069765175683</v>
      </c>
      <c r="J17" s="2">
        <v>112</v>
      </c>
      <c r="K17" s="2">
        <v>111.1</v>
      </c>
      <c r="L17" s="2">
        <f t="shared" si="3"/>
        <v>0.90000000000000568</v>
      </c>
      <c r="M17" s="1">
        <f t="shared" si="4"/>
        <v>7.8095399909218766E-2</v>
      </c>
      <c r="N17" s="2">
        <v>116.9</v>
      </c>
      <c r="O17" s="2">
        <v>96.1</v>
      </c>
      <c r="P17" s="2">
        <f t="shared" si="5"/>
        <v>20.800000000000011</v>
      </c>
      <c r="Q17">
        <v>0.6</v>
      </c>
    </row>
    <row r="18" spans="1:17">
      <c r="A18" t="s">
        <v>47</v>
      </c>
      <c r="B18" t="s">
        <v>10</v>
      </c>
      <c r="C18">
        <v>55</v>
      </c>
      <c r="D18">
        <v>27</v>
      </c>
      <c r="E18" s="1">
        <f t="shared" si="0"/>
        <v>0.67073170731707321</v>
      </c>
      <c r="F18" s="2">
        <v>102</v>
      </c>
      <c r="G18" s="2">
        <v>99.3</v>
      </c>
      <c r="H18" s="2">
        <f t="shared" si="1"/>
        <v>2.7000000000000028</v>
      </c>
      <c r="I18" s="1">
        <f t="shared" si="2"/>
        <v>0.59280694774061193</v>
      </c>
      <c r="J18" s="2">
        <v>107.8</v>
      </c>
      <c r="K18" s="2">
        <v>105</v>
      </c>
      <c r="L18" s="2">
        <f t="shared" si="3"/>
        <v>2.7999999999999972</v>
      </c>
      <c r="M18" s="1">
        <f t="shared" si="4"/>
        <v>7.7924759576461278E-2</v>
      </c>
      <c r="N18" s="2">
        <v>114.1</v>
      </c>
      <c r="O18" s="2">
        <v>95.3</v>
      </c>
      <c r="P18" s="2">
        <f t="shared" si="5"/>
        <v>18.799999999999997</v>
      </c>
      <c r="Q18">
        <v>0.6</v>
      </c>
    </row>
    <row r="19" spans="1:17">
      <c r="A19" t="s">
        <v>43</v>
      </c>
      <c r="B19" t="s">
        <v>10</v>
      </c>
      <c r="C19">
        <v>67</v>
      </c>
      <c r="D19">
        <v>15</v>
      </c>
      <c r="E19" s="1">
        <f t="shared" si="0"/>
        <v>0.81707317073170727</v>
      </c>
      <c r="F19" s="2">
        <v>100</v>
      </c>
      <c r="G19" s="2">
        <v>92.8</v>
      </c>
      <c r="H19" s="2">
        <f t="shared" si="1"/>
        <v>7.2000000000000028</v>
      </c>
      <c r="I19" s="1">
        <f t="shared" si="2"/>
        <v>0.74003099281791473</v>
      </c>
      <c r="J19" s="2">
        <v>109.7</v>
      </c>
      <c r="K19" s="2">
        <v>102.1</v>
      </c>
      <c r="L19" s="2">
        <f t="shared" si="3"/>
        <v>7.6000000000000085</v>
      </c>
      <c r="M19" s="1">
        <f t="shared" si="4"/>
        <v>7.7042177913792531E-2</v>
      </c>
      <c r="N19" s="2">
        <v>109.8</v>
      </c>
      <c r="O19" s="2">
        <v>84.5</v>
      </c>
      <c r="P19" s="2">
        <f t="shared" si="5"/>
        <v>25.299999999999997</v>
      </c>
      <c r="Q19">
        <v>1.1000000000000001</v>
      </c>
    </row>
    <row r="20" spans="1:17">
      <c r="A20" t="s">
        <v>62</v>
      </c>
      <c r="B20" t="s">
        <v>8</v>
      </c>
      <c r="C20">
        <v>46</v>
      </c>
      <c r="D20">
        <v>36</v>
      </c>
      <c r="E20" s="1">
        <f t="shared" si="0"/>
        <v>0.56097560975609762</v>
      </c>
      <c r="F20" s="2">
        <v>111.6</v>
      </c>
      <c r="G20" s="2">
        <v>112</v>
      </c>
      <c r="H20" s="2">
        <f t="shared" si="1"/>
        <v>-0.40000000000000568</v>
      </c>
      <c r="I20" s="1">
        <f t="shared" si="2"/>
        <v>0.48748024280159491</v>
      </c>
      <c r="J20" s="2">
        <v>112.7</v>
      </c>
      <c r="K20" s="2">
        <v>113.2</v>
      </c>
      <c r="L20" s="2">
        <f t="shared" si="3"/>
        <v>-0.5</v>
      </c>
      <c r="M20" s="1">
        <f t="shared" si="4"/>
        <v>7.3495366954502706E-2</v>
      </c>
      <c r="N20" s="2">
        <v>121</v>
      </c>
      <c r="O20" s="2">
        <v>104.9</v>
      </c>
      <c r="P20" s="2">
        <f t="shared" si="5"/>
        <v>16.099999999999994</v>
      </c>
      <c r="Q20">
        <v>0.9</v>
      </c>
    </row>
    <row r="21" spans="1:17">
      <c r="A21" t="s">
        <v>4</v>
      </c>
      <c r="B21" t="s">
        <v>11</v>
      </c>
      <c r="C21">
        <v>40</v>
      </c>
      <c r="D21">
        <v>42</v>
      </c>
      <c r="E21" s="1">
        <f t="shared" si="0"/>
        <v>0.48780487804878048</v>
      </c>
      <c r="F21" s="2">
        <v>96.6</v>
      </c>
      <c r="G21" s="2">
        <v>99</v>
      </c>
      <c r="H21" s="2">
        <f t="shared" si="1"/>
        <v>-2.4000000000000057</v>
      </c>
      <c r="I21" s="1">
        <f t="shared" si="2"/>
        <v>0.41494120163391823</v>
      </c>
      <c r="J21" s="2">
        <v>102.2</v>
      </c>
      <c r="K21" s="2">
        <v>104.9</v>
      </c>
      <c r="L21" s="2">
        <f t="shared" si="3"/>
        <v>-2.7000000000000028</v>
      </c>
      <c r="M21" s="1">
        <f t="shared" si="4"/>
        <v>7.2863676414862244E-2</v>
      </c>
      <c r="N21" s="2">
        <v>100.5</v>
      </c>
      <c r="O21" s="2">
        <v>95.5</v>
      </c>
      <c r="P21" s="2">
        <f t="shared" si="5"/>
        <v>5</v>
      </c>
      <c r="Q21">
        <v>0.1</v>
      </c>
    </row>
    <row r="22" spans="1:17">
      <c r="A22" t="s">
        <v>65</v>
      </c>
      <c r="B22" t="s">
        <v>17</v>
      </c>
      <c r="C22">
        <v>50</v>
      </c>
      <c r="D22">
        <v>32</v>
      </c>
      <c r="E22" s="1">
        <f t="shared" si="0"/>
        <v>0.6097560975609756</v>
      </c>
      <c r="F22" s="2">
        <v>113.4</v>
      </c>
      <c r="G22" s="2">
        <v>112.2</v>
      </c>
      <c r="H22" s="2">
        <f t="shared" si="1"/>
        <v>1.2000000000000028</v>
      </c>
      <c r="I22" s="1">
        <f t="shared" si="2"/>
        <v>0.5371657170333668</v>
      </c>
      <c r="J22" s="2">
        <v>115</v>
      </c>
      <c r="K22" s="2">
        <v>113.8</v>
      </c>
      <c r="L22" s="2">
        <f t="shared" si="3"/>
        <v>1.2000000000000028</v>
      </c>
      <c r="M22" s="1">
        <f t="shared" si="4"/>
        <v>7.25903805276088E-2</v>
      </c>
      <c r="N22" s="2">
        <v>114.6</v>
      </c>
      <c r="O22" s="2">
        <v>110.6</v>
      </c>
      <c r="P22" s="2">
        <f t="shared" si="5"/>
        <v>4</v>
      </c>
      <c r="Q22">
        <v>-0.7</v>
      </c>
    </row>
    <row r="23" spans="1:17">
      <c r="A23" t="s">
        <v>52</v>
      </c>
      <c r="B23" t="s">
        <v>51</v>
      </c>
      <c r="C23">
        <v>44</v>
      </c>
      <c r="D23">
        <v>38</v>
      </c>
      <c r="E23" s="1">
        <f t="shared" si="0"/>
        <v>0.53658536585365857</v>
      </c>
      <c r="F23" s="2">
        <v>98.5</v>
      </c>
      <c r="G23" s="2">
        <v>99.5</v>
      </c>
      <c r="H23" s="2">
        <f t="shared" si="1"/>
        <v>-1</v>
      </c>
      <c r="I23" s="1">
        <f t="shared" si="2"/>
        <v>0.46470496450899657</v>
      </c>
      <c r="J23" s="2">
        <v>105.4</v>
      </c>
      <c r="K23" s="2">
        <v>106.7</v>
      </c>
      <c r="L23" s="2">
        <f t="shared" si="3"/>
        <v>-1.2999999999999972</v>
      </c>
      <c r="M23" s="1">
        <f t="shared" si="4"/>
        <v>7.1880401344662004E-2</v>
      </c>
      <c r="N23" s="2">
        <v>98.3</v>
      </c>
      <c r="O23" s="2">
        <v>100.6</v>
      </c>
      <c r="P23" s="2">
        <f t="shared" si="5"/>
        <v>-2.2999999999999972</v>
      </c>
      <c r="Q23">
        <v>-1.1000000000000001</v>
      </c>
    </row>
    <row r="24" spans="1:17">
      <c r="A24" t="s">
        <v>49</v>
      </c>
      <c r="B24" t="s">
        <v>17</v>
      </c>
      <c r="C24">
        <v>41</v>
      </c>
      <c r="D24">
        <v>25</v>
      </c>
      <c r="E24" s="1">
        <f t="shared" si="0"/>
        <v>0.62121212121212122</v>
      </c>
      <c r="F24" s="2">
        <v>97.3</v>
      </c>
      <c r="G24" s="2">
        <v>95.9</v>
      </c>
      <c r="H24" s="2">
        <f t="shared" si="1"/>
        <v>1.3999999999999915</v>
      </c>
      <c r="I24" s="1">
        <f t="shared" si="2"/>
        <v>0.55055221133697552</v>
      </c>
      <c r="J24" s="2">
        <v>104.5</v>
      </c>
      <c r="K24" s="2">
        <v>103.2</v>
      </c>
      <c r="L24" s="2">
        <f t="shared" si="3"/>
        <v>1.2999999999999972</v>
      </c>
      <c r="M24" s="1">
        <f t="shared" si="4"/>
        <v>7.0659909875145699E-2</v>
      </c>
      <c r="N24" s="2">
        <v>111.2</v>
      </c>
      <c r="O24" s="2">
        <v>92.3</v>
      </c>
      <c r="P24" s="2">
        <f t="shared" si="5"/>
        <v>18.900000000000006</v>
      </c>
      <c r="Q24">
        <v>-0.1</v>
      </c>
    </row>
    <row r="25" spans="1:17">
      <c r="A25" t="s">
        <v>43</v>
      </c>
      <c r="B25" t="s">
        <v>18</v>
      </c>
      <c r="C25">
        <v>44</v>
      </c>
      <c r="D25">
        <v>38</v>
      </c>
      <c r="E25" s="1">
        <f t="shared" si="0"/>
        <v>0.53658536585365857</v>
      </c>
      <c r="F25" s="2">
        <v>94.6</v>
      </c>
      <c r="G25" s="2">
        <v>95.5</v>
      </c>
      <c r="H25" s="2">
        <f t="shared" si="1"/>
        <v>-0.90000000000000568</v>
      </c>
      <c r="I25" s="1">
        <f t="shared" si="2"/>
        <v>0.46690774637254517</v>
      </c>
      <c r="J25" s="2">
        <v>103.4</v>
      </c>
      <c r="K25" s="2">
        <v>104.6</v>
      </c>
      <c r="L25" s="2">
        <f t="shared" si="3"/>
        <v>-1.1999999999999886</v>
      </c>
      <c r="M25" s="1">
        <f t="shared" si="4"/>
        <v>6.9677619481113395E-2</v>
      </c>
      <c r="N25" s="2">
        <v>106.9</v>
      </c>
      <c r="O25" s="2">
        <v>97.6</v>
      </c>
      <c r="P25" s="2">
        <f t="shared" si="5"/>
        <v>9.3000000000000114</v>
      </c>
      <c r="Q25">
        <v>0.5</v>
      </c>
    </row>
    <row r="26" spans="1:17">
      <c r="A26" t="s">
        <v>39</v>
      </c>
      <c r="B26" t="s">
        <v>21</v>
      </c>
      <c r="C26">
        <v>42</v>
      </c>
      <c r="D26">
        <v>40</v>
      </c>
      <c r="E26" s="1">
        <f t="shared" si="0"/>
        <v>0.51219512195121952</v>
      </c>
      <c r="F26" s="2">
        <v>91.4</v>
      </c>
      <c r="G26" s="2">
        <v>92.9</v>
      </c>
      <c r="H26" s="2">
        <f t="shared" si="1"/>
        <v>-1.5</v>
      </c>
      <c r="I26" s="1">
        <f t="shared" si="2"/>
        <v>0.44327172117741881</v>
      </c>
      <c r="J26" s="2">
        <v>99.9</v>
      </c>
      <c r="K26" s="2">
        <v>101.6</v>
      </c>
      <c r="L26" s="2">
        <f t="shared" si="3"/>
        <v>-1.6999999999999886</v>
      </c>
      <c r="M26" s="1">
        <f t="shared" si="4"/>
        <v>6.8923400773800714E-2</v>
      </c>
      <c r="N26" s="2">
        <v>100</v>
      </c>
      <c r="O26" s="2">
        <v>95.9</v>
      </c>
      <c r="P26" s="2">
        <f t="shared" si="5"/>
        <v>4.0999999999999943</v>
      </c>
      <c r="Q26">
        <v>-2.2000000000000002</v>
      </c>
    </row>
    <row r="27" spans="1:17">
      <c r="A27" t="s">
        <v>54</v>
      </c>
      <c r="B27" t="s">
        <v>14</v>
      </c>
      <c r="C27">
        <v>56</v>
      </c>
      <c r="D27">
        <v>26</v>
      </c>
      <c r="E27" s="1">
        <f t="shared" si="0"/>
        <v>0.68292682926829273</v>
      </c>
      <c r="F27" s="2">
        <v>103.9</v>
      </c>
      <c r="G27" s="2">
        <v>100.5</v>
      </c>
      <c r="H27" s="2">
        <f t="shared" si="1"/>
        <v>3.4000000000000057</v>
      </c>
      <c r="I27" s="1">
        <f t="shared" si="2"/>
        <v>0.61438833657997272</v>
      </c>
      <c r="J27" s="2">
        <v>106</v>
      </c>
      <c r="K27" s="2">
        <v>102.6</v>
      </c>
      <c r="L27" s="2">
        <f t="shared" si="3"/>
        <v>3.4000000000000057</v>
      </c>
      <c r="M27" s="1">
        <f t="shared" si="4"/>
        <v>6.8538492688320019E-2</v>
      </c>
      <c r="N27" s="2">
        <v>98.4</v>
      </c>
      <c r="O27" s="2">
        <v>100.3</v>
      </c>
      <c r="P27" s="2">
        <f t="shared" si="5"/>
        <v>-1.8999999999999915</v>
      </c>
      <c r="Q27">
        <v>-0.8</v>
      </c>
    </row>
    <row r="28" spans="1:17">
      <c r="A28" t="s">
        <v>41</v>
      </c>
      <c r="B28" t="s">
        <v>42</v>
      </c>
      <c r="C28">
        <v>38</v>
      </c>
      <c r="D28">
        <v>44</v>
      </c>
      <c r="E28" s="1">
        <f t="shared" si="0"/>
        <v>0.46341463414634149</v>
      </c>
      <c r="F28" s="2">
        <v>92.8</v>
      </c>
      <c r="G28" s="2">
        <v>95.6</v>
      </c>
      <c r="H28" s="2">
        <f t="shared" si="1"/>
        <v>-2.7999999999999972</v>
      </c>
      <c r="I28" s="1">
        <f t="shared" si="2"/>
        <v>0.3974344302617922</v>
      </c>
      <c r="J28" s="2">
        <v>102.3</v>
      </c>
      <c r="K28" s="2">
        <v>105.1</v>
      </c>
      <c r="L28" s="2">
        <f t="shared" si="3"/>
        <v>-2.7999999999999972</v>
      </c>
      <c r="M28" s="1">
        <f t="shared" si="4"/>
        <v>6.5980203884549282E-2</v>
      </c>
      <c r="N28" s="2">
        <v>111.7</v>
      </c>
      <c r="O28" s="2">
        <v>102</v>
      </c>
      <c r="P28" s="2">
        <f t="shared" si="5"/>
        <v>9.7000000000000028</v>
      </c>
      <c r="Q28">
        <v>-0.3</v>
      </c>
    </row>
    <row r="29" spans="1:17">
      <c r="A29" t="s">
        <v>48</v>
      </c>
      <c r="B29" t="s">
        <v>5</v>
      </c>
      <c r="C29">
        <v>44</v>
      </c>
      <c r="D29">
        <v>38</v>
      </c>
      <c r="E29" s="1">
        <f t="shared" si="0"/>
        <v>0.53658536585365857</v>
      </c>
      <c r="F29" s="2">
        <v>95</v>
      </c>
      <c r="G29" s="2">
        <v>95.8</v>
      </c>
      <c r="H29" s="2">
        <f t="shared" si="1"/>
        <v>-0.79999999999999716</v>
      </c>
      <c r="I29" s="1">
        <f t="shared" si="2"/>
        <v>0.47068338807108751</v>
      </c>
      <c r="J29" s="2">
        <v>105.1</v>
      </c>
      <c r="K29" s="2">
        <v>105.8</v>
      </c>
      <c r="L29" s="2">
        <f t="shared" si="3"/>
        <v>-0.70000000000000284</v>
      </c>
      <c r="M29" s="1">
        <f t="shared" si="4"/>
        <v>6.5901977782571064E-2</v>
      </c>
      <c r="N29" s="2">
        <v>112.6</v>
      </c>
      <c r="O29" s="2">
        <v>103.5</v>
      </c>
      <c r="P29" s="2">
        <f t="shared" si="5"/>
        <v>9.0999999999999943</v>
      </c>
      <c r="Q29">
        <v>-1.5</v>
      </c>
    </row>
    <row r="30" spans="1:17">
      <c r="A30" t="s">
        <v>47</v>
      </c>
      <c r="B30" t="s">
        <v>16</v>
      </c>
      <c r="C30">
        <v>29</v>
      </c>
      <c r="D30">
        <v>53</v>
      </c>
      <c r="E30" s="1">
        <f t="shared" si="0"/>
        <v>0.35365853658536583</v>
      </c>
      <c r="F30" s="2">
        <v>95.7</v>
      </c>
      <c r="G30" s="2">
        <v>102.1</v>
      </c>
      <c r="H30" s="2">
        <f t="shared" si="1"/>
        <v>-6.3999999999999915</v>
      </c>
      <c r="I30" s="1">
        <f t="shared" si="2"/>
        <v>0.28776126250180661</v>
      </c>
      <c r="J30" s="2">
        <v>102.3</v>
      </c>
      <c r="K30" s="2">
        <v>109.1</v>
      </c>
      <c r="L30" s="2">
        <f t="shared" si="3"/>
        <v>-6.7999999999999972</v>
      </c>
      <c r="M30" s="1">
        <f t="shared" si="4"/>
        <v>6.5897274083559221E-2</v>
      </c>
      <c r="N30" s="2">
        <v>106</v>
      </c>
      <c r="O30" s="2">
        <v>91.3</v>
      </c>
      <c r="P30" s="2">
        <f t="shared" si="5"/>
        <v>14.700000000000003</v>
      </c>
      <c r="Q30">
        <v>-2.1</v>
      </c>
    </row>
    <row r="31" spans="1:17">
      <c r="A31" t="s">
        <v>64</v>
      </c>
      <c r="B31" t="s">
        <v>17</v>
      </c>
      <c r="C31">
        <v>46</v>
      </c>
      <c r="D31">
        <v>35</v>
      </c>
      <c r="E31" s="1">
        <f t="shared" si="0"/>
        <v>0.5679012345679012</v>
      </c>
      <c r="F31" s="2">
        <v>117.9</v>
      </c>
      <c r="G31" s="2">
        <v>117.8</v>
      </c>
      <c r="H31" s="2">
        <f t="shared" si="1"/>
        <v>0.10000000000000853</v>
      </c>
      <c r="I31" s="1">
        <f t="shared" si="2"/>
        <v>0.50296984221450003</v>
      </c>
      <c r="J31" s="2">
        <v>115.2</v>
      </c>
      <c r="K31" s="2">
        <v>115.2</v>
      </c>
      <c r="L31" s="2">
        <f t="shared" si="3"/>
        <v>0</v>
      </c>
      <c r="M31" s="1">
        <f t="shared" si="4"/>
        <v>6.4931392353401174E-2</v>
      </c>
      <c r="N31" s="2">
        <v>117.6</v>
      </c>
      <c r="O31" s="2">
        <v>108.5</v>
      </c>
      <c r="P31" s="2">
        <f t="shared" si="5"/>
        <v>9.0999999999999943</v>
      </c>
      <c r="Q31">
        <v>0.1</v>
      </c>
    </row>
    <row r="32" spans="1:17">
      <c r="A32" t="s">
        <v>4</v>
      </c>
      <c r="B32" t="s">
        <v>17</v>
      </c>
      <c r="C32">
        <v>56</v>
      </c>
      <c r="D32">
        <v>26</v>
      </c>
      <c r="E32" s="1">
        <f t="shared" si="0"/>
        <v>0.68292682926829273</v>
      </c>
      <c r="F32" s="2">
        <v>100.6</v>
      </c>
      <c r="G32" s="2">
        <v>97.2</v>
      </c>
      <c r="H32" s="2">
        <f t="shared" si="1"/>
        <v>3.3999999999999915</v>
      </c>
      <c r="I32" s="1">
        <f t="shared" si="2"/>
        <v>0.61806463503344422</v>
      </c>
      <c r="J32" s="2">
        <v>107</v>
      </c>
      <c r="K32" s="2">
        <v>103.6</v>
      </c>
      <c r="L32" s="2">
        <f t="shared" si="3"/>
        <v>3.4000000000000057</v>
      </c>
      <c r="M32" s="1">
        <f t="shared" si="4"/>
        <v>6.4862194234848514E-2</v>
      </c>
      <c r="N32" s="2">
        <v>103.2</v>
      </c>
      <c r="O32" s="2">
        <v>99.2</v>
      </c>
      <c r="P32" s="2">
        <f t="shared" si="5"/>
        <v>4</v>
      </c>
      <c r="Q32">
        <v>-1</v>
      </c>
    </row>
    <row r="33" spans="1:17">
      <c r="A33" t="s">
        <v>54</v>
      </c>
      <c r="B33" t="s">
        <v>51</v>
      </c>
      <c r="C33">
        <v>38</v>
      </c>
      <c r="D33">
        <v>44</v>
      </c>
      <c r="E33" s="1">
        <f t="shared" si="0"/>
        <v>0.46341463414634149</v>
      </c>
      <c r="F33" s="2">
        <v>98</v>
      </c>
      <c r="G33" s="2">
        <v>100.9</v>
      </c>
      <c r="H33" s="2">
        <f t="shared" si="1"/>
        <v>-2.9000000000000057</v>
      </c>
      <c r="I33" s="1">
        <f t="shared" si="2"/>
        <v>0.3993259881358221</v>
      </c>
      <c r="J33" s="2">
        <v>103.4</v>
      </c>
      <c r="K33" s="2">
        <v>106.3</v>
      </c>
      <c r="L33" s="2">
        <f t="shared" si="3"/>
        <v>-2.8999999999999915</v>
      </c>
      <c r="M33" s="1">
        <f t="shared" si="4"/>
        <v>6.408864601051939E-2</v>
      </c>
      <c r="N33" s="2">
        <v>91.9</v>
      </c>
      <c r="O33" s="2">
        <v>102.5</v>
      </c>
      <c r="P33" s="2">
        <f t="shared" si="5"/>
        <v>-10.599999999999994</v>
      </c>
      <c r="Q33">
        <v>-0.2</v>
      </c>
    </row>
    <row r="34" spans="1:17">
      <c r="A34" t="s">
        <v>60</v>
      </c>
      <c r="B34" t="s">
        <v>11</v>
      </c>
      <c r="C34">
        <v>46</v>
      </c>
      <c r="D34">
        <v>27</v>
      </c>
      <c r="E34" s="1">
        <f t="shared" si="0"/>
        <v>0.63013698630136983</v>
      </c>
      <c r="F34" s="2">
        <v>111.3</v>
      </c>
      <c r="G34" s="2">
        <v>109.2</v>
      </c>
      <c r="H34" s="2">
        <f t="shared" si="1"/>
        <v>2.0999999999999943</v>
      </c>
      <c r="I34" s="1">
        <f t="shared" si="2"/>
        <v>0.56627637451040547</v>
      </c>
      <c r="J34" s="2">
        <v>112.6</v>
      </c>
      <c r="K34" s="2">
        <v>110.4</v>
      </c>
      <c r="L34" s="2">
        <f t="shared" si="3"/>
        <v>2.1999999999999886</v>
      </c>
      <c r="M34" s="1">
        <f t="shared" si="4"/>
        <v>6.3860611790964361E-2</v>
      </c>
      <c r="N34" s="2">
        <v>118.5</v>
      </c>
      <c r="O34" s="2">
        <v>102.9</v>
      </c>
      <c r="P34" s="2">
        <f t="shared" si="5"/>
        <v>15.599999999999994</v>
      </c>
      <c r="Q34">
        <v>0.3</v>
      </c>
    </row>
    <row r="35" spans="1:17">
      <c r="A35" t="s">
        <v>55</v>
      </c>
      <c r="B35" t="s">
        <v>8</v>
      </c>
      <c r="C35">
        <v>42</v>
      </c>
      <c r="D35">
        <v>40</v>
      </c>
      <c r="E35" s="1">
        <f t="shared" si="0"/>
        <v>0.51219512195121952</v>
      </c>
      <c r="F35" s="2">
        <v>101.6</v>
      </c>
      <c r="G35" s="2">
        <v>103.1</v>
      </c>
      <c r="H35" s="2">
        <f t="shared" si="1"/>
        <v>-1.5</v>
      </c>
      <c r="I35" s="1">
        <f t="shared" si="2"/>
        <v>0.44888371019614143</v>
      </c>
      <c r="J35" s="2">
        <v>104.1</v>
      </c>
      <c r="K35" s="2">
        <v>105.5</v>
      </c>
      <c r="L35" s="2">
        <f t="shared" si="3"/>
        <v>-1.4000000000000057</v>
      </c>
      <c r="M35" s="1">
        <f t="shared" si="4"/>
        <v>6.3311411755078095E-2</v>
      </c>
      <c r="N35" s="2">
        <v>95.5</v>
      </c>
      <c r="O35" s="2">
        <v>100</v>
      </c>
      <c r="P35" s="2">
        <f t="shared" si="5"/>
        <v>-4.5</v>
      </c>
      <c r="Q35">
        <v>-0.7</v>
      </c>
    </row>
    <row r="36" spans="1:17">
      <c r="A36" t="s">
        <v>41</v>
      </c>
      <c r="B36" t="s">
        <v>26</v>
      </c>
      <c r="C36">
        <v>21</v>
      </c>
      <c r="D36">
        <v>61</v>
      </c>
      <c r="E36" s="1">
        <f t="shared" si="0"/>
        <v>0.25609756097560976</v>
      </c>
      <c r="F36" s="2">
        <v>88.8</v>
      </c>
      <c r="G36" s="2">
        <v>98.3</v>
      </c>
      <c r="H36" s="2">
        <f t="shared" si="1"/>
        <v>-9.5</v>
      </c>
      <c r="I36" s="1">
        <f t="shared" si="2"/>
        <v>0.19420371450144952</v>
      </c>
      <c r="J36" s="2">
        <v>99.7</v>
      </c>
      <c r="K36" s="2">
        <v>110.3</v>
      </c>
      <c r="L36" s="2">
        <f t="shared" si="3"/>
        <v>-10.599999999999994</v>
      </c>
      <c r="M36" s="1">
        <f t="shared" si="4"/>
        <v>6.1893846474160241E-2</v>
      </c>
      <c r="N36" s="2">
        <v>89.2</v>
      </c>
      <c r="O36" s="2">
        <v>102.4</v>
      </c>
      <c r="P36" s="2">
        <f t="shared" si="5"/>
        <v>-13.200000000000003</v>
      </c>
      <c r="Q36">
        <v>-1.7</v>
      </c>
    </row>
    <row r="37" spans="1:17">
      <c r="A37" t="s">
        <v>57</v>
      </c>
      <c r="B37" t="s">
        <v>6</v>
      </c>
      <c r="C37">
        <v>53</v>
      </c>
      <c r="D37">
        <v>29</v>
      </c>
      <c r="E37" s="1">
        <f t="shared" si="0"/>
        <v>0.64634146341463417</v>
      </c>
      <c r="F37" s="2">
        <v>108</v>
      </c>
      <c r="G37" s="2">
        <v>105.4</v>
      </c>
      <c r="H37" s="2">
        <f t="shared" si="1"/>
        <v>2.5999999999999943</v>
      </c>
      <c r="I37" s="1">
        <f t="shared" si="2"/>
        <v>0.58447233985908875</v>
      </c>
      <c r="J37" s="2">
        <v>110.6</v>
      </c>
      <c r="K37" s="2">
        <v>108</v>
      </c>
      <c r="L37" s="2">
        <f t="shared" si="3"/>
        <v>2.5999999999999943</v>
      </c>
      <c r="M37" s="1">
        <f t="shared" si="4"/>
        <v>6.1869123555545413E-2</v>
      </c>
      <c r="N37" s="2">
        <v>117.9</v>
      </c>
      <c r="O37" s="2">
        <v>107.8</v>
      </c>
      <c r="P37" s="2">
        <f t="shared" si="5"/>
        <v>10.100000000000009</v>
      </c>
      <c r="Q37">
        <v>0.7</v>
      </c>
    </row>
    <row r="38" spans="1:17">
      <c r="A38" t="s">
        <v>60</v>
      </c>
      <c r="B38" t="s">
        <v>7</v>
      </c>
      <c r="C38">
        <v>23</v>
      </c>
      <c r="D38">
        <v>42</v>
      </c>
      <c r="E38" s="1">
        <f t="shared" si="0"/>
        <v>0.35384615384615387</v>
      </c>
      <c r="F38" s="2">
        <v>102.9</v>
      </c>
      <c r="G38" s="2">
        <v>109.6</v>
      </c>
      <c r="H38" s="2">
        <f t="shared" si="1"/>
        <v>-6.6999999999999886</v>
      </c>
      <c r="I38" s="1">
        <f t="shared" si="2"/>
        <v>0.29253243315718996</v>
      </c>
      <c r="J38" s="2">
        <v>105.9</v>
      </c>
      <c r="K38" s="2">
        <v>112.8</v>
      </c>
      <c r="L38" s="2">
        <f t="shared" si="3"/>
        <v>-6.8999999999999915</v>
      </c>
      <c r="M38" s="1">
        <f t="shared" si="4"/>
        <v>6.1313720688963902E-2</v>
      </c>
      <c r="N38" s="2">
        <v>120.3</v>
      </c>
      <c r="O38" s="2">
        <v>110.6</v>
      </c>
      <c r="P38" s="2">
        <f t="shared" si="5"/>
        <v>9.7000000000000028</v>
      </c>
      <c r="Q38">
        <v>-2.1</v>
      </c>
    </row>
    <row r="39" spans="1:17">
      <c r="A39" t="s">
        <v>59</v>
      </c>
      <c r="B39" t="s">
        <v>56</v>
      </c>
      <c r="C39">
        <v>48</v>
      </c>
      <c r="D39">
        <v>34</v>
      </c>
      <c r="E39" s="1">
        <f t="shared" si="0"/>
        <v>0.58536585365853655</v>
      </c>
      <c r="F39" s="2">
        <v>115.1</v>
      </c>
      <c r="G39" s="2">
        <v>114.3</v>
      </c>
      <c r="H39" s="2">
        <f t="shared" si="1"/>
        <v>0.79999999999999716</v>
      </c>
      <c r="I39" s="1">
        <f t="shared" si="2"/>
        <v>0.52439222902089777</v>
      </c>
      <c r="J39" s="2">
        <v>111.4</v>
      </c>
      <c r="K39" s="2">
        <v>110.4</v>
      </c>
      <c r="L39" s="2">
        <f t="shared" si="3"/>
        <v>1</v>
      </c>
      <c r="M39" s="1">
        <f t="shared" si="4"/>
        <v>6.0973624637638779E-2</v>
      </c>
      <c r="N39" s="2">
        <v>117.2</v>
      </c>
      <c r="O39" s="2">
        <v>98.5</v>
      </c>
      <c r="P39" s="2">
        <f t="shared" si="5"/>
        <v>18.700000000000003</v>
      </c>
      <c r="Q39">
        <v>1.2</v>
      </c>
    </row>
    <row r="40" spans="1:17">
      <c r="A40" t="s">
        <v>62</v>
      </c>
      <c r="B40" t="s">
        <v>25</v>
      </c>
      <c r="C40">
        <v>64</v>
      </c>
      <c r="D40">
        <v>18</v>
      </c>
      <c r="E40" s="1">
        <f t="shared" si="0"/>
        <v>0.78048780487804881</v>
      </c>
      <c r="F40" s="2">
        <v>114.8</v>
      </c>
      <c r="G40" s="2">
        <v>107.3</v>
      </c>
      <c r="H40" s="2">
        <f t="shared" si="1"/>
        <v>7.5</v>
      </c>
      <c r="I40" s="1">
        <f t="shared" si="2"/>
        <v>0.72028579383295666</v>
      </c>
      <c r="J40" s="2">
        <v>114.2</v>
      </c>
      <c r="K40" s="2">
        <v>106.8</v>
      </c>
      <c r="L40" s="2">
        <f t="shared" si="3"/>
        <v>7.4000000000000057</v>
      </c>
      <c r="M40" s="1">
        <f t="shared" si="4"/>
        <v>6.0202011045092152E-2</v>
      </c>
      <c r="N40" s="2">
        <v>131.5</v>
      </c>
      <c r="O40" s="2">
        <v>98.1</v>
      </c>
      <c r="P40" s="2">
        <f t="shared" si="5"/>
        <v>33.400000000000006</v>
      </c>
      <c r="Q40">
        <v>2.7</v>
      </c>
    </row>
    <row r="41" spans="1:17">
      <c r="A41" t="s">
        <v>61</v>
      </c>
      <c r="B41" t="s">
        <v>23</v>
      </c>
      <c r="C41">
        <v>21</v>
      </c>
      <c r="D41">
        <v>51</v>
      </c>
      <c r="E41" s="1">
        <f t="shared" si="0"/>
        <v>0.29166666666666669</v>
      </c>
      <c r="F41" s="2">
        <v>104</v>
      </c>
      <c r="G41" s="2">
        <v>113.3</v>
      </c>
      <c r="H41" s="2">
        <f t="shared" si="1"/>
        <v>-9.2999999999999972</v>
      </c>
      <c r="I41" s="1">
        <f t="shared" si="2"/>
        <v>0.23163967366224553</v>
      </c>
      <c r="J41" s="2">
        <v>104.6</v>
      </c>
      <c r="K41" s="2">
        <v>113.9</v>
      </c>
      <c r="L41" s="2">
        <f t="shared" si="3"/>
        <v>-9.3000000000000114</v>
      </c>
      <c r="M41" s="1">
        <f t="shared" si="4"/>
        <v>6.0026993004421159E-2</v>
      </c>
      <c r="N41" s="2">
        <v>106.5</v>
      </c>
      <c r="O41" s="2">
        <v>105.7</v>
      </c>
      <c r="P41" s="2">
        <f t="shared" si="5"/>
        <v>0.79999999999999716</v>
      </c>
      <c r="Q41">
        <v>-1.8</v>
      </c>
    </row>
    <row r="42" spans="1:17">
      <c r="A42" t="s">
        <v>44</v>
      </c>
      <c r="B42" t="s">
        <v>9</v>
      </c>
      <c r="C42">
        <v>45</v>
      </c>
      <c r="D42">
        <v>37</v>
      </c>
      <c r="E42" s="1">
        <f t="shared" si="0"/>
        <v>0.54878048780487809</v>
      </c>
      <c r="F42" s="2">
        <v>96.4</v>
      </c>
      <c r="G42" s="2">
        <v>96.7</v>
      </c>
      <c r="H42" s="2">
        <f t="shared" si="1"/>
        <v>-0.29999999999999716</v>
      </c>
      <c r="I42" s="1">
        <f t="shared" si="2"/>
        <v>0.48912651167349064</v>
      </c>
      <c r="J42" s="2">
        <v>104.8</v>
      </c>
      <c r="K42" s="2">
        <v>105.4</v>
      </c>
      <c r="L42" s="2">
        <f t="shared" si="3"/>
        <v>-0.60000000000000853</v>
      </c>
      <c r="M42" s="1">
        <f t="shared" si="4"/>
        <v>5.9653976131387454E-2</v>
      </c>
      <c r="N42" s="2">
        <v>112.8</v>
      </c>
      <c r="O42" s="2">
        <v>90.9</v>
      </c>
      <c r="P42" s="2">
        <f t="shared" si="5"/>
        <v>21.899999999999991</v>
      </c>
      <c r="Q42">
        <v>1.9</v>
      </c>
    </row>
    <row r="43" spans="1:17">
      <c r="A43" t="s">
        <v>66</v>
      </c>
      <c r="B43" t="s">
        <v>19</v>
      </c>
      <c r="C43">
        <v>27</v>
      </c>
      <c r="D43">
        <v>35</v>
      </c>
      <c r="E43" s="1">
        <f t="shared" si="0"/>
        <v>0.43548387096774194</v>
      </c>
      <c r="F43" s="2">
        <v>111.4</v>
      </c>
      <c r="G43" s="2">
        <v>115.5</v>
      </c>
      <c r="H43" s="2">
        <f t="shared" si="1"/>
        <v>-4.0999999999999943</v>
      </c>
      <c r="I43" s="1">
        <f t="shared" si="2"/>
        <v>0.37613055154918495</v>
      </c>
      <c r="J43" s="2">
        <v>112.7</v>
      </c>
      <c r="K43" s="2">
        <v>116.7</v>
      </c>
      <c r="L43" s="2">
        <f t="shared" si="3"/>
        <v>-4</v>
      </c>
      <c r="M43" s="1">
        <f t="shared" si="4"/>
        <v>5.9353319418556982E-2</v>
      </c>
      <c r="N43" s="2">
        <v>119.7</v>
      </c>
      <c r="O43" s="2">
        <v>111.6</v>
      </c>
      <c r="P43" s="2">
        <f t="shared" si="5"/>
        <v>8.1000000000000085</v>
      </c>
      <c r="Q43" s="2">
        <v>-0.3</v>
      </c>
    </row>
    <row r="44" spans="1:17">
      <c r="A44" t="s">
        <v>39</v>
      </c>
      <c r="B44" t="s">
        <v>33</v>
      </c>
      <c r="C44">
        <v>45</v>
      </c>
      <c r="D44">
        <v>37</v>
      </c>
      <c r="E44" s="1">
        <f t="shared" si="0"/>
        <v>0.54878048780487809</v>
      </c>
      <c r="F44" s="2">
        <v>100.5</v>
      </c>
      <c r="G44" s="2">
        <v>100.8</v>
      </c>
      <c r="H44" s="2">
        <f t="shared" si="1"/>
        <v>-0.29999999999999716</v>
      </c>
      <c r="I44" s="1">
        <f t="shared" si="2"/>
        <v>0.48956931504516038</v>
      </c>
      <c r="J44" s="2">
        <v>105.4</v>
      </c>
      <c r="K44" s="2">
        <v>105.9</v>
      </c>
      <c r="L44" s="2">
        <f t="shared" si="3"/>
        <v>-0.5</v>
      </c>
      <c r="M44" s="1">
        <f t="shared" si="4"/>
        <v>5.9211172759717712E-2</v>
      </c>
      <c r="N44" s="2">
        <v>109.6</v>
      </c>
      <c r="O44" s="2">
        <v>109.9</v>
      </c>
      <c r="P44" s="2">
        <f t="shared" si="5"/>
        <v>-0.30000000000001137</v>
      </c>
      <c r="Q44">
        <v>-0.3</v>
      </c>
    </row>
    <row r="45" spans="1:17">
      <c r="A45" t="s">
        <v>38</v>
      </c>
      <c r="B45" t="s">
        <v>31</v>
      </c>
      <c r="C45">
        <v>42</v>
      </c>
      <c r="D45">
        <v>40</v>
      </c>
      <c r="E45" s="1">
        <f t="shared" si="0"/>
        <v>0.51219512195121952</v>
      </c>
      <c r="F45" s="2">
        <v>88.7</v>
      </c>
      <c r="G45" s="2">
        <v>89.9</v>
      </c>
      <c r="H45" s="2">
        <f t="shared" si="1"/>
        <v>-1.2000000000000028</v>
      </c>
      <c r="I45" s="1">
        <f t="shared" si="2"/>
        <v>0.45310505226104381</v>
      </c>
      <c r="J45" s="2">
        <v>100</v>
      </c>
      <c r="K45" s="2">
        <v>101.3</v>
      </c>
      <c r="L45" s="2">
        <f t="shared" si="3"/>
        <v>-1.2999999999999972</v>
      </c>
      <c r="M45" s="1">
        <f t="shared" si="4"/>
        <v>5.9090069690175717E-2</v>
      </c>
      <c r="N45" s="2">
        <v>108.6</v>
      </c>
      <c r="O45" s="2">
        <v>97.3</v>
      </c>
      <c r="P45" s="2">
        <f t="shared" si="5"/>
        <v>11.299999999999997</v>
      </c>
      <c r="Q45">
        <v>0.3</v>
      </c>
    </row>
    <row r="46" spans="1:17">
      <c r="A46" t="s">
        <v>57</v>
      </c>
      <c r="B46" t="s">
        <v>23</v>
      </c>
      <c r="C46">
        <v>29</v>
      </c>
      <c r="D46">
        <v>53</v>
      </c>
      <c r="E46" s="1">
        <f t="shared" si="0"/>
        <v>0.35365853658536583</v>
      </c>
      <c r="F46" s="2">
        <v>101.1</v>
      </c>
      <c r="G46" s="2">
        <v>107.6</v>
      </c>
      <c r="H46" s="2">
        <f t="shared" si="1"/>
        <v>-6.5</v>
      </c>
      <c r="I46" s="1">
        <f t="shared" si="2"/>
        <v>0.29476611175193784</v>
      </c>
      <c r="J46" s="2">
        <v>103.7</v>
      </c>
      <c r="K46" s="2">
        <v>110.3</v>
      </c>
      <c r="L46" s="2">
        <f t="shared" si="3"/>
        <v>-6.5999999999999943</v>
      </c>
      <c r="M46" s="1">
        <f t="shared" si="4"/>
        <v>5.8892424833427992E-2</v>
      </c>
      <c r="N46" s="2">
        <v>101.3</v>
      </c>
      <c r="O46" s="2">
        <v>114.2</v>
      </c>
      <c r="P46" s="2">
        <f t="shared" si="5"/>
        <v>-12.900000000000006</v>
      </c>
      <c r="Q46">
        <v>-1.8</v>
      </c>
    </row>
    <row r="47" spans="1:17">
      <c r="A47" t="s">
        <v>66</v>
      </c>
      <c r="B47" t="s">
        <v>26</v>
      </c>
      <c r="C47">
        <v>30</v>
      </c>
      <c r="D47">
        <v>34</v>
      </c>
      <c r="E47" s="1">
        <f t="shared" si="0"/>
        <v>0.46875</v>
      </c>
      <c r="F47" s="2">
        <v>115.1</v>
      </c>
      <c r="G47" s="2">
        <v>118.1</v>
      </c>
      <c r="H47" s="2">
        <f t="shared" si="1"/>
        <v>-3</v>
      </c>
      <c r="I47" s="1">
        <f t="shared" si="2"/>
        <v>0.41090493030680209</v>
      </c>
      <c r="J47" s="2">
        <v>112.4</v>
      </c>
      <c r="K47" s="2">
        <v>115.5</v>
      </c>
      <c r="L47" s="2">
        <f t="shared" si="3"/>
        <v>-3.0999999999999943</v>
      </c>
      <c r="M47" s="1">
        <f t="shared" si="4"/>
        <v>5.7845069693197915E-2</v>
      </c>
      <c r="N47" s="2">
        <v>116.5</v>
      </c>
      <c r="O47" s="2">
        <v>120</v>
      </c>
      <c r="P47" s="2">
        <f t="shared" si="5"/>
        <v>-3.5</v>
      </c>
      <c r="Q47" s="2">
        <v>-1.2</v>
      </c>
    </row>
    <row r="48" spans="1:17">
      <c r="A48" t="s">
        <v>49</v>
      </c>
      <c r="B48" t="s">
        <v>9</v>
      </c>
      <c r="C48">
        <v>21</v>
      </c>
      <c r="D48">
        <v>45</v>
      </c>
      <c r="E48" s="1">
        <f t="shared" si="0"/>
        <v>0.31818181818181818</v>
      </c>
      <c r="F48" s="2">
        <v>93</v>
      </c>
      <c r="G48" s="2">
        <v>100.2</v>
      </c>
      <c r="H48" s="2">
        <f t="shared" si="1"/>
        <v>-7.2000000000000028</v>
      </c>
      <c r="I48" s="1">
        <f t="shared" si="2"/>
        <v>0.2603862977504619</v>
      </c>
      <c r="J48" s="2">
        <v>100</v>
      </c>
      <c r="K48" s="2">
        <v>107.6</v>
      </c>
      <c r="L48" s="2">
        <f t="shared" si="3"/>
        <v>-7.5999999999999943</v>
      </c>
      <c r="M48" s="1">
        <f t="shared" si="4"/>
        <v>5.7795520431356273E-2</v>
      </c>
      <c r="N48" s="2">
        <v>103</v>
      </c>
      <c r="O48" s="2">
        <v>106</v>
      </c>
      <c r="P48" s="2">
        <f t="shared" si="5"/>
        <v>-3</v>
      </c>
      <c r="Q48">
        <v>0.3</v>
      </c>
    </row>
    <row r="49" spans="1:17">
      <c r="A49" t="s">
        <v>48</v>
      </c>
      <c r="B49" t="s">
        <v>40</v>
      </c>
      <c r="C49">
        <v>34</v>
      </c>
      <c r="D49">
        <v>48</v>
      </c>
      <c r="E49" s="1">
        <f t="shared" si="0"/>
        <v>0.41463414634146339</v>
      </c>
      <c r="F49" s="2">
        <v>93.3</v>
      </c>
      <c r="G49" s="2">
        <v>97.3</v>
      </c>
      <c r="H49" s="2">
        <f t="shared" si="1"/>
        <v>-4</v>
      </c>
      <c r="I49" s="1">
        <f t="shared" si="2"/>
        <v>0.35716175877963002</v>
      </c>
      <c r="J49" s="2">
        <v>102.8</v>
      </c>
      <c r="K49" s="2">
        <v>107</v>
      </c>
      <c r="L49" s="2">
        <f t="shared" si="3"/>
        <v>-4.2000000000000028</v>
      </c>
      <c r="M49" s="1">
        <f t="shared" si="4"/>
        <v>5.7472387561833371E-2</v>
      </c>
      <c r="N49" s="2">
        <v>105.8</v>
      </c>
      <c r="O49" s="2">
        <v>98</v>
      </c>
      <c r="P49" s="2">
        <f t="shared" si="5"/>
        <v>7.7999999999999972</v>
      </c>
      <c r="Q49">
        <v>0</v>
      </c>
    </row>
    <row r="50" spans="1:17">
      <c r="A50" t="s">
        <v>54</v>
      </c>
      <c r="B50" t="s">
        <v>35</v>
      </c>
      <c r="C50">
        <v>55</v>
      </c>
      <c r="D50">
        <v>27</v>
      </c>
      <c r="E50" s="1">
        <f t="shared" si="0"/>
        <v>0.67073170731707321</v>
      </c>
      <c r="F50" s="2">
        <v>98.3</v>
      </c>
      <c r="G50" s="2">
        <v>95.1</v>
      </c>
      <c r="H50" s="2">
        <f t="shared" si="1"/>
        <v>3.2000000000000028</v>
      </c>
      <c r="I50" s="1">
        <f t="shared" si="2"/>
        <v>0.61380403794976324</v>
      </c>
      <c r="J50" s="2">
        <v>104.8</v>
      </c>
      <c r="K50" s="2">
        <v>101.2</v>
      </c>
      <c r="L50" s="2">
        <f t="shared" si="3"/>
        <v>3.5999999999999943</v>
      </c>
      <c r="M50" s="1">
        <f t="shared" si="4"/>
        <v>5.6927669367309974E-2</v>
      </c>
      <c r="N50" s="2">
        <v>108.7</v>
      </c>
      <c r="O50" s="2">
        <v>95.2</v>
      </c>
      <c r="P50" s="2">
        <f t="shared" si="5"/>
        <v>13.5</v>
      </c>
      <c r="Q50">
        <v>0.3</v>
      </c>
    </row>
    <row r="51" spans="1:17">
      <c r="A51" t="s">
        <v>47</v>
      </c>
      <c r="B51" t="s">
        <v>8</v>
      </c>
      <c r="C51">
        <v>41</v>
      </c>
      <c r="D51">
        <v>41</v>
      </c>
      <c r="E51" s="1">
        <f t="shared" si="0"/>
        <v>0.5</v>
      </c>
      <c r="F51" s="2">
        <v>97.5</v>
      </c>
      <c r="G51" s="2">
        <v>99.1</v>
      </c>
      <c r="H51" s="2">
        <f t="shared" si="1"/>
        <v>-1.5999999999999943</v>
      </c>
      <c r="I51" s="1">
        <f t="shared" si="2"/>
        <v>0.44327553553702231</v>
      </c>
      <c r="J51" s="2">
        <v>102.6</v>
      </c>
      <c r="K51" s="2">
        <v>104.2</v>
      </c>
      <c r="L51" s="2">
        <f t="shared" si="3"/>
        <v>-1.6000000000000085</v>
      </c>
      <c r="M51" s="1">
        <f t="shared" si="4"/>
        <v>5.6724464462977686E-2</v>
      </c>
      <c r="N51" s="2">
        <v>97.2</v>
      </c>
      <c r="O51" s="2">
        <v>98</v>
      </c>
      <c r="P51" s="2">
        <f t="shared" si="5"/>
        <v>-0.79999999999999716</v>
      </c>
      <c r="Q51">
        <v>-0.3</v>
      </c>
    </row>
    <row r="52" spans="1:17">
      <c r="A52" t="s">
        <v>60</v>
      </c>
      <c r="B52" t="s">
        <v>17</v>
      </c>
      <c r="C52">
        <v>52</v>
      </c>
      <c r="D52">
        <v>19</v>
      </c>
      <c r="E52" s="1">
        <f t="shared" si="0"/>
        <v>0.73239436619718312</v>
      </c>
      <c r="F52" s="2">
        <v>113.4</v>
      </c>
      <c r="G52" s="2">
        <v>107.6</v>
      </c>
      <c r="H52" s="2">
        <f t="shared" si="1"/>
        <v>5.8000000000000114</v>
      </c>
      <c r="I52" s="1">
        <f t="shared" si="2"/>
        <v>0.6759038081055907</v>
      </c>
      <c r="J52" s="2">
        <v>111.7</v>
      </c>
      <c r="K52" s="2">
        <v>106.1</v>
      </c>
      <c r="L52" s="2">
        <f t="shared" si="3"/>
        <v>5.6000000000000085</v>
      </c>
      <c r="M52" s="1">
        <f t="shared" si="4"/>
        <v>5.6490558091592424E-2</v>
      </c>
      <c r="N52" s="2">
        <v>107.4</v>
      </c>
      <c r="O52" s="2">
        <v>101.7</v>
      </c>
      <c r="P52" s="2">
        <f t="shared" si="5"/>
        <v>5.7000000000000028</v>
      </c>
      <c r="Q52">
        <v>1.7</v>
      </c>
    </row>
    <row r="53" spans="1:17">
      <c r="A53" t="s">
        <v>34</v>
      </c>
      <c r="B53" t="s">
        <v>10</v>
      </c>
      <c r="C53">
        <v>57</v>
      </c>
      <c r="D53">
        <v>25</v>
      </c>
      <c r="E53" s="1">
        <f t="shared" si="0"/>
        <v>0.69512195121951215</v>
      </c>
      <c r="F53" s="2">
        <v>105.2</v>
      </c>
      <c r="G53" s="2">
        <v>101</v>
      </c>
      <c r="H53" s="2">
        <f t="shared" si="1"/>
        <v>4.2000000000000028</v>
      </c>
      <c r="I53" s="1">
        <f t="shared" si="2"/>
        <v>0.63885522994426547</v>
      </c>
      <c r="J53" s="2">
        <v>110.3</v>
      </c>
      <c r="K53" s="2">
        <v>106</v>
      </c>
      <c r="L53" s="2">
        <f t="shared" si="3"/>
        <v>4.2999999999999972</v>
      </c>
      <c r="M53" s="1">
        <f t="shared" si="4"/>
        <v>5.6266721275246678E-2</v>
      </c>
      <c r="N53" s="2">
        <v>115.5</v>
      </c>
      <c r="O53" s="2">
        <v>107.2</v>
      </c>
      <c r="P53" s="2">
        <f t="shared" si="5"/>
        <v>8.2999999999999972</v>
      </c>
      <c r="Q53">
        <v>1.5</v>
      </c>
    </row>
    <row r="54" spans="1:17">
      <c r="A54" t="s">
        <v>61</v>
      </c>
      <c r="B54" t="s">
        <v>9</v>
      </c>
      <c r="C54">
        <v>22</v>
      </c>
      <c r="D54">
        <v>50</v>
      </c>
      <c r="E54" s="1">
        <f t="shared" si="0"/>
        <v>0.30555555555555558</v>
      </c>
      <c r="F54" s="2">
        <v>103.8</v>
      </c>
      <c r="G54" s="2">
        <v>112.3</v>
      </c>
      <c r="H54" s="2">
        <f t="shared" si="1"/>
        <v>-8.5</v>
      </c>
      <c r="I54" s="1">
        <f t="shared" si="2"/>
        <v>0.24938210026428717</v>
      </c>
      <c r="J54" s="2">
        <v>105.2</v>
      </c>
      <c r="K54" s="2">
        <v>113.5</v>
      </c>
      <c r="L54" s="2">
        <f t="shared" si="3"/>
        <v>-8.2999999999999972</v>
      </c>
      <c r="M54" s="1">
        <f t="shared" si="4"/>
        <v>5.6173455291268409E-2</v>
      </c>
      <c r="N54" s="2">
        <v>99.1</v>
      </c>
      <c r="O54" s="2">
        <v>106.4</v>
      </c>
      <c r="P54" s="2">
        <f t="shared" si="5"/>
        <v>-7.3000000000000114</v>
      </c>
      <c r="Q54">
        <v>-1.5</v>
      </c>
    </row>
    <row r="55" spans="1:17">
      <c r="A55" t="s">
        <v>48</v>
      </c>
      <c r="B55" t="s">
        <v>28</v>
      </c>
      <c r="C55">
        <v>61</v>
      </c>
      <c r="D55">
        <v>21</v>
      </c>
      <c r="E55" s="1">
        <f t="shared" si="0"/>
        <v>0.74390243902439024</v>
      </c>
      <c r="F55" s="2">
        <v>103.7</v>
      </c>
      <c r="G55" s="2">
        <v>98</v>
      </c>
      <c r="H55" s="2">
        <f t="shared" si="1"/>
        <v>5.7000000000000028</v>
      </c>
      <c r="I55" s="1">
        <f t="shared" si="2"/>
        <v>0.68815008100174779</v>
      </c>
      <c r="J55" s="2">
        <v>110.5</v>
      </c>
      <c r="K55" s="2">
        <v>104.4</v>
      </c>
      <c r="L55" s="2">
        <f t="shared" si="3"/>
        <v>6.0999999999999943</v>
      </c>
      <c r="M55" s="1">
        <f t="shared" si="4"/>
        <v>5.5752358022642445E-2</v>
      </c>
      <c r="N55" s="2">
        <v>100.7</v>
      </c>
      <c r="O55" s="2">
        <v>93.1</v>
      </c>
      <c r="P55" s="2">
        <f t="shared" si="5"/>
        <v>7.6000000000000085</v>
      </c>
      <c r="Q55">
        <v>0.9</v>
      </c>
    </row>
    <row r="56" spans="1:17">
      <c r="A56" t="s">
        <v>60</v>
      </c>
      <c r="B56" t="s">
        <v>15</v>
      </c>
      <c r="C56">
        <v>45</v>
      </c>
      <c r="D56">
        <v>28</v>
      </c>
      <c r="E56" s="1">
        <f t="shared" si="0"/>
        <v>0.61643835616438358</v>
      </c>
      <c r="F56" s="2">
        <v>109.4</v>
      </c>
      <c r="G56" s="2">
        <v>107.5</v>
      </c>
      <c r="H56" s="2">
        <f t="shared" si="1"/>
        <v>1.9000000000000057</v>
      </c>
      <c r="I56" s="1">
        <f t="shared" si="2"/>
        <v>0.56101455538977274</v>
      </c>
      <c r="J56" s="2">
        <v>109.5</v>
      </c>
      <c r="K56" s="2">
        <v>107.5</v>
      </c>
      <c r="L56" s="2">
        <f t="shared" si="3"/>
        <v>2</v>
      </c>
      <c r="M56" s="1">
        <f t="shared" si="4"/>
        <v>5.5423800774610843E-2</v>
      </c>
      <c r="N56" s="2">
        <v>107</v>
      </c>
      <c r="O56" s="2">
        <v>97.2</v>
      </c>
      <c r="P56" s="2">
        <f t="shared" si="5"/>
        <v>9.7999999999999972</v>
      </c>
      <c r="Q56">
        <v>-0.8</v>
      </c>
    </row>
    <row r="57" spans="1:17">
      <c r="A57" t="s">
        <v>45</v>
      </c>
      <c r="B57" t="s">
        <v>17</v>
      </c>
      <c r="C57">
        <v>65</v>
      </c>
      <c r="D57">
        <v>17</v>
      </c>
      <c r="E57" s="1">
        <f t="shared" si="0"/>
        <v>0.79268292682926833</v>
      </c>
      <c r="F57" s="2">
        <v>106.9</v>
      </c>
      <c r="G57" s="2">
        <v>99.3</v>
      </c>
      <c r="H57" s="2">
        <f t="shared" si="1"/>
        <v>7.6000000000000085</v>
      </c>
      <c r="I57" s="1">
        <f t="shared" si="2"/>
        <v>0.73739553340542874</v>
      </c>
      <c r="J57" s="2">
        <v>111.4</v>
      </c>
      <c r="K57" s="2">
        <v>103.5</v>
      </c>
      <c r="L57" s="2">
        <f t="shared" si="3"/>
        <v>7.9000000000000057</v>
      </c>
      <c r="M57" s="1">
        <f t="shared" si="4"/>
        <v>5.5287393423839593E-2</v>
      </c>
      <c r="N57" s="2">
        <v>122.7</v>
      </c>
      <c r="O57" s="2">
        <v>104.4</v>
      </c>
      <c r="P57" s="2">
        <f t="shared" si="5"/>
        <v>18.299999999999997</v>
      </c>
      <c r="Q57">
        <v>1.2</v>
      </c>
    </row>
    <row r="58" spans="1:17">
      <c r="A58" t="s">
        <v>52</v>
      </c>
      <c r="B58" t="s">
        <v>35</v>
      </c>
      <c r="C58">
        <v>50</v>
      </c>
      <c r="D58">
        <v>32</v>
      </c>
      <c r="E58" s="1">
        <f t="shared" si="0"/>
        <v>0.6097560975609756</v>
      </c>
      <c r="F58" s="2">
        <v>96.1</v>
      </c>
      <c r="G58" s="2">
        <v>94.6</v>
      </c>
      <c r="H58" s="2">
        <f t="shared" si="1"/>
        <v>1.5</v>
      </c>
      <c r="I58" s="1">
        <f t="shared" si="2"/>
        <v>0.554839936539687</v>
      </c>
      <c r="J58" s="2">
        <v>105.5</v>
      </c>
      <c r="K58" s="2">
        <v>103.8</v>
      </c>
      <c r="L58" s="2">
        <f t="shared" si="3"/>
        <v>1.7000000000000028</v>
      </c>
      <c r="M58" s="1">
        <f t="shared" si="4"/>
        <v>5.4916161021288601E-2</v>
      </c>
      <c r="N58" s="2">
        <v>108.7</v>
      </c>
      <c r="O58" s="2">
        <v>82</v>
      </c>
      <c r="P58" s="2">
        <f t="shared" si="5"/>
        <v>26.700000000000003</v>
      </c>
      <c r="Q58">
        <v>1.1000000000000001</v>
      </c>
    </row>
    <row r="59" spans="1:17">
      <c r="A59" t="s">
        <v>34</v>
      </c>
      <c r="B59" t="s">
        <v>5</v>
      </c>
      <c r="C59">
        <v>33</v>
      </c>
      <c r="D59">
        <v>49</v>
      </c>
      <c r="E59" s="1">
        <f t="shared" si="0"/>
        <v>0.40243902439024393</v>
      </c>
      <c r="F59" s="2">
        <v>94</v>
      </c>
      <c r="G59" s="2">
        <v>98.3</v>
      </c>
      <c r="H59" s="2">
        <f t="shared" si="1"/>
        <v>-4.2999999999999972</v>
      </c>
      <c r="I59" s="1">
        <f t="shared" si="2"/>
        <v>0.34837053448478683</v>
      </c>
      <c r="J59" s="2">
        <v>100.4</v>
      </c>
      <c r="K59" s="2">
        <v>104.8</v>
      </c>
      <c r="L59" s="2">
        <f t="shared" si="3"/>
        <v>-4.3999999999999915</v>
      </c>
      <c r="M59" s="1">
        <f t="shared" si="4"/>
        <v>5.4068489905457096E-2</v>
      </c>
      <c r="N59" s="2">
        <v>95.5</v>
      </c>
      <c r="O59" s="2">
        <v>100.6</v>
      </c>
      <c r="P59" s="2">
        <f t="shared" si="5"/>
        <v>-5.0999999999999943</v>
      </c>
      <c r="Q59">
        <v>-1.2</v>
      </c>
    </row>
    <row r="60" spans="1:17">
      <c r="A60" t="s">
        <v>39</v>
      </c>
      <c r="B60" t="s">
        <v>29</v>
      </c>
      <c r="C60">
        <v>52</v>
      </c>
      <c r="D60">
        <v>30</v>
      </c>
      <c r="E60" s="1">
        <f t="shared" si="0"/>
        <v>0.63414634146341464</v>
      </c>
      <c r="F60" s="2">
        <v>98.9</v>
      </c>
      <c r="G60" s="2">
        <v>96.6</v>
      </c>
      <c r="H60" s="2">
        <f t="shared" si="1"/>
        <v>2.3000000000000114</v>
      </c>
      <c r="I60" s="1">
        <f t="shared" si="2"/>
        <v>0.58161994176434872</v>
      </c>
      <c r="J60" s="2">
        <v>110.3</v>
      </c>
      <c r="K60" s="2">
        <v>108</v>
      </c>
      <c r="L60" s="2">
        <f t="shared" si="3"/>
        <v>2.2999999999999972</v>
      </c>
      <c r="M60" s="1">
        <f t="shared" si="4"/>
        <v>5.2526399699065918E-2</v>
      </c>
      <c r="N60" s="2">
        <v>119.7</v>
      </c>
      <c r="O60" s="2">
        <v>105.3</v>
      </c>
      <c r="P60" s="2">
        <f t="shared" si="5"/>
        <v>14.400000000000006</v>
      </c>
      <c r="Q60">
        <v>1.5</v>
      </c>
    </row>
    <row r="61" spans="1:17">
      <c r="A61" t="s">
        <v>39</v>
      </c>
      <c r="B61" t="s">
        <v>24</v>
      </c>
      <c r="C61">
        <v>43</v>
      </c>
      <c r="D61">
        <v>39</v>
      </c>
      <c r="E61" s="1">
        <f t="shared" si="0"/>
        <v>0.52439024390243905</v>
      </c>
      <c r="F61" s="2">
        <v>99.1</v>
      </c>
      <c r="G61" s="2">
        <v>99.9</v>
      </c>
      <c r="H61" s="2">
        <f t="shared" si="1"/>
        <v>-0.80000000000001137</v>
      </c>
      <c r="I61" s="1">
        <f t="shared" si="2"/>
        <v>0.47188882056574427</v>
      </c>
      <c r="J61" s="2">
        <v>101.8</v>
      </c>
      <c r="K61" s="2">
        <v>102.5</v>
      </c>
      <c r="L61" s="2">
        <f t="shared" si="3"/>
        <v>-0.70000000000000284</v>
      </c>
      <c r="M61" s="1">
        <f t="shared" si="4"/>
        <v>5.2501423336694775E-2</v>
      </c>
      <c r="N61" s="2">
        <v>95.8</v>
      </c>
      <c r="O61" s="2">
        <v>94.9</v>
      </c>
      <c r="P61" s="2">
        <f t="shared" si="5"/>
        <v>0.89999999999999147</v>
      </c>
      <c r="Q61">
        <v>-0.7</v>
      </c>
    </row>
    <row r="62" spans="1:17">
      <c r="A62" t="s">
        <v>61</v>
      </c>
      <c r="B62" t="s">
        <v>18</v>
      </c>
      <c r="C62">
        <v>40</v>
      </c>
      <c r="D62">
        <v>32</v>
      </c>
      <c r="E62" s="1">
        <f t="shared" si="0"/>
        <v>0.55555555555555558</v>
      </c>
      <c r="F62" s="2">
        <v>108.1</v>
      </c>
      <c r="G62" s="2">
        <v>108</v>
      </c>
      <c r="H62" s="2">
        <f t="shared" si="1"/>
        <v>9.9999999999994316E-2</v>
      </c>
      <c r="I62" s="1">
        <f t="shared" si="2"/>
        <v>0.50323919600627853</v>
      </c>
      <c r="J62" s="2">
        <v>110.6</v>
      </c>
      <c r="K62" s="2">
        <v>110.7</v>
      </c>
      <c r="L62" s="2">
        <f t="shared" si="3"/>
        <v>-0.10000000000000853</v>
      </c>
      <c r="M62" s="1">
        <f t="shared" si="4"/>
        <v>5.2316359549277047E-2</v>
      </c>
      <c r="N62" s="2">
        <v>95.1</v>
      </c>
      <c r="O62" s="2">
        <v>102.1</v>
      </c>
      <c r="P62" s="2">
        <f t="shared" si="5"/>
        <v>-7</v>
      </c>
      <c r="Q62">
        <v>-1.1000000000000001</v>
      </c>
    </row>
    <row r="63" spans="1:17">
      <c r="A63" t="s">
        <v>58</v>
      </c>
      <c r="B63" t="s">
        <v>27</v>
      </c>
      <c r="C63">
        <v>27</v>
      </c>
      <c r="D63">
        <v>55</v>
      </c>
      <c r="E63" s="1">
        <f t="shared" si="0"/>
        <v>0.32926829268292684</v>
      </c>
      <c r="F63" s="2">
        <v>98.8</v>
      </c>
      <c r="G63" s="2">
        <v>105.8</v>
      </c>
      <c r="H63" s="2">
        <f t="shared" si="1"/>
        <v>-7</v>
      </c>
      <c r="I63" s="1">
        <f t="shared" si="2"/>
        <v>0.27721051622974674</v>
      </c>
      <c r="J63" s="2">
        <v>103.1</v>
      </c>
      <c r="K63" s="2">
        <v>110.4</v>
      </c>
      <c r="L63" s="2">
        <f t="shared" si="3"/>
        <v>-7.3000000000000114</v>
      </c>
      <c r="M63" s="1">
        <f t="shared" si="4"/>
        <v>5.2057776453180105E-2</v>
      </c>
      <c r="N63" s="2">
        <v>105.8</v>
      </c>
      <c r="O63" s="2">
        <v>103.2</v>
      </c>
      <c r="P63" s="2">
        <f t="shared" si="5"/>
        <v>2.5999999999999943</v>
      </c>
      <c r="Q63">
        <v>-0.9</v>
      </c>
    </row>
    <row r="64" spans="1:17">
      <c r="A64" t="s">
        <v>36</v>
      </c>
      <c r="B64" t="s">
        <v>5</v>
      </c>
      <c r="C64">
        <v>35</v>
      </c>
      <c r="D64">
        <v>47</v>
      </c>
      <c r="E64" s="1">
        <f t="shared" si="0"/>
        <v>0.42682926829268292</v>
      </c>
      <c r="F64" s="2">
        <v>94.1</v>
      </c>
      <c r="G64" s="2">
        <v>97.6</v>
      </c>
      <c r="H64" s="2">
        <f t="shared" si="1"/>
        <v>-3.5</v>
      </c>
      <c r="I64" s="1">
        <f t="shared" si="2"/>
        <v>0.37489532651227531</v>
      </c>
      <c r="J64" s="2">
        <v>100.4</v>
      </c>
      <c r="K64" s="2">
        <v>104.2</v>
      </c>
      <c r="L64" s="2">
        <f t="shared" si="3"/>
        <v>-3.7999999999999972</v>
      </c>
      <c r="M64" s="1">
        <f t="shared" si="4"/>
        <v>5.1933941780407611E-2</v>
      </c>
      <c r="N64" s="2">
        <v>102</v>
      </c>
      <c r="O64" s="2">
        <v>97.1</v>
      </c>
      <c r="P64" s="2">
        <f t="shared" si="5"/>
        <v>4.9000000000000057</v>
      </c>
      <c r="Q64">
        <v>-2</v>
      </c>
    </row>
    <row r="65" spans="1:17">
      <c r="A65" t="s">
        <v>41</v>
      </c>
      <c r="B65" t="s">
        <v>12</v>
      </c>
      <c r="C65">
        <v>64</v>
      </c>
      <c r="D65">
        <v>18</v>
      </c>
      <c r="E65" s="1">
        <f t="shared" si="0"/>
        <v>0.78048780487804881</v>
      </c>
      <c r="F65" s="2">
        <v>96.8</v>
      </c>
      <c r="G65" s="2">
        <v>90.2</v>
      </c>
      <c r="H65" s="2">
        <f t="shared" si="1"/>
        <v>6.5999999999999943</v>
      </c>
      <c r="I65" s="1">
        <f t="shared" si="2"/>
        <v>0.72882038739462951</v>
      </c>
      <c r="J65" s="2">
        <v>109.3</v>
      </c>
      <c r="K65" s="2">
        <v>101.7</v>
      </c>
      <c r="L65" s="2">
        <f t="shared" si="3"/>
        <v>7.5999999999999943</v>
      </c>
      <c r="M65" s="1">
        <f t="shared" si="4"/>
        <v>5.1667417483419298E-2</v>
      </c>
      <c r="N65" s="2">
        <v>111.5</v>
      </c>
      <c r="O65" s="2">
        <v>100.3</v>
      </c>
      <c r="P65" s="2">
        <f t="shared" si="5"/>
        <v>11.200000000000003</v>
      </c>
      <c r="Q65">
        <v>0.2</v>
      </c>
    </row>
    <row r="66" spans="1:17">
      <c r="A66" t="s">
        <v>36</v>
      </c>
      <c r="B66" t="s">
        <v>6</v>
      </c>
      <c r="C66">
        <v>44</v>
      </c>
      <c r="D66">
        <v>38</v>
      </c>
      <c r="E66" s="1">
        <f t="shared" si="0"/>
        <v>0.53658536585365857</v>
      </c>
      <c r="F66" s="2">
        <v>92.7</v>
      </c>
      <c r="G66" s="2">
        <v>93.1</v>
      </c>
      <c r="H66" s="2">
        <f t="shared" si="1"/>
        <v>-0.39999999999999147</v>
      </c>
      <c r="I66" s="1">
        <f t="shared" si="2"/>
        <v>0.48493457063949058</v>
      </c>
      <c r="J66" s="2">
        <v>100</v>
      </c>
      <c r="K66" s="2">
        <v>100.5</v>
      </c>
      <c r="L66" s="2">
        <f t="shared" si="3"/>
        <v>-0.5</v>
      </c>
      <c r="M66" s="1">
        <f t="shared" si="4"/>
        <v>5.1650795214167988E-2</v>
      </c>
      <c r="N66" s="2">
        <v>93.4</v>
      </c>
      <c r="O66" s="2">
        <v>90.4</v>
      </c>
      <c r="P66" s="2">
        <f t="shared" si="5"/>
        <v>3</v>
      </c>
      <c r="Q66">
        <v>0</v>
      </c>
    </row>
    <row r="67" spans="1:17">
      <c r="A67" t="s">
        <v>49</v>
      </c>
      <c r="B67" t="s">
        <v>12</v>
      </c>
      <c r="C67">
        <v>25</v>
      </c>
      <c r="D67">
        <v>41</v>
      </c>
      <c r="E67" s="1">
        <f t="shared" si="0"/>
        <v>0.37878787878787878</v>
      </c>
      <c r="F67" s="2">
        <v>90.9</v>
      </c>
      <c r="G67" s="2">
        <v>95.7</v>
      </c>
      <c r="H67" s="2">
        <f t="shared" si="1"/>
        <v>-4.7999999999999972</v>
      </c>
      <c r="I67" s="1">
        <f t="shared" si="2"/>
        <v>0.32730134783785092</v>
      </c>
      <c r="J67" s="2">
        <v>100</v>
      </c>
      <c r="K67" s="2">
        <v>105</v>
      </c>
      <c r="L67" s="2">
        <f t="shared" si="3"/>
        <v>-5</v>
      </c>
      <c r="M67" s="1">
        <f t="shared" si="4"/>
        <v>5.1486530950027865E-2</v>
      </c>
      <c r="N67" s="2">
        <v>95.9</v>
      </c>
      <c r="O67" s="2">
        <v>104.7</v>
      </c>
      <c r="P67" s="2">
        <f t="shared" si="5"/>
        <v>-8.7999999999999972</v>
      </c>
      <c r="Q67">
        <v>-2.2999999999999998</v>
      </c>
    </row>
    <row r="68" spans="1:17">
      <c r="A68" t="s">
        <v>57</v>
      </c>
      <c r="B68" t="s">
        <v>5</v>
      </c>
      <c r="C68">
        <v>43</v>
      </c>
      <c r="D68">
        <v>39</v>
      </c>
      <c r="E68" s="1">
        <f t="shared" si="0"/>
        <v>0.52439024390243905</v>
      </c>
      <c r="F68" s="2">
        <v>103.2</v>
      </c>
      <c r="G68" s="2">
        <v>104</v>
      </c>
      <c r="H68" s="2">
        <f t="shared" si="1"/>
        <v>-0.79999999999999716</v>
      </c>
      <c r="I68" s="1">
        <f t="shared" si="2"/>
        <v>0.47299913122451137</v>
      </c>
      <c r="J68" s="2">
        <v>104.5</v>
      </c>
      <c r="K68" s="2">
        <v>105.2</v>
      </c>
      <c r="L68" s="2">
        <f t="shared" si="3"/>
        <v>-0.70000000000000284</v>
      </c>
      <c r="M68" s="1">
        <f t="shared" si="4"/>
        <v>5.1391112677927675E-2</v>
      </c>
      <c r="N68" s="2">
        <v>109.8</v>
      </c>
      <c r="O68" s="2">
        <v>95.7</v>
      </c>
      <c r="P68" s="2">
        <f t="shared" si="5"/>
        <v>14.099999999999994</v>
      </c>
      <c r="Q68">
        <v>0.6</v>
      </c>
    </row>
    <row r="69" spans="1:17">
      <c r="A69" t="s">
        <v>50</v>
      </c>
      <c r="B69" t="s">
        <v>18</v>
      </c>
      <c r="C69">
        <v>66</v>
      </c>
      <c r="D69">
        <v>16</v>
      </c>
      <c r="E69" s="1">
        <f t="shared" si="0"/>
        <v>0.80487804878048785</v>
      </c>
      <c r="F69" s="2">
        <v>102.9</v>
      </c>
      <c r="G69" s="2">
        <v>95</v>
      </c>
      <c r="H69" s="2">
        <f t="shared" si="1"/>
        <v>7.9000000000000057</v>
      </c>
      <c r="I69" s="1">
        <f t="shared" si="2"/>
        <v>0.75367891326640968</v>
      </c>
      <c r="J69" s="2">
        <v>111.4</v>
      </c>
      <c r="K69" s="2">
        <v>103.2</v>
      </c>
      <c r="L69" s="2">
        <f t="shared" si="3"/>
        <v>8.2000000000000028</v>
      </c>
      <c r="M69" s="1">
        <f t="shared" si="4"/>
        <v>5.1199135514078176E-2</v>
      </c>
      <c r="N69" s="2">
        <v>117.7</v>
      </c>
      <c r="O69" s="2">
        <v>84.5</v>
      </c>
      <c r="P69" s="2">
        <f t="shared" si="5"/>
        <v>33.200000000000003</v>
      </c>
      <c r="Q69">
        <v>2.1</v>
      </c>
    </row>
    <row r="70" spans="1:17">
      <c r="A70" t="s">
        <v>54</v>
      </c>
      <c r="B70" t="s">
        <v>5</v>
      </c>
      <c r="C70">
        <v>60</v>
      </c>
      <c r="D70">
        <v>22</v>
      </c>
      <c r="E70" s="1">
        <f t="shared" si="0"/>
        <v>0.73170731707317072</v>
      </c>
      <c r="F70" s="2">
        <v>102.5</v>
      </c>
      <c r="G70" s="2">
        <v>97.1</v>
      </c>
      <c r="H70" s="2">
        <f t="shared" si="1"/>
        <v>5.4000000000000057</v>
      </c>
      <c r="I70" s="1">
        <f t="shared" si="2"/>
        <v>0.68085415464788723</v>
      </c>
      <c r="J70" s="2">
        <v>108.2</v>
      </c>
      <c r="K70" s="2">
        <v>102.3</v>
      </c>
      <c r="L70" s="2">
        <f t="shared" si="3"/>
        <v>5.9000000000000057</v>
      </c>
      <c r="M70" s="1">
        <f t="shared" si="4"/>
        <v>5.0853162425283482E-2</v>
      </c>
      <c r="N70" s="2">
        <v>112.1</v>
      </c>
      <c r="O70" s="2">
        <v>91.3</v>
      </c>
      <c r="P70" s="2">
        <f t="shared" si="5"/>
        <v>20.799999999999997</v>
      </c>
      <c r="Q70">
        <v>1.2</v>
      </c>
    </row>
    <row r="71" spans="1:17">
      <c r="A71" t="s">
        <v>58</v>
      </c>
      <c r="B71" t="s">
        <v>6</v>
      </c>
      <c r="C71">
        <v>55</v>
      </c>
      <c r="D71">
        <v>27</v>
      </c>
      <c r="E71" s="1">
        <f t="shared" si="0"/>
        <v>0.67073170731707321</v>
      </c>
      <c r="F71" s="2">
        <v>104</v>
      </c>
      <c r="G71" s="2">
        <v>100.4</v>
      </c>
      <c r="H71" s="2">
        <f t="shared" si="1"/>
        <v>3.5999999999999943</v>
      </c>
      <c r="I71" s="1">
        <f t="shared" si="2"/>
        <v>0.62086037726466381</v>
      </c>
      <c r="J71" s="2">
        <v>106.8</v>
      </c>
      <c r="K71" s="2">
        <v>103.2</v>
      </c>
      <c r="L71" s="2">
        <f t="shared" si="3"/>
        <v>3.5999999999999943</v>
      </c>
      <c r="M71" s="1">
        <f t="shared" si="4"/>
        <v>4.9871330052409402E-2</v>
      </c>
      <c r="N71" s="2">
        <v>109.6</v>
      </c>
      <c r="O71" s="2">
        <v>108.6</v>
      </c>
      <c r="P71" s="2">
        <f t="shared" si="5"/>
        <v>1</v>
      </c>
      <c r="Q71">
        <v>0.8</v>
      </c>
    </row>
    <row r="72" spans="1:17">
      <c r="A72" t="s">
        <v>38</v>
      </c>
      <c r="B72" t="s">
        <v>26</v>
      </c>
      <c r="C72">
        <v>41</v>
      </c>
      <c r="D72">
        <v>41</v>
      </c>
      <c r="E72" s="1">
        <f t="shared" si="0"/>
        <v>0.5</v>
      </c>
      <c r="F72" s="2">
        <v>90.7</v>
      </c>
      <c r="G72" s="2">
        <v>92</v>
      </c>
      <c r="H72" s="2">
        <f t="shared" si="1"/>
        <v>-1.2999999999999972</v>
      </c>
      <c r="I72" s="1">
        <f t="shared" si="2"/>
        <v>0.45035484545137711</v>
      </c>
      <c r="J72" s="2">
        <v>102.1</v>
      </c>
      <c r="K72" s="2">
        <v>103.5</v>
      </c>
      <c r="L72" s="2">
        <f t="shared" si="3"/>
        <v>-1.4000000000000057</v>
      </c>
      <c r="M72" s="1">
        <f t="shared" si="4"/>
        <v>4.9645154548622894E-2</v>
      </c>
      <c r="N72" s="2">
        <v>101.4</v>
      </c>
      <c r="O72" s="2">
        <v>98.8</v>
      </c>
      <c r="P72" s="2">
        <f t="shared" si="5"/>
        <v>2.6000000000000085</v>
      </c>
      <c r="Q72">
        <v>-1.1000000000000001</v>
      </c>
    </row>
    <row r="73" spans="1:17">
      <c r="A73" t="s">
        <v>48</v>
      </c>
      <c r="B73" t="s">
        <v>10</v>
      </c>
      <c r="C73">
        <v>57</v>
      </c>
      <c r="D73">
        <v>25</v>
      </c>
      <c r="E73" s="1">
        <f t="shared" ref="E73:E136" si="6">+C73/(C73+D73)</f>
        <v>0.69512195121951215</v>
      </c>
      <c r="F73" s="2">
        <v>100.2</v>
      </c>
      <c r="G73" s="2">
        <v>96</v>
      </c>
      <c r="H73" s="2">
        <f t="shared" ref="H73:H136" si="7">+F73-G73</f>
        <v>4.2000000000000028</v>
      </c>
      <c r="I73" s="1">
        <f t="shared" ref="I73:I136" si="8">+(F73^14)/((F73^14+G73^14))</f>
        <v>0.64553732038759359</v>
      </c>
      <c r="J73" s="2">
        <v>108.4</v>
      </c>
      <c r="K73" s="2">
        <v>104.1</v>
      </c>
      <c r="L73" s="2">
        <f t="shared" ref="L73:L136" si="9">+J73-K73</f>
        <v>4.3000000000000114</v>
      </c>
      <c r="M73" s="1">
        <f t="shared" ref="M73:M136" si="10">+E73-I73</f>
        <v>4.9584630831918552E-2</v>
      </c>
      <c r="N73" s="2">
        <v>118.3</v>
      </c>
      <c r="O73" s="2">
        <v>88.8</v>
      </c>
      <c r="P73" s="2">
        <f t="shared" si="5"/>
        <v>29.5</v>
      </c>
      <c r="Q73">
        <v>1.5</v>
      </c>
    </row>
    <row r="74" spans="1:17">
      <c r="A74" t="s">
        <v>66</v>
      </c>
      <c r="B74" t="s">
        <v>24</v>
      </c>
      <c r="C74">
        <v>34</v>
      </c>
      <c r="D74">
        <v>29</v>
      </c>
      <c r="E74" s="1">
        <f t="shared" si="6"/>
        <v>0.53968253968253965</v>
      </c>
      <c r="F74" s="2">
        <v>115.8</v>
      </c>
      <c r="G74" s="2">
        <v>116.1</v>
      </c>
      <c r="H74" s="2">
        <f t="shared" si="7"/>
        <v>-0.29999999999999716</v>
      </c>
      <c r="I74" s="1">
        <f t="shared" si="8"/>
        <v>0.49094535752934715</v>
      </c>
      <c r="J74" s="2">
        <v>114.3</v>
      </c>
      <c r="K74" s="2">
        <v>114.6</v>
      </c>
      <c r="L74" s="2">
        <f t="shared" si="9"/>
        <v>-0.29999999999999716</v>
      </c>
      <c r="M74" s="1">
        <f t="shared" si="10"/>
        <v>4.8737182153192504E-2</v>
      </c>
      <c r="N74" s="2">
        <v>120.5</v>
      </c>
      <c r="O74" s="2">
        <v>99.7</v>
      </c>
      <c r="P74" s="2">
        <f t="shared" ref="P74:P137" si="11">+N74-O74</f>
        <v>20.799999999999997</v>
      </c>
      <c r="Q74" s="2">
        <v>1.3</v>
      </c>
    </row>
    <row r="75" spans="1:17">
      <c r="A75" t="s">
        <v>47</v>
      </c>
      <c r="B75" t="s">
        <v>30</v>
      </c>
      <c r="C75">
        <v>40</v>
      </c>
      <c r="D75">
        <v>42</v>
      </c>
      <c r="E75" s="1">
        <f t="shared" si="6"/>
        <v>0.48780487804878048</v>
      </c>
      <c r="F75" s="2">
        <v>104.1</v>
      </c>
      <c r="G75" s="2">
        <v>105.9</v>
      </c>
      <c r="H75" s="2">
        <f t="shared" si="7"/>
        <v>-1.8000000000000114</v>
      </c>
      <c r="I75" s="1">
        <f t="shared" si="8"/>
        <v>0.44028490223940814</v>
      </c>
      <c r="J75" s="2">
        <v>110.2</v>
      </c>
      <c r="K75" s="2">
        <v>112.2</v>
      </c>
      <c r="L75" s="2">
        <f t="shared" si="9"/>
        <v>-2</v>
      </c>
      <c r="M75" s="1">
        <f t="shared" si="10"/>
        <v>4.7519975809372339E-2</v>
      </c>
      <c r="N75" s="2">
        <v>114.5</v>
      </c>
      <c r="O75" s="2">
        <v>101.9</v>
      </c>
      <c r="P75" s="2">
        <f t="shared" si="11"/>
        <v>12.599999999999994</v>
      </c>
      <c r="Q75">
        <v>-0.5</v>
      </c>
    </row>
    <row r="76" spans="1:17">
      <c r="A76" t="s">
        <v>60</v>
      </c>
      <c r="B76" t="s">
        <v>46</v>
      </c>
      <c r="C76">
        <v>44</v>
      </c>
      <c r="D76">
        <v>28</v>
      </c>
      <c r="E76" s="1">
        <f t="shared" si="6"/>
        <v>0.61111111111111116</v>
      </c>
      <c r="F76" s="2">
        <v>110.4</v>
      </c>
      <c r="G76" s="2">
        <v>108.4</v>
      </c>
      <c r="H76" s="2">
        <f t="shared" si="7"/>
        <v>2</v>
      </c>
      <c r="I76" s="1">
        <f t="shared" si="8"/>
        <v>0.56364011525876911</v>
      </c>
      <c r="J76" s="2">
        <v>110.1</v>
      </c>
      <c r="K76" s="2">
        <v>108.1</v>
      </c>
      <c r="L76" s="2">
        <f t="shared" si="9"/>
        <v>2</v>
      </c>
      <c r="M76" s="1">
        <f t="shared" si="10"/>
        <v>4.7470995852342046E-2</v>
      </c>
      <c r="N76" s="2">
        <v>120.9</v>
      </c>
      <c r="O76" s="2">
        <v>94.4</v>
      </c>
      <c r="P76" s="2">
        <f t="shared" si="11"/>
        <v>26.5</v>
      </c>
      <c r="Q76">
        <v>2.2000000000000002</v>
      </c>
    </row>
    <row r="77" spans="1:17">
      <c r="A77" t="s">
        <v>49</v>
      </c>
      <c r="B77" t="s">
        <v>35</v>
      </c>
      <c r="C77">
        <v>41</v>
      </c>
      <c r="D77">
        <v>25</v>
      </c>
      <c r="E77" s="1">
        <f t="shared" si="6"/>
        <v>0.62121212121212122</v>
      </c>
      <c r="F77" s="2">
        <v>95</v>
      </c>
      <c r="G77" s="2">
        <v>93</v>
      </c>
      <c r="H77" s="2">
        <f t="shared" si="7"/>
        <v>2</v>
      </c>
      <c r="I77" s="1">
        <f t="shared" si="8"/>
        <v>0.57392505859345744</v>
      </c>
      <c r="J77" s="2">
        <v>102.8</v>
      </c>
      <c r="K77" s="2">
        <v>100.6</v>
      </c>
      <c r="L77" s="2">
        <f t="shared" si="9"/>
        <v>2.2000000000000028</v>
      </c>
      <c r="M77" s="1">
        <f t="shared" si="10"/>
        <v>4.7287062618663778E-2</v>
      </c>
      <c r="N77" s="2">
        <v>106.8</v>
      </c>
      <c r="O77" s="2">
        <v>93.8</v>
      </c>
      <c r="P77" s="2">
        <f t="shared" si="11"/>
        <v>13</v>
      </c>
      <c r="Q77">
        <v>0.3</v>
      </c>
    </row>
    <row r="78" spans="1:17">
      <c r="A78" t="s">
        <v>58</v>
      </c>
      <c r="B78" t="s">
        <v>8</v>
      </c>
      <c r="C78">
        <v>27</v>
      </c>
      <c r="D78">
        <v>55</v>
      </c>
      <c r="E78" s="1">
        <f t="shared" si="6"/>
        <v>0.32926829268292684</v>
      </c>
      <c r="F78" s="2">
        <v>102.9</v>
      </c>
      <c r="G78" s="2">
        <v>110</v>
      </c>
      <c r="H78" s="2">
        <f t="shared" si="7"/>
        <v>-7.0999999999999943</v>
      </c>
      <c r="I78" s="1">
        <f t="shared" si="8"/>
        <v>0.28208998434784138</v>
      </c>
      <c r="J78" s="2">
        <v>103.4</v>
      </c>
      <c r="K78" s="2">
        <v>110.5</v>
      </c>
      <c r="L78" s="2">
        <f t="shared" si="9"/>
        <v>-7.0999999999999943</v>
      </c>
      <c r="M78" s="1">
        <f t="shared" si="10"/>
        <v>4.7178308335085462E-2</v>
      </c>
      <c r="N78" s="2">
        <v>98.4</v>
      </c>
      <c r="O78" s="2">
        <v>99.7</v>
      </c>
      <c r="P78" s="2">
        <f t="shared" si="11"/>
        <v>-1.2999999999999972</v>
      </c>
      <c r="Q78">
        <v>-0.5</v>
      </c>
    </row>
    <row r="79" spans="1:17">
      <c r="A79" t="s">
        <v>57</v>
      </c>
      <c r="B79" t="s">
        <v>46</v>
      </c>
      <c r="C79">
        <v>47</v>
      </c>
      <c r="D79">
        <v>35</v>
      </c>
      <c r="E79" s="1">
        <f t="shared" si="6"/>
        <v>0.57317073170731703</v>
      </c>
      <c r="F79" s="2">
        <v>106.6</v>
      </c>
      <c r="G79" s="2">
        <v>105.8</v>
      </c>
      <c r="H79" s="2">
        <f t="shared" si="7"/>
        <v>0.79999999999999716</v>
      </c>
      <c r="I79" s="1">
        <f t="shared" si="8"/>
        <v>0.52634106336275344</v>
      </c>
      <c r="J79" s="2">
        <v>107.9</v>
      </c>
      <c r="K79" s="2">
        <v>107.1</v>
      </c>
      <c r="L79" s="2">
        <f t="shared" si="9"/>
        <v>0.80000000000001137</v>
      </c>
      <c r="M79" s="1">
        <f t="shared" si="10"/>
        <v>4.6829668344563591E-2</v>
      </c>
      <c r="N79" s="2">
        <v>115.5</v>
      </c>
      <c r="O79" s="2">
        <v>92.6</v>
      </c>
      <c r="P79" s="2">
        <f t="shared" si="11"/>
        <v>22.900000000000006</v>
      </c>
      <c r="Q79">
        <v>0.9</v>
      </c>
    </row>
    <row r="80" spans="1:17">
      <c r="A80" t="s">
        <v>36</v>
      </c>
      <c r="B80" t="s">
        <v>20</v>
      </c>
      <c r="C80">
        <v>51</v>
      </c>
      <c r="D80">
        <v>31</v>
      </c>
      <c r="E80" s="1">
        <f t="shared" si="6"/>
        <v>0.62195121951219512</v>
      </c>
      <c r="F80" s="2">
        <v>98.1</v>
      </c>
      <c r="G80" s="2">
        <v>96</v>
      </c>
      <c r="H80" s="2">
        <f t="shared" si="7"/>
        <v>2.0999999999999943</v>
      </c>
      <c r="I80" s="1">
        <f t="shared" si="8"/>
        <v>0.57516313158502963</v>
      </c>
      <c r="J80" s="2">
        <v>104.8</v>
      </c>
      <c r="K80" s="2">
        <v>102.5</v>
      </c>
      <c r="L80" s="2">
        <f t="shared" si="9"/>
        <v>2.2999999999999972</v>
      </c>
      <c r="M80" s="1">
        <f t="shared" si="10"/>
        <v>4.6788087927165489E-2</v>
      </c>
      <c r="N80" s="2">
        <v>107.7</v>
      </c>
      <c r="O80" s="2">
        <v>93.4</v>
      </c>
      <c r="P80" s="2">
        <f t="shared" si="11"/>
        <v>14.299999999999997</v>
      </c>
      <c r="Q80">
        <v>0.1</v>
      </c>
    </row>
    <row r="81" spans="1:17">
      <c r="A81" t="s">
        <v>50</v>
      </c>
      <c r="B81" t="s">
        <v>40</v>
      </c>
      <c r="C81">
        <v>21</v>
      </c>
      <c r="D81">
        <v>61</v>
      </c>
      <c r="E81" s="1">
        <f t="shared" si="6"/>
        <v>0.25609756097560976</v>
      </c>
      <c r="F81" s="2">
        <v>93.4</v>
      </c>
      <c r="G81" s="2">
        <v>102.7</v>
      </c>
      <c r="H81" s="2">
        <f t="shared" si="7"/>
        <v>-9.2999999999999972</v>
      </c>
      <c r="I81" s="1">
        <f t="shared" si="8"/>
        <v>0.20934289845958631</v>
      </c>
      <c r="J81" s="2">
        <v>100.4</v>
      </c>
      <c r="K81" s="2">
        <v>110.3</v>
      </c>
      <c r="L81" s="2">
        <f t="shared" si="9"/>
        <v>-9.8999999999999915</v>
      </c>
      <c r="M81" s="1">
        <f t="shared" si="10"/>
        <v>4.6754662516023449E-2</v>
      </c>
      <c r="N81" s="2">
        <v>95.9</v>
      </c>
      <c r="O81" s="2">
        <v>100.6</v>
      </c>
      <c r="P81" s="2">
        <f t="shared" si="11"/>
        <v>-4.6999999999999886</v>
      </c>
      <c r="Q81">
        <v>-1.8</v>
      </c>
    </row>
    <row r="82" spans="1:17">
      <c r="A82" t="s">
        <v>63</v>
      </c>
      <c r="B82" t="s">
        <v>11</v>
      </c>
      <c r="C82">
        <v>53</v>
      </c>
      <c r="D82">
        <v>29</v>
      </c>
      <c r="E82" s="1">
        <f t="shared" si="6"/>
        <v>0.64634146341463417</v>
      </c>
      <c r="F82" s="2">
        <v>115.8</v>
      </c>
      <c r="G82" s="2">
        <v>112.5</v>
      </c>
      <c r="H82" s="2">
        <f t="shared" si="7"/>
        <v>3.2999999999999972</v>
      </c>
      <c r="I82" s="1">
        <f t="shared" si="8"/>
        <v>0.59983047622888896</v>
      </c>
      <c r="J82" s="2">
        <v>116.8</v>
      </c>
      <c r="K82" s="2">
        <v>113.5</v>
      </c>
      <c r="L82" s="2">
        <f t="shared" si="9"/>
        <v>3.2999999999999972</v>
      </c>
      <c r="M82" s="1">
        <f t="shared" si="10"/>
        <v>4.6510987185745201E-2</v>
      </c>
      <c r="N82" s="2">
        <v>109.2</v>
      </c>
      <c r="O82" s="2">
        <v>96.5</v>
      </c>
      <c r="P82" s="2">
        <f t="shared" si="11"/>
        <v>12.700000000000003</v>
      </c>
      <c r="Q82">
        <v>-0.5</v>
      </c>
    </row>
    <row r="83" spans="1:17">
      <c r="A83" t="s">
        <v>58</v>
      </c>
      <c r="B83" t="s">
        <v>19</v>
      </c>
      <c r="C83">
        <v>44</v>
      </c>
      <c r="D83">
        <v>38</v>
      </c>
      <c r="E83" s="1">
        <f t="shared" si="6"/>
        <v>0.53658536585365857</v>
      </c>
      <c r="F83" s="2">
        <v>106.5</v>
      </c>
      <c r="G83" s="2">
        <v>106.8</v>
      </c>
      <c r="H83" s="2">
        <f t="shared" si="7"/>
        <v>-0.29999999999999716</v>
      </c>
      <c r="I83" s="1">
        <f t="shared" si="8"/>
        <v>0.49015597738821681</v>
      </c>
      <c r="J83" s="2">
        <v>109</v>
      </c>
      <c r="K83" s="2">
        <v>109.1</v>
      </c>
      <c r="L83" s="2">
        <f t="shared" si="9"/>
        <v>-9.9999999999994316E-2</v>
      </c>
      <c r="M83" s="1">
        <f t="shared" si="10"/>
        <v>4.6429388465441757E-2</v>
      </c>
      <c r="N83" s="2">
        <v>102.1</v>
      </c>
      <c r="O83" s="2">
        <v>100.3</v>
      </c>
      <c r="P83" s="2">
        <f t="shared" si="11"/>
        <v>1.7999999999999972</v>
      </c>
      <c r="Q83">
        <v>-1.2</v>
      </c>
    </row>
    <row r="84" spans="1:17">
      <c r="A84" t="s">
        <v>63</v>
      </c>
      <c r="B84" t="s">
        <v>18</v>
      </c>
      <c r="C84">
        <v>44</v>
      </c>
      <c r="D84">
        <v>38</v>
      </c>
      <c r="E84" s="1">
        <f t="shared" si="6"/>
        <v>0.53658536585365857</v>
      </c>
      <c r="F84" s="2">
        <v>109.5</v>
      </c>
      <c r="G84" s="2">
        <v>109.8</v>
      </c>
      <c r="H84" s="2">
        <f t="shared" si="7"/>
        <v>-0.29999999999999716</v>
      </c>
      <c r="I84" s="1">
        <f t="shared" si="8"/>
        <v>0.49042524125901932</v>
      </c>
      <c r="J84" s="2">
        <v>112.3</v>
      </c>
      <c r="K84" s="2">
        <v>112.8</v>
      </c>
      <c r="L84" s="2">
        <f t="shared" si="9"/>
        <v>-0.5</v>
      </c>
      <c r="M84" s="1">
        <f t="shared" si="10"/>
        <v>4.6160124594639251E-2</v>
      </c>
      <c r="N84" s="2">
        <v>112.3</v>
      </c>
      <c r="O84" s="2">
        <v>95.4</v>
      </c>
      <c r="P84" s="2">
        <f t="shared" si="11"/>
        <v>16.899999999999991</v>
      </c>
      <c r="Q84">
        <v>1.3</v>
      </c>
    </row>
    <row r="85" spans="1:17">
      <c r="A85" t="s">
        <v>60</v>
      </c>
      <c r="B85" t="s">
        <v>30</v>
      </c>
      <c r="C85">
        <v>53</v>
      </c>
      <c r="D85">
        <v>19</v>
      </c>
      <c r="E85" s="1">
        <f t="shared" si="6"/>
        <v>0.73611111111111116</v>
      </c>
      <c r="F85" s="2">
        <v>112.8</v>
      </c>
      <c r="G85" s="2">
        <v>106.5</v>
      </c>
      <c r="H85" s="2">
        <f t="shared" si="7"/>
        <v>6.2999999999999972</v>
      </c>
      <c r="I85" s="1">
        <f t="shared" si="8"/>
        <v>0.69095738167684095</v>
      </c>
      <c r="J85" s="2">
        <v>110.8</v>
      </c>
      <c r="K85" s="2">
        <v>104.7</v>
      </c>
      <c r="L85" s="2">
        <f t="shared" si="9"/>
        <v>6.0999999999999943</v>
      </c>
      <c r="M85" s="1">
        <f t="shared" si="10"/>
        <v>4.5153729434270207E-2</v>
      </c>
      <c r="N85" s="2">
        <v>118.1</v>
      </c>
      <c r="O85" s="2">
        <v>97.4</v>
      </c>
      <c r="P85" s="2">
        <f t="shared" si="11"/>
        <v>20.699999999999989</v>
      </c>
      <c r="Q85">
        <v>1.2</v>
      </c>
    </row>
    <row r="86" spans="1:17">
      <c r="A86" t="s">
        <v>41</v>
      </c>
      <c r="B86" t="s">
        <v>21</v>
      </c>
      <c r="C86">
        <v>49</v>
      </c>
      <c r="D86">
        <v>33</v>
      </c>
      <c r="E86" s="1">
        <f t="shared" si="6"/>
        <v>0.59756097560975607</v>
      </c>
      <c r="F86" s="2">
        <v>93.8</v>
      </c>
      <c r="G86" s="2">
        <v>92.4</v>
      </c>
      <c r="H86" s="2">
        <f t="shared" si="7"/>
        <v>1.3999999999999915</v>
      </c>
      <c r="I86" s="1">
        <f t="shared" si="8"/>
        <v>0.55243902579341386</v>
      </c>
      <c r="J86" s="2">
        <v>102.4</v>
      </c>
      <c r="K86" s="2">
        <v>100.9</v>
      </c>
      <c r="L86" s="2">
        <f t="shared" si="9"/>
        <v>1.5</v>
      </c>
      <c r="M86" s="1">
        <f t="shared" si="10"/>
        <v>4.5121949816342211E-2</v>
      </c>
      <c r="N86" s="2">
        <v>109.2</v>
      </c>
      <c r="O86" s="2">
        <v>99</v>
      </c>
      <c r="P86" s="2">
        <f t="shared" si="11"/>
        <v>10.200000000000003</v>
      </c>
      <c r="Q86">
        <v>-0.7</v>
      </c>
    </row>
    <row r="87" spans="1:17">
      <c r="A87" t="s">
        <v>54</v>
      </c>
      <c r="B87" t="s">
        <v>18</v>
      </c>
      <c r="C87">
        <v>37</v>
      </c>
      <c r="D87">
        <v>45</v>
      </c>
      <c r="E87" s="1">
        <f t="shared" si="6"/>
        <v>0.45121951219512196</v>
      </c>
      <c r="F87" s="2">
        <v>94.7</v>
      </c>
      <c r="G87" s="2">
        <v>97.3</v>
      </c>
      <c r="H87" s="2">
        <f t="shared" si="7"/>
        <v>-2.5999999999999943</v>
      </c>
      <c r="I87" s="1">
        <f t="shared" si="8"/>
        <v>0.40632231121075763</v>
      </c>
      <c r="J87" s="2">
        <v>103.2</v>
      </c>
      <c r="K87" s="2">
        <v>106.1</v>
      </c>
      <c r="L87" s="2">
        <f t="shared" si="9"/>
        <v>-2.8999999999999915</v>
      </c>
      <c r="M87" s="1">
        <f t="shared" si="10"/>
        <v>4.4897200984364338E-2</v>
      </c>
      <c r="N87" s="2">
        <v>102.9</v>
      </c>
      <c r="O87" s="2">
        <v>91.3</v>
      </c>
      <c r="P87" s="2">
        <f t="shared" si="11"/>
        <v>11.600000000000009</v>
      </c>
      <c r="Q87">
        <v>-1.1000000000000001</v>
      </c>
    </row>
    <row r="88" spans="1:17">
      <c r="A88" t="s">
        <v>38</v>
      </c>
      <c r="B88" t="s">
        <v>17</v>
      </c>
      <c r="C88">
        <v>56</v>
      </c>
      <c r="D88">
        <v>26</v>
      </c>
      <c r="E88" s="1">
        <f t="shared" si="6"/>
        <v>0.68292682926829273</v>
      </c>
      <c r="F88" s="2">
        <v>98.2</v>
      </c>
      <c r="G88" s="2">
        <v>94.3</v>
      </c>
      <c r="H88" s="2">
        <f t="shared" si="7"/>
        <v>3.9000000000000057</v>
      </c>
      <c r="I88" s="1">
        <f t="shared" si="8"/>
        <v>0.63815156005224649</v>
      </c>
      <c r="J88" s="2">
        <v>104.2</v>
      </c>
      <c r="K88" s="2">
        <v>100.1</v>
      </c>
      <c r="L88" s="2">
        <f t="shared" si="9"/>
        <v>4.1000000000000085</v>
      </c>
      <c r="M88" s="1">
        <f t="shared" si="10"/>
        <v>4.4775269216046243E-2</v>
      </c>
      <c r="N88" s="2">
        <v>102.8</v>
      </c>
      <c r="O88" s="2">
        <v>85.1</v>
      </c>
      <c r="P88" s="2">
        <f t="shared" si="11"/>
        <v>17.700000000000003</v>
      </c>
      <c r="Q88">
        <v>1.5</v>
      </c>
    </row>
    <row r="89" spans="1:17">
      <c r="A89" t="s">
        <v>45</v>
      </c>
      <c r="B89" t="s">
        <v>11</v>
      </c>
      <c r="C89">
        <v>54</v>
      </c>
      <c r="D89">
        <v>28</v>
      </c>
      <c r="E89" s="1">
        <f t="shared" si="6"/>
        <v>0.65853658536585369</v>
      </c>
      <c r="F89" s="2">
        <v>104.3</v>
      </c>
      <c r="G89" s="2">
        <v>100.9</v>
      </c>
      <c r="H89" s="2">
        <f t="shared" si="7"/>
        <v>3.3999999999999915</v>
      </c>
      <c r="I89" s="1">
        <f t="shared" si="8"/>
        <v>0.61395793719078184</v>
      </c>
      <c r="J89" s="2">
        <v>109</v>
      </c>
      <c r="K89" s="2">
        <v>105.6</v>
      </c>
      <c r="L89" s="2">
        <f t="shared" si="9"/>
        <v>3.4000000000000057</v>
      </c>
      <c r="M89" s="1">
        <f t="shared" si="10"/>
        <v>4.4578648175071844E-2</v>
      </c>
      <c r="N89" s="2">
        <v>108.5</v>
      </c>
      <c r="O89" s="2">
        <v>106.3</v>
      </c>
      <c r="P89" s="2">
        <f t="shared" si="11"/>
        <v>2.2000000000000028</v>
      </c>
      <c r="Q89">
        <v>-0.4</v>
      </c>
    </row>
    <row r="90" spans="1:17">
      <c r="A90" t="s">
        <v>58</v>
      </c>
      <c r="B90" t="s">
        <v>53</v>
      </c>
      <c r="C90">
        <v>48</v>
      </c>
      <c r="D90">
        <v>34</v>
      </c>
      <c r="E90" s="1">
        <f t="shared" si="6"/>
        <v>0.58536585365853655</v>
      </c>
      <c r="F90" s="2">
        <v>111.7</v>
      </c>
      <c r="G90" s="2">
        <v>110.4</v>
      </c>
      <c r="H90" s="2">
        <f t="shared" si="7"/>
        <v>1.2999999999999972</v>
      </c>
      <c r="I90" s="1">
        <f t="shared" si="8"/>
        <v>0.54088153523494542</v>
      </c>
      <c r="J90" s="2">
        <v>108.5</v>
      </c>
      <c r="K90" s="2">
        <v>107.4</v>
      </c>
      <c r="L90" s="2">
        <f t="shared" si="9"/>
        <v>1.0999999999999943</v>
      </c>
      <c r="M90" s="1">
        <f t="shared" si="10"/>
        <v>4.4484318423591129E-2</v>
      </c>
      <c r="N90" s="2">
        <v>106</v>
      </c>
      <c r="O90" s="2">
        <v>99.3</v>
      </c>
      <c r="P90" s="2">
        <f t="shared" si="11"/>
        <v>6.7000000000000028</v>
      </c>
      <c r="Q90">
        <v>0.2</v>
      </c>
    </row>
    <row r="91" spans="1:17">
      <c r="A91" t="s">
        <v>48</v>
      </c>
      <c r="B91" t="s">
        <v>46</v>
      </c>
      <c r="C91">
        <v>55</v>
      </c>
      <c r="D91">
        <v>27</v>
      </c>
      <c r="E91" s="1">
        <f t="shared" si="6"/>
        <v>0.67073170731707321</v>
      </c>
      <c r="F91" s="2">
        <v>104.8</v>
      </c>
      <c r="G91" s="2">
        <v>101</v>
      </c>
      <c r="H91" s="2">
        <f t="shared" si="7"/>
        <v>3.7999999999999972</v>
      </c>
      <c r="I91" s="1">
        <f t="shared" si="8"/>
        <v>0.62646134296899791</v>
      </c>
      <c r="J91" s="2">
        <v>109.9</v>
      </c>
      <c r="K91" s="2">
        <v>105.9</v>
      </c>
      <c r="L91" s="2">
        <f t="shared" si="9"/>
        <v>4</v>
      </c>
      <c r="M91" s="1">
        <f t="shared" si="10"/>
        <v>4.4270364348075297E-2</v>
      </c>
      <c r="N91" s="2">
        <v>105.8</v>
      </c>
      <c r="O91" s="2">
        <v>92</v>
      </c>
      <c r="P91" s="2">
        <f t="shared" si="11"/>
        <v>13.799999999999997</v>
      </c>
      <c r="Q91">
        <v>0.9</v>
      </c>
    </row>
    <row r="92" spans="1:17">
      <c r="A92" t="s">
        <v>45</v>
      </c>
      <c r="B92" t="s">
        <v>10</v>
      </c>
      <c r="C92">
        <v>50</v>
      </c>
      <c r="D92">
        <v>32</v>
      </c>
      <c r="E92" s="1">
        <f t="shared" si="6"/>
        <v>0.6097560975609756</v>
      </c>
      <c r="F92" s="2">
        <v>101.7</v>
      </c>
      <c r="G92" s="2">
        <v>99.8</v>
      </c>
      <c r="H92" s="2">
        <f t="shared" si="7"/>
        <v>1.9000000000000057</v>
      </c>
      <c r="I92" s="1">
        <f t="shared" si="8"/>
        <v>0.56562612482912078</v>
      </c>
      <c r="J92" s="2">
        <v>109</v>
      </c>
      <c r="K92" s="2">
        <v>107</v>
      </c>
      <c r="L92" s="2">
        <f t="shared" si="9"/>
        <v>2</v>
      </c>
      <c r="M92" s="1">
        <f t="shared" si="10"/>
        <v>4.4129972731854816E-2</v>
      </c>
      <c r="N92" s="2">
        <v>113</v>
      </c>
      <c r="O92" s="2">
        <v>98.7</v>
      </c>
      <c r="P92" s="2">
        <f t="shared" si="11"/>
        <v>14.299999999999997</v>
      </c>
      <c r="Q92">
        <v>-0.2</v>
      </c>
    </row>
    <row r="93" spans="1:17">
      <c r="A93" t="s">
        <v>55</v>
      </c>
      <c r="B93" t="s">
        <v>19</v>
      </c>
      <c r="C93">
        <v>33</v>
      </c>
      <c r="D93">
        <v>49</v>
      </c>
      <c r="E93" s="1">
        <f t="shared" si="6"/>
        <v>0.40243902439024393</v>
      </c>
      <c r="F93" s="2">
        <v>99</v>
      </c>
      <c r="G93" s="2">
        <v>103.2</v>
      </c>
      <c r="H93" s="2">
        <f t="shared" si="7"/>
        <v>-4.2000000000000028</v>
      </c>
      <c r="I93" s="1">
        <f t="shared" si="8"/>
        <v>0.35854472804772958</v>
      </c>
      <c r="J93" s="2">
        <v>103.4</v>
      </c>
      <c r="K93" s="2">
        <v>107.8</v>
      </c>
      <c r="L93" s="2">
        <f t="shared" si="9"/>
        <v>-4.3999999999999915</v>
      </c>
      <c r="M93" s="1">
        <f t="shared" si="10"/>
        <v>4.389429634251435E-2</v>
      </c>
      <c r="N93" s="2">
        <v>101.2</v>
      </c>
      <c r="O93" s="2">
        <v>95</v>
      </c>
      <c r="P93" s="2">
        <f t="shared" si="11"/>
        <v>6.2000000000000028</v>
      </c>
      <c r="Q93">
        <v>-1.5</v>
      </c>
    </row>
    <row r="94" spans="1:17">
      <c r="A94" t="s">
        <v>66</v>
      </c>
      <c r="B94" t="s">
        <v>25</v>
      </c>
      <c r="C94">
        <v>36</v>
      </c>
      <c r="D94">
        <v>27</v>
      </c>
      <c r="E94" s="1">
        <f t="shared" si="6"/>
        <v>0.5714285714285714</v>
      </c>
      <c r="F94" s="2">
        <v>112.1</v>
      </c>
      <c r="G94" s="2">
        <v>111.2</v>
      </c>
      <c r="H94" s="2">
        <f t="shared" si="7"/>
        <v>0.89999999999999147</v>
      </c>
      <c r="I94" s="1">
        <f t="shared" si="8"/>
        <v>0.52818341359119181</v>
      </c>
      <c r="J94" s="2">
        <v>113.4</v>
      </c>
      <c r="K94" s="2">
        <v>112.5</v>
      </c>
      <c r="L94" s="2">
        <f t="shared" si="9"/>
        <v>0.90000000000000568</v>
      </c>
      <c r="M94" s="1">
        <f t="shared" si="10"/>
        <v>4.3245157837379589E-2</v>
      </c>
      <c r="N94" s="2">
        <v>113.4</v>
      </c>
      <c r="O94" s="2">
        <v>114.2</v>
      </c>
      <c r="P94" s="2">
        <f t="shared" si="11"/>
        <v>-0.79999999999999716</v>
      </c>
      <c r="Q94" s="2">
        <v>-1.1000000000000001</v>
      </c>
    </row>
    <row r="95" spans="1:17">
      <c r="A95" t="s">
        <v>45</v>
      </c>
      <c r="B95" t="s">
        <v>37</v>
      </c>
      <c r="C95">
        <v>49</v>
      </c>
      <c r="D95">
        <v>33</v>
      </c>
      <c r="E95" s="1">
        <f t="shared" si="6"/>
        <v>0.59756097560975607</v>
      </c>
      <c r="F95" s="2">
        <v>95.8</v>
      </c>
      <c r="G95" s="2">
        <v>94.3</v>
      </c>
      <c r="H95" s="2">
        <f t="shared" si="7"/>
        <v>1.5</v>
      </c>
      <c r="I95" s="1">
        <f t="shared" si="8"/>
        <v>0.55501163326871295</v>
      </c>
      <c r="J95" s="2">
        <v>107.6</v>
      </c>
      <c r="K95" s="2">
        <v>105.8</v>
      </c>
      <c r="L95" s="2">
        <f t="shared" si="9"/>
        <v>1.7999999999999972</v>
      </c>
      <c r="M95" s="1">
        <f t="shared" si="10"/>
        <v>4.2549342341043128E-2</v>
      </c>
      <c r="N95" s="2">
        <v>124.8</v>
      </c>
      <c r="O95" s="2">
        <v>110.2</v>
      </c>
      <c r="P95" s="2">
        <f t="shared" si="11"/>
        <v>14.599999999999994</v>
      </c>
      <c r="Q95">
        <v>0.9</v>
      </c>
    </row>
    <row r="96" spans="1:17">
      <c r="A96" t="s">
        <v>58</v>
      </c>
      <c r="B96" t="s">
        <v>14</v>
      </c>
      <c r="C96">
        <v>65</v>
      </c>
      <c r="D96">
        <v>17</v>
      </c>
      <c r="E96" s="1">
        <f t="shared" si="6"/>
        <v>0.79268292682926833</v>
      </c>
      <c r="F96" s="2">
        <v>112.4</v>
      </c>
      <c r="G96" s="2">
        <v>103.9</v>
      </c>
      <c r="H96" s="2">
        <f t="shared" si="7"/>
        <v>8.5</v>
      </c>
      <c r="I96" s="1">
        <f t="shared" si="8"/>
        <v>0.75042693083028544</v>
      </c>
      <c r="J96" s="2">
        <v>114.1</v>
      </c>
      <c r="K96" s="2">
        <v>105.7</v>
      </c>
      <c r="L96" s="2">
        <f t="shared" si="9"/>
        <v>8.3999999999999915</v>
      </c>
      <c r="M96" s="1">
        <f t="shared" si="10"/>
        <v>4.2255995998982887E-2</v>
      </c>
      <c r="N96" s="2">
        <v>122.9</v>
      </c>
      <c r="O96" s="2">
        <v>95.9</v>
      </c>
      <c r="P96" s="2">
        <f t="shared" si="11"/>
        <v>27</v>
      </c>
      <c r="Q96">
        <v>-0.2</v>
      </c>
    </row>
    <row r="97" spans="1:17">
      <c r="A97" t="s">
        <v>50</v>
      </c>
      <c r="B97" t="s">
        <v>13</v>
      </c>
      <c r="C97">
        <v>47</v>
      </c>
      <c r="D97">
        <v>35</v>
      </c>
      <c r="E97" s="1">
        <f t="shared" si="6"/>
        <v>0.57317073170731703</v>
      </c>
      <c r="F97" s="2">
        <v>101.2</v>
      </c>
      <c r="G97" s="2">
        <v>100.3</v>
      </c>
      <c r="H97" s="2">
        <f t="shared" si="7"/>
        <v>0.90000000000000568</v>
      </c>
      <c r="I97" s="1">
        <f t="shared" si="8"/>
        <v>0.53122502870875743</v>
      </c>
      <c r="J97" s="2">
        <v>105.1</v>
      </c>
      <c r="K97" s="2">
        <v>104.2</v>
      </c>
      <c r="L97" s="2">
        <f t="shared" si="9"/>
        <v>0.89999999999999147</v>
      </c>
      <c r="M97" s="1">
        <f t="shared" si="10"/>
        <v>4.1945702998559597E-2</v>
      </c>
      <c r="N97" s="2">
        <v>101.8</v>
      </c>
      <c r="O97" s="2">
        <v>93.8</v>
      </c>
      <c r="P97" s="2">
        <f t="shared" si="11"/>
        <v>8</v>
      </c>
      <c r="Q97">
        <v>0.8</v>
      </c>
    </row>
    <row r="98" spans="1:17">
      <c r="A98" t="s">
        <v>43</v>
      </c>
      <c r="B98" t="s">
        <v>26</v>
      </c>
      <c r="C98">
        <v>32</v>
      </c>
      <c r="D98">
        <v>50</v>
      </c>
      <c r="E98" s="1">
        <f t="shared" si="6"/>
        <v>0.3902439024390244</v>
      </c>
      <c r="F98" s="2">
        <v>94.1</v>
      </c>
      <c r="G98" s="2">
        <v>98.4</v>
      </c>
      <c r="H98" s="2">
        <f t="shared" si="7"/>
        <v>-4.3000000000000114</v>
      </c>
      <c r="I98" s="1">
        <f t="shared" si="8"/>
        <v>0.34851829160504433</v>
      </c>
      <c r="J98" s="2">
        <v>103.8</v>
      </c>
      <c r="K98" s="2">
        <v>108.6</v>
      </c>
      <c r="L98" s="2">
        <f t="shared" si="9"/>
        <v>-4.7999999999999972</v>
      </c>
      <c r="M98" s="1">
        <f t="shared" si="10"/>
        <v>4.1725610833980076E-2</v>
      </c>
      <c r="N98" s="2">
        <v>113.4</v>
      </c>
      <c r="O98" s="2">
        <v>112.5</v>
      </c>
      <c r="P98" s="2">
        <f t="shared" si="11"/>
        <v>0.90000000000000568</v>
      </c>
      <c r="Q98">
        <v>-0.5</v>
      </c>
    </row>
    <row r="99" spans="1:17">
      <c r="A99" t="s">
        <v>66</v>
      </c>
      <c r="B99" t="s">
        <v>33</v>
      </c>
      <c r="C99">
        <v>16</v>
      </c>
      <c r="D99">
        <v>46</v>
      </c>
      <c r="E99" s="1">
        <f t="shared" si="6"/>
        <v>0.25806451612903225</v>
      </c>
      <c r="F99" s="2">
        <v>112.2</v>
      </c>
      <c r="G99" s="2">
        <v>123</v>
      </c>
      <c r="H99" s="2">
        <f t="shared" si="7"/>
        <v>-10.799999999999997</v>
      </c>
      <c r="I99" s="1">
        <f t="shared" si="8"/>
        <v>0.21642561770690236</v>
      </c>
      <c r="J99" s="2">
        <v>109.5</v>
      </c>
      <c r="K99" s="2">
        <v>120.3</v>
      </c>
      <c r="L99" s="2">
        <f t="shared" si="9"/>
        <v>-10.799999999999997</v>
      </c>
      <c r="M99" s="1">
        <f t="shared" si="10"/>
        <v>4.1638898422129894E-2</v>
      </c>
      <c r="N99" s="2">
        <v>112.8</v>
      </c>
      <c r="O99" s="2">
        <v>114.5</v>
      </c>
      <c r="P99" s="2">
        <f t="shared" si="11"/>
        <v>-1.7000000000000028</v>
      </c>
      <c r="Q99" s="2">
        <v>-2.9</v>
      </c>
    </row>
    <row r="100" spans="1:17">
      <c r="A100" t="s">
        <v>48</v>
      </c>
      <c r="B100" t="s">
        <v>31</v>
      </c>
      <c r="C100">
        <v>39</v>
      </c>
      <c r="D100">
        <v>43</v>
      </c>
      <c r="E100" s="1">
        <f t="shared" si="6"/>
        <v>0.47560975609756095</v>
      </c>
      <c r="F100" s="2">
        <v>99.4</v>
      </c>
      <c r="G100" s="2">
        <v>101.3</v>
      </c>
      <c r="H100" s="2">
        <f t="shared" si="7"/>
        <v>-1.8999999999999915</v>
      </c>
      <c r="I100" s="1">
        <f t="shared" si="8"/>
        <v>0.4341153034134177</v>
      </c>
      <c r="J100" s="2">
        <v>107</v>
      </c>
      <c r="K100" s="2">
        <v>108.8</v>
      </c>
      <c r="L100" s="2">
        <f t="shared" si="9"/>
        <v>-1.7999999999999972</v>
      </c>
      <c r="M100" s="1">
        <f t="shared" si="10"/>
        <v>4.1494452684143257E-2</v>
      </c>
      <c r="N100" s="2">
        <v>111.8</v>
      </c>
      <c r="O100" s="2">
        <v>103.3</v>
      </c>
      <c r="P100" s="2">
        <f t="shared" si="11"/>
        <v>8.5</v>
      </c>
      <c r="Q100">
        <v>1.3</v>
      </c>
    </row>
    <row r="101" spans="1:17">
      <c r="A101" t="s">
        <v>64</v>
      </c>
      <c r="B101" t="s">
        <v>10</v>
      </c>
      <c r="C101">
        <v>50</v>
      </c>
      <c r="D101">
        <v>32</v>
      </c>
      <c r="E101" s="1">
        <f t="shared" si="6"/>
        <v>0.6097560975609756</v>
      </c>
      <c r="F101" s="2">
        <v>117.9</v>
      </c>
      <c r="G101" s="2">
        <v>115.6</v>
      </c>
      <c r="H101" s="2">
        <f t="shared" si="7"/>
        <v>2.3000000000000114</v>
      </c>
      <c r="I101" s="1">
        <f t="shared" si="8"/>
        <v>0.56851916226040555</v>
      </c>
      <c r="J101" s="2">
        <v>117</v>
      </c>
      <c r="K101" s="2">
        <v>114.9</v>
      </c>
      <c r="L101" s="2">
        <f t="shared" si="9"/>
        <v>2.0999999999999943</v>
      </c>
      <c r="M101" s="1">
        <f t="shared" si="10"/>
        <v>4.1236935300570043E-2</v>
      </c>
      <c r="N101" s="2">
        <v>128.19999999999999</v>
      </c>
      <c r="O101" s="2">
        <v>106.4</v>
      </c>
      <c r="P101" s="2">
        <f t="shared" si="11"/>
        <v>21.799999999999983</v>
      </c>
      <c r="Q101">
        <v>0.5</v>
      </c>
    </row>
    <row r="102" spans="1:17">
      <c r="A102" t="s">
        <v>36</v>
      </c>
      <c r="B102" t="s">
        <v>8</v>
      </c>
      <c r="C102">
        <v>30</v>
      </c>
      <c r="D102">
        <v>52</v>
      </c>
      <c r="E102" s="1">
        <f t="shared" si="6"/>
        <v>0.36585365853658536</v>
      </c>
      <c r="F102" s="2">
        <v>95</v>
      </c>
      <c r="G102" s="2">
        <v>100.1</v>
      </c>
      <c r="H102" s="2">
        <f t="shared" si="7"/>
        <v>-5.0999999999999943</v>
      </c>
      <c r="I102" s="1">
        <f t="shared" si="8"/>
        <v>0.32473425777947651</v>
      </c>
      <c r="J102" s="2">
        <v>99.1</v>
      </c>
      <c r="K102" s="2">
        <v>104.2</v>
      </c>
      <c r="L102" s="2">
        <f t="shared" si="9"/>
        <v>-5.1000000000000085</v>
      </c>
      <c r="M102" s="1">
        <f t="shared" si="10"/>
        <v>4.1119400757108848E-2</v>
      </c>
      <c r="N102" s="2">
        <v>100.6</v>
      </c>
      <c r="O102" s="2">
        <v>103.8</v>
      </c>
      <c r="P102" s="2">
        <f t="shared" si="11"/>
        <v>-3.2000000000000028</v>
      </c>
      <c r="Q102">
        <v>1.6</v>
      </c>
    </row>
    <row r="103" spans="1:17">
      <c r="A103" t="s">
        <v>65</v>
      </c>
      <c r="B103" t="s">
        <v>15</v>
      </c>
      <c r="C103">
        <v>50</v>
      </c>
      <c r="D103">
        <v>32</v>
      </c>
      <c r="E103" s="1">
        <f t="shared" si="6"/>
        <v>0.6097560975609756</v>
      </c>
      <c r="F103" s="2">
        <v>117.4</v>
      </c>
      <c r="G103" s="2">
        <v>115.1</v>
      </c>
      <c r="H103" s="2">
        <f t="shared" si="7"/>
        <v>2.3000000000000114</v>
      </c>
      <c r="I103" s="1">
        <f t="shared" si="8"/>
        <v>0.56881015999897555</v>
      </c>
      <c r="J103" s="2">
        <v>115.4</v>
      </c>
      <c r="K103" s="2">
        <v>113.3</v>
      </c>
      <c r="L103" s="2">
        <f t="shared" si="9"/>
        <v>2.1000000000000085</v>
      </c>
      <c r="M103" s="1">
        <f t="shared" si="10"/>
        <v>4.0945937562000045E-2</v>
      </c>
      <c r="N103" s="2">
        <v>118.3</v>
      </c>
      <c r="O103" s="2">
        <v>100.6</v>
      </c>
      <c r="P103" s="2">
        <f t="shared" si="11"/>
        <v>17.700000000000003</v>
      </c>
      <c r="Q103">
        <v>2.1</v>
      </c>
    </row>
    <row r="104" spans="1:17">
      <c r="A104" t="s">
        <v>61</v>
      </c>
      <c r="B104" t="s">
        <v>27</v>
      </c>
      <c r="C104">
        <v>31</v>
      </c>
      <c r="D104">
        <v>41</v>
      </c>
      <c r="E104" s="1">
        <f t="shared" si="6"/>
        <v>0.43055555555555558</v>
      </c>
      <c r="F104" s="2">
        <v>113.7</v>
      </c>
      <c r="G104" s="2">
        <v>117.4</v>
      </c>
      <c r="H104" s="2">
        <f t="shared" si="7"/>
        <v>-3.7000000000000028</v>
      </c>
      <c r="I104" s="1">
        <f t="shared" si="8"/>
        <v>0.38975811254317522</v>
      </c>
      <c r="J104" s="2">
        <v>112.7</v>
      </c>
      <c r="K104" s="2">
        <v>116.5</v>
      </c>
      <c r="L104" s="2">
        <f t="shared" si="9"/>
        <v>-3.7999999999999972</v>
      </c>
      <c r="M104" s="1">
        <f t="shared" si="10"/>
        <v>4.0797443012380363E-2</v>
      </c>
      <c r="N104" s="2">
        <v>107.9</v>
      </c>
      <c r="O104" s="2">
        <v>114.9</v>
      </c>
      <c r="P104" s="2">
        <f t="shared" si="11"/>
        <v>-7</v>
      </c>
      <c r="Q104">
        <v>-1</v>
      </c>
    </row>
    <row r="105" spans="1:17">
      <c r="A105" t="s">
        <v>44</v>
      </c>
      <c r="B105" t="s">
        <v>19</v>
      </c>
      <c r="C105">
        <v>26</v>
      </c>
      <c r="D105">
        <v>56</v>
      </c>
      <c r="E105" s="1">
        <f t="shared" si="6"/>
        <v>0.31707317073170732</v>
      </c>
      <c r="F105" s="2">
        <v>97</v>
      </c>
      <c r="G105" s="2">
        <v>103.9</v>
      </c>
      <c r="H105" s="2">
        <f t="shared" si="7"/>
        <v>-6.9000000000000057</v>
      </c>
      <c r="I105" s="1">
        <f t="shared" si="8"/>
        <v>0.27646776360303693</v>
      </c>
      <c r="J105" s="2">
        <v>103.9</v>
      </c>
      <c r="K105" s="2">
        <v>111.1</v>
      </c>
      <c r="L105" s="2">
        <f t="shared" si="9"/>
        <v>-7.1999999999999886</v>
      </c>
      <c r="M105" s="1">
        <f t="shared" si="10"/>
        <v>4.060540712867039E-2</v>
      </c>
      <c r="N105" s="2">
        <v>109.3</v>
      </c>
      <c r="O105" s="2">
        <v>111.5</v>
      </c>
      <c r="P105" s="2">
        <f t="shared" si="11"/>
        <v>-2.2000000000000028</v>
      </c>
      <c r="Q105">
        <v>-1.7</v>
      </c>
    </row>
    <row r="106" spans="1:17">
      <c r="A106" t="s">
        <v>44</v>
      </c>
      <c r="B106" t="s">
        <v>27</v>
      </c>
      <c r="C106">
        <v>38</v>
      </c>
      <c r="D106">
        <v>44</v>
      </c>
      <c r="E106" s="1">
        <f t="shared" si="6"/>
        <v>0.46341463414634149</v>
      </c>
      <c r="F106" s="2">
        <v>102.5</v>
      </c>
      <c r="G106" s="2">
        <v>104.8</v>
      </c>
      <c r="H106" s="2">
        <f t="shared" si="7"/>
        <v>-2.2999999999999972</v>
      </c>
      <c r="I106" s="1">
        <f t="shared" si="8"/>
        <v>0.42295032284639811</v>
      </c>
      <c r="J106" s="2">
        <v>106.2</v>
      </c>
      <c r="K106" s="2">
        <v>108.6</v>
      </c>
      <c r="L106" s="2">
        <f t="shared" si="9"/>
        <v>-2.3999999999999915</v>
      </c>
      <c r="M106" s="1">
        <f t="shared" si="10"/>
        <v>4.0464311299943378E-2</v>
      </c>
      <c r="N106" s="2">
        <v>109.5</v>
      </c>
      <c r="O106" s="2">
        <v>106.7</v>
      </c>
      <c r="P106" s="2">
        <f t="shared" si="11"/>
        <v>2.7999999999999972</v>
      </c>
      <c r="Q106">
        <v>-0.6</v>
      </c>
    </row>
    <row r="107" spans="1:17">
      <c r="A107" t="s">
        <v>52</v>
      </c>
      <c r="B107" t="s">
        <v>31</v>
      </c>
      <c r="C107">
        <v>25</v>
      </c>
      <c r="D107">
        <v>57</v>
      </c>
      <c r="E107" s="1">
        <f t="shared" si="6"/>
        <v>0.3048780487804878</v>
      </c>
      <c r="F107" s="2">
        <v>95</v>
      </c>
      <c r="G107" s="2">
        <v>102.2</v>
      </c>
      <c r="H107" s="2">
        <f t="shared" si="7"/>
        <v>-7.2000000000000028</v>
      </c>
      <c r="I107" s="1">
        <f t="shared" si="8"/>
        <v>0.26448877178052832</v>
      </c>
      <c r="J107" s="2">
        <v>102.4</v>
      </c>
      <c r="K107" s="2">
        <v>110.1</v>
      </c>
      <c r="L107" s="2">
        <f t="shared" si="9"/>
        <v>-7.6999999999999886</v>
      </c>
      <c r="M107" s="1">
        <f t="shared" si="10"/>
        <v>4.0389276999959478E-2</v>
      </c>
      <c r="N107" s="2">
        <v>108.8</v>
      </c>
      <c r="O107" s="2">
        <v>121.1</v>
      </c>
      <c r="P107" s="2">
        <f t="shared" si="11"/>
        <v>-12.299999999999997</v>
      </c>
      <c r="Q107">
        <v>-1.8</v>
      </c>
    </row>
    <row r="108" spans="1:17">
      <c r="A108" t="s">
        <v>65</v>
      </c>
      <c r="B108" t="s">
        <v>33</v>
      </c>
      <c r="C108">
        <v>18</v>
      </c>
      <c r="D108">
        <v>64</v>
      </c>
      <c r="E108" s="1">
        <f t="shared" si="6"/>
        <v>0.21951219512195122</v>
      </c>
      <c r="F108" s="2">
        <v>108</v>
      </c>
      <c r="G108" s="2">
        <v>120.4</v>
      </c>
      <c r="H108" s="2">
        <f t="shared" si="7"/>
        <v>-12.400000000000006</v>
      </c>
      <c r="I108" s="1">
        <f t="shared" si="8"/>
        <v>0.17922069515019554</v>
      </c>
      <c r="J108" s="2">
        <v>105.8</v>
      </c>
      <c r="K108" s="2">
        <v>118</v>
      </c>
      <c r="L108" s="2">
        <f t="shared" si="9"/>
        <v>-12.200000000000003</v>
      </c>
      <c r="M108" s="1">
        <f t="shared" si="10"/>
        <v>4.0291499971755684E-2</v>
      </c>
      <c r="N108" s="2">
        <v>102.8</v>
      </c>
      <c r="O108" s="2">
        <v>114.2</v>
      </c>
      <c r="P108" s="2">
        <f t="shared" si="11"/>
        <v>-11.400000000000006</v>
      </c>
      <c r="Q108">
        <v>-2</v>
      </c>
    </row>
    <row r="109" spans="1:17">
      <c r="A109" t="s">
        <v>4</v>
      </c>
      <c r="B109" t="s">
        <v>25</v>
      </c>
      <c r="C109">
        <v>51</v>
      </c>
      <c r="D109">
        <v>31</v>
      </c>
      <c r="E109" s="1">
        <f t="shared" si="6"/>
        <v>0.62195121951219512</v>
      </c>
      <c r="F109" s="2">
        <v>94</v>
      </c>
      <c r="G109" s="2">
        <v>91.8</v>
      </c>
      <c r="H109" s="2">
        <f t="shared" si="7"/>
        <v>2.2000000000000028</v>
      </c>
      <c r="I109" s="1">
        <f t="shared" si="8"/>
        <v>0.58213763182578848</v>
      </c>
      <c r="J109" s="2">
        <v>98.9</v>
      </c>
      <c r="K109" s="2">
        <v>96.7</v>
      </c>
      <c r="L109" s="2">
        <f t="shared" si="9"/>
        <v>2.2000000000000028</v>
      </c>
      <c r="M109" s="1">
        <f t="shared" si="10"/>
        <v>3.9813587686406637E-2</v>
      </c>
      <c r="N109" s="2">
        <v>97.7</v>
      </c>
      <c r="O109" s="2">
        <v>87.1</v>
      </c>
      <c r="P109" s="2">
        <f t="shared" si="11"/>
        <v>10.600000000000009</v>
      </c>
      <c r="Q109">
        <v>1.7</v>
      </c>
    </row>
    <row r="110" spans="1:17">
      <c r="A110" t="s">
        <v>59</v>
      </c>
      <c r="B110" t="s">
        <v>24</v>
      </c>
      <c r="C110">
        <v>51</v>
      </c>
      <c r="D110">
        <v>31</v>
      </c>
      <c r="E110" s="1">
        <f t="shared" si="6"/>
        <v>0.62195121951219512</v>
      </c>
      <c r="F110" s="2">
        <v>115.2</v>
      </c>
      <c r="G110" s="2">
        <v>112.5</v>
      </c>
      <c r="H110" s="2">
        <f t="shared" si="7"/>
        <v>2.7000000000000028</v>
      </c>
      <c r="I110" s="1">
        <f t="shared" si="8"/>
        <v>0.58225355885206587</v>
      </c>
      <c r="J110" s="2">
        <v>111.6</v>
      </c>
      <c r="K110" s="2">
        <v>109</v>
      </c>
      <c r="L110" s="2">
        <f t="shared" si="9"/>
        <v>2.5999999999999943</v>
      </c>
      <c r="M110" s="1">
        <f t="shared" si="10"/>
        <v>3.9697660660129253E-2</v>
      </c>
      <c r="N110" s="2">
        <v>109.5</v>
      </c>
      <c r="O110" s="2">
        <v>106.1</v>
      </c>
      <c r="P110" s="2">
        <f t="shared" si="11"/>
        <v>3.4000000000000057</v>
      </c>
      <c r="Q110">
        <v>-0.1</v>
      </c>
    </row>
    <row r="111" spans="1:17">
      <c r="A111" t="s">
        <v>57</v>
      </c>
      <c r="B111" t="s">
        <v>33</v>
      </c>
      <c r="C111">
        <v>49</v>
      </c>
      <c r="D111">
        <v>33</v>
      </c>
      <c r="E111" s="1">
        <f t="shared" si="6"/>
        <v>0.59756097560975607</v>
      </c>
      <c r="F111" s="2">
        <v>109.2</v>
      </c>
      <c r="G111" s="2">
        <v>107.4</v>
      </c>
      <c r="H111" s="2">
        <f t="shared" si="7"/>
        <v>1.7999999999999972</v>
      </c>
      <c r="I111" s="1">
        <f t="shared" si="8"/>
        <v>0.55791201251406242</v>
      </c>
      <c r="J111" s="2">
        <v>110.4</v>
      </c>
      <c r="K111" s="2">
        <v>108.8</v>
      </c>
      <c r="L111" s="2">
        <f t="shared" si="9"/>
        <v>1.6000000000000085</v>
      </c>
      <c r="M111" s="1">
        <f t="shared" si="10"/>
        <v>3.9648963095693657E-2</v>
      </c>
      <c r="N111" s="2">
        <v>116.8</v>
      </c>
      <c r="O111" s="2">
        <v>103.8</v>
      </c>
      <c r="P111" s="2">
        <f t="shared" si="11"/>
        <v>13</v>
      </c>
      <c r="Q111">
        <v>0.8</v>
      </c>
    </row>
    <row r="112" spans="1:17">
      <c r="A112" t="s">
        <v>64</v>
      </c>
      <c r="B112" t="s">
        <v>35</v>
      </c>
      <c r="C112">
        <v>27</v>
      </c>
      <c r="D112">
        <v>55</v>
      </c>
      <c r="E112" s="1">
        <f t="shared" si="6"/>
        <v>0.32926829268292684</v>
      </c>
      <c r="F112" s="2">
        <v>105.8</v>
      </c>
      <c r="G112" s="2">
        <v>112.8</v>
      </c>
      <c r="H112" s="2">
        <f t="shared" si="7"/>
        <v>-7</v>
      </c>
      <c r="I112" s="1">
        <f t="shared" si="8"/>
        <v>0.28968354582770361</v>
      </c>
      <c r="J112" s="2">
        <v>106.8</v>
      </c>
      <c r="K112" s="2">
        <v>113.7</v>
      </c>
      <c r="L112" s="2">
        <f t="shared" si="9"/>
        <v>-6.9000000000000057</v>
      </c>
      <c r="M112" s="1">
        <f t="shared" si="10"/>
        <v>3.958474685522323E-2</v>
      </c>
      <c r="N112" s="2">
        <v>98.4</v>
      </c>
      <c r="O112" s="2">
        <v>105.9</v>
      </c>
      <c r="P112" s="2">
        <f t="shared" si="11"/>
        <v>-7.5</v>
      </c>
      <c r="Q112">
        <v>0.4</v>
      </c>
    </row>
    <row r="113" spans="1:17">
      <c r="A113" t="s">
        <v>36</v>
      </c>
      <c r="B113" t="s">
        <v>28</v>
      </c>
      <c r="C113">
        <v>60</v>
      </c>
      <c r="D113">
        <v>22</v>
      </c>
      <c r="E113" s="1">
        <f t="shared" si="6"/>
        <v>0.73170731707317072</v>
      </c>
      <c r="F113" s="2">
        <v>95.8</v>
      </c>
      <c r="G113" s="2">
        <v>90.4</v>
      </c>
      <c r="H113" s="2">
        <f t="shared" si="7"/>
        <v>5.3999999999999915</v>
      </c>
      <c r="I113" s="1">
        <f t="shared" si="8"/>
        <v>0.6925904288126854</v>
      </c>
      <c r="J113" s="2">
        <v>103.9</v>
      </c>
      <c r="K113" s="2">
        <v>98.1</v>
      </c>
      <c r="L113" s="2">
        <f t="shared" si="9"/>
        <v>5.8000000000000114</v>
      </c>
      <c r="M113" s="1">
        <f t="shared" si="10"/>
        <v>3.9116888260485316E-2</v>
      </c>
      <c r="N113" s="2">
        <v>102.4</v>
      </c>
      <c r="O113" s="2">
        <v>100</v>
      </c>
      <c r="P113" s="2">
        <f t="shared" si="11"/>
        <v>2.4000000000000057</v>
      </c>
      <c r="Q113">
        <v>-1.9</v>
      </c>
    </row>
    <row r="114" spans="1:17">
      <c r="A114" t="s">
        <v>49</v>
      </c>
      <c r="B114" t="s">
        <v>21</v>
      </c>
      <c r="C114">
        <v>22</v>
      </c>
      <c r="D114">
        <v>44</v>
      </c>
      <c r="E114" s="1">
        <f t="shared" si="6"/>
        <v>0.33333333333333331</v>
      </c>
      <c r="F114" s="2">
        <v>93.1</v>
      </c>
      <c r="G114" s="2">
        <v>99.1</v>
      </c>
      <c r="H114" s="2">
        <f t="shared" si="7"/>
        <v>-6</v>
      </c>
      <c r="I114" s="1">
        <f t="shared" si="8"/>
        <v>0.29434506272936611</v>
      </c>
      <c r="J114" s="2">
        <v>101.8</v>
      </c>
      <c r="K114" s="2">
        <v>108.1</v>
      </c>
      <c r="L114" s="2">
        <f t="shared" si="9"/>
        <v>-6.2999999999999972</v>
      </c>
      <c r="M114" s="1">
        <f t="shared" si="10"/>
        <v>3.8988270603967201E-2</v>
      </c>
      <c r="N114" s="2">
        <v>102.3</v>
      </c>
      <c r="O114" s="2">
        <v>119.7</v>
      </c>
      <c r="P114" s="2">
        <f t="shared" si="11"/>
        <v>-17.400000000000006</v>
      </c>
      <c r="Q114">
        <v>-1.4</v>
      </c>
    </row>
    <row r="115" spans="1:17">
      <c r="A115" t="s">
        <v>62</v>
      </c>
      <c r="B115" t="s">
        <v>24</v>
      </c>
      <c r="C115">
        <v>51</v>
      </c>
      <c r="D115">
        <v>31</v>
      </c>
      <c r="E115" s="1">
        <f t="shared" si="6"/>
        <v>0.62195121951219512</v>
      </c>
      <c r="F115" s="2">
        <v>109.9</v>
      </c>
      <c r="G115" s="2">
        <v>107.3</v>
      </c>
      <c r="H115" s="2">
        <f t="shared" si="7"/>
        <v>2.6000000000000085</v>
      </c>
      <c r="I115" s="1">
        <f t="shared" si="8"/>
        <v>0.58302187989199494</v>
      </c>
      <c r="J115" s="2">
        <v>113</v>
      </c>
      <c r="K115" s="2">
        <v>110.2</v>
      </c>
      <c r="L115" s="2">
        <f t="shared" si="9"/>
        <v>2.7999999999999972</v>
      </c>
      <c r="M115" s="1">
        <f t="shared" si="10"/>
        <v>3.8929339620200176E-2</v>
      </c>
      <c r="N115" s="2">
        <v>105.9</v>
      </c>
      <c r="O115" s="2">
        <v>103.6</v>
      </c>
      <c r="P115" s="2">
        <f t="shared" si="11"/>
        <v>2.3000000000000114</v>
      </c>
      <c r="Q115">
        <v>0.5</v>
      </c>
    </row>
    <row r="116" spans="1:17">
      <c r="A116" t="s">
        <v>39</v>
      </c>
      <c r="B116" t="s">
        <v>25</v>
      </c>
      <c r="C116">
        <v>62</v>
      </c>
      <c r="D116">
        <v>20</v>
      </c>
      <c r="E116" s="1">
        <f t="shared" si="6"/>
        <v>0.75609756097560976</v>
      </c>
      <c r="F116" s="2">
        <v>110.4</v>
      </c>
      <c r="G116" s="2">
        <v>103.3</v>
      </c>
      <c r="H116" s="2">
        <f t="shared" si="7"/>
        <v>7.1000000000000085</v>
      </c>
      <c r="I116" s="1">
        <f t="shared" si="8"/>
        <v>0.71720077079913214</v>
      </c>
      <c r="J116" s="2">
        <v>112.7</v>
      </c>
      <c r="K116" s="2">
        <v>105.7</v>
      </c>
      <c r="L116" s="2">
        <f t="shared" si="9"/>
        <v>7</v>
      </c>
      <c r="M116" s="1">
        <f t="shared" si="10"/>
        <v>3.8896790176477625E-2</v>
      </c>
      <c r="N116" s="2">
        <v>111.8</v>
      </c>
      <c r="O116" s="2">
        <v>98.9</v>
      </c>
      <c r="P116" s="2">
        <f t="shared" si="11"/>
        <v>12.899999999999991</v>
      </c>
      <c r="Q116">
        <v>0.3</v>
      </c>
    </row>
    <row r="117" spans="1:17">
      <c r="A117" t="s">
        <v>58</v>
      </c>
      <c r="B117" t="s">
        <v>15</v>
      </c>
      <c r="C117">
        <v>48</v>
      </c>
      <c r="D117">
        <v>34</v>
      </c>
      <c r="E117" s="1">
        <f t="shared" si="6"/>
        <v>0.58536585365853655</v>
      </c>
      <c r="F117" s="2">
        <v>105.6</v>
      </c>
      <c r="G117" s="2">
        <v>104.2</v>
      </c>
      <c r="H117" s="2">
        <f t="shared" si="7"/>
        <v>1.3999999999999915</v>
      </c>
      <c r="I117" s="1">
        <f t="shared" si="8"/>
        <v>0.54657641949522462</v>
      </c>
      <c r="J117" s="2">
        <v>108.5</v>
      </c>
      <c r="K117" s="2">
        <v>107.3</v>
      </c>
      <c r="L117" s="2">
        <f t="shared" si="9"/>
        <v>1.2000000000000028</v>
      </c>
      <c r="M117" s="1">
        <f t="shared" si="10"/>
        <v>3.8789434163311931E-2</v>
      </c>
      <c r="N117" s="2">
        <v>112.2</v>
      </c>
      <c r="O117" s="2">
        <v>95.5</v>
      </c>
      <c r="P117" s="2">
        <f t="shared" si="11"/>
        <v>16.700000000000003</v>
      </c>
      <c r="Q117">
        <v>-0.4</v>
      </c>
    </row>
    <row r="118" spans="1:17">
      <c r="A118" t="s">
        <v>39</v>
      </c>
      <c r="B118" t="s">
        <v>27</v>
      </c>
      <c r="C118">
        <v>50</v>
      </c>
      <c r="D118">
        <v>32</v>
      </c>
      <c r="E118" s="1">
        <f t="shared" si="6"/>
        <v>0.6097560975609756</v>
      </c>
      <c r="F118" s="2">
        <v>103.7</v>
      </c>
      <c r="G118" s="2">
        <v>101.6</v>
      </c>
      <c r="H118" s="2">
        <f t="shared" si="7"/>
        <v>2.1000000000000085</v>
      </c>
      <c r="I118" s="1">
        <f t="shared" si="8"/>
        <v>0.57111949434189069</v>
      </c>
      <c r="J118" s="2">
        <v>108.8</v>
      </c>
      <c r="K118" s="2">
        <v>106.5</v>
      </c>
      <c r="L118" s="2">
        <f t="shared" si="9"/>
        <v>2.2999999999999972</v>
      </c>
      <c r="M118" s="1">
        <f t="shared" si="10"/>
        <v>3.8636603219084908E-2</v>
      </c>
      <c r="N118" s="2">
        <v>105.2</v>
      </c>
      <c r="O118" s="2">
        <v>104.8</v>
      </c>
      <c r="P118" s="2">
        <f t="shared" si="11"/>
        <v>0.40000000000000568</v>
      </c>
      <c r="Q118">
        <v>0</v>
      </c>
    </row>
    <row r="119" spans="1:17">
      <c r="A119" t="s">
        <v>44</v>
      </c>
      <c r="B119" t="s">
        <v>33</v>
      </c>
      <c r="C119">
        <v>43</v>
      </c>
      <c r="D119">
        <v>39</v>
      </c>
      <c r="E119" s="1">
        <f t="shared" si="6"/>
        <v>0.52439024390243905</v>
      </c>
      <c r="F119" s="2">
        <v>98.8</v>
      </c>
      <c r="G119" s="2">
        <v>99.2</v>
      </c>
      <c r="H119" s="2">
        <f t="shared" si="7"/>
        <v>-0.40000000000000568</v>
      </c>
      <c r="I119" s="1">
        <f t="shared" si="8"/>
        <v>0.48586233608877544</v>
      </c>
      <c r="J119" s="2">
        <v>107.6</v>
      </c>
      <c r="K119" s="2">
        <v>107.9</v>
      </c>
      <c r="L119" s="2">
        <f t="shared" si="9"/>
        <v>-0.30000000000001137</v>
      </c>
      <c r="M119" s="1">
        <f t="shared" si="10"/>
        <v>3.8527907813663609E-2</v>
      </c>
      <c r="N119" s="2">
        <v>110.5</v>
      </c>
      <c r="O119" s="2">
        <v>108.6</v>
      </c>
      <c r="P119" s="2">
        <f t="shared" si="11"/>
        <v>1.9000000000000057</v>
      </c>
      <c r="Q119">
        <v>-0.1</v>
      </c>
    </row>
    <row r="120" spans="1:17">
      <c r="A120" t="s">
        <v>47</v>
      </c>
      <c r="B120" t="s">
        <v>35</v>
      </c>
      <c r="C120">
        <v>40</v>
      </c>
      <c r="D120">
        <v>42</v>
      </c>
      <c r="E120" s="1">
        <f t="shared" si="6"/>
        <v>0.48780487804878048</v>
      </c>
      <c r="F120" s="2">
        <v>102.5</v>
      </c>
      <c r="G120" s="2">
        <v>104</v>
      </c>
      <c r="H120" s="2">
        <f t="shared" si="7"/>
        <v>-1.5</v>
      </c>
      <c r="I120" s="1">
        <f t="shared" si="8"/>
        <v>0.44932622081798346</v>
      </c>
      <c r="J120" s="2">
        <v>107.5</v>
      </c>
      <c r="K120" s="2">
        <v>109</v>
      </c>
      <c r="L120" s="2">
        <f t="shared" si="9"/>
        <v>-1.5</v>
      </c>
      <c r="M120" s="1">
        <f t="shared" si="10"/>
        <v>3.847865723079702E-2</v>
      </c>
      <c r="N120" s="2">
        <v>98.2</v>
      </c>
      <c r="O120" s="2">
        <v>99</v>
      </c>
      <c r="P120" s="2">
        <f t="shared" si="11"/>
        <v>-0.79999999999999716</v>
      </c>
      <c r="Q120">
        <v>-1.5</v>
      </c>
    </row>
    <row r="121" spans="1:17">
      <c r="A121" t="s">
        <v>64</v>
      </c>
      <c r="B121" t="s">
        <v>7</v>
      </c>
      <c r="C121">
        <v>21</v>
      </c>
      <c r="D121">
        <v>61</v>
      </c>
      <c r="E121" s="1">
        <f t="shared" si="6"/>
        <v>0.25609756097560976</v>
      </c>
      <c r="F121" s="2">
        <v>106.6</v>
      </c>
      <c r="G121" s="2">
        <v>116.8</v>
      </c>
      <c r="H121" s="2">
        <f t="shared" si="7"/>
        <v>-10.200000000000003</v>
      </c>
      <c r="I121" s="1">
        <f t="shared" si="8"/>
        <v>0.21766704901451664</v>
      </c>
      <c r="J121" s="2">
        <v>108.6</v>
      </c>
      <c r="K121" s="2">
        <v>119.2</v>
      </c>
      <c r="L121" s="2">
        <f t="shared" si="9"/>
        <v>-10.600000000000009</v>
      </c>
      <c r="M121" s="1">
        <f t="shared" si="10"/>
        <v>3.8430511961093122E-2</v>
      </c>
      <c r="N121" s="2">
        <v>112</v>
      </c>
      <c r="O121" s="2">
        <v>113.6</v>
      </c>
      <c r="P121" s="2">
        <f t="shared" si="11"/>
        <v>-1.5999999999999943</v>
      </c>
      <c r="Q121">
        <v>-0.3</v>
      </c>
    </row>
    <row r="122" spans="1:17">
      <c r="A122" t="s">
        <v>43</v>
      </c>
      <c r="B122" t="s">
        <v>30</v>
      </c>
      <c r="C122">
        <v>47</v>
      </c>
      <c r="D122">
        <v>35</v>
      </c>
      <c r="E122" s="1">
        <f t="shared" si="6"/>
        <v>0.57317073170731703</v>
      </c>
      <c r="F122" s="2">
        <v>99.5</v>
      </c>
      <c r="G122" s="2">
        <v>98.5</v>
      </c>
      <c r="H122" s="2">
        <f t="shared" si="7"/>
        <v>1</v>
      </c>
      <c r="I122" s="1">
        <f t="shared" si="8"/>
        <v>0.53529503549100332</v>
      </c>
      <c r="J122" s="2">
        <v>105.7</v>
      </c>
      <c r="K122" s="2">
        <v>104.4</v>
      </c>
      <c r="L122" s="2">
        <f t="shared" si="9"/>
        <v>1.2999999999999972</v>
      </c>
      <c r="M122" s="1">
        <f t="shared" si="10"/>
        <v>3.7875696216313703E-2</v>
      </c>
      <c r="N122" s="2">
        <v>106.6</v>
      </c>
      <c r="O122" s="2">
        <v>99.7</v>
      </c>
      <c r="P122" s="2">
        <f t="shared" si="11"/>
        <v>6.8999999999999915</v>
      </c>
      <c r="Q122">
        <v>0.3</v>
      </c>
    </row>
    <row r="123" spans="1:17">
      <c r="A123" t="s">
        <v>50</v>
      </c>
      <c r="B123" t="s">
        <v>8</v>
      </c>
      <c r="C123">
        <v>45</v>
      </c>
      <c r="D123">
        <v>37</v>
      </c>
      <c r="E123" s="1">
        <f t="shared" si="6"/>
        <v>0.54878048780487809</v>
      </c>
      <c r="F123" s="2">
        <v>93.2</v>
      </c>
      <c r="G123" s="2">
        <v>92.9</v>
      </c>
      <c r="H123" s="2">
        <f t="shared" si="7"/>
        <v>0.29999999999999716</v>
      </c>
      <c r="I123" s="1">
        <f t="shared" si="8"/>
        <v>0.51128235010405287</v>
      </c>
      <c r="J123" s="2">
        <v>102.4</v>
      </c>
      <c r="K123" s="2">
        <v>101.9</v>
      </c>
      <c r="L123" s="2">
        <f t="shared" si="9"/>
        <v>0.5</v>
      </c>
      <c r="M123" s="1">
        <f t="shared" si="10"/>
        <v>3.7498137700825218E-2</v>
      </c>
      <c r="N123" s="2">
        <v>101.4</v>
      </c>
      <c r="O123" s="2">
        <v>94.7</v>
      </c>
      <c r="P123" s="2">
        <f t="shared" si="11"/>
        <v>6.7000000000000028</v>
      </c>
      <c r="Q123">
        <v>-0.5</v>
      </c>
    </row>
    <row r="124" spans="1:17">
      <c r="A124" t="s">
        <v>43</v>
      </c>
      <c r="B124" t="s">
        <v>24</v>
      </c>
      <c r="C124">
        <v>35</v>
      </c>
      <c r="D124">
        <v>47</v>
      </c>
      <c r="E124" s="1">
        <f t="shared" si="6"/>
        <v>0.42682926829268292</v>
      </c>
      <c r="F124" s="2">
        <v>94.9</v>
      </c>
      <c r="G124" s="2">
        <v>98</v>
      </c>
      <c r="H124" s="2">
        <f t="shared" si="7"/>
        <v>-3.0999999999999943</v>
      </c>
      <c r="I124" s="1">
        <f t="shared" si="8"/>
        <v>0.38935771732767777</v>
      </c>
      <c r="J124" s="2">
        <v>102.4</v>
      </c>
      <c r="K124" s="2">
        <v>105.6</v>
      </c>
      <c r="L124" s="2">
        <f t="shared" si="9"/>
        <v>-3.1999999999999886</v>
      </c>
      <c r="M124" s="1">
        <f t="shared" si="10"/>
        <v>3.7471550965005151E-2</v>
      </c>
      <c r="N124" s="2">
        <v>106.5</v>
      </c>
      <c r="O124" s="2">
        <v>97.9</v>
      </c>
      <c r="P124" s="2">
        <f t="shared" si="11"/>
        <v>8.5999999999999943</v>
      </c>
      <c r="Q124">
        <v>-0.1</v>
      </c>
    </row>
    <row r="125" spans="1:17">
      <c r="A125" t="s">
        <v>44</v>
      </c>
      <c r="B125" t="s">
        <v>40</v>
      </c>
      <c r="C125">
        <v>32</v>
      </c>
      <c r="D125">
        <v>50</v>
      </c>
      <c r="E125" s="1">
        <f t="shared" si="6"/>
        <v>0.3902439024390244</v>
      </c>
      <c r="F125" s="2">
        <v>97.1</v>
      </c>
      <c r="G125" s="2">
        <v>101.4</v>
      </c>
      <c r="H125" s="2">
        <f t="shared" si="7"/>
        <v>-4.3000000000000114</v>
      </c>
      <c r="I125" s="1">
        <f t="shared" si="8"/>
        <v>0.35282512141387656</v>
      </c>
      <c r="J125" s="2">
        <v>103.7</v>
      </c>
      <c r="K125" s="2">
        <v>108.2</v>
      </c>
      <c r="L125" s="2">
        <f t="shared" si="9"/>
        <v>-4.5</v>
      </c>
      <c r="M125" s="1">
        <f t="shared" si="10"/>
        <v>3.741878102514784E-2</v>
      </c>
      <c r="N125" s="2">
        <v>101.9</v>
      </c>
      <c r="O125" s="2">
        <v>100.5</v>
      </c>
      <c r="P125" s="2">
        <f t="shared" si="11"/>
        <v>1.4000000000000057</v>
      </c>
      <c r="Q125">
        <v>-0.5</v>
      </c>
    </row>
    <row r="126" spans="1:17">
      <c r="A126" t="s">
        <v>34</v>
      </c>
      <c r="B126" t="s">
        <v>8</v>
      </c>
      <c r="C126">
        <v>21</v>
      </c>
      <c r="D126">
        <v>61</v>
      </c>
      <c r="E126" s="1">
        <f t="shared" si="6"/>
        <v>0.25609756097560976</v>
      </c>
      <c r="F126" s="2">
        <v>89.5</v>
      </c>
      <c r="G126" s="2">
        <v>98</v>
      </c>
      <c r="H126" s="2">
        <f t="shared" si="7"/>
        <v>-8.5</v>
      </c>
      <c r="I126" s="1">
        <f t="shared" si="8"/>
        <v>0.21922234164546633</v>
      </c>
      <c r="J126" s="2">
        <v>97.2</v>
      </c>
      <c r="K126" s="2">
        <v>106.2</v>
      </c>
      <c r="L126" s="2">
        <f t="shared" si="9"/>
        <v>-9</v>
      </c>
      <c r="M126" s="1">
        <f t="shared" si="10"/>
        <v>3.6875219330143427E-2</v>
      </c>
      <c r="N126" s="2">
        <v>99.7</v>
      </c>
      <c r="O126" s="2">
        <v>97.6</v>
      </c>
      <c r="P126" s="2">
        <f t="shared" si="11"/>
        <v>2.1000000000000085</v>
      </c>
      <c r="Q126">
        <v>0</v>
      </c>
    </row>
    <row r="127" spans="1:17">
      <c r="A127" t="s">
        <v>47</v>
      </c>
      <c r="B127" t="s">
        <v>37</v>
      </c>
      <c r="C127">
        <v>37</v>
      </c>
      <c r="D127">
        <v>45</v>
      </c>
      <c r="E127" s="1">
        <f t="shared" si="6"/>
        <v>0.45121951219512196</v>
      </c>
      <c r="F127" s="2">
        <v>100.2</v>
      </c>
      <c r="G127" s="2">
        <v>102.7</v>
      </c>
      <c r="H127" s="2">
        <f t="shared" si="7"/>
        <v>-2.5</v>
      </c>
      <c r="I127" s="1">
        <f t="shared" si="8"/>
        <v>0.41459179126180778</v>
      </c>
      <c r="J127" s="2">
        <v>106.5</v>
      </c>
      <c r="K127" s="2">
        <v>108.9</v>
      </c>
      <c r="L127" s="2">
        <f t="shared" si="9"/>
        <v>-2.4000000000000057</v>
      </c>
      <c r="M127" s="1">
        <f t="shared" si="10"/>
        <v>3.6627720933314178E-2</v>
      </c>
      <c r="N127" s="2">
        <v>109</v>
      </c>
      <c r="O127" s="2">
        <v>99.2</v>
      </c>
      <c r="P127" s="2">
        <f t="shared" si="11"/>
        <v>9.7999999999999972</v>
      </c>
      <c r="Q127">
        <v>0.3</v>
      </c>
    </row>
    <row r="128" spans="1:17">
      <c r="A128" t="s">
        <v>4</v>
      </c>
      <c r="B128" t="s">
        <v>29</v>
      </c>
      <c r="C128">
        <v>44</v>
      </c>
      <c r="D128">
        <v>38</v>
      </c>
      <c r="E128" s="1">
        <f t="shared" si="6"/>
        <v>0.53658536585365857</v>
      </c>
      <c r="F128" s="2">
        <v>97.3</v>
      </c>
      <c r="G128" s="2">
        <v>97.3</v>
      </c>
      <c r="H128" s="2">
        <f t="shared" si="7"/>
        <v>0</v>
      </c>
      <c r="I128" s="1">
        <f t="shared" si="8"/>
        <v>0.5</v>
      </c>
      <c r="J128" s="2">
        <v>104.4</v>
      </c>
      <c r="K128" s="2">
        <v>104.2</v>
      </c>
      <c r="L128" s="2">
        <f t="shared" si="9"/>
        <v>0.20000000000000284</v>
      </c>
      <c r="M128" s="1">
        <f t="shared" si="10"/>
        <v>3.6585365853658569E-2</v>
      </c>
      <c r="N128" s="2">
        <v>98.3</v>
      </c>
      <c r="O128" s="2">
        <v>102.3</v>
      </c>
      <c r="P128" s="2">
        <f t="shared" si="11"/>
        <v>-4</v>
      </c>
      <c r="Q128">
        <v>-0.4</v>
      </c>
    </row>
    <row r="129" spans="1:17">
      <c r="A129" t="s">
        <v>63</v>
      </c>
      <c r="B129" t="s">
        <v>28</v>
      </c>
      <c r="C129">
        <v>22</v>
      </c>
      <c r="D129">
        <v>60</v>
      </c>
      <c r="E129" s="1">
        <f t="shared" si="6"/>
        <v>0.26829268292682928</v>
      </c>
      <c r="F129" s="2">
        <v>113</v>
      </c>
      <c r="G129" s="2">
        <v>123.1</v>
      </c>
      <c r="H129" s="2">
        <f t="shared" si="7"/>
        <v>-10.099999999999994</v>
      </c>
      <c r="I129" s="1">
        <f t="shared" si="8"/>
        <v>0.23173700210202122</v>
      </c>
      <c r="J129" s="2">
        <v>109.7</v>
      </c>
      <c r="K129" s="2">
        <v>119.6</v>
      </c>
      <c r="L129" s="2">
        <f t="shared" si="9"/>
        <v>-9.8999999999999915</v>
      </c>
      <c r="M129" s="1">
        <f t="shared" si="10"/>
        <v>3.6555680824808062E-2</v>
      </c>
      <c r="N129" s="2">
        <v>98.2</v>
      </c>
      <c r="O129" s="2">
        <v>112.4</v>
      </c>
      <c r="P129" s="2">
        <f t="shared" si="11"/>
        <v>-14.200000000000003</v>
      </c>
      <c r="Q129">
        <v>-3.9</v>
      </c>
    </row>
    <row r="130" spans="1:17">
      <c r="A130" t="s">
        <v>54</v>
      </c>
      <c r="B130" t="s">
        <v>33</v>
      </c>
      <c r="C130">
        <v>46</v>
      </c>
      <c r="D130">
        <v>36</v>
      </c>
      <c r="E130" s="1">
        <f t="shared" si="6"/>
        <v>0.56097560975609762</v>
      </c>
      <c r="F130" s="2">
        <v>98.5</v>
      </c>
      <c r="G130" s="2">
        <v>97.8</v>
      </c>
      <c r="H130" s="2">
        <f t="shared" si="7"/>
        <v>0.70000000000000284</v>
      </c>
      <c r="I130" s="1">
        <f t="shared" si="8"/>
        <v>0.52494118140879675</v>
      </c>
      <c r="J130" s="2">
        <v>103</v>
      </c>
      <c r="K130" s="2">
        <v>102.4</v>
      </c>
      <c r="L130" s="2">
        <f t="shared" si="9"/>
        <v>0.59999999999999432</v>
      </c>
      <c r="M130" s="1">
        <f t="shared" si="10"/>
        <v>3.6034428347300862E-2</v>
      </c>
      <c r="N130" s="2">
        <v>89.6</v>
      </c>
      <c r="O130" s="2">
        <v>104</v>
      </c>
      <c r="P130" s="2">
        <f t="shared" si="11"/>
        <v>-14.400000000000006</v>
      </c>
      <c r="Q130">
        <v>-1.7</v>
      </c>
    </row>
    <row r="131" spans="1:17">
      <c r="A131" t="s">
        <v>64</v>
      </c>
      <c r="B131" t="s">
        <v>11</v>
      </c>
      <c r="C131">
        <v>57</v>
      </c>
      <c r="D131">
        <v>25</v>
      </c>
      <c r="E131" s="1">
        <f t="shared" si="6"/>
        <v>0.69512195121951215</v>
      </c>
      <c r="F131" s="2">
        <v>114.9</v>
      </c>
      <c r="G131" s="2">
        <v>109.6</v>
      </c>
      <c r="H131" s="2">
        <f t="shared" si="7"/>
        <v>5.3000000000000114</v>
      </c>
      <c r="I131" s="1">
        <f t="shared" si="8"/>
        <v>0.65951807642431337</v>
      </c>
      <c r="J131" s="2">
        <v>117.8</v>
      </c>
      <c r="K131" s="2">
        <v>112.3</v>
      </c>
      <c r="L131" s="2">
        <f t="shared" si="9"/>
        <v>5.5</v>
      </c>
      <c r="M131" s="1">
        <f t="shared" si="10"/>
        <v>3.5603874795198776E-2</v>
      </c>
      <c r="N131" s="2">
        <v>121.1</v>
      </c>
      <c r="O131" s="2">
        <v>95.6</v>
      </c>
      <c r="P131" s="2">
        <f t="shared" si="11"/>
        <v>25.5</v>
      </c>
      <c r="Q131">
        <v>1.2</v>
      </c>
    </row>
    <row r="132" spans="1:17">
      <c r="A132" t="s">
        <v>47</v>
      </c>
      <c r="B132" t="s">
        <v>17</v>
      </c>
      <c r="C132">
        <v>57</v>
      </c>
      <c r="D132">
        <v>25</v>
      </c>
      <c r="E132" s="1">
        <f t="shared" si="6"/>
        <v>0.69512195121951215</v>
      </c>
      <c r="F132" s="2">
        <v>101.7</v>
      </c>
      <c r="G132" s="2">
        <v>97</v>
      </c>
      <c r="H132" s="2">
        <f t="shared" si="7"/>
        <v>4.7000000000000028</v>
      </c>
      <c r="I132" s="1">
        <f t="shared" si="8"/>
        <v>0.65980571592524628</v>
      </c>
      <c r="J132" s="2">
        <v>107.6</v>
      </c>
      <c r="K132" s="2">
        <v>102.7</v>
      </c>
      <c r="L132" s="2">
        <f t="shared" si="9"/>
        <v>4.8999999999999915</v>
      </c>
      <c r="M132" s="1">
        <f t="shared" si="10"/>
        <v>3.5316235294265863E-2</v>
      </c>
      <c r="N132" s="2">
        <v>99.7</v>
      </c>
      <c r="O132" s="2">
        <v>95.9</v>
      </c>
      <c r="P132" s="2">
        <f t="shared" si="11"/>
        <v>3.7999999999999972</v>
      </c>
      <c r="Q132">
        <v>0.2</v>
      </c>
    </row>
    <row r="133" spans="1:17">
      <c r="A133" t="s">
        <v>66</v>
      </c>
      <c r="B133" t="s">
        <v>8</v>
      </c>
      <c r="C133">
        <v>26</v>
      </c>
      <c r="D133">
        <v>37</v>
      </c>
      <c r="E133" s="1">
        <f t="shared" si="6"/>
        <v>0.41269841269841268</v>
      </c>
      <c r="F133" s="2">
        <v>115.5</v>
      </c>
      <c r="G133" s="2">
        <v>119.7</v>
      </c>
      <c r="H133" s="2">
        <f t="shared" si="7"/>
        <v>-4.2000000000000028</v>
      </c>
      <c r="I133" s="1">
        <f t="shared" si="8"/>
        <v>0.37752817692129625</v>
      </c>
      <c r="J133" s="2">
        <v>112.2</v>
      </c>
      <c r="K133" s="2">
        <v>116.6</v>
      </c>
      <c r="L133" s="2">
        <f t="shared" si="9"/>
        <v>-4.3999999999999915</v>
      </c>
      <c r="M133" s="1">
        <f t="shared" si="10"/>
        <v>3.5170235777116421E-2</v>
      </c>
      <c r="N133" s="2">
        <v>108.4</v>
      </c>
      <c r="O133" s="2">
        <v>117.1</v>
      </c>
      <c r="P133" s="2">
        <f t="shared" si="11"/>
        <v>-8.6999999999999886</v>
      </c>
      <c r="Q133">
        <v>-0.6</v>
      </c>
    </row>
    <row r="134" spans="1:17">
      <c r="A134" t="s">
        <v>61</v>
      </c>
      <c r="B134" t="s">
        <v>25</v>
      </c>
      <c r="C134">
        <v>51</v>
      </c>
      <c r="D134">
        <v>21</v>
      </c>
      <c r="E134" s="1">
        <f t="shared" si="6"/>
        <v>0.70833333333333337</v>
      </c>
      <c r="F134" s="2">
        <v>115.3</v>
      </c>
      <c r="G134" s="2">
        <v>109.5</v>
      </c>
      <c r="H134" s="2">
        <f t="shared" si="7"/>
        <v>5.7999999999999972</v>
      </c>
      <c r="I134" s="1">
        <f t="shared" si="8"/>
        <v>0.67317496175026137</v>
      </c>
      <c r="J134" s="2">
        <v>116.3</v>
      </c>
      <c r="K134" s="2">
        <v>110.4</v>
      </c>
      <c r="L134" s="2">
        <f t="shared" si="9"/>
        <v>5.8999999999999915</v>
      </c>
      <c r="M134" s="1">
        <f t="shared" si="10"/>
        <v>3.5158371583072001E-2</v>
      </c>
      <c r="N134" s="2">
        <v>110.3</v>
      </c>
      <c r="O134" s="2">
        <v>107.9</v>
      </c>
      <c r="P134" s="2">
        <f t="shared" si="11"/>
        <v>2.3999999999999915</v>
      </c>
      <c r="Q134">
        <v>0.7</v>
      </c>
    </row>
    <row r="135" spans="1:17">
      <c r="A135" t="s">
        <v>61</v>
      </c>
      <c r="B135" t="s">
        <v>51</v>
      </c>
      <c r="C135">
        <v>48</v>
      </c>
      <c r="D135">
        <v>24</v>
      </c>
      <c r="E135" s="1">
        <f t="shared" si="6"/>
        <v>0.66666666666666663</v>
      </c>
      <c r="F135" s="2">
        <v>118.6</v>
      </c>
      <c r="G135" s="2">
        <v>114.1</v>
      </c>
      <c r="H135" s="2">
        <f t="shared" si="7"/>
        <v>4.5</v>
      </c>
      <c r="I135" s="1">
        <f t="shared" si="8"/>
        <v>0.63216994078193656</v>
      </c>
      <c r="J135" s="2">
        <v>117.3</v>
      </c>
      <c r="K135" s="2">
        <v>113.1</v>
      </c>
      <c r="L135" s="2">
        <f t="shared" si="9"/>
        <v>4.2000000000000028</v>
      </c>
      <c r="M135" s="1">
        <f t="shared" si="10"/>
        <v>3.4496725884730073E-2</v>
      </c>
      <c r="N135" s="2">
        <v>113.2</v>
      </c>
      <c r="O135" s="2">
        <v>103.5</v>
      </c>
      <c r="P135" s="2">
        <f t="shared" si="11"/>
        <v>9.7000000000000028</v>
      </c>
      <c r="Q135">
        <v>0.9</v>
      </c>
    </row>
    <row r="136" spans="1:17">
      <c r="A136" t="s">
        <v>50</v>
      </c>
      <c r="B136" t="s">
        <v>24</v>
      </c>
      <c r="C136">
        <v>34</v>
      </c>
      <c r="D136">
        <v>48</v>
      </c>
      <c r="E136" s="1">
        <f t="shared" si="6"/>
        <v>0.41463414634146339</v>
      </c>
      <c r="F136" s="2">
        <v>93.2</v>
      </c>
      <c r="G136" s="2">
        <v>96.5</v>
      </c>
      <c r="H136" s="2">
        <f t="shared" si="7"/>
        <v>-3.2999999999999972</v>
      </c>
      <c r="I136" s="1">
        <f t="shared" si="8"/>
        <v>0.38056895293996196</v>
      </c>
      <c r="J136" s="2">
        <v>101</v>
      </c>
      <c r="K136" s="2">
        <v>104.7</v>
      </c>
      <c r="L136" s="2">
        <f t="shared" si="9"/>
        <v>-3.7000000000000028</v>
      </c>
      <c r="M136" s="1">
        <f t="shared" si="10"/>
        <v>3.4065193401501437E-2</v>
      </c>
      <c r="N136" s="2">
        <v>94.2</v>
      </c>
      <c r="O136" s="2">
        <v>100</v>
      </c>
      <c r="P136" s="2">
        <f t="shared" si="11"/>
        <v>-5.7999999999999972</v>
      </c>
      <c r="Q136">
        <v>-0.7</v>
      </c>
    </row>
    <row r="137" spans="1:17">
      <c r="A137" t="s">
        <v>62</v>
      </c>
      <c r="B137" t="s">
        <v>46</v>
      </c>
      <c r="C137">
        <v>24</v>
      </c>
      <c r="D137">
        <v>58</v>
      </c>
      <c r="E137" s="1">
        <f t="shared" ref="E137:E200" si="12">+C137/(C137+D137)</f>
        <v>0.29268292682926828</v>
      </c>
      <c r="F137" s="2">
        <v>103.7</v>
      </c>
      <c r="G137" s="2">
        <v>111.8</v>
      </c>
      <c r="H137" s="2">
        <f t="shared" ref="H137:H200" si="13">+F137-G137</f>
        <v>-8.0999999999999943</v>
      </c>
      <c r="I137" s="1">
        <f t="shared" ref="I137:I200" si="14">+(F137^14)/((F137^14+G137^14))</f>
        <v>0.25866242852383342</v>
      </c>
      <c r="J137" s="2">
        <v>103.8</v>
      </c>
      <c r="K137" s="2">
        <v>111.7</v>
      </c>
      <c r="L137" s="2">
        <f t="shared" ref="L137:L200" si="15">+J137-K137</f>
        <v>-7.9000000000000057</v>
      </c>
      <c r="M137" s="1">
        <f t="shared" ref="M137:M200" si="16">+E137-I137</f>
        <v>3.4020498305434854E-2</v>
      </c>
      <c r="N137" s="2">
        <v>105.1</v>
      </c>
      <c r="O137" s="2">
        <v>108.7</v>
      </c>
      <c r="P137" s="2">
        <f t="shared" si="11"/>
        <v>-3.6000000000000085</v>
      </c>
      <c r="Q137">
        <v>-0.7</v>
      </c>
    </row>
    <row r="138" spans="1:17">
      <c r="A138" t="s">
        <v>43</v>
      </c>
      <c r="B138" t="s">
        <v>42</v>
      </c>
      <c r="C138">
        <v>39</v>
      </c>
      <c r="D138">
        <v>43</v>
      </c>
      <c r="E138" s="1">
        <f t="shared" si="12"/>
        <v>0.47560975609756095</v>
      </c>
      <c r="F138" s="2">
        <v>95.5</v>
      </c>
      <c r="G138" s="2">
        <v>97.1</v>
      </c>
      <c r="H138" s="2">
        <f t="shared" si="13"/>
        <v>-1.5999999999999943</v>
      </c>
      <c r="I138" s="1">
        <f t="shared" si="14"/>
        <v>0.44210785442582834</v>
      </c>
      <c r="J138" s="2">
        <v>103.7</v>
      </c>
      <c r="K138" s="2">
        <v>105.4</v>
      </c>
      <c r="L138" s="2">
        <f t="shared" si="15"/>
        <v>-1.7000000000000028</v>
      </c>
      <c r="M138" s="1">
        <f t="shared" si="16"/>
        <v>3.3501901671732615E-2</v>
      </c>
      <c r="N138" s="2">
        <v>101.2</v>
      </c>
      <c r="O138" s="2">
        <v>96.6</v>
      </c>
      <c r="P138" s="2">
        <f t="shared" ref="P138:P201" si="17">+N138-O138</f>
        <v>4.6000000000000085</v>
      </c>
      <c r="Q138">
        <v>-0.2</v>
      </c>
    </row>
    <row r="139" spans="1:17">
      <c r="A139" t="s">
        <v>62</v>
      </c>
      <c r="B139" t="s">
        <v>33</v>
      </c>
      <c r="C139">
        <v>35</v>
      </c>
      <c r="D139">
        <v>47</v>
      </c>
      <c r="E139" s="1">
        <f t="shared" si="12"/>
        <v>0.42682926829268292</v>
      </c>
      <c r="F139" s="2">
        <v>108.6</v>
      </c>
      <c r="G139" s="2">
        <v>112</v>
      </c>
      <c r="H139" s="2">
        <f t="shared" si="13"/>
        <v>-3.4000000000000057</v>
      </c>
      <c r="I139" s="1">
        <f t="shared" si="14"/>
        <v>0.39374803277968673</v>
      </c>
      <c r="J139" s="2">
        <v>110.2</v>
      </c>
      <c r="K139" s="2">
        <v>113.6</v>
      </c>
      <c r="L139" s="2">
        <f t="shared" si="15"/>
        <v>-3.3999999999999915</v>
      </c>
      <c r="M139" s="1">
        <f t="shared" si="16"/>
        <v>3.3081235512996188E-2</v>
      </c>
      <c r="N139" s="2">
        <v>111.5</v>
      </c>
      <c r="O139" s="2">
        <v>98.8</v>
      </c>
      <c r="P139" s="2">
        <f t="shared" si="17"/>
        <v>12.700000000000003</v>
      </c>
      <c r="Q139">
        <v>0.5</v>
      </c>
    </row>
    <row r="140" spans="1:17">
      <c r="A140" t="s">
        <v>44</v>
      </c>
      <c r="B140" t="s">
        <v>26</v>
      </c>
      <c r="C140">
        <v>41</v>
      </c>
      <c r="D140">
        <v>41</v>
      </c>
      <c r="E140" s="1">
        <f t="shared" si="12"/>
        <v>0.5</v>
      </c>
      <c r="F140" s="2">
        <v>95.4</v>
      </c>
      <c r="G140" s="2">
        <v>96.3</v>
      </c>
      <c r="H140" s="2">
        <f t="shared" si="13"/>
        <v>-0.89999999999999147</v>
      </c>
      <c r="I140" s="1">
        <f t="shared" si="14"/>
        <v>0.46718315355083007</v>
      </c>
      <c r="J140" s="2">
        <v>105.9</v>
      </c>
      <c r="K140" s="2">
        <v>106.8</v>
      </c>
      <c r="L140" s="2">
        <f t="shared" si="15"/>
        <v>-0.89999999999999147</v>
      </c>
      <c r="M140" s="1">
        <f t="shared" si="16"/>
        <v>3.2816846449169934E-2</v>
      </c>
      <c r="N140" s="2">
        <v>110.6</v>
      </c>
      <c r="O140" s="2">
        <v>107.7</v>
      </c>
      <c r="P140" s="2">
        <f t="shared" si="17"/>
        <v>2.8999999999999915</v>
      </c>
      <c r="Q140">
        <v>0.1</v>
      </c>
    </row>
    <row r="141" spans="1:17">
      <c r="A141" t="s">
        <v>52</v>
      </c>
      <c r="B141" t="s">
        <v>24</v>
      </c>
      <c r="C141">
        <v>19</v>
      </c>
      <c r="D141">
        <v>63</v>
      </c>
      <c r="E141" s="1">
        <f t="shared" si="12"/>
        <v>0.23170731707317074</v>
      </c>
      <c r="F141" s="2">
        <v>99.5</v>
      </c>
      <c r="G141" s="2">
        <v>109.9</v>
      </c>
      <c r="H141" s="2">
        <f t="shared" si="13"/>
        <v>-10.400000000000006</v>
      </c>
      <c r="I141" s="1">
        <f t="shared" si="14"/>
        <v>0.19912293805378545</v>
      </c>
      <c r="J141" s="2">
        <v>99</v>
      </c>
      <c r="K141" s="2">
        <v>109</v>
      </c>
      <c r="L141" s="2">
        <f t="shared" si="15"/>
        <v>-10</v>
      </c>
      <c r="M141" s="1">
        <f t="shared" si="16"/>
        <v>3.2584379019385296E-2</v>
      </c>
      <c r="N141" s="2">
        <v>105</v>
      </c>
      <c r="O141" s="2">
        <v>99</v>
      </c>
      <c r="P141" s="2">
        <f t="shared" si="17"/>
        <v>6</v>
      </c>
      <c r="Q141">
        <v>-0.8</v>
      </c>
    </row>
    <row r="142" spans="1:17">
      <c r="A142" t="s">
        <v>59</v>
      </c>
      <c r="B142" t="s">
        <v>11</v>
      </c>
      <c r="C142">
        <v>54</v>
      </c>
      <c r="D142">
        <v>28</v>
      </c>
      <c r="E142" s="1">
        <f t="shared" si="12"/>
        <v>0.65853658536585369</v>
      </c>
      <c r="F142" s="2">
        <v>110.7</v>
      </c>
      <c r="G142" s="2">
        <v>106.7</v>
      </c>
      <c r="H142" s="2">
        <f t="shared" si="13"/>
        <v>4</v>
      </c>
      <c r="I142" s="1">
        <f t="shared" si="14"/>
        <v>0.62603347117131569</v>
      </c>
      <c r="J142" s="2">
        <v>112.1</v>
      </c>
      <c r="K142" s="2">
        <v>108.1</v>
      </c>
      <c r="L142" s="2">
        <f t="shared" si="15"/>
        <v>4</v>
      </c>
      <c r="M142" s="1">
        <f t="shared" si="16"/>
        <v>3.2503114194537996E-2</v>
      </c>
      <c r="N142" s="2">
        <v>106.7</v>
      </c>
      <c r="O142" s="2">
        <v>94.9</v>
      </c>
      <c r="P142" s="2">
        <f t="shared" si="17"/>
        <v>11.799999999999997</v>
      </c>
      <c r="Q142">
        <v>1.6</v>
      </c>
    </row>
    <row r="143" spans="1:17">
      <c r="A143" t="s">
        <v>50</v>
      </c>
      <c r="B143" t="s">
        <v>11</v>
      </c>
      <c r="C143">
        <v>57</v>
      </c>
      <c r="D143">
        <v>25</v>
      </c>
      <c r="E143" s="1">
        <f t="shared" si="12"/>
        <v>0.69512195121951215</v>
      </c>
      <c r="F143" s="2">
        <v>106.1</v>
      </c>
      <c r="G143" s="2">
        <v>101.1</v>
      </c>
      <c r="H143" s="2">
        <f t="shared" si="13"/>
        <v>5</v>
      </c>
      <c r="I143" s="1">
        <f t="shared" si="14"/>
        <v>0.66280219358548198</v>
      </c>
      <c r="J143" s="2">
        <v>109.3</v>
      </c>
      <c r="K143" s="2">
        <v>104.2</v>
      </c>
      <c r="L143" s="2">
        <f t="shared" si="15"/>
        <v>5.0999999999999943</v>
      </c>
      <c r="M143" s="1">
        <f t="shared" si="16"/>
        <v>3.2319757634030166E-2</v>
      </c>
      <c r="N143" s="2">
        <v>107.2</v>
      </c>
      <c r="O143" s="2">
        <v>95.7</v>
      </c>
      <c r="P143" s="2">
        <f t="shared" si="17"/>
        <v>11.5</v>
      </c>
      <c r="Q143">
        <v>1.4</v>
      </c>
    </row>
    <row r="144" spans="1:17">
      <c r="A144" t="s">
        <v>50</v>
      </c>
      <c r="B144" t="s">
        <v>51</v>
      </c>
      <c r="C144">
        <v>49</v>
      </c>
      <c r="D144">
        <v>33</v>
      </c>
      <c r="E144" s="1">
        <f t="shared" si="12"/>
        <v>0.59756097560975607</v>
      </c>
      <c r="F144" s="2">
        <v>96.9</v>
      </c>
      <c r="G144" s="2">
        <v>95.1</v>
      </c>
      <c r="H144" s="2">
        <f t="shared" si="13"/>
        <v>1.8000000000000114</v>
      </c>
      <c r="I144" s="1">
        <f t="shared" si="14"/>
        <v>0.56525263753000543</v>
      </c>
      <c r="J144" s="2">
        <v>106.9</v>
      </c>
      <c r="K144" s="2">
        <v>104.8</v>
      </c>
      <c r="L144" s="2">
        <f t="shared" si="15"/>
        <v>2.1000000000000085</v>
      </c>
      <c r="M144" s="1">
        <f t="shared" si="16"/>
        <v>3.2308338079750643E-2</v>
      </c>
      <c r="N144" s="2">
        <v>98.8</v>
      </c>
      <c r="O144" s="2">
        <v>99.7</v>
      </c>
      <c r="P144" s="2">
        <f t="shared" si="17"/>
        <v>-0.90000000000000568</v>
      </c>
      <c r="Q144">
        <v>0.4</v>
      </c>
    </row>
    <row r="145" spans="1:17">
      <c r="A145" t="s">
        <v>39</v>
      </c>
      <c r="B145" t="s">
        <v>8</v>
      </c>
      <c r="C145">
        <v>47</v>
      </c>
      <c r="D145">
        <v>35</v>
      </c>
      <c r="E145" s="1">
        <f t="shared" si="12"/>
        <v>0.57317073170731703</v>
      </c>
      <c r="F145" s="2">
        <v>94.5</v>
      </c>
      <c r="G145" s="2">
        <v>93.4</v>
      </c>
      <c r="H145" s="2">
        <f t="shared" si="13"/>
        <v>1.0999999999999943</v>
      </c>
      <c r="I145" s="1">
        <f t="shared" si="14"/>
        <v>0.54088819998710902</v>
      </c>
      <c r="J145" s="2">
        <v>100.5</v>
      </c>
      <c r="K145" s="2">
        <v>99.1</v>
      </c>
      <c r="L145" s="2">
        <f t="shared" si="15"/>
        <v>1.4000000000000057</v>
      </c>
      <c r="M145" s="1">
        <f t="shared" si="16"/>
        <v>3.2282531720208008E-2</v>
      </c>
      <c r="N145" s="2">
        <v>96.7</v>
      </c>
      <c r="O145" s="2">
        <v>87</v>
      </c>
      <c r="P145" s="2">
        <f t="shared" si="17"/>
        <v>9.7000000000000028</v>
      </c>
      <c r="Q145">
        <v>0.8</v>
      </c>
    </row>
    <row r="146" spans="1:17">
      <c r="A146" t="s">
        <v>60</v>
      </c>
      <c r="B146" t="s">
        <v>31</v>
      </c>
      <c r="C146">
        <v>44</v>
      </c>
      <c r="D146">
        <v>28</v>
      </c>
      <c r="E146" s="1">
        <f t="shared" si="12"/>
        <v>0.61111111111111116</v>
      </c>
      <c r="F146" s="2">
        <v>111.3</v>
      </c>
      <c r="G146" s="2">
        <v>108.8</v>
      </c>
      <c r="H146" s="2">
        <f t="shared" si="13"/>
        <v>2.5</v>
      </c>
      <c r="I146" s="1">
        <f t="shared" si="14"/>
        <v>0.57884917653720358</v>
      </c>
      <c r="J146" s="2">
        <v>111.8</v>
      </c>
      <c r="K146" s="2">
        <v>109.3</v>
      </c>
      <c r="L146" s="2">
        <f t="shared" si="15"/>
        <v>2.5</v>
      </c>
      <c r="M146" s="1">
        <f t="shared" si="16"/>
        <v>3.226193457390758E-2</v>
      </c>
      <c r="N146" s="2">
        <v>112.8</v>
      </c>
      <c r="O146" s="2">
        <v>100.3</v>
      </c>
      <c r="P146" s="2">
        <f t="shared" si="17"/>
        <v>12.5</v>
      </c>
      <c r="Q146">
        <v>0.1</v>
      </c>
    </row>
    <row r="147" spans="1:17">
      <c r="A147" t="s">
        <v>34</v>
      </c>
      <c r="B147" t="s">
        <v>35</v>
      </c>
      <c r="C147">
        <v>23</v>
      </c>
      <c r="D147">
        <v>59</v>
      </c>
      <c r="E147" s="1">
        <f t="shared" si="12"/>
        <v>0.28048780487804881</v>
      </c>
      <c r="F147" s="2">
        <v>89.9</v>
      </c>
      <c r="G147" s="2">
        <v>97.3</v>
      </c>
      <c r="H147" s="2">
        <f t="shared" si="13"/>
        <v>-7.3999999999999915</v>
      </c>
      <c r="I147" s="1">
        <f t="shared" si="14"/>
        <v>0.24835318847310597</v>
      </c>
      <c r="J147" s="2">
        <v>96.6</v>
      </c>
      <c r="K147" s="2">
        <v>104.7</v>
      </c>
      <c r="L147" s="2">
        <f t="shared" si="15"/>
        <v>-8.1000000000000085</v>
      </c>
      <c r="M147" s="1">
        <f t="shared" si="16"/>
        <v>3.2134616404942834E-2</v>
      </c>
      <c r="N147" s="2">
        <v>89.1</v>
      </c>
      <c r="O147" s="2">
        <v>98.5</v>
      </c>
      <c r="P147" s="2">
        <f t="shared" si="17"/>
        <v>-9.4000000000000057</v>
      </c>
      <c r="Q147">
        <v>-1.2</v>
      </c>
    </row>
    <row r="148" spans="1:17">
      <c r="A148" t="s">
        <v>38</v>
      </c>
      <c r="B148" t="s">
        <v>22</v>
      </c>
      <c r="C148">
        <v>39</v>
      </c>
      <c r="D148">
        <v>43</v>
      </c>
      <c r="E148" s="1">
        <f t="shared" si="12"/>
        <v>0.47560975609756095</v>
      </c>
      <c r="F148" s="2">
        <v>92</v>
      </c>
      <c r="G148" s="2">
        <v>93.5</v>
      </c>
      <c r="H148" s="2">
        <f t="shared" si="13"/>
        <v>-1.5</v>
      </c>
      <c r="I148" s="1">
        <f t="shared" si="14"/>
        <v>0.44363558545762971</v>
      </c>
      <c r="J148" s="2">
        <v>99.7</v>
      </c>
      <c r="K148" s="2">
        <v>101.3</v>
      </c>
      <c r="L148" s="2">
        <f t="shared" si="15"/>
        <v>-1.5999999999999943</v>
      </c>
      <c r="M148" s="1">
        <f t="shared" si="16"/>
        <v>3.1974170639931243E-2</v>
      </c>
      <c r="N148" s="2">
        <v>103.3</v>
      </c>
      <c r="O148" s="2">
        <v>92.4</v>
      </c>
      <c r="P148" s="2">
        <f t="shared" si="17"/>
        <v>10.899999999999991</v>
      </c>
      <c r="Q148">
        <v>0.1</v>
      </c>
    </row>
    <row r="149" spans="1:17">
      <c r="A149" t="s">
        <v>59</v>
      </c>
      <c r="B149" t="s">
        <v>28</v>
      </c>
      <c r="C149">
        <v>48</v>
      </c>
      <c r="D149">
        <v>34</v>
      </c>
      <c r="E149" s="1">
        <f t="shared" si="12"/>
        <v>0.58536585365853655</v>
      </c>
      <c r="F149" s="2">
        <v>111.7</v>
      </c>
      <c r="G149" s="2">
        <v>110</v>
      </c>
      <c r="H149" s="2">
        <f t="shared" si="13"/>
        <v>1.7000000000000028</v>
      </c>
      <c r="I149" s="1">
        <f t="shared" si="14"/>
        <v>0.55347192797788125</v>
      </c>
      <c r="J149" s="2">
        <v>112.2</v>
      </c>
      <c r="K149" s="2">
        <v>110.6</v>
      </c>
      <c r="L149" s="2">
        <f t="shared" si="15"/>
        <v>1.6000000000000085</v>
      </c>
      <c r="M149" s="1">
        <f t="shared" si="16"/>
        <v>3.18939256806553E-2</v>
      </c>
      <c r="N149" s="2">
        <v>113.6</v>
      </c>
      <c r="O149" s="2">
        <v>112.5</v>
      </c>
      <c r="P149" s="2">
        <f t="shared" si="17"/>
        <v>1.0999999999999943</v>
      </c>
      <c r="Q149">
        <v>0.4</v>
      </c>
    </row>
    <row r="150" spans="1:17">
      <c r="A150" t="s">
        <v>52</v>
      </c>
      <c r="B150" t="s">
        <v>40</v>
      </c>
      <c r="C150">
        <v>43</v>
      </c>
      <c r="D150">
        <v>39</v>
      </c>
      <c r="E150" s="1">
        <f t="shared" si="12"/>
        <v>0.52439024390243905</v>
      </c>
      <c r="F150" s="2">
        <v>96.9</v>
      </c>
      <c r="G150" s="2">
        <v>97.1</v>
      </c>
      <c r="H150" s="2">
        <f t="shared" si="13"/>
        <v>-0.19999999999998863</v>
      </c>
      <c r="I150" s="1">
        <f t="shared" si="14"/>
        <v>0.49278400364904085</v>
      </c>
      <c r="J150" s="2">
        <v>103</v>
      </c>
      <c r="K150" s="2">
        <v>103.3</v>
      </c>
      <c r="L150" s="2">
        <f t="shared" si="15"/>
        <v>-0.29999999999999716</v>
      </c>
      <c r="M150" s="1">
        <f t="shared" si="16"/>
        <v>3.1606240253398199E-2</v>
      </c>
      <c r="N150" s="2">
        <v>94.6</v>
      </c>
      <c r="O150" s="2">
        <v>92.6</v>
      </c>
      <c r="P150" s="2">
        <f t="shared" si="17"/>
        <v>2</v>
      </c>
      <c r="Q150">
        <v>-0.4</v>
      </c>
    </row>
    <row r="151" spans="1:17">
      <c r="A151" t="s">
        <v>34</v>
      </c>
      <c r="B151" t="s">
        <v>12</v>
      </c>
      <c r="C151">
        <v>50</v>
      </c>
      <c r="D151">
        <v>32</v>
      </c>
      <c r="E151" s="1">
        <f t="shared" si="12"/>
        <v>0.6097560975609756</v>
      </c>
      <c r="F151" s="2">
        <v>94.3</v>
      </c>
      <c r="G151" s="2">
        <v>92.2</v>
      </c>
      <c r="H151" s="2">
        <f t="shared" si="13"/>
        <v>2.0999999999999943</v>
      </c>
      <c r="I151" s="1">
        <f t="shared" si="14"/>
        <v>0.57817713942580595</v>
      </c>
      <c r="J151" s="2">
        <v>103.2</v>
      </c>
      <c r="K151" s="2">
        <v>100.9</v>
      </c>
      <c r="L151" s="2">
        <f t="shared" si="15"/>
        <v>2.2999999999999972</v>
      </c>
      <c r="M151" s="1">
        <f t="shared" si="16"/>
        <v>3.1578958135169644E-2</v>
      </c>
      <c r="N151" s="2">
        <v>96.6</v>
      </c>
      <c r="O151" s="2">
        <v>93.2</v>
      </c>
      <c r="P151" s="2">
        <f t="shared" si="17"/>
        <v>3.3999999999999915</v>
      </c>
      <c r="Q151">
        <v>1</v>
      </c>
    </row>
    <row r="152" spans="1:17">
      <c r="A152" t="s">
        <v>65</v>
      </c>
      <c r="B152" t="s">
        <v>26</v>
      </c>
      <c r="C152">
        <v>36</v>
      </c>
      <c r="D152">
        <v>46</v>
      </c>
      <c r="E152" s="1">
        <f t="shared" si="12"/>
        <v>0.43902439024390244</v>
      </c>
      <c r="F152" s="2">
        <v>110.9</v>
      </c>
      <c r="G152" s="2">
        <v>113.9</v>
      </c>
      <c r="H152" s="2">
        <f t="shared" si="13"/>
        <v>-3</v>
      </c>
      <c r="I152" s="1">
        <f t="shared" si="14"/>
        <v>0.40765025304678426</v>
      </c>
      <c r="J152" s="2">
        <v>111</v>
      </c>
      <c r="K152" s="2">
        <v>113.7</v>
      </c>
      <c r="L152" s="2">
        <f t="shared" si="15"/>
        <v>-2.7000000000000028</v>
      </c>
      <c r="M152" s="1">
        <f t="shared" si="16"/>
        <v>3.1374137197118179E-2</v>
      </c>
      <c r="N152" s="2">
        <v>113.6</v>
      </c>
      <c r="O152" s="2">
        <v>121.9</v>
      </c>
      <c r="P152" s="2">
        <f t="shared" si="17"/>
        <v>-8.3000000000000114</v>
      </c>
      <c r="Q152">
        <v>-1.1000000000000001</v>
      </c>
    </row>
    <row r="153" spans="1:17">
      <c r="A153" t="s">
        <v>65</v>
      </c>
      <c r="B153" t="s">
        <v>51</v>
      </c>
      <c r="C153">
        <v>26</v>
      </c>
      <c r="D153">
        <v>56</v>
      </c>
      <c r="E153" s="1">
        <f t="shared" si="12"/>
        <v>0.31707317073170732</v>
      </c>
      <c r="F153" s="2">
        <v>105.1</v>
      </c>
      <c r="G153" s="2">
        <v>112.2</v>
      </c>
      <c r="H153" s="2">
        <f t="shared" si="13"/>
        <v>-7.1000000000000085</v>
      </c>
      <c r="I153" s="1">
        <f t="shared" si="14"/>
        <v>0.28593897521823097</v>
      </c>
      <c r="J153" s="2">
        <v>108.1</v>
      </c>
      <c r="K153" s="2">
        <v>115.4</v>
      </c>
      <c r="L153" s="2">
        <f t="shared" si="15"/>
        <v>-7.3000000000000114</v>
      </c>
      <c r="M153" s="1">
        <f t="shared" si="16"/>
        <v>3.1134195513476348E-2</v>
      </c>
      <c r="N153" s="2">
        <v>100.3</v>
      </c>
      <c r="O153" s="2">
        <v>116.9</v>
      </c>
      <c r="P153" s="2">
        <f t="shared" si="17"/>
        <v>-16.600000000000009</v>
      </c>
      <c r="Q153">
        <v>-1.6</v>
      </c>
    </row>
    <row r="154" spans="1:17">
      <c r="A154" t="s">
        <v>52</v>
      </c>
      <c r="B154" t="s">
        <v>26</v>
      </c>
      <c r="C154">
        <v>54</v>
      </c>
      <c r="D154">
        <v>28</v>
      </c>
      <c r="E154" s="1">
        <f t="shared" si="12"/>
        <v>0.65853658536585369</v>
      </c>
      <c r="F154" s="2">
        <v>106.7</v>
      </c>
      <c r="G154" s="2">
        <v>102.8</v>
      </c>
      <c r="H154" s="2">
        <f t="shared" si="13"/>
        <v>3.9000000000000057</v>
      </c>
      <c r="I154" s="1">
        <f t="shared" si="14"/>
        <v>0.62745199732003099</v>
      </c>
      <c r="J154" s="2">
        <v>110.4</v>
      </c>
      <c r="K154" s="2">
        <v>106.2</v>
      </c>
      <c r="L154" s="2">
        <f t="shared" si="15"/>
        <v>4.2000000000000028</v>
      </c>
      <c r="M154" s="1">
        <f t="shared" si="16"/>
        <v>3.1084588045822703E-2</v>
      </c>
      <c r="N154" s="2">
        <v>113.7</v>
      </c>
      <c r="O154" s="2">
        <v>101</v>
      </c>
      <c r="P154" s="2">
        <f t="shared" si="17"/>
        <v>12.700000000000003</v>
      </c>
      <c r="Q154">
        <v>0.6</v>
      </c>
    </row>
    <row r="155" spans="1:17">
      <c r="A155" t="s">
        <v>55</v>
      </c>
      <c r="B155" t="s">
        <v>30</v>
      </c>
      <c r="C155">
        <v>56</v>
      </c>
      <c r="D155">
        <v>26</v>
      </c>
      <c r="E155" s="1">
        <f t="shared" si="12"/>
        <v>0.68292682926829273</v>
      </c>
      <c r="F155" s="2">
        <v>102.7</v>
      </c>
      <c r="G155" s="2">
        <v>98.2</v>
      </c>
      <c r="H155" s="2">
        <f t="shared" si="13"/>
        <v>4.5</v>
      </c>
      <c r="I155" s="1">
        <f t="shared" si="14"/>
        <v>0.65187304994551343</v>
      </c>
      <c r="J155" s="2">
        <v>109.3</v>
      </c>
      <c r="K155" s="2">
        <v>104.8</v>
      </c>
      <c r="L155" s="2">
        <f t="shared" si="15"/>
        <v>4.5</v>
      </c>
      <c r="M155" s="1">
        <f t="shared" si="16"/>
        <v>3.1053779322779307E-2</v>
      </c>
      <c r="N155" s="2">
        <v>108.5</v>
      </c>
      <c r="O155" s="2">
        <v>100.3</v>
      </c>
      <c r="P155" s="2">
        <f t="shared" si="17"/>
        <v>8.2000000000000028</v>
      </c>
      <c r="Q155">
        <v>1.5</v>
      </c>
    </row>
    <row r="156" spans="1:17">
      <c r="A156" t="s">
        <v>41</v>
      </c>
      <c r="B156" t="s">
        <v>28</v>
      </c>
      <c r="C156">
        <v>63</v>
      </c>
      <c r="D156">
        <v>19</v>
      </c>
      <c r="E156" s="1">
        <f t="shared" si="12"/>
        <v>0.76829268292682928</v>
      </c>
      <c r="F156" s="2">
        <v>95.6</v>
      </c>
      <c r="G156" s="2">
        <v>88.8</v>
      </c>
      <c r="H156" s="2">
        <f t="shared" si="13"/>
        <v>6.7999999999999972</v>
      </c>
      <c r="I156" s="1">
        <f t="shared" si="14"/>
        <v>0.7374983301821354</v>
      </c>
      <c r="J156" s="2">
        <v>106.2</v>
      </c>
      <c r="K156" s="2">
        <v>98.7</v>
      </c>
      <c r="L156" s="2">
        <f t="shared" si="15"/>
        <v>7.5</v>
      </c>
      <c r="M156" s="1">
        <f t="shared" si="16"/>
        <v>3.0794352744693887E-2</v>
      </c>
      <c r="N156" s="2">
        <v>102.1</v>
      </c>
      <c r="O156" s="2">
        <v>89.8</v>
      </c>
      <c r="P156" s="2">
        <f t="shared" si="17"/>
        <v>12.299999999999997</v>
      </c>
      <c r="Q156">
        <v>0.2</v>
      </c>
    </row>
    <row r="157" spans="1:17">
      <c r="A157" t="s">
        <v>49</v>
      </c>
      <c r="B157" t="s">
        <v>23</v>
      </c>
      <c r="C157">
        <v>37</v>
      </c>
      <c r="D157">
        <v>29</v>
      </c>
      <c r="E157" s="1">
        <f t="shared" si="12"/>
        <v>0.56060606060606055</v>
      </c>
      <c r="F157" s="2">
        <v>94.2</v>
      </c>
      <c r="G157" s="2">
        <v>93.4</v>
      </c>
      <c r="H157" s="2">
        <f t="shared" si="13"/>
        <v>0.79999999999999716</v>
      </c>
      <c r="I157" s="1">
        <f t="shared" si="14"/>
        <v>0.52981551170793983</v>
      </c>
      <c r="J157" s="2">
        <v>104</v>
      </c>
      <c r="K157" s="2">
        <v>103.4</v>
      </c>
      <c r="L157" s="2">
        <f t="shared" si="15"/>
        <v>0.59999999999999432</v>
      </c>
      <c r="M157" s="1">
        <f t="shared" si="16"/>
        <v>3.0790548898120718E-2</v>
      </c>
      <c r="N157" s="2">
        <v>110</v>
      </c>
      <c r="O157" s="2">
        <v>95.1</v>
      </c>
      <c r="P157" s="2">
        <f t="shared" si="17"/>
        <v>14.900000000000006</v>
      </c>
      <c r="Q157">
        <v>-0.5</v>
      </c>
    </row>
    <row r="158" spans="1:17">
      <c r="A158" t="s">
        <v>50</v>
      </c>
      <c r="B158" t="s">
        <v>35</v>
      </c>
      <c r="C158">
        <v>56</v>
      </c>
      <c r="D158">
        <v>26</v>
      </c>
      <c r="E158" s="1">
        <f t="shared" si="12"/>
        <v>0.68292682926829273</v>
      </c>
      <c r="F158" s="2">
        <v>93.4</v>
      </c>
      <c r="G158" s="2">
        <v>89.3</v>
      </c>
      <c r="H158" s="2">
        <f t="shared" si="13"/>
        <v>4.1000000000000085</v>
      </c>
      <c r="I158" s="1">
        <f t="shared" si="14"/>
        <v>0.65213973687486437</v>
      </c>
      <c r="J158" s="2">
        <v>103.6</v>
      </c>
      <c r="K158" s="2">
        <v>99.1</v>
      </c>
      <c r="L158" s="2">
        <f t="shared" si="15"/>
        <v>4.5</v>
      </c>
      <c r="M158" s="1">
        <f t="shared" si="16"/>
        <v>3.0787092393428361E-2</v>
      </c>
      <c r="N158" s="2">
        <v>97.9</v>
      </c>
      <c r="O158" s="2">
        <v>90.4</v>
      </c>
      <c r="P158" s="2">
        <f t="shared" si="17"/>
        <v>7.5</v>
      </c>
      <c r="Q158">
        <v>-0.7</v>
      </c>
    </row>
    <row r="159" spans="1:17">
      <c r="A159" t="s">
        <v>43</v>
      </c>
      <c r="B159" t="s">
        <v>5</v>
      </c>
      <c r="C159">
        <v>30</v>
      </c>
      <c r="D159">
        <v>52</v>
      </c>
      <c r="E159" s="1">
        <f t="shared" si="12"/>
        <v>0.36585365853658536</v>
      </c>
      <c r="F159" s="2">
        <v>93.7</v>
      </c>
      <c r="G159" s="2">
        <v>98.4</v>
      </c>
      <c r="H159" s="2">
        <f t="shared" si="13"/>
        <v>-4.7000000000000028</v>
      </c>
      <c r="I159" s="1">
        <f t="shared" si="14"/>
        <v>0.33510246231607854</v>
      </c>
      <c r="J159" s="2">
        <v>102</v>
      </c>
      <c r="K159" s="2">
        <v>107</v>
      </c>
      <c r="L159" s="2">
        <f t="shared" si="15"/>
        <v>-5</v>
      </c>
      <c r="M159" s="1">
        <f t="shared" si="16"/>
        <v>3.0751196220506816E-2</v>
      </c>
      <c r="N159" s="2">
        <v>95.5</v>
      </c>
      <c r="O159" s="2">
        <v>100.9</v>
      </c>
      <c r="P159" s="2">
        <f t="shared" si="17"/>
        <v>-5.4000000000000057</v>
      </c>
      <c r="Q159">
        <v>-0.5</v>
      </c>
    </row>
    <row r="160" spans="1:17">
      <c r="A160" t="s">
        <v>34</v>
      </c>
      <c r="B160" t="s">
        <v>11</v>
      </c>
      <c r="C160">
        <v>27</v>
      </c>
      <c r="D160">
        <v>55</v>
      </c>
      <c r="E160" s="1">
        <f t="shared" si="12"/>
        <v>0.32926829268292684</v>
      </c>
      <c r="F160" s="2">
        <v>92.2</v>
      </c>
      <c r="G160" s="2">
        <v>98</v>
      </c>
      <c r="H160" s="2">
        <f t="shared" si="13"/>
        <v>-5.7999999999999972</v>
      </c>
      <c r="I160" s="1">
        <f t="shared" si="14"/>
        <v>0.29857289504453155</v>
      </c>
      <c r="J160" s="2">
        <v>100.3</v>
      </c>
      <c r="K160" s="2">
        <v>106.6</v>
      </c>
      <c r="L160" s="2">
        <f t="shared" si="15"/>
        <v>-6.2999999999999972</v>
      </c>
      <c r="M160" s="1">
        <f t="shared" si="16"/>
        <v>3.0695397638395294E-2</v>
      </c>
      <c r="N160" s="2">
        <v>89.7</v>
      </c>
      <c r="O160" s="2">
        <v>95.4</v>
      </c>
      <c r="P160" s="2">
        <f t="shared" si="17"/>
        <v>-5.7000000000000028</v>
      </c>
      <c r="Q160">
        <v>0.1</v>
      </c>
    </row>
    <row r="161" spans="1:17">
      <c r="A161" t="s">
        <v>43</v>
      </c>
      <c r="B161" t="s">
        <v>40</v>
      </c>
      <c r="C161">
        <v>33</v>
      </c>
      <c r="D161">
        <v>49</v>
      </c>
      <c r="E161" s="1">
        <f t="shared" si="12"/>
        <v>0.40243902439024393</v>
      </c>
      <c r="F161" s="2">
        <v>96.9</v>
      </c>
      <c r="G161" s="2">
        <v>100.6</v>
      </c>
      <c r="H161" s="2">
        <f t="shared" si="13"/>
        <v>-3.6999999999999886</v>
      </c>
      <c r="I161" s="1">
        <f t="shared" si="14"/>
        <v>0.37177294637427477</v>
      </c>
      <c r="J161" s="2">
        <v>102.4</v>
      </c>
      <c r="K161" s="2">
        <v>106.3</v>
      </c>
      <c r="L161" s="2">
        <f t="shared" si="15"/>
        <v>-3.8999999999999915</v>
      </c>
      <c r="M161" s="1">
        <f t="shared" si="16"/>
        <v>3.0666078015969156E-2</v>
      </c>
      <c r="N161" s="2">
        <v>93.9</v>
      </c>
      <c r="O161" s="2">
        <v>103.3</v>
      </c>
      <c r="P161" s="2">
        <f t="shared" si="17"/>
        <v>-9.3999999999999915</v>
      </c>
      <c r="Q161">
        <v>-1.2</v>
      </c>
    </row>
    <row r="162" spans="1:17">
      <c r="A162" t="s">
        <v>48</v>
      </c>
      <c r="B162" t="s">
        <v>26</v>
      </c>
      <c r="C162">
        <v>48</v>
      </c>
      <c r="D162">
        <v>34</v>
      </c>
      <c r="E162" s="1">
        <f t="shared" si="12"/>
        <v>0.58536585365853655</v>
      </c>
      <c r="F162" s="2">
        <v>96.3</v>
      </c>
      <c r="G162" s="2">
        <v>94.8</v>
      </c>
      <c r="H162" s="2">
        <f t="shared" si="13"/>
        <v>1.5</v>
      </c>
      <c r="I162" s="1">
        <f t="shared" si="14"/>
        <v>0.55472606384506307</v>
      </c>
      <c r="J162" s="2">
        <v>107.3</v>
      </c>
      <c r="K162" s="2">
        <v>105.7</v>
      </c>
      <c r="L162" s="2">
        <f t="shared" si="15"/>
        <v>1.5999999999999943</v>
      </c>
      <c r="M162" s="1">
        <f t="shared" si="16"/>
        <v>3.0639789813473484E-2</v>
      </c>
      <c r="N162" s="2">
        <v>108.5</v>
      </c>
      <c r="O162" s="2">
        <v>95.4</v>
      </c>
      <c r="P162" s="2">
        <f t="shared" si="17"/>
        <v>13.099999999999994</v>
      </c>
      <c r="Q162">
        <v>-0.1</v>
      </c>
    </row>
    <row r="163" spans="1:17">
      <c r="A163" t="s">
        <v>41</v>
      </c>
      <c r="B163" t="s">
        <v>9</v>
      </c>
      <c r="C163">
        <v>50</v>
      </c>
      <c r="D163">
        <v>32</v>
      </c>
      <c r="E163" s="1">
        <f t="shared" si="12"/>
        <v>0.6097560975609756</v>
      </c>
      <c r="F163" s="2">
        <v>97.6</v>
      </c>
      <c r="G163" s="2">
        <v>95.4</v>
      </c>
      <c r="H163" s="2">
        <f t="shared" si="13"/>
        <v>2.1999999999999886</v>
      </c>
      <c r="I163" s="1">
        <f t="shared" si="14"/>
        <v>0.57912557114227126</v>
      </c>
      <c r="J163" s="2">
        <v>106.6</v>
      </c>
      <c r="K163" s="2">
        <v>104.4</v>
      </c>
      <c r="L163" s="2">
        <f t="shared" si="15"/>
        <v>2.1999999999999886</v>
      </c>
      <c r="M163" s="1">
        <f t="shared" si="16"/>
        <v>3.063052641870434E-2</v>
      </c>
      <c r="N163" s="2">
        <v>113.8</v>
      </c>
      <c r="O163" s="2">
        <v>106.9</v>
      </c>
      <c r="P163" s="2">
        <f t="shared" si="17"/>
        <v>6.8999999999999915</v>
      </c>
      <c r="Q163">
        <v>0.6</v>
      </c>
    </row>
    <row r="164" spans="1:17">
      <c r="A164" t="s">
        <v>62</v>
      </c>
      <c r="B164" t="s">
        <v>27</v>
      </c>
      <c r="C164">
        <v>30</v>
      </c>
      <c r="D164">
        <v>52</v>
      </c>
      <c r="E164" s="1">
        <f t="shared" si="12"/>
        <v>0.36585365853658536</v>
      </c>
      <c r="F164" s="2">
        <v>110.3</v>
      </c>
      <c r="G164" s="2">
        <v>115.8</v>
      </c>
      <c r="H164" s="2">
        <f t="shared" si="13"/>
        <v>-5.5</v>
      </c>
      <c r="I164" s="1">
        <f t="shared" si="14"/>
        <v>0.33598260819490139</v>
      </c>
      <c r="J164" s="2">
        <v>109.6</v>
      </c>
      <c r="K164" s="2">
        <v>114.8</v>
      </c>
      <c r="L164" s="2">
        <f t="shared" si="15"/>
        <v>-5.2000000000000028</v>
      </c>
      <c r="M164" s="1">
        <f t="shared" si="16"/>
        <v>2.9871050341683969E-2</v>
      </c>
      <c r="N164" s="2">
        <v>110.6</v>
      </c>
      <c r="O164" s="2">
        <v>109.2</v>
      </c>
      <c r="P164" s="2">
        <f t="shared" si="17"/>
        <v>1.3999999999999915</v>
      </c>
      <c r="Q164">
        <v>-1.3</v>
      </c>
    </row>
    <row r="165" spans="1:17">
      <c r="A165" t="s">
        <v>41</v>
      </c>
      <c r="B165" t="s">
        <v>11</v>
      </c>
      <c r="C165">
        <v>44</v>
      </c>
      <c r="D165">
        <v>38</v>
      </c>
      <c r="E165" s="1">
        <f t="shared" si="12"/>
        <v>0.53658536585365857</v>
      </c>
      <c r="F165" s="2">
        <v>100.3</v>
      </c>
      <c r="G165" s="2">
        <v>100.1</v>
      </c>
      <c r="H165" s="2">
        <f t="shared" si="13"/>
        <v>0.20000000000000284</v>
      </c>
      <c r="I165" s="1">
        <f t="shared" si="14"/>
        <v>0.50698557569827274</v>
      </c>
      <c r="J165" s="2">
        <v>104.4</v>
      </c>
      <c r="K165" s="2">
        <v>104.1</v>
      </c>
      <c r="L165" s="2">
        <f t="shared" si="15"/>
        <v>0.30000000000001137</v>
      </c>
      <c r="M165" s="1">
        <f t="shared" si="16"/>
        <v>2.959979015538583E-2</v>
      </c>
      <c r="N165" s="2">
        <v>102.1</v>
      </c>
      <c r="O165" s="2">
        <v>101.8</v>
      </c>
      <c r="P165" s="2">
        <f t="shared" si="17"/>
        <v>0.29999999999999716</v>
      </c>
      <c r="Q165">
        <v>0.1</v>
      </c>
    </row>
    <row r="166" spans="1:17">
      <c r="A166" t="s">
        <v>59</v>
      </c>
      <c r="B166" t="s">
        <v>5</v>
      </c>
      <c r="C166">
        <v>29</v>
      </c>
      <c r="D166">
        <v>53</v>
      </c>
      <c r="E166" s="1">
        <f t="shared" si="12"/>
        <v>0.35365853658536583</v>
      </c>
      <c r="F166" s="2">
        <v>113.3</v>
      </c>
      <c r="G166" s="2">
        <v>119.4</v>
      </c>
      <c r="H166" s="2">
        <f t="shared" si="13"/>
        <v>-6.1000000000000085</v>
      </c>
      <c r="I166" s="1">
        <f t="shared" si="14"/>
        <v>0.32428240772060213</v>
      </c>
      <c r="J166" s="2">
        <v>107.5</v>
      </c>
      <c r="K166" s="2">
        <v>113.1</v>
      </c>
      <c r="L166" s="2">
        <f t="shared" si="15"/>
        <v>-5.5999999999999943</v>
      </c>
      <c r="M166" s="1">
        <f t="shared" si="16"/>
        <v>2.9376128864763706E-2</v>
      </c>
      <c r="N166" s="2">
        <v>104</v>
      </c>
      <c r="O166" s="2">
        <v>97.8</v>
      </c>
      <c r="P166" s="2">
        <f t="shared" si="17"/>
        <v>6.2000000000000028</v>
      </c>
      <c r="Q166">
        <v>-0.1</v>
      </c>
    </row>
    <row r="167" spans="1:17">
      <c r="A167" t="s">
        <v>38</v>
      </c>
      <c r="B167" t="s">
        <v>15</v>
      </c>
      <c r="C167">
        <v>61</v>
      </c>
      <c r="D167">
        <v>21</v>
      </c>
      <c r="E167" s="1">
        <f t="shared" si="12"/>
        <v>0.74390243902439024</v>
      </c>
      <c r="F167" s="2">
        <v>91.4</v>
      </c>
      <c r="G167" s="2">
        <v>85.6</v>
      </c>
      <c r="H167" s="2">
        <f t="shared" si="13"/>
        <v>5.8000000000000114</v>
      </c>
      <c r="I167" s="1">
        <f t="shared" si="14"/>
        <v>0.71460234412394263</v>
      </c>
      <c r="J167" s="2">
        <v>102.5</v>
      </c>
      <c r="K167" s="2">
        <v>96.2</v>
      </c>
      <c r="L167" s="2">
        <f t="shared" si="15"/>
        <v>6.2999999999999972</v>
      </c>
      <c r="M167" s="1">
        <f t="shared" si="16"/>
        <v>2.9300094900447604E-2</v>
      </c>
      <c r="N167" s="2">
        <v>103.6</v>
      </c>
      <c r="O167" s="2">
        <v>85</v>
      </c>
      <c r="P167" s="2">
        <f t="shared" si="17"/>
        <v>18.599999999999994</v>
      </c>
      <c r="Q167">
        <v>1.5</v>
      </c>
    </row>
    <row r="168" spans="1:17">
      <c r="A168" t="s">
        <v>41</v>
      </c>
      <c r="B168" t="s">
        <v>24</v>
      </c>
      <c r="C168">
        <v>38</v>
      </c>
      <c r="D168">
        <v>44</v>
      </c>
      <c r="E168" s="1">
        <f t="shared" si="12"/>
        <v>0.46341463414634149</v>
      </c>
      <c r="F168" s="2">
        <v>99.4</v>
      </c>
      <c r="G168" s="2">
        <v>101.3</v>
      </c>
      <c r="H168" s="2">
        <f t="shared" si="13"/>
        <v>-1.8999999999999915</v>
      </c>
      <c r="I168" s="1">
        <f t="shared" si="14"/>
        <v>0.4341153034134177</v>
      </c>
      <c r="J168" s="2">
        <v>104.7</v>
      </c>
      <c r="K168" s="2">
        <v>106.5</v>
      </c>
      <c r="L168" s="2">
        <f t="shared" si="15"/>
        <v>-1.7999999999999972</v>
      </c>
      <c r="M168" s="1">
        <f t="shared" si="16"/>
        <v>2.929933073292379E-2</v>
      </c>
      <c r="N168" s="2">
        <v>89.7</v>
      </c>
      <c r="O168" s="2">
        <v>93.5</v>
      </c>
      <c r="P168" s="2">
        <f t="shared" si="17"/>
        <v>-3.7999999999999972</v>
      </c>
      <c r="Q168">
        <v>-1</v>
      </c>
    </row>
    <row r="169" spans="1:17">
      <c r="A169" t="s">
        <v>65</v>
      </c>
      <c r="B169" t="s">
        <v>25</v>
      </c>
      <c r="C169">
        <v>36</v>
      </c>
      <c r="D169">
        <v>46</v>
      </c>
      <c r="E169" s="1">
        <f t="shared" si="12"/>
        <v>0.43902439024390244</v>
      </c>
      <c r="F169" s="2">
        <v>113.6</v>
      </c>
      <c r="G169" s="2">
        <v>116.6</v>
      </c>
      <c r="H169" s="2">
        <f t="shared" si="13"/>
        <v>-3</v>
      </c>
      <c r="I169" s="1">
        <f t="shared" si="14"/>
        <v>0.40976891597843029</v>
      </c>
      <c r="J169" s="2">
        <v>114.7</v>
      </c>
      <c r="K169" s="2">
        <v>117.7</v>
      </c>
      <c r="L169" s="2">
        <f t="shared" si="15"/>
        <v>-3</v>
      </c>
      <c r="M169" s="1">
        <f t="shared" si="16"/>
        <v>2.9255474265472148E-2</v>
      </c>
      <c r="N169" s="2">
        <v>115.5</v>
      </c>
      <c r="O169" s="2">
        <v>121.5</v>
      </c>
      <c r="P169" s="2">
        <f t="shared" si="17"/>
        <v>-6</v>
      </c>
      <c r="Q169">
        <v>-0.5</v>
      </c>
    </row>
    <row r="170" spans="1:17">
      <c r="A170" t="s">
        <v>55</v>
      </c>
      <c r="B170" t="s">
        <v>18</v>
      </c>
      <c r="C170">
        <v>48</v>
      </c>
      <c r="D170">
        <v>34</v>
      </c>
      <c r="E170" s="1">
        <f t="shared" si="12"/>
        <v>0.58536585365853655</v>
      </c>
      <c r="F170" s="2">
        <v>100</v>
      </c>
      <c r="G170" s="2">
        <v>98.4</v>
      </c>
      <c r="H170" s="2">
        <f t="shared" si="13"/>
        <v>1.5999999999999943</v>
      </c>
      <c r="I170" s="1">
        <f t="shared" si="14"/>
        <v>0.55621417253941718</v>
      </c>
      <c r="J170" s="2">
        <v>105.5</v>
      </c>
      <c r="K170" s="2">
        <v>103.7</v>
      </c>
      <c r="L170" s="2">
        <f t="shared" si="15"/>
        <v>1.7999999999999972</v>
      </c>
      <c r="M170" s="1">
        <f t="shared" si="16"/>
        <v>2.9151681119119366E-2</v>
      </c>
      <c r="N170" s="2">
        <v>111.1</v>
      </c>
      <c r="O170" s="2">
        <v>95.2</v>
      </c>
      <c r="P170" s="2">
        <f t="shared" si="17"/>
        <v>15.899999999999991</v>
      </c>
      <c r="Q170">
        <v>0.8</v>
      </c>
    </row>
    <row r="171" spans="1:17">
      <c r="A171" t="s">
        <v>61</v>
      </c>
      <c r="B171" t="s">
        <v>26</v>
      </c>
      <c r="C171">
        <v>42</v>
      </c>
      <c r="D171">
        <v>30</v>
      </c>
      <c r="E171" s="1">
        <f t="shared" si="12"/>
        <v>0.58333333333333337</v>
      </c>
      <c r="F171" s="2">
        <v>116.1</v>
      </c>
      <c r="G171" s="2">
        <v>114.3</v>
      </c>
      <c r="H171" s="2">
        <f t="shared" si="13"/>
        <v>1.7999999999999972</v>
      </c>
      <c r="I171" s="1">
        <f t="shared" si="14"/>
        <v>0.55447156441574497</v>
      </c>
      <c r="J171" s="2">
        <v>117.1</v>
      </c>
      <c r="K171" s="2">
        <v>115.3</v>
      </c>
      <c r="L171" s="2">
        <f t="shared" si="15"/>
        <v>1.7999999999999972</v>
      </c>
      <c r="M171" s="1">
        <f t="shared" si="16"/>
        <v>2.8861768917588404E-2</v>
      </c>
      <c r="N171" s="2">
        <v>127.7</v>
      </c>
      <c r="O171" s="2">
        <v>98.6</v>
      </c>
      <c r="P171" s="2">
        <f t="shared" si="17"/>
        <v>29.100000000000009</v>
      </c>
      <c r="Q171">
        <v>0.7</v>
      </c>
    </row>
    <row r="172" spans="1:17">
      <c r="A172" t="s">
        <v>47</v>
      </c>
      <c r="B172" t="s">
        <v>9</v>
      </c>
      <c r="C172">
        <v>61</v>
      </c>
      <c r="D172">
        <v>21</v>
      </c>
      <c r="E172" s="1">
        <f t="shared" si="12"/>
        <v>0.74390243902439024</v>
      </c>
      <c r="F172" s="2">
        <v>102.1</v>
      </c>
      <c r="G172" s="2">
        <v>95.6</v>
      </c>
      <c r="H172" s="2">
        <f t="shared" si="13"/>
        <v>6.5</v>
      </c>
      <c r="I172" s="1">
        <f t="shared" si="14"/>
        <v>0.71522925438381391</v>
      </c>
      <c r="J172" s="2">
        <v>110.6</v>
      </c>
      <c r="K172" s="2">
        <v>103.8</v>
      </c>
      <c r="L172" s="2">
        <f t="shared" si="15"/>
        <v>6.7999999999999972</v>
      </c>
      <c r="M172" s="1">
        <f t="shared" si="16"/>
        <v>2.8673184640576332E-2</v>
      </c>
      <c r="N172" s="2">
        <v>115.9</v>
      </c>
      <c r="O172" s="2">
        <v>93.2</v>
      </c>
      <c r="P172" s="2">
        <f t="shared" si="17"/>
        <v>22.700000000000003</v>
      </c>
      <c r="Q172">
        <v>1</v>
      </c>
    </row>
    <row r="173" spans="1:17">
      <c r="A173" t="s">
        <v>61</v>
      </c>
      <c r="B173" t="s">
        <v>33</v>
      </c>
      <c r="C173">
        <v>34</v>
      </c>
      <c r="D173">
        <v>38</v>
      </c>
      <c r="E173" s="1">
        <f t="shared" si="12"/>
        <v>0.47222222222222221</v>
      </c>
      <c r="F173" s="2">
        <v>116.6</v>
      </c>
      <c r="G173" s="2">
        <v>118.5</v>
      </c>
      <c r="H173" s="2">
        <f t="shared" si="13"/>
        <v>-1.9000000000000057</v>
      </c>
      <c r="I173" s="1">
        <f t="shared" si="14"/>
        <v>0.44366728176929326</v>
      </c>
      <c r="J173" s="2">
        <v>110.7</v>
      </c>
      <c r="K173" s="2">
        <v>112.3</v>
      </c>
      <c r="L173" s="2">
        <f t="shared" si="15"/>
        <v>-1.5999999999999943</v>
      </c>
      <c r="M173" s="1">
        <f t="shared" si="16"/>
        <v>2.8554940452928945E-2</v>
      </c>
      <c r="N173" s="2">
        <v>110.5</v>
      </c>
      <c r="O173" s="2">
        <v>107.7</v>
      </c>
      <c r="P173" s="2">
        <f t="shared" si="17"/>
        <v>2.7999999999999972</v>
      </c>
      <c r="Q173">
        <v>-0.3</v>
      </c>
    </row>
    <row r="174" spans="1:17">
      <c r="A174" t="s">
        <v>63</v>
      </c>
      <c r="B174" t="s">
        <v>24</v>
      </c>
      <c r="C174">
        <v>54</v>
      </c>
      <c r="D174">
        <v>28</v>
      </c>
      <c r="E174" s="1">
        <f t="shared" si="12"/>
        <v>0.65853658536585369</v>
      </c>
      <c r="F174" s="2">
        <v>115.2</v>
      </c>
      <c r="G174" s="2">
        <v>110.9</v>
      </c>
      <c r="H174" s="2">
        <f t="shared" si="13"/>
        <v>4.2999999999999972</v>
      </c>
      <c r="I174" s="1">
        <f t="shared" si="14"/>
        <v>0.63008277952794978</v>
      </c>
      <c r="J174" s="2">
        <v>117</v>
      </c>
      <c r="K174" s="2">
        <v>112.7</v>
      </c>
      <c r="L174" s="2">
        <f t="shared" si="15"/>
        <v>4.2999999999999972</v>
      </c>
      <c r="M174" s="1">
        <f t="shared" si="16"/>
        <v>2.8453805837903912E-2</v>
      </c>
      <c r="N174" s="2">
        <v>110.2</v>
      </c>
      <c r="O174" s="2">
        <v>93.3</v>
      </c>
      <c r="P174" s="2">
        <f t="shared" si="17"/>
        <v>16.900000000000006</v>
      </c>
      <c r="Q174">
        <v>2</v>
      </c>
    </row>
    <row r="175" spans="1:17">
      <c r="A175" t="s">
        <v>50</v>
      </c>
      <c r="B175" t="s">
        <v>31</v>
      </c>
      <c r="C175">
        <v>43</v>
      </c>
      <c r="D175">
        <v>39</v>
      </c>
      <c r="E175" s="1">
        <f t="shared" si="12"/>
        <v>0.52439024390243905</v>
      </c>
      <c r="F175" s="2">
        <v>98</v>
      </c>
      <c r="G175" s="2">
        <v>98.1</v>
      </c>
      <c r="H175" s="2">
        <f t="shared" si="13"/>
        <v>-9.9999999999994316E-2</v>
      </c>
      <c r="I175" s="1">
        <f t="shared" si="14"/>
        <v>0.49643045299187905</v>
      </c>
      <c r="J175" s="2">
        <v>105.4</v>
      </c>
      <c r="K175" s="2">
        <v>105.6</v>
      </c>
      <c r="L175" s="2">
        <f t="shared" si="15"/>
        <v>-0.19999999999998863</v>
      </c>
      <c r="M175" s="1">
        <f t="shared" si="16"/>
        <v>2.7959790910560001E-2</v>
      </c>
      <c r="N175" s="2">
        <v>106.4</v>
      </c>
      <c r="O175" s="2">
        <v>101.2</v>
      </c>
      <c r="P175" s="2">
        <f t="shared" si="17"/>
        <v>5.2000000000000028</v>
      </c>
      <c r="Q175">
        <v>-0.1</v>
      </c>
    </row>
    <row r="176" spans="1:17">
      <c r="A176" t="s">
        <v>48</v>
      </c>
      <c r="B176" t="s">
        <v>37</v>
      </c>
      <c r="C176">
        <v>46</v>
      </c>
      <c r="D176">
        <v>36</v>
      </c>
      <c r="E176" s="1">
        <f t="shared" si="12"/>
        <v>0.56097560975609762</v>
      </c>
      <c r="F176" s="2">
        <v>94.9</v>
      </c>
      <c r="G176" s="2">
        <v>94</v>
      </c>
      <c r="H176" s="2">
        <f t="shared" si="13"/>
        <v>0.90000000000000568</v>
      </c>
      <c r="I176" s="1">
        <f t="shared" si="14"/>
        <v>0.53330185727266632</v>
      </c>
      <c r="J176" s="2">
        <v>105.4</v>
      </c>
      <c r="K176" s="2">
        <v>104.4</v>
      </c>
      <c r="L176" s="2">
        <f t="shared" si="15"/>
        <v>1</v>
      </c>
      <c r="M176" s="1">
        <f t="shared" si="16"/>
        <v>2.7673752483431291E-2</v>
      </c>
      <c r="N176" s="2">
        <v>101</v>
      </c>
      <c r="O176" s="2">
        <v>90.4</v>
      </c>
      <c r="P176" s="2">
        <f t="shared" si="17"/>
        <v>10.599999999999994</v>
      </c>
      <c r="Q176">
        <v>-0.4</v>
      </c>
    </row>
    <row r="177" spans="1:17">
      <c r="A177" t="s">
        <v>34</v>
      </c>
      <c r="B177" t="s">
        <v>30</v>
      </c>
      <c r="C177">
        <v>42</v>
      </c>
      <c r="D177">
        <v>40</v>
      </c>
      <c r="E177" s="1">
        <f t="shared" si="12"/>
        <v>0.51219512195121952</v>
      </c>
      <c r="F177" s="2">
        <v>91.4</v>
      </c>
      <c r="G177" s="2">
        <v>91.8</v>
      </c>
      <c r="H177" s="2">
        <f t="shared" si="13"/>
        <v>-0.39999999999999147</v>
      </c>
      <c r="I177" s="1">
        <f t="shared" si="14"/>
        <v>0.48472089148498448</v>
      </c>
      <c r="J177" s="2">
        <v>101.1</v>
      </c>
      <c r="K177" s="2">
        <v>101.7</v>
      </c>
      <c r="L177" s="2">
        <f t="shared" si="15"/>
        <v>-0.60000000000000853</v>
      </c>
      <c r="M177" s="1">
        <f t="shared" si="16"/>
        <v>2.7474230466235039E-2</v>
      </c>
      <c r="N177" s="2">
        <v>93</v>
      </c>
      <c r="O177" s="2">
        <v>90.4</v>
      </c>
      <c r="P177" s="2">
        <f t="shared" si="17"/>
        <v>2.5999999999999943</v>
      </c>
      <c r="Q177">
        <v>-0.8</v>
      </c>
    </row>
    <row r="178" spans="1:17">
      <c r="A178" t="s">
        <v>59</v>
      </c>
      <c r="B178" t="s">
        <v>30</v>
      </c>
      <c r="C178">
        <v>58</v>
      </c>
      <c r="D178">
        <v>24</v>
      </c>
      <c r="E178" s="1">
        <f t="shared" si="12"/>
        <v>0.70731707317073167</v>
      </c>
      <c r="F178" s="2">
        <v>114.4</v>
      </c>
      <c r="G178" s="2">
        <v>108.4</v>
      </c>
      <c r="H178" s="2">
        <f t="shared" si="13"/>
        <v>6</v>
      </c>
      <c r="I178" s="1">
        <f t="shared" si="14"/>
        <v>0.68009792442204564</v>
      </c>
      <c r="J178" s="2">
        <v>112.6</v>
      </c>
      <c r="K178" s="2">
        <v>106.8</v>
      </c>
      <c r="L178" s="2">
        <f t="shared" si="15"/>
        <v>5.7999999999999972</v>
      </c>
      <c r="M178" s="1">
        <f t="shared" si="16"/>
        <v>2.7219148748686028E-2</v>
      </c>
      <c r="N178" s="2">
        <v>108.1</v>
      </c>
      <c r="O178" s="2">
        <v>100.3</v>
      </c>
      <c r="P178" s="2">
        <f t="shared" si="17"/>
        <v>7.7999999999999972</v>
      </c>
      <c r="Q178">
        <v>-0.5</v>
      </c>
    </row>
    <row r="179" spans="1:17">
      <c r="A179" t="s">
        <v>62</v>
      </c>
      <c r="B179" t="s">
        <v>10</v>
      </c>
      <c r="C179">
        <v>52</v>
      </c>
      <c r="D179">
        <v>30</v>
      </c>
      <c r="E179" s="1">
        <f t="shared" si="12"/>
        <v>0.63414634146341464</v>
      </c>
      <c r="F179" s="2">
        <v>108</v>
      </c>
      <c r="G179" s="2">
        <v>104.7</v>
      </c>
      <c r="H179" s="2">
        <f t="shared" si="13"/>
        <v>3.2999999999999972</v>
      </c>
      <c r="I179" s="1">
        <f t="shared" si="14"/>
        <v>0.60693567293355</v>
      </c>
      <c r="J179" s="2">
        <v>112.5</v>
      </c>
      <c r="K179" s="2">
        <v>109.1</v>
      </c>
      <c r="L179" s="2">
        <f t="shared" si="15"/>
        <v>3.4000000000000057</v>
      </c>
      <c r="M179" s="1">
        <f t="shared" si="16"/>
        <v>2.7210668529864646E-2</v>
      </c>
      <c r="N179" s="2">
        <v>109.5</v>
      </c>
      <c r="O179" s="2">
        <v>117</v>
      </c>
      <c r="P179" s="2">
        <f t="shared" si="17"/>
        <v>-7.5</v>
      </c>
      <c r="Q179">
        <v>-0.1</v>
      </c>
    </row>
    <row r="180" spans="1:17">
      <c r="A180" t="s">
        <v>66</v>
      </c>
      <c r="B180" t="s">
        <v>28</v>
      </c>
      <c r="C180">
        <v>45</v>
      </c>
      <c r="D180">
        <v>17</v>
      </c>
      <c r="E180" s="1">
        <f t="shared" si="12"/>
        <v>0.72580645161290325</v>
      </c>
      <c r="F180" s="2">
        <v>118.3</v>
      </c>
      <c r="G180" s="2">
        <v>111.4</v>
      </c>
      <c r="H180" s="2">
        <f t="shared" si="13"/>
        <v>6.8999999999999915</v>
      </c>
      <c r="I180" s="1">
        <f t="shared" si="14"/>
        <v>0.69874950937248992</v>
      </c>
      <c r="J180" s="2">
        <v>117.3</v>
      </c>
      <c r="K180" s="2">
        <v>110.2</v>
      </c>
      <c r="L180" s="2">
        <f t="shared" si="15"/>
        <v>7.0999999999999943</v>
      </c>
      <c r="M180" s="1">
        <f t="shared" si="16"/>
        <v>2.7056942240413329E-2</v>
      </c>
      <c r="N180" s="2">
        <v>128.19999999999999</v>
      </c>
      <c r="O180" s="2">
        <v>115.8</v>
      </c>
      <c r="P180" s="2">
        <f t="shared" si="17"/>
        <v>12.399999999999991</v>
      </c>
      <c r="Q180" s="2">
        <v>1.3</v>
      </c>
    </row>
    <row r="181" spans="1:17">
      <c r="A181" t="s">
        <v>39</v>
      </c>
      <c r="B181" t="s">
        <v>11</v>
      </c>
      <c r="C181">
        <v>49</v>
      </c>
      <c r="D181">
        <v>33</v>
      </c>
      <c r="E181" s="1">
        <f t="shared" si="12"/>
        <v>0.59756097560975607</v>
      </c>
      <c r="F181" s="2">
        <v>99.5</v>
      </c>
      <c r="G181" s="2">
        <v>97.5</v>
      </c>
      <c r="H181" s="2">
        <f t="shared" si="13"/>
        <v>2</v>
      </c>
      <c r="I181" s="1">
        <f t="shared" si="14"/>
        <v>0.57059367194887745</v>
      </c>
      <c r="J181" s="2">
        <v>104.7</v>
      </c>
      <c r="K181" s="2">
        <v>102.6</v>
      </c>
      <c r="L181" s="2">
        <f t="shared" si="15"/>
        <v>2.1000000000000085</v>
      </c>
      <c r="M181" s="1">
        <f t="shared" si="16"/>
        <v>2.6967303660878628E-2</v>
      </c>
      <c r="N181" s="2">
        <v>107.4</v>
      </c>
      <c r="O181" s="2">
        <v>96.7</v>
      </c>
      <c r="P181" s="2">
        <f t="shared" si="17"/>
        <v>10.700000000000003</v>
      </c>
      <c r="Q181">
        <v>1.1000000000000001</v>
      </c>
    </row>
    <row r="182" spans="1:17">
      <c r="A182" t="s">
        <v>57</v>
      </c>
      <c r="B182" t="s">
        <v>17</v>
      </c>
      <c r="C182">
        <v>26</v>
      </c>
      <c r="D182">
        <v>56</v>
      </c>
      <c r="E182" s="1">
        <f t="shared" si="12"/>
        <v>0.31707317073170732</v>
      </c>
      <c r="F182" s="2">
        <v>104.6</v>
      </c>
      <c r="G182" s="2">
        <v>111.5</v>
      </c>
      <c r="H182" s="2">
        <f t="shared" si="13"/>
        <v>-6.9000000000000057</v>
      </c>
      <c r="I182" s="1">
        <f t="shared" si="14"/>
        <v>0.29021613910677707</v>
      </c>
      <c r="J182" s="2">
        <v>105.3</v>
      </c>
      <c r="K182" s="2">
        <v>112</v>
      </c>
      <c r="L182" s="2">
        <f t="shared" si="15"/>
        <v>-6.7000000000000028</v>
      </c>
      <c r="M182" s="1">
        <f t="shared" si="16"/>
        <v>2.685703162493025E-2</v>
      </c>
      <c r="N182" s="2">
        <v>106.9</v>
      </c>
      <c r="O182" s="2">
        <v>123.2</v>
      </c>
      <c r="P182" s="2">
        <f t="shared" si="17"/>
        <v>-16.299999999999997</v>
      </c>
      <c r="Q182">
        <v>-0.7</v>
      </c>
    </row>
    <row r="183" spans="1:17">
      <c r="A183" t="s">
        <v>58</v>
      </c>
      <c r="B183" t="s">
        <v>25</v>
      </c>
      <c r="C183">
        <v>21</v>
      </c>
      <c r="D183">
        <v>61</v>
      </c>
      <c r="E183" s="1">
        <f t="shared" si="12"/>
        <v>0.25609756097560976</v>
      </c>
      <c r="F183" s="2">
        <v>103.9</v>
      </c>
      <c r="G183" s="2">
        <v>113.3</v>
      </c>
      <c r="H183" s="2">
        <f t="shared" si="13"/>
        <v>-9.3999999999999915</v>
      </c>
      <c r="I183" s="1">
        <f t="shared" si="14"/>
        <v>0.22925126807249627</v>
      </c>
      <c r="J183" s="2">
        <v>102.8</v>
      </c>
      <c r="K183" s="2">
        <v>111.7</v>
      </c>
      <c r="L183" s="2">
        <f t="shared" si="15"/>
        <v>-8.9000000000000057</v>
      </c>
      <c r="M183" s="1">
        <f t="shared" si="16"/>
        <v>2.6846292903113494E-2</v>
      </c>
      <c r="N183" s="2">
        <v>95.3</v>
      </c>
      <c r="O183" s="2">
        <v>104.9</v>
      </c>
      <c r="P183" s="2">
        <f t="shared" si="17"/>
        <v>-9.6000000000000085</v>
      </c>
      <c r="Q183">
        <v>-0.4</v>
      </c>
    </row>
    <row r="184" spans="1:17">
      <c r="A184" t="s">
        <v>41</v>
      </c>
      <c r="B184" t="s">
        <v>29</v>
      </c>
      <c r="C184">
        <v>35</v>
      </c>
      <c r="D184">
        <v>47</v>
      </c>
      <c r="E184" s="1">
        <f t="shared" si="12"/>
        <v>0.42682926829268292</v>
      </c>
      <c r="F184" s="2">
        <v>102.6</v>
      </c>
      <c r="G184" s="2">
        <v>105.6</v>
      </c>
      <c r="H184" s="2">
        <f t="shared" si="13"/>
        <v>-3</v>
      </c>
      <c r="I184" s="1">
        <f t="shared" si="14"/>
        <v>0.40047504632184655</v>
      </c>
      <c r="J184" s="2">
        <v>109.4</v>
      </c>
      <c r="K184" s="2">
        <v>112.7</v>
      </c>
      <c r="L184" s="2">
        <f t="shared" si="15"/>
        <v>-3.2999999999999972</v>
      </c>
      <c r="M184" s="1">
        <f t="shared" si="16"/>
        <v>2.6354221970836367E-2</v>
      </c>
      <c r="N184" s="2">
        <v>112.8</v>
      </c>
      <c r="O184" s="2">
        <v>111.5</v>
      </c>
      <c r="P184" s="2">
        <f t="shared" si="17"/>
        <v>1.2999999999999972</v>
      </c>
      <c r="Q184">
        <v>-1.2</v>
      </c>
    </row>
    <row r="185" spans="1:17">
      <c r="A185" t="s">
        <v>4</v>
      </c>
      <c r="B185" t="s">
        <v>20</v>
      </c>
      <c r="C185">
        <v>47</v>
      </c>
      <c r="D185">
        <v>35</v>
      </c>
      <c r="E185" s="1">
        <f t="shared" si="12"/>
        <v>0.57317073170731703</v>
      </c>
      <c r="F185" s="2">
        <v>97.3</v>
      </c>
      <c r="G185" s="2">
        <v>96</v>
      </c>
      <c r="H185" s="2">
        <f t="shared" si="13"/>
        <v>1.2999999999999972</v>
      </c>
      <c r="I185" s="1">
        <f t="shared" si="14"/>
        <v>0.546939164426965</v>
      </c>
      <c r="J185" s="2">
        <v>103.9</v>
      </c>
      <c r="K185" s="2">
        <v>102.4</v>
      </c>
      <c r="L185" s="2">
        <f t="shared" si="15"/>
        <v>1.5</v>
      </c>
      <c r="M185" s="1">
        <f t="shared" si="16"/>
        <v>2.6231567280352031E-2</v>
      </c>
      <c r="N185" s="2">
        <v>102.8</v>
      </c>
      <c r="O185" s="2">
        <v>106.9</v>
      </c>
      <c r="P185" s="2">
        <f t="shared" si="17"/>
        <v>-4.1000000000000085</v>
      </c>
      <c r="Q185">
        <v>-0.5</v>
      </c>
    </row>
    <row r="186" spans="1:17">
      <c r="A186" t="s">
        <v>41</v>
      </c>
      <c r="B186" t="s">
        <v>10</v>
      </c>
      <c r="C186">
        <v>60</v>
      </c>
      <c r="D186">
        <v>22</v>
      </c>
      <c r="E186" s="1">
        <f t="shared" si="12"/>
        <v>0.73170731707317072</v>
      </c>
      <c r="F186" s="2">
        <v>99.1</v>
      </c>
      <c r="G186" s="2">
        <v>93.1</v>
      </c>
      <c r="H186" s="2">
        <f t="shared" si="13"/>
        <v>6</v>
      </c>
      <c r="I186" s="1">
        <f t="shared" si="14"/>
        <v>0.70565493727063389</v>
      </c>
      <c r="J186" s="2">
        <v>109.9</v>
      </c>
      <c r="K186" s="2">
        <v>103.2</v>
      </c>
      <c r="L186" s="2">
        <f t="shared" si="15"/>
        <v>6.7000000000000028</v>
      </c>
      <c r="M186" s="1">
        <f t="shared" si="16"/>
        <v>2.6052379802536829E-2</v>
      </c>
      <c r="N186" s="2">
        <v>105.6</v>
      </c>
      <c r="O186" s="2">
        <v>97.4</v>
      </c>
      <c r="P186" s="2">
        <f t="shared" si="17"/>
        <v>8.1999999999999886</v>
      </c>
      <c r="Q186">
        <v>1.6</v>
      </c>
    </row>
    <row r="187" spans="1:17">
      <c r="A187" t="s">
        <v>58</v>
      </c>
      <c r="B187" t="s">
        <v>13</v>
      </c>
      <c r="C187">
        <v>58</v>
      </c>
      <c r="D187">
        <v>24</v>
      </c>
      <c r="E187" s="1">
        <f t="shared" si="12"/>
        <v>0.70731707317073167</v>
      </c>
      <c r="F187" s="2">
        <v>113.5</v>
      </c>
      <c r="G187" s="2">
        <v>107.5</v>
      </c>
      <c r="H187" s="2">
        <f t="shared" si="13"/>
        <v>6</v>
      </c>
      <c r="I187" s="1">
        <f t="shared" si="14"/>
        <v>0.68143359288372995</v>
      </c>
      <c r="J187" s="2">
        <v>112.8</v>
      </c>
      <c r="K187" s="2">
        <v>106.8</v>
      </c>
      <c r="L187" s="2">
        <f t="shared" si="15"/>
        <v>6</v>
      </c>
      <c r="M187" s="1">
        <f t="shared" si="16"/>
        <v>2.5883480287001714E-2</v>
      </c>
      <c r="N187" s="2">
        <v>113.1</v>
      </c>
      <c r="O187" s="2">
        <v>105.3</v>
      </c>
      <c r="P187" s="2">
        <f t="shared" si="17"/>
        <v>7.7999999999999972</v>
      </c>
      <c r="Q187">
        <v>0</v>
      </c>
    </row>
    <row r="188" spans="1:17">
      <c r="A188" t="s">
        <v>36</v>
      </c>
      <c r="B188" t="s">
        <v>17</v>
      </c>
      <c r="C188">
        <v>50</v>
      </c>
      <c r="D188">
        <v>32</v>
      </c>
      <c r="E188" s="1">
        <f t="shared" si="12"/>
        <v>0.6097560975609756</v>
      </c>
      <c r="F188" s="2">
        <v>100.4</v>
      </c>
      <c r="G188" s="2">
        <v>98</v>
      </c>
      <c r="H188" s="2">
        <f t="shared" si="13"/>
        <v>2.4000000000000057</v>
      </c>
      <c r="I188" s="1">
        <f t="shared" si="14"/>
        <v>0.58388106859457733</v>
      </c>
      <c r="J188" s="2">
        <v>105.6</v>
      </c>
      <c r="K188" s="2">
        <v>103.4</v>
      </c>
      <c r="L188" s="2">
        <f t="shared" si="15"/>
        <v>2.1999999999999886</v>
      </c>
      <c r="M188" s="1">
        <f t="shared" si="16"/>
        <v>2.5875028966398261E-2</v>
      </c>
      <c r="N188" s="2">
        <v>111.5</v>
      </c>
      <c r="O188" s="2">
        <v>100.9</v>
      </c>
      <c r="P188" s="2">
        <f t="shared" si="17"/>
        <v>10.599999999999994</v>
      </c>
      <c r="Q188">
        <v>0.5</v>
      </c>
    </row>
    <row r="189" spans="1:17">
      <c r="A189" t="s">
        <v>4</v>
      </c>
      <c r="B189" t="s">
        <v>24</v>
      </c>
      <c r="C189">
        <v>56</v>
      </c>
      <c r="D189">
        <v>26</v>
      </c>
      <c r="E189" s="1">
        <f t="shared" si="12"/>
        <v>0.68292682926829273</v>
      </c>
      <c r="F189" s="2">
        <v>94.7</v>
      </c>
      <c r="G189" s="2">
        <v>90.4</v>
      </c>
      <c r="H189" s="2">
        <f t="shared" si="13"/>
        <v>4.2999999999999972</v>
      </c>
      <c r="I189" s="1">
        <f t="shared" si="14"/>
        <v>0.65714030959602765</v>
      </c>
      <c r="J189" s="2">
        <v>101.9</v>
      </c>
      <c r="K189" s="2">
        <v>97.3</v>
      </c>
      <c r="L189" s="2">
        <f t="shared" si="15"/>
        <v>4.6000000000000085</v>
      </c>
      <c r="M189" s="1">
        <f t="shared" si="16"/>
        <v>2.5786519672265085E-2</v>
      </c>
      <c r="N189" s="2">
        <v>101.9</v>
      </c>
      <c r="O189" s="2">
        <v>94.6</v>
      </c>
      <c r="P189" s="2">
        <f t="shared" si="17"/>
        <v>7.3000000000000114</v>
      </c>
      <c r="Q189">
        <v>0.4</v>
      </c>
    </row>
    <row r="190" spans="1:17">
      <c r="A190" t="s">
        <v>45</v>
      </c>
      <c r="B190" t="s">
        <v>28</v>
      </c>
      <c r="C190">
        <v>54</v>
      </c>
      <c r="D190">
        <v>28</v>
      </c>
      <c r="E190" s="1">
        <f t="shared" si="12"/>
        <v>0.65853658536585369</v>
      </c>
      <c r="F190" s="2">
        <v>97</v>
      </c>
      <c r="G190" s="2">
        <v>93.3</v>
      </c>
      <c r="H190" s="2">
        <f t="shared" si="13"/>
        <v>3.7000000000000028</v>
      </c>
      <c r="I190" s="1">
        <f t="shared" si="14"/>
        <v>0.63285214825789127</v>
      </c>
      <c r="J190" s="2">
        <v>107.6</v>
      </c>
      <c r="K190" s="2">
        <v>103.4</v>
      </c>
      <c r="L190" s="2">
        <f t="shared" si="15"/>
        <v>4.1999999999999886</v>
      </c>
      <c r="M190" s="1">
        <f t="shared" si="16"/>
        <v>2.5684437107962421E-2</v>
      </c>
      <c r="N190" s="2">
        <v>104.3</v>
      </c>
      <c r="O190" s="2">
        <v>95.9</v>
      </c>
      <c r="P190" s="2">
        <f t="shared" si="17"/>
        <v>8.3999999999999915</v>
      </c>
      <c r="Q190">
        <v>0.7</v>
      </c>
    </row>
    <row r="191" spans="1:17">
      <c r="A191" t="s">
        <v>52</v>
      </c>
      <c r="B191" t="s">
        <v>15</v>
      </c>
      <c r="C191">
        <v>56</v>
      </c>
      <c r="D191">
        <v>26</v>
      </c>
      <c r="E191" s="1">
        <f t="shared" si="12"/>
        <v>0.68292682926829273</v>
      </c>
      <c r="F191" s="2">
        <v>96.7</v>
      </c>
      <c r="G191" s="2">
        <v>92.3</v>
      </c>
      <c r="H191" s="2">
        <f t="shared" si="13"/>
        <v>4.4000000000000057</v>
      </c>
      <c r="I191" s="1">
        <f t="shared" si="14"/>
        <v>0.65745418217817553</v>
      </c>
      <c r="J191" s="2">
        <v>103.6</v>
      </c>
      <c r="K191" s="2">
        <v>98.9</v>
      </c>
      <c r="L191" s="2">
        <f t="shared" si="15"/>
        <v>4.6999999999999886</v>
      </c>
      <c r="M191" s="1">
        <f t="shared" si="16"/>
        <v>2.5472647090117206E-2</v>
      </c>
      <c r="N191" s="2">
        <v>113.9</v>
      </c>
      <c r="O191" s="2">
        <v>94.6</v>
      </c>
      <c r="P191" s="2">
        <f t="shared" si="17"/>
        <v>19.300000000000011</v>
      </c>
      <c r="Q191">
        <v>1.4</v>
      </c>
    </row>
    <row r="192" spans="1:17">
      <c r="A192" t="s">
        <v>43</v>
      </c>
      <c r="B192" t="s">
        <v>13</v>
      </c>
      <c r="C192">
        <v>42</v>
      </c>
      <c r="D192">
        <v>40</v>
      </c>
      <c r="E192" s="1">
        <f t="shared" si="12"/>
        <v>0.51219512195121952</v>
      </c>
      <c r="F192" s="2">
        <v>106.5</v>
      </c>
      <c r="G192" s="2">
        <v>106.9</v>
      </c>
      <c r="H192" s="2">
        <f t="shared" si="13"/>
        <v>-0.40000000000000568</v>
      </c>
      <c r="I192" s="1">
        <f t="shared" si="14"/>
        <v>0.48688209591984372</v>
      </c>
      <c r="J192" s="2">
        <v>106.2</v>
      </c>
      <c r="K192" s="2">
        <v>106.5</v>
      </c>
      <c r="L192" s="2">
        <f t="shared" si="15"/>
        <v>-0.29999999999999716</v>
      </c>
      <c r="M192" s="1">
        <f t="shared" si="16"/>
        <v>2.5313026031375807E-2</v>
      </c>
      <c r="N192" s="2">
        <v>98.2</v>
      </c>
      <c r="O192" s="2">
        <v>105</v>
      </c>
      <c r="P192" s="2">
        <f t="shared" si="17"/>
        <v>-6.7999999999999972</v>
      </c>
      <c r="Q192">
        <v>-0.5</v>
      </c>
    </row>
    <row r="193" spans="1:17">
      <c r="A193" t="s">
        <v>49</v>
      </c>
      <c r="B193" t="s">
        <v>28</v>
      </c>
      <c r="C193">
        <v>50</v>
      </c>
      <c r="D193">
        <v>16</v>
      </c>
      <c r="E193" s="1">
        <f t="shared" si="12"/>
        <v>0.75757575757575757</v>
      </c>
      <c r="F193" s="2">
        <v>103.7</v>
      </c>
      <c r="G193" s="2">
        <v>96.5</v>
      </c>
      <c r="H193" s="2">
        <f t="shared" si="13"/>
        <v>7.2000000000000028</v>
      </c>
      <c r="I193" s="1">
        <f t="shared" si="14"/>
        <v>0.7325164044661483</v>
      </c>
      <c r="J193" s="2">
        <v>110</v>
      </c>
      <c r="K193" s="2">
        <v>102.3</v>
      </c>
      <c r="L193" s="2">
        <f t="shared" si="15"/>
        <v>7.7000000000000028</v>
      </c>
      <c r="M193" s="1">
        <f t="shared" si="16"/>
        <v>2.5059353109609273E-2</v>
      </c>
      <c r="N193" s="2">
        <v>104.3</v>
      </c>
      <c r="O193" s="2">
        <v>88.6</v>
      </c>
      <c r="P193" s="2">
        <f t="shared" si="17"/>
        <v>15.700000000000003</v>
      </c>
      <c r="Q193">
        <v>1.1000000000000001</v>
      </c>
    </row>
    <row r="194" spans="1:17">
      <c r="A194" t="s">
        <v>43</v>
      </c>
      <c r="B194" t="s">
        <v>21</v>
      </c>
      <c r="C194">
        <v>41</v>
      </c>
      <c r="D194">
        <v>41</v>
      </c>
      <c r="E194" s="1">
        <f t="shared" si="12"/>
        <v>0.5</v>
      </c>
      <c r="F194" s="2">
        <v>97.6</v>
      </c>
      <c r="G194" s="2">
        <v>98.3</v>
      </c>
      <c r="H194" s="2">
        <f t="shared" si="13"/>
        <v>-0.70000000000000284</v>
      </c>
      <c r="I194" s="1">
        <f t="shared" si="14"/>
        <v>0.47500797658493921</v>
      </c>
      <c r="J194" s="2">
        <v>104.2</v>
      </c>
      <c r="K194" s="2">
        <v>105.1</v>
      </c>
      <c r="L194" s="2">
        <f t="shared" si="15"/>
        <v>-0.89999999999999147</v>
      </c>
      <c r="M194" s="1">
        <f t="shared" si="16"/>
        <v>2.4992023415060793E-2</v>
      </c>
      <c r="N194" s="2">
        <v>101.7</v>
      </c>
      <c r="O194" s="2">
        <v>110.4</v>
      </c>
      <c r="P194" s="2">
        <f t="shared" si="17"/>
        <v>-8.7000000000000028</v>
      </c>
      <c r="Q194">
        <v>-0.6</v>
      </c>
    </row>
    <row r="195" spans="1:17">
      <c r="A195" t="s">
        <v>38</v>
      </c>
      <c r="B195" t="s">
        <v>30</v>
      </c>
      <c r="C195">
        <v>33</v>
      </c>
      <c r="D195">
        <v>49</v>
      </c>
      <c r="E195" s="1">
        <f t="shared" si="12"/>
        <v>0.40243902439024393</v>
      </c>
      <c r="F195" s="2">
        <v>85.4</v>
      </c>
      <c r="G195" s="2">
        <v>88.5</v>
      </c>
      <c r="H195" s="2">
        <f t="shared" si="13"/>
        <v>-3.0999999999999943</v>
      </c>
      <c r="I195" s="1">
        <f t="shared" si="14"/>
        <v>0.37773096615035939</v>
      </c>
      <c r="J195" s="2">
        <v>95.3</v>
      </c>
      <c r="K195" s="2">
        <v>98.8</v>
      </c>
      <c r="L195" s="2">
        <f t="shared" si="15"/>
        <v>-3.5</v>
      </c>
      <c r="M195" s="1">
        <f t="shared" si="16"/>
        <v>2.4708058239884534E-2</v>
      </c>
      <c r="N195" s="2">
        <v>92.7</v>
      </c>
      <c r="O195" s="2">
        <v>97.2</v>
      </c>
      <c r="P195" s="2">
        <f t="shared" si="17"/>
        <v>-4.5</v>
      </c>
      <c r="Q195">
        <v>0.3</v>
      </c>
    </row>
    <row r="196" spans="1:17">
      <c r="A196" t="s">
        <v>66</v>
      </c>
      <c r="B196" t="s">
        <v>23</v>
      </c>
      <c r="C196">
        <v>34</v>
      </c>
      <c r="D196">
        <v>27</v>
      </c>
      <c r="E196" s="1">
        <f t="shared" si="12"/>
        <v>0.55737704918032782</v>
      </c>
      <c r="F196" s="2">
        <v>114.8</v>
      </c>
      <c r="G196" s="2">
        <v>113.7</v>
      </c>
      <c r="H196" s="2">
        <f t="shared" si="13"/>
        <v>1.0999999999999943</v>
      </c>
      <c r="I196" s="1">
        <f t="shared" si="14"/>
        <v>0.53364736091127729</v>
      </c>
      <c r="J196" s="2">
        <v>113.7</v>
      </c>
      <c r="K196" s="2">
        <v>112.7</v>
      </c>
      <c r="L196" s="2">
        <f t="shared" si="15"/>
        <v>1</v>
      </c>
      <c r="M196" s="1">
        <f t="shared" si="16"/>
        <v>2.3729688269050531E-2</v>
      </c>
      <c r="N196" s="2">
        <v>109.6</v>
      </c>
      <c r="O196" s="2">
        <v>107.4</v>
      </c>
      <c r="P196" s="2">
        <f t="shared" si="17"/>
        <v>2.1999999999999886</v>
      </c>
      <c r="Q196" s="2">
        <v>0.7</v>
      </c>
    </row>
    <row r="197" spans="1:17">
      <c r="A197" t="s">
        <v>65</v>
      </c>
      <c r="B197" t="s">
        <v>9</v>
      </c>
      <c r="C197">
        <v>64</v>
      </c>
      <c r="D197">
        <v>18</v>
      </c>
      <c r="E197" s="1">
        <f t="shared" si="12"/>
        <v>0.78048780487804881</v>
      </c>
      <c r="F197" s="2">
        <v>121.9</v>
      </c>
      <c r="G197" s="2">
        <v>112.4</v>
      </c>
      <c r="H197" s="2">
        <f t="shared" si="13"/>
        <v>9.5</v>
      </c>
      <c r="I197" s="1">
        <f t="shared" si="14"/>
        <v>0.75692964586236922</v>
      </c>
      <c r="J197" s="2">
        <v>121</v>
      </c>
      <c r="K197" s="2">
        <v>111.8</v>
      </c>
      <c r="L197" s="2">
        <f t="shared" si="15"/>
        <v>9.2000000000000028</v>
      </c>
      <c r="M197" s="1">
        <f t="shared" si="16"/>
        <v>2.3558159015679592E-2</v>
      </c>
      <c r="N197" s="2">
        <v>123.8</v>
      </c>
      <c r="O197" s="2">
        <v>104.9</v>
      </c>
      <c r="P197" s="2">
        <f t="shared" si="17"/>
        <v>18.899999999999991</v>
      </c>
      <c r="Q197">
        <v>2.9</v>
      </c>
    </row>
    <row r="198" spans="1:17">
      <c r="A198" t="s">
        <v>57</v>
      </c>
      <c r="B198" t="s">
        <v>9</v>
      </c>
      <c r="C198">
        <v>51</v>
      </c>
      <c r="D198">
        <v>31</v>
      </c>
      <c r="E198" s="1">
        <f t="shared" si="12"/>
        <v>0.62195121951219512</v>
      </c>
      <c r="F198" s="2">
        <v>110.3</v>
      </c>
      <c r="G198" s="2">
        <v>107.2</v>
      </c>
      <c r="H198" s="2">
        <f t="shared" si="13"/>
        <v>3.0999999999999943</v>
      </c>
      <c r="I198" s="1">
        <f t="shared" si="14"/>
        <v>0.59847320533092052</v>
      </c>
      <c r="J198" s="2">
        <v>112.8</v>
      </c>
      <c r="K198" s="2">
        <v>109.7</v>
      </c>
      <c r="L198" s="2">
        <f t="shared" si="15"/>
        <v>3.0999999999999943</v>
      </c>
      <c r="M198" s="1">
        <f t="shared" si="16"/>
        <v>2.3478014181274598E-2</v>
      </c>
      <c r="N198" s="2">
        <v>117.1</v>
      </c>
      <c r="O198" s="2">
        <v>103.5</v>
      </c>
      <c r="P198" s="2">
        <f t="shared" si="17"/>
        <v>13.599999999999994</v>
      </c>
      <c r="Q198">
        <v>-1.2</v>
      </c>
    </row>
    <row r="199" spans="1:17">
      <c r="A199" t="s">
        <v>41</v>
      </c>
      <c r="B199" t="s">
        <v>19</v>
      </c>
      <c r="C199">
        <v>40</v>
      </c>
      <c r="D199">
        <v>42</v>
      </c>
      <c r="E199" s="1">
        <f t="shared" si="12"/>
        <v>0.48780487804878048</v>
      </c>
      <c r="F199" s="2">
        <v>97.8</v>
      </c>
      <c r="G199" s="2">
        <v>98.8</v>
      </c>
      <c r="H199" s="2">
        <f t="shared" si="13"/>
        <v>-1</v>
      </c>
      <c r="I199" s="1">
        <f t="shared" si="14"/>
        <v>0.46445446690558873</v>
      </c>
      <c r="J199" s="2">
        <v>104.9</v>
      </c>
      <c r="K199" s="2">
        <v>105.9</v>
      </c>
      <c r="L199" s="2">
        <f t="shared" si="15"/>
        <v>-1</v>
      </c>
      <c r="M199" s="1">
        <f t="shared" si="16"/>
        <v>2.3350411143191752E-2</v>
      </c>
      <c r="N199" s="2">
        <v>103.7</v>
      </c>
      <c r="O199" s="2">
        <v>95.3</v>
      </c>
      <c r="P199" s="2">
        <f t="shared" si="17"/>
        <v>8.4000000000000057</v>
      </c>
      <c r="Q199">
        <v>-1.1000000000000001</v>
      </c>
    </row>
    <row r="200" spans="1:17">
      <c r="A200" t="s">
        <v>65</v>
      </c>
      <c r="B200" t="s">
        <v>5</v>
      </c>
      <c r="C200">
        <v>40</v>
      </c>
      <c r="D200">
        <v>41</v>
      </c>
      <c r="E200" s="1">
        <f t="shared" si="12"/>
        <v>0.49382716049382713</v>
      </c>
      <c r="F200" s="2">
        <v>118.4</v>
      </c>
      <c r="G200" s="2">
        <v>119.4</v>
      </c>
      <c r="H200" s="2">
        <f t="shared" si="13"/>
        <v>-1</v>
      </c>
      <c r="I200" s="1">
        <f t="shared" si="14"/>
        <v>0.47059728800481032</v>
      </c>
      <c r="J200" s="2">
        <v>113.9</v>
      </c>
      <c r="K200" s="2">
        <v>114.9</v>
      </c>
      <c r="L200" s="2">
        <f t="shared" si="15"/>
        <v>-1</v>
      </c>
      <c r="M200" s="1">
        <f t="shared" si="16"/>
        <v>2.3229872489016812E-2</v>
      </c>
      <c r="N200" s="2">
        <v>119.4</v>
      </c>
      <c r="O200" s="2">
        <v>109.6</v>
      </c>
      <c r="P200" s="2">
        <f t="shared" si="17"/>
        <v>9.8000000000000114</v>
      </c>
      <c r="Q200">
        <v>1.1000000000000001</v>
      </c>
    </row>
    <row r="201" spans="1:17">
      <c r="A201" t="s">
        <v>54</v>
      </c>
      <c r="B201" t="s">
        <v>13</v>
      </c>
      <c r="C201">
        <v>67</v>
      </c>
      <c r="D201">
        <v>15</v>
      </c>
      <c r="E201" s="1">
        <f t="shared" ref="E201:E264" si="18">+C201/(C201+D201)</f>
        <v>0.81707317073170727</v>
      </c>
      <c r="F201" s="2">
        <v>110</v>
      </c>
      <c r="G201" s="2">
        <v>99.9</v>
      </c>
      <c r="H201" s="2">
        <f t="shared" ref="H201:H264" si="19">+F201-G201</f>
        <v>10.099999999999994</v>
      </c>
      <c r="I201" s="1">
        <f t="shared" ref="I201:I264" si="20">+(F201^14)/((F201^14+G201^14))</f>
        <v>0.79385966423964438</v>
      </c>
      <c r="J201" s="2">
        <v>110.4</v>
      </c>
      <c r="K201" s="2">
        <v>100.4</v>
      </c>
      <c r="L201" s="2">
        <f t="shared" ref="L201:L264" si="21">+J201-K201</f>
        <v>10</v>
      </c>
      <c r="M201" s="1">
        <f t="shared" ref="M201:M264" si="22">+E201-I201</f>
        <v>2.3213506492062885E-2</v>
      </c>
      <c r="N201" s="2">
        <v>111</v>
      </c>
      <c r="O201" s="2">
        <v>92.1</v>
      </c>
      <c r="P201" s="2">
        <f t="shared" si="17"/>
        <v>18.900000000000006</v>
      </c>
      <c r="Q201">
        <v>0.4</v>
      </c>
    </row>
    <row r="202" spans="1:17">
      <c r="A202" t="s">
        <v>52</v>
      </c>
      <c r="B202" t="s">
        <v>17</v>
      </c>
      <c r="C202">
        <v>27</v>
      </c>
      <c r="D202">
        <v>55</v>
      </c>
      <c r="E202" s="1">
        <f t="shared" si="18"/>
        <v>0.32926829268292684</v>
      </c>
      <c r="F202" s="2">
        <v>103</v>
      </c>
      <c r="G202" s="2">
        <v>109.2</v>
      </c>
      <c r="H202" s="2">
        <f t="shared" si="19"/>
        <v>-6.2000000000000028</v>
      </c>
      <c r="I202" s="1">
        <f t="shared" si="20"/>
        <v>0.30611847103175666</v>
      </c>
      <c r="J202" s="2">
        <v>103.2</v>
      </c>
      <c r="K202" s="2">
        <v>109.3</v>
      </c>
      <c r="L202" s="2">
        <f t="shared" si="21"/>
        <v>-6.0999999999999943</v>
      </c>
      <c r="M202" s="1">
        <f t="shared" si="22"/>
        <v>2.3149821651170188E-2</v>
      </c>
      <c r="N202" s="2">
        <v>100.8</v>
      </c>
      <c r="O202" s="2">
        <v>100</v>
      </c>
      <c r="P202" s="2">
        <f t="shared" ref="P202:P265" si="23">+N202-O202</f>
        <v>0.79999999999999716</v>
      </c>
      <c r="Q202">
        <v>0.5</v>
      </c>
    </row>
    <row r="203" spans="1:17">
      <c r="A203" t="s">
        <v>60</v>
      </c>
      <c r="B203" t="s">
        <v>9</v>
      </c>
      <c r="C203">
        <v>19</v>
      </c>
      <c r="D203">
        <v>46</v>
      </c>
      <c r="E203" s="1">
        <f t="shared" si="18"/>
        <v>0.29230769230769232</v>
      </c>
      <c r="F203" s="2">
        <v>106.9</v>
      </c>
      <c r="G203" s="2">
        <v>114.8</v>
      </c>
      <c r="H203" s="2">
        <f t="shared" si="19"/>
        <v>-7.8999999999999915</v>
      </c>
      <c r="I203" s="1">
        <f t="shared" si="20"/>
        <v>0.26930190028801032</v>
      </c>
      <c r="J203" s="2">
        <v>106.9</v>
      </c>
      <c r="K203" s="2">
        <v>114.8</v>
      </c>
      <c r="L203" s="2">
        <f t="shared" si="21"/>
        <v>-7.8999999999999915</v>
      </c>
      <c r="M203" s="1">
        <f t="shared" si="22"/>
        <v>2.3005792019682003E-2</v>
      </c>
      <c r="N203" s="2">
        <v>103.5</v>
      </c>
      <c r="O203" s="2">
        <v>110.1</v>
      </c>
      <c r="P203" s="2">
        <f t="shared" si="23"/>
        <v>-6.5999999999999943</v>
      </c>
      <c r="Q203">
        <v>0</v>
      </c>
    </row>
    <row r="204" spans="1:17">
      <c r="A204" t="s">
        <v>38</v>
      </c>
      <c r="B204" t="s">
        <v>35</v>
      </c>
      <c r="C204">
        <v>50</v>
      </c>
      <c r="D204">
        <v>32</v>
      </c>
      <c r="E204" s="1">
        <f t="shared" si="18"/>
        <v>0.6097560975609756</v>
      </c>
      <c r="F204" s="2">
        <v>96.7</v>
      </c>
      <c r="G204" s="2">
        <v>94.3</v>
      </c>
      <c r="H204" s="2">
        <f t="shared" si="19"/>
        <v>2.4000000000000057</v>
      </c>
      <c r="I204" s="1">
        <f t="shared" si="20"/>
        <v>0.58706636453816929</v>
      </c>
      <c r="J204" s="2">
        <v>103.4</v>
      </c>
      <c r="K204" s="2">
        <v>100.8</v>
      </c>
      <c r="L204" s="2">
        <f t="shared" si="21"/>
        <v>2.6000000000000085</v>
      </c>
      <c r="M204" s="1">
        <f t="shared" si="22"/>
        <v>2.2689733022806302E-2</v>
      </c>
      <c r="N204" s="2">
        <v>105.6</v>
      </c>
      <c r="O204" s="2">
        <v>95.5</v>
      </c>
      <c r="P204" s="2">
        <f t="shared" si="23"/>
        <v>10.099999999999994</v>
      </c>
      <c r="Q204">
        <v>2</v>
      </c>
    </row>
    <row r="205" spans="1:17">
      <c r="A205" t="s">
        <v>65</v>
      </c>
      <c r="B205" t="s">
        <v>8</v>
      </c>
      <c r="C205">
        <v>39</v>
      </c>
      <c r="D205">
        <v>43</v>
      </c>
      <c r="E205" s="1">
        <f t="shared" si="18"/>
        <v>0.47560975609756095</v>
      </c>
      <c r="F205" s="2">
        <v>117.8</v>
      </c>
      <c r="G205" s="2">
        <v>119.4</v>
      </c>
      <c r="H205" s="2">
        <f t="shared" si="19"/>
        <v>-1.6000000000000085</v>
      </c>
      <c r="I205" s="1">
        <f t="shared" si="20"/>
        <v>0.45292161510107215</v>
      </c>
      <c r="J205" s="2">
        <v>113.2</v>
      </c>
      <c r="K205" s="2">
        <v>114.8</v>
      </c>
      <c r="L205" s="2">
        <f t="shared" si="21"/>
        <v>-1.5999999999999943</v>
      </c>
      <c r="M205" s="1">
        <f t="shared" si="22"/>
        <v>2.2688140996488804E-2</v>
      </c>
      <c r="N205" s="2">
        <v>115.4</v>
      </c>
      <c r="O205" s="2">
        <v>100.4</v>
      </c>
      <c r="P205" s="2">
        <f t="shared" si="23"/>
        <v>15</v>
      </c>
      <c r="Q205">
        <v>0</v>
      </c>
    </row>
    <row r="206" spans="1:17">
      <c r="A206" t="s">
        <v>57</v>
      </c>
      <c r="B206" t="s">
        <v>24</v>
      </c>
      <c r="C206">
        <v>28</v>
      </c>
      <c r="D206">
        <v>54</v>
      </c>
      <c r="E206" s="1">
        <f t="shared" si="18"/>
        <v>0.34146341463414637</v>
      </c>
      <c r="F206" s="2">
        <v>102.4</v>
      </c>
      <c r="G206" s="2">
        <v>108.1</v>
      </c>
      <c r="H206" s="2">
        <f t="shared" si="19"/>
        <v>-5.6999999999999886</v>
      </c>
      <c r="I206" s="1">
        <f t="shared" si="20"/>
        <v>0.31899805241383661</v>
      </c>
      <c r="J206" s="2">
        <v>102.7</v>
      </c>
      <c r="K206" s="2">
        <v>108.2</v>
      </c>
      <c r="L206" s="2">
        <f t="shared" si="21"/>
        <v>-5.5</v>
      </c>
      <c r="M206" s="1">
        <f t="shared" si="22"/>
        <v>2.2465362220309759E-2</v>
      </c>
      <c r="N206" s="2">
        <v>98.1</v>
      </c>
      <c r="O206" s="2">
        <v>109.1</v>
      </c>
      <c r="P206" s="2">
        <f t="shared" si="23"/>
        <v>-11</v>
      </c>
      <c r="Q206">
        <v>-1.4</v>
      </c>
    </row>
    <row r="207" spans="1:17">
      <c r="A207" t="s">
        <v>55</v>
      </c>
      <c r="B207" t="s">
        <v>10</v>
      </c>
      <c r="C207">
        <v>42</v>
      </c>
      <c r="D207">
        <v>40</v>
      </c>
      <c r="E207" s="1">
        <f t="shared" si="18"/>
        <v>0.51219512195121952</v>
      </c>
      <c r="F207" s="2">
        <v>102.3</v>
      </c>
      <c r="G207" s="2">
        <v>102.6</v>
      </c>
      <c r="H207" s="2">
        <f t="shared" si="19"/>
        <v>-0.29999999999999716</v>
      </c>
      <c r="I207" s="1">
        <f t="shared" si="20"/>
        <v>0.4897525259278111</v>
      </c>
      <c r="J207" s="2">
        <v>105.5</v>
      </c>
      <c r="K207" s="2">
        <v>105.9</v>
      </c>
      <c r="L207" s="2">
        <f t="shared" si="21"/>
        <v>-0.40000000000000568</v>
      </c>
      <c r="M207" s="1">
        <f t="shared" si="22"/>
        <v>2.2442596023408423E-2</v>
      </c>
      <c r="N207" s="2">
        <v>113.5</v>
      </c>
      <c r="O207" s="2">
        <v>99.1</v>
      </c>
      <c r="P207" s="2">
        <f t="shared" si="23"/>
        <v>14.400000000000006</v>
      </c>
      <c r="Q207">
        <v>0.3</v>
      </c>
    </row>
    <row r="208" spans="1:17">
      <c r="A208" t="s">
        <v>47</v>
      </c>
      <c r="B208" t="s">
        <v>14</v>
      </c>
      <c r="C208">
        <v>42</v>
      </c>
      <c r="D208">
        <v>40</v>
      </c>
      <c r="E208" s="1">
        <f t="shared" si="18"/>
        <v>0.51219512195121952</v>
      </c>
      <c r="F208" s="2">
        <v>102.4</v>
      </c>
      <c r="G208" s="2">
        <v>102.7</v>
      </c>
      <c r="H208" s="2">
        <f t="shared" si="19"/>
        <v>-0.29999999999999716</v>
      </c>
      <c r="I208" s="1">
        <f t="shared" si="20"/>
        <v>0.48976251580890345</v>
      </c>
      <c r="J208" s="2">
        <v>106.8</v>
      </c>
      <c r="K208" s="2">
        <v>106.8</v>
      </c>
      <c r="L208" s="2">
        <f t="shared" si="21"/>
        <v>0</v>
      </c>
      <c r="M208" s="1">
        <f t="shared" si="22"/>
        <v>2.2432606142316069E-2</v>
      </c>
      <c r="N208" s="2">
        <v>103.5</v>
      </c>
      <c r="O208" s="2">
        <v>97.2</v>
      </c>
      <c r="P208" s="2">
        <f t="shared" si="23"/>
        <v>6.2999999999999972</v>
      </c>
      <c r="Q208">
        <v>-0.8</v>
      </c>
    </row>
    <row r="209" spans="1:17">
      <c r="A209" t="s">
        <v>64</v>
      </c>
      <c r="B209" t="s">
        <v>19</v>
      </c>
      <c r="C209">
        <v>49</v>
      </c>
      <c r="D209">
        <v>32</v>
      </c>
      <c r="E209" s="1">
        <f t="shared" si="18"/>
        <v>0.60493827160493829</v>
      </c>
      <c r="F209" s="2">
        <v>119</v>
      </c>
      <c r="G209" s="2">
        <v>116.2</v>
      </c>
      <c r="H209" s="2">
        <f t="shared" si="19"/>
        <v>2.7999999999999972</v>
      </c>
      <c r="I209" s="1">
        <f t="shared" si="20"/>
        <v>0.58257403618210546</v>
      </c>
      <c r="J209" s="2">
        <v>117.7</v>
      </c>
      <c r="K209" s="2">
        <v>114.9</v>
      </c>
      <c r="L209" s="2">
        <f t="shared" si="21"/>
        <v>2.7999999999999972</v>
      </c>
      <c r="M209" s="1">
        <f t="shared" si="22"/>
        <v>2.2364235422832834E-2</v>
      </c>
      <c r="N209" s="2">
        <v>122</v>
      </c>
      <c r="O209" s="2">
        <v>106.2</v>
      </c>
      <c r="P209" s="2">
        <f t="shared" si="23"/>
        <v>15.799999999999997</v>
      </c>
      <c r="Q209">
        <v>0.1</v>
      </c>
    </row>
    <row r="210" spans="1:17">
      <c r="A210" t="s">
        <v>38</v>
      </c>
      <c r="B210" t="s">
        <v>9</v>
      </c>
      <c r="C210">
        <v>35</v>
      </c>
      <c r="D210">
        <v>47</v>
      </c>
      <c r="E210" s="1">
        <f t="shared" si="18"/>
        <v>0.42682926829268292</v>
      </c>
      <c r="F210" s="2">
        <v>92.9</v>
      </c>
      <c r="G210" s="2">
        <v>95.5</v>
      </c>
      <c r="H210" s="2">
        <f t="shared" si="19"/>
        <v>-2.5999999999999943</v>
      </c>
      <c r="I210" s="1">
        <f t="shared" si="20"/>
        <v>0.40457545277008533</v>
      </c>
      <c r="J210" s="2">
        <v>100.6</v>
      </c>
      <c r="K210" s="2">
        <v>103.1</v>
      </c>
      <c r="L210" s="2">
        <f t="shared" si="21"/>
        <v>-2.5</v>
      </c>
      <c r="M210" s="1">
        <f t="shared" si="22"/>
        <v>2.2253815522597586E-2</v>
      </c>
      <c r="N210" s="2">
        <v>93.1</v>
      </c>
      <c r="O210" s="2">
        <v>97.1</v>
      </c>
      <c r="P210" s="2">
        <f t="shared" si="23"/>
        <v>-4</v>
      </c>
      <c r="Q210">
        <v>-0.5</v>
      </c>
    </row>
    <row r="211" spans="1:17">
      <c r="A211" t="s">
        <v>64</v>
      </c>
      <c r="B211" t="s">
        <v>56</v>
      </c>
      <c r="C211">
        <v>51</v>
      </c>
      <c r="D211">
        <v>31</v>
      </c>
      <c r="E211" s="1">
        <f t="shared" si="18"/>
        <v>0.62195121951219512</v>
      </c>
      <c r="F211" s="2">
        <v>115.6</v>
      </c>
      <c r="G211" s="2">
        <v>112.3</v>
      </c>
      <c r="H211" s="2">
        <f t="shared" si="19"/>
        <v>3.2999999999999972</v>
      </c>
      <c r="I211" s="1">
        <f t="shared" si="20"/>
        <v>0.60000101155304963</v>
      </c>
      <c r="J211" s="2">
        <v>117.9</v>
      </c>
      <c r="K211" s="2">
        <v>114.6</v>
      </c>
      <c r="L211" s="2">
        <f t="shared" si="21"/>
        <v>3.3000000000000114</v>
      </c>
      <c r="M211" s="1">
        <f t="shared" si="22"/>
        <v>2.1950207959145485E-2</v>
      </c>
      <c r="N211" s="2">
        <v>124.6</v>
      </c>
      <c r="O211" s="2">
        <v>107.8</v>
      </c>
      <c r="P211" s="2">
        <f t="shared" si="23"/>
        <v>16.799999999999997</v>
      </c>
      <c r="Q211">
        <v>-0.5</v>
      </c>
    </row>
    <row r="212" spans="1:17">
      <c r="A212" t="s">
        <v>43</v>
      </c>
      <c r="B212" t="s">
        <v>31</v>
      </c>
      <c r="C212">
        <v>51</v>
      </c>
      <c r="D212">
        <v>31</v>
      </c>
      <c r="E212" s="1">
        <f t="shared" si="18"/>
        <v>0.62195121951219512</v>
      </c>
      <c r="F212" s="2">
        <v>101.5</v>
      </c>
      <c r="G212" s="2">
        <v>98.6</v>
      </c>
      <c r="H212" s="2">
        <f t="shared" si="19"/>
        <v>2.9000000000000057</v>
      </c>
      <c r="I212" s="1">
        <f t="shared" si="20"/>
        <v>0.60008649482988841</v>
      </c>
      <c r="J212" s="2">
        <v>108.6</v>
      </c>
      <c r="K212" s="2">
        <v>105.6</v>
      </c>
      <c r="L212" s="2">
        <f t="shared" si="21"/>
        <v>3</v>
      </c>
      <c r="M212" s="1">
        <f t="shared" si="22"/>
        <v>2.1864724682306713E-2</v>
      </c>
      <c r="N212" s="2">
        <v>116.1</v>
      </c>
      <c r="O212" s="2">
        <v>109.7</v>
      </c>
      <c r="P212" s="2">
        <f t="shared" si="23"/>
        <v>6.3999999999999915</v>
      </c>
      <c r="Q212">
        <v>1.9</v>
      </c>
    </row>
    <row r="213" spans="1:17">
      <c r="A213" t="s">
        <v>60</v>
      </c>
      <c r="B213" t="s">
        <v>14</v>
      </c>
      <c r="C213">
        <v>44</v>
      </c>
      <c r="D213">
        <v>28</v>
      </c>
      <c r="E213" s="1">
        <f t="shared" si="18"/>
        <v>0.61111111111111116</v>
      </c>
      <c r="F213" s="2">
        <v>117.8</v>
      </c>
      <c r="G213" s="2">
        <v>114.8</v>
      </c>
      <c r="H213" s="2">
        <f t="shared" si="19"/>
        <v>3</v>
      </c>
      <c r="I213" s="1">
        <f t="shared" si="20"/>
        <v>0.58932000368838899</v>
      </c>
      <c r="J213" s="2">
        <v>112.5</v>
      </c>
      <c r="K213" s="2">
        <v>109.8</v>
      </c>
      <c r="L213" s="2">
        <f t="shared" si="21"/>
        <v>2.7000000000000028</v>
      </c>
      <c r="M213" s="1">
        <f t="shared" si="22"/>
        <v>2.1791107422722167E-2</v>
      </c>
      <c r="N213" s="2">
        <v>115.7</v>
      </c>
      <c r="O213" s="2">
        <v>97</v>
      </c>
      <c r="P213" s="2">
        <f t="shared" si="23"/>
        <v>18.700000000000003</v>
      </c>
      <c r="Q213">
        <v>-0.5</v>
      </c>
    </row>
    <row r="214" spans="1:17">
      <c r="A214" t="s">
        <v>63</v>
      </c>
      <c r="B214" t="s">
        <v>26</v>
      </c>
      <c r="C214">
        <v>33</v>
      </c>
      <c r="D214">
        <v>49</v>
      </c>
      <c r="E214" s="1">
        <f t="shared" si="18"/>
        <v>0.40243902439024393</v>
      </c>
      <c r="F214" s="2">
        <v>113.4</v>
      </c>
      <c r="G214" s="2">
        <v>117.4</v>
      </c>
      <c r="H214" s="2">
        <f t="shared" si="19"/>
        <v>-4</v>
      </c>
      <c r="I214" s="1">
        <f t="shared" si="20"/>
        <v>0.3809973284555101</v>
      </c>
      <c r="J214" s="2">
        <v>114</v>
      </c>
      <c r="K214" s="2">
        <v>118</v>
      </c>
      <c r="L214" s="2">
        <f t="shared" si="21"/>
        <v>-4</v>
      </c>
      <c r="M214" s="1">
        <f t="shared" si="22"/>
        <v>2.1441695934733829E-2</v>
      </c>
      <c r="N214" s="2">
        <v>107.1</v>
      </c>
      <c r="O214" s="2">
        <v>113.9</v>
      </c>
      <c r="P214" s="2">
        <f t="shared" si="23"/>
        <v>-6.8000000000000114</v>
      </c>
      <c r="Q214">
        <v>-1.2</v>
      </c>
    </row>
    <row r="215" spans="1:17">
      <c r="A215" t="s">
        <v>63</v>
      </c>
      <c r="B215" t="s">
        <v>56</v>
      </c>
      <c r="C215">
        <v>44</v>
      </c>
      <c r="D215">
        <v>38</v>
      </c>
      <c r="E215" s="1">
        <f t="shared" si="18"/>
        <v>0.53658536585365857</v>
      </c>
      <c r="F215" s="2">
        <v>113.6</v>
      </c>
      <c r="G215" s="2">
        <v>113.1</v>
      </c>
      <c r="H215" s="2">
        <f t="shared" si="19"/>
        <v>0.5</v>
      </c>
      <c r="I215" s="1">
        <f t="shared" si="20"/>
        <v>0.515434026237649</v>
      </c>
      <c r="J215" s="2">
        <v>114</v>
      </c>
      <c r="K215" s="2">
        <v>113.6</v>
      </c>
      <c r="L215" s="2">
        <f t="shared" si="21"/>
        <v>0.40000000000000568</v>
      </c>
      <c r="M215" s="1">
        <f t="shared" si="22"/>
        <v>2.1151339616009568E-2</v>
      </c>
      <c r="N215" s="2">
        <v>112.3</v>
      </c>
      <c r="O215" s="2">
        <v>109.8</v>
      </c>
      <c r="P215" s="2">
        <f t="shared" si="23"/>
        <v>2.5</v>
      </c>
      <c r="Q215">
        <v>0.7</v>
      </c>
    </row>
    <row r="216" spans="1:17">
      <c r="A216" t="s">
        <v>44</v>
      </c>
      <c r="B216" t="s">
        <v>16</v>
      </c>
      <c r="C216">
        <v>23</v>
      </c>
      <c r="D216">
        <v>59</v>
      </c>
      <c r="E216" s="1">
        <f t="shared" si="18"/>
        <v>0.28048780487804881</v>
      </c>
      <c r="F216" s="2">
        <v>93.8</v>
      </c>
      <c r="G216" s="2">
        <v>101.1</v>
      </c>
      <c r="H216" s="2">
        <f t="shared" si="19"/>
        <v>-7.2999999999999972</v>
      </c>
      <c r="I216" s="1">
        <f t="shared" si="20"/>
        <v>0.25937226319296447</v>
      </c>
      <c r="J216" s="2">
        <v>99.9</v>
      </c>
      <c r="K216" s="2">
        <v>107.4</v>
      </c>
      <c r="L216" s="2">
        <f t="shared" si="21"/>
        <v>-7.5</v>
      </c>
      <c r="M216" s="1">
        <f t="shared" si="22"/>
        <v>2.1115541685084338E-2</v>
      </c>
      <c r="N216" s="2">
        <v>110.1</v>
      </c>
      <c r="O216" s="2">
        <v>122.7</v>
      </c>
      <c r="P216" s="2">
        <f t="shared" si="23"/>
        <v>-12.600000000000009</v>
      </c>
      <c r="Q216">
        <v>-1</v>
      </c>
    </row>
    <row r="217" spans="1:17">
      <c r="A217" t="s">
        <v>63</v>
      </c>
      <c r="B217" t="s">
        <v>51</v>
      </c>
      <c r="C217">
        <v>45</v>
      </c>
      <c r="D217">
        <v>37</v>
      </c>
      <c r="E217" s="1">
        <f t="shared" si="18"/>
        <v>0.54878048780487809</v>
      </c>
      <c r="F217" s="2">
        <v>113.4</v>
      </c>
      <c r="G217" s="2">
        <v>112.5</v>
      </c>
      <c r="H217" s="2">
        <f t="shared" si="19"/>
        <v>0.90000000000000568</v>
      </c>
      <c r="I217" s="1">
        <f t="shared" si="20"/>
        <v>0.52785970836604967</v>
      </c>
      <c r="J217" s="2">
        <v>114.6</v>
      </c>
      <c r="K217" s="2">
        <v>113.5</v>
      </c>
      <c r="L217" s="2">
        <f t="shared" si="21"/>
        <v>1.0999999999999943</v>
      </c>
      <c r="M217" s="1">
        <f t="shared" si="22"/>
        <v>2.0920779438828419E-2</v>
      </c>
      <c r="N217" s="2">
        <v>115.9</v>
      </c>
      <c r="O217" s="2">
        <v>110.2</v>
      </c>
      <c r="P217" s="2">
        <f t="shared" si="23"/>
        <v>5.7000000000000028</v>
      </c>
      <c r="Q217">
        <v>0.3</v>
      </c>
    </row>
    <row r="218" spans="1:17">
      <c r="A218" t="s">
        <v>43</v>
      </c>
      <c r="B218" t="s">
        <v>25</v>
      </c>
      <c r="C218">
        <v>61</v>
      </c>
      <c r="D218">
        <v>21</v>
      </c>
      <c r="E218" s="1">
        <f t="shared" si="18"/>
        <v>0.74390243902439024</v>
      </c>
      <c r="F218" s="2">
        <v>110.2</v>
      </c>
      <c r="G218" s="2">
        <v>102.9</v>
      </c>
      <c r="H218" s="2">
        <f t="shared" si="19"/>
        <v>7.2999999999999972</v>
      </c>
      <c r="I218" s="1">
        <f t="shared" si="20"/>
        <v>0.72303160932792188</v>
      </c>
      <c r="J218" s="2">
        <v>112.9</v>
      </c>
      <c r="K218" s="2">
        <v>105.5</v>
      </c>
      <c r="L218" s="2">
        <f t="shared" si="21"/>
        <v>7.4000000000000057</v>
      </c>
      <c r="M218" s="1">
        <f t="shared" si="22"/>
        <v>2.0870829696468363E-2</v>
      </c>
      <c r="N218" s="2">
        <v>108.6</v>
      </c>
      <c r="O218" s="2">
        <v>101.9</v>
      </c>
      <c r="P218" s="2">
        <f t="shared" si="23"/>
        <v>6.6999999999999886</v>
      </c>
      <c r="Q218">
        <v>0.9</v>
      </c>
    </row>
    <row r="219" spans="1:17">
      <c r="A219" t="s">
        <v>49</v>
      </c>
      <c r="B219" t="s">
        <v>31</v>
      </c>
      <c r="C219">
        <v>36</v>
      </c>
      <c r="D219">
        <v>30</v>
      </c>
      <c r="E219" s="1">
        <f t="shared" si="18"/>
        <v>0.54545454545454541</v>
      </c>
      <c r="F219" s="2">
        <v>99.7</v>
      </c>
      <c r="G219" s="2">
        <v>99</v>
      </c>
      <c r="H219" s="2">
        <f t="shared" si="19"/>
        <v>0.70000000000000284</v>
      </c>
      <c r="I219" s="1">
        <f t="shared" si="20"/>
        <v>0.52464041755417556</v>
      </c>
      <c r="J219" s="2">
        <v>105.5</v>
      </c>
      <c r="K219" s="2">
        <v>104.9</v>
      </c>
      <c r="L219" s="2">
        <f t="shared" si="21"/>
        <v>0.59999999999999432</v>
      </c>
      <c r="M219" s="1">
        <f t="shared" si="22"/>
        <v>2.081412790036985E-2</v>
      </c>
      <c r="N219" s="2">
        <v>96.6</v>
      </c>
      <c r="O219" s="2">
        <v>98.2</v>
      </c>
      <c r="P219" s="2">
        <f t="shared" si="23"/>
        <v>-1.6000000000000085</v>
      </c>
      <c r="Q219">
        <v>0</v>
      </c>
    </row>
    <row r="220" spans="1:17">
      <c r="A220" t="s">
        <v>60</v>
      </c>
      <c r="B220" t="s">
        <v>5</v>
      </c>
      <c r="C220">
        <v>20</v>
      </c>
      <c r="D220">
        <v>47</v>
      </c>
      <c r="E220" s="1">
        <f t="shared" si="18"/>
        <v>0.29850746268656714</v>
      </c>
      <c r="F220" s="2">
        <v>111.8</v>
      </c>
      <c r="G220" s="2">
        <v>119.7</v>
      </c>
      <c r="H220" s="2">
        <f t="shared" si="19"/>
        <v>-7.9000000000000057</v>
      </c>
      <c r="I220" s="1">
        <f t="shared" si="20"/>
        <v>0.27770410092072012</v>
      </c>
      <c r="J220" s="2">
        <v>107</v>
      </c>
      <c r="K220" s="2">
        <v>114.4</v>
      </c>
      <c r="L220" s="2">
        <f t="shared" si="21"/>
        <v>-7.4000000000000057</v>
      </c>
      <c r="M220" s="1">
        <f t="shared" si="22"/>
        <v>2.0803361765847017E-2</v>
      </c>
      <c r="N220" s="2">
        <v>97.4</v>
      </c>
      <c r="O220" s="2">
        <v>98.9</v>
      </c>
      <c r="P220" s="2">
        <f t="shared" si="23"/>
        <v>-1.5</v>
      </c>
      <c r="Q220">
        <v>-1</v>
      </c>
    </row>
    <row r="221" spans="1:17">
      <c r="A221" t="s">
        <v>63</v>
      </c>
      <c r="B221" t="s">
        <v>15</v>
      </c>
      <c r="C221">
        <v>35</v>
      </c>
      <c r="D221">
        <v>47</v>
      </c>
      <c r="E221" s="1">
        <f t="shared" si="18"/>
        <v>0.42682926829268292</v>
      </c>
      <c r="F221" s="2">
        <v>116.3</v>
      </c>
      <c r="G221" s="2">
        <v>119.5</v>
      </c>
      <c r="H221" s="2">
        <f t="shared" si="19"/>
        <v>-3.2000000000000028</v>
      </c>
      <c r="I221" s="1">
        <f t="shared" si="20"/>
        <v>0.40612536169941066</v>
      </c>
      <c r="J221" s="2">
        <v>113.8</v>
      </c>
      <c r="K221" s="2">
        <v>117.1</v>
      </c>
      <c r="L221" s="2">
        <f t="shared" si="21"/>
        <v>-3.2999999999999972</v>
      </c>
      <c r="M221" s="1">
        <f t="shared" si="22"/>
        <v>2.0703906593272259E-2</v>
      </c>
      <c r="N221" s="2">
        <v>110</v>
      </c>
      <c r="O221" s="2">
        <v>110.7</v>
      </c>
      <c r="P221" s="2">
        <f t="shared" si="23"/>
        <v>-0.70000000000000284</v>
      </c>
      <c r="Q221">
        <v>0.7</v>
      </c>
    </row>
    <row r="222" spans="1:17">
      <c r="A222" t="s">
        <v>50</v>
      </c>
      <c r="B222" t="s">
        <v>10</v>
      </c>
      <c r="C222">
        <v>41</v>
      </c>
      <c r="D222">
        <v>41</v>
      </c>
      <c r="E222" s="1">
        <f t="shared" si="18"/>
        <v>0.5</v>
      </c>
      <c r="F222" s="2">
        <v>101.1</v>
      </c>
      <c r="G222" s="2">
        <v>101.7</v>
      </c>
      <c r="H222" s="2">
        <f t="shared" si="19"/>
        <v>-0.60000000000000853</v>
      </c>
      <c r="I222" s="1">
        <f t="shared" si="20"/>
        <v>0.47930171595662069</v>
      </c>
      <c r="J222" s="2">
        <v>104.7</v>
      </c>
      <c r="K222" s="2">
        <v>105.4</v>
      </c>
      <c r="L222" s="2">
        <f t="shared" si="21"/>
        <v>-0.70000000000000284</v>
      </c>
      <c r="M222" s="1">
        <f t="shared" si="22"/>
        <v>2.0698284043379311E-2</v>
      </c>
      <c r="N222" s="2">
        <v>101</v>
      </c>
      <c r="O222" s="2">
        <v>102.2</v>
      </c>
      <c r="P222" s="2">
        <f t="shared" si="23"/>
        <v>-1.2000000000000028</v>
      </c>
      <c r="Q222">
        <v>-0.3</v>
      </c>
    </row>
    <row r="223" spans="1:17">
      <c r="A223" t="s">
        <v>54</v>
      </c>
      <c r="B223" t="s">
        <v>53</v>
      </c>
      <c r="C223">
        <v>45</v>
      </c>
      <c r="D223">
        <v>37</v>
      </c>
      <c r="E223" s="1">
        <f t="shared" si="18"/>
        <v>0.54878048780487809</v>
      </c>
      <c r="F223" s="2">
        <v>99.4</v>
      </c>
      <c r="G223" s="2">
        <v>98.6</v>
      </c>
      <c r="H223" s="2">
        <f t="shared" si="19"/>
        <v>0.80000000000001137</v>
      </c>
      <c r="I223" s="1">
        <f t="shared" si="20"/>
        <v>0.52825285498297569</v>
      </c>
      <c r="J223" s="2">
        <v>107.1</v>
      </c>
      <c r="K223" s="2">
        <v>106.3</v>
      </c>
      <c r="L223" s="2">
        <f t="shared" si="21"/>
        <v>0.79999999999999716</v>
      </c>
      <c r="M223" s="1">
        <f t="shared" si="22"/>
        <v>2.0527632821902397E-2</v>
      </c>
      <c r="N223" s="2">
        <v>106.2</v>
      </c>
      <c r="O223" s="2">
        <v>105.3</v>
      </c>
      <c r="P223" s="2">
        <f t="shared" si="23"/>
        <v>0.90000000000000568</v>
      </c>
      <c r="Q223">
        <v>-0.2</v>
      </c>
    </row>
    <row r="224" spans="1:17">
      <c r="A224" t="s">
        <v>4</v>
      </c>
      <c r="B224" t="s">
        <v>9</v>
      </c>
      <c r="C224">
        <v>30</v>
      </c>
      <c r="D224">
        <v>52</v>
      </c>
      <c r="E224" s="1">
        <f t="shared" si="18"/>
        <v>0.36585365853658536</v>
      </c>
      <c r="F224" s="2">
        <v>92.2</v>
      </c>
      <c r="G224" s="2">
        <v>96.5</v>
      </c>
      <c r="H224" s="2">
        <f t="shared" si="19"/>
        <v>-4.2999999999999972</v>
      </c>
      <c r="I224" s="1">
        <f t="shared" si="20"/>
        <v>0.34566252690458571</v>
      </c>
      <c r="J224" s="2">
        <v>99.3</v>
      </c>
      <c r="K224" s="2">
        <v>103.5</v>
      </c>
      <c r="L224" s="2">
        <f t="shared" si="21"/>
        <v>-4.2000000000000028</v>
      </c>
      <c r="M224" s="1">
        <f t="shared" si="22"/>
        <v>2.0191131631999648E-2</v>
      </c>
      <c r="N224" s="2">
        <v>91.3</v>
      </c>
      <c r="O224" s="2">
        <v>86.8</v>
      </c>
      <c r="P224" s="2">
        <f t="shared" si="23"/>
        <v>4.5</v>
      </c>
      <c r="Q224">
        <v>1</v>
      </c>
    </row>
    <row r="225" spans="1:17">
      <c r="A225" t="s">
        <v>43</v>
      </c>
      <c r="B225" t="s">
        <v>33</v>
      </c>
      <c r="C225">
        <v>41</v>
      </c>
      <c r="D225">
        <v>41</v>
      </c>
      <c r="E225" s="1">
        <f t="shared" si="18"/>
        <v>0.5</v>
      </c>
      <c r="F225" s="2">
        <v>104.3</v>
      </c>
      <c r="G225" s="2">
        <v>104.9</v>
      </c>
      <c r="H225" s="2">
        <f t="shared" si="19"/>
        <v>-0.60000000000000853</v>
      </c>
      <c r="I225" s="1">
        <f t="shared" si="20"/>
        <v>0.47993424575681876</v>
      </c>
      <c r="J225" s="2">
        <v>108.7</v>
      </c>
      <c r="K225" s="2">
        <v>109.1</v>
      </c>
      <c r="L225" s="2">
        <f t="shared" si="21"/>
        <v>-0.39999999999999147</v>
      </c>
      <c r="M225" s="1">
        <f t="shared" si="22"/>
        <v>2.0065754243181244E-2</v>
      </c>
      <c r="N225" s="2">
        <v>102.3</v>
      </c>
      <c r="O225" s="2">
        <v>114.7</v>
      </c>
      <c r="P225" s="2">
        <f t="shared" si="23"/>
        <v>-12.400000000000006</v>
      </c>
      <c r="Q225">
        <v>-1.4</v>
      </c>
    </row>
    <row r="226" spans="1:17">
      <c r="A226" t="s">
        <v>58</v>
      </c>
      <c r="B226" t="s">
        <v>18</v>
      </c>
      <c r="C226">
        <v>44</v>
      </c>
      <c r="D226">
        <v>38</v>
      </c>
      <c r="E226" s="1">
        <f t="shared" si="18"/>
        <v>0.53658536585365857</v>
      </c>
      <c r="F226" s="2">
        <v>103.4</v>
      </c>
      <c r="G226" s="2">
        <v>102.9</v>
      </c>
      <c r="H226" s="2">
        <f t="shared" si="19"/>
        <v>0.5</v>
      </c>
      <c r="I226" s="1">
        <f t="shared" si="20"/>
        <v>0.5169591093166388</v>
      </c>
      <c r="J226" s="2">
        <v>106.2</v>
      </c>
      <c r="K226" s="2">
        <v>105.8</v>
      </c>
      <c r="L226" s="2">
        <f t="shared" si="21"/>
        <v>0.40000000000000568</v>
      </c>
      <c r="M226" s="1">
        <f t="shared" si="22"/>
        <v>1.9626256537019771E-2</v>
      </c>
      <c r="N226" s="2">
        <v>108.7</v>
      </c>
      <c r="O226" s="2">
        <v>100.4</v>
      </c>
      <c r="P226" s="2">
        <f t="shared" si="23"/>
        <v>8.2999999999999972</v>
      </c>
      <c r="Q226">
        <v>0.7</v>
      </c>
    </row>
    <row r="227" spans="1:17">
      <c r="A227" t="s">
        <v>57</v>
      </c>
      <c r="B227" t="s">
        <v>26</v>
      </c>
      <c r="C227">
        <v>41</v>
      </c>
      <c r="D227">
        <v>41</v>
      </c>
      <c r="E227" s="1">
        <f t="shared" si="18"/>
        <v>0.5</v>
      </c>
      <c r="F227" s="2">
        <v>107.9</v>
      </c>
      <c r="G227" s="2">
        <v>108.5</v>
      </c>
      <c r="H227" s="2">
        <f t="shared" si="19"/>
        <v>-0.59999999999999432</v>
      </c>
      <c r="I227" s="1">
        <f t="shared" si="20"/>
        <v>0.48060118968049892</v>
      </c>
      <c r="J227" s="2">
        <v>109.4</v>
      </c>
      <c r="K227" s="2">
        <v>110</v>
      </c>
      <c r="L227" s="2">
        <f t="shared" si="21"/>
        <v>-0.59999999999999432</v>
      </c>
      <c r="M227" s="1">
        <f t="shared" si="22"/>
        <v>1.9398810319501081E-2</v>
      </c>
      <c r="N227" s="2">
        <v>104.9</v>
      </c>
      <c r="O227" s="2">
        <v>102.4</v>
      </c>
      <c r="P227" s="2">
        <f t="shared" si="23"/>
        <v>2.5</v>
      </c>
      <c r="Q227">
        <v>-0.1</v>
      </c>
    </row>
    <row r="228" spans="1:17">
      <c r="A228" t="s">
        <v>4</v>
      </c>
      <c r="B228" t="s">
        <v>18</v>
      </c>
      <c r="C228">
        <v>50</v>
      </c>
      <c r="D228">
        <v>32</v>
      </c>
      <c r="E228" s="1">
        <f t="shared" si="18"/>
        <v>0.6097560975609756</v>
      </c>
      <c r="F228" s="2">
        <v>88.9</v>
      </c>
      <c r="G228" s="2">
        <v>86.6</v>
      </c>
      <c r="H228" s="2">
        <f t="shared" si="19"/>
        <v>2.3000000000000114</v>
      </c>
      <c r="I228" s="1">
        <f t="shared" si="20"/>
        <v>0.59072724433353874</v>
      </c>
      <c r="J228" s="2">
        <v>99.4</v>
      </c>
      <c r="K228" s="2">
        <v>97.1</v>
      </c>
      <c r="L228" s="2">
        <f t="shared" si="21"/>
        <v>2.3000000000000114</v>
      </c>
      <c r="M228" s="1">
        <f t="shared" si="22"/>
        <v>1.9028853227436859E-2</v>
      </c>
      <c r="N228" s="2">
        <v>99.1</v>
      </c>
      <c r="O228" s="2">
        <v>92.1</v>
      </c>
      <c r="P228" s="2">
        <f t="shared" si="23"/>
        <v>7</v>
      </c>
      <c r="Q228">
        <v>-0.3</v>
      </c>
    </row>
    <row r="229" spans="1:17">
      <c r="A229" t="s">
        <v>57</v>
      </c>
      <c r="B229" t="s">
        <v>19</v>
      </c>
      <c r="C229">
        <v>42</v>
      </c>
      <c r="D229">
        <v>40</v>
      </c>
      <c r="E229" s="1">
        <f t="shared" si="18"/>
        <v>0.51219512195121952</v>
      </c>
      <c r="F229" s="2">
        <v>103.6</v>
      </c>
      <c r="G229" s="2">
        <v>103.8</v>
      </c>
      <c r="H229" s="2">
        <f t="shared" si="19"/>
        <v>-0.20000000000000284</v>
      </c>
      <c r="I229" s="1">
        <f t="shared" si="20"/>
        <v>0.49325016690450357</v>
      </c>
      <c r="J229" s="2">
        <v>108.5</v>
      </c>
      <c r="K229" s="2">
        <v>108.7</v>
      </c>
      <c r="L229" s="2">
        <f t="shared" si="21"/>
        <v>-0.20000000000000284</v>
      </c>
      <c r="M229" s="1">
        <f t="shared" si="22"/>
        <v>1.894495504671595E-2</v>
      </c>
      <c r="N229" s="2">
        <v>88.9</v>
      </c>
      <c r="O229" s="2">
        <v>100</v>
      </c>
      <c r="P229" s="2">
        <f t="shared" si="23"/>
        <v>-11.099999999999994</v>
      </c>
      <c r="Q229">
        <v>0.2</v>
      </c>
    </row>
    <row r="230" spans="1:17">
      <c r="A230" t="s">
        <v>45</v>
      </c>
      <c r="B230" t="s">
        <v>9</v>
      </c>
      <c r="C230">
        <v>66</v>
      </c>
      <c r="D230">
        <v>16</v>
      </c>
      <c r="E230" s="1">
        <f t="shared" si="18"/>
        <v>0.80487804878048785</v>
      </c>
      <c r="F230" s="2">
        <v>100.3</v>
      </c>
      <c r="G230" s="2">
        <v>91.4</v>
      </c>
      <c r="H230" s="2">
        <f t="shared" si="19"/>
        <v>8.8999999999999915</v>
      </c>
      <c r="I230" s="1">
        <f t="shared" si="20"/>
        <v>0.78598355822200683</v>
      </c>
      <c r="J230" s="2">
        <v>111.2</v>
      </c>
      <c r="K230" s="2">
        <v>101.6</v>
      </c>
      <c r="L230" s="2">
        <f t="shared" si="21"/>
        <v>9.6000000000000085</v>
      </c>
      <c r="M230" s="1">
        <f t="shared" si="22"/>
        <v>1.8894490558481025E-2</v>
      </c>
      <c r="N230" s="2">
        <v>127.1</v>
      </c>
      <c r="O230" s="2">
        <v>93.9</v>
      </c>
      <c r="P230" s="2">
        <f t="shared" si="23"/>
        <v>33.199999999999989</v>
      </c>
      <c r="Q230">
        <v>2</v>
      </c>
    </row>
    <row r="231" spans="1:17">
      <c r="A231" t="s">
        <v>62</v>
      </c>
      <c r="B231" t="s">
        <v>19</v>
      </c>
      <c r="C231">
        <v>51</v>
      </c>
      <c r="D231">
        <v>31</v>
      </c>
      <c r="E231" s="1">
        <f t="shared" si="18"/>
        <v>0.62195121951219512</v>
      </c>
      <c r="F231" s="2">
        <v>115.5</v>
      </c>
      <c r="G231" s="2">
        <v>112.1</v>
      </c>
      <c r="H231" s="2">
        <f t="shared" si="19"/>
        <v>3.4000000000000057</v>
      </c>
      <c r="I231" s="1">
        <f t="shared" si="20"/>
        <v>0.60307848942796871</v>
      </c>
      <c r="J231" s="2">
        <v>114.3</v>
      </c>
      <c r="K231" s="2">
        <v>111.1</v>
      </c>
      <c r="L231" s="2">
        <f t="shared" si="21"/>
        <v>3.2000000000000028</v>
      </c>
      <c r="M231" s="1">
        <f t="shared" si="22"/>
        <v>1.8872730084226408E-2</v>
      </c>
      <c r="N231" s="2">
        <v>118.1</v>
      </c>
      <c r="O231" s="2">
        <v>102.8</v>
      </c>
      <c r="P231" s="2">
        <f t="shared" si="23"/>
        <v>15.299999999999997</v>
      </c>
      <c r="Q231">
        <v>1</v>
      </c>
    </row>
    <row r="232" spans="1:17">
      <c r="A232" t="s">
        <v>64</v>
      </c>
      <c r="B232" t="s">
        <v>8</v>
      </c>
      <c r="C232">
        <v>39</v>
      </c>
      <c r="D232">
        <v>43</v>
      </c>
      <c r="E232" s="1">
        <f t="shared" si="18"/>
        <v>0.47560975609756095</v>
      </c>
      <c r="F232" s="2">
        <v>112.3</v>
      </c>
      <c r="G232" s="2">
        <v>113.7</v>
      </c>
      <c r="H232" s="2">
        <f t="shared" si="19"/>
        <v>-1.4000000000000057</v>
      </c>
      <c r="I232" s="1">
        <f t="shared" si="20"/>
        <v>0.45674500707162874</v>
      </c>
      <c r="J232" s="2">
        <v>114</v>
      </c>
      <c r="K232" s="2">
        <v>115.7</v>
      </c>
      <c r="L232" s="2">
        <f t="shared" si="21"/>
        <v>-1.7000000000000028</v>
      </c>
      <c r="M232" s="1">
        <f t="shared" si="22"/>
        <v>1.8864749025932215E-2</v>
      </c>
      <c r="N232" s="2">
        <v>119.5</v>
      </c>
      <c r="O232" s="2">
        <v>95.5</v>
      </c>
      <c r="P232" s="2">
        <f t="shared" si="23"/>
        <v>24</v>
      </c>
      <c r="Q232">
        <v>0</v>
      </c>
    </row>
    <row r="233" spans="1:17">
      <c r="A233" t="s">
        <v>57</v>
      </c>
      <c r="B233" t="s">
        <v>15</v>
      </c>
      <c r="C233">
        <v>42</v>
      </c>
      <c r="D233">
        <v>40</v>
      </c>
      <c r="E233" s="1">
        <f t="shared" si="18"/>
        <v>0.51219512195121952</v>
      </c>
      <c r="F233" s="2">
        <v>105.1</v>
      </c>
      <c r="G233" s="2">
        <v>105.3</v>
      </c>
      <c r="H233" s="2">
        <f t="shared" si="19"/>
        <v>-0.20000000000000284</v>
      </c>
      <c r="I233" s="1">
        <f t="shared" si="20"/>
        <v>0.49334639838574956</v>
      </c>
      <c r="J233" s="2">
        <v>107.9</v>
      </c>
      <c r="K233" s="2">
        <v>108.1</v>
      </c>
      <c r="L233" s="2">
        <f t="shared" si="21"/>
        <v>-0.19999999999998863</v>
      </c>
      <c r="M233" s="1">
        <f t="shared" si="22"/>
        <v>1.884872356546996E-2</v>
      </c>
      <c r="N233" s="2">
        <v>103.1</v>
      </c>
      <c r="O233" s="2">
        <v>104.3</v>
      </c>
      <c r="P233" s="2">
        <f t="shared" si="23"/>
        <v>-1.2000000000000028</v>
      </c>
      <c r="Q233">
        <v>-0.6</v>
      </c>
    </row>
    <row r="234" spans="1:17">
      <c r="A234" t="s">
        <v>4</v>
      </c>
      <c r="B234" t="s">
        <v>6</v>
      </c>
      <c r="C234">
        <v>36</v>
      </c>
      <c r="D234">
        <v>46</v>
      </c>
      <c r="E234" s="1">
        <f t="shared" si="18"/>
        <v>0.43902439024390244</v>
      </c>
      <c r="F234" s="2">
        <v>94.6</v>
      </c>
      <c r="G234" s="2">
        <v>96.8</v>
      </c>
      <c r="H234" s="2">
        <f t="shared" si="19"/>
        <v>-2.2000000000000028</v>
      </c>
      <c r="I234" s="1">
        <f t="shared" si="20"/>
        <v>0.42022416188672446</v>
      </c>
      <c r="J234" s="2">
        <v>100.1</v>
      </c>
      <c r="K234" s="2">
        <v>102.3</v>
      </c>
      <c r="L234" s="2">
        <f t="shared" si="21"/>
        <v>-2.2000000000000028</v>
      </c>
      <c r="M234" s="1">
        <f t="shared" si="22"/>
        <v>1.8800228357177984E-2</v>
      </c>
      <c r="N234" s="2">
        <v>95.1</v>
      </c>
      <c r="O234" s="2">
        <v>96.9</v>
      </c>
      <c r="P234" s="2">
        <f t="shared" si="23"/>
        <v>-1.8000000000000114</v>
      </c>
      <c r="Q234">
        <v>-0.8</v>
      </c>
    </row>
    <row r="235" spans="1:17">
      <c r="A235" t="s">
        <v>50</v>
      </c>
      <c r="B235" t="s">
        <v>5</v>
      </c>
      <c r="C235">
        <v>44</v>
      </c>
      <c r="D235">
        <v>38</v>
      </c>
      <c r="E235" s="1">
        <f t="shared" si="18"/>
        <v>0.53658536585365857</v>
      </c>
      <c r="F235" s="2">
        <v>98</v>
      </c>
      <c r="G235" s="2">
        <v>97.5</v>
      </c>
      <c r="H235" s="2">
        <f t="shared" si="19"/>
        <v>0.5</v>
      </c>
      <c r="I235" s="1">
        <f t="shared" si="20"/>
        <v>0.51789520548021317</v>
      </c>
      <c r="J235" s="2">
        <v>103.7</v>
      </c>
      <c r="K235" s="2">
        <v>103.4</v>
      </c>
      <c r="L235" s="2">
        <f t="shared" si="21"/>
        <v>0.29999999999999716</v>
      </c>
      <c r="M235" s="1">
        <f t="shared" si="22"/>
        <v>1.8690160373445397E-2</v>
      </c>
      <c r="N235" s="2">
        <v>102.2</v>
      </c>
      <c r="O235" s="2">
        <v>87.5</v>
      </c>
      <c r="P235" s="2">
        <f t="shared" si="23"/>
        <v>14.700000000000003</v>
      </c>
      <c r="Q235">
        <v>-0.2</v>
      </c>
    </row>
    <row r="236" spans="1:17">
      <c r="A236" t="s">
        <v>59</v>
      </c>
      <c r="B236" t="s">
        <v>26</v>
      </c>
      <c r="C236">
        <v>53</v>
      </c>
      <c r="D236">
        <v>29</v>
      </c>
      <c r="E236" s="1">
        <f t="shared" si="18"/>
        <v>0.64634146341463417</v>
      </c>
      <c r="F236" s="2">
        <v>114.7</v>
      </c>
      <c r="G236" s="2">
        <v>110.5</v>
      </c>
      <c r="H236" s="2">
        <f t="shared" si="19"/>
        <v>4.2000000000000028</v>
      </c>
      <c r="I236" s="1">
        <f t="shared" si="20"/>
        <v>0.62767678935512594</v>
      </c>
      <c r="J236" s="2">
        <v>113.7</v>
      </c>
      <c r="K236" s="2">
        <v>109.5</v>
      </c>
      <c r="L236" s="2">
        <f t="shared" si="21"/>
        <v>4.2000000000000028</v>
      </c>
      <c r="M236" s="1">
        <f t="shared" si="22"/>
        <v>1.8664674059508224E-2</v>
      </c>
      <c r="N236" s="2">
        <v>117.2</v>
      </c>
      <c r="O236" s="2">
        <v>108</v>
      </c>
      <c r="P236" s="2">
        <f t="shared" si="23"/>
        <v>9.2000000000000028</v>
      </c>
      <c r="Q236">
        <v>0.1</v>
      </c>
    </row>
    <row r="237" spans="1:17">
      <c r="A237" t="s">
        <v>49</v>
      </c>
      <c r="B237" t="s">
        <v>15</v>
      </c>
      <c r="C237">
        <v>42</v>
      </c>
      <c r="D237">
        <v>24</v>
      </c>
      <c r="E237" s="1">
        <f t="shared" si="18"/>
        <v>0.63636363636363635</v>
      </c>
      <c r="F237" s="2">
        <v>97.7</v>
      </c>
      <c r="G237" s="2">
        <v>94.4</v>
      </c>
      <c r="H237" s="2">
        <f t="shared" si="19"/>
        <v>3.2999999999999972</v>
      </c>
      <c r="I237" s="1">
        <f t="shared" si="20"/>
        <v>0.61799503146389967</v>
      </c>
      <c r="J237" s="2">
        <v>105.5</v>
      </c>
      <c r="K237" s="2">
        <v>102.1</v>
      </c>
      <c r="L237" s="2">
        <f t="shared" si="21"/>
        <v>3.4000000000000057</v>
      </c>
      <c r="M237" s="1">
        <f t="shared" si="22"/>
        <v>1.8368604899736685E-2</v>
      </c>
      <c r="N237" s="2">
        <v>106.5</v>
      </c>
      <c r="O237" s="2">
        <v>85.1</v>
      </c>
      <c r="P237" s="2">
        <f t="shared" si="23"/>
        <v>21.400000000000006</v>
      </c>
      <c r="Q237">
        <v>0.7</v>
      </c>
    </row>
    <row r="238" spans="1:17">
      <c r="A238" t="s">
        <v>39</v>
      </c>
      <c r="B238" t="s">
        <v>23</v>
      </c>
      <c r="C238">
        <v>36</v>
      </c>
      <c r="D238">
        <v>46</v>
      </c>
      <c r="E238" s="1">
        <f t="shared" si="18"/>
        <v>0.43902439024390244</v>
      </c>
      <c r="F238" s="2">
        <v>99.5</v>
      </c>
      <c r="G238" s="2">
        <v>101.8</v>
      </c>
      <c r="H238" s="2">
        <f t="shared" si="19"/>
        <v>-2.2999999999999972</v>
      </c>
      <c r="I238" s="1">
        <f t="shared" si="20"/>
        <v>0.42069172557292256</v>
      </c>
      <c r="J238" s="2">
        <v>103.4</v>
      </c>
      <c r="K238" s="2">
        <v>105.7</v>
      </c>
      <c r="L238" s="2">
        <f t="shared" si="21"/>
        <v>-2.2999999999999972</v>
      </c>
      <c r="M238" s="1">
        <f t="shared" si="22"/>
        <v>1.8332664670979881E-2</v>
      </c>
      <c r="N238" s="2">
        <v>97.2</v>
      </c>
      <c r="O238" s="2">
        <v>106.7</v>
      </c>
      <c r="P238" s="2">
        <f t="shared" si="23"/>
        <v>-9.5</v>
      </c>
      <c r="Q238">
        <v>-0.4</v>
      </c>
    </row>
    <row r="239" spans="1:17">
      <c r="A239" t="s">
        <v>61</v>
      </c>
      <c r="B239" t="s">
        <v>7</v>
      </c>
      <c r="C239">
        <v>33</v>
      </c>
      <c r="D239">
        <v>39</v>
      </c>
      <c r="E239" s="1">
        <f t="shared" si="18"/>
        <v>0.45833333333333331</v>
      </c>
      <c r="F239" s="2">
        <v>109.5</v>
      </c>
      <c r="G239" s="2">
        <v>111.4</v>
      </c>
      <c r="H239" s="2">
        <f t="shared" si="19"/>
        <v>-1.9000000000000057</v>
      </c>
      <c r="I239" s="1">
        <f t="shared" si="20"/>
        <v>0.4400796285378884</v>
      </c>
      <c r="J239" s="2">
        <v>110.1</v>
      </c>
      <c r="K239" s="2">
        <v>112</v>
      </c>
      <c r="L239" s="2">
        <f t="shared" si="21"/>
        <v>-1.9000000000000057</v>
      </c>
      <c r="M239" s="1">
        <f t="shared" si="22"/>
        <v>1.8253704795444914E-2</v>
      </c>
      <c r="N239" s="2">
        <v>122.2</v>
      </c>
      <c r="O239" s="2">
        <v>102.4</v>
      </c>
      <c r="P239" s="2">
        <f t="shared" si="23"/>
        <v>19.799999999999997</v>
      </c>
      <c r="Q239">
        <v>0</v>
      </c>
    </row>
    <row r="240" spans="1:17">
      <c r="A240" t="s">
        <v>66</v>
      </c>
      <c r="B240" t="s">
        <v>30</v>
      </c>
      <c r="C240">
        <v>35</v>
      </c>
      <c r="D240">
        <v>27</v>
      </c>
      <c r="E240" s="1">
        <f t="shared" si="18"/>
        <v>0.56451612903225812</v>
      </c>
      <c r="F240" s="2">
        <v>113.5</v>
      </c>
      <c r="G240" s="2">
        <v>112</v>
      </c>
      <c r="H240" s="2">
        <f t="shared" si="19"/>
        <v>1.5</v>
      </c>
      <c r="I240" s="1">
        <f t="shared" si="20"/>
        <v>0.54642973229059522</v>
      </c>
      <c r="J240" s="2">
        <v>113.7</v>
      </c>
      <c r="K240" s="2">
        <v>112.2</v>
      </c>
      <c r="L240" s="2">
        <f t="shared" si="21"/>
        <v>1.5</v>
      </c>
      <c r="M240" s="1">
        <f t="shared" si="22"/>
        <v>1.8086396741662902E-2</v>
      </c>
      <c r="N240" s="2">
        <v>104.3</v>
      </c>
      <c r="O240" s="2">
        <v>104.1</v>
      </c>
      <c r="P240" s="2">
        <f t="shared" si="23"/>
        <v>0.20000000000000284</v>
      </c>
      <c r="Q240" s="2">
        <v>-0.5</v>
      </c>
    </row>
    <row r="241" spans="1:17">
      <c r="A241" t="s">
        <v>50</v>
      </c>
      <c r="B241" t="s">
        <v>25</v>
      </c>
      <c r="C241">
        <v>25</v>
      </c>
      <c r="D241">
        <v>57</v>
      </c>
      <c r="E241" s="1">
        <f t="shared" si="18"/>
        <v>0.3048780487804878</v>
      </c>
      <c r="F241" s="2">
        <v>95.2</v>
      </c>
      <c r="G241" s="2">
        <v>101.6</v>
      </c>
      <c r="H241" s="2">
        <f t="shared" si="19"/>
        <v>-6.3999999999999915</v>
      </c>
      <c r="I241" s="1">
        <f t="shared" si="20"/>
        <v>0.28681768748070391</v>
      </c>
      <c r="J241" s="2">
        <v>100.2</v>
      </c>
      <c r="K241" s="2">
        <v>106.9</v>
      </c>
      <c r="L241" s="2">
        <f t="shared" si="21"/>
        <v>-6.7000000000000028</v>
      </c>
      <c r="M241" s="1">
        <f t="shared" si="22"/>
        <v>1.8060361299783889E-2</v>
      </c>
      <c r="N241" s="2">
        <v>94.8</v>
      </c>
      <c r="O241" s="2">
        <v>100.3</v>
      </c>
      <c r="P241" s="2">
        <f t="shared" si="23"/>
        <v>-5.5</v>
      </c>
      <c r="Q241">
        <v>-1.5</v>
      </c>
    </row>
    <row r="242" spans="1:17">
      <c r="A242" t="s">
        <v>39</v>
      </c>
      <c r="B242" t="s">
        <v>17</v>
      </c>
      <c r="C242">
        <v>34</v>
      </c>
      <c r="D242">
        <v>48</v>
      </c>
      <c r="E242" s="1">
        <f t="shared" si="18"/>
        <v>0.41463414634146339</v>
      </c>
      <c r="F242" s="2">
        <v>98.7</v>
      </c>
      <c r="G242" s="2">
        <v>101.7</v>
      </c>
      <c r="H242" s="2">
        <f t="shared" si="19"/>
        <v>-3</v>
      </c>
      <c r="I242" s="1">
        <f t="shared" si="20"/>
        <v>0.39670987603328994</v>
      </c>
      <c r="J242" s="2">
        <v>106.4</v>
      </c>
      <c r="K242" s="2">
        <v>109.6</v>
      </c>
      <c r="L242" s="2">
        <f t="shared" si="21"/>
        <v>-3.1999999999999886</v>
      </c>
      <c r="M242" s="1">
        <f t="shared" si="22"/>
        <v>1.7924270308173451E-2</v>
      </c>
      <c r="N242" s="2">
        <v>104.3</v>
      </c>
      <c r="O242" s="2">
        <v>101.5</v>
      </c>
      <c r="P242" s="2">
        <f t="shared" si="23"/>
        <v>2.7999999999999972</v>
      </c>
      <c r="Q242">
        <v>0.7</v>
      </c>
    </row>
    <row r="243" spans="1:17">
      <c r="A243" t="s">
        <v>65</v>
      </c>
      <c r="B243" t="s">
        <v>53</v>
      </c>
      <c r="C243">
        <v>21</v>
      </c>
      <c r="D243">
        <v>61</v>
      </c>
      <c r="E243" s="1">
        <f t="shared" si="18"/>
        <v>0.25609756097560976</v>
      </c>
      <c r="F243" s="2">
        <v>109.8</v>
      </c>
      <c r="G243" s="2">
        <v>119.3</v>
      </c>
      <c r="H243" s="2">
        <f t="shared" si="19"/>
        <v>-9.5</v>
      </c>
      <c r="I243" s="1">
        <f t="shared" si="20"/>
        <v>0.23835285935229417</v>
      </c>
      <c r="J243" s="2">
        <v>109.7</v>
      </c>
      <c r="K243" s="2">
        <v>119.1</v>
      </c>
      <c r="L243" s="2">
        <f t="shared" si="21"/>
        <v>-9.3999999999999915</v>
      </c>
      <c r="M243" s="1">
        <f t="shared" si="22"/>
        <v>1.7744701623315595E-2</v>
      </c>
      <c r="N243" s="2">
        <v>104.5</v>
      </c>
      <c r="O243" s="2">
        <v>103.3</v>
      </c>
      <c r="P243" s="2">
        <f t="shared" si="23"/>
        <v>1.2000000000000028</v>
      </c>
      <c r="Q243">
        <v>-1</v>
      </c>
    </row>
    <row r="244" spans="1:17">
      <c r="A244" t="s">
        <v>57</v>
      </c>
      <c r="B244" t="s">
        <v>27</v>
      </c>
      <c r="C244">
        <v>32</v>
      </c>
      <c r="D244">
        <v>50</v>
      </c>
      <c r="E244" s="1">
        <f t="shared" si="18"/>
        <v>0.3902439024390244</v>
      </c>
      <c r="F244" s="2">
        <v>102.8</v>
      </c>
      <c r="G244" s="2">
        <v>106.7</v>
      </c>
      <c r="H244" s="2">
        <f t="shared" si="19"/>
        <v>-3.9000000000000057</v>
      </c>
      <c r="I244" s="1">
        <f t="shared" si="20"/>
        <v>0.37254800267996896</v>
      </c>
      <c r="J244" s="2">
        <v>106.6</v>
      </c>
      <c r="K244" s="2">
        <v>110.8</v>
      </c>
      <c r="L244" s="2">
        <f t="shared" si="21"/>
        <v>-4.2000000000000028</v>
      </c>
      <c r="M244" s="1">
        <f t="shared" si="22"/>
        <v>1.7695899759055445E-2</v>
      </c>
      <c r="N244" s="2">
        <v>97.7</v>
      </c>
      <c r="O244" s="2">
        <v>108.9</v>
      </c>
      <c r="P244" s="2">
        <f t="shared" si="23"/>
        <v>-11.200000000000003</v>
      </c>
      <c r="Q244">
        <v>0.4</v>
      </c>
    </row>
    <row r="245" spans="1:17">
      <c r="A245" t="s">
        <v>48</v>
      </c>
      <c r="B245" t="s">
        <v>25</v>
      </c>
      <c r="C245">
        <v>40</v>
      </c>
      <c r="D245">
        <v>42</v>
      </c>
      <c r="E245" s="1">
        <f t="shared" si="18"/>
        <v>0.48780487804878048</v>
      </c>
      <c r="F245" s="2">
        <v>105</v>
      </c>
      <c r="G245" s="2">
        <v>105.9</v>
      </c>
      <c r="H245" s="2">
        <f t="shared" si="19"/>
        <v>-0.90000000000000568</v>
      </c>
      <c r="I245" s="1">
        <f t="shared" si="20"/>
        <v>0.47016333248324643</v>
      </c>
      <c r="J245" s="2">
        <v>108.6</v>
      </c>
      <c r="K245" s="2">
        <v>109.4</v>
      </c>
      <c r="L245" s="2">
        <f t="shared" si="21"/>
        <v>-0.80000000000001137</v>
      </c>
      <c r="M245" s="1">
        <f t="shared" si="22"/>
        <v>1.7641545565534045E-2</v>
      </c>
      <c r="N245" s="2">
        <v>106.3</v>
      </c>
      <c r="O245" s="2">
        <v>106</v>
      </c>
      <c r="P245" s="2">
        <f t="shared" si="23"/>
        <v>0.29999999999999716</v>
      </c>
      <c r="Q245">
        <v>-0.1</v>
      </c>
    </row>
    <row r="246" spans="1:17">
      <c r="A246" t="s">
        <v>39</v>
      </c>
      <c r="B246" t="s">
        <v>6</v>
      </c>
      <c r="C246">
        <v>45</v>
      </c>
      <c r="D246">
        <v>37</v>
      </c>
      <c r="E246" s="1">
        <f t="shared" si="18"/>
        <v>0.54878048780487809</v>
      </c>
      <c r="F246" s="2">
        <v>101.3</v>
      </c>
      <c r="G246" s="2">
        <v>100.4</v>
      </c>
      <c r="H246" s="2">
        <f t="shared" si="19"/>
        <v>0.89999999999999147</v>
      </c>
      <c r="I246" s="1">
        <f t="shared" si="20"/>
        <v>0.53119414689005995</v>
      </c>
      <c r="J246" s="2">
        <v>105.9</v>
      </c>
      <c r="K246" s="2">
        <v>105.1</v>
      </c>
      <c r="L246" s="2">
        <f t="shared" si="21"/>
        <v>0.80000000000001137</v>
      </c>
      <c r="M246" s="1">
        <f t="shared" si="22"/>
        <v>1.7586340914818144E-2</v>
      </c>
      <c r="N246" s="2">
        <v>98.3</v>
      </c>
      <c r="O246" s="2">
        <v>94.9</v>
      </c>
      <c r="P246" s="2">
        <f t="shared" si="23"/>
        <v>3.3999999999999915</v>
      </c>
      <c r="Q246">
        <v>0.2</v>
      </c>
    </row>
    <row r="247" spans="1:17">
      <c r="A247" t="s">
        <v>49</v>
      </c>
      <c r="B247" t="s">
        <v>27</v>
      </c>
      <c r="C247">
        <v>22</v>
      </c>
      <c r="D247">
        <v>44</v>
      </c>
      <c r="E247" s="1">
        <f t="shared" si="18"/>
        <v>0.33333333333333331</v>
      </c>
      <c r="F247" s="2">
        <v>98.8</v>
      </c>
      <c r="G247" s="2">
        <v>104.4</v>
      </c>
      <c r="H247" s="2">
        <f t="shared" si="19"/>
        <v>-5.6000000000000085</v>
      </c>
      <c r="I247" s="1">
        <f t="shared" si="20"/>
        <v>0.31607926844552064</v>
      </c>
      <c r="J247" s="2">
        <v>102.9</v>
      </c>
      <c r="K247" s="2">
        <v>108.7</v>
      </c>
      <c r="L247" s="2">
        <f t="shared" si="21"/>
        <v>-5.7999999999999972</v>
      </c>
      <c r="M247" s="1">
        <f t="shared" si="22"/>
        <v>1.725406488781267E-2</v>
      </c>
      <c r="N247" s="2">
        <v>100</v>
      </c>
      <c r="O247" s="2">
        <v>92.5</v>
      </c>
      <c r="P247" s="2">
        <f t="shared" si="23"/>
        <v>7.5</v>
      </c>
      <c r="Q247">
        <v>0</v>
      </c>
    </row>
    <row r="248" spans="1:17">
      <c r="A248" t="s">
        <v>52</v>
      </c>
      <c r="B248" t="s">
        <v>10</v>
      </c>
      <c r="C248">
        <v>49</v>
      </c>
      <c r="D248">
        <v>33</v>
      </c>
      <c r="E248" s="1">
        <f t="shared" si="18"/>
        <v>0.59756097560975607</v>
      </c>
      <c r="F248" s="2">
        <v>104.8</v>
      </c>
      <c r="G248" s="2">
        <v>102.4</v>
      </c>
      <c r="H248" s="2">
        <f t="shared" si="19"/>
        <v>2.3999999999999915</v>
      </c>
      <c r="I248" s="1">
        <f t="shared" si="20"/>
        <v>0.58038129278939099</v>
      </c>
      <c r="J248" s="2">
        <v>109.5</v>
      </c>
      <c r="K248" s="2">
        <v>107.2</v>
      </c>
      <c r="L248" s="2">
        <f t="shared" si="21"/>
        <v>2.2999999999999972</v>
      </c>
      <c r="M248" s="1">
        <f t="shared" si="22"/>
        <v>1.7179682820365083E-2</v>
      </c>
      <c r="N248" s="2">
        <v>110.6</v>
      </c>
      <c r="O248" s="2">
        <v>98.1</v>
      </c>
      <c r="P248" s="2">
        <f t="shared" si="23"/>
        <v>12.5</v>
      </c>
      <c r="Q248">
        <v>0.7</v>
      </c>
    </row>
    <row r="249" spans="1:17">
      <c r="A249" t="s">
        <v>39</v>
      </c>
      <c r="B249" t="s">
        <v>10</v>
      </c>
      <c r="C249">
        <v>58</v>
      </c>
      <c r="D249">
        <v>24</v>
      </c>
      <c r="E249" s="1">
        <f t="shared" si="18"/>
        <v>0.70731707317073167</v>
      </c>
      <c r="F249" s="2">
        <v>102.5</v>
      </c>
      <c r="G249" s="2">
        <v>96.8</v>
      </c>
      <c r="H249" s="2">
        <f t="shared" si="19"/>
        <v>5.7000000000000028</v>
      </c>
      <c r="I249" s="1">
        <f t="shared" si="20"/>
        <v>0.69019289618045576</v>
      </c>
      <c r="J249" s="2">
        <v>108.5</v>
      </c>
      <c r="K249" s="2">
        <v>102.6</v>
      </c>
      <c r="L249" s="2">
        <f t="shared" si="21"/>
        <v>5.9000000000000057</v>
      </c>
      <c r="M249" s="1">
        <f t="shared" si="22"/>
        <v>1.7124176990275908E-2</v>
      </c>
      <c r="N249" s="2">
        <v>113.3</v>
      </c>
      <c r="O249" s="2">
        <v>96.8</v>
      </c>
      <c r="P249" s="2">
        <f t="shared" si="23"/>
        <v>16.5</v>
      </c>
      <c r="Q249">
        <v>0.8</v>
      </c>
    </row>
    <row r="250" spans="1:17">
      <c r="A250" t="s">
        <v>39</v>
      </c>
      <c r="B250" t="s">
        <v>12</v>
      </c>
      <c r="C250">
        <v>54</v>
      </c>
      <c r="D250">
        <v>28</v>
      </c>
      <c r="E250" s="1">
        <f t="shared" si="18"/>
        <v>0.65853658536585369</v>
      </c>
      <c r="F250" s="2">
        <v>93.3</v>
      </c>
      <c r="G250" s="2">
        <v>89.5</v>
      </c>
      <c r="H250" s="2">
        <f t="shared" si="19"/>
        <v>3.7999999999999972</v>
      </c>
      <c r="I250" s="1">
        <f t="shared" si="20"/>
        <v>0.64155984536555377</v>
      </c>
      <c r="J250" s="2">
        <v>103.9</v>
      </c>
      <c r="K250" s="2">
        <v>99.6</v>
      </c>
      <c r="L250" s="2">
        <f t="shared" si="21"/>
        <v>4.3000000000000114</v>
      </c>
      <c r="M250" s="1">
        <f t="shared" si="22"/>
        <v>1.6976740000299917E-2</v>
      </c>
      <c r="N250" s="2">
        <v>100</v>
      </c>
      <c r="O250" s="2">
        <v>92</v>
      </c>
      <c r="P250" s="2">
        <f t="shared" si="23"/>
        <v>8</v>
      </c>
      <c r="Q250">
        <v>0.1</v>
      </c>
    </row>
    <row r="251" spans="1:17">
      <c r="A251" t="s">
        <v>59</v>
      </c>
      <c r="B251" t="s">
        <v>8</v>
      </c>
      <c r="C251">
        <v>22</v>
      </c>
      <c r="D251">
        <v>60</v>
      </c>
      <c r="E251" s="1">
        <f t="shared" si="18"/>
        <v>0.26829268292682928</v>
      </c>
      <c r="F251" s="2">
        <v>104.9</v>
      </c>
      <c r="G251" s="2">
        <v>113.4</v>
      </c>
      <c r="H251" s="2">
        <f t="shared" si="19"/>
        <v>-8.5</v>
      </c>
      <c r="I251" s="1">
        <f t="shared" si="20"/>
        <v>0.25146874309736672</v>
      </c>
      <c r="J251" s="2">
        <v>104.5</v>
      </c>
      <c r="K251" s="2">
        <v>112.8</v>
      </c>
      <c r="L251" s="2">
        <f t="shared" si="21"/>
        <v>-8.2999999999999972</v>
      </c>
      <c r="M251" s="1">
        <f t="shared" si="22"/>
        <v>1.6823939829462564E-2</v>
      </c>
      <c r="N251" s="2">
        <v>98.8</v>
      </c>
      <c r="O251" s="2">
        <v>107.1</v>
      </c>
      <c r="P251" s="2">
        <f t="shared" si="23"/>
        <v>-8.2999999999999972</v>
      </c>
      <c r="Q251">
        <v>-1</v>
      </c>
    </row>
    <row r="252" spans="1:17">
      <c r="A252" t="s">
        <v>55</v>
      </c>
      <c r="B252" t="s">
        <v>33</v>
      </c>
      <c r="C252">
        <v>41</v>
      </c>
      <c r="D252">
        <v>41</v>
      </c>
      <c r="E252" s="1">
        <f t="shared" si="18"/>
        <v>0.5</v>
      </c>
      <c r="F252" s="2">
        <v>104.1</v>
      </c>
      <c r="G252" s="2">
        <v>104.6</v>
      </c>
      <c r="H252" s="2">
        <f t="shared" si="19"/>
        <v>-0.5</v>
      </c>
      <c r="I252" s="1">
        <f t="shared" si="20"/>
        <v>0.48323577008477736</v>
      </c>
      <c r="J252" s="2">
        <v>104.5</v>
      </c>
      <c r="K252" s="2">
        <v>105.1</v>
      </c>
      <c r="L252" s="2">
        <f t="shared" si="21"/>
        <v>-0.59999999999999432</v>
      </c>
      <c r="M252" s="1">
        <f t="shared" si="22"/>
        <v>1.6764229915222639E-2</v>
      </c>
      <c r="N252" s="2">
        <v>101.4</v>
      </c>
      <c r="O252" s="2">
        <v>104.5</v>
      </c>
      <c r="P252" s="2">
        <f t="shared" si="23"/>
        <v>-3.0999999999999943</v>
      </c>
      <c r="Q252">
        <v>-0.3</v>
      </c>
    </row>
    <row r="253" spans="1:17">
      <c r="A253" t="s">
        <v>66</v>
      </c>
      <c r="B253" t="s">
        <v>12</v>
      </c>
      <c r="C253">
        <v>45</v>
      </c>
      <c r="D253">
        <v>17</v>
      </c>
      <c r="E253" s="1">
        <f t="shared" si="18"/>
        <v>0.72580645161290325</v>
      </c>
      <c r="F253" s="2">
        <v>116.8</v>
      </c>
      <c r="G253" s="2">
        <v>109.6</v>
      </c>
      <c r="H253" s="2">
        <f t="shared" si="19"/>
        <v>7.2000000000000028</v>
      </c>
      <c r="I253" s="1">
        <f t="shared" si="20"/>
        <v>0.70904693182577805</v>
      </c>
      <c r="J253" s="2">
        <v>116.1</v>
      </c>
      <c r="K253" s="2">
        <v>108.7</v>
      </c>
      <c r="L253" s="2">
        <f t="shared" si="21"/>
        <v>7.3999999999999915</v>
      </c>
      <c r="M253" s="1">
        <f t="shared" si="22"/>
        <v>1.6759519787125199E-2</v>
      </c>
      <c r="N253" s="2">
        <v>116.3</v>
      </c>
      <c r="O253" s="2">
        <v>103.1</v>
      </c>
      <c r="P253" s="2">
        <f t="shared" si="23"/>
        <v>13.200000000000003</v>
      </c>
      <c r="Q253" s="2">
        <v>1.1000000000000001</v>
      </c>
    </row>
    <row r="254" spans="1:17">
      <c r="A254" t="s">
        <v>48</v>
      </c>
      <c r="B254" t="s">
        <v>33</v>
      </c>
      <c r="C254">
        <v>23</v>
      </c>
      <c r="D254">
        <v>59</v>
      </c>
      <c r="E254" s="1">
        <f t="shared" si="18"/>
        <v>0.28048780487804881</v>
      </c>
      <c r="F254" s="2">
        <v>97.3</v>
      </c>
      <c r="G254" s="2">
        <v>104.7</v>
      </c>
      <c r="H254" s="2">
        <f t="shared" si="19"/>
        <v>-7.4000000000000057</v>
      </c>
      <c r="I254" s="1">
        <f t="shared" si="20"/>
        <v>0.26382112647972111</v>
      </c>
      <c r="J254" s="2">
        <v>101.3</v>
      </c>
      <c r="K254" s="2">
        <v>109.1</v>
      </c>
      <c r="L254" s="2">
        <f t="shared" si="21"/>
        <v>-7.7999999999999972</v>
      </c>
      <c r="M254" s="1">
        <f t="shared" si="22"/>
        <v>1.6666678398327694E-2</v>
      </c>
      <c r="N254" s="2">
        <v>98.1</v>
      </c>
      <c r="O254" s="2">
        <v>113.7</v>
      </c>
      <c r="P254" s="2">
        <f t="shared" si="23"/>
        <v>-15.600000000000009</v>
      </c>
      <c r="Q254">
        <v>-1</v>
      </c>
    </row>
    <row r="255" spans="1:17">
      <c r="A255" t="s">
        <v>64</v>
      </c>
      <c r="B255" t="s">
        <v>31</v>
      </c>
      <c r="C255">
        <v>31</v>
      </c>
      <c r="D255">
        <v>51</v>
      </c>
      <c r="E255" s="1">
        <f t="shared" si="18"/>
        <v>0.37804878048780488</v>
      </c>
      <c r="F255" s="2">
        <v>115.7</v>
      </c>
      <c r="G255" s="2">
        <v>120.5</v>
      </c>
      <c r="H255" s="2">
        <f t="shared" si="19"/>
        <v>-4.7999999999999972</v>
      </c>
      <c r="I255" s="1">
        <f t="shared" si="20"/>
        <v>0.36144736866912885</v>
      </c>
      <c r="J255" s="2">
        <v>114.5</v>
      </c>
      <c r="K255" s="2">
        <v>119.6</v>
      </c>
      <c r="L255" s="2">
        <f t="shared" si="21"/>
        <v>-5.0999999999999943</v>
      </c>
      <c r="M255" s="1">
        <f t="shared" si="22"/>
        <v>1.6601411818676026E-2</v>
      </c>
      <c r="N255" s="2">
        <v>116.1</v>
      </c>
      <c r="O255" s="2">
        <v>104.3</v>
      </c>
      <c r="P255" s="2">
        <f t="shared" si="23"/>
        <v>11.799999999999997</v>
      </c>
      <c r="Q255">
        <v>0.2</v>
      </c>
    </row>
    <row r="256" spans="1:17">
      <c r="A256" t="s">
        <v>43</v>
      </c>
      <c r="B256" t="s">
        <v>20</v>
      </c>
      <c r="C256">
        <v>32</v>
      </c>
      <c r="D256">
        <v>50</v>
      </c>
      <c r="E256" s="1">
        <f t="shared" si="18"/>
        <v>0.3902439024390244</v>
      </c>
      <c r="F256" s="2">
        <v>96.1</v>
      </c>
      <c r="G256" s="2">
        <v>99.7</v>
      </c>
      <c r="H256" s="2">
        <f t="shared" si="19"/>
        <v>-3.6000000000000085</v>
      </c>
      <c r="I256" s="1">
        <f t="shared" si="20"/>
        <v>0.37405280109871952</v>
      </c>
      <c r="J256" s="2">
        <v>102.4</v>
      </c>
      <c r="K256" s="2">
        <v>106.5</v>
      </c>
      <c r="L256" s="2">
        <f t="shared" si="21"/>
        <v>-4.0999999999999943</v>
      </c>
      <c r="M256" s="1">
        <f t="shared" si="22"/>
        <v>1.6191101340304881E-2</v>
      </c>
      <c r="N256" s="2">
        <v>98.2</v>
      </c>
      <c r="O256" s="2">
        <v>101.3</v>
      </c>
      <c r="P256" s="2">
        <f t="shared" si="23"/>
        <v>-3.0999999999999943</v>
      </c>
      <c r="Q256">
        <v>0</v>
      </c>
    </row>
    <row r="257" spans="1:17">
      <c r="A257" t="s">
        <v>49</v>
      </c>
      <c r="B257" t="s">
        <v>16</v>
      </c>
      <c r="C257">
        <v>40</v>
      </c>
      <c r="D257">
        <v>26</v>
      </c>
      <c r="E257" s="1">
        <f t="shared" si="18"/>
        <v>0.60606060606060608</v>
      </c>
      <c r="F257" s="2">
        <v>97.5</v>
      </c>
      <c r="G257" s="2">
        <v>95</v>
      </c>
      <c r="H257" s="2">
        <f t="shared" si="19"/>
        <v>2.5</v>
      </c>
      <c r="I257" s="1">
        <f t="shared" si="20"/>
        <v>0.58992535543589308</v>
      </c>
      <c r="J257" s="2">
        <v>107.5</v>
      </c>
      <c r="K257" s="2">
        <v>104.8</v>
      </c>
      <c r="L257" s="2">
        <f t="shared" si="21"/>
        <v>2.7000000000000028</v>
      </c>
      <c r="M257" s="1">
        <f t="shared" si="22"/>
        <v>1.6135250624712993E-2</v>
      </c>
      <c r="N257" s="2">
        <v>98.4</v>
      </c>
      <c r="O257" s="2">
        <v>99.5</v>
      </c>
      <c r="P257" s="2">
        <f t="shared" si="23"/>
        <v>-1.0999999999999943</v>
      </c>
      <c r="Q257">
        <v>0.9</v>
      </c>
    </row>
    <row r="258" spans="1:17">
      <c r="A258" t="s">
        <v>52</v>
      </c>
      <c r="B258" t="s">
        <v>9</v>
      </c>
      <c r="C258">
        <v>33</v>
      </c>
      <c r="D258">
        <v>49</v>
      </c>
      <c r="E258" s="1">
        <f t="shared" si="18"/>
        <v>0.40243902439024393</v>
      </c>
      <c r="F258" s="2">
        <v>98.2</v>
      </c>
      <c r="G258" s="2">
        <v>101.5</v>
      </c>
      <c r="H258" s="2">
        <f t="shared" si="19"/>
        <v>-3.2999999999999972</v>
      </c>
      <c r="I258" s="1">
        <f t="shared" si="20"/>
        <v>0.38633693083562831</v>
      </c>
      <c r="J258" s="2">
        <v>103.5</v>
      </c>
      <c r="K258" s="2">
        <v>107</v>
      </c>
      <c r="L258" s="2">
        <f t="shared" si="21"/>
        <v>-3.5</v>
      </c>
      <c r="M258" s="1">
        <f t="shared" si="22"/>
        <v>1.6102093554615615E-2</v>
      </c>
      <c r="N258" s="2">
        <v>95.4</v>
      </c>
      <c r="O258" s="2">
        <v>102.2</v>
      </c>
      <c r="P258" s="2">
        <f t="shared" si="23"/>
        <v>-6.7999999999999972</v>
      </c>
      <c r="Q258">
        <v>0.2</v>
      </c>
    </row>
    <row r="259" spans="1:17">
      <c r="A259" t="s">
        <v>60</v>
      </c>
      <c r="B259" t="s">
        <v>24</v>
      </c>
      <c r="C259">
        <v>43</v>
      </c>
      <c r="D259">
        <v>30</v>
      </c>
      <c r="E259" s="1">
        <f t="shared" si="18"/>
        <v>0.58904109589041098</v>
      </c>
      <c r="F259" s="2">
        <v>110.7</v>
      </c>
      <c r="G259" s="2">
        <v>108.4</v>
      </c>
      <c r="H259" s="2">
        <f t="shared" si="19"/>
        <v>2.2999999999999972</v>
      </c>
      <c r="I259" s="1">
        <f t="shared" si="20"/>
        <v>0.57296056014659968</v>
      </c>
      <c r="J259" s="2">
        <v>110.7</v>
      </c>
      <c r="K259" s="2">
        <v>108.4</v>
      </c>
      <c r="L259" s="2">
        <f t="shared" si="21"/>
        <v>2.2999999999999972</v>
      </c>
      <c r="M259" s="1">
        <f t="shared" si="22"/>
        <v>1.6080535743811297E-2</v>
      </c>
      <c r="N259" s="2">
        <v>108.9</v>
      </c>
      <c r="O259" s="2">
        <v>103.6</v>
      </c>
      <c r="P259" s="2">
        <f t="shared" si="23"/>
        <v>5.3000000000000114</v>
      </c>
      <c r="Q259">
        <v>0</v>
      </c>
    </row>
    <row r="260" spans="1:17">
      <c r="A260" t="s">
        <v>55</v>
      </c>
      <c r="B260" t="s">
        <v>12</v>
      </c>
      <c r="C260">
        <v>44</v>
      </c>
      <c r="D260">
        <v>38</v>
      </c>
      <c r="E260" s="1">
        <f t="shared" si="18"/>
        <v>0.53658536585365857</v>
      </c>
      <c r="F260" s="2">
        <v>102</v>
      </c>
      <c r="G260" s="2">
        <v>101.4</v>
      </c>
      <c r="H260" s="2">
        <f t="shared" si="19"/>
        <v>0.59999999999999432</v>
      </c>
      <c r="I260" s="1">
        <f t="shared" si="20"/>
        <v>0.52063729627420186</v>
      </c>
      <c r="J260" s="2">
        <v>105.3</v>
      </c>
      <c r="K260" s="2">
        <v>104.9</v>
      </c>
      <c r="L260" s="2">
        <f t="shared" si="21"/>
        <v>0.39999999999999147</v>
      </c>
      <c r="M260" s="1">
        <f t="shared" si="22"/>
        <v>1.5948069579456714E-2</v>
      </c>
      <c r="N260" s="2">
        <v>104.4</v>
      </c>
      <c r="O260" s="2">
        <v>93.9</v>
      </c>
      <c r="P260" s="2">
        <f t="shared" si="23"/>
        <v>10.5</v>
      </c>
      <c r="Q260">
        <v>1.5</v>
      </c>
    </row>
    <row r="261" spans="1:17">
      <c r="A261" t="s">
        <v>50</v>
      </c>
      <c r="B261" t="s">
        <v>19</v>
      </c>
      <c r="C261">
        <v>38</v>
      </c>
      <c r="D261">
        <v>44</v>
      </c>
      <c r="E261" s="1">
        <f t="shared" si="18"/>
        <v>0.46341463414634149</v>
      </c>
      <c r="F261" s="2">
        <v>98.9</v>
      </c>
      <c r="G261" s="2">
        <v>100.4</v>
      </c>
      <c r="H261" s="2">
        <f t="shared" si="19"/>
        <v>-1.5</v>
      </c>
      <c r="I261" s="1">
        <f t="shared" si="20"/>
        <v>0.44750873634234695</v>
      </c>
      <c r="J261" s="2">
        <v>102.5</v>
      </c>
      <c r="K261" s="2">
        <v>104.2</v>
      </c>
      <c r="L261" s="2">
        <f t="shared" si="21"/>
        <v>-1.7000000000000028</v>
      </c>
      <c r="M261" s="1">
        <f t="shared" si="22"/>
        <v>1.590589780399454E-2</v>
      </c>
      <c r="N261" s="2">
        <v>101.6</v>
      </c>
      <c r="O261" s="2">
        <v>99.1</v>
      </c>
      <c r="P261" s="2">
        <f t="shared" si="23"/>
        <v>2.5</v>
      </c>
      <c r="Q261">
        <v>-1.2</v>
      </c>
    </row>
    <row r="262" spans="1:17">
      <c r="A262" t="s">
        <v>45</v>
      </c>
      <c r="B262" t="s">
        <v>5</v>
      </c>
      <c r="C262">
        <v>47</v>
      </c>
      <c r="D262">
        <v>35</v>
      </c>
      <c r="E262" s="1">
        <f t="shared" si="18"/>
        <v>0.57317073170731703</v>
      </c>
      <c r="F262" s="2">
        <v>98.1</v>
      </c>
      <c r="G262" s="2">
        <v>96.5</v>
      </c>
      <c r="H262" s="2">
        <f t="shared" si="19"/>
        <v>1.5999999999999943</v>
      </c>
      <c r="I262" s="1">
        <f t="shared" si="20"/>
        <v>0.55730238336398075</v>
      </c>
      <c r="J262" s="2">
        <v>108.3</v>
      </c>
      <c r="K262" s="2">
        <v>106.7</v>
      </c>
      <c r="L262" s="2">
        <f t="shared" si="21"/>
        <v>1.5999999999999943</v>
      </c>
      <c r="M262" s="1">
        <f t="shared" si="22"/>
        <v>1.586834834333628E-2</v>
      </c>
      <c r="N262" s="2">
        <v>106.7</v>
      </c>
      <c r="O262" s="2">
        <v>93.9</v>
      </c>
      <c r="P262" s="2">
        <f t="shared" si="23"/>
        <v>12.799999999999997</v>
      </c>
      <c r="Q262">
        <v>2.1</v>
      </c>
    </row>
    <row r="263" spans="1:17">
      <c r="A263" t="s">
        <v>44</v>
      </c>
      <c r="B263" t="s">
        <v>13</v>
      </c>
      <c r="C263">
        <v>48</v>
      </c>
      <c r="D263">
        <v>34</v>
      </c>
      <c r="E263" s="1">
        <f t="shared" si="18"/>
        <v>0.58536585365853655</v>
      </c>
      <c r="F263" s="2">
        <v>111</v>
      </c>
      <c r="G263" s="2">
        <v>108.8</v>
      </c>
      <c r="H263" s="2">
        <f t="shared" si="19"/>
        <v>2.2000000000000028</v>
      </c>
      <c r="I263" s="1">
        <f t="shared" si="20"/>
        <v>0.56961097932319371</v>
      </c>
      <c r="J263" s="2">
        <v>110.4</v>
      </c>
      <c r="K263" s="2">
        <v>108.5</v>
      </c>
      <c r="L263" s="2">
        <f t="shared" si="21"/>
        <v>1.9000000000000057</v>
      </c>
      <c r="M263" s="1">
        <f t="shared" si="22"/>
        <v>1.5754874335342839E-2</v>
      </c>
      <c r="N263" s="2">
        <v>117.2</v>
      </c>
      <c r="O263" s="2">
        <v>103.9</v>
      </c>
      <c r="P263" s="2">
        <f t="shared" si="23"/>
        <v>13.299999999999997</v>
      </c>
      <c r="Q263">
        <v>0.5</v>
      </c>
    </row>
    <row r="264" spans="1:17">
      <c r="A264" t="s">
        <v>43</v>
      </c>
      <c r="B264" t="s">
        <v>17</v>
      </c>
      <c r="C264">
        <v>42</v>
      </c>
      <c r="D264">
        <v>40</v>
      </c>
      <c r="E264" s="1">
        <f t="shared" si="18"/>
        <v>0.51219512195121952</v>
      </c>
      <c r="F264" s="2">
        <v>103.3</v>
      </c>
      <c r="G264" s="2">
        <v>103.4</v>
      </c>
      <c r="H264" s="2">
        <f t="shared" si="19"/>
        <v>-0.10000000000000853</v>
      </c>
      <c r="I264" s="1">
        <f t="shared" si="20"/>
        <v>0.49661350096437384</v>
      </c>
      <c r="J264" s="2">
        <v>107.3</v>
      </c>
      <c r="K264" s="2">
        <v>107.5</v>
      </c>
      <c r="L264" s="2">
        <f t="shared" si="21"/>
        <v>-0.20000000000000284</v>
      </c>
      <c r="M264" s="1">
        <f t="shared" si="22"/>
        <v>1.5581620986845679E-2</v>
      </c>
      <c r="N264" s="2">
        <v>105</v>
      </c>
      <c r="O264" s="2">
        <v>106.1</v>
      </c>
      <c r="P264" s="2">
        <f t="shared" si="23"/>
        <v>-1.0999999999999943</v>
      </c>
      <c r="Q264">
        <v>-0.2</v>
      </c>
    </row>
    <row r="265" spans="1:17">
      <c r="A265" t="s">
        <v>60</v>
      </c>
      <c r="B265" t="s">
        <v>22</v>
      </c>
      <c r="C265">
        <v>21</v>
      </c>
      <c r="D265">
        <v>45</v>
      </c>
      <c r="E265" s="1">
        <f t="shared" ref="E265:E328" si="24">+C265/(C265+D265)</f>
        <v>0.31818181818181818</v>
      </c>
      <c r="F265" s="2">
        <v>105.8</v>
      </c>
      <c r="G265" s="2">
        <v>112.3</v>
      </c>
      <c r="H265" s="2">
        <f t="shared" ref="H265:H328" si="25">+F265-G265</f>
        <v>-6.5</v>
      </c>
      <c r="I265" s="1">
        <f t="shared" ref="I265:I328" si="26">+(F265^14)/((F265^14+G265^14))</f>
        <v>0.30264654338217839</v>
      </c>
      <c r="J265" s="2">
        <v>105.9</v>
      </c>
      <c r="K265" s="2">
        <v>112.4</v>
      </c>
      <c r="L265" s="2">
        <f t="shared" ref="L265:L328" si="27">+J265-K265</f>
        <v>-6.5</v>
      </c>
      <c r="M265" s="1">
        <f t="shared" ref="M265:M328" si="28">+E265-I265</f>
        <v>1.5535274799639787E-2</v>
      </c>
      <c r="N265" s="2">
        <v>106.3</v>
      </c>
      <c r="O265" s="2">
        <v>102.5</v>
      </c>
      <c r="P265" s="2">
        <f t="shared" si="23"/>
        <v>3.7999999999999972</v>
      </c>
      <c r="Q265">
        <v>-0.8</v>
      </c>
    </row>
    <row r="266" spans="1:17">
      <c r="A266" t="s">
        <v>48</v>
      </c>
      <c r="B266" t="s">
        <v>13</v>
      </c>
      <c r="C266">
        <v>36</v>
      </c>
      <c r="D266">
        <v>46</v>
      </c>
      <c r="E266" s="1">
        <f t="shared" si="24"/>
        <v>0.43902439024390244</v>
      </c>
      <c r="F266" s="2">
        <v>103.4</v>
      </c>
      <c r="G266" s="2">
        <v>105.7</v>
      </c>
      <c r="H266" s="2">
        <f t="shared" si="25"/>
        <v>-2.2999999999999972</v>
      </c>
      <c r="I266" s="1">
        <f t="shared" si="26"/>
        <v>0.42360322763648928</v>
      </c>
      <c r="J266" s="2">
        <v>107.1</v>
      </c>
      <c r="K266" s="2">
        <v>109.4</v>
      </c>
      <c r="L266" s="2">
        <f t="shared" si="27"/>
        <v>-2.3000000000000114</v>
      </c>
      <c r="M266" s="1">
        <f t="shared" si="28"/>
        <v>1.5421162607413164E-2</v>
      </c>
      <c r="N266" s="2">
        <v>113</v>
      </c>
      <c r="O266" s="2">
        <v>111.2</v>
      </c>
      <c r="P266" s="2">
        <f t="shared" ref="P266:P329" si="29">+N266-O266</f>
        <v>1.7999999999999972</v>
      </c>
      <c r="Q266">
        <v>-0.1</v>
      </c>
    </row>
    <row r="267" spans="1:17">
      <c r="A267" t="s">
        <v>41</v>
      </c>
      <c r="B267" t="s">
        <v>16</v>
      </c>
      <c r="C267">
        <v>47</v>
      </c>
      <c r="D267">
        <v>35</v>
      </c>
      <c r="E267" s="1">
        <f t="shared" si="24"/>
        <v>0.57317073170731703</v>
      </c>
      <c r="F267" s="2">
        <v>97.2</v>
      </c>
      <c r="G267" s="2">
        <v>95.6</v>
      </c>
      <c r="H267" s="2">
        <f t="shared" si="25"/>
        <v>1.6000000000000085</v>
      </c>
      <c r="I267" s="1">
        <f t="shared" si="26"/>
        <v>0.55783262608685169</v>
      </c>
      <c r="J267" s="2">
        <v>103.8</v>
      </c>
      <c r="K267" s="2">
        <v>102.2</v>
      </c>
      <c r="L267" s="2">
        <f t="shared" si="27"/>
        <v>1.5999999999999943</v>
      </c>
      <c r="M267" s="1">
        <f t="shared" si="28"/>
        <v>1.5338105620465337E-2</v>
      </c>
      <c r="N267" s="2">
        <v>112</v>
      </c>
      <c r="O267" s="2">
        <v>92.3</v>
      </c>
      <c r="P267" s="2">
        <f t="shared" si="29"/>
        <v>19.700000000000003</v>
      </c>
      <c r="Q267">
        <v>0.7</v>
      </c>
    </row>
    <row r="268" spans="1:17">
      <c r="A268" t="s">
        <v>59</v>
      </c>
      <c r="B268" t="s">
        <v>51</v>
      </c>
      <c r="C268">
        <v>42</v>
      </c>
      <c r="D268">
        <v>40</v>
      </c>
      <c r="E268" s="1">
        <f t="shared" si="24"/>
        <v>0.51219512195121952</v>
      </c>
      <c r="F268" s="2">
        <v>112.2</v>
      </c>
      <c r="G268" s="2">
        <v>112.3</v>
      </c>
      <c r="H268" s="2">
        <f t="shared" si="25"/>
        <v>-9.9999999999994316E-2</v>
      </c>
      <c r="I268" s="1">
        <f t="shared" si="26"/>
        <v>0.49688200012291167</v>
      </c>
      <c r="J268" s="2">
        <v>108.9</v>
      </c>
      <c r="K268" s="2">
        <v>109</v>
      </c>
      <c r="L268" s="2">
        <f t="shared" si="27"/>
        <v>-9.9999999999994316E-2</v>
      </c>
      <c r="M268" s="1">
        <f t="shared" si="28"/>
        <v>1.5313121828307852E-2</v>
      </c>
      <c r="N268" s="2">
        <v>109.7</v>
      </c>
      <c r="O268" s="2">
        <v>111.8</v>
      </c>
      <c r="P268" s="2">
        <f t="shared" si="29"/>
        <v>-2.0999999999999943</v>
      </c>
      <c r="Q268">
        <v>-0.3</v>
      </c>
    </row>
    <row r="269" spans="1:17">
      <c r="A269" t="s">
        <v>34</v>
      </c>
      <c r="B269" t="s">
        <v>14</v>
      </c>
      <c r="C269">
        <v>28</v>
      </c>
      <c r="D269">
        <v>54</v>
      </c>
      <c r="E269" s="1">
        <f t="shared" si="24"/>
        <v>0.34146341463414637</v>
      </c>
      <c r="F269" s="2">
        <v>92.3</v>
      </c>
      <c r="G269" s="2">
        <v>97.2</v>
      </c>
      <c r="H269" s="2">
        <f t="shared" si="25"/>
        <v>-4.9000000000000057</v>
      </c>
      <c r="I269" s="1">
        <f t="shared" si="26"/>
        <v>0.3264749470449273</v>
      </c>
      <c r="J269" s="2">
        <v>101.6</v>
      </c>
      <c r="K269" s="2">
        <v>106.9</v>
      </c>
      <c r="L269" s="2">
        <f t="shared" si="27"/>
        <v>-5.3000000000000114</v>
      </c>
      <c r="M269" s="1">
        <f t="shared" si="28"/>
        <v>1.4988467589219068E-2</v>
      </c>
      <c r="N269" s="2">
        <v>96.6</v>
      </c>
      <c r="O269" s="2">
        <v>106.7</v>
      </c>
      <c r="P269" s="2">
        <f t="shared" si="29"/>
        <v>-10.100000000000009</v>
      </c>
      <c r="Q269">
        <v>-1</v>
      </c>
    </row>
    <row r="270" spans="1:17">
      <c r="A270" t="s">
        <v>52</v>
      </c>
      <c r="B270" t="s">
        <v>46</v>
      </c>
      <c r="C270">
        <v>59</v>
      </c>
      <c r="D270">
        <v>23</v>
      </c>
      <c r="E270" s="1">
        <f t="shared" si="24"/>
        <v>0.71951219512195119</v>
      </c>
      <c r="F270" s="2">
        <v>106.2</v>
      </c>
      <c r="G270" s="2">
        <v>99.8</v>
      </c>
      <c r="H270" s="2">
        <f t="shared" si="25"/>
        <v>6.4000000000000057</v>
      </c>
      <c r="I270" s="1">
        <f t="shared" si="26"/>
        <v>0.70478376609010041</v>
      </c>
      <c r="J270" s="2">
        <v>109.4</v>
      </c>
      <c r="K270" s="2">
        <v>103</v>
      </c>
      <c r="L270" s="2">
        <f t="shared" si="27"/>
        <v>6.4000000000000057</v>
      </c>
      <c r="M270" s="1">
        <f t="shared" si="28"/>
        <v>1.4728429031850787E-2</v>
      </c>
      <c r="N270" s="2">
        <v>103.7</v>
      </c>
      <c r="O270" s="2">
        <v>99.7</v>
      </c>
      <c r="P270" s="2">
        <f t="shared" si="29"/>
        <v>4</v>
      </c>
      <c r="Q270">
        <v>1.1000000000000001</v>
      </c>
    </row>
    <row r="271" spans="1:17">
      <c r="A271" t="s">
        <v>61</v>
      </c>
      <c r="B271" t="s">
        <v>10</v>
      </c>
      <c r="C271">
        <v>42</v>
      </c>
      <c r="D271">
        <v>30</v>
      </c>
      <c r="E271" s="1">
        <f t="shared" si="24"/>
        <v>0.58333333333333337</v>
      </c>
      <c r="F271" s="2">
        <v>112.4</v>
      </c>
      <c r="G271" s="2">
        <v>110.2</v>
      </c>
      <c r="H271" s="2">
        <f t="shared" si="25"/>
        <v>2.2000000000000028</v>
      </c>
      <c r="I271" s="1">
        <f t="shared" si="26"/>
        <v>0.56874646032092568</v>
      </c>
      <c r="J271" s="2">
        <v>114.6</v>
      </c>
      <c r="K271" s="2">
        <v>112.3</v>
      </c>
      <c r="L271" s="2">
        <f t="shared" si="27"/>
        <v>2.2999999999999972</v>
      </c>
      <c r="M271" s="1">
        <f t="shared" si="28"/>
        <v>1.4586873012407686E-2</v>
      </c>
      <c r="N271" s="2">
        <v>116.3</v>
      </c>
      <c r="O271" s="2">
        <v>122</v>
      </c>
      <c r="P271" s="2">
        <f t="shared" si="29"/>
        <v>-5.7000000000000028</v>
      </c>
      <c r="Q271">
        <v>-0.3</v>
      </c>
    </row>
    <row r="272" spans="1:17">
      <c r="A272" t="s">
        <v>57</v>
      </c>
      <c r="B272" t="s">
        <v>28</v>
      </c>
      <c r="C272">
        <v>61</v>
      </c>
      <c r="D272">
        <v>21</v>
      </c>
      <c r="E272" s="1">
        <f t="shared" si="24"/>
        <v>0.74390243902439024</v>
      </c>
      <c r="F272" s="2">
        <v>105.3</v>
      </c>
      <c r="G272" s="2">
        <v>98.1</v>
      </c>
      <c r="H272" s="2">
        <f t="shared" si="25"/>
        <v>7.2000000000000028</v>
      </c>
      <c r="I272" s="1">
        <f t="shared" si="26"/>
        <v>0.72939687618809401</v>
      </c>
      <c r="J272" s="2">
        <v>110.3</v>
      </c>
      <c r="K272" s="2">
        <v>102.9</v>
      </c>
      <c r="L272" s="2">
        <f t="shared" si="27"/>
        <v>7.3999999999999915</v>
      </c>
      <c r="M272" s="1">
        <f t="shared" si="28"/>
        <v>1.4505562836296226E-2</v>
      </c>
      <c r="N272" s="2">
        <v>111.4</v>
      </c>
      <c r="O272" s="2">
        <v>89.6</v>
      </c>
      <c r="P272" s="2">
        <f t="shared" si="29"/>
        <v>21.800000000000011</v>
      </c>
      <c r="Q272">
        <v>1.2</v>
      </c>
    </row>
    <row r="273" spans="1:17">
      <c r="A273" t="s">
        <v>44</v>
      </c>
      <c r="B273" t="s">
        <v>5</v>
      </c>
      <c r="C273">
        <v>37</v>
      </c>
      <c r="D273">
        <v>45</v>
      </c>
      <c r="E273" s="1">
        <f t="shared" si="24"/>
        <v>0.45121951219512196</v>
      </c>
      <c r="F273" s="2">
        <v>98.2</v>
      </c>
      <c r="G273" s="2">
        <v>100</v>
      </c>
      <c r="H273" s="2">
        <f t="shared" si="25"/>
        <v>-1.7999999999999972</v>
      </c>
      <c r="I273" s="1">
        <f t="shared" si="26"/>
        <v>0.43676649224387093</v>
      </c>
      <c r="J273" s="2">
        <v>105.5</v>
      </c>
      <c r="K273" s="2">
        <v>107.3</v>
      </c>
      <c r="L273" s="2">
        <f t="shared" si="27"/>
        <v>-1.7999999999999972</v>
      </c>
      <c r="M273" s="1">
        <f t="shared" si="28"/>
        <v>1.4453019951251034E-2</v>
      </c>
      <c r="N273" s="2">
        <v>100.3</v>
      </c>
      <c r="O273" s="2">
        <v>111.2</v>
      </c>
      <c r="P273" s="2">
        <f t="shared" si="29"/>
        <v>-10.900000000000006</v>
      </c>
      <c r="Q273">
        <v>-0.1</v>
      </c>
    </row>
    <row r="274" spans="1:17">
      <c r="A274" t="s">
        <v>44</v>
      </c>
      <c r="B274" t="s">
        <v>29</v>
      </c>
      <c r="C274">
        <v>20</v>
      </c>
      <c r="D274">
        <v>62</v>
      </c>
      <c r="E274" s="1">
        <f t="shared" si="24"/>
        <v>0.24390243902439024</v>
      </c>
      <c r="F274" s="2">
        <v>97.5</v>
      </c>
      <c r="G274" s="2">
        <v>106.3</v>
      </c>
      <c r="H274" s="2">
        <f t="shared" si="25"/>
        <v>-8.7999999999999972</v>
      </c>
      <c r="I274" s="1">
        <f t="shared" si="26"/>
        <v>0.22973985536315381</v>
      </c>
      <c r="J274" s="2">
        <v>99.6</v>
      </c>
      <c r="K274" s="2">
        <v>108.3</v>
      </c>
      <c r="L274" s="2">
        <f t="shared" si="27"/>
        <v>-8.7000000000000028</v>
      </c>
      <c r="M274" s="1">
        <f t="shared" si="28"/>
        <v>1.4162583661236433E-2</v>
      </c>
      <c r="N274" s="2">
        <v>105.6</v>
      </c>
      <c r="O274" s="2">
        <v>105.8</v>
      </c>
      <c r="P274" s="2">
        <f t="shared" si="29"/>
        <v>-0.20000000000000284</v>
      </c>
      <c r="Q274">
        <v>-2.6</v>
      </c>
    </row>
    <row r="275" spans="1:17">
      <c r="A275" t="s">
        <v>52</v>
      </c>
      <c r="B275" t="s">
        <v>8</v>
      </c>
      <c r="C275">
        <v>48</v>
      </c>
      <c r="D275">
        <v>34</v>
      </c>
      <c r="E275" s="1">
        <f t="shared" si="24"/>
        <v>0.58536585365853655</v>
      </c>
      <c r="F275" s="2">
        <v>93.7</v>
      </c>
      <c r="G275" s="2">
        <v>91.8</v>
      </c>
      <c r="H275" s="2">
        <f t="shared" si="25"/>
        <v>1.9000000000000057</v>
      </c>
      <c r="I275" s="1">
        <f t="shared" si="26"/>
        <v>0.57121314816076207</v>
      </c>
      <c r="J275" s="2">
        <v>101.7</v>
      </c>
      <c r="K275" s="2">
        <v>99.9</v>
      </c>
      <c r="L275" s="2">
        <f t="shared" si="27"/>
        <v>1.7999999999999972</v>
      </c>
      <c r="M275" s="1">
        <f t="shared" si="28"/>
        <v>1.4152705497774476E-2</v>
      </c>
      <c r="N275" s="2">
        <v>91.5</v>
      </c>
      <c r="O275" s="2">
        <v>83.4</v>
      </c>
      <c r="P275" s="2">
        <f t="shared" si="29"/>
        <v>8.0999999999999943</v>
      </c>
      <c r="Q275">
        <v>1</v>
      </c>
    </row>
    <row r="276" spans="1:17">
      <c r="A276" t="s">
        <v>54</v>
      </c>
      <c r="B276" t="s">
        <v>7</v>
      </c>
      <c r="C276">
        <v>33</v>
      </c>
      <c r="D276">
        <v>49</v>
      </c>
      <c r="E276" s="1">
        <f t="shared" si="24"/>
        <v>0.40243902439024393</v>
      </c>
      <c r="F276" s="2">
        <v>94.2</v>
      </c>
      <c r="G276" s="2">
        <v>97.3</v>
      </c>
      <c r="H276" s="2">
        <f t="shared" si="25"/>
        <v>-3.0999999999999943</v>
      </c>
      <c r="I276" s="1">
        <f t="shared" si="26"/>
        <v>0.38857566297444734</v>
      </c>
      <c r="J276" s="2">
        <v>99.6</v>
      </c>
      <c r="K276" s="2">
        <v>103</v>
      </c>
      <c r="L276" s="2">
        <f t="shared" si="27"/>
        <v>-3.4000000000000057</v>
      </c>
      <c r="M276" s="1">
        <f t="shared" si="28"/>
        <v>1.3863361415796582E-2</v>
      </c>
      <c r="N276" s="2">
        <v>89.8</v>
      </c>
      <c r="O276" s="2">
        <v>99.4</v>
      </c>
      <c r="P276" s="2">
        <f t="shared" si="29"/>
        <v>-9.6000000000000085</v>
      </c>
      <c r="Q276">
        <v>-1.2</v>
      </c>
    </row>
    <row r="277" spans="1:17">
      <c r="A277" t="s">
        <v>34</v>
      </c>
      <c r="B277" t="s">
        <v>6</v>
      </c>
      <c r="C277">
        <v>49</v>
      </c>
      <c r="D277">
        <v>33</v>
      </c>
      <c r="E277" s="1">
        <f t="shared" si="24"/>
        <v>0.59756097560975607</v>
      </c>
      <c r="F277" s="2">
        <v>96.4</v>
      </c>
      <c r="G277" s="2">
        <v>94.1</v>
      </c>
      <c r="H277" s="2">
        <f t="shared" si="25"/>
        <v>2.3000000000000114</v>
      </c>
      <c r="I277" s="1">
        <f t="shared" si="26"/>
        <v>0.58372264017274567</v>
      </c>
      <c r="J277" s="2">
        <v>102.1</v>
      </c>
      <c r="K277" s="2">
        <v>99.9</v>
      </c>
      <c r="L277" s="2">
        <f t="shared" si="27"/>
        <v>2.1999999999999886</v>
      </c>
      <c r="M277" s="1">
        <f t="shared" si="28"/>
        <v>1.3838335437010407E-2</v>
      </c>
      <c r="N277" s="2">
        <v>107.8</v>
      </c>
      <c r="O277" s="2">
        <v>90.2</v>
      </c>
      <c r="P277" s="2">
        <f t="shared" si="29"/>
        <v>17.599999999999994</v>
      </c>
      <c r="Q277">
        <v>1</v>
      </c>
    </row>
    <row r="278" spans="1:17">
      <c r="A278" t="s">
        <v>62</v>
      </c>
      <c r="B278" t="s">
        <v>11</v>
      </c>
      <c r="C278">
        <v>48</v>
      </c>
      <c r="D278">
        <v>34</v>
      </c>
      <c r="E278" s="1">
        <f t="shared" si="24"/>
        <v>0.58536585365853655</v>
      </c>
      <c r="F278" s="2">
        <v>112.7</v>
      </c>
      <c r="G278" s="2">
        <v>110.4</v>
      </c>
      <c r="H278" s="2">
        <f t="shared" si="25"/>
        <v>2.2999999999999972</v>
      </c>
      <c r="I278" s="1">
        <f t="shared" si="26"/>
        <v>0.57167050088011562</v>
      </c>
      <c r="J278" s="2">
        <v>113.8</v>
      </c>
      <c r="K278" s="2">
        <v>111.5</v>
      </c>
      <c r="L278" s="2">
        <f t="shared" si="27"/>
        <v>2.2999999999999972</v>
      </c>
      <c r="M278" s="1">
        <f t="shared" si="28"/>
        <v>1.3695352778420933E-2</v>
      </c>
      <c r="N278" s="2">
        <v>106.9</v>
      </c>
      <c r="O278" s="2">
        <v>103.2</v>
      </c>
      <c r="P278" s="2">
        <f t="shared" si="29"/>
        <v>3.7000000000000028</v>
      </c>
      <c r="Q278">
        <v>-1.8</v>
      </c>
    </row>
    <row r="279" spans="1:17">
      <c r="A279" t="s">
        <v>45</v>
      </c>
      <c r="B279" t="s">
        <v>18</v>
      </c>
      <c r="C279">
        <v>43</v>
      </c>
      <c r="D279">
        <v>39</v>
      </c>
      <c r="E279" s="1">
        <f t="shared" si="24"/>
        <v>0.52439024390243905</v>
      </c>
      <c r="F279" s="2">
        <v>98.3</v>
      </c>
      <c r="G279" s="2">
        <v>98</v>
      </c>
      <c r="H279" s="2">
        <f t="shared" si="25"/>
        <v>0.29999999999999716</v>
      </c>
      <c r="I279" s="1">
        <f t="shared" si="26"/>
        <v>0.51069628754963348</v>
      </c>
      <c r="J279" s="2">
        <v>106.8</v>
      </c>
      <c r="K279" s="2">
        <v>106.5</v>
      </c>
      <c r="L279" s="2">
        <f t="shared" si="27"/>
        <v>0.29999999999999716</v>
      </c>
      <c r="M279" s="1">
        <f t="shared" si="28"/>
        <v>1.369395635280557E-2</v>
      </c>
      <c r="N279" s="2">
        <v>114.1</v>
      </c>
      <c r="O279" s="2">
        <v>112.2</v>
      </c>
      <c r="P279" s="2">
        <f t="shared" si="29"/>
        <v>1.8999999999999915</v>
      </c>
      <c r="Q279">
        <v>-0.7</v>
      </c>
    </row>
    <row r="280" spans="1:17">
      <c r="A280" t="s">
        <v>50</v>
      </c>
      <c r="B280" t="s">
        <v>26</v>
      </c>
      <c r="C280">
        <v>33</v>
      </c>
      <c r="D280">
        <v>49</v>
      </c>
      <c r="E280" s="1">
        <f t="shared" si="24"/>
        <v>0.40243902439024393</v>
      </c>
      <c r="F280" s="2">
        <v>97.5</v>
      </c>
      <c r="G280" s="2">
        <v>100.7</v>
      </c>
      <c r="H280" s="2">
        <f t="shared" si="25"/>
        <v>-3.2000000000000028</v>
      </c>
      <c r="I280" s="1">
        <f t="shared" si="26"/>
        <v>0.38885971000700537</v>
      </c>
      <c r="J280" s="2">
        <v>104.5</v>
      </c>
      <c r="K280" s="2">
        <v>107.9</v>
      </c>
      <c r="L280" s="2">
        <f t="shared" si="27"/>
        <v>-3.4000000000000057</v>
      </c>
      <c r="M280" s="1">
        <f t="shared" si="28"/>
        <v>1.3579314383238561E-2</v>
      </c>
      <c r="N280" s="2">
        <v>105.1</v>
      </c>
      <c r="O280" s="2">
        <v>106.7</v>
      </c>
      <c r="P280" s="2">
        <f t="shared" si="29"/>
        <v>-1.6000000000000085</v>
      </c>
      <c r="Q280">
        <v>-0.2</v>
      </c>
    </row>
    <row r="281" spans="1:17">
      <c r="A281" t="s">
        <v>61</v>
      </c>
      <c r="B281" t="s">
        <v>24</v>
      </c>
      <c r="C281">
        <v>49</v>
      </c>
      <c r="D281">
        <v>23</v>
      </c>
      <c r="E281" s="1">
        <f t="shared" si="24"/>
        <v>0.68055555555555558</v>
      </c>
      <c r="F281" s="2">
        <v>113.6</v>
      </c>
      <c r="G281" s="2">
        <v>108.1</v>
      </c>
      <c r="H281" s="2">
        <f t="shared" si="25"/>
        <v>5.5</v>
      </c>
      <c r="I281" s="1">
        <f t="shared" si="26"/>
        <v>0.66702829346339876</v>
      </c>
      <c r="J281" s="2">
        <v>112.5</v>
      </c>
      <c r="K281" s="2">
        <v>107</v>
      </c>
      <c r="L281" s="2">
        <f t="shared" si="27"/>
        <v>5.5</v>
      </c>
      <c r="M281" s="1">
        <f t="shared" si="28"/>
        <v>1.3527262092156822E-2</v>
      </c>
      <c r="N281" s="2">
        <v>112.5</v>
      </c>
      <c r="O281" s="2">
        <v>97.4</v>
      </c>
      <c r="P281" s="2">
        <f t="shared" si="29"/>
        <v>15.099999999999994</v>
      </c>
      <c r="Q281">
        <v>1.3</v>
      </c>
    </row>
    <row r="282" spans="1:17">
      <c r="A282" t="s">
        <v>50</v>
      </c>
      <c r="B282" t="s">
        <v>6</v>
      </c>
      <c r="C282">
        <v>41</v>
      </c>
      <c r="D282">
        <v>40</v>
      </c>
      <c r="E282" s="1">
        <f t="shared" si="24"/>
        <v>0.50617283950617287</v>
      </c>
      <c r="F282" s="2">
        <v>96.5</v>
      </c>
      <c r="G282" s="2">
        <v>96.7</v>
      </c>
      <c r="H282" s="2">
        <f t="shared" si="25"/>
        <v>-0.20000000000000284</v>
      </c>
      <c r="I282" s="1">
        <f t="shared" si="26"/>
        <v>0.49275412790061462</v>
      </c>
      <c r="J282" s="2">
        <v>102.2</v>
      </c>
      <c r="K282" s="2">
        <v>102.6</v>
      </c>
      <c r="L282" s="2">
        <f t="shared" si="27"/>
        <v>-0.39999999999999147</v>
      </c>
      <c r="M282" s="1">
        <f t="shared" si="28"/>
        <v>1.3418711605558242E-2</v>
      </c>
      <c r="N282" s="2">
        <v>92.5</v>
      </c>
      <c r="O282" s="2">
        <v>95.1</v>
      </c>
      <c r="P282" s="2">
        <f t="shared" si="29"/>
        <v>-2.5999999999999943</v>
      </c>
      <c r="Q282">
        <v>-0.6</v>
      </c>
    </row>
    <row r="283" spans="1:17">
      <c r="A283" t="s">
        <v>64</v>
      </c>
      <c r="B283" t="s">
        <v>26</v>
      </c>
      <c r="C283">
        <v>21</v>
      </c>
      <c r="D283">
        <v>61</v>
      </c>
      <c r="E283" s="1">
        <f t="shared" si="24"/>
        <v>0.25609756097560976</v>
      </c>
      <c r="F283" s="2">
        <v>106.4</v>
      </c>
      <c r="G283" s="2">
        <v>115.4</v>
      </c>
      <c r="H283" s="2">
        <f t="shared" si="25"/>
        <v>-9</v>
      </c>
      <c r="I283" s="1">
        <f t="shared" si="26"/>
        <v>0.24291151759071603</v>
      </c>
      <c r="J283" s="2">
        <v>107.6</v>
      </c>
      <c r="K283" s="2">
        <v>116.6</v>
      </c>
      <c r="L283" s="2">
        <f t="shared" si="27"/>
        <v>-9</v>
      </c>
      <c r="M283" s="1">
        <f t="shared" si="28"/>
        <v>1.3186043384893736E-2</v>
      </c>
      <c r="N283" s="2">
        <v>104.8</v>
      </c>
      <c r="O283" s="2">
        <v>102.6</v>
      </c>
      <c r="P283" s="2">
        <f t="shared" si="29"/>
        <v>2.2000000000000028</v>
      </c>
      <c r="Q283">
        <v>-0.6</v>
      </c>
    </row>
    <row r="284" spans="1:17">
      <c r="A284" t="s">
        <v>54</v>
      </c>
      <c r="B284" t="s">
        <v>10</v>
      </c>
      <c r="C284">
        <v>50</v>
      </c>
      <c r="D284">
        <v>32</v>
      </c>
      <c r="E284" s="1">
        <f t="shared" si="24"/>
        <v>0.6097560975609756</v>
      </c>
      <c r="F284" s="2">
        <v>105.2</v>
      </c>
      <c r="G284" s="2">
        <v>102.3</v>
      </c>
      <c r="H284" s="2">
        <f t="shared" si="25"/>
        <v>2.9000000000000057</v>
      </c>
      <c r="I284" s="1">
        <f t="shared" si="26"/>
        <v>0.59660783043206966</v>
      </c>
      <c r="J284" s="2">
        <v>108.2</v>
      </c>
      <c r="K284" s="2">
        <v>104.9</v>
      </c>
      <c r="L284" s="2">
        <f t="shared" si="27"/>
        <v>3.2999999999999972</v>
      </c>
      <c r="M284" s="1">
        <f t="shared" si="28"/>
        <v>1.3148267128905933E-2</v>
      </c>
      <c r="N284" s="2">
        <v>113.1</v>
      </c>
      <c r="O284" s="2">
        <v>95.3</v>
      </c>
      <c r="P284" s="2">
        <f t="shared" si="29"/>
        <v>17.799999999999997</v>
      </c>
      <c r="Q284">
        <v>0.8</v>
      </c>
    </row>
    <row r="285" spans="1:17">
      <c r="A285" t="s">
        <v>58</v>
      </c>
      <c r="B285" t="s">
        <v>11</v>
      </c>
      <c r="C285">
        <v>46</v>
      </c>
      <c r="D285">
        <v>36</v>
      </c>
      <c r="E285" s="1">
        <f t="shared" si="24"/>
        <v>0.56097560975609762</v>
      </c>
      <c r="F285" s="2">
        <v>110</v>
      </c>
      <c r="G285" s="2">
        <v>108.5</v>
      </c>
      <c r="H285" s="2">
        <f t="shared" si="25"/>
        <v>1.5</v>
      </c>
      <c r="I285" s="1">
        <f t="shared" si="26"/>
        <v>0.54790824985193565</v>
      </c>
      <c r="J285" s="2">
        <v>111.4</v>
      </c>
      <c r="K285" s="2">
        <v>110</v>
      </c>
      <c r="L285" s="2">
        <f t="shared" si="27"/>
        <v>1.4000000000000057</v>
      </c>
      <c r="M285" s="1">
        <f t="shared" si="28"/>
        <v>1.3067359904161968E-2</v>
      </c>
      <c r="N285" s="2">
        <v>103.6</v>
      </c>
      <c r="O285" s="2">
        <v>99.5</v>
      </c>
      <c r="P285" s="2">
        <f t="shared" si="29"/>
        <v>4.0999999999999943</v>
      </c>
      <c r="Q285">
        <v>-0.6</v>
      </c>
    </row>
    <row r="286" spans="1:17">
      <c r="A286" t="s">
        <v>62</v>
      </c>
      <c r="B286" t="s">
        <v>35</v>
      </c>
      <c r="C286">
        <v>56</v>
      </c>
      <c r="D286">
        <v>26</v>
      </c>
      <c r="E286" s="1">
        <f t="shared" si="24"/>
        <v>0.68292682926829273</v>
      </c>
      <c r="F286" s="2">
        <v>115.6</v>
      </c>
      <c r="G286" s="2">
        <v>109.9</v>
      </c>
      <c r="H286" s="2">
        <f t="shared" si="25"/>
        <v>5.6999999999999886</v>
      </c>
      <c r="I286" s="1">
        <f t="shared" si="26"/>
        <v>0.66993947540957544</v>
      </c>
      <c r="J286" s="2">
        <v>114.3</v>
      </c>
      <c r="K286" s="2">
        <v>108.9</v>
      </c>
      <c r="L286" s="2">
        <f t="shared" si="27"/>
        <v>5.3999999999999915</v>
      </c>
      <c r="M286" s="1">
        <f t="shared" si="28"/>
        <v>1.2987353858717299E-2</v>
      </c>
      <c r="N286" s="2">
        <v>111.6</v>
      </c>
      <c r="O286" s="2">
        <v>103.7</v>
      </c>
      <c r="P286" s="2">
        <f t="shared" si="29"/>
        <v>7.8999999999999915</v>
      </c>
      <c r="Q286">
        <v>0.1</v>
      </c>
    </row>
    <row r="287" spans="1:17">
      <c r="A287" t="s">
        <v>43</v>
      </c>
      <c r="B287" t="s">
        <v>15</v>
      </c>
      <c r="C287">
        <v>35</v>
      </c>
      <c r="D287">
        <v>47</v>
      </c>
      <c r="E287" s="1">
        <f t="shared" si="24"/>
        <v>0.42682926829268292</v>
      </c>
      <c r="F287" s="2">
        <v>95.6</v>
      </c>
      <c r="G287" s="2">
        <v>98</v>
      </c>
      <c r="H287" s="2">
        <f t="shared" si="25"/>
        <v>-2.4000000000000057</v>
      </c>
      <c r="I287" s="1">
        <f t="shared" si="26"/>
        <v>0.41407972075394056</v>
      </c>
      <c r="J287" s="2">
        <v>101.9</v>
      </c>
      <c r="K287" s="2">
        <v>104.4</v>
      </c>
      <c r="L287" s="2">
        <f t="shared" si="27"/>
        <v>-2.5</v>
      </c>
      <c r="M287" s="1">
        <f t="shared" si="28"/>
        <v>1.2749547538742356E-2</v>
      </c>
      <c r="N287" s="2">
        <v>102.9</v>
      </c>
      <c r="O287" s="2">
        <v>101.2</v>
      </c>
      <c r="P287" s="2">
        <f t="shared" si="29"/>
        <v>1.7000000000000028</v>
      </c>
      <c r="Q287">
        <v>-0.4</v>
      </c>
    </row>
    <row r="288" spans="1:17">
      <c r="A288" t="s">
        <v>47</v>
      </c>
      <c r="B288" t="s">
        <v>11</v>
      </c>
      <c r="C288">
        <v>53</v>
      </c>
      <c r="D288">
        <v>29</v>
      </c>
      <c r="E288" s="1">
        <f t="shared" si="24"/>
        <v>0.64634146341463417</v>
      </c>
      <c r="F288" s="2">
        <v>106.5</v>
      </c>
      <c r="G288" s="2">
        <v>102.4</v>
      </c>
      <c r="H288" s="2">
        <f t="shared" si="25"/>
        <v>4.0999999999999943</v>
      </c>
      <c r="I288" s="1">
        <f t="shared" si="26"/>
        <v>0.63404645270509008</v>
      </c>
      <c r="J288" s="2">
        <v>110.8</v>
      </c>
      <c r="K288" s="2">
        <v>106.5</v>
      </c>
      <c r="L288" s="2">
        <f t="shared" si="27"/>
        <v>4.2999999999999972</v>
      </c>
      <c r="M288" s="1">
        <f t="shared" si="28"/>
        <v>1.2295010709544085E-2</v>
      </c>
      <c r="N288" s="2">
        <v>117.7</v>
      </c>
      <c r="O288" s="2">
        <v>110.2</v>
      </c>
      <c r="P288" s="2">
        <f t="shared" si="29"/>
        <v>7.5</v>
      </c>
      <c r="Q288">
        <v>1.6</v>
      </c>
    </row>
    <row r="289" spans="1:17">
      <c r="A289" t="s">
        <v>38</v>
      </c>
      <c r="B289" t="s">
        <v>20</v>
      </c>
      <c r="C289">
        <v>58</v>
      </c>
      <c r="D289">
        <v>24</v>
      </c>
      <c r="E289" s="1">
        <f t="shared" si="24"/>
        <v>0.70731707317073167</v>
      </c>
      <c r="F289" s="2">
        <v>94.5</v>
      </c>
      <c r="G289" s="2">
        <v>89.1</v>
      </c>
      <c r="H289" s="2">
        <f t="shared" si="25"/>
        <v>5.4000000000000057</v>
      </c>
      <c r="I289" s="1">
        <f t="shared" si="26"/>
        <v>0.6950353841239254</v>
      </c>
      <c r="J289" s="2">
        <v>104.2</v>
      </c>
      <c r="K289" s="2">
        <v>98.5</v>
      </c>
      <c r="L289" s="2">
        <f t="shared" si="27"/>
        <v>5.7000000000000028</v>
      </c>
      <c r="M289" s="1">
        <f t="shared" si="28"/>
        <v>1.2281689046806266E-2</v>
      </c>
      <c r="N289" s="2">
        <v>110.4</v>
      </c>
      <c r="O289" s="2">
        <v>99.4</v>
      </c>
      <c r="P289" s="2">
        <f t="shared" si="29"/>
        <v>11</v>
      </c>
      <c r="Q289">
        <v>1.3</v>
      </c>
    </row>
    <row r="290" spans="1:17">
      <c r="A290" t="s">
        <v>62</v>
      </c>
      <c r="B290" t="s">
        <v>7</v>
      </c>
      <c r="C290">
        <v>43</v>
      </c>
      <c r="D290">
        <v>39</v>
      </c>
      <c r="E290" s="1">
        <f t="shared" si="24"/>
        <v>0.52439024390243905</v>
      </c>
      <c r="F290" s="2">
        <v>115.3</v>
      </c>
      <c r="G290" s="2">
        <v>114.9</v>
      </c>
      <c r="H290" s="2">
        <f t="shared" si="25"/>
        <v>0.39999999999999147</v>
      </c>
      <c r="I290" s="1">
        <f t="shared" si="26"/>
        <v>0.5121609496635926</v>
      </c>
      <c r="J290" s="2">
        <v>113.6</v>
      </c>
      <c r="K290" s="2">
        <v>113.1</v>
      </c>
      <c r="L290" s="2">
        <f t="shared" si="27"/>
        <v>0.5</v>
      </c>
      <c r="M290" s="1">
        <f t="shared" si="28"/>
        <v>1.2229294238846444E-2</v>
      </c>
      <c r="N290" s="2">
        <v>109.6</v>
      </c>
      <c r="O290" s="2">
        <v>111.6</v>
      </c>
      <c r="P290" s="2">
        <f t="shared" si="29"/>
        <v>-2</v>
      </c>
      <c r="Q290">
        <v>0.8</v>
      </c>
    </row>
    <row r="291" spans="1:17">
      <c r="A291" t="s">
        <v>58</v>
      </c>
      <c r="B291" t="s">
        <v>56</v>
      </c>
      <c r="C291">
        <v>42</v>
      </c>
      <c r="D291">
        <v>40</v>
      </c>
      <c r="E291" s="1">
        <f t="shared" si="24"/>
        <v>0.51219512195121952</v>
      </c>
      <c r="F291" s="2">
        <v>109</v>
      </c>
      <c r="G291" s="2">
        <v>109</v>
      </c>
      <c r="H291" s="2">
        <f t="shared" si="25"/>
        <v>0</v>
      </c>
      <c r="I291" s="1">
        <f t="shared" si="26"/>
        <v>0.5</v>
      </c>
      <c r="J291" s="2">
        <v>109.4</v>
      </c>
      <c r="K291" s="2">
        <v>109.2</v>
      </c>
      <c r="L291" s="2">
        <f t="shared" si="27"/>
        <v>0.20000000000000284</v>
      </c>
      <c r="M291" s="1">
        <f t="shared" si="28"/>
        <v>1.2195121951219523E-2</v>
      </c>
      <c r="N291" s="2">
        <v>110.5</v>
      </c>
      <c r="O291" s="2">
        <v>119.1</v>
      </c>
      <c r="P291" s="2">
        <f t="shared" si="29"/>
        <v>-8.5999999999999943</v>
      </c>
      <c r="Q291">
        <v>1.5</v>
      </c>
    </row>
    <row r="292" spans="1:17">
      <c r="A292" t="s">
        <v>62</v>
      </c>
      <c r="B292" t="s">
        <v>56</v>
      </c>
      <c r="C292">
        <v>42</v>
      </c>
      <c r="D292">
        <v>40</v>
      </c>
      <c r="E292" s="1">
        <f t="shared" si="24"/>
        <v>0.51219512195121952</v>
      </c>
      <c r="F292" s="2">
        <v>108.4</v>
      </c>
      <c r="G292" s="2">
        <v>108.4</v>
      </c>
      <c r="H292" s="2">
        <f t="shared" si="25"/>
        <v>0</v>
      </c>
      <c r="I292" s="1">
        <f t="shared" si="26"/>
        <v>0.5</v>
      </c>
      <c r="J292" s="2">
        <v>109.5</v>
      </c>
      <c r="K292" s="2">
        <v>109.5</v>
      </c>
      <c r="L292" s="2">
        <f t="shared" si="27"/>
        <v>0</v>
      </c>
      <c r="M292" s="1">
        <f t="shared" si="28"/>
        <v>1.2195121951219523E-2</v>
      </c>
      <c r="N292" s="2">
        <v>123.8</v>
      </c>
      <c r="O292" s="2">
        <v>114.3</v>
      </c>
      <c r="P292" s="2">
        <f t="shared" si="29"/>
        <v>9.5</v>
      </c>
      <c r="Q292">
        <v>1.1000000000000001</v>
      </c>
    </row>
    <row r="293" spans="1:17">
      <c r="A293" t="s">
        <v>63</v>
      </c>
      <c r="B293" t="s">
        <v>20</v>
      </c>
      <c r="C293">
        <v>42</v>
      </c>
      <c r="D293">
        <v>40</v>
      </c>
      <c r="E293" s="1">
        <f t="shared" si="24"/>
        <v>0.51219512195121952</v>
      </c>
      <c r="F293" s="2">
        <v>115.8</v>
      </c>
      <c r="G293" s="2">
        <v>115.8</v>
      </c>
      <c r="H293" s="2">
        <f t="shared" si="25"/>
        <v>0</v>
      </c>
      <c r="I293" s="1">
        <f t="shared" si="26"/>
        <v>0.5</v>
      </c>
      <c r="J293" s="2">
        <v>113.3</v>
      </c>
      <c r="K293" s="2">
        <v>113.1</v>
      </c>
      <c r="L293" s="2">
        <f t="shared" si="27"/>
        <v>0.20000000000000284</v>
      </c>
      <c r="M293" s="1">
        <f t="shared" si="28"/>
        <v>1.2195121951219523E-2</v>
      </c>
      <c r="N293" s="2">
        <v>100.3</v>
      </c>
      <c r="O293" s="2">
        <v>100.5</v>
      </c>
      <c r="P293" s="2">
        <f t="shared" si="29"/>
        <v>-0.20000000000000284</v>
      </c>
      <c r="Q293">
        <v>-0.2</v>
      </c>
    </row>
    <row r="294" spans="1:17">
      <c r="A294" t="s">
        <v>65</v>
      </c>
      <c r="B294" t="s">
        <v>10</v>
      </c>
      <c r="C294">
        <v>39</v>
      </c>
      <c r="D294">
        <v>43</v>
      </c>
      <c r="E294" s="1">
        <f t="shared" si="24"/>
        <v>0.47560975609756095</v>
      </c>
      <c r="F294" s="2">
        <v>114.2</v>
      </c>
      <c r="G294" s="2">
        <v>115.4</v>
      </c>
      <c r="H294" s="2">
        <f t="shared" si="25"/>
        <v>-1.2000000000000028</v>
      </c>
      <c r="I294" s="1">
        <f t="shared" si="26"/>
        <v>0.46347945541484592</v>
      </c>
      <c r="J294" s="2">
        <v>113.7</v>
      </c>
      <c r="K294" s="2">
        <v>115</v>
      </c>
      <c r="L294" s="2">
        <f t="shared" si="27"/>
        <v>-1.2999999999999972</v>
      </c>
      <c r="M294" s="1">
        <f t="shared" si="28"/>
        <v>1.2130300682715034E-2</v>
      </c>
      <c r="N294" s="2">
        <v>113</v>
      </c>
      <c r="O294" s="2">
        <v>111.7</v>
      </c>
      <c r="P294" s="2">
        <f t="shared" si="29"/>
        <v>1.2999999999999972</v>
      </c>
      <c r="Q294">
        <v>0.1</v>
      </c>
    </row>
    <row r="295" spans="1:17">
      <c r="A295" t="s">
        <v>60</v>
      </c>
      <c r="B295" t="s">
        <v>18</v>
      </c>
      <c r="C295">
        <v>44</v>
      </c>
      <c r="D295">
        <v>29</v>
      </c>
      <c r="E295" s="1">
        <f t="shared" si="24"/>
        <v>0.60273972602739723</v>
      </c>
      <c r="F295" s="2">
        <v>112</v>
      </c>
      <c r="G295" s="2">
        <v>109.1</v>
      </c>
      <c r="H295" s="2">
        <f t="shared" si="25"/>
        <v>2.9000000000000057</v>
      </c>
      <c r="I295" s="1">
        <f t="shared" si="26"/>
        <v>0.5908005274630016</v>
      </c>
      <c r="J295" s="2">
        <v>111.9</v>
      </c>
      <c r="K295" s="2">
        <v>109.3</v>
      </c>
      <c r="L295" s="2">
        <f t="shared" si="27"/>
        <v>2.6000000000000085</v>
      </c>
      <c r="M295" s="1">
        <f t="shared" si="28"/>
        <v>1.1939198564395626E-2</v>
      </c>
      <c r="N295" s="2">
        <v>98.1</v>
      </c>
      <c r="O295" s="2">
        <v>115.1</v>
      </c>
      <c r="P295" s="2">
        <f t="shared" si="29"/>
        <v>-17</v>
      </c>
      <c r="Q295">
        <v>-1.2</v>
      </c>
    </row>
    <row r="296" spans="1:17">
      <c r="A296" t="s">
        <v>62</v>
      </c>
      <c r="B296" t="s">
        <v>51</v>
      </c>
      <c r="C296">
        <v>44</v>
      </c>
      <c r="D296">
        <v>38</v>
      </c>
      <c r="E296" s="1">
        <f t="shared" si="24"/>
        <v>0.53658536585365857</v>
      </c>
      <c r="F296" s="2">
        <v>112.9</v>
      </c>
      <c r="G296" s="2">
        <v>112.1</v>
      </c>
      <c r="H296" s="2">
        <f t="shared" si="25"/>
        <v>0.80000000000001137</v>
      </c>
      <c r="I296" s="1">
        <f t="shared" si="26"/>
        <v>0.52486845707756435</v>
      </c>
      <c r="J296" s="2">
        <v>113.2</v>
      </c>
      <c r="K296" s="2">
        <v>112.3</v>
      </c>
      <c r="L296" s="2">
        <f t="shared" si="27"/>
        <v>0.90000000000000568</v>
      </c>
      <c r="M296" s="1">
        <f t="shared" si="28"/>
        <v>1.1716908776094215E-2</v>
      </c>
      <c r="N296" s="2">
        <v>112.6</v>
      </c>
      <c r="O296" s="2">
        <v>103</v>
      </c>
      <c r="P296" s="2">
        <f t="shared" si="29"/>
        <v>9.5999999999999943</v>
      </c>
      <c r="Q296">
        <v>-0.1</v>
      </c>
    </row>
    <row r="297" spans="1:17">
      <c r="A297" t="s">
        <v>62</v>
      </c>
      <c r="B297" t="s">
        <v>30</v>
      </c>
      <c r="C297">
        <v>48</v>
      </c>
      <c r="D297">
        <v>34</v>
      </c>
      <c r="E297" s="1">
        <f t="shared" si="24"/>
        <v>0.58536585365853655</v>
      </c>
      <c r="F297" s="2">
        <v>109.4</v>
      </c>
      <c r="G297" s="2">
        <v>107.1</v>
      </c>
      <c r="H297" s="2">
        <f t="shared" si="25"/>
        <v>2.3000000000000114</v>
      </c>
      <c r="I297" s="1">
        <f t="shared" si="26"/>
        <v>0.57382411075027417</v>
      </c>
      <c r="J297" s="2">
        <v>112.1</v>
      </c>
      <c r="K297" s="2">
        <v>109.9</v>
      </c>
      <c r="L297" s="2">
        <f t="shared" si="27"/>
        <v>2.1999999999999886</v>
      </c>
      <c r="M297" s="1">
        <f t="shared" si="28"/>
        <v>1.1541742908262376E-2</v>
      </c>
      <c r="N297" s="2">
        <v>112.5</v>
      </c>
      <c r="O297" s="2">
        <v>102</v>
      </c>
      <c r="P297" s="2">
        <f t="shared" si="29"/>
        <v>10.5</v>
      </c>
      <c r="Q297">
        <v>1</v>
      </c>
    </row>
    <row r="298" spans="1:17">
      <c r="A298" t="s">
        <v>61</v>
      </c>
      <c r="B298" t="s">
        <v>28</v>
      </c>
      <c r="C298">
        <v>33</v>
      </c>
      <c r="D298">
        <v>39</v>
      </c>
      <c r="E298" s="1">
        <f t="shared" si="24"/>
        <v>0.45833333333333331</v>
      </c>
      <c r="F298" s="2">
        <v>111.1</v>
      </c>
      <c r="G298" s="2">
        <v>112.8</v>
      </c>
      <c r="H298" s="2">
        <f t="shared" si="25"/>
        <v>-1.7000000000000028</v>
      </c>
      <c r="I298" s="1">
        <f t="shared" si="26"/>
        <v>0.44704954082867138</v>
      </c>
      <c r="J298" s="2">
        <v>110.5</v>
      </c>
      <c r="K298" s="2">
        <v>112</v>
      </c>
      <c r="L298" s="2">
        <f t="shared" si="27"/>
        <v>-1.5</v>
      </c>
      <c r="M298" s="1">
        <f t="shared" si="28"/>
        <v>1.1283792504661938E-2</v>
      </c>
      <c r="N298" s="2">
        <v>105</v>
      </c>
      <c r="O298" s="2">
        <v>108.9</v>
      </c>
      <c r="P298" s="2">
        <f t="shared" si="29"/>
        <v>-3.9000000000000057</v>
      </c>
      <c r="Q298">
        <v>-0.3</v>
      </c>
    </row>
    <row r="299" spans="1:17">
      <c r="A299" t="s">
        <v>58</v>
      </c>
      <c r="B299" t="s">
        <v>26</v>
      </c>
      <c r="C299">
        <v>49</v>
      </c>
      <c r="D299">
        <v>33</v>
      </c>
      <c r="E299" s="1">
        <f t="shared" si="24"/>
        <v>0.59756097560975607</v>
      </c>
      <c r="F299" s="2">
        <v>105.6</v>
      </c>
      <c r="G299" s="2">
        <v>103</v>
      </c>
      <c r="H299" s="2">
        <f t="shared" si="25"/>
        <v>2.5999999999999943</v>
      </c>
      <c r="I299" s="1">
        <f t="shared" si="26"/>
        <v>0.5863778164099368</v>
      </c>
      <c r="J299" s="2">
        <v>108.4</v>
      </c>
      <c r="K299" s="2">
        <v>105.7</v>
      </c>
      <c r="L299" s="2">
        <f t="shared" si="27"/>
        <v>2.7000000000000028</v>
      </c>
      <c r="M299" s="1">
        <f t="shared" si="28"/>
        <v>1.118315919981927E-2</v>
      </c>
      <c r="N299" s="2">
        <v>103</v>
      </c>
      <c r="O299" s="2">
        <v>96.7</v>
      </c>
      <c r="P299" s="2">
        <f t="shared" si="29"/>
        <v>6.2999999999999972</v>
      </c>
      <c r="Q299">
        <v>-0.4</v>
      </c>
    </row>
    <row r="300" spans="1:17">
      <c r="A300" t="s">
        <v>34</v>
      </c>
      <c r="B300" t="s">
        <v>22</v>
      </c>
      <c r="C300">
        <v>30</v>
      </c>
      <c r="D300">
        <v>52</v>
      </c>
      <c r="E300" s="1">
        <f t="shared" si="24"/>
        <v>0.36585365853658536</v>
      </c>
      <c r="F300" s="2">
        <v>91.6</v>
      </c>
      <c r="G300" s="2">
        <v>95.6</v>
      </c>
      <c r="H300" s="2">
        <f t="shared" si="25"/>
        <v>-4</v>
      </c>
      <c r="I300" s="1">
        <f t="shared" si="26"/>
        <v>0.35471402772199295</v>
      </c>
      <c r="J300" s="2">
        <v>100.4</v>
      </c>
      <c r="K300" s="2">
        <v>104.6</v>
      </c>
      <c r="L300" s="2">
        <f t="shared" si="27"/>
        <v>-4.1999999999999886</v>
      </c>
      <c r="M300" s="1">
        <f t="shared" si="28"/>
        <v>1.1139630814592405E-2</v>
      </c>
      <c r="N300" s="2">
        <v>89.8</v>
      </c>
      <c r="O300" s="2">
        <v>100.5</v>
      </c>
      <c r="P300" s="2">
        <f t="shared" si="29"/>
        <v>-10.700000000000003</v>
      </c>
      <c r="Q300">
        <v>-1.2</v>
      </c>
    </row>
    <row r="301" spans="1:17">
      <c r="A301" t="s">
        <v>48</v>
      </c>
      <c r="B301" t="s">
        <v>9</v>
      </c>
      <c r="C301">
        <v>19</v>
      </c>
      <c r="D301">
        <v>63</v>
      </c>
      <c r="E301" s="1">
        <f t="shared" si="24"/>
        <v>0.23170731707317074</v>
      </c>
      <c r="F301" s="2">
        <v>95.5</v>
      </c>
      <c r="G301" s="2">
        <v>104.5</v>
      </c>
      <c r="H301" s="2">
        <f t="shared" si="25"/>
        <v>-9</v>
      </c>
      <c r="I301" s="1">
        <f t="shared" si="26"/>
        <v>0.22082734006674018</v>
      </c>
      <c r="J301" s="2">
        <v>101.5</v>
      </c>
      <c r="K301" s="2">
        <v>110.9</v>
      </c>
      <c r="L301" s="2">
        <f t="shared" si="27"/>
        <v>-9.4000000000000057</v>
      </c>
      <c r="M301" s="1">
        <f t="shared" si="28"/>
        <v>1.0879977006430563E-2</v>
      </c>
      <c r="N301" s="2">
        <v>110.9</v>
      </c>
      <c r="O301" s="2">
        <v>102.2</v>
      </c>
      <c r="P301" s="2">
        <f t="shared" si="29"/>
        <v>8.7000000000000028</v>
      </c>
      <c r="Q301">
        <v>-0.8</v>
      </c>
    </row>
    <row r="302" spans="1:17">
      <c r="A302" t="s">
        <v>63</v>
      </c>
      <c r="B302" t="s">
        <v>7</v>
      </c>
      <c r="C302">
        <v>27</v>
      </c>
      <c r="D302">
        <v>55</v>
      </c>
      <c r="E302" s="1">
        <f t="shared" si="24"/>
        <v>0.32926829268292684</v>
      </c>
      <c r="F302" s="2">
        <v>111</v>
      </c>
      <c r="G302" s="2">
        <v>117.2</v>
      </c>
      <c r="H302" s="2">
        <f t="shared" si="25"/>
        <v>-6.2000000000000028</v>
      </c>
      <c r="I302" s="1">
        <f t="shared" si="26"/>
        <v>0.31844580628258201</v>
      </c>
      <c r="J302" s="2">
        <v>108.4</v>
      </c>
      <c r="K302" s="2">
        <v>114.7</v>
      </c>
      <c r="L302" s="2">
        <f t="shared" si="27"/>
        <v>-6.2999999999999972</v>
      </c>
      <c r="M302" s="1">
        <f t="shared" si="28"/>
        <v>1.0822486400344833E-2</v>
      </c>
      <c r="N302" s="2">
        <v>108.6</v>
      </c>
      <c r="O302" s="2">
        <v>114.4</v>
      </c>
      <c r="P302" s="2">
        <f t="shared" si="29"/>
        <v>-5.8000000000000114</v>
      </c>
      <c r="Q302">
        <v>-0.3</v>
      </c>
    </row>
    <row r="303" spans="1:17">
      <c r="A303" t="s">
        <v>61</v>
      </c>
      <c r="B303" t="s">
        <v>13</v>
      </c>
      <c r="C303">
        <v>39</v>
      </c>
      <c r="D303">
        <v>33</v>
      </c>
      <c r="E303" s="1">
        <f t="shared" si="24"/>
        <v>0.54166666666666663</v>
      </c>
      <c r="F303" s="2">
        <v>113.7</v>
      </c>
      <c r="G303" s="2">
        <v>112.7</v>
      </c>
      <c r="H303" s="2">
        <f t="shared" si="25"/>
        <v>1</v>
      </c>
      <c r="I303" s="1">
        <f t="shared" si="26"/>
        <v>0.53087957866492586</v>
      </c>
      <c r="J303" s="2">
        <v>110.5</v>
      </c>
      <c r="K303" s="2">
        <v>109.4</v>
      </c>
      <c r="L303" s="2">
        <f t="shared" si="27"/>
        <v>1.0999999999999943</v>
      </c>
      <c r="M303" s="1">
        <f t="shared" si="28"/>
        <v>1.0787088001740774E-2</v>
      </c>
      <c r="N303" s="2">
        <v>112.6</v>
      </c>
      <c r="O303" s="2">
        <v>119.3</v>
      </c>
      <c r="P303" s="2">
        <f t="shared" si="29"/>
        <v>-6.7000000000000028</v>
      </c>
      <c r="Q303">
        <v>0.2</v>
      </c>
    </row>
    <row r="304" spans="1:17">
      <c r="A304" t="s">
        <v>44</v>
      </c>
      <c r="B304" t="s">
        <v>25</v>
      </c>
      <c r="C304">
        <v>55</v>
      </c>
      <c r="D304">
        <v>27</v>
      </c>
      <c r="E304" s="1">
        <f t="shared" si="24"/>
        <v>0.67073170731707321</v>
      </c>
      <c r="F304" s="2">
        <v>110.1</v>
      </c>
      <c r="G304" s="2">
        <v>105</v>
      </c>
      <c r="H304" s="2">
        <f t="shared" si="25"/>
        <v>5.0999999999999943</v>
      </c>
      <c r="I304" s="1">
        <f t="shared" si="26"/>
        <v>0.66015874335995706</v>
      </c>
      <c r="J304" s="2">
        <v>112</v>
      </c>
      <c r="K304" s="2">
        <v>107</v>
      </c>
      <c r="L304" s="2">
        <f t="shared" si="27"/>
        <v>5</v>
      </c>
      <c r="M304" s="1">
        <f t="shared" si="28"/>
        <v>1.0572963957116155E-2</v>
      </c>
      <c r="N304" s="2">
        <v>110.9</v>
      </c>
      <c r="O304" s="2">
        <v>96.8</v>
      </c>
      <c r="P304" s="2">
        <f t="shared" si="29"/>
        <v>14.100000000000009</v>
      </c>
      <c r="Q304">
        <v>0.6</v>
      </c>
    </row>
    <row r="305" spans="1:17">
      <c r="A305" t="s">
        <v>64</v>
      </c>
      <c r="B305" t="s">
        <v>9</v>
      </c>
      <c r="C305">
        <v>48</v>
      </c>
      <c r="D305">
        <v>34</v>
      </c>
      <c r="E305" s="1">
        <f t="shared" si="24"/>
        <v>0.58536585365853655</v>
      </c>
      <c r="F305" s="2">
        <v>112.6</v>
      </c>
      <c r="G305" s="2">
        <v>110.2</v>
      </c>
      <c r="H305" s="2">
        <f t="shared" si="25"/>
        <v>2.3999999999999915</v>
      </c>
      <c r="I305" s="1">
        <f t="shared" si="26"/>
        <v>0.57484031607485653</v>
      </c>
      <c r="J305" s="2">
        <v>114.7</v>
      </c>
      <c r="K305" s="2">
        <v>112.1</v>
      </c>
      <c r="L305" s="2">
        <f t="shared" si="27"/>
        <v>2.6000000000000085</v>
      </c>
      <c r="M305" s="1">
        <f t="shared" si="28"/>
        <v>1.0525537583680022E-2</v>
      </c>
      <c r="N305" s="2">
        <v>106.4</v>
      </c>
      <c r="O305" s="2">
        <v>111.1</v>
      </c>
      <c r="P305" s="2">
        <f t="shared" si="29"/>
        <v>-4.6999999999999886</v>
      </c>
      <c r="Q305">
        <v>0.3</v>
      </c>
    </row>
    <row r="306" spans="1:17">
      <c r="A306" t="s">
        <v>44</v>
      </c>
      <c r="B306" t="s">
        <v>8</v>
      </c>
      <c r="C306">
        <v>33</v>
      </c>
      <c r="D306">
        <v>49</v>
      </c>
      <c r="E306" s="1">
        <f t="shared" si="24"/>
        <v>0.40243902439024393</v>
      </c>
      <c r="F306" s="2">
        <v>97.3</v>
      </c>
      <c r="G306" s="2">
        <v>100.4</v>
      </c>
      <c r="H306" s="2">
        <f t="shared" si="25"/>
        <v>-3.1000000000000085</v>
      </c>
      <c r="I306" s="1">
        <f t="shared" si="26"/>
        <v>0.39195900440907944</v>
      </c>
      <c r="J306" s="2">
        <v>102.9</v>
      </c>
      <c r="K306" s="2">
        <v>106</v>
      </c>
      <c r="L306" s="2">
        <f t="shared" si="27"/>
        <v>-3.0999999999999943</v>
      </c>
      <c r="M306" s="1">
        <f t="shared" si="28"/>
        <v>1.048001998116449E-2</v>
      </c>
      <c r="N306" s="2">
        <v>90</v>
      </c>
      <c r="O306" s="2">
        <v>116</v>
      </c>
      <c r="P306" s="2">
        <f t="shared" si="29"/>
        <v>-26</v>
      </c>
      <c r="Q306">
        <v>-1.5</v>
      </c>
    </row>
    <row r="307" spans="1:17">
      <c r="A307" t="s">
        <v>36</v>
      </c>
      <c r="B307" t="s">
        <v>26</v>
      </c>
      <c r="C307">
        <v>50</v>
      </c>
      <c r="D307">
        <v>32</v>
      </c>
      <c r="E307" s="1">
        <f t="shared" si="24"/>
        <v>0.6097560975609756</v>
      </c>
      <c r="F307" s="2">
        <v>95.2</v>
      </c>
      <c r="G307" s="2">
        <v>92.5</v>
      </c>
      <c r="H307" s="2">
        <f t="shared" si="25"/>
        <v>2.7000000000000028</v>
      </c>
      <c r="I307" s="1">
        <f t="shared" si="26"/>
        <v>0.59935976254287349</v>
      </c>
      <c r="J307" s="2">
        <v>104.2</v>
      </c>
      <c r="K307" s="2">
        <v>101.5</v>
      </c>
      <c r="L307" s="2">
        <f t="shared" si="27"/>
        <v>2.7000000000000028</v>
      </c>
      <c r="M307" s="1">
        <f t="shared" si="28"/>
        <v>1.039633501810211E-2</v>
      </c>
      <c r="N307" s="2">
        <v>97.3</v>
      </c>
      <c r="O307" s="2">
        <v>98.3</v>
      </c>
      <c r="P307" s="2">
        <f t="shared" si="29"/>
        <v>-1</v>
      </c>
      <c r="Q307">
        <v>-1</v>
      </c>
    </row>
    <row r="308" spans="1:17">
      <c r="A308" t="s">
        <v>52</v>
      </c>
      <c r="B308" t="s">
        <v>14</v>
      </c>
      <c r="C308">
        <v>54</v>
      </c>
      <c r="D308">
        <v>28</v>
      </c>
      <c r="E308" s="1">
        <f t="shared" si="24"/>
        <v>0.65853658536585369</v>
      </c>
      <c r="F308" s="2">
        <v>107.7</v>
      </c>
      <c r="G308" s="2">
        <v>103.1</v>
      </c>
      <c r="H308" s="2">
        <f t="shared" si="25"/>
        <v>4.6000000000000085</v>
      </c>
      <c r="I308" s="1">
        <f t="shared" si="26"/>
        <v>0.648192302705629</v>
      </c>
      <c r="J308" s="2">
        <v>109.8</v>
      </c>
      <c r="K308" s="2">
        <v>105.2</v>
      </c>
      <c r="L308" s="2">
        <f t="shared" si="27"/>
        <v>4.5999999999999943</v>
      </c>
      <c r="M308" s="1">
        <f t="shared" si="28"/>
        <v>1.0344282660224691E-2</v>
      </c>
      <c r="N308" s="2">
        <v>111.2</v>
      </c>
      <c r="O308" s="2">
        <v>96.1</v>
      </c>
      <c r="P308" s="2">
        <f t="shared" si="29"/>
        <v>15.100000000000009</v>
      </c>
      <c r="Q308">
        <v>-0.2</v>
      </c>
    </row>
    <row r="309" spans="1:17">
      <c r="A309" t="s">
        <v>52</v>
      </c>
      <c r="B309" t="s">
        <v>28</v>
      </c>
      <c r="C309">
        <v>62</v>
      </c>
      <c r="D309">
        <v>20</v>
      </c>
      <c r="E309" s="1">
        <f t="shared" si="24"/>
        <v>0.75609756097560976</v>
      </c>
      <c r="F309" s="2">
        <v>105.4</v>
      </c>
      <c r="G309" s="2">
        <v>97.6</v>
      </c>
      <c r="H309" s="2">
        <f t="shared" si="25"/>
        <v>7.8000000000000114</v>
      </c>
      <c r="I309" s="1">
        <f t="shared" si="26"/>
        <v>0.74581059535578331</v>
      </c>
      <c r="J309" s="2">
        <v>109.5</v>
      </c>
      <c r="K309" s="2">
        <v>101.4</v>
      </c>
      <c r="L309" s="2">
        <f t="shared" si="27"/>
        <v>8.0999999999999943</v>
      </c>
      <c r="M309" s="1">
        <f t="shared" si="28"/>
        <v>1.0286965619826449E-2</v>
      </c>
      <c r="N309" s="2">
        <v>116.2</v>
      </c>
      <c r="O309" s="2">
        <v>103</v>
      </c>
      <c r="P309" s="2">
        <f t="shared" si="29"/>
        <v>13.200000000000003</v>
      </c>
      <c r="Q309">
        <v>2</v>
      </c>
    </row>
    <row r="310" spans="1:17">
      <c r="A310" t="s">
        <v>45</v>
      </c>
      <c r="B310" t="s">
        <v>8</v>
      </c>
      <c r="C310">
        <v>41</v>
      </c>
      <c r="D310">
        <v>41</v>
      </c>
      <c r="E310" s="1">
        <f t="shared" si="24"/>
        <v>0.5</v>
      </c>
      <c r="F310" s="2">
        <v>102.2</v>
      </c>
      <c r="G310" s="2">
        <v>102.5</v>
      </c>
      <c r="H310" s="2">
        <f t="shared" si="25"/>
        <v>-0.29999999999999716</v>
      </c>
      <c r="I310" s="1">
        <f t="shared" si="26"/>
        <v>0.48974251653386769</v>
      </c>
      <c r="J310" s="2">
        <v>107.2</v>
      </c>
      <c r="K310" s="2">
        <v>107.5</v>
      </c>
      <c r="L310" s="2">
        <f t="shared" si="27"/>
        <v>-0.29999999999999716</v>
      </c>
      <c r="M310" s="1">
        <f t="shared" si="28"/>
        <v>1.0257483466132311E-2</v>
      </c>
      <c r="N310" s="2">
        <v>107.2</v>
      </c>
      <c r="O310" s="2">
        <v>104.5</v>
      </c>
      <c r="P310" s="2">
        <f t="shared" si="29"/>
        <v>2.7000000000000028</v>
      </c>
      <c r="Q310">
        <v>1.6</v>
      </c>
    </row>
    <row r="311" spans="1:17">
      <c r="A311" t="s">
        <v>48</v>
      </c>
      <c r="B311" t="s">
        <v>8</v>
      </c>
      <c r="C311">
        <v>62</v>
      </c>
      <c r="D311">
        <v>20</v>
      </c>
      <c r="E311" s="1">
        <f t="shared" si="24"/>
        <v>0.75609756097560976</v>
      </c>
      <c r="F311" s="2">
        <v>98.6</v>
      </c>
      <c r="G311" s="2">
        <v>91.3</v>
      </c>
      <c r="H311" s="2">
        <f t="shared" si="25"/>
        <v>7.2999999999999972</v>
      </c>
      <c r="I311" s="1">
        <f t="shared" si="26"/>
        <v>0.7459043561062102</v>
      </c>
      <c r="J311" s="2">
        <v>107.2</v>
      </c>
      <c r="K311" s="2">
        <v>99.5</v>
      </c>
      <c r="L311" s="2">
        <f t="shared" si="27"/>
        <v>7.7000000000000028</v>
      </c>
      <c r="M311" s="1">
        <f t="shared" si="28"/>
        <v>1.0193204869399564E-2</v>
      </c>
      <c r="N311" s="2">
        <v>106.7</v>
      </c>
      <c r="O311" s="2">
        <v>88.9</v>
      </c>
      <c r="P311" s="2">
        <f t="shared" si="29"/>
        <v>17.799999999999997</v>
      </c>
      <c r="Q311">
        <v>2.2999999999999998</v>
      </c>
    </row>
    <row r="312" spans="1:17">
      <c r="A312" t="s">
        <v>59</v>
      </c>
      <c r="B312" t="s">
        <v>7</v>
      </c>
      <c r="C312">
        <v>39</v>
      </c>
      <c r="D312">
        <v>43</v>
      </c>
      <c r="E312" s="1">
        <f t="shared" si="24"/>
        <v>0.47560975609756095</v>
      </c>
      <c r="F312" s="2">
        <v>110.7</v>
      </c>
      <c r="G312" s="2">
        <v>111.8</v>
      </c>
      <c r="H312" s="2">
        <f t="shared" si="25"/>
        <v>-1.0999999999999943</v>
      </c>
      <c r="I312" s="1">
        <f t="shared" si="26"/>
        <v>0.46544813340769592</v>
      </c>
      <c r="J312" s="2">
        <v>110.7</v>
      </c>
      <c r="K312" s="2">
        <v>112</v>
      </c>
      <c r="L312" s="2">
        <f t="shared" si="27"/>
        <v>-1.2999999999999972</v>
      </c>
      <c r="M312" s="1">
        <f t="shared" si="28"/>
        <v>1.0161622689865035E-2</v>
      </c>
      <c r="N312" s="2">
        <v>109.3</v>
      </c>
      <c r="O312" s="2">
        <v>111.2</v>
      </c>
      <c r="P312" s="2">
        <f t="shared" si="29"/>
        <v>-1.9000000000000057</v>
      </c>
      <c r="Q312">
        <v>-1.1000000000000001</v>
      </c>
    </row>
    <row r="313" spans="1:17">
      <c r="A313" t="s">
        <v>62</v>
      </c>
      <c r="B313" t="s">
        <v>12</v>
      </c>
      <c r="C313">
        <v>23</v>
      </c>
      <c r="D313">
        <v>59</v>
      </c>
      <c r="E313" s="1">
        <f t="shared" si="24"/>
        <v>0.28048780487804881</v>
      </c>
      <c r="F313" s="2">
        <v>104.8</v>
      </c>
      <c r="G313" s="2">
        <v>112.5</v>
      </c>
      <c r="H313" s="2">
        <f t="shared" si="25"/>
        <v>-7.7000000000000028</v>
      </c>
      <c r="I313" s="1">
        <f t="shared" si="26"/>
        <v>0.27040035471369911</v>
      </c>
      <c r="J313" s="2">
        <v>105.6</v>
      </c>
      <c r="K313" s="2">
        <v>113.3</v>
      </c>
      <c r="L313" s="2">
        <f t="shared" si="27"/>
        <v>-7.7000000000000028</v>
      </c>
      <c r="M313" s="1">
        <f t="shared" si="28"/>
        <v>1.0087450164349698E-2</v>
      </c>
      <c r="N313" s="2">
        <v>94.1</v>
      </c>
      <c r="O313" s="2">
        <v>110.3</v>
      </c>
      <c r="P313" s="2">
        <f t="shared" si="29"/>
        <v>-16.200000000000003</v>
      </c>
      <c r="Q313">
        <v>-1.3</v>
      </c>
    </row>
    <row r="314" spans="1:17">
      <c r="A314" t="s">
        <v>55</v>
      </c>
      <c r="B314" t="s">
        <v>26</v>
      </c>
      <c r="C314">
        <v>44</v>
      </c>
      <c r="D314">
        <v>38</v>
      </c>
      <c r="E314" s="1">
        <f t="shared" si="24"/>
        <v>0.53658536585365857</v>
      </c>
      <c r="F314" s="2">
        <v>105.1</v>
      </c>
      <c r="G314" s="2">
        <v>104.3</v>
      </c>
      <c r="H314" s="2">
        <f t="shared" si="25"/>
        <v>0.79999999999999716</v>
      </c>
      <c r="I314" s="1">
        <f t="shared" si="26"/>
        <v>0.52671773242887121</v>
      </c>
      <c r="J314" s="2">
        <v>107.6</v>
      </c>
      <c r="K314" s="2">
        <v>106.8</v>
      </c>
      <c r="L314" s="2">
        <f t="shared" si="27"/>
        <v>0.79999999999999716</v>
      </c>
      <c r="M314" s="1">
        <f t="shared" si="28"/>
        <v>9.8676334247873587E-3</v>
      </c>
      <c r="N314" s="2">
        <v>106.2</v>
      </c>
      <c r="O314" s="2">
        <v>108.1</v>
      </c>
      <c r="P314" s="2">
        <f t="shared" si="29"/>
        <v>-1.8999999999999915</v>
      </c>
      <c r="Q314">
        <v>-0.3</v>
      </c>
    </row>
    <row r="315" spans="1:17">
      <c r="A315" t="s">
        <v>59</v>
      </c>
      <c r="B315" t="s">
        <v>12</v>
      </c>
      <c r="C315">
        <v>41</v>
      </c>
      <c r="D315">
        <v>41</v>
      </c>
      <c r="E315" s="1">
        <f t="shared" si="24"/>
        <v>0.5</v>
      </c>
      <c r="F315" s="2">
        <v>107</v>
      </c>
      <c r="G315" s="2">
        <v>107.3</v>
      </c>
      <c r="H315" s="2">
        <f t="shared" si="25"/>
        <v>-0.29999999999999716</v>
      </c>
      <c r="I315" s="1">
        <f t="shared" si="26"/>
        <v>0.4902019013698185</v>
      </c>
      <c r="J315" s="2">
        <v>108.4</v>
      </c>
      <c r="K315" s="2">
        <v>108.7</v>
      </c>
      <c r="L315" s="2">
        <f t="shared" si="27"/>
        <v>-0.29999999999999716</v>
      </c>
      <c r="M315" s="1">
        <f t="shared" si="28"/>
        <v>9.7980986301814954E-3</v>
      </c>
      <c r="N315" s="2">
        <v>111.9</v>
      </c>
      <c r="O315" s="2">
        <v>114</v>
      </c>
      <c r="P315" s="2">
        <f t="shared" si="29"/>
        <v>-2.0999999999999943</v>
      </c>
      <c r="Q315">
        <v>1.1000000000000001</v>
      </c>
    </row>
    <row r="316" spans="1:17">
      <c r="A316" t="s">
        <v>63</v>
      </c>
      <c r="B316" t="s">
        <v>27</v>
      </c>
      <c r="C316">
        <v>48</v>
      </c>
      <c r="D316">
        <v>34</v>
      </c>
      <c r="E316" s="1">
        <f t="shared" si="24"/>
        <v>0.58536585365853655</v>
      </c>
      <c r="F316" s="2">
        <v>120.7</v>
      </c>
      <c r="G316" s="2">
        <v>118.1</v>
      </c>
      <c r="H316" s="2">
        <f t="shared" si="25"/>
        <v>2.6000000000000085</v>
      </c>
      <c r="I316" s="1">
        <f t="shared" si="26"/>
        <v>0.57563251403873306</v>
      </c>
      <c r="J316" s="2">
        <v>118.6</v>
      </c>
      <c r="K316" s="2">
        <v>116</v>
      </c>
      <c r="L316" s="2">
        <f t="shared" si="27"/>
        <v>2.5999999999999943</v>
      </c>
      <c r="M316" s="1">
        <f t="shared" si="28"/>
        <v>9.7333396198034938E-3</v>
      </c>
      <c r="N316" s="2">
        <v>129.19999999999999</v>
      </c>
      <c r="O316" s="2">
        <v>116.8</v>
      </c>
      <c r="P316" s="2">
        <f t="shared" si="29"/>
        <v>12.399999999999991</v>
      </c>
      <c r="Q316">
        <v>0.9</v>
      </c>
    </row>
    <row r="317" spans="1:17">
      <c r="A317" t="s">
        <v>44</v>
      </c>
      <c r="B317" t="s">
        <v>28</v>
      </c>
      <c r="C317">
        <v>56</v>
      </c>
      <c r="D317">
        <v>26</v>
      </c>
      <c r="E317" s="1">
        <f t="shared" si="24"/>
        <v>0.68292682926829273</v>
      </c>
      <c r="F317" s="2">
        <v>95.4</v>
      </c>
      <c r="G317" s="2">
        <v>90.6</v>
      </c>
      <c r="H317" s="2">
        <f t="shared" si="25"/>
        <v>4.8000000000000114</v>
      </c>
      <c r="I317" s="1">
        <f t="shared" si="26"/>
        <v>0.6732103435940866</v>
      </c>
      <c r="J317" s="2">
        <v>106</v>
      </c>
      <c r="K317" s="2">
        <v>100.7</v>
      </c>
      <c r="L317" s="2">
        <f t="shared" si="27"/>
        <v>5.2999999999999972</v>
      </c>
      <c r="M317" s="1">
        <f t="shared" si="28"/>
        <v>9.7164856742061323E-3</v>
      </c>
      <c r="N317" s="2">
        <v>110.6</v>
      </c>
      <c r="O317" s="2">
        <v>100.4</v>
      </c>
      <c r="P317" s="2">
        <f t="shared" si="29"/>
        <v>10.199999999999989</v>
      </c>
      <c r="Q317">
        <v>1</v>
      </c>
    </row>
    <row r="318" spans="1:17">
      <c r="A318" t="s">
        <v>50</v>
      </c>
      <c r="B318" t="s">
        <v>22</v>
      </c>
      <c r="C318">
        <v>54</v>
      </c>
      <c r="D318">
        <v>28</v>
      </c>
      <c r="E318" s="1">
        <f t="shared" si="24"/>
        <v>0.65853658536585369</v>
      </c>
      <c r="F318" s="2">
        <v>100</v>
      </c>
      <c r="G318" s="2">
        <v>95.7</v>
      </c>
      <c r="H318" s="2">
        <f t="shared" si="25"/>
        <v>4.2999999999999972</v>
      </c>
      <c r="I318" s="1">
        <f t="shared" si="26"/>
        <v>0.64915487217242029</v>
      </c>
      <c r="J318" s="2">
        <v>109.8</v>
      </c>
      <c r="K318" s="2">
        <v>105.4</v>
      </c>
      <c r="L318" s="2">
        <f t="shared" si="27"/>
        <v>4.3999999999999915</v>
      </c>
      <c r="M318" s="1">
        <f t="shared" si="28"/>
        <v>9.3817131934333942E-3</v>
      </c>
      <c r="N318" s="2">
        <v>94.7</v>
      </c>
      <c r="O318" s="2">
        <v>88.8</v>
      </c>
      <c r="P318" s="2">
        <f t="shared" si="29"/>
        <v>5.9000000000000057</v>
      </c>
      <c r="Q318">
        <v>2.1</v>
      </c>
    </row>
    <row r="319" spans="1:17">
      <c r="A319" t="s">
        <v>45</v>
      </c>
      <c r="B319" t="s">
        <v>6</v>
      </c>
      <c r="C319">
        <v>62</v>
      </c>
      <c r="D319">
        <v>20</v>
      </c>
      <c r="E319" s="1">
        <f t="shared" si="24"/>
        <v>0.75609756097560976</v>
      </c>
      <c r="F319" s="2">
        <v>100.9</v>
      </c>
      <c r="G319" s="2">
        <v>93.4</v>
      </c>
      <c r="H319" s="2">
        <f t="shared" si="25"/>
        <v>7.5</v>
      </c>
      <c r="I319" s="1">
        <f t="shared" si="26"/>
        <v>0.74674751044772081</v>
      </c>
      <c r="J319" s="2">
        <v>109.5</v>
      </c>
      <c r="K319" s="2">
        <v>101.6</v>
      </c>
      <c r="L319" s="2">
        <f t="shared" si="27"/>
        <v>7.9000000000000057</v>
      </c>
      <c r="M319" s="1">
        <f t="shared" si="28"/>
        <v>9.3500505278889534E-3</v>
      </c>
      <c r="N319" s="2">
        <v>113.7</v>
      </c>
      <c r="O319" s="2">
        <v>101.4</v>
      </c>
      <c r="P319" s="2">
        <f t="shared" si="29"/>
        <v>12.299999999999997</v>
      </c>
      <c r="Q319">
        <v>0.5</v>
      </c>
    </row>
    <row r="320" spans="1:17">
      <c r="A320" t="s">
        <v>36</v>
      </c>
      <c r="B320" t="s">
        <v>9</v>
      </c>
      <c r="C320">
        <v>17</v>
      </c>
      <c r="D320">
        <v>65</v>
      </c>
      <c r="E320" s="1">
        <f t="shared" si="24"/>
        <v>0.2073170731707317</v>
      </c>
      <c r="F320" s="2">
        <v>91.4</v>
      </c>
      <c r="G320" s="2">
        <v>101</v>
      </c>
      <c r="H320" s="2">
        <f t="shared" si="25"/>
        <v>-9.5999999999999943</v>
      </c>
      <c r="I320" s="1">
        <f t="shared" si="26"/>
        <v>0.19809387151453933</v>
      </c>
      <c r="J320" s="2">
        <v>95.2</v>
      </c>
      <c r="K320" s="2">
        <v>105.1</v>
      </c>
      <c r="L320" s="2">
        <f t="shared" si="27"/>
        <v>-9.8999999999999915</v>
      </c>
      <c r="M320" s="1">
        <f t="shared" si="28"/>
        <v>9.2232016561923647E-3</v>
      </c>
      <c r="N320" s="2">
        <v>86.6</v>
      </c>
      <c r="O320" s="2">
        <v>96.1</v>
      </c>
      <c r="P320" s="2">
        <f t="shared" si="29"/>
        <v>-9.5</v>
      </c>
      <c r="Q320">
        <v>-0.2</v>
      </c>
    </row>
    <row r="321" spans="1:17">
      <c r="A321" t="s">
        <v>59</v>
      </c>
      <c r="B321" t="s">
        <v>27</v>
      </c>
      <c r="C321">
        <v>39</v>
      </c>
      <c r="D321">
        <v>43</v>
      </c>
      <c r="E321" s="1">
        <f t="shared" si="24"/>
        <v>0.47560975609756095</v>
      </c>
      <c r="F321" s="2">
        <v>114.2</v>
      </c>
      <c r="G321" s="2">
        <v>115.3</v>
      </c>
      <c r="H321" s="2">
        <f t="shared" si="25"/>
        <v>-1.0999999999999943</v>
      </c>
      <c r="I321" s="1">
        <f t="shared" si="26"/>
        <v>0.466498812781387</v>
      </c>
      <c r="J321" s="2">
        <v>109.6</v>
      </c>
      <c r="K321" s="2">
        <v>110.8</v>
      </c>
      <c r="L321" s="2">
        <f t="shared" si="27"/>
        <v>-1.2000000000000028</v>
      </c>
      <c r="M321" s="1">
        <f t="shared" si="28"/>
        <v>9.1109433161739584E-3</v>
      </c>
      <c r="N321" s="2">
        <v>106.1</v>
      </c>
      <c r="O321" s="2">
        <v>107.2</v>
      </c>
      <c r="P321" s="2">
        <f t="shared" si="29"/>
        <v>-1.1000000000000085</v>
      </c>
      <c r="Q321">
        <v>-0.2</v>
      </c>
    </row>
    <row r="322" spans="1:17">
      <c r="A322" t="s">
        <v>49</v>
      </c>
      <c r="B322" t="s">
        <v>10</v>
      </c>
      <c r="C322">
        <v>36</v>
      </c>
      <c r="D322">
        <v>30</v>
      </c>
      <c r="E322" s="1">
        <f t="shared" si="24"/>
        <v>0.54545454545454541</v>
      </c>
      <c r="F322" s="2">
        <v>95.8</v>
      </c>
      <c r="G322" s="2">
        <v>94.8</v>
      </c>
      <c r="H322" s="2">
        <f t="shared" si="25"/>
        <v>1</v>
      </c>
      <c r="I322" s="1">
        <f t="shared" si="26"/>
        <v>0.53666055673861812</v>
      </c>
      <c r="J322" s="2">
        <v>102.1</v>
      </c>
      <c r="K322" s="2">
        <v>100.9</v>
      </c>
      <c r="L322" s="2">
        <f t="shared" si="27"/>
        <v>1.1999999999999886</v>
      </c>
      <c r="M322" s="1">
        <f t="shared" si="28"/>
        <v>8.7939887159272923E-3</v>
      </c>
      <c r="N322" s="2">
        <v>101</v>
      </c>
      <c r="O322" s="2">
        <v>98.7</v>
      </c>
      <c r="P322" s="2">
        <f t="shared" si="29"/>
        <v>2.2999999999999972</v>
      </c>
      <c r="Q322">
        <v>-0.6</v>
      </c>
    </row>
    <row r="323" spans="1:17">
      <c r="A323" t="s">
        <v>36</v>
      </c>
      <c r="B323" t="s">
        <v>23</v>
      </c>
      <c r="C323">
        <v>42</v>
      </c>
      <c r="D323">
        <v>40</v>
      </c>
      <c r="E323" s="1">
        <f t="shared" si="24"/>
        <v>0.51219512195121952</v>
      </c>
      <c r="F323" s="2">
        <v>98.5</v>
      </c>
      <c r="G323" s="2">
        <v>98.4</v>
      </c>
      <c r="H323" s="2">
        <f t="shared" si="25"/>
        <v>9.9999999999994316E-2</v>
      </c>
      <c r="I323" s="1">
        <f t="shared" si="26"/>
        <v>0.5035550445111181</v>
      </c>
      <c r="J323" s="2">
        <v>103.7</v>
      </c>
      <c r="K323" s="2">
        <v>103.7</v>
      </c>
      <c r="L323" s="2">
        <f t="shared" si="27"/>
        <v>0</v>
      </c>
      <c r="M323" s="1">
        <f t="shared" si="28"/>
        <v>8.6400774401014235E-3</v>
      </c>
      <c r="N323" s="2">
        <v>95.9</v>
      </c>
      <c r="O323" s="2">
        <v>94.6</v>
      </c>
      <c r="P323" s="2">
        <f t="shared" si="29"/>
        <v>1.3000000000000114</v>
      </c>
      <c r="Q323">
        <v>-1</v>
      </c>
    </row>
    <row r="324" spans="1:17">
      <c r="A324" t="s">
        <v>52</v>
      </c>
      <c r="B324" t="s">
        <v>11</v>
      </c>
      <c r="C324">
        <v>36</v>
      </c>
      <c r="D324">
        <v>46</v>
      </c>
      <c r="E324" s="1">
        <f t="shared" si="24"/>
        <v>0.43902439024390244</v>
      </c>
      <c r="F324" s="2">
        <v>104.4</v>
      </c>
      <c r="G324" s="2">
        <v>106.5</v>
      </c>
      <c r="H324" s="2">
        <f t="shared" si="25"/>
        <v>-2.0999999999999943</v>
      </c>
      <c r="I324" s="1">
        <f t="shared" si="26"/>
        <v>0.43074448136951871</v>
      </c>
      <c r="J324" s="2">
        <v>105.1</v>
      </c>
      <c r="K324" s="2">
        <v>107.3</v>
      </c>
      <c r="L324" s="2">
        <f t="shared" si="27"/>
        <v>-2.2000000000000028</v>
      </c>
      <c r="M324" s="1">
        <f t="shared" si="28"/>
        <v>8.2799088743837346E-3</v>
      </c>
      <c r="N324" s="2">
        <v>98.8</v>
      </c>
      <c r="O324" s="2">
        <v>105.6</v>
      </c>
      <c r="P324" s="2">
        <f t="shared" si="29"/>
        <v>-6.7999999999999972</v>
      </c>
      <c r="Q324">
        <v>-0.5</v>
      </c>
    </row>
    <row r="325" spans="1:17">
      <c r="A325" t="s">
        <v>49</v>
      </c>
      <c r="B325" t="s">
        <v>14</v>
      </c>
      <c r="C325">
        <v>34</v>
      </c>
      <c r="D325">
        <v>32</v>
      </c>
      <c r="E325" s="1">
        <f t="shared" si="24"/>
        <v>0.51515151515151514</v>
      </c>
      <c r="F325" s="2">
        <v>98.1</v>
      </c>
      <c r="G325" s="2">
        <v>97.9</v>
      </c>
      <c r="H325" s="2">
        <f t="shared" si="25"/>
        <v>0.19999999999998863</v>
      </c>
      <c r="I325" s="1">
        <f t="shared" si="26"/>
        <v>0.5071423737524916</v>
      </c>
      <c r="J325" s="2">
        <v>104.2</v>
      </c>
      <c r="K325" s="2">
        <v>104</v>
      </c>
      <c r="L325" s="2">
        <f t="shared" si="27"/>
        <v>0.20000000000000284</v>
      </c>
      <c r="M325" s="1">
        <f t="shared" si="28"/>
        <v>8.0091413990235338E-3</v>
      </c>
      <c r="N325" s="2">
        <v>104.5</v>
      </c>
      <c r="O325" s="2">
        <v>97.9</v>
      </c>
      <c r="P325" s="2">
        <f t="shared" si="29"/>
        <v>6.5999999999999943</v>
      </c>
      <c r="Q325">
        <v>-0.5</v>
      </c>
    </row>
    <row r="326" spans="1:17">
      <c r="A326" t="s">
        <v>38</v>
      </c>
      <c r="B326" t="s">
        <v>5</v>
      </c>
      <c r="C326">
        <v>28</v>
      </c>
      <c r="D326">
        <v>54</v>
      </c>
      <c r="E326" s="1">
        <f t="shared" si="24"/>
        <v>0.34146341463414637</v>
      </c>
      <c r="F326" s="2">
        <v>92.8</v>
      </c>
      <c r="G326" s="2">
        <v>97.5</v>
      </c>
      <c r="H326" s="2">
        <f t="shared" si="25"/>
        <v>-4.7000000000000028</v>
      </c>
      <c r="I326" s="1">
        <f t="shared" si="26"/>
        <v>0.33365937867276591</v>
      </c>
      <c r="J326" s="2">
        <v>99.1</v>
      </c>
      <c r="K326" s="2">
        <v>103.9</v>
      </c>
      <c r="L326" s="2">
        <f t="shared" si="27"/>
        <v>-4.8000000000000114</v>
      </c>
      <c r="M326" s="1">
        <f t="shared" si="28"/>
        <v>7.8040359613804622E-3</v>
      </c>
      <c r="N326" s="2">
        <v>89.9</v>
      </c>
      <c r="O326" s="2">
        <v>106.7</v>
      </c>
      <c r="P326" s="2">
        <f t="shared" si="29"/>
        <v>-16.799999999999997</v>
      </c>
      <c r="Q326">
        <v>-1.9</v>
      </c>
    </row>
    <row r="327" spans="1:17">
      <c r="A327" t="s">
        <v>49</v>
      </c>
      <c r="B327" t="s">
        <v>46</v>
      </c>
      <c r="C327">
        <v>47</v>
      </c>
      <c r="D327">
        <v>19</v>
      </c>
      <c r="E327" s="1">
        <f t="shared" si="24"/>
        <v>0.71212121212121215</v>
      </c>
      <c r="F327" s="2">
        <v>103.1</v>
      </c>
      <c r="G327" s="2">
        <v>96.9</v>
      </c>
      <c r="H327" s="2">
        <f t="shared" si="25"/>
        <v>6.1999999999999886</v>
      </c>
      <c r="I327" s="1">
        <f t="shared" si="26"/>
        <v>0.70438730300910357</v>
      </c>
      <c r="J327" s="2">
        <v>108.4</v>
      </c>
      <c r="K327" s="2">
        <v>102.1</v>
      </c>
      <c r="L327" s="2">
        <f t="shared" si="27"/>
        <v>6.3000000000000114</v>
      </c>
      <c r="M327" s="1">
        <f t="shared" si="28"/>
        <v>7.7339091121085835E-3</v>
      </c>
      <c r="N327" s="2">
        <v>103.4</v>
      </c>
      <c r="O327" s="2">
        <v>97.9</v>
      </c>
      <c r="P327" s="2">
        <f t="shared" si="29"/>
        <v>5.5</v>
      </c>
      <c r="Q327">
        <v>0.1</v>
      </c>
    </row>
    <row r="328" spans="1:17">
      <c r="A328" t="s">
        <v>66</v>
      </c>
      <c r="B328" t="s">
        <v>27</v>
      </c>
      <c r="C328">
        <v>14</v>
      </c>
      <c r="D328">
        <v>50</v>
      </c>
      <c r="E328" s="1">
        <f t="shared" si="24"/>
        <v>0.21875</v>
      </c>
      <c r="F328" s="2">
        <v>110.4</v>
      </c>
      <c r="G328" s="2">
        <v>121.3</v>
      </c>
      <c r="H328" s="2">
        <f t="shared" si="25"/>
        <v>-10.899999999999991</v>
      </c>
      <c r="I328" s="1">
        <f t="shared" si="26"/>
        <v>0.21111899676961832</v>
      </c>
      <c r="J328" s="2">
        <v>109.6</v>
      </c>
      <c r="K328" s="2">
        <v>120.2</v>
      </c>
      <c r="L328" s="2">
        <f t="shared" si="27"/>
        <v>-10.600000000000009</v>
      </c>
      <c r="M328" s="1">
        <f t="shared" si="28"/>
        <v>7.6310032303816833E-3</v>
      </c>
      <c r="N328" s="2">
        <v>103.5</v>
      </c>
      <c r="O328" s="2">
        <v>115.8</v>
      </c>
      <c r="P328" s="2">
        <f t="shared" si="29"/>
        <v>-12.299999999999997</v>
      </c>
      <c r="Q328" s="2">
        <v>-3.1</v>
      </c>
    </row>
    <row r="329" spans="1:17">
      <c r="A329" t="s">
        <v>4</v>
      </c>
      <c r="B329" t="s">
        <v>15</v>
      </c>
      <c r="C329">
        <v>41</v>
      </c>
      <c r="D329">
        <v>41</v>
      </c>
      <c r="E329" s="1">
        <f t="shared" ref="E329:E392" si="30">+C329/(C329+D329)</f>
        <v>0.5</v>
      </c>
      <c r="F329" s="2">
        <v>92.6</v>
      </c>
      <c r="G329" s="2">
        <v>92.8</v>
      </c>
      <c r="H329" s="2">
        <f t="shared" ref="H329:H392" si="31">+F329-G329</f>
        <v>-0.20000000000000284</v>
      </c>
      <c r="I329" s="1">
        <f t="shared" ref="I329:I392" si="32">+(F329^14)/((F329^14+G329^14))</f>
        <v>0.49244933056629364</v>
      </c>
      <c r="J329" s="2">
        <v>100.3</v>
      </c>
      <c r="K329" s="2">
        <v>100.5</v>
      </c>
      <c r="L329" s="2">
        <f t="shared" ref="L329:L392" si="33">+J329-K329</f>
        <v>-0.20000000000000284</v>
      </c>
      <c r="M329" s="1">
        <f t="shared" ref="M329:M392" si="34">+E329-I329</f>
        <v>7.5506694337063585E-3</v>
      </c>
      <c r="N329" s="2">
        <v>93.1</v>
      </c>
      <c r="O329" s="2">
        <v>92.3</v>
      </c>
      <c r="P329" s="2">
        <f t="shared" si="29"/>
        <v>0.79999999999999716</v>
      </c>
      <c r="Q329">
        <v>0</v>
      </c>
    </row>
    <row r="330" spans="1:17">
      <c r="A330" t="s">
        <v>50</v>
      </c>
      <c r="B330" t="s">
        <v>17</v>
      </c>
      <c r="C330">
        <v>45</v>
      </c>
      <c r="D330">
        <v>37</v>
      </c>
      <c r="E330" s="1">
        <f t="shared" si="30"/>
        <v>0.54878048780487809</v>
      </c>
      <c r="F330" s="2">
        <v>102.2</v>
      </c>
      <c r="G330" s="2">
        <v>101</v>
      </c>
      <c r="H330" s="2">
        <f t="shared" si="31"/>
        <v>1.2000000000000028</v>
      </c>
      <c r="I330" s="1">
        <f t="shared" si="32"/>
        <v>0.54124512665476499</v>
      </c>
      <c r="J330" s="2">
        <v>107</v>
      </c>
      <c r="K330" s="2">
        <v>105.9</v>
      </c>
      <c r="L330" s="2">
        <f t="shared" si="33"/>
        <v>1.0999999999999943</v>
      </c>
      <c r="M330" s="1">
        <f t="shared" si="34"/>
        <v>7.5353611501131068E-3</v>
      </c>
      <c r="N330" s="2">
        <v>104.3</v>
      </c>
      <c r="O330" s="2">
        <v>91.6</v>
      </c>
      <c r="P330" s="2">
        <f t="shared" ref="P330:P393" si="35">+N330-O330</f>
        <v>12.700000000000003</v>
      </c>
      <c r="Q330">
        <v>1.4</v>
      </c>
    </row>
    <row r="331" spans="1:17">
      <c r="A331" t="s">
        <v>65</v>
      </c>
      <c r="B331" t="s">
        <v>19</v>
      </c>
      <c r="C331">
        <v>47</v>
      </c>
      <c r="D331">
        <v>34</v>
      </c>
      <c r="E331" s="1">
        <f t="shared" si="30"/>
        <v>0.58024691358024694</v>
      </c>
      <c r="F331" s="2">
        <v>115.6</v>
      </c>
      <c r="G331" s="2">
        <v>113.2</v>
      </c>
      <c r="H331" s="2">
        <f t="shared" si="31"/>
        <v>2.3999999999999915</v>
      </c>
      <c r="I331" s="1">
        <f t="shared" si="32"/>
        <v>0.57290588785941787</v>
      </c>
      <c r="J331" s="2">
        <v>115.3</v>
      </c>
      <c r="K331" s="2">
        <v>112.9</v>
      </c>
      <c r="L331" s="2">
        <f t="shared" si="33"/>
        <v>2.3999999999999915</v>
      </c>
      <c r="M331" s="1">
        <f t="shared" si="34"/>
        <v>7.3410257208290641E-3</v>
      </c>
      <c r="N331" s="2">
        <v>102.5</v>
      </c>
      <c r="O331" s="2">
        <v>95</v>
      </c>
      <c r="P331" s="2">
        <f t="shared" si="35"/>
        <v>7.5</v>
      </c>
      <c r="Q331">
        <v>0.2</v>
      </c>
    </row>
    <row r="332" spans="1:17">
      <c r="A332" t="s">
        <v>62</v>
      </c>
      <c r="B332" t="s">
        <v>18</v>
      </c>
      <c r="C332">
        <v>53</v>
      </c>
      <c r="D332">
        <v>29</v>
      </c>
      <c r="E332" s="1">
        <f t="shared" si="30"/>
        <v>0.64634146341463417</v>
      </c>
      <c r="F332" s="2">
        <v>110</v>
      </c>
      <c r="G332" s="2">
        <v>105.6</v>
      </c>
      <c r="H332" s="2">
        <f t="shared" si="31"/>
        <v>4.4000000000000057</v>
      </c>
      <c r="I332" s="1">
        <f t="shared" si="32"/>
        <v>0.63911104772076754</v>
      </c>
      <c r="J332" s="2">
        <v>113</v>
      </c>
      <c r="K332" s="2">
        <v>108.4</v>
      </c>
      <c r="L332" s="2">
        <f t="shared" si="33"/>
        <v>4.5999999999999943</v>
      </c>
      <c r="M332" s="1">
        <f t="shared" si="34"/>
        <v>7.2304156938666209E-3</v>
      </c>
      <c r="N332" s="2">
        <v>100.4</v>
      </c>
      <c r="O332" s="2">
        <v>99.2</v>
      </c>
      <c r="P332" s="2">
        <f t="shared" si="35"/>
        <v>1.2000000000000028</v>
      </c>
      <c r="Q332">
        <v>0.4</v>
      </c>
    </row>
    <row r="333" spans="1:17">
      <c r="A333" t="s">
        <v>34</v>
      </c>
      <c r="B333" t="s">
        <v>19</v>
      </c>
      <c r="C333">
        <v>41</v>
      </c>
      <c r="D333">
        <v>41</v>
      </c>
      <c r="E333" s="1">
        <f t="shared" si="30"/>
        <v>0.5</v>
      </c>
      <c r="F333" s="2">
        <v>97.5</v>
      </c>
      <c r="G333" s="2">
        <v>97.7</v>
      </c>
      <c r="H333" s="2">
        <f t="shared" si="31"/>
        <v>-0.20000000000000284</v>
      </c>
      <c r="I333" s="1">
        <f t="shared" si="32"/>
        <v>0.49282835821021359</v>
      </c>
      <c r="J333" s="2">
        <v>105.3</v>
      </c>
      <c r="K333" s="2">
        <v>105.6</v>
      </c>
      <c r="L333" s="2">
        <f t="shared" si="33"/>
        <v>-0.29999999999999716</v>
      </c>
      <c r="M333" s="1">
        <f t="shared" si="34"/>
        <v>7.1716417897864093E-3</v>
      </c>
      <c r="N333" s="2">
        <v>107.5</v>
      </c>
      <c r="O333" s="2">
        <v>100.2</v>
      </c>
      <c r="P333" s="2">
        <f t="shared" si="35"/>
        <v>7.2999999999999972</v>
      </c>
      <c r="Q333">
        <v>0.4</v>
      </c>
    </row>
    <row r="334" spans="1:17">
      <c r="A334" t="s">
        <v>49</v>
      </c>
      <c r="B334" t="s">
        <v>25</v>
      </c>
      <c r="C334">
        <v>33</v>
      </c>
      <c r="D334">
        <v>33</v>
      </c>
      <c r="E334" s="1">
        <f t="shared" si="30"/>
        <v>0.5</v>
      </c>
      <c r="F334" s="2">
        <v>98.4</v>
      </c>
      <c r="G334" s="2">
        <v>98.6</v>
      </c>
      <c r="H334" s="2">
        <f t="shared" si="31"/>
        <v>-0.19999999999998863</v>
      </c>
      <c r="I334" s="1">
        <f t="shared" si="32"/>
        <v>0.49289387708201343</v>
      </c>
      <c r="J334" s="2">
        <v>105.2</v>
      </c>
      <c r="K334" s="2">
        <v>105.2</v>
      </c>
      <c r="L334" s="2">
        <f t="shared" si="33"/>
        <v>0</v>
      </c>
      <c r="M334" s="1">
        <f t="shared" si="34"/>
        <v>7.1061229179865681E-3</v>
      </c>
      <c r="N334" s="2">
        <v>100</v>
      </c>
      <c r="O334" s="2">
        <v>114.4</v>
      </c>
      <c r="P334" s="2">
        <f t="shared" si="35"/>
        <v>-14.400000000000006</v>
      </c>
      <c r="Q334">
        <v>0</v>
      </c>
    </row>
    <row r="335" spans="1:17">
      <c r="A335" t="s">
        <v>45</v>
      </c>
      <c r="B335" t="s">
        <v>16</v>
      </c>
      <c r="C335">
        <v>19</v>
      </c>
      <c r="D335">
        <v>63</v>
      </c>
      <c r="E335" s="1">
        <f t="shared" si="30"/>
        <v>0.23170731707317074</v>
      </c>
      <c r="F335" s="2">
        <v>95.1</v>
      </c>
      <c r="G335" s="2">
        <v>103.9</v>
      </c>
      <c r="H335" s="2">
        <f t="shared" si="31"/>
        <v>-8.8000000000000114</v>
      </c>
      <c r="I335" s="1">
        <f t="shared" si="32"/>
        <v>0.22461027237292155</v>
      </c>
      <c r="J335" s="2">
        <v>101</v>
      </c>
      <c r="K335" s="2">
        <v>110.1</v>
      </c>
      <c r="L335" s="2">
        <f t="shared" si="33"/>
        <v>-9.0999999999999943</v>
      </c>
      <c r="M335" s="1">
        <f t="shared" si="34"/>
        <v>7.0970447002491888E-3</v>
      </c>
      <c r="N335" s="2">
        <v>92.9</v>
      </c>
      <c r="O335" s="2">
        <v>113.7</v>
      </c>
      <c r="P335" s="2">
        <f t="shared" si="35"/>
        <v>-20.799999999999997</v>
      </c>
      <c r="Q335">
        <v>-2.2000000000000002</v>
      </c>
    </row>
    <row r="336" spans="1:17">
      <c r="A336" t="s">
        <v>52</v>
      </c>
      <c r="B336" t="s">
        <v>53</v>
      </c>
      <c r="C336">
        <v>34</v>
      </c>
      <c r="D336">
        <v>48</v>
      </c>
      <c r="E336" s="1">
        <f t="shared" si="30"/>
        <v>0.41463414634146339</v>
      </c>
      <c r="F336" s="2">
        <v>99.7</v>
      </c>
      <c r="G336" s="2">
        <v>102.4</v>
      </c>
      <c r="H336" s="2">
        <f t="shared" si="31"/>
        <v>-2.7000000000000028</v>
      </c>
      <c r="I336" s="1">
        <f t="shared" si="32"/>
        <v>0.40755201801637742</v>
      </c>
      <c r="J336" s="2">
        <v>106.2</v>
      </c>
      <c r="K336" s="2">
        <v>109.1</v>
      </c>
      <c r="L336" s="2">
        <f t="shared" si="33"/>
        <v>-2.8999999999999915</v>
      </c>
      <c r="M336" s="1">
        <f t="shared" si="34"/>
        <v>7.082128325085979E-3</v>
      </c>
      <c r="N336" s="2">
        <v>103.6</v>
      </c>
      <c r="O336" s="2">
        <v>105.4</v>
      </c>
      <c r="P336" s="2">
        <f t="shared" si="35"/>
        <v>-1.8000000000000114</v>
      </c>
      <c r="Q336">
        <v>-0.2</v>
      </c>
    </row>
    <row r="337" spans="1:17">
      <c r="A337" t="s">
        <v>64</v>
      </c>
      <c r="B337" t="s">
        <v>25</v>
      </c>
      <c r="C337">
        <v>49</v>
      </c>
      <c r="D337">
        <v>33</v>
      </c>
      <c r="E337" s="1">
        <f t="shared" si="30"/>
        <v>0.59756097560975607</v>
      </c>
      <c r="F337" s="2">
        <v>116.2</v>
      </c>
      <c r="G337" s="2">
        <v>113.2</v>
      </c>
      <c r="H337" s="2">
        <f t="shared" si="31"/>
        <v>3</v>
      </c>
      <c r="I337" s="1">
        <f t="shared" si="32"/>
        <v>0.59053887488262369</v>
      </c>
      <c r="J337" s="2">
        <v>116.8</v>
      </c>
      <c r="K337" s="2">
        <v>113.7</v>
      </c>
      <c r="L337" s="2">
        <f t="shared" si="33"/>
        <v>3.0999999999999943</v>
      </c>
      <c r="M337" s="1">
        <f t="shared" si="34"/>
        <v>7.0221007271323854E-3</v>
      </c>
      <c r="N337" s="2">
        <v>102</v>
      </c>
      <c r="O337" s="2">
        <v>105.2</v>
      </c>
      <c r="P337" s="2">
        <f t="shared" si="35"/>
        <v>-3.2000000000000028</v>
      </c>
      <c r="Q337">
        <v>-2.4</v>
      </c>
    </row>
    <row r="338" spans="1:17">
      <c r="A338" t="s">
        <v>57</v>
      </c>
      <c r="B338" t="s">
        <v>35</v>
      </c>
      <c r="C338">
        <v>43</v>
      </c>
      <c r="D338">
        <v>39</v>
      </c>
      <c r="E338" s="1">
        <f t="shared" si="30"/>
        <v>0.52439024390243905</v>
      </c>
      <c r="F338" s="2">
        <v>100.5</v>
      </c>
      <c r="G338" s="2">
        <v>100</v>
      </c>
      <c r="H338" s="2">
        <f t="shared" si="31"/>
        <v>0.5</v>
      </c>
      <c r="I338" s="1">
        <f t="shared" si="32"/>
        <v>0.51744930619443652</v>
      </c>
      <c r="J338" s="2">
        <v>107</v>
      </c>
      <c r="K338" s="2">
        <v>106.5</v>
      </c>
      <c r="L338" s="2">
        <f t="shared" si="33"/>
        <v>0.5</v>
      </c>
      <c r="M338" s="1">
        <f t="shared" si="34"/>
        <v>6.9409377080025259E-3</v>
      </c>
      <c r="N338" s="2">
        <v>101.1</v>
      </c>
      <c r="O338" s="2">
        <v>95</v>
      </c>
      <c r="P338" s="2">
        <f t="shared" si="35"/>
        <v>6.0999999999999943</v>
      </c>
      <c r="Q338">
        <v>1.2</v>
      </c>
    </row>
    <row r="339" spans="1:17">
      <c r="A339" t="s">
        <v>64</v>
      </c>
      <c r="B339" t="s">
        <v>27</v>
      </c>
      <c r="C339">
        <v>46</v>
      </c>
      <c r="D339">
        <v>36</v>
      </c>
      <c r="E339" s="1">
        <f t="shared" si="30"/>
        <v>0.56097560975609762</v>
      </c>
      <c r="F339" s="2">
        <v>116.6</v>
      </c>
      <c r="G339" s="2">
        <v>114.8</v>
      </c>
      <c r="H339" s="2">
        <f t="shared" si="31"/>
        <v>1.7999999999999972</v>
      </c>
      <c r="I339" s="1">
        <f t="shared" si="32"/>
        <v>0.55423800996909134</v>
      </c>
      <c r="J339" s="2">
        <v>116.2</v>
      </c>
      <c r="K339" s="2">
        <v>114.4</v>
      </c>
      <c r="L339" s="2">
        <f t="shared" si="33"/>
        <v>1.7999999999999972</v>
      </c>
      <c r="M339" s="1">
        <f t="shared" si="34"/>
        <v>6.7375997870062765E-3</v>
      </c>
      <c r="N339" s="2">
        <v>105.6</v>
      </c>
      <c r="O339" s="2">
        <v>104.1</v>
      </c>
      <c r="P339" s="2">
        <f t="shared" si="35"/>
        <v>1.5</v>
      </c>
      <c r="Q339">
        <v>-0.8</v>
      </c>
    </row>
    <row r="340" spans="1:17">
      <c r="A340" t="s">
        <v>64</v>
      </c>
      <c r="B340" t="s">
        <v>18</v>
      </c>
      <c r="C340">
        <v>46</v>
      </c>
      <c r="D340">
        <v>36</v>
      </c>
      <c r="E340" s="1">
        <f t="shared" si="30"/>
        <v>0.56097560975609762</v>
      </c>
      <c r="F340" s="2">
        <v>110.1</v>
      </c>
      <c r="G340" s="2">
        <v>108.4</v>
      </c>
      <c r="H340" s="2">
        <f t="shared" si="31"/>
        <v>1.6999999999999886</v>
      </c>
      <c r="I340" s="1">
        <f t="shared" si="32"/>
        <v>0.55424895602857005</v>
      </c>
      <c r="J340" s="2">
        <v>113.3</v>
      </c>
      <c r="K340" s="2">
        <v>111.5</v>
      </c>
      <c r="L340" s="2">
        <f t="shared" si="33"/>
        <v>1.7999999999999972</v>
      </c>
      <c r="M340" s="1">
        <f t="shared" si="34"/>
        <v>6.7266537275275651E-3</v>
      </c>
      <c r="N340" s="2">
        <v>99.3</v>
      </c>
      <c r="O340" s="2">
        <v>112.6</v>
      </c>
      <c r="P340" s="2">
        <f t="shared" si="35"/>
        <v>-13.299999999999997</v>
      </c>
      <c r="Q340">
        <v>-1.2</v>
      </c>
    </row>
    <row r="341" spans="1:17">
      <c r="A341" t="s">
        <v>54</v>
      </c>
      <c r="B341" t="s">
        <v>24</v>
      </c>
      <c r="C341">
        <v>18</v>
      </c>
      <c r="D341">
        <v>64</v>
      </c>
      <c r="E341" s="1">
        <f t="shared" si="30"/>
        <v>0.21951219512195122</v>
      </c>
      <c r="F341" s="2">
        <v>92</v>
      </c>
      <c r="G341" s="2">
        <v>101</v>
      </c>
      <c r="H341" s="2">
        <f t="shared" si="31"/>
        <v>-9</v>
      </c>
      <c r="I341" s="1">
        <f t="shared" si="32"/>
        <v>0.21304843690621958</v>
      </c>
      <c r="J341" s="2">
        <v>94.9</v>
      </c>
      <c r="K341" s="2">
        <v>103.9</v>
      </c>
      <c r="L341" s="2">
        <f t="shared" si="33"/>
        <v>-9</v>
      </c>
      <c r="M341" s="1">
        <f t="shared" si="34"/>
        <v>6.4637582157316409E-3</v>
      </c>
      <c r="N341" s="2">
        <v>84.7</v>
      </c>
      <c r="O341" s="2">
        <v>91.9</v>
      </c>
      <c r="P341" s="2">
        <f t="shared" si="35"/>
        <v>-7.2000000000000028</v>
      </c>
      <c r="Q341">
        <v>-1</v>
      </c>
    </row>
    <row r="342" spans="1:17">
      <c r="A342" t="s">
        <v>63</v>
      </c>
      <c r="B342" t="s">
        <v>6</v>
      </c>
      <c r="C342">
        <v>57</v>
      </c>
      <c r="D342">
        <v>25</v>
      </c>
      <c r="E342" s="1">
        <f t="shared" si="30"/>
        <v>0.69512195121951215</v>
      </c>
      <c r="F342" s="2">
        <v>117.9</v>
      </c>
      <c r="G342" s="2">
        <v>111.4</v>
      </c>
      <c r="H342" s="2">
        <f t="shared" si="31"/>
        <v>6.5</v>
      </c>
      <c r="I342" s="1">
        <f t="shared" si="32"/>
        <v>0.6886751375801452</v>
      </c>
      <c r="J342" s="2">
        <v>117.3</v>
      </c>
      <c r="K342" s="2">
        <v>110.6</v>
      </c>
      <c r="L342" s="2">
        <f t="shared" si="33"/>
        <v>6.7000000000000028</v>
      </c>
      <c r="M342" s="1">
        <f t="shared" si="34"/>
        <v>6.446813639366944E-3</v>
      </c>
      <c r="N342" s="2">
        <v>107.4</v>
      </c>
      <c r="O342" s="2">
        <v>103.1</v>
      </c>
      <c r="P342" s="2">
        <f t="shared" si="35"/>
        <v>4.3000000000000114</v>
      </c>
      <c r="Q342">
        <v>0.6</v>
      </c>
    </row>
    <row r="343" spans="1:17">
      <c r="A343" t="s">
        <v>63</v>
      </c>
      <c r="B343" t="s">
        <v>17</v>
      </c>
      <c r="C343">
        <v>43</v>
      </c>
      <c r="D343">
        <v>39</v>
      </c>
      <c r="E343" s="1">
        <f t="shared" si="30"/>
        <v>0.52439024390243905</v>
      </c>
      <c r="F343" s="2">
        <v>117.2</v>
      </c>
      <c r="G343" s="2">
        <v>116.6</v>
      </c>
      <c r="H343" s="2">
        <f t="shared" si="31"/>
        <v>0.60000000000000853</v>
      </c>
      <c r="I343" s="1">
        <f t="shared" si="32"/>
        <v>0.5179563857008791</v>
      </c>
      <c r="J343" s="2">
        <v>113.9</v>
      </c>
      <c r="K343" s="2">
        <v>113.2</v>
      </c>
      <c r="L343" s="2">
        <f t="shared" si="33"/>
        <v>0.70000000000000284</v>
      </c>
      <c r="M343" s="1">
        <f t="shared" si="34"/>
        <v>6.4338582015599499E-3</v>
      </c>
      <c r="N343" s="2">
        <v>115.9</v>
      </c>
      <c r="O343" s="2">
        <v>111.5</v>
      </c>
      <c r="P343" s="2">
        <f t="shared" si="35"/>
        <v>4.4000000000000057</v>
      </c>
      <c r="Q343">
        <v>1.9</v>
      </c>
    </row>
    <row r="344" spans="1:17">
      <c r="A344" t="s">
        <v>64</v>
      </c>
      <c r="B344" t="s">
        <v>23</v>
      </c>
      <c r="C344">
        <v>47</v>
      </c>
      <c r="D344">
        <v>35</v>
      </c>
      <c r="E344" s="1">
        <f t="shared" si="30"/>
        <v>0.57317073170731703</v>
      </c>
      <c r="F344" s="2">
        <v>110.5</v>
      </c>
      <c r="G344" s="2">
        <v>108.4</v>
      </c>
      <c r="H344" s="2">
        <f t="shared" si="31"/>
        <v>2.0999999999999943</v>
      </c>
      <c r="I344" s="1">
        <f t="shared" si="32"/>
        <v>0.56675507945775017</v>
      </c>
      <c r="J344" s="2">
        <v>112.9</v>
      </c>
      <c r="K344" s="2">
        <v>110.8</v>
      </c>
      <c r="L344" s="2">
        <f t="shared" si="33"/>
        <v>2.1000000000000085</v>
      </c>
      <c r="M344" s="1">
        <f t="shared" si="34"/>
        <v>6.4156522495668611E-3</v>
      </c>
      <c r="N344" s="2">
        <v>104.2</v>
      </c>
      <c r="O344" s="2">
        <v>100.8</v>
      </c>
      <c r="P344" s="2">
        <f t="shared" si="35"/>
        <v>3.4000000000000057</v>
      </c>
      <c r="Q344">
        <v>0.6</v>
      </c>
    </row>
    <row r="345" spans="1:17">
      <c r="A345" t="s">
        <v>39</v>
      </c>
      <c r="B345" t="s">
        <v>15</v>
      </c>
      <c r="C345">
        <v>44</v>
      </c>
      <c r="D345">
        <v>38</v>
      </c>
      <c r="E345" s="1">
        <f t="shared" si="30"/>
        <v>0.53658536585365857</v>
      </c>
      <c r="F345" s="2">
        <v>93</v>
      </c>
      <c r="G345" s="2">
        <v>92.2</v>
      </c>
      <c r="H345" s="2">
        <f t="shared" si="31"/>
        <v>0.79999999999999716</v>
      </c>
      <c r="I345" s="1">
        <f t="shared" si="32"/>
        <v>0.53020096014425155</v>
      </c>
      <c r="J345" s="2">
        <v>103.7</v>
      </c>
      <c r="K345" s="2">
        <v>102.7</v>
      </c>
      <c r="L345" s="2">
        <f t="shared" si="33"/>
        <v>1</v>
      </c>
      <c r="M345" s="1">
        <f t="shared" si="34"/>
        <v>6.384405709407015E-3</v>
      </c>
      <c r="N345" s="2">
        <v>102.5</v>
      </c>
      <c r="O345" s="2">
        <v>93.4</v>
      </c>
      <c r="P345" s="2">
        <f t="shared" si="35"/>
        <v>9.0999999999999943</v>
      </c>
      <c r="Q345">
        <v>0</v>
      </c>
    </row>
    <row r="346" spans="1:17">
      <c r="A346" t="s">
        <v>62</v>
      </c>
      <c r="B346" t="s">
        <v>23</v>
      </c>
      <c r="C346">
        <v>22</v>
      </c>
      <c r="D346">
        <v>60</v>
      </c>
      <c r="E346" s="1">
        <f t="shared" si="30"/>
        <v>0.26829268292682928</v>
      </c>
      <c r="F346" s="2">
        <v>104.2</v>
      </c>
      <c r="G346" s="2">
        <v>112.2</v>
      </c>
      <c r="H346" s="2">
        <f t="shared" si="31"/>
        <v>-8</v>
      </c>
      <c r="I346" s="1">
        <f t="shared" si="32"/>
        <v>0.26200139759286833</v>
      </c>
      <c r="J346" s="2">
        <v>103.9</v>
      </c>
      <c r="K346" s="2">
        <v>112.1</v>
      </c>
      <c r="L346" s="2">
        <f t="shared" si="33"/>
        <v>-8.1999999999999886</v>
      </c>
      <c r="M346" s="1">
        <f t="shared" si="34"/>
        <v>6.2912853339609498E-3</v>
      </c>
      <c r="N346" s="2">
        <v>98.8</v>
      </c>
      <c r="O346" s="2">
        <v>101.2</v>
      </c>
      <c r="P346" s="2">
        <f t="shared" si="35"/>
        <v>-2.4000000000000057</v>
      </c>
      <c r="Q346">
        <v>-0.2</v>
      </c>
    </row>
    <row r="347" spans="1:17">
      <c r="A347" t="s">
        <v>60</v>
      </c>
      <c r="B347" t="s">
        <v>26</v>
      </c>
      <c r="C347">
        <v>35</v>
      </c>
      <c r="D347">
        <v>39</v>
      </c>
      <c r="E347" s="1">
        <f t="shared" si="30"/>
        <v>0.47297297297297297</v>
      </c>
      <c r="F347" s="2">
        <v>115</v>
      </c>
      <c r="G347" s="2">
        <v>116.1</v>
      </c>
      <c r="H347" s="2">
        <f t="shared" si="31"/>
        <v>-1.0999999999999943</v>
      </c>
      <c r="I347" s="1">
        <f t="shared" si="32"/>
        <v>0.46673007111560078</v>
      </c>
      <c r="J347" s="2">
        <v>113.2</v>
      </c>
      <c r="K347" s="2">
        <v>114.3</v>
      </c>
      <c r="L347" s="2">
        <f t="shared" si="33"/>
        <v>-1.0999999999999943</v>
      </c>
      <c r="M347" s="1">
        <f t="shared" si="34"/>
        <v>6.2429018573721962E-3</v>
      </c>
      <c r="N347" s="2">
        <v>117.2</v>
      </c>
      <c r="O347" s="2">
        <v>111.2</v>
      </c>
      <c r="P347" s="2">
        <f t="shared" si="35"/>
        <v>6</v>
      </c>
      <c r="Q347">
        <v>1</v>
      </c>
    </row>
    <row r="348" spans="1:17">
      <c r="A348" t="s">
        <v>54</v>
      </c>
      <c r="B348" t="s">
        <v>25</v>
      </c>
      <c r="C348">
        <v>39</v>
      </c>
      <c r="D348">
        <v>43</v>
      </c>
      <c r="E348" s="1">
        <f t="shared" si="30"/>
        <v>0.47560975609756095</v>
      </c>
      <c r="F348" s="2">
        <v>102.4</v>
      </c>
      <c r="G348" s="2">
        <v>103.3</v>
      </c>
      <c r="H348" s="2">
        <f t="shared" si="31"/>
        <v>-0.89999999999999147</v>
      </c>
      <c r="I348" s="1">
        <f t="shared" si="32"/>
        <v>0.4694109261885151</v>
      </c>
      <c r="J348" s="2">
        <v>104.2</v>
      </c>
      <c r="K348" s="2">
        <v>105.3</v>
      </c>
      <c r="L348" s="2">
        <f t="shared" si="33"/>
        <v>-1.0999999999999943</v>
      </c>
      <c r="M348" s="1">
        <f t="shared" si="34"/>
        <v>6.1988299090458554E-3</v>
      </c>
      <c r="N348" s="2">
        <v>98</v>
      </c>
      <c r="O348" s="2">
        <v>96.5</v>
      </c>
      <c r="P348" s="2">
        <f t="shared" si="35"/>
        <v>1.5</v>
      </c>
      <c r="Q348">
        <v>0.9</v>
      </c>
    </row>
    <row r="349" spans="1:17">
      <c r="A349" t="s">
        <v>47</v>
      </c>
      <c r="B349" t="s">
        <v>12</v>
      </c>
      <c r="C349">
        <v>27</v>
      </c>
      <c r="D349">
        <v>55</v>
      </c>
      <c r="E349" s="1">
        <f t="shared" si="30"/>
        <v>0.32926829268292684</v>
      </c>
      <c r="F349" s="2">
        <v>94</v>
      </c>
      <c r="G349" s="2">
        <v>99.1</v>
      </c>
      <c r="H349" s="2">
        <f t="shared" si="31"/>
        <v>-5.0999999999999943</v>
      </c>
      <c r="I349" s="1">
        <f t="shared" si="32"/>
        <v>0.32307297980123056</v>
      </c>
      <c r="J349" s="2">
        <v>104.5</v>
      </c>
      <c r="K349" s="2">
        <v>110.3</v>
      </c>
      <c r="L349" s="2">
        <f t="shared" si="33"/>
        <v>-5.7999999999999972</v>
      </c>
      <c r="M349" s="1">
        <f t="shared" si="34"/>
        <v>6.1953128816962799E-3</v>
      </c>
      <c r="N349" s="2">
        <v>98.1</v>
      </c>
      <c r="O349" s="2">
        <v>105.1</v>
      </c>
      <c r="P349" s="2">
        <f t="shared" si="35"/>
        <v>-7</v>
      </c>
      <c r="Q349">
        <v>-1.1000000000000001</v>
      </c>
    </row>
    <row r="350" spans="1:17">
      <c r="A350" t="s">
        <v>59</v>
      </c>
      <c r="B350" t="s">
        <v>13</v>
      </c>
      <c r="C350">
        <v>57</v>
      </c>
      <c r="D350">
        <v>25</v>
      </c>
      <c r="E350" s="1">
        <f t="shared" si="30"/>
        <v>0.69512195121951215</v>
      </c>
      <c r="F350" s="2">
        <v>117.7</v>
      </c>
      <c r="G350" s="2">
        <v>111.2</v>
      </c>
      <c r="H350" s="2">
        <f t="shared" si="31"/>
        <v>6.5</v>
      </c>
      <c r="I350" s="1">
        <f t="shared" si="32"/>
        <v>0.68897267779673199</v>
      </c>
      <c r="J350" s="2">
        <v>115</v>
      </c>
      <c r="K350" s="2">
        <v>108.6</v>
      </c>
      <c r="L350" s="2">
        <f t="shared" si="33"/>
        <v>6.4000000000000057</v>
      </c>
      <c r="M350" s="1">
        <f t="shared" si="34"/>
        <v>6.1492734227801549E-3</v>
      </c>
      <c r="N350" s="2">
        <v>110.5</v>
      </c>
      <c r="O350" s="2">
        <v>104.6</v>
      </c>
      <c r="P350" s="2">
        <f t="shared" si="35"/>
        <v>5.9000000000000057</v>
      </c>
      <c r="Q350">
        <v>0.2</v>
      </c>
    </row>
    <row r="351" spans="1:17">
      <c r="A351" t="s">
        <v>43</v>
      </c>
      <c r="B351" t="s">
        <v>16</v>
      </c>
      <c r="C351">
        <v>40</v>
      </c>
      <c r="D351">
        <v>42</v>
      </c>
      <c r="E351" s="1">
        <f t="shared" si="30"/>
        <v>0.48780487804878048</v>
      </c>
      <c r="F351" s="2">
        <v>95.6</v>
      </c>
      <c r="G351" s="2">
        <v>96.1</v>
      </c>
      <c r="H351" s="2">
        <f t="shared" si="31"/>
        <v>-0.5</v>
      </c>
      <c r="I351" s="1">
        <f t="shared" si="32"/>
        <v>0.48175037478926502</v>
      </c>
      <c r="J351" s="2">
        <v>103.8</v>
      </c>
      <c r="K351" s="2">
        <v>104.2</v>
      </c>
      <c r="L351" s="2">
        <f t="shared" si="33"/>
        <v>-0.40000000000000568</v>
      </c>
      <c r="M351" s="1">
        <f t="shared" si="34"/>
        <v>6.0545032595154535E-3</v>
      </c>
      <c r="N351" s="2">
        <v>105.7</v>
      </c>
      <c r="O351" s="2">
        <v>107.9</v>
      </c>
      <c r="P351" s="2">
        <f t="shared" si="35"/>
        <v>-2.2000000000000028</v>
      </c>
      <c r="Q351">
        <v>-0.3</v>
      </c>
    </row>
    <row r="352" spans="1:17">
      <c r="A352" t="s">
        <v>55</v>
      </c>
      <c r="B352" t="s">
        <v>11</v>
      </c>
      <c r="C352">
        <v>33</v>
      </c>
      <c r="D352">
        <v>49</v>
      </c>
      <c r="E352" s="1">
        <f t="shared" si="30"/>
        <v>0.40243902439024393</v>
      </c>
      <c r="F352" s="2">
        <v>101.9</v>
      </c>
      <c r="G352" s="2">
        <v>105</v>
      </c>
      <c r="H352" s="2">
        <f t="shared" si="31"/>
        <v>-3.0999999999999943</v>
      </c>
      <c r="I352" s="1">
        <f t="shared" si="32"/>
        <v>0.39662258414921886</v>
      </c>
      <c r="J352" s="2">
        <v>104.9</v>
      </c>
      <c r="K352" s="2">
        <v>108.2</v>
      </c>
      <c r="L352" s="2">
        <f t="shared" si="33"/>
        <v>-3.2999999999999972</v>
      </c>
      <c r="M352" s="1">
        <f t="shared" si="34"/>
        <v>5.8164402410250671E-3</v>
      </c>
      <c r="N352" s="2">
        <v>89.7</v>
      </c>
      <c r="O352" s="2">
        <v>96</v>
      </c>
      <c r="P352" s="2">
        <f t="shared" si="35"/>
        <v>-6.2999999999999972</v>
      </c>
      <c r="Q352">
        <v>-0.2</v>
      </c>
    </row>
    <row r="353" spans="1:17">
      <c r="A353" t="s">
        <v>59</v>
      </c>
      <c r="B353" t="s">
        <v>9</v>
      </c>
      <c r="C353">
        <v>19</v>
      </c>
      <c r="D353">
        <v>63</v>
      </c>
      <c r="E353" s="1">
        <f t="shared" si="30"/>
        <v>0.23170731707317074</v>
      </c>
      <c r="F353" s="2">
        <v>104.5</v>
      </c>
      <c r="G353" s="2">
        <v>114.1</v>
      </c>
      <c r="H353" s="2">
        <f t="shared" si="31"/>
        <v>-9.5999999999999943</v>
      </c>
      <c r="I353" s="1">
        <f t="shared" si="32"/>
        <v>0.22610537023312996</v>
      </c>
      <c r="J353" s="2">
        <v>106.8</v>
      </c>
      <c r="K353" s="2">
        <v>116.8</v>
      </c>
      <c r="L353" s="2">
        <f t="shared" si="33"/>
        <v>-10</v>
      </c>
      <c r="M353" s="1">
        <f t="shared" si="34"/>
        <v>5.6019468400407835E-3</v>
      </c>
      <c r="N353" s="2">
        <v>99</v>
      </c>
      <c r="O353" s="2">
        <v>110.6</v>
      </c>
      <c r="P353" s="2">
        <f t="shared" si="35"/>
        <v>-11.599999999999994</v>
      </c>
      <c r="Q353">
        <v>-1.7</v>
      </c>
    </row>
    <row r="354" spans="1:17">
      <c r="A354" t="s">
        <v>54</v>
      </c>
      <c r="B354" t="s">
        <v>8</v>
      </c>
      <c r="C354">
        <v>50</v>
      </c>
      <c r="D354">
        <v>32</v>
      </c>
      <c r="E354" s="1">
        <f t="shared" si="30"/>
        <v>0.6097560975609756</v>
      </c>
      <c r="F354" s="2">
        <v>100.8</v>
      </c>
      <c r="G354" s="2">
        <v>97.8</v>
      </c>
      <c r="H354" s="2">
        <f t="shared" si="31"/>
        <v>3</v>
      </c>
      <c r="I354" s="1">
        <f t="shared" si="32"/>
        <v>0.60419920235636659</v>
      </c>
      <c r="J354" s="2">
        <v>106.3</v>
      </c>
      <c r="K354" s="2">
        <v>103.3</v>
      </c>
      <c r="L354" s="2">
        <f t="shared" si="33"/>
        <v>3</v>
      </c>
      <c r="M354" s="1">
        <f t="shared" si="34"/>
        <v>5.5568952046090025E-3</v>
      </c>
      <c r="N354" s="2">
        <v>99.7</v>
      </c>
      <c r="O354" s="2">
        <v>90.5</v>
      </c>
      <c r="P354" s="2">
        <f t="shared" si="35"/>
        <v>9.2000000000000028</v>
      </c>
      <c r="Q354">
        <v>1.5</v>
      </c>
    </row>
    <row r="355" spans="1:17">
      <c r="A355" t="s">
        <v>63</v>
      </c>
      <c r="B355" t="s">
        <v>35</v>
      </c>
      <c r="C355">
        <v>51</v>
      </c>
      <c r="D355">
        <v>31</v>
      </c>
      <c r="E355" s="1">
        <f t="shared" si="30"/>
        <v>0.62195121951219512</v>
      </c>
      <c r="F355" s="2">
        <v>116.9</v>
      </c>
      <c r="G355" s="2">
        <v>113</v>
      </c>
      <c r="H355" s="2">
        <f t="shared" si="31"/>
        <v>3.9000000000000057</v>
      </c>
      <c r="I355" s="1">
        <f t="shared" si="32"/>
        <v>0.61657470721768026</v>
      </c>
      <c r="J355" s="2">
        <v>114.7</v>
      </c>
      <c r="K355" s="2">
        <v>110.7</v>
      </c>
      <c r="L355" s="2">
        <f t="shared" si="33"/>
        <v>4</v>
      </c>
      <c r="M355" s="1">
        <f t="shared" si="34"/>
        <v>5.3765122945148569E-3</v>
      </c>
      <c r="N355" s="2">
        <v>114.9</v>
      </c>
      <c r="O355" s="2">
        <v>113.9</v>
      </c>
      <c r="P355" s="2">
        <f t="shared" si="35"/>
        <v>1</v>
      </c>
      <c r="Q355">
        <v>-1.1000000000000001</v>
      </c>
    </row>
    <row r="356" spans="1:17">
      <c r="A356" t="s">
        <v>36</v>
      </c>
      <c r="B356" t="s">
        <v>19</v>
      </c>
      <c r="C356">
        <v>42</v>
      </c>
      <c r="D356">
        <v>40</v>
      </c>
      <c r="E356" s="1">
        <f t="shared" si="30"/>
        <v>0.51219512195121952</v>
      </c>
      <c r="F356" s="2">
        <v>99.5</v>
      </c>
      <c r="G356" s="2">
        <v>99.3</v>
      </c>
      <c r="H356" s="2">
        <f t="shared" si="31"/>
        <v>0.20000000000000284</v>
      </c>
      <c r="I356" s="1">
        <f t="shared" si="32"/>
        <v>0.50704179026833252</v>
      </c>
      <c r="J356" s="2">
        <v>107.2</v>
      </c>
      <c r="K356" s="2">
        <v>106.9</v>
      </c>
      <c r="L356" s="2">
        <f t="shared" si="33"/>
        <v>0.29999999999999716</v>
      </c>
      <c r="M356" s="1">
        <f t="shared" si="34"/>
        <v>5.1533316828870079E-3</v>
      </c>
      <c r="N356" s="2">
        <v>104.2</v>
      </c>
      <c r="O356" s="2">
        <v>102</v>
      </c>
      <c r="P356" s="2">
        <f t="shared" si="35"/>
        <v>2.2000000000000028</v>
      </c>
      <c r="Q356">
        <v>1.8</v>
      </c>
    </row>
    <row r="357" spans="1:17">
      <c r="A357" t="s">
        <v>45</v>
      </c>
      <c r="B357" t="s">
        <v>14</v>
      </c>
      <c r="C357">
        <v>53</v>
      </c>
      <c r="D357">
        <v>29</v>
      </c>
      <c r="E357" s="1">
        <f t="shared" si="30"/>
        <v>0.64634146341463417</v>
      </c>
      <c r="F357" s="2">
        <v>98.4</v>
      </c>
      <c r="G357" s="2">
        <v>94.4</v>
      </c>
      <c r="H357" s="2">
        <f t="shared" si="31"/>
        <v>4</v>
      </c>
      <c r="I357" s="1">
        <f t="shared" si="32"/>
        <v>0.64129660723482429</v>
      </c>
      <c r="J357" s="2">
        <v>107.1</v>
      </c>
      <c r="K357" s="2">
        <v>102.9</v>
      </c>
      <c r="L357" s="2">
        <f t="shared" si="33"/>
        <v>4.1999999999999886</v>
      </c>
      <c r="M357" s="1">
        <f t="shared" si="34"/>
        <v>5.0448561798098757E-3</v>
      </c>
      <c r="N357" s="2">
        <v>93.3</v>
      </c>
      <c r="O357" s="2">
        <v>103.8</v>
      </c>
      <c r="P357" s="2">
        <f t="shared" si="35"/>
        <v>-10.5</v>
      </c>
      <c r="Q357">
        <v>-0.6</v>
      </c>
    </row>
    <row r="358" spans="1:17">
      <c r="A358" t="s">
        <v>58</v>
      </c>
      <c r="B358" t="s">
        <v>33</v>
      </c>
      <c r="C358">
        <v>43</v>
      </c>
      <c r="D358">
        <v>39</v>
      </c>
      <c r="E358" s="1">
        <f t="shared" si="30"/>
        <v>0.52439024390243905</v>
      </c>
      <c r="F358" s="2">
        <v>106.6</v>
      </c>
      <c r="G358" s="2">
        <v>106</v>
      </c>
      <c r="H358" s="2">
        <f t="shared" si="31"/>
        <v>0.59999999999999432</v>
      </c>
      <c r="I358" s="1">
        <f t="shared" si="32"/>
        <v>0.51974518791445967</v>
      </c>
      <c r="J358" s="2">
        <v>108.1</v>
      </c>
      <c r="K358" s="2">
        <v>107.7</v>
      </c>
      <c r="L358" s="2">
        <f t="shared" si="33"/>
        <v>0.39999999999999147</v>
      </c>
      <c r="M358" s="1">
        <f t="shared" si="34"/>
        <v>4.645055987979374E-3</v>
      </c>
      <c r="N358" s="2">
        <v>96</v>
      </c>
      <c r="O358" s="2">
        <v>104.3</v>
      </c>
      <c r="P358" s="2">
        <f t="shared" si="35"/>
        <v>-8.2999999999999972</v>
      </c>
      <c r="Q358">
        <v>-0.8</v>
      </c>
    </row>
    <row r="359" spans="1:17">
      <c r="A359" t="s">
        <v>47</v>
      </c>
      <c r="B359" t="s">
        <v>25</v>
      </c>
      <c r="C359">
        <v>54</v>
      </c>
      <c r="D359">
        <v>28</v>
      </c>
      <c r="E359" s="1">
        <f t="shared" si="30"/>
        <v>0.65853658536585369</v>
      </c>
      <c r="F359" s="2">
        <v>110.2</v>
      </c>
      <c r="G359" s="2">
        <v>105.3</v>
      </c>
      <c r="H359" s="2">
        <f t="shared" si="31"/>
        <v>4.9000000000000057</v>
      </c>
      <c r="I359" s="1">
        <f t="shared" si="32"/>
        <v>0.654022652875209</v>
      </c>
      <c r="J359" s="2">
        <v>113.9</v>
      </c>
      <c r="K359" s="2">
        <v>109.1</v>
      </c>
      <c r="L359" s="2">
        <f t="shared" si="33"/>
        <v>4.8000000000000114</v>
      </c>
      <c r="M359" s="1">
        <f t="shared" si="34"/>
        <v>4.5139324906446898E-3</v>
      </c>
      <c r="N359" s="2">
        <v>118.3</v>
      </c>
      <c r="O359" s="2">
        <v>112.5</v>
      </c>
      <c r="P359" s="2">
        <f t="shared" si="35"/>
        <v>5.7999999999999972</v>
      </c>
      <c r="Q359">
        <v>0.8</v>
      </c>
    </row>
    <row r="360" spans="1:17">
      <c r="A360" t="s">
        <v>66</v>
      </c>
      <c r="B360" t="s">
        <v>20</v>
      </c>
      <c r="C360">
        <v>40</v>
      </c>
      <c r="D360">
        <v>24</v>
      </c>
      <c r="E360" s="1">
        <f t="shared" si="30"/>
        <v>0.625</v>
      </c>
      <c r="F360" s="2">
        <v>118.6</v>
      </c>
      <c r="G360" s="2">
        <v>114.5</v>
      </c>
      <c r="H360" s="2">
        <f t="shared" si="31"/>
        <v>4.0999999999999943</v>
      </c>
      <c r="I360" s="1">
        <f t="shared" si="32"/>
        <v>0.62070538318450608</v>
      </c>
      <c r="J360" s="2">
        <v>116.1</v>
      </c>
      <c r="K360" s="2">
        <v>112.2</v>
      </c>
      <c r="L360" s="2">
        <f t="shared" si="33"/>
        <v>3.8999999999999915</v>
      </c>
      <c r="M360" s="1">
        <f t="shared" si="34"/>
        <v>4.2946168154939235E-3</v>
      </c>
      <c r="N360" s="2">
        <v>117.2</v>
      </c>
      <c r="O360" s="2">
        <v>113.4</v>
      </c>
      <c r="P360" s="2">
        <f t="shared" si="35"/>
        <v>3.7999999999999972</v>
      </c>
      <c r="Q360" s="2">
        <v>1.6</v>
      </c>
    </row>
    <row r="361" spans="1:17">
      <c r="A361" t="s">
        <v>36</v>
      </c>
      <c r="B361" t="s">
        <v>13</v>
      </c>
      <c r="C361">
        <v>38</v>
      </c>
      <c r="D361">
        <v>44</v>
      </c>
      <c r="E361" s="1">
        <f t="shared" si="30"/>
        <v>0.46341463414634149</v>
      </c>
      <c r="F361" s="2">
        <v>102.4</v>
      </c>
      <c r="G361" s="2">
        <v>103.6</v>
      </c>
      <c r="H361" s="2">
        <f t="shared" si="31"/>
        <v>-1.1999999999999886</v>
      </c>
      <c r="I361" s="1">
        <f t="shared" si="32"/>
        <v>0.45931300428144822</v>
      </c>
      <c r="J361" s="2">
        <v>106.4</v>
      </c>
      <c r="K361" s="2">
        <v>107.7</v>
      </c>
      <c r="L361" s="2">
        <f t="shared" si="33"/>
        <v>-1.2999999999999972</v>
      </c>
      <c r="M361" s="1">
        <f t="shared" si="34"/>
        <v>4.1016298648932636E-3</v>
      </c>
      <c r="N361" s="2">
        <v>100.3</v>
      </c>
      <c r="O361" s="2">
        <v>105.2</v>
      </c>
      <c r="P361" s="2">
        <f t="shared" si="35"/>
        <v>-4.9000000000000057</v>
      </c>
      <c r="Q361">
        <v>-0.2</v>
      </c>
    </row>
    <row r="362" spans="1:17">
      <c r="A362" t="s">
        <v>59</v>
      </c>
      <c r="B362" t="s">
        <v>17</v>
      </c>
      <c r="C362">
        <v>37</v>
      </c>
      <c r="D362">
        <v>45</v>
      </c>
      <c r="E362" s="1">
        <f t="shared" si="30"/>
        <v>0.45121951219512196</v>
      </c>
      <c r="F362" s="2">
        <v>111.8</v>
      </c>
      <c r="G362" s="2">
        <v>113.5</v>
      </c>
      <c r="H362" s="2">
        <f t="shared" si="31"/>
        <v>-1.7000000000000028</v>
      </c>
      <c r="I362" s="1">
        <f t="shared" si="32"/>
        <v>0.44737614127951658</v>
      </c>
      <c r="J362" s="2">
        <v>107.4</v>
      </c>
      <c r="K362" s="2">
        <v>108.9</v>
      </c>
      <c r="L362" s="2">
        <f t="shared" si="33"/>
        <v>-1.5</v>
      </c>
      <c r="M362" s="1">
        <f t="shared" si="34"/>
        <v>3.8433709156053819E-3</v>
      </c>
      <c r="N362" s="2">
        <v>114.7</v>
      </c>
      <c r="O362" s="2">
        <v>107.5</v>
      </c>
      <c r="P362" s="2">
        <f t="shared" si="35"/>
        <v>7.2000000000000028</v>
      </c>
      <c r="Q362">
        <v>-0.8</v>
      </c>
    </row>
    <row r="363" spans="1:17">
      <c r="A363" t="s">
        <v>38</v>
      </c>
      <c r="B363" t="s">
        <v>37</v>
      </c>
      <c r="C363">
        <v>41</v>
      </c>
      <c r="D363">
        <v>41</v>
      </c>
      <c r="E363" s="1">
        <f t="shared" si="30"/>
        <v>0.5</v>
      </c>
      <c r="F363" s="2">
        <v>91.8</v>
      </c>
      <c r="G363" s="2">
        <v>91.9</v>
      </c>
      <c r="H363" s="2">
        <f t="shared" si="31"/>
        <v>-0.10000000000000853</v>
      </c>
      <c r="I363" s="1">
        <f t="shared" si="32"/>
        <v>0.49618951269946909</v>
      </c>
      <c r="J363" s="2">
        <v>100.7</v>
      </c>
      <c r="K363" s="2">
        <v>100.6</v>
      </c>
      <c r="L363" s="2">
        <f t="shared" si="33"/>
        <v>0.10000000000000853</v>
      </c>
      <c r="M363" s="1">
        <f t="shared" si="34"/>
        <v>3.810487300530907E-3</v>
      </c>
      <c r="N363" s="2">
        <v>94.3</v>
      </c>
      <c r="O363" s="2">
        <v>92.4</v>
      </c>
      <c r="P363" s="2">
        <f t="shared" si="35"/>
        <v>1.8999999999999915</v>
      </c>
      <c r="Q363">
        <v>1.1000000000000001</v>
      </c>
    </row>
    <row r="364" spans="1:17">
      <c r="A364" t="s">
        <v>66</v>
      </c>
      <c r="B364" t="s">
        <v>5</v>
      </c>
      <c r="C364">
        <v>33</v>
      </c>
      <c r="D364">
        <v>31</v>
      </c>
      <c r="E364" s="1">
        <f t="shared" si="30"/>
        <v>0.515625</v>
      </c>
      <c r="F364" s="2">
        <v>117.7</v>
      </c>
      <c r="G364" s="2">
        <v>117.3</v>
      </c>
      <c r="H364" s="2">
        <f t="shared" si="31"/>
        <v>0.40000000000000568</v>
      </c>
      <c r="I364" s="1">
        <f t="shared" si="32"/>
        <v>0.51191265030386746</v>
      </c>
      <c r="J364" s="2">
        <v>114.1</v>
      </c>
      <c r="K364" s="2">
        <v>113.7</v>
      </c>
      <c r="L364" s="2">
        <f t="shared" si="33"/>
        <v>0.39999999999999147</v>
      </c>
      <c r="M364" s="1">
        <f t="shared" si="34"/>
        <v>3.7123496961325442E-3</v>
      </c>
      <c r="N364" s="2">
        <v>116</v>
      </c>
      <c r="O364" s="2">
        <v>112.7</v>
      </c>
      <c r="P364" s="2">
        <f t="shared" si="35"/>
        <v>3.2999999999999972</v>
      </c>
      <c r="Q364">
        <v>0.7</v>
      </c>
    </row>
    <row r="365" spans="1:17">
      <c r="A365" t="s">
        <v>34</v>
      </c>
      <c r="B365" t="s">
        <v>31</v>
      </c>
      <c r="C365">
        <v>44</v>
      </c>
      <c r="D365">
        <v>38</v>
      </c>
      <c r="E365" s="1">
        <f t="shared" si="30"/>
        <v>0.53658536585365857</v>
      </c>
      <c r="F365" s="2">
        <v>96</v>
      </c>
      <c r="G365" s="2">
        <v>95.1</v>
      </c>
      <c r="H365" s="2">
        <f t="shared" si="31"/>
        <v>0.90000000000000568</v>
      </c>
      <c r="I365" s="1">
        <f t="shared" si="32"/>
        <v>0.53291958603886924</v>
      </c>
      <c r="J365" s="2">
        <v>103.8</v>
      </c>
      <c r="K365" s="2">
        <v>102.9</v>
      </c>
      <c r="L365" s="2">
        <f t="shared" si="33"/>
        <v>0.89999999999999147</v>
      </c>
      <c r="M365" s="1">
        <f t="shared" si="34"/>
        <v>3.6657798147893272E-3</v>
      </c>
      <c r="N365" s="2">
        <v>102.8</v>
      </c>
      <c r="O365" s="2">
        <v>106.5</v>
      </c>
      <c r="P365" s="2">
        <f t="shared" si="35"/>
        <v>-3.7000000000000028</v>
      </c>
      <c r="Q365">
        <v>0.6</v>
      </c>
    </row>
    <row r="366" spans="1:17">
      <c r="A366" t="s">
        <v>36</v>
      </c>
      <c r="B366" t="s">
        <v>27</v>
      </c>
      <c r="C366">
        <v>59</v>
      </c>
      <c r="D366">
        <v>23</v>
      </c>
      <c r="E366" s="1">
        <f t="shared" si="30"/>
        <v>0.71951219512195119</v>
      </c>
      <c r="F366" s="2">
        <v>101.7</v>
      </c>
      <c r="G366" s="2">
        <v>95.2</v>
      </c>
      <c r="H366" s="2">
        <f t="shared" si="31"/>
        <v>6.5</v>
      </c>
      <c r="I366" s="1">
        <f t="shared" si="32"/>
        <v>0.71599128231824272</v>
      </c>
      <c r="J366" s="2">
        <v>104.4</v>
      </c>
      <c r="K366" s="2">
        <v>97.8</v>
      </c>
      <c r="L366" s="2">
        <f t="shared" si="33"/>
        <v>6.6000000000000085</v>
      </c>
      <c r="M366" s="1">
        <f t="shared" si="34"/>
        <v>3.5209128037084758E-3</v>
      </c>
      <c r="N366" s="2">
        <v>104.5</v>
      </c>
      <c r="O366" s="2">
        <v>101.8</v>
      </c>
      <c r="P366" s="2">
        <f t="shared" si="35"/>
        <v>2.7000000000000028</v>
      </c>
      <c r="Q366">
        <v>0.4</v>
      </c>
    </row>
    <row r="367" spans="1:17">
      <c r="A367" t="s">
        <v>34</v>
      </c>
      <c r="B367" t="s">
        <v>33</v>
      </c>
      <c r="C367">
        <v>37</v>
      </c>
      <c r="D367">
        <v>45</v>
      </c>
      <c r="E367" s="1">
        <f t="shared" si="30"/>
        <v>0.45121951219512196</v>
      </c>
      <c r="F367" s="2">
        <v>92.8</v>
      </c>
      <c r="G367" s="2">
        <v>94.2</v>
      </c>
      <c r="H367" s="2">
        <f t="shared" si="31"/>
        <v>-1.4000000000000057</v>
      </c>
      <c r="I367" s="1">
        <f t="shared" si="32"/>
        <v>0.4477836824349537</v>
      </c>
      <c r="J367" s="2">
        <v>102.9</v>
      </c>
      <c r="K367" s="2">
        <v>104.5</v>
      </c>
      <c r="L367" s="2">
        <f t="shared" si="33"/>
        <v>-1.5999999999999943</v>
      </c>
      <c r="M367" s="1">
        <f t="shared" si="34"/>
        <v>3.435829760168263E-3</v>
      </c>
      <c r="N367" s="2">
        <v>100.3</v>
      </c>
      <c r="O367" s="2">
        <v>101</v>
      </c>
      <c r="P367" s="2">
        <f t="shared" si="35"/>
        <v>-0.70000000000000284</v>
      </c>
      <c r="Q367">
        <v>-0.4</v>
      </c>
    </row>
    <row r="368" spans="1:17">
      <c r="A368" t="s">
        <v>55</v>
      </c>
      <c r="B368" t="s">
        <v>56</v>
      </c>
      <c r="C368">
        <v>53</v>
      </c>
      <c r="D368">
        <v>29</v>
      </c>
      <c r="E368" s="1">
        <f t="shared" si="30"/>
        <v>0.64634146341463417</v>
      </c>
      <c r="F368" s="2">
        <v>104.5</v>
      </c>
      <c r="G368" s="2">
        <v>100.2</v>
      </c>
      <c r="H368" s="2">
        <f t="shared" si="31"/>
        <v>4.2999999999999972</v>
      </c>
      <c r="I368" s="1">
        <f t="shared" si="32"/>
        <v>0.64296680993487854</v>
      </c>
      <c r="J368" s="2">
        <v>107.2</v>
      </c>
      <c r="K368" s="2">
        <v>102.7</v>
      </c>
      <c r="L368" s="2">
        <f t="shared" si="33"/>
        <v>4.5</v>
      </c>
      <c r="M368" s="1">
        <f t="shared" si="34"/>
        <v>3.3746534797556293E-3</v>
      </c>
      <c r="N368" s="2">
        <v>111.5</v>
      </c>
      <c r="O368" s="2">
        <v>102.8</v>
      </c>
      <c r="P368" s="2">
        <f t="shared" si="35"/>
        <v>8.7000000000000028</v>
      </c>
      <c r="Q368">
        <v>-0.2</v>
      </c>
    </row>
    <row r="369" spans="1:17">
      <c r="A369" t="s">
        <v>66</v>
      </c>
      <c r="B369" t="s">
        <v>51</v>
      </c>
      <c r="C369">
        <v>16</v>
      </c>
      <c r="D369">
        <v>47</v>
      </c>
      <c r="E369" s="1">
        <f t="shared" si="30"/>
        <v>0.25396825396825395</v>
      </c>
      <c r="F369" s="2">
        <v>106.9</v>
      </c>
      <c r="G369" s="2">
        <v>115.6</v>
      </c>
      <c r="H369" s="2">
        <f t="shared" si="31"/>
        <v>-8.6999999999999886</v>
      </c>
      <c r="I369" s="1">
        <f t="shared" si="32"/>
        <v>0.25060467792949209</v>
      </c>
      <c r="J369" s="2">
        <v>109.6</v>
      </c>
      <c r="K369" s="2">
        <v>118.3</v>
      </c>
      <c r="L369" s="2">
        <f t="shared" si="33"/>
        <v>-8.7000000000000028</v>
      </c>
      <c r="M369" s="1">
        <f t="shared" si="34"/>
        <v>3.3635760387618618E-3</v>
      </c>
      <c r="N369" s="2">
        <v>99.4</v>
      </c>
      <c r="O369" s="2">
        <v>132.1</v>
      </c>
      <c r="P369" s="2">
        <f t="shared" si="35"/>
        <v>-32.699999999999989</v>
      </c>
      <c r="Q369">
        <v>-1.3</v>
      </c>
    </row>
    <row r="370" spans="1:17">
      <c r="A370" t="s">
        <v>65</v>
      </c>
      <c r="B370" t="s">
        <v>23</v>
      </c>
      <c r="C370">
        <v>41</v>
      </c>
      <c r="D370">
        <v>41</v>
      </c>
      <c r="E370" s="1">
        <f t="shared" si="30"/>
        <v>0.5</v>
      </c>
      <c r="F370" s="2">
        <v>105.4</v>
      </c>
      <c r="G370" s="2">
        <v>105.5</v>
      </c>
      <c r="H370" s="2">
        <f t="shared" si="31"/>
        <v>-9.9999999999994316E-2</v>
      </c>
      <c r="I370" s="1">
        <f t="shared" si="32"/>
        <v>0.4966809399213436</v>
      </c>
      <c r="J370" s="2">
        <v>108.9</v>
      </c>
      <c r="K370" s="2">
        <v>109.1</v>
      </c>
      <c r="L370" s="2">
        <f t="shared" si="33"/>
        <v>-0.19999999999998863</v>
      </c>
      <c r="M370" s="1">
        <f t="shared" si="34"/>
        <v>3.3190600786563995E-3</v>
      </c>
      <c r="N370" s="2">
        <v>104.5</v>
      </c>
      <c r="O370" s="2">
        <v>97.5</v>
      </c>
      <c r="P370" s="2">
        <f t="shared" si="35"/>
        <v>7</v>
      </c>
      <c r="Q370">
        <v>0.8</v>
      </c>
    </row>
    <row r="371" spans="1:17">
      <c r="A371" t="s">
        <v>66</v>
      </c>
      <c r="B371" t="s">
        <v>31</v>
      </c>
      <c r="C371">
        <v>19</v>
      </c>
      <c r="D371">
        <v>45</v>
      </c>
      <c r="E371" s="1">
        <f t="shared" si="30"/>
        <v>0.296875</v>
      </c>
      <c r="F371" s="2">
        <v>117.4</v>
      </c>
      <c r="G371" s="2">
        <v>125</v>
      </c>
      <c r="H371" s="2">
        <f t="shared" si="31"/>
        <v>-7.5999999999999943</v>
      </c>
      <c r="I371" s="1">
        <f t="shared" si="32"/>
        <v>0.29355597812960449</v>
      </c>
      <c r="J371" s="2">
        <v>113.2</v>
      </c>
      <c r="K371" s="2">
        <v>120.5</v>
      </c>
      <c r="L371" s="2">
        <f t="shared" si="33"/>
        <v>-7.2999999999999972</v>
      </c>
      <c r="M371" s="1">
        <f t="shared" si="34"/>
        <v>3.319021870395511E-3</v>
      </c>
      <c r="N371" s="2">
        <v>113.6</v>
      </c>
      <c r="O371" s="2">
        <v>106.1</v>
      </c>
      <c r="P371" s="2">
        <f t="shared" si="35"/>
        <v>7.5</v>
      </c>
      <c r="Q371" s="2">
        <v>-0.7</v>
      </c>
    </row>
    <row r="372" spans="1:17">
      <c r="A372" t="s">
        <v>57</v>
      </c>
      <c r="B372" t="s">
        <v>10</v>
      </c>
      <c r="C372">
        <v>33</v>
      </c>
      <c r="D372">
        <v>49</v>
      </c>
      <c r="E372" s="1">
        <f t="shared" si="30"/>
        <v>0.40243902439024393</v>
      </c>
      <c r="F372" s="2">
        <v>97.9</v>
      </c>
      <c r="G372" s="2">
        <v>100.8</v>
      </c>
      <c r="H372" s="2">
        <f t="shared" si="31"/>
        <v>-2.8999999999999915</v>
      </c>
      <c r="I372" s="1">
        <f t="shared" si="32"/>
        <v>0.39922740690355496</v>
      </c>
      <c r="J372" s="2">
        <v>104.7</v>
      </c>
      <c r="K372" s="2">
        <v>107.7</v>
      </c>
      <c r="L372" s="2">
        <f t="shared" si="33"/>
        <v>-3</v>
      </c>
      <c r="M372" s="1">
        <f t="shared" si="34"/>
        <v>3.2116174866889668E-3</v>
      </c>
      <c r="N372" s="2">
        <v>101.7</v>
      </c>
      <c r="O372" s="2">
        <v>107.8</v>
      </c>
      <c r="P372" s="2">
        <f t="shared" si="35"/>
        <v>-6.0999999999999943</v>
      </c>
      <c r="Q372">
        <v>-0.6</v>
      </c>
    </row>
    <row r="373" spans="1:17">
      <c r="A373" t="s">
        <v>64</v>
      </c>
      <c r="B373" t="s">
        <v>5</v>
      </c>
      <c r="C373">
        <v>36</v>
      </c>
      <c r="D373">
        <v>46</v>
      </c>
      <c r="E373" s="1">
        <f t="shared" si="30"/>
        <v>0.43902439024390244</v>
      </c>
      <c r="F373" s="2">
        <v>118.3</v>
      </c>
      <c r="G373" s="2">
        <v>120.5</v>
      </c>
      <c r="H373" s="2">
        <f t="shared" si="31"/>
        <v>-2.2000000000000028</v>
      </c>
      <c r="I373" s="1">
        <f t="shared" si="32"/>
        <v>0.43586432994244823</v>
      </c>
      <c r="J373" s="2">
        <v>116.4</v>
      </c>
      <c r="K373" s="2">
        <v>118.4</v>
      </c>
      <c r="L373" s="2">
        <f t="shared" si="33"/>
        <v>-2</v>
      </c>
      <c r="M373" s="1">
        <f t="shared" si="34"/>
        <v>3.160060301454215E-3</v>
      </c>
      <c r="N373" s="2">
        <v>103.9</v>
      </c>
      <c r="O373" s="2">
        <v>118.7</v>
      </c>
      <c r="P373" s="2">
        <f t="shared" si="35"/>
        <v>-14.799999999999997</v>
      </c>
      <c r="Q373">
        <v>-0.9</v>
      </c>
    </row>
    <row r="374" spans="1:17">
      <c r="A374" t="s">
        <v>39</v>
      </c>
      <c r="B374" t="s">
        <v>18</v>
      </c>
      <c r="C374">
        <v>59</v>
      </c>
      <c r="D374">
        <v>23</v>
      </c>
      <c r="E374" s="1">
        <f t="shared" si="30"/>
        <v>0.71951219512195119</v>
      </c>
      <c r="F374" s="2">
        <v>101.5</v>
      </c>
      <c r="G374" s="2">
        <v>95</v>
      </c>
      <c r="H374" s="2">
        <f t="shared" si="31"/>
        <v>6.5</v>
      </c>
      <c r="I374" s="1">
        <f t="shared" si="32"/>
        <v>0.71637416016050837</v>
      </c>
      <c r="J374" s="2">
        <v>108.9</v>
      </c>
      <c r="K374" s="2">
        <v>102.2</v>
      </c>
      <c r="L374" s="2">
        <f t="shared" si="33"/>
        <v>6.7000000000000028</v>
      </c>
      <c r="M374" s="1">
        <f t="shared" si="34"/>
        <v>3.138034961442826E-3</v>
      </c>
      <c r="N374" s="2">
        <v>108.8</v>
      </c>
      <c r="O374" s="2">
        <v>97.7</v>
      </c>
      <c r="P374" s="2">
        <f t="shared" si="35"/>
        <v>11.099999999999994</v>
      </c>
      <c r="Q374">
        <v>2.4</v>
      </c>
    </row>
    <row r="375" spans="1:17">
      <c r="A375" t="s">
        <v>44</v>
      </c>
      <c r="B375" t="s">
        <v>14</v>
      </c>
      <c r="C375">
        <v>55</v>
      </c>
      <c r="D375">
        <v>27</v>
      </c>
      <c r="E375" s="1">
        <f t="shared" si="30"/>
        <v>0.67073170731707321</v>
      </c>
      <c r="F375" s="2">
        <v>96.7</v>
      </c>
      <c r="G375" s="2">
        <v>92</v>
      </c>
      <c r="H375" s="2">
        <f t="shared" si="31"/>
        <v>4.7000000000000028</v>
      </c>
      <c r="I375" s="1">
        <f t="shared" si="32"/>
        <v>0.6676438096091204</v>
      </c>
      <c r="J375" s="2">
        <v>105.4</v>
      </c>
      <c r="K375" s="2">
        <v>100.5</v>
      </c>
      <c r="L375" s="2">
        <f t="shared" si="33"/>
        <v>4.9000000000000057</v>
      </c>
      <c r="M375" s="1">
        <f t="shared" si="34"/>
        <v>3.0878977079528136E-3</v>
      </c>
      <c r="N375" s="2">
        <v>99.2</v>
      </c>
      <c r="O375" s="2">
        <v>104.5</v>
      </c>
      <c r="P375" s="2">
        <f t="shared" si="35"/>
        <v>-5.2999999999999972</v>
      </c>
      <c r="Q375">
        <v>0.1</v>
      </c>
    </row>
    <row r="376" spans="1:17">
      <c r="A376" t="s">
        <v>57</v>
      </c>
      <c r="B376" t="s">
        <v>13</v>
      </c>
      <c r="C376">
        <v>67</v>
      </c>
      <c r="D376">
        <v>15</v>
      </c>
      <c r="E376" s="1">
        <f t="shared" si="30"/>
        <v>0.81707317073170727</v>
      </c>
      <c r="F376" s="2">
        <v>115.9</v>
      </c>
      <c r="G376" s="2">
        <v>104.3</v>
      </c>
      <c r="H376" s="2">
        <f t="shared" si="31"/>
        <v>11.600000000000009</v>
      </c>
      <c r="I376" s="1">
        <f t="shared" si="32"/>
        <v>0.81402660694533269</v>
      </c>
      <c r="J376" s="2">
        <v>114.8</v>
      </c>
      <c r="K376" s="2">
        <v>103.4</v>
      </c>
      <c r="L376" s="2">
        <f t="shared" si="33"/>
        <v>11.399999999999991</v>
      </c>
      <c r="M376" s="1">
        <f t="shared" si="34"/>
        <v>3.0465637863745787E-3</v>
      </c>
      <c r="N376" s="2">
        <v>109.7</v>
      </c>
      <c r="O376" s="2">
        <v>100</v>
      </c>
      <c r="P376" s="2">
        <f t="shared" si="35"/>
        <v>9.7000000000000028</v>
      </c>
      <c r="Q376">
        <v>0.2</v>
      </c>
    </row>
    <row r="377" spans="1:17">
      <c r="A377" t="s">
        <v>38</v>
      </c>
      <c r="B377" t="s">
        <v>27</v>
      </c>
      <c r="C377">
        <v>55</v>
      </c>
      <c r="D377">
        <v>27</v>
      </c>
      <c r="E377" s="1">
        <f t="shared" si="30"/>
        <v>0.67073170731707321</v>
      </c>
      <c r="F377" s="2">
        <v>102.8</v>
      </c>
      <c r="G377" s="2">
        <v>97.8</v>
      </c>
      <c r="H377" s="2">
        <f t="shared" si="31"/>
        <v>5</v>
      </c>
      <c r="I377" s="1">
        <f t="shared" si="32"/>
        <v>0.66775548198710677</v>
      </c>
      <c r="J377" s="2">
        <v>108.6</v>
      </c>
      <c r="K377" s="2">
        <v>103.2</v>
      </c>
      <c r="L377" s="2">
        <f t="shared" si="33"/>
        <v>5.3999999999999915</v>
      </c>
      <c r="M377" s="1">
        <f t="shared" si="34"/>
        <v>2.9762253299664421E-3</v>
      </c>
      <c r="N377" s="2">
        <v>105.1</v>
      </c>
      <c r="O377" s="2">
        <v>96.7</v>
      </c>
      <c r="P377" s="2">
        <f t="shared" si="35"/>
        <v>8.3999999999999915</v>
      </c>
      <c r="Q377">
        <v>1.5</v>
      </c>
    </row>
    <row r="378" spans="1:17">
      <c r="A378" t="s">
        <v>4</v>
      </c>
      <c r="B378" t="s">
        <v>19</v>
      </c>
      <c r="C378">
        <v>52</v>
      </c>
      <c r="D378">
        <v>30</v>
      </c>
      <c r="E378" s="1">
        <f t="shared" si="30"/>
        <v>0.63414634146341464</v>
      </c>
      <c r="F378" s="2">
        <v>100.7</v>
      </c>
      <c r="G378" s="2">
        <v>96.9</v>
      </c>
      <c r="H378" s="2">
        <f t="shared" si="31"/>
        <v>3.7999999999999972</v>
      </c>
      <c r="I378" s="1">
        <f t="shared" si="32"/>
        <v>0.63146991070867009</v>
      </c>
      <c r="J378" s="2">
        <v>106.8</v>
      </c>
      <c r="K378" s="2">
        <v>102.6</v>
      </c>
      <c r="L378" s="2">
        <f t="shared" si="33"/>
        <v>4.2000000000000028</v>
      </c>
      <c r="M378" s="1">
        <f t="shared" si="34"/>
        <v>2.6764307547445521E-3</v>
      </c>
      <c r="N378" s="2">
        <v>112.2</v>
      </c>
      <c r="O378" s="2">
        <v>103.8</v>
      </c>
      <c r="P378" s="2">
        <f t="shared" si="35"/>
        <v>8.4000000000000057</v>
      </c>
      <c r="Q378">
        <v>0.2</v>
      </c>
    </row>
    <row r="379" spans="1:17">
      <c r="A379" t="s">
        <v>50</v>
      </c>
      <c r="B379" t="s">
        <v>27</v>
      </c>
      <c r="C379">
        <v>28</v>
      </c>
      <c r="D379">
        <v>54</v>
      </c>
      <c r="E379" s="1">
        <f t="shared" si="30"/>
        <v>0.34146341463414637</v>
      </c>
      <c r="F379" s="2">
        <v>100.2</v>
      </c>
      <c r="G379" s="2">
        <v>105.1</v>
      </c>
      <c r="H379" s="2">
        <f t="shared" si="31"/>
        <v>-4.8999999999999915</v>
      </c>
      <c r="I379" s="1">
        <f t="shared" si="32"/>
        <v>0.33885133571043297</v>
      </c>
      <c r="J379" s="2">
        <v>105.3</v>
      </c>
      <c r="K379" s="2">
        <v>110</v>
      </c>
      <c r="L379" s="2">
        <f t="shared" si="33"/>
        <v>-4.7000000000000028</v>
      </c>
      <c r="M379" s="1">
        <f t="shared" si="34"/>
        <v>2.6120789237134012E-3</v>
      </c>
      <c r="N379" s="2">
        <v>101</v>
      </c>
      <c r="O379" s="2">
        <v>102.3</v>
      </c>
      <c r="P379" s="2">
        <f t="shared" si="35"/>
        <v>-1.2999999999999972</v>
      </c>
      <c r="Q379">
        <v>-0.2</v>
      </c>
    </row>
    <row r="380" spans="1:17">
      <c r="A380" t="s">
        <v>58</v>
      </c>
      <c r="B380" t="s">
        <v>20</v>
      </c>
      <c r="C380">
        <v>47</v>
      </c>
      <c r="D380">
        <v>35</v>
      </c>
      <c r="E380" s="1">
        <f t="shared" si="30"/>
        <v>0.57317073170731703</v>
      </c>
      <c r="F380" s="2">
        <v>109.5</v>
      </c>
      <c r="G380" s="2">
        <v>107.3</v>
      </c>
      <c r="H380" s="2">
        <f t="shared" si="31"/>
        <v>2.2000000000000028</v>
      </c>
      <c r="I380" s="1">
        <f t="shared" si="32"/>
        <v>0.57056154224834466</v>
      </c>
      <c r="J380" s="2">
        <v>112.5</v>
      </c>
      <c r="K380" s="2">
        <v>110.2</v>
      </c>
      <c r="L380" s="2">
        <f t="shared" si="33"/>
        <v>2.2999999999999972</v>
      </c>
      <c r="M380" s="1">
        <f t="shared" si="34"/>
        <v>2.6091894589723719E-3</v>
      </c>
      <c r="N380" s="2">
        <v>107.4</v>
      </c>
      <c r="O380" s="2">
        <v>114.8</v>
      </c>
      <c r="P380" s="2">
        <f t="shared" si="35"/>
        <v>-7.3999999999999915</v>
      </c>
      <c r="Q380">
        <v>-0.6</v>
      </c>
    </row>
    <row r="381" spans="1:17">
      <c r="A381" t="s">
        <v>44</v>
      </c>
      <c r="B381" t="s">
        <v>37</v>
      </c>
      <c r="C381">
        <v>56</v>
      </c>
      <c r="D381">
        <v>26</v>
      </c>
      <c r="E381" s="1">
        <f t="shared" si="30"/>
        <v>0.68292682926829273</v>
      </c>
      <c r="F381" s="2">
        <v>100.9</v>
      </c>
      <c r="G381" s="2">
        <v>95.6</v>
      </c>
      <c r="H381" s="2">
        <f t="shared" si="31"/>
        <v>5.3000000000000114</v>
      </c>
      <c r="I381" s="1">
        <f t="shared" si="32"/>
        <v>0.68035408366862116</v>
      </c>
      <c r="J381" s="2">
        <v>110</v>
      </c>
      <c r="K381" s="2">
        <v>104.4</v>
      </c>
      <c r="L381" s="2">
        <f t="shared" si="33"/>
        <v>5.5999999999999943</v>
      </c>
      <c r="M381" s="1">
        <f t="shared" si="34"/>
        <v>2.5727455996715776E-3</v>
      </c>
      <c r="N381" s="2">
        <v>105.2</v>
      </c>
      <c r="O381" s="2">
        <v>98.5</v>
      </c>
      <c r="P381" s="2">
        <f t="shared" si="35"/>
        <v>6.7000000000000028</v>
      </c>
      <c r="Q381">
        <v>1.4</v>
      </c>
    </row>
    <row r="382" spans="1:17">
      <c r="A382" t="s">
        <v>61</v>
      </c>
      <c r="B382" t="s">
        <v>11</v>
      </c>
      <c r="C382">
        <v>47</v>
      </c>
      <c r="D382">
        <v>25</v>
      </c>
      <c r="E382" s="1">
        <f t="shared" si="30"/>
        <v>0.65277777777777779</v>
      </c>
      <c r="F382" s="2">
        <v>115.1</v>
      </c>
      <c r="G382" s="2">
        <v>110.1</v>
      </c>
      <c r="H382" s="2">
        <f t="shared" si="31"/>
        <v>5</v>
      </c>
      <c r="I382" s="1">
        <f t="shared" si="32"/>
        <v>0.65062141130812434</v>
      </c>
      <c r="J382" s="2">
        <v>116.3</v>
      </c>
      <c r="K382" s="2">
        <v>111.5</v>
      </c>
      <c r="L382" s="2">
        <f t="shared" si="33"/>
        <v>4.7999999999999972</v>
      </c>
      <c r="M382" s="1">
        <f t="shared" si="34"/>
        <v>2.1563664696534479E-3</v>
      </c>
      <c r="N382" s="2">
        <v>114.4</v>
      </c>
      <c r="O382" s="2">
        <v>109</v>
      </c>
      <c r="P382" s="2">
        <f t="shared" si="35"/>
        <v>5.4000000000000057</v>
      </c>
      <c r="Q382">
        <v>0.7</v>
      </c>
    </row>
    <row r="383" spans="1:17">
      <c r="A383" t="s">
        <v>45</v>
      </c>
      <c r="B383" t="s">
        <v>30</v>
      </c>
      <c r="C383">
        <v>33</v>
      </c>
      <c r="D383">
        <v>49</v>
      </c>
      <c r="E383" s="1">
        <f t="shared" si="30"/>
        <v>0.40243902439024393</v>
      </c>
      <c r="F383" s="2">
        <v>99</v>
      </c>
      <c r="G383" s="2">
        <v>101.9</v>
      </c>
      <c r="H383" s="2">
        <f t="shared" si="31"/>
        <v>-2.9000000000000057</v>
      </c>
      <c r="I383" s="1">
        <f t="shared" si="32"/>
        <v>0.4003014410465785</v>
      </c>
      <c r="J383" s="2">
        <v>105.5</v>
      </c>
      <c r="K383" s="2">
        <v>108.6</v>
      </c>
      <c r="L383" s="2">
        <f t="shared" si="33"/>
        <v>-3.0999999999999943</v>
      </c>
      <c r="M383" s="1">
        <f t="shared" si="34"/>
        <v>2.1375833436654279E-3</v>
      </c>
      <c r="N383" s="2">
        <v>107</v>
      </c>
      <c r="O383" s="2">
        <v>111</v>
      </c>
      <c r="P383" s="2">
        <f t="shared" si="35"/>
        <v>-4</v>
      </c>
      <c r="Q383">
        <v>-0.5</v>
      </c>
    </row>
    <row r="384" spans="1:17">
      <c r="A384" t="s">
        <v>48</v>
      </c>
      <c r="B384" t="s">
        <v>21</v>
      </c>
      <c r="C384">
        <v>24</v>
      </c>
      <c r="D384">
        <v>58</v>
      </c>
      <c r="E384" s="1">
        <f t="shared" si="30"/>
        <v>0.29268292682926828</v>
      </c>
      <c r="F384" s="2">
        <v>94.2</v>
      </c>
      <c r="G384" s="2">
        <v>100.4</v>
      </c>
      <c r="H384" s="2">
        <f t="shared" si="31"/>
        <v>-6.2000000000000028</v>
      </c>
      <c r="I384" s="1">
        <f t="shared" si="32"/>
        <v>0.29061719989236251</v>
      </c>
      <c r="J384" s="2">
        <v>102.1</v>
      </c>
      <c r="K384" s="2">
        <v>108.9</v>
      </c>
      <c r="L384" s="2">
        <f t="shared" si="33"/>
        <v>-6.8000000000000114</v>
      </c>
      <c r="M384" s="1">
        <f t="shared" si="34"/>
        <v>2.0657269369057651E-3</v>
      </c>
      <c r="N384" s="2">
        <v>100.5</v>
      </c>
      <c r="O384" s="2">
        <v>106.6</v>
      </c>
      <c r="P384" s="2">
        <f t="shared" si="35"/>
        <v>-6.0999999999999943</v>
      </c>
      <c r="Q384">
        <v>-0.4</v>
      </c>
    </row>
    <row r="385" spans="1:17">
      <c r="A385" t="s">
        <v>36</v>
      </c>
      <c r="B385" t="s">
        <v>24</v>
      </c>
      <c r="C385">
        <v>48</v>
      </c>
      <c r="D385">
        <v>34</v>
      </c>
      <c r="E385" s="1">
        <f t="shared" si="30"/>
        <v>0.58536585365853655</v>
      </c>
      <c r="F385" s="2">
        <v>96.8</v>
      </c>
      <c r="G385" s="2">
        <v>94.5</v>
      </c>
      <c r="H385" s="2">
        <f t="shared" si="31"/>
        <v>2.2999999999999972</v>
      </c>
      <c r="I385" s="1">
        <f t="shared" si="32"/>
        <v>0.58337902714403844</v>
      </c>
      <c r="J385" s="2">
        <v>103.2</v>
      </c>
      <c r="K385" s="2">
        <v>100.6</v>
      </c>
      <c r="L385" s="2">
        <f t="shared" si="33"/>
        <v>2.6000000000000085</v>
      </c>
      <c r="M385" s="1">
        <f t="shared" si="34"/>
        <v>1.9868265144981079E-3</v>
      </c>
      <c r="N385" s="2">
        <v>102.4</v>
      </c>
      <c r="O385" s="2">
        <v>98.5</v>
      </c>
      <c r="P385" s="2">
        <f t="shared" si="35"/>
        <v>3.9000000000000057</v>
      </c>
      <c r="Q385">
        <v>1.1000000000000001</v>
      </c>
    </row>
    <row r="386" spans="1:17">
      <c r="A386" t="s">
        <v>34</v>
      </c>
      <c r="B386" t="s">
        <v>27</v>
      </c>
      <c r="C386">
        <v>61</v>
      </c>
      <c r="D386">
        <v>21</v>
      </c>
      <c r="E386" s="1">
        <f t="shared" si="30"/>
        <v>0.74390243902439024</v>
      </c>
      <c r="F386" s="2">
        <v>104.6</v>
      </c>
      <c r="G386" s="2">
        <v>97</v>
      </c>
      <c r="H386" s="2">
        <f t="shared" si="31"/>
        <v>7.5999999999999943</v>
      </c>
      <c r="I386" s="1">
        <f t="shared" si="32"/>
        <v>0.74193612519657792</v>
      </c>
      <c r="J386" s="2">
        <v>107.9</v>
      </c>
      <c r="K386" s="2">
        <v>99.7</v>
      </c>
      <c r="L386" s="2">
        <f t="shared" si="33"/>
        <v>8.2000000000000028</v>
      </c>
      <c r="M386" s="1">
        <f t="shared" si="34"/>
        <v>1.966313827812316E-3</v>
      </c>
      <c r="N386" s="2">
        <v>105</v>
      </c>
      <c r="O386" s="2">
        <v>89.6</v>
      </c>
      <c r="P386" s="2">
        <f t="shared" si="35"/>
        <v>15.400000000000006</v>
      </c>
      <c r="Q386">
        <v>0.8</v>
      </c>
    </row>
    <row r="387" spans="1:17">
      <c r="A387" t="s">
        <v>60</v>
      </c>
      <c r="B387" t="s">
        <v>51</v>
      </c>
      <c r="C387">
        <v>35</v>
      </c>
      <c r="D387">
        <v>37</v>
      </c>
      <c r="E387" s="1">
        <f t="shared" si="30"/>
        <v>0.4861111111111111</v>
      </c>
      <c r="F387" s="2">
        <v>111.8</v>
      </c>
      <c r="G387" s="2">
        <v>112.3</v>
      </c>
      <c r="H387" s="2">
        <f t="shared" si="31"/>
        <v>-0.5</v>
      </c>
      <c r="I387" s="1">
        <f t="shared" si="32"/>
        <v>0.48438702391890293</v>
      </c>
      <c r="J387" s="2">
        <v>108.7</v>
      </c>
      <c r="K387" s="2">
        <v>109.2</v>
      </c>
      <c r="L387" s="2">
        <f t="shared" si="33"/>
        <v>-0.5</v>
      </c>
      <c r="M387" s="1">
        <f t="shared" si="34"/>
        <v>1.7240871922081791E-3</v>
      </c>
      <c r="N387" s="2">
        <v>110.4</v>
      </c>
      <c r="O387" s="2">
        <v>107.2</v>
      </c>
      <c r="P387" s="2">
        <f t="shared" si="35"/>
        <v>3.2000000000000028</v>
      </c>
      <c r="Q387">
        <v>-1.3</v>
      </c>
    </row>
    <row r="388" spans="1:17">
      <c r="A388" t="s">
        <v>38</v>
      </c>
      <c r="B388" t="s">
        <v>8</v>
      </c>
      <c r="C388">
        <v>23</v>
      </c>
      <c r="D388">
        <v>59</v>
      </c>
      <c r="E388" s="1">
        <f t="shared" si="30"/>
        <v>0.28048780487804881</v>
      </c>
      <c r="F388" s="2">
        <v>89.7</v>
      </c>
      <c r="G388" s="2">
        <v>96</v>
      </c>
      <c r="H388" s="2">
        <f t="shared" si="31"/>
        <v>-6.2999999999999972</v>
      </c>
      <c r="I388" s="1">
        <f t="shared" si="32"/>
        <v>0.27882772823461371</v>
      </c>
      <c r="J388" s="2">
        <v>95.6</v>
      </c>
      <c r="K388" s="2">
        <v>102.1</v>
      </c>
      <c r="L388" s="2">
        <f t="shared" si="33"/>
        <v>-6.5</v>
      </c>
      <c r="M388" s="1">
        <f t="shared" si="34"/>
        <v>1.6600766434350933E-3</v>
      </c>
      <c r="N388" s="2">
        <v>84</v>
      </c>
      <c r="O388" s="2">
        <v>100.8</v>
      </c>
      <c r="P388" s="2">
        <f t="shared" si="35"/>
        <v>-16.799999999999997</v>
      </c>
      <c r="Q388">
        <v>-2.2000000000000002</v>
      </c>
    </row>
    <row r="389" spans="1:17">
      <c r="A389" t="s">
        <v>66</v>
      </c>
      <c r="B389" t="s">
        <v>11</v>
      </c>
      <c r="C389">
        <v>39</v>
      </c>
      <c r="D389">
        <v>25</v>
      </c>
      <c r="E389" s="1">
        <f t="shared" si="30"/>
        <v>0.609375</v>
      </c>
      <c r="F389" s="2">
        <v>120.2</v>
      </c>
      <c r="G389" s="2">
        <v>116.5</v>
      </c>
      <c r="H389" s="2">
        <f t="shared" si="31"/>
        <v>3.7000000000000028</v>
      </c>
      <c r="I389" s="1">
        <f t="shared" si="32"/>
        <v>0.6077157346709432</v>
      </c>
      <c r="J389" s="2">
        <v>120</v>
      </c>
      <c r="K389" s="2">
        <v>116.3</v>
      </c>
      <c r="L389" s="2">
        <f t="shared" si="33"/>
        <v>3.7000000000000028</v>
      </c>
      <c r="M389" s="1">
        <f t="shared" si="34"/>
        <v>1.6592653290568027E-3</v>
      </c>
      <c r="N389" s="2">
        <v>119.4</v>
      </c>
      <c r="O389" s="2">
        <v>128.5</v>
      </c>
      <c r="P389" s="2">
        <f t="shared" si="35"/>
        <v>-9.0999999999999943</v>
      </c>
      <c r="Q389" s="2">
        <v>-0.5</v>
      </c>
    </row>
    <row r="390" spans="1:17">
      <c r="A390" t="s">
        <v>38</v>
      </c>
      <c r="B390" t="s">
        <v>16</v>
      </c>
      <c r="C390">
        <v>28</v>
      </c>
      <c r="D390">
        <v>54</v>
      </c>
      <c r="E390" s="1">
        <f t="shared" si="30"/>
        <v>0.34146341463414637</v>
      </c>
      <c r="F390" s="2">
        <v>94.8</v>
      </c>
      <c r="G390" s="2">
        <v>99.4</v>
      </c>
      <c r="H390" s="2">
        <f t="shared" si="31"/>
        <v>-4.6000000000000085</v>
      </c>
      <c r="I390" s="1">
        <f t="shared" si="32"/>
        <v>0.33998571838438196</v>
      </c>
      <c r="J390" s="2">
        <v>101.9</v>
      </c>
      <c r="K390" s="2">
        <v>106.6</v>
      </c>
      <c r="L390" s="2">
        <f t="shared" si="33"/>
        <v>-4.6999999999999886</v>
      </c>
      <c r="M390" s="1">
        <f t="shared" si="34"/>
        <v>1.4776962497644042E-3</v>
      </c>
      <c r="N390" s="2">
        <v>93</v>
      </c>
      <c r="O390" s="2">
        <v>105.5</v>
      </c>
      <c r="P390" s="2">
        <f t="shared" si="35"/>
        <v>-12.5</v>
      </c>
      <c r="Q390">
        <v>-1.3</v>
      </c>
    </row>
    <row r="391" spans="1:17">
      <c r="A391" t="s">
        <v>54</v>
      </c>
      <c r="B391" t="s">
        <v>22</v>
      </c>
      <c r="C391">
        <v>17</v>
      </c>
      <c r="D391">
        <v>65</v>
      </c>
      <c r="E391" s="1">
        <f t="shared" si="30"/>
        <v>0.2073170731707317</v>
      </c>
      <c r="F391" s="2">
        <v>91.9</v>
      </c>
      <c r="G391" s="2">
        <v>101.2</v>
      </c>
      <c r="H391" s="2">
        <f t="shared" si="31"/>
        <v>-9.2999999999999972</v>
      </c>
      <c r="I391" s="1">
        <f t="shared" si="32"/>
        <v>0.20594097725423322</v>
      </c>
      <c r="J391" s="2">
        <v>98.9</v>
      </c>
      <c r="K391" s="2">
        <v>109</v>
      </c>
      <c r="L391" s="2">
        <f t="shared" si="33"/>
        <v>-10.099999999999994</v>
      </c>
      <c r="M391" s="1">
        <f t="shared" si="34"/>
        <v>1.3760959164984821E-3</v>
      </c>
      <c r="N391" s="2">
        <v>91.9</v>
      </c>
      <c r="O391" s="2">
        <v>101.5</v>
      </c>
      <c r="P391" s="2">
        <f t="shared" si="35"/>
        <v>-9.5999999999999943</v>
      </c>
      <c r="Q391">
        <v>0.6</v>
      </c>
    </row>
    <row r="392" spans="1:17">
      <c r="A392" t="s">
        <v>34</v>
      </c>
      <c r="B392" t="s">
        <v>15</v>
      </c>
      <c r="C392">
        <v>42</v>
      </c>
      <c r="D392">
        <v>40</v>
      </c>
      <c r="E392" s="1">
        <f t="shared" si="30"/>
        <v>0.51219512195121952</v>
      </c>
      <c r="F392" s="2">
        <v>96.8</v>
      </c>
      <c r="G392" s="2">
        <v>96.5</v>
      </c>
      <c r="H392" s="2">
        <f t="shared" si="31"/>
        <v>0.29999999999999716</v>
      </c>
      <c r="I392" s="1">
        <f t="shared" si="32"/>
        <v>0.51086224147445425</v>
      </c>
      <c r="J392" s="2">
        <v>102.8</v>
      </c>
      <c r="K392" s="2">
        <v>102.4</v>
      </c>
      <c r="L392" s="2">
        <f t="shared" si="33"/>
        <v>0.39999999999999147</v>
      </c>
      <c r="M392" s="1">
        <f t="shared" si="34"/>
        <v>1.3328804767652747E-3</v>
      </c>
      <c r="N392" s="2">
        <v>101.1</v>
      </c>
      <c r="O392" s="2">
        <v>103</v>
      </c>
      <c r="P392" s="2">
        <f t="shared" si="35"/>
        <v>-1.9000000000000057</v>
      </c>
      <c r="Q392">
        <v>-0.1</v>
      </c>
    </row>
    <row r="393" spans="1:17">
      <c r="A393" t="s">
        <v>38</v>
      </c>
      <c r="B393" t="s">
        <v>33</v>
      </c>
      <c r="C393">
        <v>25</v>
      </c>
      <c r="D393">
        <v>57</v>
      </c>
      <c r="E393" s="1">
        <f t="shared" ref="E393:E456" si="36">+C393/(C393+D393)</f>
        <v>0.3048780487804878</v>
      </c>
      <c r="F393" s="2">
        <v>91.8</v>
      </c>
      <c r="G393" s="2">
        <v>97.4</v>
      </c>
      <c r="H393" s="2">
        <f t="shared" ref="H393:H456" si="37">+F393-G393</f>
        <v>-5.6000000000000085</v>
      </c>
      <c r="I393" s="1">
        <f t="shared" ref="I393:I456" si="38">+(F393^14)/((F393^14+G393^14))</f>
        <v>0.30385766011408771</v>
      </c>
      <c r="J393" s="2">
        <v>97.1</v>
      </c>
      <c r="K393" s="2">
        <v>102.9</v>
      </c>
      <c r="L393" s="2">
        <f t="shared" ref="L393:L456" si="39">+J393-K393</f>
        <v>-5.8000000000000114</v>
      </c>
      <c r="M393" s="1">
        <f t="shared" ref="M393:M456" si="40">+E393-I393</f>
        <v>1.020388666400085E-3</v>
      </c>
      <c r="N393" s="2">
        <v>96.3</v>
      </c>
      <c r="O393" s="2">
        <v>108.8</v>
      </c>
      <c r="P393" s="2">
        <f t="shared" si="35"/>
        <v>-12.5</v>
      </c>
      <c r="Q393">
        <v>-1.1000000000000001</v>
      </c>
    </row>
    <row r="394" spans="1:17">
      <c r="A394" t="s">
        <v>57</v>
      </c>
      <c r="B394" t="s">
        <v>14</v>
      </c>
      <c r="C394">
        <v>55</v>
      </c>
      <c r="D394">
        <v>27</v>
      </c>
      <c r="E394" s="1">
        <f t="shared" si="36"/>
        <v>0.67073170731707321</v>
      </c>
      <c r="F394" s="2">
        <v>115.3</v>
      </c>
      <c r="G394" s="2">
        <v>109.6</v>
      </c>
      <c r="H394" s="2">
        <f t="shared" si="37"/>
        <v>5.7000000000000028</v>
      </c>
      <c r="I394" s="1">
        <f t="shared" si="38"/>
        <v>0.67035712884085974</v>
      </c>
      <c r="J394" s="2">
        <v>114.1</v>
      </c>
      <c r="K394" s="2">
        <v>108.4</v>
      </c>
      <c r="L394" s="2">
        <f t="shared" si="39"/>
        <v>5.6999999999999886</v>
      </c>
      <c r="M394" s="1">
        <f t="shared" si="40"/>
        <v>3.7457847621347184E-4</v>
      </c>
      <c r="N394" s="2">
        <v>100</v>
      </c>
      <c r="O394" s="2">
        <v>105.7</v>
      </c>
      <c r="P394" s="2">
        <f t="shared" ref="P394:P457" si="41">+N394-O394</f>
        <v>-5.7000000000000028</v>
      </c>
      <c r="Q394">
        <v>-1.1000000000000001</v>
      </c>
    </row>
    <row r="395" spans="1:17">
      <c r="A395" t="s">
        <v>43</v>
      </c>
      <c r="B395" t="s">
        <v>22</v>
      </c>
      <c r="C395">
        <v>33</v>
      </c>
      <c r="D395">
        <v>49</v>
      </c>
      <c r="E395" s="1">
        <f t="shared" si="36"/>
        <v>0.40243902439024393</v>
      </c>
      <c r="F395" s="2">
        <v>97.5</v>
      </c>
      <c r="G395" s="2">
        <v>100.3</v>
      </c>
      <c r="H395" s="2">
        <f t="shared" si="37"/>
        <v>-2.7999999999999972</v>
      </c>
      <c r="I395" s="1">
        <f t="shared" si="38"/>
        <v>0.40218084588560077</v>
      </c>
      <c r="J395" s="2">
        <v>104.3</v>
      </c>
      <c r="K395" s="2">
        <v>107.4</v>
      </c>
      <c r="L395" s="2">
        <f t="shared" si="39"/>
        <v>-3.1000000000000085</v>
      </c>
      <c r="M395" s="1">
        <f t="shared" si="40"/>
        <v>2.5817850464315839E-4</v>
      </c>
      <c r="N395" s="2">
        <v>107.4</v>
      </c>
      <c r="O395" s="2">
        <v>102.9</v>
      </c>
      <c r="P395" s="2">
        <f t="shared" si="41"/>
        <v>4.5</v>
      </c>
      <c r="Q395">
        <v>-0.2</v>
      </c>
    </row>
    <row r="396" spans="1:17">
      <c r="A396" t="s">
        <v>48</v>
      </c>
      <c r="B396" t="s">
        <v>16</v>
      </c>
      <c r="C396">
        <v>32</v>
      </c>
      <c r="D396">
        <v>50</v>
      </c>
      <c r="E396" s="1">
        <f t="shared" si="36"/>
        <v>0.3902439024390244</v>
      </c>
      <c r="F396" s="2">
        <v>98.6</v>
      </c>
      <c r="G396" s="2">
        <v>101.8</v>
      </c>
      <c r="H396" s="2">
        <f t="shared" si="37"/>
        <v>-3.2000000000000028</v>
      </c>
      <c r="I396" s="1">
        <f t="shared" si="38"/>
        <v>0.39004006855823664</v>
      </c>
      <c r="J396" s="2">
        <v>104.8</v>
      </c>
      <c r="K396" s="2">
        <v>108</v>
      </c>
      <c r="L396" s="2">
        <f t="shared" si="39"/>
        <v>-3.2000000000000028</v>
      </c>
      <c r="M396" s="1">
        <f t="shared" si="40"/>
        <v>2.0383388078776266E-4</v>
      </c>
      <c r="N396" s="2">
        <v>107.1</v>
      </c>
      <c r="O396" s="2">
        <v>108.2</v>
      </c>
      <c r="P396" s="2">
        <f t="shared" si="41"/>
        <v>-1.1000000000000085</v>
      </c>
      <c r="Q396">
        <v>-1.1000000000000001</v>
      </c>
    </row>
    <row r="397" spans="1:17">
      <c r="A397" t="s">
        <v>59</v>
      </c>
      <c r="B397" t="s">
        <v>14</v>
      </c>
      <c r="C397">
        <v>53</v>
      </c>
      <c r="D397">
        <v>29</v>
      </c>
      <c r="E397" s="1">
        <f t="shared" si="36"/>
        <v>0.64634146341463417</v>
      </c>
      <c r="F397" s="2">
        <v>113.9</v>
      </c>
      <c r="G397" s="2">
        <v>109.1</v>
      </c>
      <c r="H397" s="2">
        <f t="shared" si="37"/>
        <v>4.8000000000000114</v>
      </c>
      <c r="I397" s="1">
        <f t="shared" si="38"/>
        <v>0.64629291131974342</v>
      </c>
      <c r="J397" s="2">
        <v>114.9</v>
      </c>
      <c r="K397" s="2">
        <v>110.1</v>
      </c>
      <c r="L397" s="2">
        <f t="shared" si="39"/>
        <v>4.8000000000000114</v>
      </c>
      <c r="M397" s="1">
        <f t="shared" si="40"/>
        <v>4.8552094890741415E-5</v>
      </c>
      <c r="N397" s="2">
        <v>111.8</v>
      </c>
      <c r="O397" s="2">
        <v>113.4</v>
      </c>
      <c r="P397" s="2">
        <f t="shared" si="41"/>
        <v>-1.6000000000000085</v>
      </c>
      <c r="Q397">
        <v>0.5</v>
      </c>
    </row>
    <row r="398" spans="1:17">
      <c r="A398" t="s">
        <v>45</v>
      </c>
      <c r="B398" t="s">
        <v>25</v>
      </c>
      <c r="C398">
        <v>46</v>
      </c>
      <c r="D398">
        <v>36</v>
      </c>
      <c r="E398" s="1">
        <f t="shared" si="36"/>
        <v>0.56097560975609762</v>
      </c>
      <c r="F398" s="2">
        <v>109.4</v>
      </c>
      <c r="G398" s="2">
        <v>107.5</v>
      </c>
      <c r="H398" s="2">
        <f t="shared" si="37"/>
        <v>1.9000000000000057</v>
      </c>
      <c r="I398" s="1">
        <f t="shared" si="38"/>
        <v>0.56101455538977274</v>
      </c>
      <c r="J398" s="2">
        <v>112.4</v>
      </c>
      <c r="K398" s="2">
        <v>110.4</v>
      </c>
      <c r="L398" s="2">
        <f t="shared" si="39"/>
        <v>2</v>
      </c>
      <c r="M398" s="1">
        <f t="shared" si="40"/>
        <v>-3.8945633675124824E-5</v>
      </c>
      <c r="N398" s="2">
        <v>111.9</v>
      </c>
      <c r="O398" s="2">
        <v>109.8</v>
      </c>
      <c r="P398" s="2">
        <f t="shared" si="41"/>
        <v>2.1000000000000085</v>
      </c>
      <c r="Q398">
        <v>1.5</v>
      </c>
    </row>
    <row r="399" spans="1:17">
      <c r="A399" t="s">
        <v>47</v>
      </c>
      <c r="B399" t="s">
        <v>19</v>
      </c>
      <c r="C399">
        <v>46</v>
      </c>
      <c r="D399">
        <v>36</v>
      </c>
      <c r="E399" s="1">
        <f t="shared" si="36"/>
        <v>0.56097560975609762</v>
      </c>
      <c r="F399" s="2">
        <v>97.7</v>
      </c>
      <c r="G399" s="2">
        <v>96</v>
      </c>
      <c r="H399" s="2">
        <f t="shared" si="37"/>
        <v>1.7000000000000028</v>
      </c>
      <c r="I399" s="1">
        <f t="shared" si="38"/>
        <v>0.56112945331002462</v>
      </c>
      <c r="J399" s="2">
        <v>104</v>
      </c>
      <c r="K399" s="2">
        <v>101.9</v>
      </c>
      <c r="L399" s="2">
        <f t="shared" si="39"/>
        <v>2.0999999999999943</v>
      </c>
      <c r="M399" s="1">
        <f t="shared" si="40"/>
        <v>-1.5384355392700222E-4</v>
      </c>
      <c r="N399" s="2">
        <v>99.6</v>
      </c>
      <c r="O399" s="2">
        <v>95.1</v>
      </c>
      <c r="P399" s="2">
        <f t="shared" si="41"/>
        <v>4.5</v>
      </c>
      <c r="Q399">
        <v>0.2</v>
      </c>
    </row>
    <row r="400" spans="1:17">
      <c r="A400" t="s">
        <v>60</v>
      </c>
      <c r="B400" t="s">
        <v>35</v>
      </c>
      <c r="C400">
        <v>34</v>
      </c>
      <c r="D400">
        <v>39</v>
      </c>
      <c r="E400" s="1">
        <f t="shared" si="36"/>
        <v>0.46575342465753422</v>
      </c>
      <c r="F400" s="2">
        <v>112.6</v>
      </c>
      <c r="G400" s="2">
        <v>113.7</v>
      </c>
      <c r="H400" s="2">
        <f t="shared" si="37"/>
        <v>-1.1000000000000085</v>
      </c>
      <c r="I400" s="1">
        <f t="shared" si="38"/>
        <v>0.46602653038070502</v>
      </c>
      <c r="J400" s="2">
        <v>108.7</v>
      </c>
      <c r="K400" s="2">
        <v>109.7</v>
      </c>
      <c r="L400" s="2">
        <f t="shared" si="39"/>
        <v>-1</v>
      </c>
      <c r="M400" s="1">
        <f t="shared" si="40"/>
        <v>-2.7310572317079673E-4</v>
      </c>
      <c r="N400" s="2">
        <v>100</v>
      </c>
      <c r="O400" s="2">
        <v>116.1</v>
      </c>
      <c r="P400" s="2">
        <f t="shared" si="41"/>
        <v>-16.099999999999994</v>
      </c>
      <c r="Q400">
        <v>-0.1</v>
      </c>
    </row>
    <row r="401" spans="1:17">
      <c r="A401" t="s">
        <v>36</v>
      </c>
      <c r="B401" t="s">
        <v>30</v>
      </c>
      <c r="C401">
        <v>24</v>
      </c>
      <c r="D401">
        <v>58</v>
      </c>
      <c r="E401" s="1">
        <f t="shared" si="36"/>
        <v>0.29268292682926828</v>
      </c>
      <c r="F401" s="2">
        <v>90.9</v>
      </c>
      <c r="G401" s="2">
        <v>96.8</v>
      </c>
      <c r="H401" s="2">
        <f t="shared" si="37"/>
        <v>-5.8999999999999915</v>
      </c>
      <c r="I401" s="1">
        <f t="shared" si="38"/>
        <v>0.29309118654274396</v>
      </c>
      <c r="J401" s="2">
        <v>99.3</v>
      </c>
      <c r="K401" s="2">
        <v>105.6</v>
      </c>
      <c r="L401" s="2">
        <f t="shared" si="39"/>
        <v>-6.2999999999999972</v>
      </c>
      <c r="M401" s="1">
        <f t="shared" si="40"/>
        <v>-4.0825971347568935E-4</v>
      </c>
      <c r="N401" s="2">
        <v>101.2</v>
      </c>
      <c r="O401" s="2">
        <v>103.7</v>
      </c>
      <c r="P401" s="2">
        <f t="shared" si="41"/>
        <v>-2.5</v>
      </c>
      <c r="Q401">
        <v>-1</v>
      </c>
    </row>
    <row r="402" spans="1:17">
      <c r="A402" t="s">
        <v>65</v>
      </c>
      <c r="B402" t="s">
        <v>14</v>
      </c>
      <c r="C402">
        <v>52</v>
      </c>
      <c r="D402">
        <v>29</v>
      </c>
      <c r="E402" s="1">
        <f t="shared" si="36"/>
        <v>0.64197530864197527</v>
      </c>
      <c r="F402" s="2">
        <v>114.5</v>
      </c>
      <c r="G402" s="2">
        <v>109.8</v>
      </c>
      <c r="H402" s="2">
        <f t="shared" si="37"/>
        <v>4.7000000000000028</v>
      </c>
      <c r="I402" s="1">
        <f t="shared" si="38"/>
        <v>0.64263060711327835</v>
      </c>
      <c r="J402" s="2">
        <v>115.1</v>
      </c>
      <c r="K402" s="2">
        <v>110.2</v>
      </c>
      <c r="L402" s="2">
        <f t="shared" si="39"/>
        <v>4.8999999999999915</v>
      </c>
      <c r="M402" s="1">
        <f t="shared" si="40"/>
        <v>-6.552984713030785E-4</v>
      </c>
      <c r="N402" s="2">
        <v>107.1</v>
      </c>
      <c r="O402" s="2">
        <v>107.1</v>
      </c>
      <c r="P402" s="2">
        <f t="shared" si="41"/>
        <v>0</v>
      </c>
      <c r="Q402">
        <v>-0.5</v>
      </c>
    </row>
    <row r="403" spans="1:17">
      <c r="A403" t="s">
        <v>65</v>
      </c>
      <c r="B403" t="s">
        <v>46</v>
      </c>
      <c r="C403">
        <v>67</v>
      </c>
      <c r="D403">
        <v>14</v>
      </c>
      <c r="E403" s="1">
        <f t="shared" si="36"/>
        <v>0.8271604938271605</v>
      </c>
      <c r="F403" s="2">
        <v>120.6</v>
      </c>
      <c r="G403" s="2">
        <v>107.8</v>
      </c>
      <c r="H403" s="2">
        <f t="shared" si="37"/>
        <v>12.799999999999997</v>
      </c>
      <c r="I403" s="1">
        <f t="shared" si="38"/>
        <v>0.82790086778629035</v>
      </c>
      <c r="J403" s="2">
        <v>119.3</v>
      </c>
      <c r="K403" s="2">
        <v>106.7</v>
      </c>
      <c r="L403" s="2">
        <f t="shared" si="39"/>
        <v>12.599999999999994</v>
      </c>
      <c r="M403" s="1">
        <f t="shared" si="40"/>
        <v>-7.4037395912984749E-4</v>
      </c>
      <c r="N403" s="2">
        <v>118.2</v>
      </c>
      <c r="O403" s="2">
        <v>107.1</v>
      </c>
      <c r="P403" s="2">
        <f t="shared" si="41"/>
        <v>11.100000000000009</v>
      </c>
      <c r="Q403">
        <v>1.9</v>
      </c>
    </row>
    <row r="404" spans="1:17">
      <c r="A404" t="s">
        <v>38</v>
      </c>
      <c r="B404" t="s">
        <v>24</v>
      </c>
      <c r="C404">
        <v>33</v>
      </c>
      <c r="D404">
        <v>49</v>
      </c>
      <c r="E404" s="1">
        <f t="shared" si="36"/>
        <v>0.40243902439024393</v>
      </c>
      <c r="F404" s="2">
        <v>88</v>
      </c>
      <c r="G404" s="2">
        <v>90.5</v>
      </c>
      <c r="H404" s="2">
        <f t="shared" si="37"/>
        <v>-2.5</v>
      </c>
      <c r="I404" s="1">
        <f t="shared" si="38"/>
        <v>0.4031920171201035</v>
      </c>
      <c r="J404" s="2">
        <v>97.8</v>
      </c>
      <c r="K404" s="2">
        <v>100.4</v>
      </c>
      <c r="L404" s="2">
        <f t="shared" si="39"/>
        <v>-2.6000000000000085</v>
      </c>
      <c r="M404" s="1">
        <f t="shared" si="40"/>
        <v>-7.5299272985956955E-4</v>
      </c>
      <c r="N404" s="2">
        <v>82.5</v>
      </c>
      <c r="O404" s="2">
        <v>90.9</v>
      </c>
      <c r="P404" s="2">
        <f t="shared" si="41"/>
        <v>-8.4000000000000057</v>
      </c>
      <c r="Q404">
        <v>-0.1</v>
      </c>
    </row>
    <row r="405" spans="1:17">
      <c r="A405" t="s">
        <v>34</v>
      </c>
      <c r="B405" t="s">
        <v>7</v>
      </c>
      <c r="C405">
        <v>44</v>
      </c>
      <c r="D405">
        <v>38</v>
      </c>
      <c r="E405" s="1">
        <f t="shared" si="36"/>
        <v>0.53658536585365857</v>
      </c>
      <c r="F405" s="2">
        <v>93.9</v>
      </c>
      <c r="G405" s="2">
        <v>92.9</v>
      </c>
      <c r="H405" s="2">
        <f t="shared" si="37"/>
        <v>1</v>
      </c>
      <c r="I405" s="1">
        <f t="shared" si="38"/>
        <v>0.5374035846136257</v>
      </c>
      <c r="J405" s="2">
        <v>102.9</v>
      </c>
      <c r="K405" s="2">
        <v>101.8</v>
      </c>
      <c r="L405" s="2">
        <f t="shared" si="39"/>
        <v>1.1000000000000085</v>
      </c>
      <c r="M405" s="1">
        <f t="shared" si="40"/>
        <v>-8.1821875996712645E-4</v>
      </c>
      <c r="N405" s="2">
        <v>101.1</v>
      </c>
      <c r="O405" s="2">
        <v>97.9</v>
      </c>
      <c r="P405" s="2">
        <f t="shared" si="41"/>
        <v>3.1999999999999886</v>
      </c>
      <c r="Q405">
        <v>-0.5</v>
      </c>
    </row>
    <row r="406" spans="1:17">
      <c r="A406" t="s">
        <v>45</v>
      </c>
      <c r="B406" t="s">
        <v>23</v>
      </c>
      <c r="C406">
        <v>59</v>
      </c>
      <c r="D406">
        <v>23</v>
      </c>
      <c r="E406" s="1">
        <f t="shared" si="36"/>
        <v>0.71951219512195119</v>
      </c>
      <c r="F406" s="2">
        <v>101</v>
      </c>
      <c r="G406" s="2">
        <v>94.4</v>
      </c>
      <c r="H406" s="2">
        <f t="shared" si="37"/>
        <v>6.5999999999999943</v>
      </c>
      <c r="I406" s="1">
        <f t="shared" si="38"/>
        <v>0.72033264065959124</v>
      </c>
      <c r="J406" s="2">
        <v>108.3</v>
      </c>
      <c r="K406" s="2">
        <v>101.3</v>
      </c>
      <c r="L406" s="2">
        <f t="shared" si="39"/>
        <v>7</v>
      </c>
      <c r="M406" s="1">
        <f t="shared" si="40"/>
        <v>-8.2044553764004657E-4</v>
      </c>
      <c r="N406" s="2">
        <v>106.3</v>
      </c>
      <c r="O406" s="2">
        <v>88.6</v>
      </c>
      <c r="P406" s="2">
        <f t="shared" si="41"/>
        <v>17.700000000000003</v>
      </c>
      <c r="Q406">
        <v>1.3</v>
      </c>
    </row>
    <row r="407" spans="1:17">
      <c r="A407" t="s">
        <v>55</v>
      </c>
      <c r="B407" t="s">
        <v>9</v>
      </c>
      <c r="C407">
        <v>57</v>
      </c>
      <c r="D407">
        <v>25</v>
      </c>
      <c r="E407" s="1">
        <f t="shared" si="36"/>
        <v>0.69512195121951215</v>
      </c>
      <c r="F407" s="2">
        <v>104.3</v>
      </c>
      <c r="G407" s="2">
        <v>98.3</v>
      </c>
      <c r="H407" s="2">
        <f t="shared" si="37"/>
        <v>6</v>
      </c>
      <c r="I407" s="1">
        <f t="shared" si="38"/>
        <v>0.6962413060313849</v>
      </c>
      <c r="J407" s="2">
        <v>110.2</v>
      </c>
      <c r="K407" s="2">
        <v>103.9</v>
      </c>
      <c r="L407" s="2">
        <f t="shared" si="39"/>
        <v>6.2999999999999972</v>
      </c>
      <c r="M407" s="1">
        <f t="shared" si="40"/>
        <v>-1.1193548118727525E-3</v>
      </c>
      <c r="N407" s="2">
        <v>103.4</v>
      </c>
      <c r="O407" s="2">
        <v>98</v>
      </c>
      <c r="P407" s="2">
        <f t="shared" si="41"/>
        <v>5.4000000000000057</v>
      </c>
      <c r="Q407">
        <v>0.7</v>
      </c>
    </row>
    <row r="408" spans="1:17">
      <c r="A408" t="s">
        <v>65</v>
      </c>
      <c r="B408" t="s">
        <v>28</v>
      </c>
      <c r="C408">
        <v>34</v>
      </c>
      <c r="D408">
        <v>48</v>
      </c>
      <c r="E408" s="1">
        <f t="shared" si="36"/>
        <v>0.41463414634146339</v>
      </c>
      <c r="F408" s="2">
        <v>113.9</v>
      </c>
      <c r="G408" s="2">
        <v>116.7</v>
      </c>
      <c r="H408" s="2">
        <f t="shared" si="37"/>
        <v>-2.7999999999999972</v>
      </c>
      <c r="I408" s="1">
        <f t="shared" si="38"/>
        <v>0.41580963161703305</v>
      </c>
      <c r="J408" s="2">
        <v>113.5</v>
      </c>
      <c r="K408" s="2">
        <v>116.3</v>
      </c>
      <c r="L408" s="2">
        <f t="shared" si="39"/>
        <v>-2.7999999999999972</v>
      </c>
      <c r="M408" s="1">
        <f t="shared" si="40"/>
        <v>-1.1754852755696543E-3</v>
      </c>
      <c r="N408" s="2">
        <v>103.5</v>
      </c>
      <c r="O408" s="2">
        <v>107.4</v>
      </c>
      <c r="P408" s="2">
        <f t="shared" si="41"/>
        <v>-3.9000000000000057</v>
      </c>
      <c r="Q408">
        <v>-0.2</v>
      </c>
    </row>
    <row r="409" spans="1:17">
      <c r="A409" t="s">
        <v>52</v>
      </c>
      <c r="B409" t="s">
        <v>25</v>
      </c>
      <c r="C409">
        <v>48</v>
      </c>
      <c r="D409">
        <v>34</v>
      </c>
      <c r="E409" s="1">
        <f t="shared" si="36"/>
        <v>0.58536585365853655</v>
      </c>
      <c r="F409" s="2">
        <v>105.2</v>
      </c>
      <c r="G409" s="2">
        <v>102.6</v>
      </c>
      <c r="H409" s="2">
        <f t="shared" si="37"/>
        <v>2.6000000000000085</v>
      </c>
      <c r="I409" s="1">
        <f t="shared" si="38"/>
        <v>0.58670369823184843</v>
      </c>
      <c r="J409" s="2">
        <v>108.2</v>
      </c>
      <c r="K409" s="2">
        <v>105.6</v>
      </c>
      <c r="L409" s="2">
        <f t="shared" si="39"/>
        <v>2.6000000000000085</v>
      </c>
      <c r="M409" s="1">
        <f t="shared" si="40"/>
        <v>-1.3378445733118749E-3</v>
      </c>
      <c r="N409" s="2">
        <v>96.2</v>
      </c>
      <c r="O409" s="2">
        <v>97.1</v>
      </c>
      <c r="P409" s="2">
        <f t="shared" si="41"/>
        <v>-0.89999999999999147</v>
      </c>
      <c r="Q409">
        <v>0.4</v>
      </c>
    </row>
    <row r="410" spans="1:17">
      <c r="A410" t="s">
        <v>34</v>
      </c>
      <c r="B410" t="s">
        <v>18</v>
      </c>
      <c r="C410">
        <v>36</v>
      </c>
      <c r="D410">
        <v>46</v>
      </c>
      <c r="E410" s="1">
        <f t="shared" si="36"/>
        <v>0.43902439024390244</v>
      </c>
      <c r="F410" s="2">
        <v>87.2</v>
      </c>
      <c r="G410" s="2">
        <v>88.7</v>
      </c>
      <c r="H410" s="2">
        <f t="shared" si="37"/>
        <v>-1.5</v>
      </c>
      <c r="I410" s="1">
        <f t="shared" si="38"/>
        <v>0.44058756031569546</v>
      </c>
      <c r="J410" s="2">
        <v>97.3</v>
      </c>
      <c r="K410" s="2">
        <v>99</v>
      </c>
      <c r="L410" s="2">
        <f t="shared" si="39"/>
        <v>-1.7000000000000028</v>
      </c>
      <c r="M410" s="1">
        <f t="shared" si="40"/>
        <v>-1.5631700717930186E-3</v>
      </c>
      <c r="N410" s="2">
        <v>86.1</v>
      </c>
      <c r="O410" s="2">
        <v>92</v>
      </c>
      <c r="P410" s="2">
        <f t="shared" si="41"/>
        <v>-5.9000000000000057</v>
      </c>
      <c r="Q410">
        <v>-0.4</v>
      </c>
    </row>
    <row r="411" spans="1:17">
      <c r="A411" t="s">
        <v>45</v>
      </c>
      <c r="B411" t="s">
        <v>21</v>
      </c>
      <c r="C411">
        <v>34</v>
      </c>
      <c r="D411">
        <v>48</v>
      </c>
      <c r="E411" s="1">
        <f t="shared" si="36"/>
        <v>0.41463414634146339</v>
      </c>
      <c r="F411" s="2">
        <v>98.1</v>
      </c>
      <c r="G411" s="2">
        <v>100.5</v>
      </c>
      <c r="H411" s="2">
        <f t="shared" si="37"/>
        <v>-2.4000000000000057</v>
      </c>
      <c r="I411" s="1">
        <f t="shared" si="38"/>
        <v>0.41620182026051067</v>
      </c>
      <c r="J411" s="2">
        <v>106.8</v>
      </c>
      <c r="K411" s="2">
        <v>109.5</v>
      </c>
      <c r="L411" s="2">
        <f t="shared" si="39"/>
        <v>-2.7000000000000028</v>
      </c>
      <c r="M411" s="1">
        <f t="shared" si="40"/>
        <v>-1.5676739190472744E-3</v>
      </c>
      <c r="N411" s="2">
        <v>105.3</v>
      </c>
      <c r="O411" s="2">
        <v>108.1</v>
      </c>
      <c r="P411" s="2">
        <f t="shared" si="41"/>
        <v>-2.7999999999999972</v>
      </c>
      <c r="Q411">
        <v>1.1000000000000001</v>
      </c>
    </row>
    <row r="412" spans="1:17">
      <c r="A412" t="s">
        <v>61</v>
      </c>
      <c r="B412" t="s">
        <v>5</v>
      </c>
      <c r="C412">
        <v>41</v>
      </c>
      <c r="D412">
        <v>31</v>
      </c>
      <c r="E412" s="1">
        <f t="shared" si="36"/>
        <v>0.56944444444444442</v>
      </c>
      <c r="F412" s="2">
        <v>113.7</v>
      </c>
      <c r="G412" s="2">
        <v>111.4</v>
      </c>
      <c r="H412" s="2">
        <f t="shared" si="37"/>
        <v>2.2999999999999972</v>
      </c>
      <c r="I412" s="1">
        <f t="shared" si="38"/>
        <v>0.57104231246361747</v>
      </c>
      <c r="J412" s="2">
        <v>114.3</v>
      </c>
      <c r="K412" s="2">
        <v>112.1</v>
      </c>
      <c r="L412" s="2">
        <f t="shared" si="39"/>
        <v>2.2000000000000028</v>
      </c>
      <c r="M412" s="1">
        <f t="shared" si="40"/>
        <v>-1.5978680191730543E-3</v>
      </c>
      <c r="N412" s="2">
        <v>113.7</v>
      </c>
      <c r="O412" s="2">
        <v>113.1</v>
      </c>
      <c r="P412" s="2">
        <f t="shared" si="41"/>
        <v>0.60000000000000853</v>
      </c>
      <c r="Q412">
        <v>0.7</v>
      </c>
    </row>
    <row r="413" spans="1:17">
      <c r="A413" t="s">
        <v>65</v>
      </c>
      <c r="B413" t="s">
        <v>22</v>
      </c>
      <c r="C413">
        <v>51</v>
      </c>
      <c r="D413">
        <v>31</v>
      </c>
      <c r="E413" s="1">
        <f t="shared" si="36"/>
        <v>0.62195121951219512</v>
      </c>
      <c r="F413" s="2">
        <v>115.8</v>
      </c>
      <c r="G413" s="2">
        <v>111.7</v>
      </c>
      <c r="H413" s="2">
        <f t="shared" si="37"/>
        <v>4.0999999999999943</v>
      </c>
      <c r="I413" s="1">
        <f t="shared" si="38"/>
        <v>0.62355617559165299</v>
      </c>
      <c r="J413" s="2">
        <v>117.3</v>
      </c>
      <c r="K413" s="2">
        <v>113.3</v>
      </c>
      <c r="L413" s="2">
        <f t="shared" si="39"/>
        <v>4</v>
      </c>
      <c r="M413" s="1">
        <f t="shared" si="40"/>
        <v>-1.6049560794578754E-3</v>
      </c>
      <c r="N413" s="2">
        <v>111.2</v>
      </c>
      <c r="O413" s="2">
        <v>108.4</v>
      </c>
      <c r="P413" s="2">
        <f t="shared" si="41"/>
        <v>2.7999999999999972</v>
      </c>
      <c r="Q413">
        <v>-1</v>
      </c>
    </row>
    <row r="414" spans="1:17">
      <c r="A414" t="s">
        <v>41</v>
      </c>
      <c r="B414" t="s">
        <v>18</v>
      </c>
      <c r="C414">
        <v>52</v>
      </c>
      <c r="D414">
        <v>30</v>
      </c>
      <c r="E414" s="1">
        <f t="shared" si="36"/>
        <v>0.63414634146341464</v>
      </c>
      <c r="F414" s="2">
        <v>99.9</v>
      </c>
      <c r="G414" s="2">
        <v>96</v>
      </c>
      <c r="H414" s="2">
        <f t="shared" si="37"/>
        <v>3.9000000000000057</v>
      </c>
      <c r="I414" s="1">
        <f t="shared" si="38"/>
        <v>0.63587410412119993</v>
      </c>
      <c r="J414" s="2">
        <v>107.5</v>
      </c>
      <c r="K414" s="2">
        <v>103.4</v>
      </c>
      <c r="L414" s="2">
        <f t="shared" si="39"/>
        <v>4.0999999999999943</v>
      </c>
      <c r="M414" s="1">
        <f t="shared" si="40"/>
        <v>-1.7277626577852923E-3</v>
      </c>
      <c r="N414" s="2">
        <v>115.1</v>
      </c>
      <c r="O414" s="2">
        <v>105.6</v>
      </c>
      <c r="P414" s="2">
        <f t="shared" si="41"/>
        <v>9.5</v>
      </c>
      <c r="Q414">
        <v>1.5</v>
      </c>
    </row>
    <row r="415" spans="1:17">
      <c r="A415" t="s">
        <v>54</v>
      </c>
      <c r="B415" t="s">
        <v>9</v>
      </c>
      <c r="C415">
        <v>53</v>
      </c>
      <c r="D415">
        <v>29</v>
      </c>
      <c r="E415" s="1">
        <f t="shared" si="36"/>
        <v>0.64634146341463417</v>
      </c>
      <c r="F415" s="2">
        <v>103.1</v>
      </c>
      <c r="G415" s="2">
        <v>98.7</v>
      </c>
      <c r="H415" s="2">
        <f t="shared" si="37"/>
        <v>4.3999999999999915</v>
      </c>
      <c r="I415" s="1">
        <f t="shared" si="38"/>
        <v>0.64807816531272</v>
      </c>
      <c r="J415" s="2">
        <v>110.1</v>
      </c>
      <c r="K415" s="2">
        <v>105.3</v>
      </c>
      <c r="L415" s="2">
        <f t="shared" si="39"/>
        <v>4.7999999999999972</v>
      </c>
      <c r="M415" s="1">
        <f t="shared" si="40"/>
        <v>-1.7367018980858351E-3</v>
      </c>
      <c r="N415" s="2">
        <v>112.7</v>
      </c>
      <c r="O415" s="2">
        <v>103</v>
      </c>
      <c r="P415" s="2">
        <f t="shared" si="41"/>
        <v>9.7000000000000028</v>
      </c>
      <c r="Q415">
        <v>0</v>
      </c>
    </row>
    <row r="416" spans="1:17">
      <c r="A416" t="s">
        <v>36</v>
      </c>
      <c r="B416" t="s">
        <v>22</v>
      </c>
      <c r="C416">
        <v>37</v>
      </c>
      <c r="D416">
        <v>45</v>
      </c>
      <c r="E416" s="1">
        <f t="shared" si="36"/>
        <v>0.45121951219512196</v>
      </c>
      <c r="F416" s="2">
        <v>95.9</v>
      </c>
      <c r="G416" s="2">
        <v>97.2</v>
      </c>
      <c r="H416" s="2">
        <f t="shared" si="37"/>
        <v>-1.2999999999999972</v>
      </c>
      <c r="I416" s="1">
        <f t="shared" si="38"/>
        <v>0.45301250427242873</v>
      </c>
      <c r="J416" s="2">
        <v>103.3</v>
      </c>
      <c r="K416" s="2">
        <v>104.6</v>
      </c>
      <c r="L416" s="2">
        <f t="shared" si="39"/>
        <v>-1.2999999999999972</v>
      </c>
      <c r="M416" s="1">
        <f t="shared" si="40"/>
        <v>-1.7929920773067654E-3</v>
      </c>
      <c r="N416" s="2">
        <v>100</v>
      </c>
      <c r="O416" s="2">
        <v>106.3</v>
      </c>
      <c r="P416" s="2">
        <f t="shared" si="41"/>
        <v>-6.2999999999999972</v>
      </c>
      <c r="Q416">
        <v>-0.3</v>
      </c>
    </row>
    <row r="417" spans="1:17">
      <c r="A417" t="s">
        <v>4</v>
      </c>
      <c r="B417" t="s">
        <v>10</v>
      </c>
      <c r="C417">
        <v>53</v>
      </c>
      <c r="D417">
        <v>29</v>
      </c>
      <c r="E417" s="1">
        <f t="shared" si="36"/>
        <v>0.64634146341463417</v>
      </c>
      <c r="F417" s="2">
        <v>100.5</v>
      </c>
      <c r="G417" s="2">
        <v>96.2</v>
      </c>
      <c r="H417" s="2">
        <f t="shared" si="37"/>
        <v>4.2999999999999972</v>
      </c>
      <c r="I417" s="1">
        <f t="shared" si="38"/>
        <v>0.64844184492485568</v>
      </c>
      <c r="J417" s="2">
        <v>105.6</v>
      </c>
      <c r="K417" s="2">
        <v>101.2</v>
      </c>
      <c r="L417" s="2">
        <f t="shared" si="39"/>
        <v>4.3999999999999915</v>
      </c>
      <c r="M417" s="1">
        <f t="shared" si="40"/>
        <v>-2.1003815102215162E-3</v>
      </c>
      <c r="N417" s="2">
        <v>103.3</v>
      </c>
      <c r="O417" s="2">
        <v>104</v>
      </c>
      <c r="P417" s="2">
        <f t="shared" si="41"/>
        <v>-0.70000000000000284</v>
      </c>
      <c r="Q417">
        <v>1</v>
      </c>
    </row>
    <row r="418" spans="1:17">
      <c r="A418" t="s">
        <v>57</v>
      </c>
      <c r="B418" t="s">
        <v>22</v>
      </c>
      <c r="C418">
        <v>31</v>
      </c>
      <c r="D418">
        <v>51</v>
      </c>
      <c r="E418" s="1">
        <f t="shared" si="36"/>
        <v>0.37804878048780488</v>
      </c>
      <c r="F418" s="2">
        <v>104.3</v>
      </c>
      <c r="G418" s="2">
        <v>108</v>
      </c>
      <c r="H418" s="2">
        <f t="shared" si="37"/>
        <v>-3.7000000000000028</v>
      </c>
      <c r="I418" s="1">
        <f t="shared" si="38"/>
        <v>0.38035584719829063</v>
      </c>
      <c r="J418" s="2">
        <v>107.1</v>
      </c>
      <c r="K418" s="2">
        <v>110.7</v>
      </c>
      <c r="L418" s="2">
        <f t="shared" si="39"/>
        <v>-3.6000000000000085</v>
      </c>
      <c r="M418" s="1">
        <f t="shared" si="40"/>
        <v>-2.3070667104857501E-3</v>
      </c>
      <c r="N418" s="2">
        <v>104.7</v>
      </c>
      <c r="O418" s="2">
        <v>106.7</v>
      </c>
      <c r="P418" s="2">
        <f t="shared" si="41"/>
        <v>-2</v>
      </c>
      <c r="Q418">
        <v>0.6</v>
      </c>
    </row>
    <row r="419" spans="1:17">
      <c r="A419" t="s">
        <v>55</v>
      </c>
      <c r="B419" t="s">
        <v>28</v>
      </c>
      <c r="C419">
        <v>67</v>
      </c>
      <c r="D419">
        <v>15</v>
      </c>
      <c r="E419" s="1">
        <f t="shared" si="36"/>
        <v>0.81707317073170727</v>
      </c>
      <c r="F419" s="2">
        <v>103.5</v>
      </c>
      <c r="G419" s="2">
        <v>92.9</v>
      </c>
      <c r="H419" s="2">
        <f t="shared" si="37"/>
        <v>10.599999999999994</v>
      </c>
      <c r="I419" s="1">
        <f t="shared" si="38"/>
        <v>0.81945679097395319</v>
      </c>
      <c r="J419" s="2">
        <v>109.3</v>
      </c>
      <c r="K419" s="2">
        <v>98.2</v>
      </c>
      <c r="L419" s="2">
        <f t="shared" si="39"/>
        <v>11.099999999999994</v>
      </c>
      <c r="M419" s="1">
        <f t="shared" si="40"/>
        <v>-2.3836202422459207E-3</v>
      </c>
      <c r="N419" s="2">
        <v>111.1</v>
      </c>
      <c r="O419" s="2">
        <v>92.4</v>
      </c>
      <c r="P419" s="2">
        <f t="shared" si="41"/>
        <v>18.699999999999989</v>
      </c>
      <c r="Q419">
        <v>2</v>
      </c>
    </row>
    <row r="420" spans="1:17">
      <c r="A420" t="s">
        <v>54</v>
      </c>
      <c r="B420" t="s">
        <v>23</v>
      </c>
      <c r="C420">
        <v>25</v>
      </c>
      <c r="D420">
        <v>57</v>
      </c>
      <c r="E420" s="1">
        <f t="shared" si="36"/>
        <v>0.3048780487804878</v>
      </c>
      <c r="F420" s="2">
        <v>95.7</v>
      </c>
      <c r="G420" s="2">
        <v>101.4</v>
      </c>
      <c r="H420" s="2">
        <f t="shared" si="37"/>
        <v>-5.7000000000000028</v>
      </c>
      <c r="I420" s="1">
        <f t="shared" si="38"/>
        <v>0.3078975070073538</v>
      </c>
      <c r="J420" s="2">
        <v>101</v>
      </c>
      <c r="K420" s="2">
        <v>106.8</v>
      </c>
      <c r="L420" s="2">
        <f t="shared" si="39"/>
        <v>-5.7999999999999972</v>
      </c>
      <c r="M420" s="1">
        <f t="shared" si="40"/>
        <v>-3.0194582268660008E-3</v>
      </c>
      <c r="N420" s="2">
        <v>100</v>
      </c>
      <c r="O420" s="2">
        <v>100</v>
      </c>
      <c r="P420" s="2">
        <f t="shared" si="41"/>
        <v>0</v>
      </c>
      <c r="Q420">
        <v>-0.5</v>
      </c>
    </row>
    <row r="421" spans="1:17">
      <c r="A421" t="s">
        <v>65</v>
      </c>
      <c r="B421" t="s">
        <v>11</v>
      </c>
      <c r="C421">
        <v>50</v>
      </c>
      <c r="D421">
        <v>32</v>
      </c>
      <c r="E421" s="1">
        <f t="shared" si="36"/>
        <v>0.6097560975609756</v>
      </c>
      <c r="F421" s="2">
        <v>120.8</v>
      </c>
      <c r="G421" s="2">
        <v>116.9</v>
      </c>
      <c r="H421" s="2">
        <f t="shared" si="37"/>
        <v>3.8999999999999915</v>
      </c>
      <c r="I421" s="1">
        <f t="shared" si="38"/>
        <v>0.61288223083931581</v>
      </c>
      <c r="J421" s="2">
        <v>118.9</v>
      </c>
      <c r="K421" s="2">
        <v>115.1</v>
      </c>
      <c r="L421" s="2">
        <f t="shared" si="39"/>
        <v>3.8000000000000114</v>
      </c>
      <c r="M421" s="1">
        <f t="shared" si="40"/>
        <v>-3.1261332783402151E-3</v>
      </c>
      <c r="N421" s="2">
        <v>126.8</v>
      </c>
      <c r="O421" s="2">
        <v>108</v>
      </c>
      <c r="P421" s="2">
        <f t="shared" si="41"/>
        <v>18.799999999999997</v>
      </c>
      <c r="Q421">
        <v>0.2</v>
      </c>
    </row>
    <row r="422" spans="1:17">
      <c r="A422" t="s">
        <v>61</v>
      </c>
      <c r="B422" t="s">
        <v>17</v>
      </c>
      <c r="C422">
        <v>42</v>
      </c>
      <c r="D422">
        <v>30</v>
      </c>
      <c r="E422" s="1">
        <f t="shared" si="36"/>
        <v>0.58333333333333337</v>
      </c>
      <c r="F422" s="2">
        <v>109.5</v>
      </c>
      <c r="G422" s="2">
        <v>106.8</v>
      </c>
      <c r="H422" s="2">
        <f t="shared" si="37"/>
        <v>2.7000000000000028</v>
      </c>
      <c r="I422" s="1">
        <f t="shared" si="38"/>
        <v>0.58650425971999209</v>
      </c>
      <c r="J422" s="2">
        <v>109.8</v>
      </c>
      <c r="K422" s="2">
        <v>106.8</v>
      </c>
      <c r="L422" s="2">
        <f t="shared" si="39"/>
        <v>3</v>
      </c>
      <c r="M422" s="1">
        <f t="shared" si="40"/>
        <v>-3.1709263866587234E-3</v>
      </c>
      <c r="N422" s="2">
        <v>110.5</v>
      </c>
      <c r="O422" s="2">
        <v>99.6</v>
      </c>
      <c r="P422" s="2">
        <f t="shared" si="41"/>
        <v>10.900000000000006</v>
      </c>
      <c r="Q422">
        <v>1.3</v>
      </c>
    </row>
    <row r="423" spans="1:17">
      <c r="A423" t="s">
        <v>61</v>
      </c>
      <c r="B423" t="s">
        <v>35</v>
      </c>
      <c r="C423">
        <v>38</v>
      </c>
      <c r="D423">
        <v>34</v>
      </c>
      <c r="E423" s="1">
        <f t="shared" si="36"/>
        <v>0.52777777777777779</v>
      </c>
      <c r="F423" s="2">
        <v>113.3</v>
      </c>
      <c r="G423" s="2">
        <v>112.3</v>
      </c>
      <c r="H423" s="2">
        <f t="shared" si="37"/>
        <v>1</v>
      </c>
      <c r="I423" s="1">
        <f t="shared" si="38"/>
        <v>0.53098880201006593</v>
      </c>
      <c r="J423" s="2">
        <v>111.7</v>
      </c>
      <c r="K423" s="2">
        <v>110.5</v>
      </c>
      <c r="L423" s="2">
        <f t="shared" si="39"/>
        <v>1.2000000000000028</v>
      </c>
      <c r="M423" s="1">
        <f t="shared" si="40"/>
        <v>-3.2110242322881399E-3</v>
      </c>
      <c r="N423" s="2">
        <v>101.6</v>
      </c>
      <c r="O423" s="2">
        <v>110.9</v>
      </c>
      <c r="P423" s="2">
        <f t="shared" si="41"/>
        <v>-9.3000000000000114</v>
      </c>
      <c r="Q423">
        <v>-0.2</v>
      </c>
    </row>
    <row r="424" spans="1:17">
      <c r="A424" t="s">
        <v>50</v>
      </c>
      <c r="B424" t="s">
        <v>28</v>
      </c>
      <c r="C424">
        <v>58</v>
      </c>
      <c r="D424">
        <v>24</v>
      </c>
      <c r="E424" s="1">
        <f t="shared" si="36"/>
        <v>0.70731707317073167</v>
      </c>
      <c r="F424" s="2">
        <v>103</v>
      </c>
      <c r="G424" s="2">
        <v>96.6</v>
      </c>
      <c r="H424" s="2">
        <f t="shared" si="37"/>
        <v>6.4000000000000057</v>
      </c>
      <c r="I424" s="1">
        <f t="shared" si="38"/>
        <v>0.71055960682270991</v>
      </c>
      <c r="J424" s="2">
        <v>107</v>
      </c>
      <c r="K424" s="2">
        <v>100.3</v>
      </c>
      <c r="L424" s="2">
        <f t="shared" si="39"/>
        <v>6.7000000000000028</v>
      </c>
      <c r="M424" s="1">
        <f t="shared" si="40"/>
        <v>-3.2425336519782411E-3</v>
      </c>
      <c r="N424" s="2">
        <v>95</v>
      </c>
      <c r="O424" s="2">
        <v>93.5</v>
      </c>
      <c r="P424" s="2">
        <f t="shared" si="41"/>
        <v>1.5</v>
      </c>
      <c r="Q424">
        <v>1.2</v>
      </c>
    </row>
    <row r="425" spans="1:17">
      <c r="A425" t="s">
        <v>55</v>
      </c>
      <c r="B425" t="s">
        <v>14</v>
      </c>
      <c r="C425">
        <v>41</v>
      </c>
      <c r="D425">
        <v>41</v>
      </c>
      <c r="E425" s="1">
        <f t="shared" si="36"/>
        <v>0.5</v>
      </c>
      <c r="F425" s="2">
        <v>106.5</v>
      </c>
      <c r="G425" s="2">
        <v>106.4</v>
      </c>
      <c r="H425" s="2">
        <f t="shared" si="37"/>
        <v>9.9999999999994316E-2</v>
      </c>
      <c r="I425" s="1">
        <f t="shared" si="38"/>
        <v>0.50328788145549319</v>
      </c>
      <c r="J425" s="2">
        <v>107.3</v>
      </c>
      <c r="K425" s="2">
        <v>107.3</v>
      </c>
      <c r="L425" s="2">
        <f t="shared" si="39"/>
        <v>0</v>
      </c>
      <c r="M425" s="1">
        <f t="shared" si="40"/>
        <v>-3.2878814554931912E-3</v>
      </c>
      <c r="N425" s="2">
        <v>107.3</v>
      </c>
      <c r="O425" s="2">
        <v>96</v>
      </c>
      <c r="P425" s="2">
        <f t="shared" si="41"/>
        <v>11.299999999999997</v>
      </c>
      <c r="Q425">
        <v>1</v>
      </c>
    </row>
    <row r="426" spans="1:17">
      <c r="A426" t="s">
        <v>45</v>
      </c>
      <c r="B426" t="s">
        <v>24</v>
      </c>
      <c r="C426">
        <v>41</v>
      </c>
      <c r="D426">
        <v>41</v>
      </c>
      <c r="E426" s="1">
        <f t="shared" si="36"/>
        <v>0.5</v>
      </c>
      <c r="F426" s="2">
        <v>97.4</v>
      </c>
      <c r="G426" s="2">
        <v>97.3</v>
      </c>
      <c r="H426" s="2">
        <f t="shared" si="37"/>
        <v>0.10000000000000853</v>
      </c>
      <c r="I426" s="1">
        <f t="shared" si="38"/>
        <v>0.50359521313575439</v>
      </c>
      <c r="J426" s="2">
        <v>106.3</v>
      </c>
      <c r="K426" s="2">
        <v>106.1</v>
      </c>
      <c r="L426" s="2">
        <f t="shared" si="39"/>
        <v>0.20000000000000284</v>
      </c>
      <c r="M426" s="1">
        <f t="shared" si="40"/>
        <v>-3.5952131357543937E-3</v>
      </c>
      <c r="N426" s="2">
        <v>109.6</v>
      </c>
      <c r="O426" s="2">
        <v>97.1</v>
      </c>
      <c r="P426" s="2">
        <f t="shared" si="41"/>
        <v>12.5</v>
      </c>
      <c r="Q426">
        <v>0</v>
      </c>
    </row>
    <row r="427" spans="1:17">
      <c r="A427" t="s">
        <v>52</v>
      </c>
      <c r="B427" t="s">
        <v>18</v>
      </c>
      <c r="C427">
        <v>54</v>
      </c>
      <c r="D427">
        <v>28</v>
      </c>
      <c r="E427" s="1">
        <f t="shared" si="36"/>
        <v>0.65853658536585369</v>
      </c>
      <c r="F427" s="2">
        <v>102.2</v>
      </c>
      <c r="G427" s="2">
        <v>97.4</v>
      </c>
      <c r="H427" s="2">
        <f t="shared" si="37"/>
        <v>4.7999999999999972</v>
      </c>
      <c r="I427" s="1">
        <f t="shared" si="38"/>
        <v>0.66228117698287825</v>
      </c>
      <c r="J427" s="2">
        <v>110</v>
      </c>
      <c r="K427" s="2">
        <v>105</v>
      </c>
      <c r="L427" s="2">
        <f t="shared" si="39"/>
        <v>5</v>
      </c>
      <c r="M427" s="1">
        <f t="shared" si="40"/>
        <v>-3.7445916170245619E-3</v>
      </c>
      <c r="N427" s="2">
        <v>104.5</v>
      </c>
      <c r="O427" s="2">
        <v>97.6</v>
      </c>
      <c r="P427" s="2">
        <f t="shared" si="41"/>
        <v>6.9000000000000057</v>
      </c>
      <c r="Q427">
        <v>1.6</v>
      </c>
    </row>
    <row r="428" spans="1:17">
      <c r="A428" t="s">
        <v>36</v>
      </c>
      <c r="B428" t="s">
        <v>25</v>
      </c>
      <c r="C428">
        <v>44</v>
      </c>
      <c r="D428">
        <v>38</v>
      </c>
      <c r="E428" s="1">
        <f t="shared" si="36"/>
        <v>0.53658536585365857</v>
      </c>
      <c r="F428" s="2">
        <v>95.5</v>
      </c>
      <c r="G428" s="2">
        <v>94.4</v>
      </c>
      <c r="H428" s="2">
        <f t="shared" si="37"/>
        <v>1.0999999999999943</v>
      </c>
      <c r="I428" s="1">
        <f t="shared" si="38"/>
        <v>0.5404594538627715</v>
      </c>
      <c r="J428" s="2">
        <v>102.6</v>
      </c>
      <c r="K428" s="2">
        <v>101.3</v>
      </c>
      <c r="L428" s="2">
        <f t="shared" si="39"/>
        <v>1.2999999999999972</v>
      </c>
      <c r="M428" s="1">
        <f t="shared" si="40"/>
        <v>-3.8740880091129304E-3</v>
      </c>
      <c r="N428" s="2">
        <v>109</v>
      </c>
      <c r="O428" s="2">
        <v>88.1</v>
      </c>
      <c r="P428" s="2">
        <f t="shared" si="41"/>
        <v>20.900000000000006</v>
      </c>
      <c r="Q428">
        <v>2.7</v>
      </c>
    </row>
    <row r="429" spans="1:17">
      <c r="A429" t="s">
        <v>55</v>
      </c>
      <c r="B429" t="s">
        <v>17</v>
      </c>
      <c r="C429">
        <v>17</v>
      </c>
      <c r="D429">
        <v>65</v>
      </c>
      <c r="E429" s="1">
        <f t="shared" si="36"/>
        <v>0.2073170731707317</v>
      </c>
      <c r="F429" s="2">
        <v>97.3</v>
      </c>
      <c r="G429" s="2">
        <v>106.9</v>
      </c>
      <c r="H429" s="2">
        <f t="shared" si="37"/>
        <v>-9.6000000000000085</v>
      </c>
      <c r="I429" s="1">
        <f t="shared" si="38"/>
        <v>0.21126325417773295</v>
      </c>
      <c r="J429" s="2">
        <v>100.7</v>
      </c>
      <c r="K429" s="2">
        <v>110.3</v>
      </c>
      <c r="L429" s="2">
        <f t="shared" si="39"/>
        <v>-9.5999999999999943</v>
      </c>
      <c r="M429" s="1">
        <f t="shared" si="40"/>
        <v>-3.9461810070012537E-3</v>
      </c>
      <c r="N429" s="2">
        <v>108.9</v>
      </c>
      <c r="O429" s="2">
        <v>116.7</v>
      </c>
      <c r="P429" s="2">
        <f t="shared" si="41"/>
        <v>-7.7999999999999972</v>
      </c>
      <c r="Q429">
        <v>-0.1</v>
      </c>
    </row>
    <row r="430" spans="1:17">
      <c r="A430" t="s">
        <v>44</v>
      </c>
      <c r="B430" t="s">
        <v>22</v>
      </c>
      <c r="C430">
        <v>23</v>
      </c>
      <c r="D430">
        <v>59</v>
      </c>
      <c r="E430" s="1">
        <f t="shared" si="36"/>
        <v>0.28048780487804881</v>
      </c>
      <c r="F430" s="2">
        <v>96.9</v>
      </c>
      <c r="G430" s="2">
        <v>103.5</v>
      </c>
      <c r="H430" s="2">
        <f t="shared" si="37"/>
        <v>-6.5999999999999943</v>
      </c>
      <c r="I430" s="1">
        <f t="shared" si="38"/>
        <v>0.28445095118347524</v>
      </c>
      <c r="J430" s="2">
        <v>103.5</v>
      </c>
      <c r="K430" s="2">
        <v>110.4</v>
      </c>
      <c r="L430" s="2">
        <f t="shared" si="39"/>
        <v>-6.9000000000000057</v>
      </c>
      <c r="M430" s="1">
        <f t="shared" si="40"/>
        <v>-3.9631463054264349E-3</v>
      </c>
      <c r="N430" s="2">
        <v>89.9</v>
      </c>
      <c r="O430" s="2">
        <v>96.9</v>
      </c>
      <c r="P430" s="2">
        <f t="shared" si="41"/>
        <v>-7</v>
      </c>
      <c r="Q430">
        <v>-1.4</v>
      </c>
    </row>
    <row r="431" spans="1:17">
      <c r="A431" t="s">
        <v>66</v>
      </c>
      <c r="B431" t="s">
        <v>9</v>
      </c>
      <c r="C431">
        <v>39</v>
      </c>
      <c r="D431">
        <v>24</v>
      </c>
      <c r="E431" s="1">
        <f t="shared" si="36"/>
        <v>0.61904761904761907</v>
      </c>
      <c r="F431" s="2">
        <v>119.1</v>
      </c>
      <c r="G431" s="2">
        <v>114.9</v>
      </c>
      <c r="H431" s="2">
        <f t="shared" si="37"/>
        <v>4.1999999999999886</v>
      </c>
      <c r="I431" s="1">
        <f t="shared" si="38"/>
        <v>0.62307439243207641</v>
      </c>
      <c r="J431" s="2">
        <v>117.4</v>
      </c>
      <c r="K431" s="2">
        <v>113.1</v>
      </c>
      <c r="L431" s="2">
        <f t="shared" si="39"/>
        <v>4.3000000000000114</v>
      </c>
      <c r="M431" s="1">
        <f t="shared" si="40"/>
        <v>-4.0267733844573383E-3</v>
      </c>
      <c r="N431" s="2">
        <v>114.8</v>
      </c>
      <c r="O431" s="2">
        <v>107</v>
      </c>
      <c r="P431" s="2">
        <f t="shared" si="41"/>
        <v>7.7999999999999972</v>
      </c>
      <c r="Q431">
        <v>1.9</v>
      </c>
    </row>
    <row r="432" spans="1:17">
      <c r="A432" t="s">
        <v>65</v>
      </c>
      <c r="B432" t="s">
        <v>30</v>
      </c>
      <c r="C432">
        <v>30</v>
      </c>
      <c r="D432">
        <v>52</v>
      </c>
      <c r="E432" s="1">
        <f t="shared" si="36"/>
        <v>0.36585365853658536</v>
      </c>
      <c r="F432" s="2">
        <v>110.9</v>
      </c>
      <c r="G432" s="2">
        <v>115.2</v>
      </c>
      <c r="H432" s="2">
        <f t="shared" si="37"/>
        <v>-4.2999999999999972</v>
      </c>
      <c r="I432" s="1">
        <f t="shared" si="38"/>
        <v>0.36991722047205011</v>
      </c>
      <c r="J432" s="2">
        <v>109.6</v>
      </c>
      <c r="K432" s="2">
        <v>113.6</v>
      </c>
      <c r="L432" s="2">
        <f t="shared" si="39"/>
        <v>-4</v>
      </c>
      <c r="M432" s="1">
        <f t="shared" si="40"/>
        <v>-4.0635619354647545E-3</v>
      </c>
      <c r="N432" s="2">
        <v>99.6</v>
      </c>
      <c r="O432" s="2">
        <v>117.6</v>
      </c>
      <c r="P432" s="2">
        <f t="shared" si="41"/>
        <v>-18</v>
      </c>
      <c r="Q432">
        <v>-0.8</v>
      </c>
    </row>
    <row r="433" spans="1:17">
      <c r="A433" t="s">
        <v>49</v>
      </c>
      <c r="B433" t="s">
        <v>6</v>
      </c>
      <c r="C433">
        <v>39</v>
      </c>
      <c r="D433">
        <v>27</v>
      </c>
      <c r="E433" s="1">
        <f t="shared" si="36"/>
        <v>0.59090909090909094</v>
      </c>
      <c r="F433" s="2">
        <v>91.8</v>
      </c>
      <c r="G433" s="2">
        <v>89.3</v>
      </c>
      <c r="H433" s="2">
        <f t="shared" si="37"/>
        <v>2.5</v>
      </c>
      <c r="I433" s="1">
        <f t="shared" si="38"/>
        <v>0.59545222881559101</v>
      </c>
      <c r="J433" s="2">
        <v>100.1</v>
      </c>
      <c r="K433" s="2">
        <v>97.5</v>
      </c>
      <c r="L433" s="2">
        <f t="shared" si="39"/>
        <v>2.5999999999999943</v>
      </c>
      <c r="M433" s="1">
        <f t="shared" si="40"/>
        <v>-4.5431379065000721E-3</v>
      </c>
      <c r="N433" s="2">
        <v>101.2</v>
      </c>
      <c r="O433" s="2">
        <v>100.4</v>
      </c>
      <c r="P433" s="2">
        <f t="shared" si="41"/>
        <v>0.79999999999999716</v>
      </c>
      <c r="Q433">
        <v>0.1</v>
      </c>
    </row>
    <row r="434" spans="1:17">
      <c r="A434" t="s">
        <v>36</v>
      </c>
      <c r="B434" t="s">
        <v>29</v>
      </c>
      <c r="C434">
        <v>40</v>
      </c>
      <c r="D434">
        <v>42</v>
      </c>
      <c r="E434" s="1">
        <f t="shared" si="36"/>
        <v>0.48780487804878048</v>
      </c>
      <c r="F434" s="2">
        <v>92.1</v>
      </c>
      <c r="G434" s="2">
        <v>92.3</v>
      </c>
      <c r="H434" s="2">
        <f t="shared" si="37"/>
        <v>-0.20000000000000284</v>
      </c>
      <c r="I434" s="1">
        <f t="shared" si="38"/>
        <v>0.49240838957943855</v>
      </c>
      <c r="J434" s="2">
        <v>102.4</v>
      </c>
      <c r="K434" s="2">
        <v>102.6</v>
      </c>
      <c r="L434" s="2">
        <f t="shared" si="39"/>
        <v>-0.19999999999998863</v>
      </c>
      <c r="M434" s="1">
        <f t="shared" si="40"/>
        <v>-4.6035115306580776E-3</v>
      </c>
      <c r="N434" s="2">
        <v>101.6</v>
      </c>
      <c r="O434" s="2">
        <v>99.7</v>
      </c>
      <c r="P434" s="2">
        <f t="shared" si="41"/>
        <v>1.8999999999999915</v>
      </c>
      <c r="Q434">
        <v>-0.5</v>
      </c>
    </row>
    <row r="435" spans="1:17">
      <c r="A435" t="s">
        <v>43</v>
      </c>
      <c r="B435" t="s">
        <v>12</v>
      </c>
      <c r="C435">
        <v>53</v>
      </c>
      <c r="D435">
        <v>29</v>
      </c>
      <c r="E435" s="1">
        <f t="shared" si="36"/>
        <v>0.64634146341463417</v>
      </c>
      <c r="F435" s="2">
        <v>96</v>
      </c>
      <c r="G435" s="2">
        <v>91.8</v>
      </c>
      <c r="H435" s="2">
        <f t="shared" si="37"/>
        <v>4.2000000000000028</v>
      </c>
      <c r="I435" s="1">
        <f t="shared" si="38"/>
        <v>0.65165059639805156</v>
      </c>
      <c r="J435" s="2">
        <v>107.4</v>
      </c>
      <c r="K435" s="2">
        <v>102.6</v>
      </c>
      <c r="L435" s="2">
        <f t="shared" si="39"/>
        <v>4.8000000000000114</v>
      </c>
      <c r="M435" s="1">
        <f t="shared" si="40"/>
        <v>-5.3091329834173973E-3</v>
      </c>
      <c r="N435" s="2">
        <v>113.9</v>
      </c>
      <c r="O435" s="2">
        <v>101.2</v>
      </c>
      <c r="P435" s="2">
        <f t="shared" si="41"/>
        <v>12.700000000000003</v>
      </c>
      <c r="Q435">
        <v>1.5</v>
      </c>
    </row>
    <row r="436" spans="1:17">
      <c r="A436" t="s">
        <v>63</v>
      </c>
      <c r="B436" t="s">
        <v>23</v>
      </c>
      <c r="C436">
        <v>34</v>
      </c>
      <c r="D436">
        <v>48</v>
      </c>
      <c r="E436" s="1">
        <f t="shared" si="36"/>
        <v>0.41463414634146339</v>
      </c>
      <c r="F436" s="2">
        <v>111.4</v>
      </c>
      <c r="G436" s="2">
        <v>114</v>
      </c>
      <c r="H436" s="2">
        <f t="shared" si="37"/>
        <v>-2.5999999999999943</v>
      </c>
      <c r="I436" s="1">
        <f t="shared" si="38"/>
        <v>0.41994584859669859</v>
      </c>
      <c r="J436" s="2">
        <v>111.3</v>
      </c>
      <c r="K436" s="2">
        <v>113.7</v>
      </c>
      <c r="L436" s="2">
        <f t="shared" si="39"/>
        <v>-2.4000000000000057</v>
      </c>
      <c r="M436" s="1">
        <f t="shared" si="40"/>
        <v>-5.3117022552351956E-3</v>
      </c>
      <c r="N436" s="2">
        <v>109.2</v>
      </c>
      <c r="O436" s="2">
        <v>120.8</v>
      </c>
      <c r="P436" s="2">
        <f t="shared" si="41"/>
        <v>-11.599999999999994</v>
      </c>
      <c r="Q436">
        <v>0.5</v>
      </c>
    </row>
    <row r="437" spans="1:17">
      <c r="A437" t="s">
        <v>36</v>
      </c>
      <c r="B437" t="s">
        <v>37</v>
      </c>
      <c r="C437">
        <v>47</v>
      </c>
      <c r="D437">
        <v>35</v>
      </c>
      <c r="E437" s="1">
        <f t="shared" si="36"/>
        <v>0.57317073170731703</v>
      </c>
      <c r="F437" s="2">
        <v>93.9</v>
      </c>
      <c r="G437" s="2">
        <v>91.8</v>
      </c>
      <c r="H437" s="2">
        <f t="shared" si="37"/>
        <v>2.1000000000000085</v>
      </c>
      <c r="I437" s="1">
        <f t="shared" si="38"/>
        <v>0.57850840531735526</v>
      </c>
      <c r="J437" s="2">
        <v>102.4</v>
      </c>
      <c r="K437" s="2">
        <v>100</v>
      </c>
      <c r="L437" s="2">
        <f t="shared" si="39"/>
        <v>2.4000000000000057</v>
      </c>
      <c r="M437" s="1">
        <f t="shared" si="40"/>
        <v>-5.3376736100382294E-3</v>
      </c>
      <c r="N437" s="2">
        <v>101.5</v>
      </c>
      <c r="O437" s="2">
        <v>95.7</v>
      </c>
      <c r="P437" s="2">
        <f t="shared" si="41"/>
        <v>5.7999999999999972</v>
      </c>
      <c r="Q437">
        <v>0.3</v>
      </c>
    </row>
    <row r="438" spans="1:17">
      <c r="A438" t="s">
        <v>49</v>
      </c>
      <c r="B438" t="s">
        <v>40</v>
      </c>
      <c r="C438">
        <v>7</v>
      </c>
      <c r="D438">
        <v>59</v>
      </c>
      <c r="E438" s="1">
        <f t="shared" si="36"/>
        <v>0.10606060606060606</v>
      </c>
      <c r="F438" s="2">
        <v>87</v>
      </c>
      <c r="G438" s="2">
        <v>100.9</v>
      </c>
      <c r="H438" s="2">
        <f t="shared" si="37"/>
        <v>-13.900000000000006</v>
      </c>
      <c r="I438" s="1">
        <f t="shared" si="38"/>
        <v>0.11154010247358601</v>
      </c>
      <c r="J438" s="2">
        <v>94.4</v>
      </c>
      <c r="K438" s="2">
        <v>109.4</v>
      </c>
      <c r="L438" s="2">
        <f t="shared" si="39"/>
        <v>-15</v>
      </c>
      <c r="M438" s="1">
        <f t="shared" si="40"/>
        <v>-5.4794964129799423E-3</v>
      </c>
      <c r="N438" s="2">
        <v>82.8</v>
      </c>
      <c r="O438" s="2">
        <v>116.2</v>
      </c>
      <c r="P438" s="2">
        <f t="shared" si="41"/>
        <v>-33.400000000000006</v>
      </c>
      <c r="Q438">
        <v>-2.8</v>
      </c>
    </row>
    <row r="439" spans="1:17">
      <c r="A439" t="s">
        <v>45</v>
      </c>
      <c r="B439" t="s">
        <v>12</v>
      </c>
      <c r="C439">
        <v>39</v>
      </c>
      <c r="D439">
        <v>43</v>
      </c>
      <c r="E439" s="1">
        <f t="shared" si="36"/>
        <v>0.47560975609756095</v>
      </c>
      <c r="F439" s="2">
        <v>94.2</v>
      </c>
      <c r="G439" s="2">
        <v>94.7</v>
      </c>
      <c r="H439" s="2">
        <f t="shared" si="37"/>
        <v>-0.5</v>
      </c>
      <c r="I439" s="1">
        <f t="shared" si="38"/>
        <v>0.48148011126820961</v>
      </c>
      <c r="J439" s="2">
        <v>105.8</v>
      </c>
      <c r="K439" s="2">
        <v>106.4</v>
      </c>
      <c r="L439" s="2">
        <f t="shared" si="39"/>
        <v>-0.60000000000000853</v>
      </c>
      <c r="M439" s="1">
        <f t="shared" si="40"/>
        <v>-5.8703551706486556E-3</v>
      </c>
      <c r="N439" s="2">
        <v>101.4</v>
      </c>
      <c r="O439" s="2">
        <v>106.3</v>
      </c>
      <c r="P439" s="2">
        <f t="shared" si="41"/>
        <v>-4.8999999999999915</v>
      </c>
      <c r="Q439">
        <v>-0.5</v>
      </c>
    </row>
    <row r="440" spans="1:17">
      <c r="A440" t="s">
        <v>4</v>
      </c>
      <c r="B440" t="s">
        <v>21</v>
      </c>
      <c r="C440">
        <v>26</v>
      </c>
      <c r="D440">
        <v>56</v>
      </c>
      <c r="E440" s="1">
        <f t="shared" si="36"/>
        <v>0.31707317073170732</v>
      </c>
      <c r="F440" s="2">
        <v>92.1</v>
      </c>
      <c r="G440" s="2">
        <v>97.1</v>
      </c>
      <c r="H440" s="2">
        <f t="shared" si="37"/>
        <v>-5</v>
      </c>
      <c r="I440" s="1">
        <f t="shared" si="38"/>
        <v>0.32297570638885176</v>
      </c>
      <c r="J440" s="2">
        <v>98.4</v>
      </c>
      <c r="K440" s="2">
        <v>103.8</v>
      </c>
      <c r="L440" s="2">
        <f t="shared" si="39"/>
        <v>-5.3999999999999915</v>
      </c>
      <c r="M440" s="1">
        <f t="shared" si="40"/>
        <v>-5.9025356571444365E-3</v>
      </c>
      <c r="N440" s="2">
        <v>93.1</v>
      </c>
      <c r="O440" s="2">
        <v>105.7</v>
      </c>
      <c r="P440" s="2">
        <f t="shared" si="41"/>
        <v>-12.600000000000009</v>
      </c>
      <c r="Q440">
        <v>-1.8</v>
      </c>
    </row>
    <row r="441" spans="1:17">
      <c r="A441" t="s">
        <v>4</v>
      </c>
      <c r="B441" t="s">
        <v>30</v>
      </c>
      <c r="C441">
        <v>47</v>
      </c>
      <c r="D441">
        <v>35</v>
      </c>
      <c r="E441" s="1">
        <f t="shared" si="36"/>
        <v>0.57317073170731703</v>
      </c>
      <c r="F441" s="2">
        <v>97.6</v>
      </c>
      <c r="G441" s="2">
        <v>95.4</v>
      </c>
      <c r="H441" s="2">
        <f t="shared" si="37"/>
        <v>2.1999999999999886</v>
      </c>
      <c r="I441" s="1">
        <f t="shared" si="38"/>
        <v>0.57912557114227126</v>
      </c>
      <c r="J441" s="2">
        <v>104.4</v>
      </c>
      <c r="K441" s="2">
        <v>102</v>
      </c>
      <c r="L441" s="2">
        <f t="shared" si="39"/>
        <v>2.4000000000000057</v>
      </c>
      <c r="M441" s="1">
        <f t="shared" si="40"/>
        <v>-5.9548394349542288E-3</v>
      </c>
      <c r="N441" s="2">
        <v>96.8</v>
      </c>
      <c r="O441" s="2">
        <v>92.1</v>
      </c>
      <c r="P441" s="2">
        <f t="shared" si="41"/>
        <v>4.7000000000000028</v>
      </c>
      <c r="Q441">
        <v>0.7</v>
      </c>
    </row>
    <row r="442" spans="1:17">
      <c r="A442" t="s">
        <v>45</v>
      </c>
      <c r="B442" t="s">
        <v>31</v>
      </c>
      <c r="C442">
        <v>48</v>
      </c>
      <c r="D442">
        <v>34</v>
      </c>
      <c r="E442" s="1">
        <f t="shared" si="36"/>
        <v>0.58536585365853655</v>
      </c>
      <c r="F442" s="2">
        <v>103.6</v>
      </c>
      <c r="G442" s="2">
        <v>100.9</v>
      </c>
      <c r="H442" s="2">
        <f t="shared" si="37"/>
        <v>2.6999999999999886</v>
      </c>
      <c r="I442" s="1">
        <f t="shared" si="38"/>
        <v>0.59138736414412263</v>
      </c>
      <c r="J442" s="2">
        <v>108.5</v>
      </c>
      <c r="K442" s="2">
        <v>105.8</v>
      </c>
      <c r="L442" s="2">
        <f t="shared" si="39"/>
        <v>2.7000000000000028</v>
      </c>
      <c r="M442" s="1">
        <f t="shared" si="40"/>
        <v>-6.021510485586079E-3</v>
      </c>
      <c r="N442" s="2">
        <v>109.6</v>
      </c>
      <c r="O442" s="2">
        <v>103.4</v>
      </c>
      <c r="P442" s="2">
        <f t="shared" si="41"/>
        <v>6.1999999999999886</v>
      </c>
      <c r="Q442">
        <v>1.2</v>
      </c>
    </row>
    <row r="443" spans="1:17">
      <c r="A443" t="s">
        <v>61</v>
      </c>
      <c r="B443" t="s">
        <v>22</v>
      </c>
      <c r="C443">
        <v>41</v>
      </c>
      <c r="D443">
        <v>31</v>
      </c>
      <c r="E443" s="1">
        <f t="shared" si="36"/>
        <v>0.56944444444444442</v>
      </c>
      <c r="F443" s="2">
        <v>107</v>
      </c>
      <c r="G443" s="2">
        <v>104.7</v>
      </c>
      <c r="H443" s="2">
        <f t="shared" si="37"/>
        <v>2.2999999999999972</v>
      </c>
      <c r="I443" s="1">
        <f t="shared" si="38"/>
        <v>0.57547283603033039</v>
      </c>
      <c r="J443" s="2">
        <v>110.2</v>
      </c>
      <c r="K443" s="2">
        <v>107.8</v>
      </c>
      <c r="L443" s="2">
        <f t="shared" si="39"/>
        <v>2.4000000000000057</v>
      </c>
      <c r="M443" s="1">
        <f t="shared" si="40"/>
        <v>-6.0283915858859727E-3</v>
      </c>
      <c r="N443" s="2">
        <v>106.3</v>
      </c>
      <c r="O443" s="2">
        <v>94.8</v>
      </c>
      <c r="P443" s="2">
        <f t="shared" si="41"/>
        <v>11.5</v>
      </c>
      <c r="Q443">
        <v>-0.4</v>
      </c>
    </row>
    <row r="444" spans="1:17">
      <c r="A444" t="s">
        <v>62</v>
      </c>
      <c r="B444" t="s">
        <v>17</v>
      </c>
      <c r="C444">
        <v>33</v>
      </c>
      <c r="D444">
        <v>49</v>
      </c>
      <c r="E444" s="1">
        <f t="shared" si="36"/>
        <v>0.40243902439024393</v>
      </c>
      <c r="F444" s="2">
        <v>112.1</v>
      </c>
      <c r="G444" s="2">
        <v>115.1</v>
      </c>
      <c r="H444" s="2">
        <f t="shared" si="37"/>
        <v>-3</v>
      </c>
      <c r="I444" s="1">
        <f t="shared" si="38"/>
        <v>0.40860389677498032</v>
      </c>
      <c r="J444" s="2">
        <v>110</v>
      </c>
      <c r="K444" s="2">
        <v>112.8</v>
      </c>
      <c r="L444" s="2">
        <f t="shared" si="39"/>
        <v>-2.7999999999999972</v>
      </c>
      <c r="M444" s="1">
        <f t="shared" si="40"/>
        <v>-6.1648723847363973E-3</v>
      </c>
      <c r="N444" s="2">
        <v>103.8</v>
      </c>
      <c r="O444" s="2">
        <v>107.1</v>
      </c>
      <c r="P444" s="2">
        <f t="shared" si="41"/>
        <v>-3.2999999999999972</v>
      </c>
      <c r="Q444">
        <v>0.6</v>
      </c>
    </row>
    <row r="445" spans="1:17">
      <c r="A445" t="s">
        <v>55</v>
      </c>
      <c r="B445" t="s">
        <v>7</v>
      </c>
      <c r="C445">
        <v>48</v>
      </c>
      <c r="D445">
        <v>34</v>
      </c>
      <c r="E445" s="1">
        <f t="shared" si="36"/>
        <v>0.58536585365853655</v>
      </c>
      <c r="F445" s="2">
        <v>103.4</v>
      </c>
      <c r="G445" s="2">
        <v>100.7</v>
      </c>
      <c r="H445" s="2">
        <f t="shared" si="37"/>
        <v>2.7000000000000028</v>
      </c>
      <c r="I445" s="1">
        <f t="shared" si="38"/>
        <v>0.59156246020875802</v>
      </c>
      <c r="J445" s="2">
        <v>106.4</v>
      </c>
      <c r="K445" s="2">
        <v>103.7</v>
      </c>
      <c r="L445" s="2">
        <f t="shared" si="39"/>
        <v>2.7000000000000028</v>
      </c>
      <c r="M445" s="1">
        <f t="shared" si="40"/>
        <v>-6.1966065502214729E-3</v>
      </c>
      <c r="N445" s="2">
        <v>106</v>
      </c>
      <c r="O445" s="2">
        <v>95.3</v>
      </c>
      <c r="P445" s="2">
        <f t="shared" si="41"/>
        <v>10.700000000000003</v>
      </c>
      <c r="Q445">
        <v>0.6</v>
      </c>
    </row>
    <row r="446" spans="1:17">
      <c r="A446" t="s">
        <v>36</v>
      </c>
      <c r="B446" t="s">
        <v>18</v>
      </c>
      <c r="C446">
        <v>25</v>
      </c>
      <c r="D446">
        <v>57</v>
      </c>
      <c r="E446" s="1">
        <f t="shared" si="36"/>
        <v>0.3048780487804878</v>
      </c>
      <c r="F446" s="2">
        <v>85.6</v>
      </c>
      <c r="G446" s="2">
        <v>90.6</v>
      </c>
      <c r="H446" s="2">
        <f t="shared" si="37"/>
        <v>-5</v>
      </c>
      <c r="I446" s="1">
        <f t="shared" si="38"/>
        <v>0.31114644436616246</v>
      </c>
      <c r="J446" s="2">
        <v>95.4</v>
      </c>
      <c r="K446" s="2">
        <v>101.2</v>
      </c>
      <c r="L446" s="2">
        <f t="shared" si="39"/>
        <v>-5.7999999999999972</v>
      </c>
      <c r="M446" s="1">
        <f t="shared" si="40"/>
        <v>-6.2683955856746576E-3</v>
      </c>
      <c r="N446" s="2">
        <v>85.2</v>
      </c>
      <c r="O446" s="2">
        <v>102.5</v>
      </c>
      <c r="P446" s="2">
        <f t="shared" si="41"/>
        <v>-17.299999999999997</v>
      </c>
      <c r="Q446">
        <v>-0.9</v>
      </c>
    </row>
    <row r="447" spans="1:17">
      <c r="A447" t="s">
        <v>34</v>
      </c>
      <c r="B447" t="s">
        <v>20</v>
      </c>
      <c r="C447">
        <v>50</v>
      </c>
      <c r="D447">
        <v>32</v>
      </c>
      <c r="E447" s="1">
        <f t="shared" si="36"/>
        <v>0.6097560975609756</v>
      </c>
      <c r="F447" s="2">
        <v>99.3</v>
      </c>
      <c r="G447" s="2">
        <v>96</v>
      </c>
      <c r="H447" s="2">
        <f t="shared" si="37"/>
        <v>3.2999999999999972</v>
      </c>
      <c r="I447" s="1">
        <f t="shared" si="38"/>
        <v>0.6161321966292217</v>
      </c>
      <c r="J447" s="2">
        <v>107.5</v>
      </c>
      <c r="K447" s="2">
        <v>104.1</v>
      </c>
      <c r="L447" s="2">
        <f t="shared" si="39"/>
        <v>3.4000000000000057</v>
      </c>
      <c r="M447" s="1">
        <f t="shared" si="40"/>
        <v>-6.3760990682460994E-3</v>
      </c>
      <c r="N447" s="2">
        <v>94.3</v>
      </c>
      <c r="O447" s="2">
        <v>102.6</v>
      </c>
      <c r="P447" s="2">
        <f t="shared" si="41"/>
        <v>-8.2999999999999972</v>
      </c>
      <c r="Q447">
        <v>-0.2</v>
      </c>
    </row>
    <row r="448" spans="1:17">
      <c r="A448" t="s">
        <v>59</v>
      </c>
      <c r="B448" t="s">
        <v>46</v>
      </c>
      <c r="C448">
        <v>49</v>
      </c>
      <c r="D448">
        <v>33</v>
      </c>
      <c r="E448" s="1">
        <f t="shared" si="36"/>
        <v>0.59756097560975607</v>
      </c>
      <c r="F448" s="2">
        <v>114.5</v>
      </c>
      <c r="G448" s="2">
        <v>111.1</v>
      </c>
      <c r="H448" s="2">
        <f t="shared" si="37"/>
        <v>3.4000000000000057</v>
      </c>
      <c r="I448" s="1">
        <f t="shared" si="38"/>
        <v>0.60396598327503692</v>
      </c>
      <c r="J448" s="2">
        <v>109.8</v>
      </c>
      <c r="K448" s="2">
        <v>106.5</v>
      </c>
      <c r="L448" s="2">
        <f t="shared" si="39"/>
        <v>3.2999999999999972</v>
      </c>
      <c r="M448" s="1">
        <f t="shared" si="40"/>
        <v>-6.4050076652808485E-3</v>
      </c>
      <c r="N448" s="2">
        <v>106.9</v>
      </c>
      <c r="O448" s="2">
        <v>104.6</v>
      </c>
      <c r="P448" s="2">
        <f t="shared" si="41"/>
        <v>2.3000000000000114</v>
      </c>
      <c r="Q448">
        <v>1</v>
      </c>
    </row>
    <row r="449" spans="1:17">
      <c r="A449" t="s">
        <v>65</v>
      </c>
      <c r="B449" t="s">
        <v>7</v>
      </c>
      <c r="C449">
        <v>19</v>
      </c>
      <c r="D449">
        <v>63</v>
      </c>
      <c r="E449" s="1">
        <f t="shared" si="36"/>
        <v>0.23170731707317074</v>
      </c>
      <c r="F449" s="2">
        <v>105.1</v>
      </c>
      <c r="G449" s="2">
        <v>114.2</v>
      </c>
      <c r="H449" s="2">
        <f t="shared" si="37"/>
        <v>-9.1000000000000085</v>
      </c>
      <c r="I449" s="1">
        <f t="shared" si="38"/>
        <v>0.23820492240798724</v>
      </c>
      <c r="J449" s="2">
        <v>106.7</v>
      </c>
      <c r="K449" s="2">
        <v>115.7</v>
      </c>
      <c r="L449" s="2">
        <f t="shared" si="39"/>
        <v>-9</v>
      </c>
      <c r="M449" s="1">
        <f t="shared" si="40"/>
        <v>-6.4976053348164975E-3</v>
      </c>
      <c r="N449" s="2">
        <v>105.4</v>
      </c>
      <c r="O449" s="2">
        <v>111.4</v>
      </c>
      <c r="P449" s="2">
        <f t="shared" si="41"/>
        <v>-6</v>
      </c>
      <c r="Q449">
        <v>-0.5</v>
      </c>
    </row>
    <row r="450" spans="1:17">
      <c r="A450" t="s">
        <v>59</v>
      </c>
      <c r="B450" t="s">
        <v>25</v>
      </c>
      <c r="C450">
        <v>19</v>
      </c>
      <c r="D450">
        <v>63</v>
      </c>
      <c r="E450" s="1">
        <f t="shared" si="36"/>
        <v>0.23170731707317074</v>
      </c>
      <c r="F450" s="2">
        <v>107.5</v>
      </c>
      <c r="G450" s="2">
        <v>116.8</v>
      </c>
      <c r="H450" s="2">
        <f t="shared" si="37"/>
        <v>-9.2999999999999972</v>
      </c>
      <c r="I450" s="1">
        <f t="shared" si="38"/>
        <v>0.2383746596037172</v>
      </c>
      <c r="J450" s="2">
        <v>105.3</v>
      </c>
      <c r="K450" s="2">
        <v>114.2</v>
      </c>
      <c r="L450" s="2">
        <f t="shared" si="39"/>
        <v>-8.9000000000000057</v>
      </c>
      <c r="M450" s="1">
        <f t="shared" si="40"/>
        <v>-6.6673425305464606E-3</v>
      </c>
      <c r="N450" s="2">
        <v>107.7</v>
      </c>
      <c r="O450" s="2">
        <v>116.9</v>
      </c>
      <c r="P450" s="2">
        <f t="shared" si="41"/>
        <v>-9.2000000000000028</v>
      </c>
      <c r="Q450">
        <v>-2.1</v>
      </c>
    </row>
    <row r="451" spans="1:17">
      <c r="A451" t="s">
        <v>36</v>
      </c>
      <c r="B451" t="s">
        <v>11</v>
      </c>
      <c r="C451">
        <v>17</v>
      </c>
      <c r="D451">
        <v>65</v>
      </c>
      <c r="E451" s="1">
        <f t="shared" si="36"/>
        <v>0.2073170731707317</v>
      </c>
      <c r="F451" s="2">
        <v>84.2</v>
      </c>
      <c r="G451" s="2">
        <v>92.4</v>
      </c>
      <c r="H451" s="2">
        <f t="shared" si="37"/>
        <v>-8.2000000000000028</v>
      </c>
      <c r="I451" s="1">
        <f t="shared" si="38"/>
        <v>0.21398855794642072</v>
      </c>
      <c r="J451" s="2">
        <v>91.2</v>
      </c>
      <c r="K451" s="2">
        <v>100.1</v>
      </c>
      <c r="L451" s="2">
        <f t="shared" si="39"/>
        <v>-8.8999999999999915</v>
      </c>
      <c r="M451" s="1">
        <f t="shared" si="40"/>
        <v>-6.6714847756890183E-3</v>
      </c>
      <c r="N451" s="2">
        <v>89.6</v>
      </c>
      <c r="O451" s="2">
        <v>110.9</v>
      </c>
      <c r="P451" s="2">
        <f t="shared" si="41"/>
        <v>-21.300000000000011</v>
      </c>
      <c r="Q451">
        <v>-0.5</v>
      </c>
    </row>
    <row r="452" spans="1:17">
      <c r="A452" t="s">
        <v>60</v>
      </c>
      <c r="B452" t="s">
        <v>27</v>
      </c>
      <c r="C452">
        <v>31</v>
      </c>
      <c r="D452">
        <v>41</v>
      </c>
      <c r="E452" s="1">
        <f t="shared" si="36"/>
        <v>0.43055555555555558</v>
      </c>
      <c r="F452" s="2">
        <v>110.1</v>
      </c>
      <c r="G452" s="2">
        <v>112.1</v>
      </c>
      <c r="H452" s="2">
        <f t="shared" si="37"/>
        <v>-2</v>
      </c>
      <c r="I452" s="1">
        <f t="shared" si="38"/>
        <v>0.43732341582347528</v>
      </c>
      <c r="J452" s="2">
        <v>109.5</v>
      </c>
      <c r="K452" s="2">
        <v>111.4</v>
      </c>
      <c r="L452" s="2">
        <f t="shared" si="39"/>
        <v>-1.9000000000000057</v>
      </c>
      <c r="M452" s="1">
        <f t="shared" si="40"/>
        <v>-6.7678602679197009E-3</v>
      </c>
      <c r="N452" s="2">
        <v>111</v>
      </c>
      <c r="O452" s="2">
        <v>113.7</v>
      </c>
      <c r="P452" s="2">
        <f t="shared" si="41"/>
        <v>-2.7000000000000028</v>
      </c>
      <c r="Q452">
        <v>0.1</v>
      </c>
    </row>
    <row r="453" spans="1:17">
      <c r="A453" t="s">
        <v>54</v>
      </c>
      <c r="B453" t="s">
        <v>30</v>
      </c>
      <c r="C453">
        <v>49</v>
      </c>
      <c r="D453">
        <v>33</v>
      </c>
      <c r="E453" s="1">
        <f t="shared" si="36"/>
        <v>0.59756097560975607</v>
      </c>
      <c r="F453" s="2">
        <v>104</v>
      </c>
      <c r="G453" s="2">
        <v>100.9</v>
      </c>
      <c r="H453" s="2">
        <f t="shared" si="37"/>
        <v>3.0999999999999943</v>
      </c>
      <c r="I453" s="1">
        <f t="shared" si="38"/>
        <v>0.60435719403948929</v>
      </c>
      <c r="J453" s="2">
        <v>110.2</v>
      </c>
      <c r="K453" s="2">
        <v>107.1</v>
      </c>
      <c r="L453" s="2">
        <f t="shared" si="39"/>
        <v>3.1000000000000085</v>
      </c>
      <c r="M453" s="1">
        <f t="shared" si="40"/>
        <v>-6.796218429733214E-3</v>
      </c>
      <c r="N453" s="2">
        <v>104.4</v>
      </c>
      <c r="O453" s="2">
        <v>108.7</v>
      </c>
      <c r="P453" s="2">
        <f t="shared" si="41"/>
        <v>-4.2999999999999972</v>
      </c>
      <c r="Q453">
        <v>0.3</v>
      </c>
    </row>
    <row r="454" spans="1:17">
      <c r="A454" t="s">
        <v>4</v>
      </c>
      <c r="B454" t="s">
        <v>13</v>
      </c>
      <c r="C454">
        <v>17</v>
      </c>
      <c r="D454">
        <v>65</v>
      </c>
      <c r="E454" s="1">
        <f t="shared" si="36"/>
        <v>0.2073170731707317</v>
      </c>
      <c r="F454" s="2">
        <v>92.5</v>
      </c>
      <c r="G454" s="2">
        <v>101.5</v>
      </c>
      <c r="H454" s="2">
        <f t="shared" si="37"/>
        <v>-9</v>
      </c>
      <c r="I454" s="1">
        <f t="shared" si="38"/>
        <v>0.21418148448904825</v>
      </c>
      <c r="J454" s="2">
        <v>96.3</v>
      </c>
      <c r="K454" s="2">
        <v>105.5</v>
      </c>
      <c r="L454" s="2">
        <f t="shared" si="39"/>
        <v>-9.2000000000000028</v>
      </c>
      <c r="M454" s="1">
        <f t="shared" si="40"/>
        <v>-6.8644113183165545E-3</v>
      </c>
      <c r="N454" s="2">
        <v>84.6</v>
      </c>
      <c r="O454" s="2">
        <v>107.8</v>
      </c>
      <c r="P454" s="2">
        <f t="shared" si="41"/>
        <v>-23.200000000000003</v>
      </c>
      <c r="Q454">
        <v>-1.1000000000000001</v>
      </c>
    </row>
    <row r="455" spans="1:17">
      <c r="A455" t="s">
        <v>44</v>
      </c>
      <c r="B455" t="s">
        <v>11</v>
      </c>
      <c r="C455">
        <v>50</v>
      </c>
      <c r="D455">
        <v>32</v>
      </c>
      <c r="E455" s="1">
        <f t="shared" si="36"/>
        <v>0.6097560975609756</v>
      </c>
      <c r="F455" s="2">
        <v>110.7</v>
      </c>
      <c r="G455" s="2">
        <v>107</v>
      </c>
      <c r="H455" s="2">
        <f t="shared" si="37"/>
        <v>3.7000000000000028</v>
      </c>
      <c r="I455" s="1">
        <f t="shared" si="38"/>
        <v>0.61678636144729848</v>
      </c>
      <c r="J455" s="2">
        <v>108.9</v>
      </c>
      <c r="K455" s="2">
        <v>105.5</v>
      </c>
      <c r="L455" s="2">
        <f t="shared" si="39"/>
        <v>3.4000000000000057</v>
      </c>
      <c r="M455" s="1">
        <f t="shared" si="40"/>
        <v>-7.030263886322885E-3</v>
      </c>
      <c r="N455" s="2">
        <v>100.3</v>
      </c>
      <c r="O455" s="2">
        <v>97</v>
      </c>
      <c r="P455" s="2">
        <f t="shared" si="41"/>
        <v>3.2999999999999972</v>
      </c>
      <c r="Q455">
        <v>0.8</v>
      </c>
    </row>
    <row r="456" spans="1:17">
      <c r="A456" t="s">
        <v>41</v>
      </c>
      <c r="B456" t="s">
        <v>22</v>
      </c>
      <c r="C456">
        <v>23</v>
      </c>
      <c r="D456">
        <v>59</v>
      </c>
      <c r="E456" s="1">
        <f t="shared" si="36"/>
        <v>0.28048780487804881</v>
      </c>
      <c r="F456" s="2">
        <v>95.6</v>
      </c>
      <c r="G456" s="2">
        <v>102</v>
      </c>
      <c r="H456" s="2">
        <f t="shared" si="37"/>
        <v>-6.4000000000000057</v>
      </c>
      <c r="I456" s="1">
        <f t="shared" si="38"/>
        <v>0.28757316482715334</v>
      </c>
      <c r="J456" s="2">
        <v>102.7</v>
      </c>
      <c r="K456" s="2">
        <v>109.3</v>
      </c>
      <c r="L456" s="2">
        <f t="shared" si="39"/>
        <v>-6.5999999999999943</v>
      </c>
      <c r="M456" s="1">
        <f t="shared" si="40"/>
        <v>-7.0853599491045305E-3</v>
      </c>
      <c r="N456" s="2">
        <v>100.3</v>
      </c>
      <c r="O456" s="2">
        <v>113.2</v>
      </c>
      <c r="P456" s="2">
        <f t="shared" si="41"/>
        <v>-12.900000000000006</v>
      </c>
      <c r="Q456">
        <v>1.2</v>
      </c>
    </row>
    <row r="457" spans="1:17">
      <c r="A457" t="s">
        <v>34</v>
      </c>
      <c r="B457" t="s">
        <v>26</v>
      </c>
      <c r="C457">
        <v>49</v>
      </c>
      <c r="D457">
        <v>33</v>
      </c>
      <c r="E457" s="1">
        <f t="shared" ref="E457:E520" si="42">+C457/(C457+D457)</f>
        <v>0.59756097560975607</v>
      </c>
      <c r="F457" s="2">
        <v>96.6</v>
      </c>
      <c r="G457" s="2">
        <v>93.7</v>
      </c>
      <c r="H457" s="2">
        <f t="shared" ref="H457:H520" si="43">+F457-G457</f>
        <v>2.8999999999999915</v>
      </c>
      <c r="I457" s="1">
        <f t="shared" ref="I457:I520" si="44">+(F457^14)/((F457^14+G457^14))</f>
        <v>0.60509200990048839</v>
      </c>
      <c r="J457" s="2">
        <v>105.9</v>
      </c>
      <c r="K457" s="2">
        <v>102.6</v>
      </c>
      <c r="L457" s="2">
        <f t="shared" ref="L457:L520" si="45">+J457-K457</f>
        <v>3.3000000000000114</v>
      </c>
      <c r="M457" s="1">
        <f t="shared" ref="M457:M520" si="46">+E457-I457</f>
        <v>-7.5310342907323191E-3</v>
      </c>
      <c r="N457" s="2">
        <v>111.7</v>
      </c>
      <c r="O457" s="2">
        <v>99.7</v>
      </c>
      <c r="P457" s="2">
        <f t="shared" si="41"/>
        <v>12</v>
      </c>
      <c r="Q457">
        <v>-0.2</v>
      </c>
    </row>
    <row r="458" spans="1:17">
      <c r="A458" t="s">
        <v>63</v>
      </c>
      <c r="B458" t="s">
        <v>14</v>
      </c>
      <c r="C458">
        <v>22</v>
      </c>
      <c r="D458">
        <v>60</v>
      </c>
      <c r="E458" s="1">
        <f t="shared" si="42"/>
        <v>0.26829268292682928</v>
      </c>
      <c r="F458" s="2">
        <v>110.7</v>
      </c>
      <c r="G458" s="2">
        <v>118.6</v>
      </c>
      <c r="H458" s="2">
        <f t="shared" si="43"/>
        <v>-7.8999999999999915</v>
      </c>
      <c r="I458" s="1">
        <f t="shared" si="44"/>
        <v>0.27586683135290885</v>
      </c>
      <c r="J458" s="2">
        <v>110.5</v>
      </c>
      <c r="K458" s="2">
        <v>118.6</v>
      </c>
      <c r="L458" s="2">
        <f t="shared" si="45"/>
        <v>-8.0999999999999943</v>
      </c>
      <c r="M458" s="1">
        <f t="shared" si="46"/>
        <v>-7.5741484260795633E-3</v>
      </c>
      <c r="N458" s="2">
        <v>91.4</v>
      </c>
      <c r="O458" s="2">
        <v>101</v>
      </c>
      <c r="P458" s="2">
        <f t="shared" ref="P458:P521" si="47">+N458-O458</f>
        <v>-9.5999999999999943</v>
      </c>
      <c r="Q458">
        <v>-1.9</v>
      </c>
    </row>
    <row r="459" spans="1:17">
      <c r="A459" t="s">
        <v>57</v>
      </c>
      <c r="B459" t="s">
        <v>12</v>
      </c>
      <c r="C459">
        <v>37</v>
      </c>
      <c r="D459">
        <v>45</v>
      </c>
      <c r="E459" s="1">
        <f t="shared" si="42"/>
        <v>0.45121951219512196</v>
      </c>
      <c r="F459" s="2">
        <v>101.3</v>
      </c>
      <c r="G459" s="2">
        <v>102.5</v>
      </c>
      <c r="H459" s="2">
        <f t="shared" si="43"/>
        <v>-1.2000000000000028</v>
      </c>
      <c r="I459" s="1">
        <f t="shared" si="44"/>
        <v>0.45887575520915785</v>
      </c>
      <c r="J459" s="2">
        <v>105.3</v>
      </c>
      <c r="K459" s="2">
        <v>106.7</v>
      </c>
      <c r="L459" s="2">
        <f t="shared" si="45"/>
        <v>-1.4000000000000057</v>
      </c>
      <c r="M459" s="1">
        <f t="shared" si="46"/>
        <v>-7.6562430140358906E-3</v>
      </c>
      <c r="N459" s="2">
        <v>100.3</v>
      </c>
      <c r="O459" s="2">
        <v>112.5</v>
      </c>
      <c r="P459" s="2">
        <f t="shared" si="47"/>
        <v>-12.200000000000003</v>
      </c>
      <c r="Q459">
        <v>1.3</v>
      </c>
    </row>
    <row r="460" spans="1:17">
      <c r="A460" t="s">
        <v>47</v>
      </c>
      <c r="B460" t="s">
        <v>26</v>
      </c>
      <c r="C460">
        <v>50</v>
      </c>
      <c r="D460">
        <v>32</v>
      </c>
      <c r="E460" s="1">
        <f t="shared" si="42"/>
        <v>0.6097560975609756</v>
      </c>
      <c r="F460" s="2">
        <v>98.1</v>
      </c>
      <c r="G460" s="2">
        <v>94.8</v>
      </c>
      <c r="H460" s="2">
        <f t="shared" si="43"/>
        <v>3.2999999999999972</v>
      </c>
      <c r="I460" s="1">
        <f t="shared" si="44"/>
        <v>0.61752385224098172</v>
      </c>
      <c r="J460" s="2">
        <v>109.6</v>
      </c>
      <c r="K460" s="2">
        <v>106.1</v>
      </c>
      <c r="L460" s="2">
        <f t="shared" si="45"/>
        <v>3.5</v>
      </c>
      <c r="M460" s="1">
        <f t="shared" si="46"/>
        <v>-7.7677546800061226E-3</v>
      </c>
      <c r="N460" s="2">
        <v>100.8</v>
      </c>
      <c r="O460" s="2">
        <v>96.2</v>
      </c>
      <c r="P460" s="2">
        <f t="shared" si="47"/>
        <v>4.5999999999999943</v>
      </c>
      <c r="Q460">
        <v>0.4</v>
      </c>
    </row>
    <row r="461" spans="1:17">
      <c r="A461" t="s">
        <v>60</v>
      </c>
      <c r="B461" t="s">
        <v>56</v>
      </c>
      <c r="C461">
        <v>49</v>
      </c>
      <c r="D461">
        <v>23</v>
      </c>
      <c r="E461" s="1">
        <f t="shared" si="42"/>
        <v>0.68055555555555558</v>
      </c>
      <c r="F461" s="2">
        <v>116.3</v>
      </c>
      <c r="G461" s="2">
        <v>109.9</v>
      </c>
      <c r="H461" s="2">
        <f t="shared" si="43"/>
        <v>6.3999999999999915</v>
      </c>
      <c r="I461" s="1">
        <f t="shared" si="44"/>
        <v>0.68835302636242091</v>
      </c>
      <c r="J461" s="2">
        <v>113.3</v>
      </c>
      <c r="K461" s="2">
        <v>106.9</v>
      </c>
      <c r="L461" s="2">
        <f t="shared" si="45"/>
        <v>6.3999999999999915</v>
      </c>
      <c r="M461" s="1">
        <f t="shared" si="46"/>
        <v>-7.7974708068653253E-3</v>
      </c>
      <c r="N461" s="2">
        <v>116</v>
      </c>
      <c r="O461" s="2">
        <v>108.3</v>
      </c>
      <c r="P461" s="2">
        <f t="shared" si="47"/>
        <v>7.7000000000000028</v>
      </c>
      <c r="Q461">
        <v>0.7</v>
      </c>
    </row>
    <row r="462" spans="1:17">
      <c r="A462" t="s">
        <v>43</v>
      </c>
      <c r="B462" t="s">
        <v>11</v>
      </c>
      <c r="C462">
        <v>45</v>
      </c>
      <c r="D462">
        <v>37</v>
      </c>
      <c r="E462" s="1">
        <f t="shared" si="42"/>
        <v>0.54878048780487809</v>
      </c>
      <c r="F462" s="2">
        <v>105.4</v>
      </c>
      <c r="G462" s="2">
        <v>103.7</v>
      </c>
      <c r="H462" s="2">
        <f t="shared" si="43"/>
        <v>1.7000000000000028</v>
      </c>
      <c r="I462" s="1">
        <f t="shared" si="44"/>
        <v>0.55666731029444283</v>
      </c>
      <c r="J462" s="2">
        <v>106.7</v>
      </c>
      <c r="K462" s="2">
        <v>105.1</v>
      </c>
      <c r="L462" s="2">
        <f t="shared" si="45"/>
        <v>1.6000000000000085</v>
      </c>
      <c r="M462" s="1">
        <f t="shared" si="46"/>
        <v>-7.8868224895647376E-3</v>
      </c>
      <c r="N462" s="2">
        <v>95.3</v>
      </c>
      <c r="O462" s="2">
        <v>100.3</v>
      </c>
      <c r="P462" s="2">
        <f t="shared" si="47"/>
        <v>-5</v>
      </c>
      <c r="Q462">
        <v>-1.4</v>
      </c>
    </row>
    <row r="463" spans="1:17">
      <c r="A463" t="s">
        <v>44</v>
      </c>
      <c r="B463" t="s">
        <v>20</v>
      </c>
      <c r="C463">
        <v>22</v>
      </c>
      <c r="D463">
        <v>60</v>
      </c>
      <c r="E463" s="1">
        <f t="shared" si="42"/>
        <v>0.26829268292682928</v>
      </c>
      <c r="F463" s="2">
        <v>95.6</v>
      </c>
      <c r="G463" s="2">
        <v>102.4</v>
      </c>
      <c r="H463" s="2">
        <f t="shared" si="43"/>
        <v>-6.8000000000000114</v>
      </c>
      <c r="I463" s="1">
        <f t="shared" si="44"/>
        <v>0.27647904137528079</v>
      </c>
      <c r="J463" s="2">
        <v>102.7</v>
      </c>
      <c r="K463" s="2">
        <v>110</v>
      </c>
      <c r="L463" s="2">
        <f t="shared" si="45"/>
        <v>-7.2999999999999972</v>
      </c>
      <c r="M463" s="1">
        <f t="shared" si="46"/>
        <v>-8.1863584484515028E-3</v>
      </c>
      <c r="N463" s="2">
        <v>105.4</v>
      </c>
      <c r="O463" s="2">
        <v>118.7</v>
      </c>
      <c r="P463" s="2">
        <f t="shared" si="47"/>
        <v>-13.299999999999997</v>
      </c>
      <c r="Q463">
        <v>-1.9</v>
      </c>
    </row>
    <row r="464" spans="1:17">
      <c r="A464" t="s">
        <v>58</v>
      </c>
      <c r="B464" t="s">
        <v>24</v>
      </c>
      <c r="C464">
        <v>52</v>
      </c>
      <c r="D464">
        <v>30</v>
      </c>
      <c r="E464" s="1">
        <f t="shared" si="42"/>
        <v>0.63414634146341464</v>
      </c>
      <c r="F464" s="2">
        <v>109.8</v>
      </c>
      <c r="G464" s="2">
        <v>105.3</v>
      </c>
      <c r="H464" s="2">
        <f t="shared" si="43"/>
        <v>4.5</v>
      </c>
      <c r="I464" s="1">
        <f t="shared" si="44"/>
        <v>0.64241456879862791</v>
      </c>
      <c r="J464" s="2">
        <v>108.5</v>
      </c>
      <c r="K464" s="2">
        <v>103.9</v>
      </c>
      <c r="L464" s="2">
        <f t="shared" si="45"/>
        <v>4.5999999999999943</v>
      </c>
      <c r="M464" s="1">
        <f t="shared" si="46"/>
        <v>-8.2682273352132629E-3</v>
      </c>
      <c r="N464" s="2">
        <v>114.5</v>
      </c>
      <c r="O464" s="2">
        <v>97.1</v>
      </c>
      <c r="P464" s="2">
        <f t="shared" si="47"/>
        <v>17.400000000000006</v>
      </c>
      <c r="Q464">
        <v>-1.1000000000000001</v>
      </c>
    </row>
    <row r="465" spans="1:17">
      <c r="A465" t="s">
        <v>48</v>
      </c>
      <c r="B465" t="s">
        <v>6</v>
      </c>
      <c r="C465">
        <v>56</v>
      </c>
      <c r="D465">
        <v>26</v>
      </c>
      <c r="E465" s="1">
        <f t="shared" si="42"/>
        <v>0.68292682926829273</v>
      </c>
      <c r="F465" s="2">
        <v>96.5</v>
      </c>
      <c r="G465" s="2">
        <v>91.1</v>
      </c>
      <c r="H465" s="2">
        <f t="shared" si="43"/>
        <v>5.4000000000000057</v>
      </c>
      <c r="I465" s="1">
        <f t="shared" si="44"/>
        <v>0.69129763241570297</v>
      </c>
      <c r="J465" s="2">
        <v>105.5</v>
      </c>
      <c r="K465" s="2">
        <v>99.8</v>
      </c>
      <c r="L465" s="2">
        <f t="shared" si="45"/>
        <v>5.7000000000000028</v>
      </c>
      <c r="M465" s="1">
        <f t="shared" si="46"/>
        <v>-8.3708031474102329E-3</v>
      </c>
      <c r="N465" s="2">
        <v>98.7</v>
      </c>
      <c r="O465" s="2">
        <v>98.6</v>
      </c>
      <c r="P465" s="2">
        <f t="shared" si="47"/>
        <v>0.10000000000000853</v>
      </c>
      <c r="Q465">
        <v>0.5</v>
      </c>
    </row>
    <row r="466" spans="1:17">
      <c r="A466" t="s">
        <v>47</v>
      </c>
      <c r="B466" t="s">
        <v>15</v>
      </c>
      <c r="C466">
        <v>32</v>
      </c>
      <c r="D466">
        <v>50</v>
      </c>
      <c r="E466" s="1">
        <f t="shared" si="42"/>
        <v>0.3902439024390244</v>
      </c>
      <c r="F466" s="2">
        <v>100.8</v>
      </c>
      <c r="G466" s="2">
        <v>103.8</v>
      </c>
      <c r="H466" s="2">
        <f t="shared" si="43"/>
        <v>-3</v>
      </c>
      <c r="I466" s="1">
        <f t="shared" si="44"/>
        <v>0.39877147110517808</v>
      </c>
      <c r="J466" s="2">
        <v>103</v>
      </c>
      <c r="K466" s="2">
        <v>106</v>
      </c>
      <c r="L466" s="2">
        <f t="shared" si="45"/>
        <v>-3</v>
      </c>
      <c r="M466" s="1">
        <f t="shared" si="46"/>
        <v>-8.5275686661536731E-3</v>
      </c>
      <c r="N466" s="2">
        <v>84</v>
      </c>
      <c r="O466" s="2">
        <v>103.9</v>
      </c>
      <c r="P466" s="2">
        <f t="shared" si="47"/>
        <v>-19.900000000000006</v>
      </c>
      <c r="Q466">
        <v>0.2</v>
      </c>
    </row>
    <row r="467" spans="1:17">
      <c r="A467" t="s">
        <v>52</v>
      </c>
      <c r="B467" t="s">
        <v>33</v>
      </c>
      <c r="C467">
        <v>44</v>
      </c>
      <c r="D467">
        <v>38</v>
      </c>
      <c r="E467" s="1">
        <f t="shared" si="42"/>
        <v>0.53658536585365857</v>
      </c>
      <c r="F467" s="2">
        <v>100.7</v>
      </c>
      <c r="G467" s="2">
        <v>99.4</v>
      </c>
      <c r="H467" s="2">
        <f t="shared" si="43"/>
        <v>1.2999999999999972</v>
      </c>
      <c r="I467" s="1">
        <f t="shared" si="44"/>
        <v>0.54535290258851965</v>
      </c>
      <c r="J467" s="2">
        <v>104.9</v>
      </c>
      <c r="K467" s="2">
        <v>103.6</v>
      </c>
      <c r="L467" s="2">
        <f t="shared" si="45"/>
        <v>1.3000000000000114</v>
      </c>
      <c r="M467" s="1">
        <f t="shared" si="46"/>
        <v>-8.7675367348610811E-3</v>
      </c>
      <c r="N467" s="2">
        <v>92.4</v>
      </c>
      <c r="O467" s="2">
        <v>99</v>
      </c>
      <c r="P467" s="2">
        <f t="shared" si="47"/>
        <v>-6.5999999999999943</v>
      </c>
      <c r="Q467">
        <v>0</v>
      </c>
    </row>
    <row r="468" spans="1:17">
      <c r="A468" t="s">
        <v>39</v>
      </c>
      <c r="B468" t="s">
        <v>13</v>
      </c>
      <c r="C468">
        <v>34</v>
      </c>
      <c r="D468">
        <v>48</v>
      </c>
      <c r="E468" s="1">
        <f t="shared" si="42"/>
        <v>0.41463414634146339</v>
      </c>
      <c r="F468" s="2">
        <v>98.7</v>
      </c>
      <c r="G468" s="2">
        <v>100.9</v>
      </c>
      <c r="H468" s="2">
        <f t="shared" si="43"/>
        <v>-2.2000000000000028</v>
      </c>
      <c r="I468" s="1">
        <f t="shared" si="44"/>
        <v>0.42344924071660006</v>
      </c>
      <c r="J468" s="2">
        <v>103.4</v>
      </c>
      <c r="K468" s="2">
        <v>105.5</v>
      </c>
      <c r="L468" s="2">
        <f t="shared" si="45"/>
        <v>-2.0999999999999943</v>
      </c>
      <c r="M468" s="1">
        <f t="shared" si="46"/>
        <v>-8.8150943751366673E-3</v>
      </c>
      <c r="N468" s="2">
        <v>99.8</v>
      </c>
      <c r="O468" s="2">
        <v>92.9</v>
      </c>
      <c r="P468" s="2">
        <f t="shared" si="47"/>
        <v>6.8999999999999915</v>
      </c>
      <c r="Q468">
        <v>-0.8</v>
      </c>
    </row>
    <row r="469" spans="1:17">
      <c r="A469" t="s">
        <v>63</v>
      </c>
      <c r="B469" t="s">
        <v>5</v>
      </c>
      <c r="C469">
        <v>41</v>
      </c>
      <c r="D469">
        <v>41</v>
      </c>
      <c r="E469" s="1">
        <f t="shared" si="42"/>
        <v>0.5</v>
      </c>
      <c r="F469" s="2">
        <v>118.4</v>
      </c>
      <c r="G469" s="2">
        <v>118.1</v>
      </c>
      <c r="H469" s="2">
        <f t="shared" si="43"/>
        <v>0.30000000000001137</v>
      </c>
      <c r="I469" s="1">
        <f t="shared" si="44"/>
        <v>0.50887856400324194</v>
      </c>
      <c r="J469" s="2">
        <v>115.5</v>
      </c>
      <c r="K469" s="2">
        <v>115.4</v>
      </c>
      <c r="L469" s="2">
        <f t="shared" si="45"/>
        <v>9.9999999999994316E-2</v>
      </c>
      <c r="M469" s="1">
        <f t="shared" si="46"/>
        <v>-8.87856400324194E-3</v>
      </c>
      <c r="N469" s="2">
        <v>102.1</v>
      </c>
      <c r="O469" s="2">
        <v>118.6</v>
      </c>
      <c r="P469" s="2">
        <f t="shared" si="47"/>
        <v>-16.5</v>
      </c>
      <c r="Q469">
        <v>-0.9</v>
      </c>
    </row>
    <row r="470" spans="1:17">
      <c r="A470" t="s">
        <v>50</v>
      </c>
      <c r="B470" t="s">
        <v>12</v>
      </c>
      <c r="C470">
        <v>29</v>
      </c>
      <c r="D470">
        <v>53</v>
      </c>
      <c r="E470" s="1">
        <f t="shared" si="42"/>
        <v>0.35365853658536583</v>
      </c>
      <c r="F470" s="2">
        <v>94.9</v>
      </c>
      <c r="G470" s="2">
        <v>98.8</v>
      </c>
      <c r="H470" s="2">
        <f t="shared" si="43"/>
        <v>-3.8999999999999915</v>
      </c>
      <c r="I470" s="1">
        <f t="shared" si="44"/>
        <v>0.36266067514952754</v>
      </c>
      <c r="J470" s="2">
        <v>102.7</v>
      </c>
      <c r="K470" s="2">
        <v>107.2</v>
      </c>
      <c r="L470" s="2">
        <f t="shared" si="45"/>
        <v>-4.5</v>
      </c>
      <c r="M470" s="1">
        <f t="shared" si="46"/>
        <v>-9.0021385641617102E-3</v>
      </c>
      <c r="N470" s="2">
        <v>101.4</v>
      </c>
      <c r="O470" s="2">
        <v>104.7</v>
      </c>
      <c r="P470" s="2">
        <f t="shared" si="47"/>
        <v>-3.2999999999999972</v>
      </c>
      <c r="Q470">
        <v>-0.5</v>
      </c>
    </row>
    <row r="471" spans="1:17">
      <c r="A471" t="s">
        <v>38</v>
      </c>
      <c r="B471" t="s">
        <v>23</v>
      </c>
      <c r="C471">
        <v>21</v>
      </c>
      <c r="D471">
        <v>61</v>
      </c>
      <c r="E471" s="1">
        <f t="shared" si="42"/>
        <v>0.25609756097560976</v>
      </c>
      <c r="F471" s="2">
        <v>94</v>
      </c>
      <c r="G471" s="2">
        <v>101.1</v>
      </c>
      <c r="H471" s="2">
        <f t="shared" si="43"/>
        <v>-7.0999999999999943</v>
      </c>
      <c r="I471" s="1">
        <f t="shared" si="44"/>
        <v>0.26514140361954713</v>
      </c>
      <c r="J471" s="2">
        <v>101.4</v>
      </c>
      <c r="K471" s="2">
        <v>108.8</v>
      </c>
      <c r="L471" s="2">
        <f t="shared" si="45"/>
        <v>-7.3999999999999915</v>
      </c>
      <c r="M471" s="1">
        <f t="shared" si="46"/>
        <v>-9.043842643937372E-3</v>
      </c>
      <c r="N471" s="2">
        <v>97.2</v>
      </c>
      <c r="O471" s="2">
        <v>99.4</v>
      </c>
      <c r="P471" s="2">
        <f t="shared" si="47"/>
        <v>-2.2000000000000028</v>
      </c>
      <c r="Q471">
        <v>-2.4</v>
      </c>
    </row>
    <row r="472" spans="1:17">
      <c r="A472" t="s">
        <v>48</v>
      </c>
      <c r="B472" t="s">
        <v>17</v>
      </c>
      <c r="C472">
        <v>57</v>
      </c>
      <c r="D472">
        <v>25</v>
      </c>
      <c r="E472" s="1">
        <f t="shared" si="42"/>
        <v>0.69512195121951215</v>
      </c>
      <c r="F472" s="2">
        <v>101.5</v>
      </c>
      <c r="G472" s="2">
        <v>95.4</v>
      </c>
      <c r="H472" s="2">
        <f t="shared" si="43"/>
        <v>6.0999999999999943</v>
      </c>
      <c r="I472" s="1">
        <f t="shared" si="44"/>
        <v>0.70427169761914954</v>
      </c>
      <c r="J472" s="2">
        <v>109.6</v>
      </c>
      <c r="K472" s="2">
        <v>103.3</v>
      </c>
      <c r="L472" s="2">
        <f t="shared" si="45"/>
        <v>6.2999999999999972</v>
      </c>
      <c r="M472" s="1">
        <f t="shared" si="46"/>
        <v>-9.1497463996373929E-3</v>
      </c>
      <c r="N472" s="2">
        <v>108</v>
      </c>
      <c r="O472" s="2">
        <v>98.7</v>
      </c>
      <c r="P472" s="2">
        <f t="shared" si="47"/>
        <v>9.2999999999999972</v>
      </c>
      <c r="Q472">
        <v>0</v>
      </c>
    </row>
    <row r="473" spans="1:17">
      <c r="A473" t="s">
        <v>34</v>
      </c>
      <c r="B473" t="s">
        <v>28</v>
      </c>
      <c r="C473">
        <v>58</v>
      </c>
      <c r="D473">
        <v>24</v>
      </c>
      <c r="E473" s="1">
        <f t="shared" si="42"/>
        <v>0.70731707317073167</v>
      </c>
      <c r="F473" s="2">
        <v>96.7</v>
      </c>
      <c r="G473" s="2">
        <v>90.5</v>
      </c>
      <c r="H473" s="2">
        <f t="shared" si="43"/>
        <v>6.2000000000000028</v>
      </c>
      <c r="I473" s="1">
        <f t="shared" si="44"/>
        <v>0.71660634572291726</v>
      </c>
      <c r="J473" s="2">
        <v>105.4</v>
      </c>
      <c r="K473" s="2">
        <v>98.5</v>
      </c>
      <c r="L473" s="2">
        <f t="shared" si="45"/>
        <v>6.9000000000000057</v>
      </c>
      <c r="M473" s="1">
        <f t="shared" si="46"/>
        <v>-9.2892725521855901E-3</v>
      </c>
      <c r="N473" s="2">
        <v>92.5</v>
      </c>
      <c r="O473" s="2">
        <v>96.7</v>
      </c>
      <c r="P473" s="2">
        <f t="shared" si="47"/>
        <v>-4.2000000000000028</v>
      </c>
      <c r="Q473">
        <v>0.2</v>
      </c>
    </row>
    <row r="474" spans="1:17">
      <c r="A474" t="s">
        <v>48</v>
      </c>
      <c r="B474" t="s">
        <v>12</v>
      </c>
      <c r="C474">
        <v>30</v>
      </c>
      <c r="D474">
        <v>52</v>
      </c>
      <c r="E474" s="1">
        <f t="shared" si="42"/>
        <v>0.36585365853658536</v>
      </c>
      <c r="F474" s="2">
        <v>97</v>
      </c>
      <c r="G474" s="2">
        <v>100.6</v>
      </c>
      <c r="H474" s="2">
        <f t="shared" si="43"/>
        <v>-3.5999999999999943</v>
      </c>
      <c r="I474" s="1">
        <f t="shared" si="44"/>
        <v>0.37515182060576369</v>
      </c>
      <c r="J474" s="2">
        <v>107</v>
      </c>
      <c r="K474" s="2">
        <v>110.7</v>
      </c>
      <c r="L474" s="2">
        <f t="shared" si="45"/>
        <v>-3.7000000000000028</v>
      </c>
      <c r="M474" s="1">
        <f t="shared" si="46"/>
        <v>-9.2981620691783284E-3</v>
      </c>
      <c r="N474" s="2">
        <v>99.4</v>
      </c>
      <c r="O474" s="2">
        <v>103.6</v>
      </c>
      <c r="P474" s="2">
        <f t="shared" si="47"/>
        <v>-4.1999999999999886</v>
      </c>
      <c r="Q474">
        <v>-1.1000000000000001</v>
      </c>
    </row>
    <row r="475" spans="1:17">
      <c r="A475" t="s">
        <v>60</v>
      </c>
      <c r="B475" t="s">
        <v>19</v>
      </c>
      <c r="C475">
        <v>56</v>
      </c>
      <c r="D475">
        <v>17</v>
      </c>
      <c r="E475" s="1">
        <f t="shared" si="42"/>
        <v>0.76712328767123283</v>
      </c>
      <c r="F475" s="2">
        <v>118.7</v>
      </c>
      <c r="G475" s="2">
        <v>108.6</v>
      </c>
      <c r="H475" s="2">
        <f t="shared" si="43"/>
        <v>10.100000000000009</v>
      </c>
      <c r="I475" s="1">
        <f t="shared" si="44"/>
        <v>0.77643149133297851</v>
      </c>
      <c r="J475" s="2">
        <v>111.9</v>
      </c>
      <c r="K475" s="2">
        <v>102.5</v>
      </c>
      <c r="L475" s="2">
        <f t="shared" si="45"/>
        <v>9.4000000000000057</v>
      </c>
      <c r="M475" s="1">
        <f t="shared" si="46"/>
        <v>-9.3082036617456732E-3</v>
      </c>
      <c r="N475" s="2">
        <v>110.1</v>
      </c>
      <c r="O475" s="2">
        <v>91.9</v>
      </c>
      <c r="P475" s="2">
        <f t="shared" si="47"/>
        <v>18.199999999999989</v>
      </c>
      <c r="Q475">
        <v>2.5</v>
      </c>
    </row>
    <row r="476" spans="1:17">
      <c r="A476" t="s">
        <v>55</v>
      </c>
      <c r="B476" t="s">
        <v>53</v>
      </c>
      <c r="C476">
        <v>30</v>
      </c>
      <c r="D476">
        <v>52</v>
      </c>
      <c r="E476" s="1">
        <f t="shared" si="42"/>
        <v>0.36585365853658536</v>
      </c>
      <c r="F476" s="2">
        <v>102.7</v>
      </c>
      <c r="G476" s="2">
        <v>106.5</v>
      </c>
      <c r="H476" s="2">
        <f t="shared" si="43"/>
        <v>-3.7999999999999972</v>
      </c>
      <c r="I476" s="1">
        <f t="shared" si="44"/>
        <v>0.37550766895906917</v>
      </c>
      <c r="J476" s="2">
        <v>104.8</v>
      </c>
      <c r="K476" s="2">
        <v>108.4</v>
      </c>
      <c r="L476" s="2">
        <f t="shared" si="45"/>
        <v>-3.6000000000000085</v>
      </c>
      <c r="M476" s="1">
        <f t="shared" si="46"/>
        <v>-9.6540104224838164E-3</v>
      </c>
      <c r="N476" s="2">
        <v>106.8</v>
      </c>
      <c r="O476" s="2">
        <v>111.8</v>
      </c>
      <c r="P476" s="2">
        <f t="shared" si="47"/>
        <v>-5</v>
      </c>
      <c r="Q476">
        <v>-0.6</v>
      </c>
    </row>
    <row r="477" spans="1:17">
      <c r="A477" t="s">
        <v>55</v>
      </c>
      <c r="B477" t="s">
        <v>15</v>
      </c>
      <c r="C477">
        <v>45</v>
      </c>
      <c r="D477">
        <v>37</v>
      </c>
      <c r="E477" s="1">
        <f t="shared" si="42"/>
        <v>0.54878048780487809</v>
      </c>
      <c r="F477" s="2">
        <v>102.2</v>
      </c>
      <c r="G477" s="2">
        <v>100.5</v>
      </c>
      <c r="H477" s="2">
        <f t="shared" si="43"/>
        <v>1.7000000000000028</v>
      </c>
      <c r="I477" s="1">
        <f t="shared" si="44"/>
        <v>0.55844050126148148</v>
      </c>
      <c r="J477" s="2">
        <v>103.8</v>
      </c>
      <c r="K477" s="2">
        <v>102.2</v>
      </c>
      <c r="L477" s="2">
        <f t="shared" si="45"/>
        <v>1.5999999999999943</v>
      </c>
      <c r="M477" s="1">
        <f t="shared" si="46"/>
        <v>-9.6600134566033891E-3</v>
      </c>
      <c r="N477" s="2">
        <v>97.1</v>
      </c>
      <c r="O477" s="2">
        <v>103.7</v>
      </c>
      <c r="P477" s="2">
        <f t="shared" si="47"/>
        <v>-6.6000000000000085</v>
      </c>
      <c r="Q477">
        <v>0.7</v>
      </c>
    </row>
    <row r="478" spans="1:17">
      <c r="A478" t="s">
        <v>34</v>
      </c>
      <c r="B478" t="s">
        <v>16</v>
      </c>
      <c r="C478">
        <v>39</v>
      </c>
      <c r="D478">
        <v>43</v>
      </c>
      <c r="E478" s="1">
        <f t="shared" si="42"/>
        <v>0.47560975609756095</v>
      </c>
      <c r="F478" s="2">
        <v>95.7</v>
      </c>
      <c r="G478" s="2">
        <v>96.1</v>
      </c>
      <c r="H478" s="2">
        <f t="shared" si="43"/>
        <v>-0.39999999999999147</v>
      </c>
      <c r="I478" s="1">
        <f t="shared" si="44"/>
        <v>0.48540558556338809</v>
      </c>
      <c r="J478" s="2">
        <v>104.3</v>
      </c>
      <c r="K478" s="2">
        <v>104.7</v>
      </c>
      <c r="L478" s="2">
        <f t="shared" si="45"/>
        <v>-0.40000000000000568</v>
      </c>
      <c r="M478" s="1">
        <f t="shared" si="46"/>
        <v>-9.7958294658271328E-3</v>
      </c>
      <c r="N478" s="2">
        <v>95.3</v>
      </c>
      <c r="O478" s="2">
        <v>100.3</v>
      </c>
      <c r="P478" s="2">
        <f t="shared" si="47"/>
        <v>-5</v>
      </c>
      <c r="Q478">
        <v>-0.5</v>
      </c>
    </row>
    <row r="479" spans="1:17">
      <c r="A479" t="s">
        <v>49</v>
      </c>
      <c r="B479" t="s">
        <v>18</v>
      </c>
      <c r="C479">
        <v>46</v>
      </c>
      <c r="D479">
        <v>20</v>
      </c>
      <c r="E479" s="1">
        <f t="shared" si="42"/>
        <v>0.69696969696969702</v>
      </c>
      <c r="F479" s="2">
        <v>98.5</v>
      </c>
      <c r="G479" s="2">
        <v>92.5</v>
      </c>
      <c r="H479" s="2">
        <f t="shared" si="43"/>
        <v>6</v>
      </c>
      <c r="I479" s="1">
        <f t="shared" si="44"/>
        <v>0.70679541613451391</v>
      </c>
      <c r="J479" s="2">
        <v>105.6</v>
      </c>
      <c r="K479" s="2">
        <v>99.2</v>
      </c>
      <c r="L479" s="2">
        <f t="shared" si="45"/>
        <v>6.3999999999999915</v>
      </c>
      <c r="M479" s="1">
        <f t="shared" si="46"/>
        <v>-9.8257191648168929E-3</v>
      </c>
      <c r="N479" s="2">
        <v>100.8</v>
      </c>
      <c r="O479" s="2">
        <v>90.4</v>
      </c>
      <c r="P479" s="2">
        <f t="shared" si="47"/>
        <v>10.399999999999991</v>
      </c>
      <c r="Q479">
        <v>0.6</v>
      </c>
    </row>
    <row r="480" spans="1:17">
      <c r="A480" t="s">
        <v>4</v>
      </c>
      <c r="B480" t="s">
        <v>5</v>
      </c>
      <c r="C480">
        <v>25</v>
      </c>
      <c r="D480">
        <v>57</v>
      </c>
      <c r="E480" s="1">
        <f t="shared" si="42"/>
        <v>0.3048780487804878</v>
      </c>
      <c r="F480" s="2">
        <v>91</v>
      </c>
      <c r="G480" s="2">
        <v>96.2</v>
      </c>
      <c r="H480" s="2">
        <f t="shared" si="43"/>
        <v>-5.2000000000000028</v>
      </c>
      <c r="I480" s="1">
        <f t="shared" si="44"/>
        <v>0.31475585496453756</v>
      </c>
      <c r="J480" s="2">
        <v>96.9</v>
      </c>
      <c r="K480" s="2">
        <v>102.4</v>
      </c>
      <c r="L480" s="2">
        <f t="shared" si="45"/>
        <v>-5.5</v>
      </c>
      <c r="M480" s="1">
        <f t="shared" si="46"/>
        <v>-9.8778061840497644E-3</v>
      </c>
      <c r="N480" s="2">
        <v>87</v>
      </c>
      <c r="O480" s="2">
        <v>104.5</v>
      </c>
      <c r="P480" s="2">
        <f t="shared" si="47"/>
        <v>-17.5</v>
      </c>
      <c r="Q480">
        <v>-0.9</v>
      </c>
    </row>
    <row r="481" spans="1:17">
      <c r="A481" t="s">
        <v>38</v>
      </c>
      <c r="B481" t="s">
        <v>6</v>
      </c>
      <c r="C481">
        <v>36</v>
      </c>
      <c r="D481">
        <v>46</v>
      </c>
      <c r="E481" s="1">
        <f t="shared" si="42"/>
        <v>0.43902439024390244</v>
      </c>
      <c r="F481" s="2">
        <v>95.3</v>
      </c>
      <c r="G481" s="2">
        <v>96.7</v>
      </c>
      <c r="H481" s="2">
        <f t="shared" si="43"/>
        <v>-1.4000000000000057</v>
      </c>
      <c r="I481" s="1">
        <f t="shared" si="44"/>
        <v>0.44913400395840042</v>
      </c>
      <c r="J481" s="2">
        <v>100.7</v>
      </c>
      <c r="K481" s="2">
        <v>102.2</v>
      </c>
      <c r="L481" s="2">
        <f t="shared" si="45"/>
        <v>-1.5</v>
      </c>
      <c r="M481" s="1">
        <f t="shared" si="46"/>
        <v>-1.0109613714497978E-2</v>
      </c>
      <c r="N481" s="2">
        <v>100.3</v>
      </c>
      <c r="O481" s="2">
        <v>104.3</v>
      </c>
      <c r="P481" s="2">
        <f t="shared" si="47"/>
        <v>-4</v>
      </c>
      <c r="Q481">
        <v>-0.4</v>
      </c>
    </row>
    <row r="482" spans="1:17">
      <c r="A482" t="s">
        <v>55</v>
      </c>
      <c r="B482" t="s">
        <v>51</v>
      </c>
      <c r="C482">
        <v>21</v>
      </c>
      <c r="D482">
        <v>61</v>
      </c>
      <c r="E482" s="1">
        <f t="shared" si="42"/>
        <v>0.25609756097560976</v>
      </c>
      <c r="F482" s="2">
        <v>98.6</v>
      </c>
      <c r="G482" s="2">
        <v>106</v>
      </c>
      <c r="H482" s="2">
        <f t="shared" si="43"/>
        <v>-7.4000000000000057</v>
      </c>
      <c r="I482" s="1">
        <f t="shared" si="44"/>
        <v>0.26636391076495491</v>
      </c>
      <c r="J482" s="2">
        <v>102.4</v>
      </c>
      <c r="K482" s="2">
        <v>109.7</v>
      </c>
      <c r="L482" s="2">
        <f t="shared" si="45"/>
        <v>-7.2999999999999972</v>
      </c>
      <c r="M482" s="1">
        <f t="shared" si="46"/>
        <v>-1.0266349789345153E-2</v>
      </c>
      <c r="N482" s="2">
        <v>96.9</v>
      </c>
      <c r="O482" s="2">
        <v>104</v>
      </c>
      <c r="P482" s="2">
        <f t="shared" si="47"/>
        <v>-7.0999999999999943</v>
      </c>
      <c r="Q482">
        <v>-1.8</v>
      </c>
    </row>
    <row r="483" spans="1:17">
      <c r="A483" t="s">
        <v>64</v>
      </c>
      <c r="B483" t="s">
        <v>30</v>
      </c>
      <c r="C483">
        <v>25</v>
      </c>
      <c r="D483">
        <v>57</v>
      </c>
      <c r="E483" s="1">
        <f t="shared" si="42"/>
        <v>0.3048780487804878</v>
      </c>
      <c r="F483" s="2">
        <v>112.4</v>
      </c>
      <c r="G483" s="2">
        <v>118.8</v>
      </c>
      <c r="H483" s="2">
        <f t="shared" si="43"/>
        <v>-6.3999999999999915</v>
      </c>
      <c r="I483" s="1">
        <f t="shared" si="44"/>
        <v>0.3153370573458385</v>
      </c>
      <c r="J483" s="2">
        <v>111.8</v>
      </c>
      <c r="K483" s="2">
        <v>118.1</v>
      </c>
      <c r="L483" s="2">
        <f t="shared" si="45"/>
        <v>-6.2999999999999972</v>
      </c>
      <c r="M483" s="1">
        <f t="shared" si="46"/>
        <v>-1.0459008565350703E-2</v>
      </c>
      <c r="N483" s="2">
        <v>109</v>
      </c>
      <c r="O483" s="2">
        <v>115.5</v>
      </c>
      <c r="P483" s="2">
        <f t="shared" si="47"/>
        <v>-6.5</v>
      </c>
      <c r="Q483">
        <v>-1</v>
      </c>
    </row>
    <row r="484" spans="1:17">
      <c r="A484" t="s">
        <v>47</v>
      </c>
      <c r="B484" t="s">
        <v>18</v>
      </c>
      <c r="C484">
        <v>47</v>
      </c>
      <c r="D484">
        <v>35</v>
      </c>
      <c r="E484" s="1">
        <f t="shared" si="42"/>
        <v>0.57317073170731703</v>
      </c>
      <c r="F484" s="2">
        <v>96.5</v>
      </c>
      <c r="G484" s="2">
        <v>94.2</v>
      </c>
      <c r="H484" s="2">
        <f t="shared" si="43"/>
        <v>2.2999999999999972</v>
      </c>
      <c r="I484" s="1">
        <f t="shared" si="44"/>
        <v>0.58363647422814535</v>
      </c>
      <c r="J484" s="2">
        <v>105.7</v>
      </c>
      <c r="K484" s="2">
        <v>103.4</v>
      </c>
      <c r="L484" s="2">
        <f t="shared" si="45"/>
        <v>2.2999999999999972</v>
      </c>
      <c r="M484" s="1">
        <f t="shared" si="46"/>
        <v>-1.0465742520828325E-2</v>
      </c>
      <c r="N484" s="2">
        <v>102.9</v>
      </c>
      <c r="O484" s="2">
        <v>101.7</v>
      </c>
      <c r="P484" s="2">
        <f t="shared" si="47"/>
        <v>1.2000000000000028</v>
      </c>
      <c r="Q484">
        <v>-0.9</v>
      </c>
    </row>
    <row r="485" spans="1:17">
      <c r="A485" t="s">
        <v>48</v>
      </c>
      <c r="B485" t="s">
        <v>15</v>
      </c>
      <c r="C485">
        <v>37</v>
      </c>
      <c r="D485">
        <v>45</v>
      </c>
      <c r="E485" s="1">
        <f t="shared" si="42"/>
        <v>0.45121951219512196</v>
      </c>
      <c r="F485" s="2">
        <v>99.8</v>
      </c>
      <c r="G485" s="2">
        <v>100.9</v>
      </c>
      <c r="H485" s="2">
        <f t="shared" si="43"/>
        <v>-1.1000000000000085</v>
      </c>
      <c r="I485" s="1">
        <f t="shared" si="44"/>
        <v>0.4617090166605291</v>
      </c>
      <c r="J485" s="2">
        <v>104.1</v>
      </c>
      <c r="K485" s="2">
        <v>105</v>
      </c>
      <c r="L485" s="2">
        <f t="shared" si="45"/>
        <v>-0.90000000000000568</v>
      </c>
      <c r="M485" s="1">
        <f t="shared" si="46"/>
        <v>-1.048950446540714E-2</v>
      </c>
      <c r="N485" s="2">
        <v>96.3</v>
      </c>
      <c r="O485" s="2">
        <v>104.4</v>
      </c>
      <c r="P485" s="2">
        <f t="shared" si="47"/>
        <v>-8.1000000000000085</v>
      </c>
      <c r="Q485">
        <v>-1.5</v>
      </c>
    </row>
    <row r="486" spans="1:17">
      <c r="A486" t="s">
        <v>47</v>
      </c>
      <c r="B486" t="s">
        <v>46</v>
      </c>
      <c r="C486">
        <v>50</v>
      </c>
      <c r="D486">
        <v>32</v>
      </c>
      <c r="E486" s="1">
        <f t="shared" si="42"/>
        <v>0.6097560975609756</v>
      </c>
      <c r="F486" s="2">
        <v>101.5</v>
      </c>
      <c r="G486" s="2">
        <v>98</v>
      </c>
      <c r="H486" s="2">
        <f t="shared" si="43"/>
        <v>3.5</v>
      </c>
      <c r="I486" s="1">
        <f t="shared" si="44"/>
        <v>0.62040756265639296</v>
      </c>
      <c r="J486" s="2">
        <v>107</v>
      </c>
      <c r="K486" s="2">
        <v>103.5</v>
      </c>
      <c r="L486" s="2">
        <f t="shared" si="45"/>
        <v>3.5</v>
      </c>
      <c r="M486" s="1">
        <f t="shared" si="46"/>
        <v>-1.0651465095417367E-2</v>
      </c>
      <c r="N486" s="2">
        <v>92.3</v>
      </c>
      <c r="O486" s="2">
        <v>98</v>
      </c>
      <c r="P486" s="2">
        <f t="shared" si="47"/>
        <v>-5.7000000000000028</v>
      </c>
      <c r="Q486">
        <v>-0.6</v>
      </c>
    </row>
    <row r="487" spans="1:17">
      <c r="A487" t="s">
        <v>59</v>
      </c>
      <c r="B487" t="s">
        <v>23</v>
      </c>
      <c r="C487">
        <v>42</v>
      </c>
      <c r="D487">
        <v>40</v>
      </c>
      <c r="E487" s="1">
        <f t="shared" si="42"/>
        <v>0.51219512195121952</v>
      </c>
      <c r="F487" s="2">
        <v>107.3</v>
      </c>
      <c r="G487" s="2">
        <v>106.6</v>
      </c>
      <c r="H487" s="2">
        <f t="shared" si="43"/>
        <v>0.70000000000000284</v>
      </c>
      <c r="I487" s="1">
        <f t="shared" si="44"/>
        <v>0.52289196737820709</v>
      </c>
      <c r="J487" s="2">
        <v>108.2</v>
      </c>
      <c r="K487" s="2">
        <v>107.6</v>
      </c>
      <c r="L487" s="2">
        <f t="shared" si="45"/>
        <v>0.60000000000000853</v>
      </c>
      <c r="M487" s="1">
        <f t="shared" si="46"/>
        <v>-1.0696845426987567E-2</v>
      </c>
      <c r="N487" s="2">
        <v>96</v>
      </c>
      <c r="O487" s="2">
        <v>98.5</v>
      </c>
      <c r="P487" s="2">
        <f t="shared" si="47"/>
        <v>-2.5</v>
      </c>
      <c r="Q487">
        <v>-0.5</v>
      </c>
    </row>
    <row r="488" spans="1:17">
      <c r="A488" t="s">
        <v>36</v>
      </c>
      <c r="B488" t="s">
        <v>33</v>
      </c>
      <c r="C488">
        <v>37</v>
      </c>
      <c r="D488">
        <v>45</v>
      </c>
      <c r="E488" s="1">
        <f t="shared" si="42"/>
        <v>0.45121951219512196</v>
      </c>
      <c r="F488" s="2">
        <v>91.5</v>
      </c>
      <c r="G488" s="2">
        <v>92.5</v>
      </c>
      <c r="H488" s="2">
        <f t="shared" si="43"/>
        <v>-1</v>
      </c>
      <c r="I488" s="1">
        <f t="shared" si="44"/>
        <v>0.4620293938086929</v>
      </c>
      <c r="J488" s="2">
        <v>101.5</v>
      </c>
      <c r="K488" s="2">
        <v>102.6</v>
      </c>
      <c r="L488" s="2">
        <f t="shared" si="45"/>
        <v>-1.0999999999999943</v>
      </c>
      <c r="M488" s="1">
        <f t="shared" si="46"/>
        <v>-1.0809881613570937E-2</v>
      </c>
      <c r="N488" s="2">
        <v>103.1</v>
      </c>
      <c r="O488" s="2">
        <v>104.3</v>
      </c>
      <c r="P488" s="2">
        <f t="shared" si="47"/>
        <v>-1.2000000000000028</v>
      </c>
      <c r="Q488">
        <v>-0.3</v>
      </c>
    </row>
    <row r="489" spans="1:17">
      <c r="A489" t="s">
        <v>38</v>
      </c>
      <c r="B489" t="s">
        <v>10</v>
      </c>
      <c r="C489">
        <v>52</v>
      </c>
      <c r="D489">
        <v>30</v>
      </c>
      <c r="E489" s="1">
        <f t="shared" si="42"/>
        <v>0.63414634146341464</v>
      </c>
      <c r="F489" s="2">
        <v>105.2</v>
      </c>
      <c r="G489" s="2">
        <v>100.8</v>
      </c>
      <c r="H489" s="2">
        <f t="shared" si="43"/>
        <v>4.4000000000000057</v>
      </c>
      <c r="I489" s="1">
        <f t="shared" si="44"/>
        <v>0.64523276409206387</v>
      </c>
      <c r="J489" s="2">
        <v>110.4</v>
      </c>
      <c r="K489" s="2">
        <v>105.9</v>
      </c>
      <c r="L489" s="2">
        <f t="shared" si="45"/>
        <v>4.5</v>
      </c>
      <c r="M489" s="1">
        <f t="shared" si="46"/>
        <v>-1.1086422628649228E-2</v>
      </c>
      <c r="N489" s="2">
        <v>95.7</v>
      </c>
      <c r="O489" s="2">
        <v>110.5</v>
      </c>
      <c r="P489" s="2">
        <f t="shared" si="47"/>
        <v>-14.799999999999997</v>
      </c>
      <c r="Q489">
        <v>0.4</v>
      </c>
    </row>
    <row r="490" spans="1:17">
      <c r="A490" t="s">
        <v>38</v>
      </c>
      <c r="B490" t="s">
        <v>18</v>
      </c>
      <c r="C490">
        <v>42</v>
      </c>
      <c r="D490">
        <v>40</v>
      </c>
      <c r="E490" s="1">
        <f t="shared" si="42"/>
        <v>0.51219512195121952</v>
      </c>
      <c r="F490" s="2">
        <v>90.3</v>
      </c>
      <c r="G490" s="2">
        <v>89.7</v>
      </c>
      <c r="H490" s="2">
        <f t="shared" si="43"/>
        <v>0.59999999999999432</v>
      </c>
      <c r="I490" s="1">
        <f t="shared" si="44"/>
        <v>0.52331649603624697</v>
      </c>
      <c r="J490" s="2">
        <v>100.6</v>
      </c>
      <c r="K490" s="2">
        <v>100.3</v>
      </c>
      <c r="L490" s="2">
        <f t="shared" si="45"/>
        <v>0.29999999999999716</v>
      </c>
      <c r="M490" s="1">
        <f t="shared" si="46"/>
        <v>-1.1121374085027447E-2</v>
      </c>
      <c r="N490" s="2">
        <v>100</v>
      </c>
      <c r="O490" s="2">
        <v>89.1</v>
      </c>
      <c r="P490" s="2">
        <f t="shared" si="47"/>
        <v>10.900000000000006</v>
      </c>
      <c r="Q490">
        <v>0.5</v>
      </c>
    </row>
    <row r="491" spans="1:17">
      <c r="A491" t="s">
        <v>55</v>
      </c>
      <c r="B491" t="s">
        <v>25</v>
      </c>
      <c r="C491">
        <v>23</v>
      </c>
      <c r="D491">
        <v>59</v>
      </c>
      <c r="E491" s="1">
        <f t="shared" si="42"/>
        <v>0.28048780487804881</v>
      </c>
      <c r="F491" s="2">
        <v>100.9</v>
      </c>
      <c r="G491" s="2">
        <v>107.5</v>
      </c>
      <c r="H491" s="2">
        <f t="shared" si="43"/>
        <v>-6.5999999999999943</v>
      </c>
      <c r="I491" s="1">
        <f t="shared" si="44"/>
        <v>0.29171838314513582</v>
      </c>
      <c r="J491" s="2">
        <v>101.5</v>
      </c>
      <c r="K491" s="2">
        <v>107.9</v>
      </c>
      <c r="L491" s="2">
        <f t="shared" si="45"/>
        <v>-6.4000000000000057</v>
      </c>
      <c r="M491" s="1">
        <f t="shared" si="46"/>
        <v>-1.123057826708701E-2</v>
      </c>
      <c r="N491" s="2">
        <v>88.7</v>
      </c>
      <c r="O491" s="2">
        <v>116.2</v>
      </c>
      <c r="P491" s="2">
        <f t="shared" si="47"/>
        <v>-27.5</v>
      </c>
      <c r="Q491">
        <v>-1.7</v>
      </c>
    </row>
    <row r="492" spans="1:17">
      <c r="A492" t="s">
        <v>59</v>
      </c>
      <c r="B492" t="s">
        <v>35</v>
      </c>
      <c r="C492">
        <v>33</v>
      </c>
      <c r="D492">
        <v>49</v>
      </c>
      <c r="E492" s="1">
        <f t="shared" si="42"/>
        <v>0.40243902439024393</v>
      </c>
      <c r="F492" s="2">
        <v>103.5</v>
      </c>
      <c r="G492" s="2">
        <v>106.1</v>
      </c>
      <c r="H492" s="2">
        <f t="shared" si="43"/>
        <v>-2.5999999999999943</v>
      </c>
      <c r="I492" s="1">
        <f t="shared" si="44"/>
        <v>0.41402614202375848</v>
      </c>
      <c r="J492" s="2">
        <v>105.6</v>
      </c>
      <c r="K492" s="2">
        <v>108</v>
      </c>
      <c r="L492" s="2">
        <f t="shared" si="45"/>
        <v>-2.4000000000000057</v>
      </c>
      <c r="M492" s="1">
        <f t="shared" si="46"/>
        <v>-1.1587117633514554E-2</v>
      </c>
      <c r="N492" s="2">
        <v>102.9</v>
      </c>
      <c r="O492" s="2">
        <v>109.8</v>
      </c>
      <c r="P492" s="2">
        <f t="shared" si="47"/>
        <v>-6.8999999999999915</v>
      </c>
      <c r="Q492">
        <v>-1.7</v>
      </c>
    </row>
    <row r="493" spans="1:17">
      <c r="A493" t="s">
        <v>4</v>
      </c>
      <c r="B493" t="s">
        <v>23</v>
      </c>
      <c r="C493">
        <v>43</v>
      </c>
      <c r="D493">
        <v>39</v>
      </c>
      <c r="E493" s="1">
        <f t="shared" si="42"/>
        <v>0.52439024390243905</v>
      </c>
      <c r="F493" s="2">
        <v>97.5</v>
      </c>
      <c r="G493" s="2">
        <v>96.5</v>
      </c>
      <c r="H493" s="2">
        <f t="shared" si="43"/>
        <v>1</v>
      </c>
      <c r="I493" s="1">
        <f t="shared" si="44"/>
        <v>0.5360202858252715</v>
      </c>
      <c r="J493" s="2">
        <v>102.1</v>
      </c>
      <c r="K493" s="2">
        <v>101.1</v>
      </c>
      <c r="L493" s="2">
        <f t="shared" si="45"/>
        <v>1</v>
      </c>
      <c r="M493" s="1">
        <f t="shared" si="46"/>
        <v>-1.1630041922832457E-2</v>
      </c>
      <c r="N493" s="2">
        <v>93.5</v>
      </c>
      <c r="O493" s="2">
        <v>104.3</v>
      </c>
      <c r="P493" s="2">
        <f t="shared" si="47"/>
        <v>-10.799999999999997</v>
      </c>
      <c r="Q493">
        <v>-0.6</v>
      </c>
    </row>
    <row r="494" spans="1:17">
      <c r="A494" t="s">
        <v>44</v>
      </c>
      <c r="B494" t="s">
        <v>6</v>
      </c>
      <c r="C494">
        <v>66</v>
      </c>
      <c r="D494">
        <v>16</v>
      </c>
      <c r="E494" s="1">
        <f t="shared" si="42"/>
        <v>0.80487804878048785</v>
      </c>
      <c r="F494" s="2">
        <v>100.5</v>
      </c>
      <c r="G494" s="2">
        <v>90.3</v>
      </c>
      <c r="H494" s="2">
        <f t="shared" si="43"/>
        <v>10.200000000000003</v>
      </c>
      <c r="I494" s="1">
        <f t="shared" si="44"/>
        <v>0.81731836243506328</v>
      </c>
      <c r="J494" s="2">
        <v>108.8</v>
      </c>
      <c r="K494" s="2">
        <v>98.1</v>
      </c>
      <c r="L494" s="2">
        <f t="shared" si="45"/>
        <v>10.700000000000003</v>
      </c>
      <c r="M494" s="1">
        <f t="shared" si="46"/>
        <v>-1.244031365457543E-2</v>
      </c>
      <c r="N494" s="2">
        <v>101.4</v>
      </c>
      <c r="O494" s="2">
        <v>99.7</v>
      </c>
      <c r="P494" s="2">
        <f t="shared" si="47"/>
        <v>1.7000000000000028</v>
      </c>
      <c r="Q494">
        <v>1</v>
      </c>
    </row>
    <row r="495" spans="1:17">
      <c r="A495" t="s">
        <v>57</v>
      </c>
      <c r="B495" t="s">
        <v>31</v>
      </c>
      <c r="C495">
        <v>51</v>
      </c>
      <c r="D495">
        <v>31</v>
      </c>
      <c r="E495" s="1">
        <f t="shared" si="42"/>
        <v>0.62195121951219512</v>
      </c>
      <c r="F495" s="2">
        <v>100.7</v>
      </c>
      <c r="G495" s="2">
        <v>96.8</v>
      </c>
      <c r="H495" s="2">
        <f t="shared" si="43"/>
        <v>3.9000000000000057</v>
      </c>
      <c r="I495" s="1">
        <f t="shared" si="44"/>
        <v>0.63482745651575567</v>
      </c>
      <c r="J495" s="2">
        <v>109</v>
      </c>
      <c r="K495" s="2">
        <v>104.7</v>
      </c>
      <c r="L495" s="2">
        <f t="shared" si="45"/>
        <v>4.2999999999999972</v>
      </c>
      <c r="M495" s="1">
        <f t="shared" si="46"/>
        <v>-1.2876237003560553E-2</v>
      </c>
      <c r="N495" s="2">
        <v>115</v>
      </c>
      <c r="O495" s="2">
        <v>99.3</v>
      </c>
      <c r="P495" s="2">
        <f t="shared" si="47"/>
        <v>15.700000000000003</v>
      </c>
      <c r="Q495">
        <v>2.2000000000000002</v>
      </c>
    </row>
    <row r="496" spans="1:17">
      <c r="A496" t="s">
        <v>63</v>
      </c>
      <c r="B496" t="s">
        <v>25</v>
      </c>
      <c r="C496">
        <v>45</v>
      </c>
      <c r="D496">
        <v>37</v>
      </c>
      <c r="E496" s="1">
        <f t="shared" si="42"/>
        <v>0.54878048780487809</v>
      </c>
      <c r="F496" s="2">
        <v>113.6</v>
      </c>
      <c r="G496" s="2">
        <v>111.6</v>
      </c>
      <c r="H496" s="2">
        <f t="shared" si="43"/>
        <v>2</v>
      </c>
      <c r="I496" s="1">
        <f t="shared" si="44"/>
        <v>0.56185019593174323</v>
      </c>
      <c r="J496" s="2">
        <v>114.5</v>
      </c>
      <c r="K496" s="2">
        <v>112.3</v>
      </c>
      <c r="L496" s="2">
        <f t="shared" si="45"/>
        <v>2.2000000000000028</v>
      </c>
      <c r="M496" s="1">
        <f t="shared" si="46"/>
        <v>-1.3069708126865143E-2</v>
      </c>
      <c r="N496" s="2">
        <v>109.4</v>
      </c>
      <c r="O496" s="2">
        <v>112.6</v>
      </c>
      <c r="P496" s="2">
        <f t="shared" si="47"/>
        <v>-3.1999999999999886</v>
      </c>
      <c r="Q496">
        <v>-0.2</v>
      </c>
    </row>
    <row r="497" spans="1:17">
      <c r="A497" t="s">
        <v>39</v>
      </c>
      <c r="B497" t="s">
        <v>22</v>
      </c>
      <c r="C497">
        <v>33</v>
      </c>
      <c r="D497">
        <v>49</v>
      </c>
      <c r="E497" s="1">
        <f t="shared" si="42"/>
        <v>0.40243902439024393</v>
      </c>
      <c r="F497" s="2">
        <v>97.3</v>
      </c>
      <c r="G497" s="2">
        <v>99.7</v>
      </c>
      <c r="H497" s="2">
        <f t="shared" si="43"/>
        <v>-2.4000000000000057</v>
      </c>
      <c r="I497" s="1">
        <f t="shared" si="44"/>
        <v>0.4155341313693024</v>
      </c>
      <c r="J497" s="2">
        <v>104.5</v>
      </c>
      <c r="K497" s="2">
        <v>107.2</v>
      </c>
      <c r="L497" s="2">
        <f t="shared" si="45"/>
        <v>-2.7000000000000028</v>
      </c>
      <c r="M497" s="1">
        <f t="shared" si="46"/>
        <v>-1.3095106979058468E-2</v>
      </c>
      <c r="N497" s="2">
        <v>96.2</v>
      </c>
      <c r="O497" s="2">
        <v>111.3</v>
      </c>
      <c r="P497" s="2">
        <f t="shared" si="47"/>
        <v>-15.099999999999994</v>
      </c>
      <c r="Q497">
        <v>-0.8</v>
      </c>
    </row>
    <row r="498" spans="1:17">
      <c r="A498" t="s">
        <v>64</v>
      </c>
      <c r="B498" t="s">
        <v>20</v>
      </c>
      <c r="C498">
        <v>56</v>
      </c>
      <c r="D498">
        <v>26</v>
      </c>
      <c r="E498" s="1">
        <f t="shared" si="42"/>
        <v>0.68292682926829273</v>
      </c>
      <c r="F498" s="2">
        <v>113</v>
      </c>
      <c r="G498" s="2">
        <v>106.5</v>
      </c>
      <c r="H498" s="2">
        <f t="shared" si="43"/>
        <v>6.5</v>
      </c>
      <c r="I498" s="1">
        <f t="shared" si="44"/>
        <v>0.6962279782158256</v>
      </c>
      <c r="J498" s="2">
        <v>114.6</v>
      </c>
      <c r="K498" s="2">
        <v>108.4</v>
      </c>
      <c r="L498" s="2">
        <f t="shared" si="45"/>
        <v>6.1999999999999886</v>
      </c>
      <c r="M498" s="1">
        <f t="shared" si="46"/>
        <v>-1.330114894753287E-2</v>
      </c>
      <c r="N498" s="2">
        <v>104.9</v>
      </c>
      <c r="O498" s="2">
        <v>116.7</v>
      </c>
      <c r="P498" s="2">
        <f t="shared" si="47"/>
        <v>-11.799999999999997</v>
      </c>
      <c r="Q498">
        <v>1.2</v>
      </c>
    </row>
    <row r="499" spans="1:17">
      <c r="A499" t="s">
        <v>47</v>
      </c>
      <c r="B499" t="s">
        <v>5</v>
      </c>
      <c r="C499">
        <v>53</v>
      </c>
      <c r="D499">
        <v>29</v>
      </c>
      <c r="E499" s="1">
        <f t="shared" si="42"/>
        <v>0.64634146341463417</v>
      </c>
      <c r="F499" s="2">
        <v>101.7</v>
      </c>
      <c r="G499" s="2">
        <v>97</v>
      </c>
      <c r="H499" s="2">
        <f t="shared" si="43"/>
        <v>4.7000000000000028</v>
      </c>
      <c r="I499" s="1">
        <f t="shared" si="44"/>
        <v>0.65980571592524628</v>
      </c>
      <c r="J499" s="2">
        <v>111</v>
      </c>
      <c r="K499" s="2">
        <v>106</v>
      </c>
      <c r="L499" s="2">
        <f t="shared" si="45"/>
        <v>5</v>
      </c>
      <c r="M499" s="1">
        <f t="shared" si="46"/>
        <v>-1.3464252510612118E-2</v>
      </c>
      <c r="N499" s="2">
        <v>105.7</v>
      </c>
      <c r="O499" s="2">
        <v>103.7</v>
      </c>
      <c r="P499" s="2">
        <f t="shared" si="47"/>
        <v>2</v>
      </c>
      <c r="Q499">
        <v>0.3</v>
      </c>
    </row>
    <row r="500" spans="1:17">
      <c r="A500" t="s">
        <v>64</v>
      </c>
      <c r="B500" t="s">
        <v>46</v>
      </c>
      <c r="C500">
        <v>57</v>
      </c>
      <c r="D500">
        <v>25</v>
      </c>
      <c r="E500" s="1">
        <f t="shared" si="42"/>
        <v>0.69512195121951215</v>
      </c>
      <c r="F500" s="2">
        <v>120.1</v>
      </c>
      <c r="G500" s="2">
        <v>112.7</v>
      </c>
      <c r="H500" s="2">
        <f t="shared" si="43"/>
        <v>7.3999999999999915</v>
      </c>
      <c r="I500" s="1">
        <f t="shared" si="44"/>
        <v>0.70895915812510701</v>
      </c>
      <c r="J500" s="2">
        <v>118.3</v>
      </c>
      <c r="K500" s="2">
        <v>111</v>
      </c>
      <c r="L500" s="2">
        <f t="shared" si="45"/>
        <v>7.2999999999999972</v>
      </c>
      <c r="M500" s="1">
        <f t="shared" si="46"/>
        <v>-1.3837206905594868E-2</v>
      </c>
      <c r="N500" s="2">
        <v>125.5</v>
      </c>
      <c r="O500" s="2">
        <v>114</v>
      </c>
      <c r="P500" s="2">
        <f t="shared" si="47"/>
        <v>11.5</v>
      </c>
      <c r="Q500">
        <v>0.8</v>
      </c>
    </row>
    <row r="501" spans="1:17">
      <c r="A501" t="s">
        <v>65</v>
      </c>
      <c r="B501" t="s">
        <v>6</v>
      </c>
      <c r="C501">
        <v>61</v>
      </c>
      <c r="D501">
        <v>21</v>
      </c>
      <c r="E501" s="1">
        <f t="shared" si="42"/>
        <v>0.74390243902439024</v>
      </c>
      <c r="F501" s="2">
        <v>116.3</v>
      </c>
      <c r="G501" s="2">
        <v>107.2</v>
      </c>
      <c r="H501" s="2">
        <f t="shared" si="43"/>
        <v>9.0999999999999943</v>
      </c>
      <c r="I501" s="1">
        <f t="shared" si="44"/>
        <v>0.75780361294366638</v>
      </c>
      <c r="J501" s="2">
        <v>119.5</v>
      </c>
      <c r="K501" s="2">
        <v>110.1</v>
      </c>
      <c r="L501" s="2">
        <f t="shared" si="45"/>
        <v>9.4000000000000057</v>
      </c>
      <c r="M501" s="1">
        <f t="shared" si="46"/>
        <v>-1.3901173919276144E-2</v>
      </c>
      <c r="N501" s="2">
        <v>120.4</v>
      </c>
      <c r="O501" s="2">
        <v>109.7</v>
      </c>
      <c r="P501" s="2">
        <f t="shared" si="47"/>
        <v>10.700000000000003</v>
      </c>
      <c r="Q501">
        <v>0.4</v>
      </c>
    </row>
    <row r="502" spans="1:17">
      <c r="A502" t="s">
        <v>48</v>
      </c>
      <c r="B502" t="s">
        <v>22</v>
      </c>
      <c r="C502">
        <v>42</v>
      </c>
      <c r="D502">
        <v>40</v>
      </c>
      <c r="E502" s="1">
        <f t="shared" si="42"/>
        <v>0.51219512195121952</v>
      </c>
      <c r="F502" s="2">
        <v>106.5</v>
      </c>
      <c r="G502" s="2">
        <v>105.7</v>
      </c>
      <c r="H502" s="2">
        <f t="shared" si="43"/>
        <v>0.79999999999999716</v>
      </c>
      <c r="I502" s="1">
        <f t="shared" si="44"/>
        <v>0.52636584420943078</v>
      </c>
      <c r="J502" s="2">
        <v>109.9</v>
      </c>
      <c r="K502" s="2">
        <v>109</v>
      </c>
      <c r="L502" s="2">
        <f t="shared" si="45"/>
        <v>0.90000000000000568</v>
      </c>
      <c r="M502" s="1">
        <f t="shared" si="46"/>
        <v>-1.4170722258211255E-2</v>
      </c>
      <c r="N502" s="2">
        <v>106.4</v>
      </c>
      <c r="O502" s="2">
        <v>110.4</v>
      </c>
      <c r="P502" s="2">
        <f t="shared" si="47"/>
        <v>-4</v>
      </c>
      <c r="Q502">
        <v>-0.4</v>
      </c>
    </row>
    <row r="503" spans="1:17">
      <c r="A503" t="s">
        <v>58</v>
      </c>
      <c r="B503" t="s">
        <v>30</v>
      </c>
      <c r="C503">
        <v>59</v>
      </c>
      <c r="D503">
        <v>23</v>
      </c>
      <c r="E503" s="1">
        <f t="shared" si="42"/>
        <v>0.71951219512195119</v>
      </c>
      <c r="F503" s="2">
        <v>111.7</v>
      </c>
      <c r="G503" s="2">
        <v>103.9</v>
      </c>
      <c r="H503" s="2">
        <f t="shared" si="43"/>
        <v>7.7999999999999972</v>
      </c>
      <c r="I503" s="1">
        <f t="shared" si="44"/>
        <v>0.73369073451534572</v>
      </c>
      <c r="J503" s="2">
        <v>113</v>
      </c>
      <c r="K503" s="2">
        <v>105.3</v>
      </c>
      <c r="L503" s="2">
        <f t="shared" si="45"/>
        <v>7.7000000000000028</v>
      </c>
      <c r="M503" s="1">
        <f t="shared" si="46"/>
        <v>-1.4178539393394529E-2</v>
      </c>
      <c r="N503" s="2">
        <v>103.1</v>
      </c>
      <c r="O503" s="2">
        <v>102.6</v>
      </c>
      <c r="P503" s="2">
        <f t="shared" si="47"/>
        <v>0.5</v>
      </c>
      <c r="Q503">
        <v>1.9</v>
      </c>
    </row>
    <row r="504" spans="1:17">
      <c r="A504" t="s">
        <v>44</v>
      </c>
      <c r="B504" t="s">
        <v>15</v>
      </c>
      <c r="C504">
        <v>36</v>
      </c>
      <c r="D504">
        <v>46</v>
      </c>
      <c r="E504" s="1">
        <f t="shared" si="42"/>
        <v>0.43902439024390244</v>
      </c>
      <c r="F504" s="2">
        <v>104</v>
      </c>
      <c r="G504" s="2">
        <v>105.4</v>
      </c>
      <c r="H504" s="2">
        <f t="shared" si="43"/>
        <v>-1.4000000000000057</v>
      </c>
      <c r="I504" s="1">
        <f t="shared" si="44"/>
        <v>0.45333512374186213</v>
      </c>
      <c r="J504" s="2">
        <v>105.1</v>
      </c>
      <c r="K504" s="2">
        <v>106.3</v>
      </c>
      <c r="L504" s="2">
        <f t="shared" si="45"/>
        <v>-1.2000000000000028</v>
      </c>
      <c r="M504" s="1">
        <f t="shared" si="46"/>
        <v>-1.4310733497959693E-2</v>
      </c>
      <c r="N504" s="2">
        <v>101.4</v>
      </c>
      <c r="O504" s="2">
        <v>113.1</v>
      </c>
      <c r="P504" s="2">
        <f t="shared" si="47"/>
        <v>-11.699999999999989</v>
      </c>
      <c r="Q504">
        <v>0.4</v>
      </c>
    </row>
    <row r="505" spans="1:17">
      <c r="A505" t="s">
        <v>54</v>
      </c>
      <c r="B505" t="s">
        <v>19</v>
      </c>
      <c r="C505">
        <v>41</v>
      </c>
      <c r="D505">
        <v>41</v>
      </c>
      <c r="E505" s="1">
        <f t="shared" si="42"/>
        <v>0.5</v>
      </c>
      <c r="F505" s="2">
        <v>97.8</v>
      </c>
      <c r="G505" s="2">
        <v>97.4</v>
      </c>
      <c r="H505" s="2">
        <f t="shared" si="43"/>
        <v>0.39999999999999147</v>
      </c>
      <c r="I505" s="1">
        <f t="shared" si="44"/>
        <v>0.51434034839194509</v>
      </c>
      <c r="J505" s="2">
        <v>102</v>
      </c>
      <c r="K505" s="2">
        <v>101.4</v>
      </c>
      <c r="L505" s="2">
        <f t="shared" si="45"/>
        <v>0.59999999999999432</v>
      </c>
      <c r="M505" s="1">
        <f t="shared" si="46"/>
        <v>-1.434034839194509E-2</v>
      </c>
      <c r="N505" s="2">
        <v>94.2</v>
      </c>
      <c r="O505" s="2">
        <v>96.2</v>
      </c>
      <c r="P505" s="2">
        <f t="shared" si="47"/>
        <v>-2</v>
      </c>
      <c r="Q505">
        <v>-1</v>
      </c>
    </row>
    <row r="506" spans="1:17">
      <c r="A506" t="s">
        <v>63</v>
      </c>
      <c r="B506" t="s">
        <v>22</v>
      </c>
      <c r="C506">
        <v>47</v>
      </c>
      <c r="D506">
        <v>35</v>
      </c>
      <c r="E506" s="1">
        <f t="shared" si="42"/>
        <v>0.57317073170731703</v>
      </c>
      <c r="F506" s="2">
        <v>116</v>
      </c>
      <c r="G506" s="2">
        <v>113.1</v>
      </c>
      <c r="H506" s="2">
        <f t="shared" si="43"/>
        <v>2.9000000000000057</v>
      </c>
      <c r="I506" s="1">
        <f t="shared" si="44"/>
        <v>0.58769610800156147</v>
      </c>
      <c r="J506" s="2">
        <v>117</v>
      </c>
      <c r="K506" s="2">
        <v>114.2</v>
      </c>
      <c r="L506" s="2">
        <f t="shared" si="45"/>
        <v>2.7999999999999972</v>
      </c>
      <c r="M506" s="1">
        <f t="shared" si="46"/>
        <v>-1.4525376294244441E-2</v>
      </c>
      <c r="N506" s="2">
        <v>109.1</v>
      </c>
      <c r="O506" s="2">
        <v>119</v>
      </c>
      <c r="P506" s="2">
        <f t="shared" si="47"/>
        <v>-9.9000000000000057</v>
      </c>
      <c r="Q506">
        <v>0</v>
      </c>
    </row>
    <row r="507" spans="1:17">
      <c r="A507" t="s">
        <v>38</v>
      </c>
      <c r="B507" t="s">
        <v>25</v>
      </c>
      <c r="C507">
        <v>29</v>
      </c>
      <c r="D507">
        <v>53</v>
      </c>
      <c r="E507" s="1">
        <f t="shared" si="42"/>
        <v>0.35365853658536583</v>
      </c>
      <c r="F507" s="2">
        <v>94.2</v>
      </c>
      <c r="G507" s="2">
        <v>97.9</v>
      </c>
      <c r="H507" s="2">
        <f t="shared" si="43"/>
        <v>-3.7000000000000028</v>
      </c>
      <c r="I507" s="1">
        <f t="shared" si="44"/>
        <v>0.36833434593522879</v>
      </c>
      <c r="J507" s="2">
        <v>100.3</v>
      </c>
      <c r="K507" s="2">
        <v>104.2</v>
      </c>
      <c r="L507" s="2">
        <f t="shared" si="45"/>
        <v>-3.9000000000000057</v>
      </c>
      <c r="M507" s="1">
        <f t="shared" si="46"/>
        <v>-1.4675809349862956E-2</v>
      </c>
      <c r="N507" s="2">
        <v>92.8</v>
      </c>
      <c r="O507" s="2">
        <v>106.8</v>
      </c>
      <c r="P507" s="2">
        <f t="shared" si="47"/>
        <v>-14</v>
      </c>
      <c r="Q507">
        <v>-1.6</v>
      </c>
    </row>
    <row r="508" spans="1:17">
      <c r="A508" t="s">
        <v>64</v>
      </c>
      <c r="B508" t="s">
        <v>15</v>
      </c>
      <c r="C508">
        <v>46</v>
      </c>
      <c r="D508">
        <v>35</v>
      </c>
      <c r="E508" s="1">
        <f t="shared" si="42"/>
        <v>0.5679012345679012</v>
      </c>
      <c r="F508" s="2">
        <v>123.2</v>
      </c>
      <c r="G508" s="2">
        <v>120.3</v>
      </c>
      <c r="H508" s="2">
        <f t="shared" si="43"/>
        <v>2.9000000000000057</v>
      </c>
      <c r="I508" s="1">
        <f t="shared" si="44"/>
        <v>0.5826073302631597</v>
      </c>
      <c r="J508" s="2">
        <v>120.5</v>
      </c>
      <c r="K508" s="2">
        <v>117.6</v>
      </c>
      <c r="L508" s="2">
        <f t="shared" si="45"/>
        <v>2.9000000000000057</v>
      </c>
      <c r="M508" s="1">
        <f t="shared" si="46"/>
        <v>-1.4706095695258492E-2</v>
      </c>
      <c r="N508" s="2">
        <v>117.2</v>
      </c>
      <c r="O508" s="2">
        <v>116.9</v>
      </c>
      <c r="P508" s="2">
        <f t="shared" si="47"/>
        <v>0.29999999999999716</v>
      </c>
      <c r="Q508">
        <v>0.7</v>
      </c>
    </row>
    <row r="509" spans="1:17">
      <c r="A509" t="s">
        <v>59</v>
      </c>
      <c r="B509" t="s">
        <v>20</v>
      </c>
      <c r="C509">
        <v>36</v>
      </c>
      <c r="D509">
        <v>46</v>
      </c>
      <c r="E509" s="1">
        <f t="shared" si="42"/>
        <v>0.43902439024390244</v>
      </c>
      <c r="F509" s="2">
        <v>112.5</v>
      </c>
      <c r="G509" s="2">
        <v>114</v>
      </c>
      <c r="H509" s="2">
        <f t="shared" si="43"/>
        <v>-1.5</v>
      </c>
      <c r="I509" s="1">
        <f t="shared" si="44"/>
        <v>0.45377408880323472</v>
      </c>
      <c r="J509" s="2">
        <v>110.6</v>
      </c>
      <c r="K509" s="2">
        <v>112.2</v>
      </c>
      <c r="L509" s="2">
        <f t="shared" si="45"/>
        <v>-1.6000000000000085</v>
      </c>
      <c r="M509" s="1">
        <f t="shared" si="46"/>
        <v>-1.474969855933228E-2</v>
      </c>
      <c r="N509" s="2">
        <v>100</v>
      </c>
      <c r="O509" s="2">
        <v>113.4</v>
      </c>
      <c r="P509" s="2">
        <f t="shared" si="47"/>
        <v>-13.400000000000006</v>
      </c>
      <c r="Q509">
        <v>-1.2</v>
      </c>
    </row>
    <row r="510" spans="1:17">
      <c r="A510" t="s">
        <v>43</v>
      </c>
      <c r="B510" t="s">
        <v>19</v>
      </c>
      <c r="C510">
        <v>28</v>
      </c>
      <c r="D510">
        <v>54</v>
      </c>
      <c r="E510" s="1">
        <f t="shared" si="42"/>
        <v>0.34146341463414637</v>
      </c>
      <c r="F510" s="2">
        <v>99.7</v>
      </c>
      <c r="G510" s="2">
        <v>104</v>
      </c>
      <c r="H510" s="2">
        <f t="shared" si="43"/>
        <v>-4.2999999999999972</v>
      </c>
      <c r="I510" s="1">
        <f t="shared" si="44"/>
        <v>0.35637032098910626</v>
      </c>
      <c r="J510" s="2">
        <v>106</v>
      </c>
      <c r="K510" s="2">
        <v>110.3</v>
      </c>
      <c r="L510" s="2">
        <f t="shared" si="45"/>
        <v>-4.2999999999999972</v>
      </c>
      <c r="M510" s="1">
        <f t="shared" si="46"/>
        <v>-1.4906906354959892E-2</v>
      </c>
      <c r="N510" s="2">
        <v>99.2</v>
      </c>
      <c r="O510" s="2">
        <v>108.4</v>
      </c>
      <c r="P510" s="2">
        <f t="shared" si="47"/>
        <v>-9.2000000000000028</v>
      </c>
      <c r="Q510">
        <v>-1.1000000000000001</v>
      </c>
    </row>
    <row r="511" spans="1:17">
      <c r="A511" t="s">
        <v>38</v>
      </c>
      <c r="B511" t="s">
        <v>11</v>
      </c>
      <c r="C511">
        <v>43</v>
      </c>
      <c r="D511">
        <v>39</v>
      </c>
      <c r="E511" s="1">
        <f t="shared" si="42"/>
        <v>0.52439024390243905</v>
      </c>
      <c r="F511" s="2">
        <v>97.2</v>
      </c>
      <c r="G511" s="2">
        <v>96.1</v>
      </c>
      <c r="H511" s="2">
        <f t="shared" si="43"/>
        <v>1.1000000000000085</v>
      </c>
      <c r="I511" s="1">
        <f t="shared" si="44"/>
        <v>0.53975081670039182</v>
      </c>
      <c r="J511" s="2">
        <v>102.4</v>
      </c>
      <c r="K511" s="2">
        <v>101.4</v>
      </c>
      <c r="L511" s="2">
        <f t="shared" si="45"/>
        <v>1</v>
      </c>
      <c r="M511" s="1">
        <f t="shared" si="46"/>
        <v>-1.5360572797952776E-2</v>
      </c>
      <c r="N511" s="2">
        <v>103.3</v>
      </c>
      <c r="O511" s="2">
        <v>89.6</v>
      </c>
      <c r="P511" s="2">
        <f t="shared" si="47"/>
        <v>13.700000000000003</v>
      </c>
      <c r="Q511">
        <v>0.1</v>
      </c>
    </row>
    <row r="512" spans="1:17">
      <c r="A512" t="s">
        <v>60</v>
      </c>
      <c r="B512" t="s">
        <v>33</v>
      </c>
      <c r="C512">
        <v>25</v>
      </c>
      <c r="D512">
        <v>47</v>
      </c>
      <c r="E512" s="1">
        <f t="shared" si="42"/>
        <v>0.34722222222222221</v>
      </c>
      <c r="F512" s="2">
        <v>114.4</v>
      </c>
      <c r="G512" s="2">
        <v>119.1</v>
      </c>
      <c r="H512" s="2">
        <f t="shared" si="43"/>
        <v>-4.6999999999999886</v>
      </c>
      <c r="I512" s="1">
        <f t="shared" si="44"/>
        <v>0.36269789474955427</v>
      </c>
      <c r="J512" s="2">
        <v>110.2</v>
      </c>
      <c r="K512" s="2">
        <v>114.7</v>
      </c>
      <c r="L512" s="2">
        <f t="shared" si="45"/>
        <v>-4.5</v>
      </c>
      <c r="M512" s="1">
        <f t="shared" si="46"/>
        <v>-1.5475672527332063E-2</v>
      </c>
      <c r="N512" s="2">
        <v>104.3</v>
      </c>
      <c r="O512" s="2">
        <v>119.6</v>
      </c>
      <c r="P512" s="2">
        <f t="shared" si="47"/>
        <v>-15.299999999999997</v>
      </c>
      <c r="Q512">
        <v>0.2</v>
      </c>
    </row>
    <row r="513" spans="1:17">
      <c r="A513" t="s">
        <v>60</v>
      </c>
      <c r="B513" t="s">
        <v>23</v>
      </c>
      <c r="C513">
        <v>33</v>
      </c>
      <c r="D513">
        <v>40</v>
      </c>
      <c r="E513" s="1">
        <f t="shared" si="42"/>
        <v>0.45205479452054792</v>
      </c>
      <c r="F513" s="2">
        <v>107.3</v>
      </c>
      <c r="G513" s="2">
        <v>108.3</v>
      </c>
      <c r="H513" s="2">
        <f t="shared" si="43"/>
        <v>-1</v>
      </c>
      <c r="I513" s="1">
        <f t="shared" si="44"/>
        <v>0.46757779264200222</v>
      </c>
      <c r="J513" s="2">
        <v>107.9</v>
      </c>
      <c r="K513" s="2">
        <v>109.2</v>
      </c>
      <c r="L513" s="2">
        <f t="shared" si="45"/>
        <v>-1.2999999999999972</v>
      </c>
      <c r="M513" s="1">
        <f t="shared" si="46"/>
        <v>-1.5522998121454301E-2</v>
      </c>
      <c r="N513" s="2">
        <v>95.7</v>
      </c>
      <c r="O513" s="2">
        <v>104.7</v>
      </c>
      <c r="P513" s="2">
        <f t="shared" si="47"/>
        <v>-9</v>
      </c>
      <c r="Q513">
        <v>-0.9</v>
      </c>
    </row>
    <row r="514" spans="1:17">
      <c r="A514" t="s">
        <v>59</v>
      </c>
      <c r="B514" t="s">
        <v>19</v>
      </c>
      <c r="C514">
        <v>60</v>
      </c>
      <c r="D514">
        <v>22</v>
      </c>
      <c r="E514" s="1">
        <f t="shared" si="42"/>
        <v>0.73170731707317072</v>
      </c>
      <c r="F514" s="2">
        <v>118.1</v>
      </c>
      <c r="G514" s="2">
        <v>109.3</v>
      </c>
      <c r="H514" s="2">
        <f t="shared" si="43"/>
        <v>8.7999999999999972</v>
      </c>
      <c r="I514" s="1">
        <f t="shared" si="44"/>
        <v>0.7472680645596036</v>
      </c>
      <c r="J514" s="2">
        <v>113.5</v>
      </c>
      <c r="K514" s="2">
        <v>104.9</v>
      </c>
      <c r="L514" s="2">
        <f t="shared" si="45"/>
        <v>8.5999999999999943</v>
      </c>
      <c r="M514" s="1">
        <f t="shared" si="46"/>
        <v>-1.556074748643288E-2</v>
      </c>
      <c r="N514" s="2">
        <v>113</v>
      </c>
      <c r="O514" s="2">
        <v>110.1</v>
      </c>
      <c r="P514" s="2">
        <f t="shared" si="47"/>
        <v>2.9000000000000057</v>
      </c>
      <c r="Q514">
        <v>2.1</v>
      </c>
    </row>
    <row r="515" spans="1:17">
      <c r="A515" t="s">
        <v>57</v>
      </c>
      <c r="B515" t="s">
        <v>56</v>
      </c>
      <c r="C515">
        <v>51</v>
      </c>
      <c r="D515">
        <v>31</v>
      </c>
      <c r="E515" s="1">
        <f t="shared" si="42"/>
        <v>0.62195121951219512</v>
      </c>
      <c r="F515" s="2">
        <v>108.7</v>
      </c>
      <c r="G515" s="2">
        <v>104.4</v>
      </c>
      <c r="H515" s="2">
        <f t="shared" si="43"/>
        <v>4.2999999999999972</v>
      </c>
      <c r="I515" s="1">
        <f t="shared" si="44"/>
        <v>0.63762474872278996</v>
      </c>
      <c r="J515" s="2">
        <v>111.8</v>
      </c>
      <c r="K515" s="2">
        <v>107.5</v>
      </c>
      <c r="L515" s="2">
        <f t="shared" si="45"/>
        <v>4.2999999999999972</v>
      </c>
      <c r="M515" s="1">
        <f t="shared" si="46"/>
        <v>-1.5673529210594839E-2</v>
      </c>
      <c r="N515" s="2">
        <v>97.3</v>
      </c>
      <c r="O515" s="2">
        <v>95.5</v>
      </c>
      <c r="P515" s="2">
        <f t="shared" si="47"/>
        <v>1.7999999999999972</v>
      </c>
      <c r="Q515">
        <v>-0.5</v>
      </c>
    </row>
    <row r="516" spans="1:17">
      <c r="A516" t="s">
        <v>36</v>
      </c>
      <c r="B516" t="s">
        <v>31</v>
      </c>
      <c r="C516">
        <v>47</v>
      </c>
      <c r="D516">
        <v>35</v>
      </c>
      <c r="E516" s="1">
        <f t="shared" si="42"/>
        <v>0.57317073170731703</v>
      </c>
      <c r="F516" s="2">
        <v>94.7</v>
      </c>
      <c r="G516" s="2">
        <v>92.3</v>
      </c>
      <c r="H516" s="2">
        <f t="shared" si="43"/>
        <v>2.4000000000000057</v>
      </c>
      <c r="I516" s="1">
        <f t="shared" si="44"/>
        <v>0.58888986228470186</v>
      </c>
      <c r="J516" s="2">
        <v>103.7</v>
      </c>
      <c r="K516" s="2">
        <v>101.1</v>
      </c>
      <c r="L516" s="2">
        <f t="shared" si="45"/>
        <v>2.6000000000000085</v>
      </c>
      <c r="M516" s="1">
        <f t="shared" si="46"/>
        <v>-1.5719130577384832E-2</v>
      </c>
      <c r="N516" s="2">
        <v>102.6</v>
      </c>
      <c r="O516" s="2">
        <v>99</v>
      </c>
      <c r="P516" s="2">
        <f t="shared" si="47"/>
        <v>3.5999999999999943</v>
      </c>
      <c r="Q516">
        <v>0.3</v>
      </c>
    </row>
    <row r="517" spans="1:17">
      <c r="A517" t="s">
        <v>60</v>
      </c>
      <c r="B517" t="s">
        <v>28</v>
      </c>
      <c r="C517">
        <v>32</v>
      </c>
      <c r="D517">
        <v>39</v>
      </c>
      <c r="E517" s="1">
        <f t="shared" si="42"/>
        <v>0.45070422535211269</v>
      </c>
      <c r="F517" s="2">
        <v>114.1</v>
      </c>
      <c r="G517" s="2">
        <v>115.2</v>
      </c>
      <c r="H517" s="2">
        <f t="shared" si="43"/>
        <v>-1.1000000000000085</v>
      </c>
      <c r="I517" s="1">
        <f t="shared" si="44"/>
        <v>0.46646967958188307</v>
      </c>
      <c r="J517" s="2">
        <v>111.7</v>
      </c>
      <c r="K517" s="2">
        <v>112.6</v>
      </c>
      <c r="L517" s="2">
        <f t="shared" si="45"/>
        <v>-0.89999999999999147</v>
      </c>
      <c r="M517" s="1">
        <f t="shared" si="46"/>
        <v>-1.5765454229770381E-2</v>
      </c>
      <c r="N517" s="2">
        <v>105.2</v>
      </c>
      <c r="O517" s="2">
        <v>112</v>
      </c>
      <c r="P517" s="2">
        <f t="shared" si="47"/>
        <v>-6.7999999999999972</v>
      </c>
      <c r="Q517">
        <v>-0.9</v>
      </c>
    </row>
    <row r="518" spans="1:17">
      <c r="A518" t="s">
        <v>57</v>
      </c>
      <c r="B518" t="s">
        <v>53</v>
      </c>
      <c r="C518">
        <v>34</v>
      </c>
      <c r="D518">
        <v>48</v>
      </c>
      <c r="E518" s="1">
        <f t="shared" si="42"/>
        <v>0.41463414634146339</v>
      </c>
      <c r="F518" s="2">
        <v>104.3</v>
      </c>
      <c r="G518" s="2">
        <v>106.4</v>
      </c>
      <c r="H518" s="2">
        <f t="shared" si="43"/>
        <v>-2.1000000000000085</v>
      </c>
      <c r="I518" s="1">
        <f t="shared" si="44"/>
        <v>0.4306795838171591</v>
      </c>
      <c r="J518" s="2">
        <v>104.7</v>
      </c>
      <c r="K518" s="2">
        <v>106.8</v>
      </c>
      <c r="L518" s="2">
        <f t="shared" si="45"/>
        <v>-2.0999999999999943</v>
      </c>
      <c r="M518" s="1">
        <f t="shared" si="46"/>
        <v>-1.6045437475695701E-2</v>
      </c>
      <c r="N518" s="2">
        <v>91.6</v>
      </c>
      <c r="O518" s="2">
        <v>95.6</v>
      </c>
      <c r="P518" s="2">
        <f t="shared" si="47"/>
        <v>-4</v>
      </c>
      <c r="Q518">
        <v>-0.8</v>
      </c>
    </row>
    <row r="519" spans="1:17">
      <c r="A519" t="s">
        <v>55</v>
      </c>
      <c r="B519" t="s">
        <v>22</v>
      </c>
      <c r="C519">
        <v>32</v>
      </c>
      <c r="D519">
        <v>50</v>
      </c>
      <c r="E519" s="1">
        <f t="shared" si="42"/>
        <v>0.3902439024390244</v>
      </c>
      <c r="F519" s="2">
        <v>98.4</v>
      </c>
      <c r="G519" s="2">
        <v>101.1</v>
      </c>
      <c r="H519" s="2">
        <f t="shared" si="43"/>
        <v>-2.6999999999999886</v>
      </c>
      <c r="I519" s="1">
        <f t="shared" si="44"/>
        <v>0.40637522210212157</v>
      </c>
      <c r="J519" s="2">
        <v>103.9</v>
      </c>
      <c r="K519" s="2">
        <v>106.7</v>
      </c>
      <c r="L519" s="2">
        <f t="shared" si="45"/>
        <v>-2.7999999999999972</v>
      </c>
      <c r="M519" s="1">
        <f t="shared" si="46"/>
        <v>-1.6131319663097166E-2</v>
      </c>
      <c r="N519" s="2">
        <v>100.9</v>
      </c>
      <c r="O519" s="2">
        <v>112</v>
      </c>
      <c r="P519" s="2">
        <f t="shared" si="47"/>
        <v>-11.099999999999994</v>
      </c>
      <c r="Q519">
        <v>-2.2000000000000002</v>
      </c>
    </row>
    <row r="520" spans="1:17">
      <c r="A520" t="s">
        <v>65</v>
      </c>
      <c r="B520" t="s">
        <v>13</v>
      </c>
      <c r="C520">
        <v>48</v>
      </c>
      <c r="D520">
        <v>34</v>
      </c>
      <c r="E520" s="1">
        <f t="shared" si="42"/>
        <v>0.58536585365853655</v>
      </c>
      <c r="F520" s="2">
        <v>113.8</v>
      </c>
      <c r="G520" s="2">
        <v>110.5</v>
      </c>
      <c r="H520" s="2">
        <f t="shared" si="43"/>
        <v>3.2999999999999972</v>
      </c>
      <c r="I520" s="1">
        <f t="shared" si="44"/>
        <v>0.60156207363677106</v>
      </c>
      <c r="J520" s="2">
        <v>114.2</v>
      </c>
      <c r="K520" s="2">
        <v>111</v>
      </c>
      <c r="L520" s="2">
        <f t="shared" si="45"/>
        <v>3.2000000000000028</v>
      </c>
      <c r="M520" s="1">
        <f t="shared" si="46"/>
        <v>-1.6196219978234505E-2</v>
      </c>
      <c r="N520" s="2">
        <v>111</v>
      </c>
      <c r="O520" s="2">
        <v>110.3</v>
      </c>
      <c r="P520" s="2">
        <f t="shared" si="47"/>
        <v>0.70000000000000284</v>
      </c>
      <c r="Q520">
        <v>0.8</v>
      </c>
    </row>
    <row r="521" spans="1:17">
      <c r="A521" t="s">
        <v>49</v>
      </c>
      <c r="B521" t="s">
        <v>8</v>
      </c>
      <c r="C521">
        <v>50</v>
      </c>
      <c r="D521">
        <v>16</v>
      </c>
      <c r="E521" s="1">
        <f t="shared" ref="E521:E584" si="48">+C521/(C521+D521)</f>
        <v>0.75757575757575757</v>
      </c>
      <c r="F521" s="2">
        <v>96.3</v>
      </c>
      <c r="G521" s="2">
        <v>88.2</v>
      </c>
      <c r="H521" s="2">
        <f t="shared" ref="H521:H584" si="49">+F521-G521</f>
        <v>8.0999999999999943</v>
      </c>
      <c r="I521" s="1">
        <f t="shared" ref="I521:I584" si="50">+(F521^14)/((F521^14+G521^14))</f>
        <v>0.77382889717097558</v>
      </c>
      <c r="J521" s="2">
        <v>106.3</v>
      </c>
      <c r="K521" s="2">
        <v>97.5</v>
      </c>
      <c r="L521" s="2">
        <f t="shared" ref="L521:L584" si="51">+J521-K521</f>
        <v>8.7999999999999972</v>
      </c>
      <c r="M521" s="1">
        <f t="shared" ref="M521:M584" si="52">+E521-I521</f>
        <v>-1.6253139595218014E-2</v>
      </c>
      <c r="N521" s="2">
        <v>107.5</v>
      </c>
      <c r="O521" s="2">
        <v>94.1</v>
      </c>
      <c r="P521" s="2">
        <f t="shared" si="47"/>
        <v>13.400000000000006</v>
      </c>
      <c r="Q521">
        <v>2.5</v>
      </c>
    </row>
    <row r="522" spans="1:17">
      <c r="A522" t="s">
        <v>61</v>
      </c>
      <c r="B522" t="s">
        <v>20</v>
      </c>
      <c r="C522">
        <v>23</v>
      </c>
      <c r="D522">
        <v>49</v>
      </c>
      <c r="E522" s="1">
        <f t="shared" si="48"/>
        <v>0.31944444444444442</v>
      </c>
      <c r="F522" s="2">
        <v>112.1</v>
      </c>
      <c r="G522" s="2">
        <v>117.7</v>
      </c>
      <c r="H522" s="2">
        <f t="shared" si="49"/>
        <v>-5.6000000000000085</v>
      </c>
      <c r="I522" s="1">
        <f t="shared" si="50"/>
        <v>0.3357107873197604</v>
      </c>
      <c r="J522" s="2">
        <v>109.3</v>
      </c>
      <c r="K522" s="2">
        <v>114.5</v>
      </c>
      <c r="L522" s="2">
        <f t="shared" si="51"/>
        <v>-5.2000000000000028</v>
      </c>
      <c r="M522" s="1">
        <f t="shared" si="52"/>
        <v>-1.6266342875315976E-2</v>
      </c>
      <c r="N522" s="2">
        <v>105.4</v>
      </c>
      <c r="O522" s="2">
        <v>117.2</v>
      </c>
      <c r="P522" s="2">
        <f t="shared" ref="P522:P585" si="53">+N522-O522</f>
        <v>-11.799999999999997</v>
      </c>
      <c r="Q522">
        <v>0.4</v>
      </c>
    </row>
    <row r="523" spans="1:17">
      <c r="A523" t="s">
        <v>62</v>
      </c>
      <c r="B523" t="s">
        <v>14</v>
      </c>
      <c r="C523">
        <v>20</v>
      </c>
      <c r="D523">
        <v>62</v>
      </c>
      <c r="E523" s="1">
        <f t="shared" si="48"/>
        <v>0.24390243902439024</v>
      </c>
      <c r="F523" s="2">
        <v>109.7</v>
      </c>
      <c r="G523" s="2">
        <v>118.2</v>
      </c>
      <c r="H523" s="2">
        <f t="shared" si="49"/>
        <v>-8.5</v>
      </c>
      <c r="I523" s="1">
        <f t="shared" si="50"/>
        <v>0.2602244449686712</v>
      </c>
      <c r="J523" s="2">
        <v>108.1</v>
      </c>
      <c r="K523" s="2">
        <v>116.4</v>
      </c>
      <c r="L523" s="2">
        <f t="shared" si="51"/>
        <v>-8.3000000000000114</v>
      </c>
      <c r="M523" s="1">
        <f t="shared" si="52"/>
        <v>-1.632200594428096E-2</v>
      </c>
      <c r="N523" s="2">
        <v>100.4</v>
      </c>
      <c r="O523" s="2">
        <v>110.3</v>
      </c>
      <c r="P523" s="2">
        <f t="shared" si="53"/>
        <v>-9.8999999999999915</v>
      </c>
      <c r="Q523">
        <v>-0.4</v>
      </c>
    </row>
    <row r="524" spans="1:17">
      <c r="A524" t="s">
        <v>64</v>
      </c>
      <c r="B524" t="s">
        <v>13</v>
      </c>
      <c r="C524">
        <v>46</v>
      </c>
      <c r="D524">
        <v>36</v>
      </c>
      <c r="E524" s="1">
        <f t="shared" si="48"/>
        <v>0.56097560975609762</v>
      </c>
      <c r="F524" s="2">
        <v>117.8</v>
      </c>
      <c r="G524" s="2">
        <v>115.2</v>
      </c>
      <c r="H524" s="2">
        <f t="shared" si="49"/>
        <v>2.5999999999999943</v>
      </c>
      <c r="I524" s="1">
        <f t="shared" si="50"/>
        <v>0.57748543979619871</v>
      </c>
      <c r="J524" s="2">
        <v>116.9</v>
      </c>
      <c r="K524" s="2">
        <v>114.5</v>
      </c>
      <c r="L524" s="2">
        <f t="shared" si="51"/>
        <v>2.4000000000000057</v>
      </c>
      <c r="M524" s="1">
        <f t="shared" si="52"/>
        <v>-1.6509830040101092E-2</v>
      </c>
      <c r="N524" s="2">
        <v>116.2</v>
      </c>
      <c r="O524" s="2">
        <v>115.9</v>
      </c>
      <c r="P524" s="2">
        <f t="shared" si="53"/>
        <v>0.29999999999999716</v>
      </c>
      <c r="Q524">
        <v>-0.5</v>
      </c>
    </row>
    <row r="525" spans="1:17">
      <c r="A525" t="s">
        <v>63</v>
      </c>
      <c r="B525" t="s">
        <v>13</v>
      </c>
      <c r="C525">
        <v>44</v>
      </c>
      <c r="D525">
        <v>38</v>
      </c>
      <c r="E525" s="1">
        <f t="shared" si="48"/>
        <v>0.53658536585365857</v>
      </c>
      <c r="F525" s="2">
        <v>118.9</v>
      </c>
      <c r="G525" s="2">
        <v>117.1</v>
      </c>
      <c r="H525" s="2">
        <f t="shared" si="49"/>
        <v>1.8000000000000114</v>
      </c>
      <c r="I525" s="1">
        <f t="shared" si="50"/>
        <v>0.55318886020704383</v>
      </c>
      <c r="J525" s="2">
        <v>115.1</v>
      </c>
      <c r="K525" s="2">
        <v>113.4</v>
      </c>
      <c r="L525" s="2">
        <f t="shared" si="51"/>
        <v>1.6999999999999886</v>
      </c>
      <c r="M525" s="1">
        <f t="shared" si="52"/>
        <v>-1.6603494353385262E-2</v>
      </c>
      <c r="N525" s="2">
        <v>104</v>
      </c>
      <c r="O525" s="2">
        <v>98.6</v>
      </c>
      <c r="P525" s="2">
        <f t="shared" si="53"/>
        <v>5.4000000000000057</v>
      </c>
      <c r="Q525">
        <v>0.8</v>
      </c>
    </row>
    <row r="526" spans="1:17">
      <c r="A526" t="s">
        <v>49</v>
      </c>
      <c r="B526" t="s">
        <v>5</v>
      </c>
      <c r="C526">
        <v>40</v>
      </c>
      <c r="D526">
        <v>26</v>
      </c>
      <c r="E526" s="1">
        <f t="shared" si="48"/>
        <v>0.60606060606060608</v>
      </c>
      <c r="F526" s="2">
        <v>96.6</v>
      </c>
      <c r="G526" s="2">
        <v>93.2</v>
      </c>
      <c r="H526" s="2">
        <f t="shared" si="49"/>
        <v>3.3999999999999915</v>
      </c>
      <c r="I526" s="1">
        <f t="shared" si="50"/>
        <v>0.62284331457936171</v>
      </c>
      <c r="J526" s="2">
        <v>104.2</v>
      </c>
      <c r="K526" s="2">
        <v>100.4</v>
      </c>
      <c r="L526" s="2">
        <f t="shared" si="51"/>
        <v>3.7999999999999972</v>
      </c>
      <c r="M526" s="1">
        <f t="shared" si="52"/>
        <v>-1.6782708518755629E-2</v>
      </c>
      <c r="N526" s="2">
        <v>107.2</v>
      </c>
      <c r="O526" s="2">
        <v>89.1</v>
      </c>
      <c r="P526" s="2">
        <f t="shared" si="53"/>
        <v>18.100000000000009</v>
      </c>
      <c r="Q526">
        <v>1.4</v>
      </c>
    </row>
    <row r="527" spans="1:17">
      <c r="A527" t="s">
        <v>47</v>
      </c>
      <c r="B527" t="s">
        <v>6</v>
      </c>
      <c r="C527">
        <v>50</v>
      </c>
      <c r="D527">
        <v>32</v>
      </c>
      <c r="E527" s="1">
        <f t="shared" si="48"/>
        <v>0.6097560975609756</v>
      </c>
      <c r="F527" s="2">
        <v>99.2</v>
      </c>
      <c r="G527" s="2">
        <v>95.6</v>
      </c>
      <c r="H527" s="2">
        <f t="shared" si="49"/>
        <v>3.6000000000000085</v>
      </c>
      <c r="I527" s="1">
        <f t="shared" si="50"/>
        <v>0.62656597319638863</v>
      </c>
      <c r="J527" s="2">
        <v>106.9</v>
      </c>
      <c r="K527" s="2">
        <v>103.2</v>
      </c>
      <c r="L527" s="2">
        <f t="shared" si="51"/>
        <v>3.7000000000000028</v>
      </c>
      <c r="M527" s="1">
        <f t="shared" si="52"/>
        <v>-1.680987563541303E-2</v>
      </c>
      <c r="N527" s="2">
        <v>101.2</v>
      </c>
      <c r="O527" s="2">
        <v>95</v>
      </c>
      <c r="P527" s="2">
        <f t="shared" si="53"/>
        <v>6.2000000000000028</v>
      </c>
      <c r="Q527">
        <v>0</v>
      </c>
    </row>
    <row r="528" spans="1:17">
      <c r="A528" t="s">
        <v>39</v>
      </c>
      <c r="B528" t="s">
        <v>9</v>
      </c>
      <c r="C528">
        <v>42</v>
      </c>
      <c r="D528">
        <v>40</v>
      </c>
      <c r="E528" s="1">
        <f t="shared" si="48"/>
        <v>0.51219512195121952</v>
      </c>
      <c r="F528" s="2">
        <v>96.5</v>
      </c>
      <c r="G528" s="2">
        <v>95.7</v>
      </c>
      <c r="H528" s="2">
        <f t="shared" si="49"/>
        <v>0.79999999999999716</v>
      </c>
      <c r="I528" s="1">
        <f t="shared" si="50"/>
        <v>0.52910354937105664</v>
      </c>
      <c r="J528" s="2">
        <v>105.3</v>
      </c>
      <c r="K528" s="2">
        <v>104.7</v>
      </c>
      <c r="L528" s="2">
        <f t="shared" si="51"/>
        <v>0.59999999999999432</v>
      </c>
      <c r="M528" s="1">
        <f t="shared" si="52"/>
        <v>-1.6908427419837113E-2</v>
      </c>
      <c r="N528" s="2">
        <v>96.7</v>
      </c>
      <c r="O528" s="2">
        <v>105.1</v>
      </c>
      <c r="P528" s="2">
        <f t="shared" si="53"/>
        <v>-8.3999999999999915</v>
      </c>
      <c r="Q528">
        <v>0.2</v>
      </c>
    </row>
    <row r="529" spans="1:17">
      <c r="A529" t="s">
        <v>57</v>
      </c>
      <c r="B529" t="s">
        <v>8</v>
      </c>
      <c r="C529">
        <v>41</v>
      </c>
      <c r="D529">
        <v>41</v>
      </c>
      <c r="E529" s="1">
        <f t="shared" si="48"/>
        <v>0.5</v>
      </c>
      <c r="F529" s="2">
        <v>102.9</v>
      </c>
      <c r="G529" s="2">
        <v>102.4</v>
      </c>
      <c r="H529" s="2">
        <f t="shared" si="49"/>
        <v>0.5</v>
      </c>
      <c r="I529" s="1">
        <f t="shared" si="50"/>
        <v>0.51704165228301435</v>
      </c>
      <c r="J529" s="2">
        <v>106.5</v>
      </c>
      <c r="K529" s="2">
        <v>106.2</v>
      </c>
      <c r="L529" s="2">
        <f t="shared" si="51"/>
        <v>0.29999999999999716</v>
      </c>
      <c r="M529" s="1">
        <f t="shared" si="52"/>
        <v>-1.7041652283014352E-2</v>
      </c>
      <c r="N529" s="2">
        <v>107.3</v>
      </c>
      <c r="O529" s="2">
        <v>98.1</v>
      </c>
      <c r="P529" s="2">
        <f t="shared" si="53"/>
        <v>9.2000000000000028</v>
      </c>
      <c r="Q529">
        <v>-0.5</v>
      </c>
    </row>
    <row r="530" spans="1:17">
      <c r="A530" t="s">
        <v>55</v>
      </c>
      <c r="B530" t="s">
        <v>27</v>
      </c>
      <c r="C530">
        <v>33</v>
      </c>
      <c r="D530">
        <v>49</v>
      </c>
      <c r="E530" s="1">
        <f t="shared" si="48"/>
        <v>0.40243902439024393</v>
      </c>
      <c r="F530" s="2">
        <v>106.6</v>
      </c>
      <c r="G530" s="2">
        <v>109.1</v>
      </c>
      <c r="H530" s="2">
        <f t="shared" si="49"/>
        <v>-2.5</v>
      </c>
      <c r="I530" s="1">
        <f t="shared" si="50"/>
        <v>0.41956987710459787</v>
      </c>
      <c r="J530" s="2">
        <v>105.3</v>
      </c>
      <c r="K530" s="2">
        <v>107.6</v>
      </c>
      <c r="L530" s="2">
        <f t="shared" si="51"/>
        <v>-2.2999999999999972</v>
      </c>
      <c r="M530" s="1">
        <f t="shared" si="52"/>
        <v>-1.7130852714353939E-2</v>
      </c>
      <c r="N530" s="2">
        <v>93</v>
      </c>
      <c r="O530" s="2">
        <v>106.2</v>
      </c>
      <c r="P530" s="2">
        <f t="shared" si="53"/>
        <v>-13.200000000000003</v>
      </c>
      <c r="Q530">
        <v>0</v>
      </c>
    </row>
    <row r="531" spans="1:17">
      <c r="A531" t="s">
        <v>4</v>
      </c>
      <c r="B531" t="s">
        <v>32</v>
      </c>
      <c r="C531">
        <v>23</v>
      </c>
      <c r="D531">
        <v>59</v>
      </c>
      <c r="E531" s="1">
        <f t="shared" si="48"/>
        <v>0.28048780487804881</v>
      </c>
      <c r="F531" s="2">
        <v>91.7</v>
      </c>
      <c r="G531" s="2">
        <v>97.5</v>
      </c>
      <c r="H531" s="2">
        <f t="shared" si="49"/>
        <v>-5.7999999999999972</v>
      </c>
      <c r="I531" s="1">
        <f t="shared" si="50"/>
        <v>0.29762775150060888</v>
      </c>
      <c r="J531" s="2">
        <v>98.2</v>
      </c>
      <c r="K531" s="2">
        <v>104.2</v>
      </c>
      <c r="L531" s="2">
        <f t="shared" si="51"/>
        <v>-6</v>
      </c>
      <c r="M531" s="1">
        <f t="shared" si="52"/>
        <v>-1.7139946622560076E-2</v>
      </c>
      <c r="N531" s="2">
        <v>102.1</v>
      </c>
      <c r="O531" s="2">
        <v>106.7</v>
      </c>
      <c r="P531" s="2">
        <f t="shared" si="53"/>
        <v>-4.6000000000000085</v>
      </c>
      <c r="Q531">
        <v>-1.3</v>
      </c>
    </row>
    <row r="532" spans="1:17">
      <c r="A532" t="s">
        <v>34</v>
      </c>
      <c r="B532" t="s">
        <v>21</v>
      </c>
      <c r="C532">
        <v>52</v>
      </c>
      <c r="D532">
        <v>30</v>
      </c>
      <c r="E532" s="1">
        <f t="shared" si="48"/>
        <v>0.63414634146341464</v>
      </c>
      <c r="F532" s="2">
        <v>96.2</v>
      </c>
      <c r="G532" s="2">
        <v>92</v>
      </c>
      <c r="H532" s="2">
        <f t="shared" si="49"/>
        <v>4.2000000000000028</v>
      </c>
      <c r="I532" s="1">
        <f t="shared" si="50"/>
        <v>0.65134826278971358</v>
      </c>
      <c r="J532" s="2">
        <v>102.4</v>
      </c>
      <c r="K532" s="2">
        <v>98.1</v>
      </c>
      <c r="L532" s="2">
        <f t="shared" si="51"/>
        <v>4.3000000000000114</v>
      </c>
      <c r="M532" s="1">
        <f t="shared" si="52"/>
        <v>-1.7201921326298941E-2</v>
      </c>
      <c r="N532" s="2">
        <v>98.1</v>
      </c>
      <c r="O532" s="2">
        <v>98.6</v>
      </c>
      <c r="P532" s="2">
        <f t="shared" si="53"/>
        <v>-0.5</v>
      </c>
      <c r="Q532">
        <v>1</v>
      </c>
    </row>
    <row r="533" spans="1:17">
      <c r="A533" t="s">
        <v>4</v>
      </c>
      <c r="B533" t="s">
        <v>22</v>
      </c>
      <c r="C533">
        <v>48</v>
      </c>
      <c r="D533">
        <v>34</v>
      </c>
      <c r="E533" s="1">
        <f t="shared" si="48"/>
        <v>0.58536585365853655</v>
      </c>
      <c r="F533" s="2">
        <v>88.7</v>
      </c>
      <c r="G533" s="2">
        <v>86.1</v>
      </c>
      <c r="H533" s="2">
        <f t="shared" si="49"/>
        <v>2.6000000000000085</v>
      </c>
      <c r="I533" s="1">
        <f t="shared" si="50"/>
        <v>0.6026470301039869</v>
      </c>
      <c r="J533" s="2">
        <v>100</v>
      </c>
      <c r="K533" s="2">
        <v>97</v>
      </c>
      <c r="L533" s="2">
        <f t="shared" si="51"/>
        <v>3</v>
      </c>
      <c r="M533" s="1">
        <f t="shared" si="52"/>
        <v>-1.7281176445450352E-2</v>
      </c>
      <c r="N533" s="2">
        <v>82.7</v>
      </c>
      <c r="O533" s="2">
        <v>81</v>
      </c>
      <c r="P533" s="2">
        <f t="shared" si="53"/>
        <v>1.7000000000000028</v>
      </c>
      <c r="Q533">
        <v>1.3</v>
      </c>
    </row>
    <row r="534" spans="1:17">
      <c r="A534" t="s">
        <v>4</v>
      </c>
      <c r="B534" t="s">
        <v>8</v>
      </c>
      <c r="C534">
        <v>15</v>
      </c>
      <c r="D534">
        <v>67</v>
      </c>
      <c r="E534" s="1">
        <f t="shared" si="48"/>
        <v>0.18292682926829268</v>
      </c>
      <c r="F534" s="2">
        <v>87.6</v>
      </c>
      <c r="G534" s="2">
        <v>96.7</v>
      </c>
      <c r="H534" s="2">
        <f t="shared" si="49"/>
        <v>-9.1000000000000085</v>
      </c>
      <c r="I534" s="1">
        <f t="shared" si="50"/>
        <v>0.20042284639847754</v>
      </c>
      <c r="J534" s="2">
        <v>95.9</v>
      </c>
      <c r="K534" s="2">
        <v>105.9</v>
      </c>
      <c r="L534" s="2">
        <f t="shared" si="51"/>
        <v>-10</v>
      </c>
      <c r="M534" s="1">
        <f t="shared" si="52"/>
        <v>-1.7496017130184865E-2</v>
      </c>
      <c r="N534" s="2">
        <v>93.5</v>
      </c>
      <c r="O534" s="2">
        <v>107.4</v>
      </c>
      <c r="P534" s="2">
        <f t="shared" si="53"/>
        <v>-13.900000000000006</v>
      </c>
      <c r="Q534">
        <v>-2.8</v>
      </c>
    </row>
    <row r="535" spans="1:17">
      <c r="A535" t="s">
        <v>54</v>
      </c>
      <c r="B535" t="s">
        <v>11</v>
      </c>
      <c r="C535">
        <v>30</v>
      </c>
      <c r="D535">
        <v>52</v>
      </c>
      <c r="E535" s="1">
        <f t="shared" si="48"/>
        <v>0.36585365853658536</v>
      </c>
      <c r="F535" s="2">
        <v>101.5</v>
      </c>
      <c r="G535" s="2">
        <v>105</v>
      </c>
      <c r="H535" s="2">
        <f t="shared" si="49"/>
        <v>-3.5</v>
      </c>
      <c r="I535" s="1">
        <f t="shared" si="50"/>
        <v>0.38352292862917464</v>
      </c>
      <c r="J535" s="2">
        <v>103.9</v>
      </c>
      <c r="K535" s="2">
        <v>107.1</v>
      </c>
      <c r="L535" s="2">
        <f t="shared" si="51"/>
        <v>-3.1999999999999886</v>
      </c>
      <c r="M535" s="1">
        <f t="shared" si="52"/>
        <v>-1.7669270092589284E-2</v>
      </c>
      <c r="N535" s="2">
        <v>104.4</v>
      </c>
      <c r="O535" s="2">
        <v>112.3</v>
      </c>
      <c r="P535" s="2">
        <f t="shared" si="53"/>
        <v>-7.8999999999999915</v>
      </c>
      <c r="Q535">
        <v>-0.8</v>
      </c>
    </row>
    <row r="536" spans="1:17">
      <c r="A536" t="s">
        <v>62</v>
      </c>
      <c r="B536" t="s">
        <v>20</v>
      </c>
      <c r="C536">
        <v>46</v>
      </c>
      <c r="D536">
        <v>36</v>
      </c>
      <c r="E536" s="1">
        <f t="shared" si="48"/>
        <v>0.56097560975609762</v>
      </c>
      <c r="F536" s="2">
        <v>115.9</v>
      </c>
      <c r="G536" s="2">
        <v>113.3</v>
      </c>
      <c r="H536" s="2">
        <f t="shared" si="49"/>
        <v>2.6000000000000085</v>
      </c>
      <c r="I536" s="1">
        <f t="shared" si="50"/>
        <v>0.57874903178603399</v>
      </c>
      <c r="J536" s="2">
        <v>113.8</v>
      </c>
      <c r="K536" s="2">
        <v>111</v>
      </c>
      <c r="L536" s="2">
        <f t="shared" si="51"/>
        <v>2.7999999999999972</v>
      </c>
      <c r="M536" s="1">
        <f t="shared" si="52"/>
        <v>-1.777342202993637E-2</v>
      </c>
      <c r="N536" s="2">
        <v>107.1</v>
      </c>
      <c r="O536" s="2">
        <v>106</v>
      </c>
      <c r="P536" s="2">
        <f t="shared" si="53"/>
        <v>1.0999999999999943</v>
      </c>
      <c r="Q536">
        <v>-0.9</v>
      </c>
    </row>
    <row r="537" spans="1:17">
      <c r="A537" t="s">
        <v>59</v>
      </c>
      <c r="B537" t="s">
        <v>18</v>
      </c>
      <c r="C537">
        <v>39</v>
      </c>
      <c r="D537">
        <v>43</v>
      </c>
      <c r="E537" s="1">
        <f t="shared" si="48"/>
        <v>0.47560975609756095</v>
      </c>
      <c r="F537" s="2">
        <v>105.7</v>
      </c>
      <c r="G537" s="2">
        <v>105.9</v>
      </c>
      <c r="H537" s="2">
        <f t="shared" si="49"/>
        <v>-0.20000000000000284</v>
      </c>
      <c r="I537" s="1">
        <f t="shared" si="50"/>
        <v>0.49338412708182683</v>
      </c>
      <c r="J537" s="2">
        <v>106.7</v>
      </c>
      <c r="K537" s="2">
        <v>107.1</v>
      </c>
      <c r="L537" s="2">
        <f t="shared" si="51"/>
        <v>-0.39999999999999147</v>
      </c>
      <c r="M537" s="1">
        <f t="shared" si="52"/>
        <v>-1.7774370984265875E-2</v>
      </c>
      <c r="N537" s="2">
        <v>93.6</v>
      </c>
      <c r="O537" s="2">
        <v>97.9</v>
      </c>
      <c r="P537" s="2">
        <f t="shared" si="53"/>
        <v>-4.3000000000000114</v>
      </c>
      <c r="Q537">
        <v>-0.7</v>
      </c>
    </row>
    <row r="538" spans="1:17">
      <c r="A538" t="s">
        <v>39</v>
      </c>
      <c r="B538" t="s">
        <v>20</v>
      </c>
      <c r="C538">
        <v>44</v>
      </c>
      <c r="D538">
        <v>38</v>
      </c>
      <c r="E538" s="1">
        <f t="shared" si="48"/>
        <v>0.53658536585365857</v>
      </c>
      <c r="F538" s="2">
        <v>96.8</v>
      </c>
      <c r="G538" s="2">
        <v>95.3</v>
      </c>
      <c r="H538" s="2">
        <f t="shared" si="49"/>
        <v>1.5</v>
      </c>
      <c r="I538" s="1">
        <f t="shared" si="50"/>
        <v>0.55444343215777947</v>
      </c>
      <c r="J538" s="2">
        <v>106.6</v>
      </c>
      <c r="K538" s="2">
        <v>105</v>
      </c>
      <c r="L538" s="2">
        <f t="shared" si="51"/>
        <v>1.5999999999999943</v>
      </c>
      <c r="M538" s="1">
        <f t="shared" si="52"/>
        <v>-1.7858066304120901E-2</v>
      </c>
      <c r="N538" s="2">
        <v>111.9</v>
      </c>
      <c r="O538" s="2">
        <v>99.7</v>
      </c>
      <c r="P538" s="2">
        <f t="shared" si="53"/>
        <v>12.200000000000003</v>
      </c>
      <c r="Q538">
        <v>0.5</v>
      </c>
    </row>
    <row r="539" spans="1:17">
      <c r="A539" t="s">
        <v>57</v>
      </c>
      <c r="B539" t="s">
        <v>30</v>
      </c>
      <c r="C539">
        <v>51</v>
      </c>
      <c r="D539">
        <v>31</v>
      </c>
      <c r="E539" s="1">
        <f t="shared" si="48"/>
        <v>0.62195121951219512</v>
      </c>
      <c r="F539" s="2">
        <v>106.9</v>
      </c>
      <c r="G539" s="2">
        <v>102.6</v>
      </c>
      <c r="H539" s="2">
        <f t="shared" si="49"/>
        <v>4.3000000000000114</v>
      </c>
      <c r="I539" s="1">
        <f t="shared" si="50"/>
        <v>0.6398659537059771</v>
      </c>
      <c r="J539" s="2">
        <v>111.4</v>
      </c>
      <c r="K539" s="2">
        <v>107.1</v>
      </c>
      <c r="L539" s="2">
        <f t="shared" si="51"/>
        <v>4.3000000000000114</v>
      </c>
      <c r="M539" s="1">
        <f t="shared" si="52"/>
        <v>-1.7914734193781978E-2</v>
      </c>
      <c r="N539" s="2">
        <v>109.9</v>
      </c>
      <c r="O539" s="2">
        <v>95.4</v>
      </c>
      <c r="P539" s="2">
        <f t="shared" si="53"/>
        <v>14.5</v>
      </c>
      <c r="Q539">
        <v>2.8</v>
      </c>
    </row>
    <row r="540" spans="1:17">
      <c r="A540" t="s">
        <v>45</v>
      </c>
      <c r="B540" t="s">
        <v>46</v>
      </c>
      <c r="C540">
        <v>23</v>
      </c>
      <c r="D540">
        <v>59</v>
      </c>
      <c r="E540" s="1">
        <f t="shared" si="48"/>
        <v>0.28048780487804881</v>
      </c>
      <c r="F540" s="2">
        <v>97</v>
      </c>
      <c r="G540" s="2">
        <v>103.1</v>
      </c>
      <c r="H540" s="2">
        <f t="shared" si="49"/>
        <v>-6.0999999999999943</v>
      </c>
      <c r="I540" s="1">
        <f t="shared" si="50"/>
        <v>0.29862841677001067</v>
      </c>
      <c r="J540" s="2">
        <v>101.4</v>
      </c>
      <c r="K540" s="2">
        <v>107.6</v>
      </c>
      <c r="L540" s="2">
        <f t="shared" si="51"/>
        <v>-6.1999999999999886</v>
      </c>
      <c r="M540" s="1">
        <f t="shared" si="52"/>
        <v>-1.8140611891961866E-2</v>
      </c>
      <c r="N540" s="2">
        <v>100</v>
      </c>
      <c r="O540" s="2">
        <v>101.6</v>
      </c>
      <c r="P540" s="2">
        <f t="shared" si="53"/>
        <v>-1.5999999999999943</v>
      </c>
      <c r="Q540">
        <v>-2.2000000000000002</v>
      </c>
    </row>
    <row r="541" spans="1:17">
      <c r="A541" t="s">
        <v>47</v>
      </c>
      <c r="B541" t="s">
        <v>40</v>
      </c>
      <c r="C541">
        <v>44</v>
      </c>
      <c r="D541">
        <v>38</v>
      </c>
      <c r="E541" s="1">
        <f t="shared" si="48"/>
        <v>0.53658536585365857</v>
      </c>
      <c r="F541" s="2">
        <v>95.3</v>
      </c>
      <c r="G541" s="2">
        <v>93.8</v>
      </c>
      <c r="H541" s="2">
        <f t="shared" si="49"/>
        <v>1.5</v>
      </c>
      <c r="I541" s="1">
        <f t="shared" si="50"/>
        <v>0.55530018627834388</v>
      </c>
      <c r="J541" s="2">
        <v>103.9</v>
      </c>
      <c r="K541" s="2">
        <v>102</v>
      </c>
      <c r="L541" s="2">
        <f t="shared" si="51"/>
        <v>1.9000000000000057</v>
      </c>
      <c r="M541" s="1">
        <f t="shared" si="52"/>
        <v>-1.8714820424685308E-2</v>
      </c>
      <c r="N541" s="2">
        <v>98.2</v>
      </c>
      <c r="O541" s="2">
        <v>98.8</v>
      </c>
      <c r="P541" s="2">
        <f t="shared" si="53"/>
        <v>-0.59999999999999432</v>
      </c>
      <c r="Q541">
        <v>0.2</v>
      </c>
    </row>
    <row r="542" spans="1:17">
      <c r="A542" t="s">
        <v>60</v>
      </c>
      <c r="B542" t="s">
        <v>13</v>
      </c>
      <c r="C542">
        <v>15</v>
      </c>
      <c r="D542">
        <v>50</v>
      </c>
      <c r="E542" s="1">
        <f t="shared" si="48"/>
        <v>0.23076923076923078</v>
      </c>
      <c r="F542" s="2">
        <v>106.3</v>
      </c>
      <c r="G542" s="2">
        <v>115</v>
      </c>
      <c r="H542" s="2">
        <f t="shared" si="49"/>
        <v>-8.7000000000000028</v>
      </c>
      <c r="I542" s="1">
        <f t="shared" si="50"/>
        <v>0.24948968898515997</v>
      </c>
      <c r="J542" s="2">
        <v>104.4</v>
      </c>
      <c r="K542" s="2">
        <v>113</v>
      </c>
      <c r="L542" s="2">
        <f t="shared" si="51"/>
        <v>-8.5999999999999943</v>
      </c>
      <c r="M542" s="1">
        <f t="shared" si="52"/>
        <v>-1.8720458215929187E-2</v>
      </c>
      <c r="N542" s="2">
        <v>102.9</v>
      </c>
      <c r="O542" s="2">
        <v>124.9</v>
      </c>
      <c r="P542" s="2">
        <f t="shared" si="53"/>
        <v>-22</v>
      </c>
      <c r="Q542">
        <v>-0.5</v>
      </c>
    </row>
    <row r="543" spans="1:17">
      <c r="A543" t="s">
        <v>47</v>
      </c>
      <c r="B543" t="s">
        <v>33</v>
      </c>
      <c r="C543">
        <v>26</v>
      </c>
      <c r="D543">
        <v>56</v>
      </c>
      <c r="E543" s="1">
        <f t="shared" si="48"/>
        <v>0.31707317073170732</v>
      </c>
      <c r="F543" s="2">
        <v>96.2</v>
      </c>
      <c r="G543" s="2">
        <v>101</v>
      </c>
      <c r="H543" s="2">
        <f t="shared" si="49"/>
        <v>-4.7999999999999972</v>
      </c>
      <c r="I543" s="1">
        <f t="shared" si="50"/>
        <v>0.33588728853069855</v>
      </c>
      <c r="J543" s="2">
        <v>103.1</v>
      </c>
      <c r="K543" s="2">
        <v>108.3</v>
      </c>
      <c r="L543" s="2">
        <f t="shared" si="51"/>
        <v>-5.2000000000000028</v>
      </c>
      <c r="M543" s="1">
        <f t="shared" si="52"/>
        <v>-1.8814117798991226E-2</v>
      </c>
      <c r="N543" s="2">
        <v>94.2</v>
      </c>
      <c r="O543" s="2">
        <v>103.1</v>
      </c>
      <c r="P543" s="2">
        <f t="shared" si="53"/>
        <v>-8.8999999999999915</v>
      </c>
      <c r="Q543">
        <v>-1</v>
      </c>
    </row>
    <row r="544" spans="1:17">
      <c r="A544" t="s">
        <v>55</v>
      </c>
      <c r="B544" t="s">
        <v>23</v>
      </c>
      <c r="C544">
        <v>35</v>
      </c>
      <c r="D544">
        <v>47</v>
      </c>
      <c r="E544" s="1">
        <f t="shared" si="48"/>
        <v>0.42682926829268292</v>
      </c>
      <c r="F544" s="2">
        <v>102.1</v>
      </c>
      <c r="G544" s="2">
        <v>103.7</v>
      </c>
      <c r="H544" s="2">
        <f t="shared" si="49"/>
        <v>-1.6000000000000085</v>
      </c>
      <c r="I544" s="1">
        <f t="shared" si="50"/>
        <v>0.44579104414763582</v>
      </c>
      <c r="J544" s="2">
        <v>104.4</v>
      </c>
      <c r="K544" s="2">
        <v>106</v>
      </c>
      <c r="L544" s="2">
        <f t="shared" si="51"/>
        <v>-1.5999999999999943</v>
      </c>
      <c r="M544" s="1">
        <f t="shared" si="52"/>
        <v>-1.89617758549529E-2</v>
      </c>
      <c r="N544" s="2">
        <v>94.2</v>
      </c>
      <c r="O544" s="2">
        <v>97.3</v>
      </c>
      <c r="P544" s="2">
        <f t="shared" si="53"/>
        <v>-3.0999999999999943</v>
      </c>
      <c r="Q544">
        <v>-0.7</v>
      </c>
    </row>
    <row r="545" spans="1:17">
      <c r="A545" t="s">
        <v>36</v>
      </c>
      <c r="B545" t="s">
        <v>10</v>
      </c>
      <c r="C545">
        <v>60</v>
      </c>
      <c r="D545">
        <v>22</v>
      </c>
      <c r="E545" s="1">
        <f t="shared" si="48"/>
        <v>0.73170731707317072</v>
      </c>
      <c r="F545" s="2">
        <v>103</v>
      </c>
      <c r="G545" s="2">
        <v>95.2</v>
      </c>
      <c r="H545" s="2">
        <f t="shared" si="49"/>
        <v>7.7999999999999972</v>
      </c>
      <c r="I545" s="1">
        <f t="shared" si="50"/>
        <v>0.75072573890804006</v>
      </c>
      <c r="J545" s="2">
        <v>109.3</v>
      </c>
      <c r="K545" s="2">
        <v>101</v>
      </c>
      <c r="L545" s="2">
        <f t="shared" si="51"/>
        <v>8.2999999999999972</v>
      </c>
      <c r="M545" s="1">
        <f t="shared" si="52"/>
        <v>-1.9018421834869348E-2</v>
      </c>
      <c r="N545" s="2">
        <v>112.2</v>
      </c>
      <c r="O545" s="2">
        <v>101</v>
      </c>
      <c r="P545" s="2">
        <f t="shared" si="53"/>
        <v>11.200000000000003</v>
      </c>
      <c r="Q545">
        <v>0.5</v>
      </c>
    </row>
    <row r="546" spans="1:17">
      <c r="A546" t="s">
        <v>41</v>
      </c>
      <c r="B546" t="s">
        <v>25</v>
      </c>
      <c r="C546">
        <v>54</v>
      </c>
      <c r="D546">
        <v>28</v>
      </c>
      <c r="E546" s="1">
        <f t="shared" si="48"/>
        <v>0.65853658536585369</v>
      </c>
      <c r="F546" s="2">
        <v>108.4</v>
      </c>
      <c r="G546" s="2">
        <v>102.8</v>
      </c>
      <c r="H546" s="2">
        <f t="shared" si="49"/>
        <v>5.6000000000000085</v>
      </c>
      <c r="I546" s="1">
        <f t="shared" si="50"/>
        <v>0.67756377223855135</v>
      </c>
      <c r="J546" s="2">
        <v>110.2</v>
      </c>
      <c r="K546" s="2">
        <v>104.7</v>
      </c>
      <c r="L546" s="2">
        <f t="shared" si="51"/>
        <v>5.5</v>
      </c>
      <c r="M546" s="1">
        <f t="shared" si="52"/>
        <v>-1.9027186872697666E-2</v>
      </c>
      <c r="N546" s="2">
        <v>105.4</v>
      </c>
      <c r="O546" s="2">
        <v>104.9</v>
      </c>
      <c r="P546" s="2">
        <f t="shared" si="53"/>
        <v>0.5</v>
      </c>
      <c r="Q546">
        <v>0.5</v>
      </c>
    </row>
    <row r="547" spans="1:17">
      <c r="A547" t="s">
        <v>4</v>
      </c>
      <c r="B547" t="s">
        <v>16</v>
      </c>
      <c r="C547">
        <v>31</v>
      </c>
      <c r="D547">
        <v>51</v>
      </c>
      <c r="E547" s="1">
        <f t="shared" si="48"/>
        <v>0.37804878048780488</v>
      </c>
      <c r="F547" s="2">
        <v>92.5</v>
      </c>
      <c r="G547" s="2">
        <v>95.3</v>
      </c>
      <c r="H547" s="2">
        <f t="shared" si="49"/>
        <v>-2.7999999999999972</v>
      </c>
      <c r="I547" s="1">
        <f t="shared" si="50"/>
        <v>0.39711601228610965</v>
      </c>
      <c r="J547" s="2">
        <v>100.3</v>
      </c>
      <c r="K547" s="2">
        <v>103.2</v>
      </c>
      <c r="L547" s="2">
        <f t="shared" si="51"/>
        <v>-2.9000000000000057</v>
      </c>
      <c r="M547" s="1">
        <f t="shared" si="52"/>
        <v>-1.9067231798304773E-2</v>
      </c>
      <c r="N547" s="2">
        <v>95.7</v>
      </c>
      <c r="O547" s="2">
        <v>108.7</v>
      </c>
      <c r="P547" s="2">
        <f t="shared" si="53"/>
        <v>-13</v>
      </c>
      <c r="Q547">
        <v>0.4</v>
      </c>
    </row>
    <row r="548" spans="1:17">
      <c r="A548" t="s">
        <v>54</v>
      </c>
      <c r="B548" t="s">
        <v>6</v>
      </c>
      <c r="C548">
        <v>40</v>
      </c>
      <c r="D548">
        <v>42</v>
      </c>
      <c r="E548" s="1">
        <f t="shared" si="48"/>
        <v>0.48780487804878048</v>
      </c>
      <c r="F548" s="2">
        <v>101.4</v>
      </c>
      <c r="G548" s="2">
        <v>101.2</v>
      </c>
      <c r="H548" s="2">
        <f t="shared" si="49"/>
        <v>0.20000000000000284</v>
      </c>
      <c r="I548" s="1">
        <f t="shared" si="50"/>
        <v>0.50690973014497898</v>
      </c>
      <c r="J548" s="2">
        <v>103.8</v>
      </c>
      <c r="K548" s="2">
        <v>103.5</v>
      </c>
      <c r="L548" s="2">
        <f t="shared" si="51"/>
        <v>0.29999999999999716</v>
      </c>
      <c r="M548" s="1">
        <f t="shared" si="52"/>
        <v>-1.9104852096198499E-2</v>
      </c>
      <c r="N548" s="2">
        <v>103</v>
      </c>
      <c r="O548" s="2">
        <v>103.8</v>
      </c>
      <c r="P548" s="2">
        <f t="shared" si="53"/>
        <v>-0.79999999999999716</v>
      </c>
      <c r="Q548">
        <v>0.9</v>
      </c>
    </row>
    <row r="549" spans="1:17">
      <c r="A549" t="s">
        <v>4</v>
      </c>
      <c r="B549" t="s">
        <v>7</v>
      </c>
      <c r="C549">
        <v>46</v>
      </c>
      <c r="D549">
        <v>36</v>
      </c>
      <c r="E549" s="1">
        <f t="shared" si="48"/>
        <v>0.56097560975609762</v>
      </c>
      <c r="F549" s="2">
        <v>91.9</v>
      </c>
      <c r="G549" s="2">
        <v>89.8</v>
      </c>
      <c r="H549" s="2">
        <f t="shared" si="49"/>
        <v>2.1000000000000085</v>
      </c>
      <c r="I549" s="1">
        <f t="shared" si="50"/>
        <v>0.58020737825185043</v>
      </c>
      <c r="J549" s="2">
        <v>99.7</v>
      </c>
      <c r="K549" s="2">
        <v>97.6</v>
      </c>
      <c r="L549" s="2">
        <f t="shared" si="51"/>
        <v>2.1000000000000085</v>
      </c>
      <c r="M549" s="1">
        <f t="shared" si="52"/>
        <v>-1.923176849575281E-2</v>
      </c>
      <c r="N549" s="2">
        <v>91.6</v>
      </c>
      <c r="O549" s="2">
        <v>96.4</v>
      </c>
      <c r="P549" s="2">
        <f t="shared" si="53"/>
        <v>-4.8000000000000114</v>
      </c>
      <c r="Q549">
        <v>-0.2</v>
      </c>
    </row>
    <row r="550" spans="1:17">
      <c r="A550" t="s">
        <v>52</v>
      </c>
      <c r="B550" t="s">
        <v>5</v>
      </c>
      <c r="C550">
        <v>38</v>
      </c>
      <c r="D550">
        <v>44</v>
      </c>
      <c r="E550" s="1">
        <f t="shared" si="48"/>
        <v>0.46341463414634149</v>
      </c>
      <c r="F550" s="2">
        <v>101</v>
      </c>
      <c r="G550" s="2">
        <v>101.5</v>
      </c>
      <c r="H550" s="2">
        <f t="shared" si="49"/>
        <v>-0.5</v>
      </c>
      <c r="I550" s="1">
        <f t="shared" si="50"/>
        <v>0.48272289543770702</v>
      </c>
      <c r="J550" s="2">
        <v>104.9</v>
      </c>
      <c r="K550" s="2">
        <v>105.7</v>
      </c>
      <c r="L550" s="2">
        <f t="shared" si="51"/>
        <v>-0.79999999999999716</v>
      </c>
      <c r="M550" s="1">
        <f t="shared" si="52"/>
        <v>-1.9308261291365536E-2</v>
      </c>
      <c r="N550" s="2">
        <v>105.6</v>
      </c>
      <c r="O550" s="2">
        <v>100.2</v>
      </c>
      <c r="P550" s="2">
        <f t="shared" si="53"/>
        <v>5.3999999999999915</v>
      </c>
      <c r="Q550">
        <v>-0.9</v>
      </c>
    </row>
    <row r="551" spans="1:17">
      <c r="A551" t="s">
        <v>34</v>
      </c>
      <c r="B551" t="s">
        <v>23</v>
      </c>
      <c r="C551">
        <v>44</v>
      </c>
      <c r="D551">
        <v>38</v>
      </c>
      <c r="E551" s="1">
        <f t="shared" si="48"/>
        <v>0.53658536585365857</v>
      </c>
      <c r="F551" s="2">
        <v>100.5</v>
      </c>
      <c r="G551" s="2">
        <v>98.9</v>
      </c>
      <c r="H551" s="2">
        <f t="shared" si="49"/>
        <v>1.5999999999999943</v>
      </c>
      <c r="I551" s="1">
        <f t="shared" si="50"/>
        <v>0.5559346078100218</v>
      </c>
      <c r="J551" s="2">
        <v>105.6</v>
      </c>
      <c r="K551" s="2">
        <v>104.1</v>
      </c>
      <c r="L551" s="2">
        <f t="shared" si="51"/>
        <v>1.5</v>
      </c>
      <c r="M551" s="1">
        <f t="shared" si="52"/>
        <v>-1.9349241956363228E-2</v>
      </c>
      <c r="N551" s="2">
        <v>105.5</v>
      </c>
      <c r="O551" s="2">
        <v>100.4</v>
      </c>
      <c r="P551" s="2">
        <f t="shared" si="53"/>
        <v>5.0999999999999943</v>
      </c>
      <c r="Q551">
        <v>-1</v>
      </c>
    </row>
    <row r="552" spans="1:17">
      <c r="A552" t="s">
        <v>39</v>
      </c>
      <c r="B552" t="s">
        <v>16</v>
      </c>
      <c r="C552">
        <v>37</v>
      </c>
      <c r="D552">
        <v>45</v>
      </c>
      <c r="E552" s="1">
        <f t="shared" si="48"/>
        <v>0.45121951219512196</v>
      </c>
      <c r="F552" s="2">
        <v>95.7</v>
      </c>
      <c r="G552" s="2">
        <v>96.5</v>
      </c>
      <c r="H552" s="2">
        <f t="shared" si="49"/>
        <v>-0.79999999999999716</v>
      </c>
      <c r="I552" s="1">
        <f t="shared" si="50"/>
        <v>0.47089645062894331</v>
      </c>
      <c r="J552" s="2">
        <v>103.8</v>
      </c>
      <c r="K552" s="2">
        <v>104.5</v>
      </c>
      <c r="L552" s="2">
        <f t="shared" si="51"/>
        <v>-0.70000000000000284</v>
      </c>
      <c r="M552" s="1">
        <f t="shared" si="52"/>
        <v>-1.9676938433821345E-2</v>
      </c>
      <c r="N552" s="2">
        <v>101.2</v>
      </c>
      <c r="O552" s="2">
        <v>106.7</v>
      </c>
      <c r="P552" s="2">
        <f t="shared" si="53"/>
        <v>-5.5</v>
      </c>
      <c r="Q552">
        <v>-1.3</v>
      </c>
    </row>
    <row r="553" spans="1:17">
      <c r="A553" t="s">
        <v>48</v>
      </c>
      <c r="B553" t="s">
        <v>35</v>
      </c>
      <c r="C553">
        <v>46</v>
      </c>
      <c r="D553">
        <v>36</v>
      </c>
      <c r="E553" s="1">
        <f t="shared" si="48"/>
        <v>0.56097560975609762</v>
      </c>
      <c r="F553" s="2">
        <v>99.9</v>
      </c>
      <c r="G553" s="2">
        <v>97.6</v>
      </c>
      <c r="H553" s="2">
        <f t="shared" si="49"/>
        <v>2.3000000000000114</v>
      </c>
      <c r="I553" s="1">
        <f t="shared" si="50"/>
        <v>0.58080787890560803</v>
      </c>
      <c r="J553" s="2">
        <v>107</v>
      </c>
      <c r="K553" s="2">
        <v>104.5</v>
      </c>
      <c r="L553" s="2">
        <f t="shared" si="51"/>
        <v>2.5</v>
      </c>
      <c r="M553" s="1">
        <f t="shared" si="52"/>
        <v>-1.9832269149510418E-2</v>
      </c>
      <c r="N553" s="2">
        <v>101.7</v>
      </c>
      <c r="O553" s="2">
        <v>108.5</v>
      </c>
      <c r="P553" s="2">
        <f t="shared" si="53"/>
        <v>-6.7999999999999972</v>
      </c>
      <c r="Q553">
        <v>1</v>
      </c>
    </row>
    <row r="554" spans="1:17">
      <c r="A554" t="s">
        <v>64</v>
      </c>
      <c r="B554" t="s">
        <v>51</v>
      </c>
      <c r="C554">
        <v>32</v>
      </c>
      <c r="D554">
        <v>50</v>
      </c>
      <c r="E554" s="1">
        <f t="shared" si="48"/>
        <v>0.3902439024390244</v>
      </c>
      <c r="F554" s="2">
        <v>110.4</v>
      </c>
      <c r="G554" s="2">
        <v>113.3</v>
      </c>
      <c r="H554" s="2">
        <f t="shared" si="49"/>
        <v>-2.8999999999999915</v>
      </c>
      <c r="I554" s="1">
        <f t="shared" si="50"/>
        <v>0.41023197755598673</v>
      </c>
      <c r="J554" s="2">
        <v>112.4</v>
      </c>
      <c r="K554" s="2">
        <v>115.4</v>
      </c>
      <c r="L554" s="2">
        <f t="shared" si="51"/>
        <v>-3</v>
      </c>
      <c r="M554" s="1">
        <f t="shared" si="52"/>
        <v>-1.9988075116962323E-2</v>
      </c>
      <c r="N554" s="2">
        <v>107.5</v>
      </c>
      <c r="O554" s="2">
        <v>114.2</v>
      </c>
      <c r="P554" s="2">
        <f t="shared" si="53"/>
        <v>-6.7000000000000028</v>
      </c>
      <c r="Q554">
        <v>-0.1</v>
      </c>
    </row>
    <row r="555" spans="1:17">
      <c r="A555" t="s">
        <v>54</v>
      </c>
      <c r="B555" t="s">
        <v>26</v>
      </c>
      <c r="C555">
        <v>51</v>
      </c>
      <c r="D555">
        <v>31</v>
      </c>
      <c r="E555" s="1">
        <f t="shared" si="48"/>
        <v>0.62195121951219512</v>
      </c>
      <c r="F555" s="2">
        <v>102.8</v>
      </c>
      <c r="G555" s="2">
        <v>98.6</v>
      </c>
      <c r="H555" s="2">
        <f t="shared" si="49"/>
        <v>4.2000000000000028</v>
      </c>
      <c r="I555" s="1">
        <f t="shared" si="50"/>
        <v>0.64198666077986288</v>
      </c>
      <c r="J555" s="2">
        <v>107.1</v>
      </c>
      <c r="K555" s="2">
        <v>102.8</v>
      </c>
      <c r="L555" s="2">
        <f t="shared" si="51"/>
        <v>4.2999999999999972</v>
      </c>
      <c r="M555" s="1">
        <f t="shared" si="52"/>
        <v>-2.0035441267667764E-2</v>
      </c>
      <c r="N555" s="2">
        <v>114.2</v>
      </c>
      <c r="O555" s="2">
        <v>100</v>
      </c>
      <c r="P555" s="2">
        <f t="shared" si="53"/>
        <v>14.200000000000003</v>
      </c>
      <c r="Q555">
        <v>1.7</v>
      </c>
    </row>
    <row r="556" spans="1:17">
      <c r="A556" t="s">
        <v>64</v>
      </c>
      <c r="B556" t="s">
        <v>6</v>
      </c>
      <c r="C556">
        <v>64</v>
      </c>
      <c r="D556">
        <v>18</v>
      </c>
      <c r="E556" s="1">
        <f t="shared" si="48"/>
        <v>0.78048780487804881</v>
      </c>
      <c r="F556" s="2">
        <v>120.6</v>
      </c>
      <c r="G556" s="2">
        <v>109.2</v>
      </c>
      <c r="H556" s="2">
        <f t="shared" si="49"/>
        <v>11.399999999999991</v>
      </c>
      <c r="I556" s="1">
        <f t="shared" si="50"/>
        <v>0.80062019440018317</v>
      </c>
      <c r="J556" s="2">
        <v>122.2</v>
      </c>
      <c r="K556" s="2">
        <v>110.6</v>
      </c>
      <c r="L556" s="2">
        <f t="shared" si="51"/>
        <v>11.600000000000009</v>
      </c>
      <c r="M556" s="1">
        <f t="shared" si="52"/>
        <v>-2.0132389522134364E-2</v>
      </c>
      <c r="N556" s="2">
        <v>116.8</v>
      </c>
      <c r="O556" s="2">
        <v>103.9</v>
      </c>
      <c r="P556" s="2">
        <f t="shared" si="53"/>
        <v>12.899999999999991</v>
      </c>
      <c r="Q556">
        <v>1.9</v>
      </c>
    </row>
    <row r="557" spans="1:17">
      <c r="A557" t="s">
        <v>41</v>
      </c>
      <c r="B557" t="s">
        <v>27</v>
      </c>
      <c r="C557">
        <v>44</v>
      </c>
      <c r="D557">
        <v>38</v>
      </c>
      <c r="E557" s="1">
        <f t="shared" si="48"/>
        <v>0.53658536585365857</v>
      </c>
      <c r="F557" s="2">
        <v>98.9</v>
      </c>
      <c r="G557" s="2">
        <v>97.3</v>
      </c>
      <c r="H557" s="2">
        <f t="shared" si="49"/>
        <v>1.6000000000000085</v>
      </c>
      <c r="I557" s="1">
        <f t="shared" si="50"/>
        <v>0.55683911786058593</v>
      </c>
      <c r="J557" s="2">
        <v>105.3</v>
      </c>
      <c r="K557" s="2">
        <v>103.5</v>
      </c>
      <c r="L557" s="2">
        <f t="shared" si="51"/>
        <v>1.7999999999999972</v>
      </c>
      <c r="M557" s="1">
        <f t="shared" si="52"/>
        <v>-2.0253752006927361E-2</v>
      </c>
      <c r="N557" s="2">
        <v>101.9</v>
      </c>
      <c r="O557" s="2">
        <v>97.8</v>
      </c>
      <c r="P557" s="2">
        <f t="shared" si="53"/>
        <v>4.1000000000000085</v>
      </c>
      <c r="Q557">
        <v>-0.7</v>
      </c>
    </row>
    <row r="558" spans="1:17">
      <c r="A558" t="s">
        <v>41</v>
      </c>
      <c r="B558" t="s">
        <v>5</v>
      </c>
      <c r="C558">
        <v>26</v>
      </c>
      <c r="D558">
        <v>56</v>
      </c>
      <c r="E558" s="1">
        <f t="shared" si="48"/>
        <v>0.31707317073170732</v>
      </c>
      <c r="F558" s="2">
        <v>97.2</v>
      </c>
      <c r="G558" s="2">
        <v>102</v>
      </c>
      <c r="H558" s="2">
        <f t="shared" si="49"/>
        <v>-4.7999999999999972</v>
      </c>
      <c r="I558" s="1">
        <f t="shared" si="50"/>
        <v>0.33741629653405997</v>
      </c>
      <c r="J558" s="2">
        <v>104.8</v>
      </c>
      <c r="K558" s="2">
        <v>110.1</v>
      </c>
      <c r="L558" s="2">
        <f t="shared" si="51"/>
        <v>-5.2999999999999972</v>
      </c>
      <c r="M558" s="1">
        <f t="shared" si="52"/>
        <v>-2.0343125802352646E-2</v>
      </c>
      <c r="N558" s="2">
        <v>96</v>
      </c>
      <c r="O558" s="2">
        <v>107.4</v>
      </c>
      <c r="P558" s="2">
        <f t="shared" si="53"/>
        <v>-11.400000000000006</v>
      </c>
      <c r="Q558">
        <v>-0.4</v>
      </c>
    </row>
    <row r="559" spans="1:17">
      <c r="A559" t="s">
        <v>66</v>
      </c>
      <c r="B559" t="s">
        <v>56</v>
      </c>
      <c r="C559">
        <v>31</v>
      </c>
      <c r="D559">
        <v>32</v>
      </c>
      <c r="E559" s="1">
        <f t="shared" si="48"/>
        <v>0.49206349206349204</v>
      </c>
      <c r="F559" s="2">
        <v>112.6</v>
      </c>
      <c r="G559" s="2">
        <v>112.2</v>
      </c>
      <c r="H559" s="2">
        <f t="shared" si="49"/>
        <v>0.39999999999999147</v>
      </c>
      <c r="I559" s="1">
        <f t="shared" si="50"/>
        <v>0.51245295332770446</v>
      </c>
      <c r="J559" s="2">
        <v>115.6</v>
      </c>
      <c r="K559" s="2">
        <v>115.3</v>
      </c>
      <c r="L559" s="2">
        <f t="shared" si="51"/>
        <v>0.29999999999999716</v>
      </c>
      <c r="M559" s="1">
        <f t="shared" si="52"/>
        <v>-2.0389461264212427E-2</v>
      </c>
      <c r="N559" s="2">
        <v>115.7</v>
      </c>
      <c r="O559" s="2">
        <v>116.4</v>
      </c>
      <c r="P559" s="2">
        <f t="shared" si="53"/>
        <v>-0.70000000000000284</v>
      </c>
      <c r="Q559" s="2">
        <v>-0.7</v>
      </c>
    </row>
    <row r="560" spans="1:17">
      <c r="A560" t="s">
        <v>52</v>
      </c>
      <c r="B560" t="s">
        <v>22</v>
      </c>
      <c r="C560">
        <v>37</v>
      </c>
      <c r="D560">
        <v>45</v>
      </c>
      <c r="E560" s="1">
        <f t="shared" si="48"/>
        <v>0.45121951219512196</v>
      </c>
      <c r="F560" s="2">
        <v>98.6</v>
      </c>
      <c r="G560" s="2">
        <v>99.4</v>
      </c>
      <c r="H560" s="2">
        <f t="shared" si="49"/>
        <v>-0.80000000000001137</v>
      </c>
      <c r="I560" s="1">
        <f t="shared" si="50"/>
        <v>0.47174714501702425</v>
      </c>
      <c r="J560" s="2">
        <v>107</v>
      </c>
      <c r="K560" s="2">
        <v>108.1</v>
      </c>
      <c r="L560" s="2">
        <f t="shared" si="51"/>
        <v>-1.0999999999999943</v>
      </c>
      <c r="M560" s="1">
        <f t="shared" si="52"/>
        <v>-2.0527632821902286E-2</v>
      </c>
      <c r="N560" s="2">
        <v>92.3</v>
      </c>
      <c r="O560" s="2">
        <v>100.6</v>
      </c>
      <c r="P560" s="2">
        <f t="shared" si="53"/>
        <v>-8.2999999999999972</v>
      </c>
      <c r="Q560">
        <v>-1.2</v>
      </c>
    </row>
    <row r="561" spans="1:17">
      <c r="A561" t="s">
        <v>55</v>
      </c>
      <c r="B561" t="s">
        <v>6</v>
      </c>
      <c r="C561">
        <v>48</v>
      </c>
      <c r="D561">
        <v>34</v>
      </c>
      <c r="E561" s="1">
        <f t="shared" si="48"/>
        <v>0.58536585365853655</v>
      </c>
      <c r="F561" s="2">
        <v>105.7</v>
      </c>
      <c r="G561" s="2">
        <v>102.5</v>
      </c>
      <c r="H561" s="2">
        <f t="shared" si="49"/>
        <v>3.2000000000000028</v>
      </c>
      <c r="I561" s="1">
        <f t="shared" si="50"/>
        <v>0.60596663066011414</v>
      </c>
      <c r="J561" s="2">
        <v>105.8</v>
      </c>
      <c r="K561" s="2">
        <v>102.5</v>
      </c>
      <c r="L561" s="2">
        <f t="shared" si="51"/>
        <v>3.2999999999999972</v>
      </c>
      <c r="M561" s="1">
        <f t="shared" si="52"/>
        <v>-2.0600777001577586E-2</v>
      </c>
      <c r="N561" s="2">
        <v>112</v>
      </c>
      <c r="O561" s="2">
        <v>105.7</v>
      </c>
      <c r="P561" s="2">
        <f t="shared" si="53"/>
        <v>6.2999999999999972</v>
      </c>
      <c r="Q561">
        <v>0.2</v>
      </c>
    </row>
    <row r="562" spans="1:17">
      <c r="A562" t="s">
        <v>4</v>
      </c>
      <c r="B562" t="s">
        <v>31</v>
      </c>
      <c r="C562">
        <v>53</v>
      </c>
      <c r="D562">
        <v>29</v>
      </c>
      <c r="E562" s="1">
        <f t="shared" si="48"/>
        <v>0.64634146341463417</v>
      </c>
      <c r="F562" s="2">
        <v>97.1</v>
      </c>
      <c r="G562" s="2">
        <v>92.4</v>
      </c>
      <c r="H562" s="2">
        <f t="shared" si="49"/>
        <v>4.6999999999999886</v>
      </c>
      <c r="I562" s="1">
        <f t="shared" si="50"/>
        <v>0.66698978218466165</v>
      </c>
      <c r="J562" s="2">
        <v>106.1</v>
      </c>
      <c r="K562" s="2">
        <v>100.9</v>
      </c>
      <c r="L562" s="2">
        <f t="shared" si="51"/>
        <v>5.1999999999999886</v>
      </c>
      <c r="M562" s="1">
        <f t="shared" si="52"/>
        <v>-2.0648318770027485E-2</v>
      </c>
      <c r="N562" s="2">
        <v>118.4</v>
      </c>
      <c r="O562" s="2">
        <v>96.8</v>
      </c>
      <c r="P562" s="2">
        <f t="shared" si="53"/>
        <v>21.600000000000009</v>
      </c>
      <c r="Q562">
        <v>2.5</v>
      </c>
    </row>
    <row r="563" spans="1:17">
      <c r="A563" t="s">
        <v>41</v>
      </c>
      <c r="B563" t="s">
        <v>23</v>
      </c>
      <c r="C563">
        <v>36</v>
      </c>
      <c r="D563">
        <v>46</v>
      </c>
      <c r="E563" s="1">
        <f t="shared" si="48"/>
        <v>0.43902439024390244</v>
      </c>
      <c r="F563" s="2">
        <v>94.9</v>
      </c>
      <c r="G563" s="2">
        <v>96</v>
      </c>
      <c r="H563" s="2">
        <f t="shared" si="49"/>
        <v>-1.0999999999999943</v>
      </c>
      <c r="I563" s="1">
        <f t="shared" si="50"/>
        <v>0.45975157223924717</v>
      </c>
      <c r="J563" s="2">
        <v>105.3</v>
      </c>
      <c r="K563" s="2">
        <v>106.6</v>
      </c>
      <c r="L563" s="2">
        <f t="shared" si="51"/>
        <v>-1.2999999999999972</v>
      </c>
      <c r="M563" s="1">
        <f t="shared" si="52"/>
        <v>-2.0727181995344734E-2</v>
      </c>
      <c r="N563" s="2">
        <v>100.8</v>
      </c>
      <c r="O563" s="2">
        <v>103.9</v>
      </c>
      <c r="P563" s="2">
        <f t="shared" si="53"/>
        <v>-3.1000000000000085</v>
      </c>
      <c r="Q563">
        <v>0.1</v>
      </c>
    </row>
    <row r="564" spans="1:17">
      <c r="A564" t="s">
        <v>66</v>
      </c>
      <c r="B564" t="s">
        <v>46</v>
      </c>
      <c r="C564">
        <v>50</v>
      </c>
      <c r="D564">
        <v>14</v>
      </c>
      <c r="E564" s="1">
        <f t="shared" si="48"/>
        <v>0.78125</v>
      </c>
      <c r="F564" s="2">
        <v>118.8</v>
      </c>
      <c r="G564" s="2">
        <v>107.5</v>
      </c>
      <c r="H564" s="2">
        <f t="shared" si="49"/>
        <v>11.299999999999997</v>
      </c>
      <c r="I564" s="1">
        <f t="shared" si="50"/>
        <v>0.80207402882582313</v>
      </c>
      <c r="J564" s="2">
        <v>117.2</v>
      </c>
      <c r="K564" s="2">
        <v>106</v>
      </c>
      <c r="L564" s="2">
        <f t="shared" si="51"/>
        <v>11.200000000000003</v>
      </c>
      <c r="M564" s="1">
        <f t="shared" si="52"/>
        <v>-2.0824028825823127E-2</v>
      </c>
      <c r="N564" s="2">
        <v>123.7</v>
      </c>
      <c r="O564" s="2">
        <v>99.2</v>
      </c>
      <c r="P564" s="2">
        <f t="shared" si="53"/>
        <v>24.5</v>
      </c>
      <c r="Q564" s="2">
        <v>1.8</v>
      </c>
    </row>
    <row r="565" spans="1:17">
      <c r="A565" t="s">
        <v>52</v>
      </c>
      <c r="B565" t="s">
        <v>16</v>
      </c>
      <c r="C565">
        <v>57</v>
      </c>
      <c r="D565">
        <v>25</v>
      </c>
      <c r="E565" s="1">
        <f t="shared" si="48"/>
        <v>0.69512195121951215</v>
      </c>
      <c r="F565" s="2">
        <v>107.9</v>
      </c>
      <c r="G565" s="2">
        <v>101</v>
      </c>
      <c r="H565" s="2">
        <f t="shared" si="49"/>
        <v>6.9000000000000057</v>
      </c>
      <c r="I565" s="1">
        <f t="shared" si="50"/>
        <v>0.71609658806886933</v>
      </c>
      <c r="J565" s="2">
        <v>111.3</v>
      </c>
      <c r="K565" s="2">
        <v>104</v>
      </c>
      <c r="L565" s="2">
        <f t="shared" si="51"/>
        <v>7.2999999999999972</v>
      </c>
      <c r="M565" s="1">
        <f t="shared" si="52"/>
        <v>-2.0974636849357187E-2</v>
      </c>
      <c r="N565" s="2">
        <v>111.8</v>
      </c>
      <c r="O565" s="2">
        <v>100</v>
      </c>
      <c r="P565" s="2">
        <f t="shared" si="53"/>
        <v>11.799999999999997</v>
      </c>
      <c r="Q565">
        <v>1.6</v>
      </c>
    </row>
    <row r="566" spans="1:17">
      <c r="A566" t="s">
        <v>58</v>
      </c>
      <c r="B566" t="s">
        <v>12</v>
      </c>
      <c r="C566">
        <v>39</v>
      </c>
      <c r="D566">
        <v>43</v>
      </c>
      <c r="E566" s="1">
        <f t="shared" si="48"/>
        <v>0.47560975609756095</v>
      </c>
      <c r="F566" s="2">
        <v>103.8</v>
      </c>
      <c r="G566" s="2">
        <v>103.9</v>
      </c>
      <c r="H566" s="2">
        <f t="shared" si="49"/>
        <v>-0.10000000000000853</v>
      </c>
      <c r="I566" s="1">
        <f t="shared" si="50"/>
        <v>0.49662980523369954</v>
      </c>
      <c r="J566" s="2">
        <v>106.6</v>
      </c>
      <c r="K566" s="2">
        <v>106.7</v>
      </c>
      <c r="L566" s="2">
        <f t="shared" si="51"/>
        <v>-0.10000000000000853</v>
      </c>
      <c r="M566" s="1">
        <f t="shared" si="52"/>
        <v>-2.1020049136138585E-2</v>
      </c>
      <c r="N566" s="2">
        <v>101.4</v>
      </c>
      <c r="O566" s="2">
        <v>109.6</v>
      </c>
      <c r="P566" s="2">
        <f t="shared" si="53"/>
        <v>-8.1999999999999886</v>
      </c>
      <c r="Q566">
        <v>0.8</v>
      </c>
    </row>
    <row r="567" spans="1:17">
      <c r="A567" t="s">
        <v>45</v>
      </c>
      <c r="B567" t="s">
        <v>35</v>
      </c>
      <c r="C567">
        <v>24</v>
      </c>
      <c r="D567">
        <v>58</v>
      </c>
      <c r="E567" s="1">
        <f t="shared" si="48"/>
        <v>0.29268292682926828</v>
      </c>
      <c r="F567" s="2">
        <v>93.9</v>
      </c>
      <c r="G567" s="2">
        <v>99.3</v>
      </c>
      <c r="H567" s="2">
        <f t="shared" si="49"/>
        <v>-5.3999999999999915</v>
      </c>
      <c r="I567" s="1">
        <f t="shared" si="50"/>
        <v>0.31371402581860747</v>
      </c>
      <c r="J567" s="2">
        <v>102.3</v>
      </c>
      <c r="K567" s="2">
        <v>108.2</v>
      </c>
      <c r="L567" s="2">
        <f t="shared" si="51"/>
        <v>-5.9000000000000057</v>
      </c>
      <c r="M567" s="1">
        <f t="shared" si="52"/>
        <v>-2.1031098989339192E-2</v>
      </c>
      <c r="N567" s="2">
        <v>90.2</v>
      </c>
      <c r="O567" s="2">
        <v>113.7</v>
      </c>
      <c r="P567" s="2">
        <f t="shared" si="53"/>
        <v>-23.5</v>
      </c>
      <c r="Q567">
        <v>-1.6</v>
      </c>
    </row>
    <row r="568" spans="1:17">
      <c r="A568" t="s">
        <v>47</v>
      </c>
      <c r="B568" t="s">
        <v>22</v>
      </c>
      <c r="C568">
        <v>29</v>
      </c>
      <c r="D568">
        <v>53</v>
      </c>
      <c r="E568" s="1">
        <f t="shared" si="48"/>
        <v>0.35365853658536583</v>
      </c>
      <c r="F568" s="2">
        <v>102.1</v>
      </c>
      <c r="G568" s="2">
        <v>105.9</v>
      </c>
      <c r="H568" s="2">
        <f t="shared" si="49"/>
        <v>-3.8000000000000114</v>
      </c>
      <c r="I568" s="1">
        <f t="shared" si="50"/>
        <v>0.3748196047848904</v>
      </c>
      <c r="J568" s="2">
        <v>106.4</v>
      </c>
      <c r="K568" s="2">
        <v>110.3</v>
      </c>
      <c r="L568" s="2">
        <f t="shared" si="51"/>
        <v>-3.8999999999999915</v>
      </c>
      <c r="M568" s="1">
        <f t="shared" si="52"/>
        <v>-2.1161068199524569E-2</v>
      </c>
      <c r="N568" s="2">
        <v>99.7</v>
      </c>
      <c r="O568" s="2">
        <v>97.4</v>
      </c>
      <c r="P568" s="2">
        <f t="shared" si="53"/>
        <v>2.2999999999999972</v>
      </c>
      <c r="Q568">
        <v>1</v>
      </c>
    </row>
    <row r="569" spans="1:17">
      <c r="A569" t="s">
        <v>65</v>
      </c>
      <c r="B569" t="s">
        <v>12</v>
      </c>
      <c r="C569">
        <v>44</v>
      </c>
      <c r="D569">
        <v>38</v>
      </c>
      <c r="E569" s="1">
        <f t="shared" si="48"/>
        <v>0.53658536585365857</v>
      </c>
      <c r="F569" s="2">
        <v>115.5</v>
      </c>
      <c r="G569" s="2">
        <v>113.6</v>
      </c>
      <c r="H569" s="2">
        <f t="shared" si="49"/>
        <v>1.9000000000000057</v>
      </c>
      <c r="I569" s="1">
        <f t="shared" si="50"/>
        <v>0.55779509756392176</v>
      </c>
      <c r="J569" s="2">
        <v>114.6</v>
      </c>
      <c r="K569" s="2">
        <v>112.5</v>
      </c>
      <c r="L569" s="2">
        <f t="shared" si="51"/>
        <v>2.0999999999999943</v>
      </c>
      <c r="M569" s="1">
        <f t="shared" si="52"/>
        <v>-2.1209731710263191E-2</v>
      </c>
      <c r="N569" s="2">
        <v>107.4</v>
      </c>
      <c r="O569" s="2">
        <v>117.1</v>
      </c>
      <c r="P569" s="2">
        <f t="shared" si="53"/>
        <v>-9.6999999999999886</v>
      </c>
      <c r="Q569">
        <v>0.3</v>
      </c>
    </row>
    <row r="570" spans="1:17">
      <c r="A570" t="s">
        <v>41</v>
      </c>
      <c r="B570" t="s">
        <v>8</v>
      </c>
      <c r="C570">
        <v>41</v>
      </c>
      <c r="D570">
        <v>41</v>
      </c>
      <c r="E570" s="1">
        <f t="shared" si="48"/>
        <v>0.5</v>
      </c>
      <c r="F570" s="2">
        <v>97.8</v>
      </c>
      <c r="G570" s="2">
        <v>97.2</v>
      </c>
      <c r="H570" s="2">
        <f t="shared" si="49"/>
        <v>0.59999999999999432</v>
      </c>
      <c r="I570" s="1">
        <f t="shared" si="50"/>
        <v>0.52152521685612041</v>
      </c>
      <c r="J570" s="2">
        <v>103.3</v>
      </c>
      <c r="K570" s="2">
        <v>102.7</v>
      </c>
      <c r="L570" s="2">
        <f t="shared" si="51"/>
        <v>0.59999999999999432</v>
      </c>
      <c r="M570" s="1">
        <f t="shared" si="52"/>
        <v>-2.152521685612041E-2</v>
      </c>
      <c r="N570" s="2">
        <v>107.7</v>
      </c>
      <c r="O570" s="2">
        <v>94.8</v>
      </c>
      <c r="P570" s="2">
        <f t="shared" si="53"/>
        <v>12.900000000000006</v>
      </c>
      <c r="Q570">
        <v>0.7</v>
      </c>
    </row>
    <row r="571" spans="1:17">
      <c r="A571" t="s">
        <v>59</v>
      </c>
      <c r="B571" t="s">
        <v>15</v>
      </c>
      <c r="C571">
        <v>48</v>
      </c>
      <c r="D571">
        <v>34</v>
      </c>
      <c r="E571" s="1">
        <f t="shared" si="48"/>
        <v>0.58536585365853655</v>
      </c>
      <c r="F571" s="2">
        <v>108</v>
      </c>
      <c r="G571" s="2">
        <v>104.7</v>
      </c>
      <c r="H571" s="2">
        <f t="shared" si="49"/>
        <v>3.2999999999999972</v>
      </c>
      <c r="I571" s="1">
        <f t="shared" si="50"/>
        <v>0.60693567293355</v>
      </c>
      <c r="J571" s="2">
        <v>109.4</v>
      </c>
      <c r="K571" s="2">
        <v>106</v>
      </c>
      <c r="L571" s="2">
        <f t="shared" si="51"/>
        <v>3.4000000000000057</v>
      </c>
      <c r="M571" s="1">
        <f t="shared" si="52"/>
        <v>-2.1569819275013447E-2</v>
      </c>
      <c r="N571" s="2">
        <v>113.9</v>
      </c>
      <c r="O571" s="2">
        <v>104.5</v>
      </c>
      <c r="P571" s="2">
        <f t="shared" si="53"/>
        <v>9.4000000000000057</v>
      </c>
      <c r="Q571">
        <v>0.8</v>
      </c>
    </row>
    <row r="572" spans="1:17">
      <c r="A572" t="s">
        <v>38</v>
      </c>
      <c r="B572" t="s">
        <v>14</v>
      </c>
      <c r="C572">
        <v>45</v>
      </c>
      <c r="D572">
        <v>37</v>
      </c>
      <c r="E572" s="1">
        <f t="shared" si="48"/>
        <v>0.54878048780487809</v>
      </c>
      <c r="F572" s="2">
        <v>89.8</v>
      </c>
      <c r="G572" s="2">
        <v>88</v>
      </c>
      <c r="H572" s="2">
        <f t="shared" si="49"/>
        <v>1.7999999999999972</v>
      </c>
      <c r="I572" s="1">
        <f t="shared" si="50"/>
        <v>0.5703977764006517</v>
      </c>
      <c r="J572" s="2">
        <v>99.7</v>
      </c>
      <c r="K572" s="2">
        <v>97.8</v>
      </c>
      <c r="L572" s="2">
        <f t="shared" si="51"/>
        <v>1.9000000000000057</v>
      </c>
      <c r="M572" s="1">
        <f t="shared" si="52"/>
        <v>-2.1617288595773609E-2</v>
      </c>
      <c r="N572" s="2">
        <v>105.8</v>
      </c>
      <c r="O572" s="2">
        <v>105.7</v>
      </c>
      <c r="P572" s="2">
        <f t="shared" si="53"/>
        <v>9.9999999999994316E-2</v>
      </c>
      <c r="Q572">
        <v>-0.1</v>
      </c>
    </row>
    <row r="573" spans="1:17">
      <c r="A573" t="s">
        <v>64</v>
      </c>
      <c r="B573" t="s">
        <v>24</v>
      </c>
      <c r="C573">
        <v>47</v>
      </c>
      <c r="D573">
        <v>35</v>
      </c>
      <c r="E573" s="1">
        <f t="shared" si="48"/>
        <v>0.57317073170731703</v>
      </c>
      <c r="F573" s="2">
        <v>114.6</v>
      </c>
      <c r="G573" s="2">
        <v>111.5</v>
      </c>
      <c r="H573" s="2">
        <f t="shared" si="49"/>
        <v>3.0999999999999943</v>
      </c>
      <c r="I573" s="1">
        <f t="shared" si="50"/>
        <v>0.59481941226835489</v>
      </c>
      <c r="J573" s="2">
        <v>116.2</v>
      </c>
      <c r="K573" s="2">
        <v>113</v>
      </c>
      <c r="L573" s="2">
        <f t="shared" si="51"/>
        <v>3.2000000000000028</v>
      </c>
      <c r="M573" s="1">
        <f t="shared" si="52"/>
        <v>-2.1648680561037859E-2</v>
      </c>
      <c r="N573" s="2">
        <v>115.3</v>
      </c>
      <c r="O573" s="2">
        <v>113.2</v>
      </c>
      <c r="P573" s="2">
        <f t="shared" si="53"/>
        <v>2.0999999999999943</v>
      </c>
      <c r="Q573">
        <v>0.7</v>
      </c>
    </row>
    <row r="574" spans="1:17">
      <c r="A574" t="s">
        <v>49</v>
      </c>
      <c r="B574" t="s">
        <v>11</v>
      </c>
      <c r="C574">
        <v>38</v>
      </c>
      <c r="D574">
        <v>28</v>
      </c>
      <c r="E574" s="1">
        <f t="shared" si="48"/>
        <v>0.5757575757575758</v>
      </c>
      <c r="F574" s="2">
        <v>104.1</v>
      </c>
      <c r="G574" s="2">
        <v>101.2</v>
      </c>
      <c r="H574" s="2">
        <f t="shared" si="49"/>
        <v>2.8999999999999915</v>
      </c>
      <c r="I574" s="1">
        <f t="shared" si="50"/>
        <v>0.59761684455531594</v>
      </c>
      <c r="J574" s="2">
        <v>108.3</v>
      </c>
      <c r="K574" s="2">
        <v>105.1</v>
      </c>
      <c r="L574" s="2">
        <f t="shared" si="51"/>
        <v>3.2000000000000028</v>
      </c>
      <c r="M574" s="1">
        <f t="shared" si="52"/>
        <v>-2.1859268797740139E-2</v>
      </c>
      <c r="N574" s="2">
        <v>97.9</v>
      </c>
      <c r="O574" s="2">
        <v>100</v>
      </c>
      <c r="P574" s="2">
        <f t="shared" si="53"/>
        <v>-2.0999999999999943</v>
      </c>
      <c r="Q574">
        <v>0.3</v>
      </c>
    </row>
    <row r="575" spans="1:17">
      <c r="A575" t="s">
        <v>62</v>
      </c>
      <c r="B575" t="s">
        <v>5</v>
      </c>
      <c r="C575">
        <v>43</v>
      </c>
      <c r="D575">
        <v>39</v>
      </c>
      <c r="E575" s="1">
        <f t="shared" si="48"/>
        <v>0.52439024390243905</v>
      </c>
      <c r="F575" s="2">
        <v>113.9</v>
      </c>
      <c r="G575" s="2">
        <v>112.4</v>
      </c>
      <c r="H575" s="2">
        <f t="shared" si="49"/>
        <v>1.5</v>
      </c>
      <c r="I575" s="1">
        <f t="shared" si="50"/>
        <v>0.54626653254094071</v>
      </c>
      <c r="J575" s="2">
        <v>115.4</v>
      </c>
      <c r="K575" s="2">
        <v>113.7</v>
      </c>
      <c r="L575" s="2">
        <f t="shared" si="51"/>
        <v>1.7000000000000028</v>
      </c>
      <c r="M575" s="1">
        <f t="shared" si="52"/>
        <v>-2.1876288638501662E-2</v>
      </c>
      <c r="N575" s="2">
        <v>110.5</v>
      </c>
      <c r="O575" s="2">
        <v>119.4</v>
      </c>
      <c r="P575" s="2">
        <f t="shared" si="53"/>
        <v>-8.9000000000000057</v>
      </c>
      <c r="Q575">
        <v>-1.3</v>
      </c>
    </row>
    <row r="576" spans="1:17">
      <c r="A576" t="s">
        <v>63</v>
      </c>
      <c r="B576" t="s">
        <v>31</v>
      </c>
      <c r="C576">
        <v>37</v>
      </c>
      <c r="D576">
        <v>45</v>
      </c>
      <c r="E576" s="1">
        <f t="shared" si="48"/>
        <v>0.45121951219512196</v>
      </c>
      <c r="F576" s="2">
        <v>117.1</v>
      </c>
      <c r="G576" s="2">
        <v>118</v>
      </c>
      <c r="H576" s="2">
        <f t="shared" si="49"/>
        <v>-0.90000000000000568</v>
      </c>
      <c r="I576" s="1">
        <f t="shared" si="50"/>
        <v>0.47322838921503652</v>
      </c>
      <c r="J576" s="2">
        <v>115.3</v>
      </c>
      <c r="K576" s="2">
        <v>116</v>
      </c>
      <c r="L576" s="2">
        <f t="shared" si="51"/>
        <v>-0.70000000000000284</v>
      </c>
      <c r="M576" s="1">
        <f t="shared" si="52"/>
        <v>-2.2008877019914552E-2</v>
      </c>
      <c r="N576" s="2">
        <v>117.2</v>
      </c>
      <c r="O576" s="2">
        <v>109.5</v>
      </c>
      <c r="P576" s="2">
        <f t="shared" si="53"/>
        <v>7.7000000000000028</v>
      </c>
      <c r="Q576">
        <v>-0.1</v>
      </c>
    </row>
    <row r="577" spans="1:17">
      <c r="A577" t="s">
        <v>43</v>
      </c>
      <c r="B577" t="s">
        <v>29</v>
      </c>
      <c r="C577">
        <v>31</v>
      </c>
      <c r="D577">
        <v>51</v>
      </c>
      <c r="E577" s="1">
        <f t="shared" si="48"/>
        <v>0.37804878048780488</v>
      </c>
      <c r="F577" s="2">
        <v>99.1</v>
      </c>
      <c r="G577" s="2">
        <v>102</v>
      </c>
      <c r="H577" s="2">
        <f t="shared" si="49"/>
        <v>-2.9000000000000057</v>
      </c>
      <c r="I577" s="1">
        <f t="shared" si="50"/>
        <v>0.40039796208658779</v>
      </c>
      <c r="J577" s="2">
        <v>105.9</v>
      </c>
      <c r="K577" s="2">
        <v>108.9</v>
      </c>
      <c r="L577" s="2">
        <f t="shared" si="51"/>
        <v>-3</v>
      </c>
      <c r="M577" s="1">
        <f t="shared" si="52"/>
        <v>-2.2349181598782908E-2</v>
      </c>
      <c r="N577" s="2">
        <v>105.5</v>
      </c>
      <c r="O577" s="2">
        <v>103.8</v>
      </c>
      <c r="P577" s="2">
        <f t="shared" si="53"/>
        <v>1.7000000000000028</v>
      </c>
      <c r="Q577">
        <v>-0.4</v>
      </c>
    </row>
    <row r="578" spans="1:17">
      <c r="A578" t="s">
        <v>38</v>
      </c>
      <c r="B578" t="s">
        <v>13</v>
      </c>
      <c r="C578">
        <v>37</v>
      </c>
      <c r="D578">
        <v>45</v>
      </c>
      <c r="E578" s="1">
        <f t="shared" si="48"/>
        <v>0.45121951219512196</v>
      </c>
      <c r="F578" s="2">
        <v>93.3</v>
      </c>
      <c r="G578" s="2">
        <v>94</v>
      </c>
      <c r="H578" s="2">
        <f t="shared" si="49"/>
        <v>-0.70000000000000284</v>
      </c>
      <c r="I578" s="1">
        <f t="shared" si="50"/>
        <v>0.47386248712598766</v>
      </c>
      <c r="J578" s="2">
        <v>101.5</v>
      </c>
      <c r="K578" s="2">
        <v>102.6</v>
      </c>
      <c r="L578" s="2">
        <f t="shared" si="51"/>
        <v>-1.0999999999999943</v>
      </c>
      <c r="M578" s="1">
        <f t="shared" si="52"/>
        <v>-2.26429749308657E-2</v>
      </c>
      <c r="N578" s="2">
        <v>90.8</v>
      </c>
      <c r="O578" s="2">
        <v>102.6</v>
      </c>
      <c r="P578" s="2">
        <f t="shared" si="53"/>
        <v>-11.799999999999997</v>
      </c>
      <c r="Q578">
        <v>-0.3</v>
      </c>
    </row>
    <row r="579" spans="1:17">
      <c r="A579" t="s">
        <v>59</v>
      </c>
      <c r="B579" t="s">
        <v>33</v>
      </c>
      <c r="C579">
        <v>32</v>
      </c>
      <c r="D579">
        <v>50</v>
      </c>
      <c r="E579" s="1">
        <f t="shared" si="48"/>
        <v>0.3902439024390244</v>
      </c>
      <c r="F579" s="2">
        <v>114</v>
      </c>
      <c r="G579" s="2">
        <v>116.9</v>
      </c>
      <c r="H579" s="2">
        <f t="shared" si="49"/>
        <v>-2.9000000000000057</v>
      </c>
      <c r="I579" s="1">
        <f t="shared" si="50"/>
        <v>0.41297365907785938</v>
      </c>
      <c r="J579" s="2">
        <v>110.2</v>
      </c>
      <c r="K579" s="2">
        <v>112.9</v>
      </c>
      <c r="L579" s="2">
        <f t="shared" si="51"/>
        <v>-2.7000000000000028</v>
      </c>
      <c r="M579" s="1">
        <f t="shared" si="52"/>
        <v>-2.2729756638834975E-2</v>
      </c>
      <c r="N579" s="2">
        <v>108.1</v>
      </c>
      <c r="O579" s="2">
        <v>111.8</v>
      </c>
      <c r="P579" s="2">
        <f t="shared" si="53"/>
        <v>-3.7000000000000028</v>
      </c>
      <c r="Q579">
        <v>1.1000000000000001</v>
      </c>
    </row>
    <row r="580" spans="1:17">
      <c r="A580" t="s">
        <v>52</v>
      </c>
      <c r="B580" t="s">
        <v>12</v>
      </c>
      <c r="C580">
        <v>29</v>
      </c>
      <c r="D580">
        <v>53</v>
      </c>
      <c r="E580" s="1">
        <f t="shared" si="48"/>
        <v>0.35365853658536583</v>
      </c>
      <c r="F580" s="2">
        <v>101</v>
      </c>
      <c r="G580" s="2">
        <v>104.7</v>
      </c>
      <c r="H580" s="2">
        <f t="shared" si="49"/>
        <v>-3.7000000000000028</v>
      </c>
      <c r="I580" s="1">
        <f t="shared" si="50"/>
        <v>0.37667145253299883</v>
      </c>
      <c r="J580" s="2">
        <v>105.2</v>
      </c>
      <c r="K580" s="2">
        <v>109</v>
      </c>
      <c r="L580" s="2">
        <f t="shared" si="51"/>
        <v>-3.7999999999999972</v>
      </c>
      <c r="M580" s="1">
        <f t="shared" si="52"/>
        <v>-2.3012915947632995E-2</v>
      </c>
      <c r="N580" s="2">
        <v>85.5</v>
      </c>
      <c r="O580" s="2">
        <v>110</v>
      </c>
      <c r="P580" s="2">
        <f t="shared" si="53"/>
        <v>-24.5</v>
      </c>
      <c r="Q580">
        <v>-2.4</v>
      </c>
    </row>
    <row r="581" spans="1:17">
      <c r="A581" t="s">
        <v>47</v>
      </c>
      <c r="B581" t="s">
        <v>23</v>
      </c>
      <c r="C581">
        <v>59</v>
      </c>
      <c r="D581">
        <v>23</v>
      </c>
      <c r="E581" s="1">
        <f t="shared" si="48"/>
        <v>0.71951219512195119</v>
      </c>
      <c r="F581" s="2">
        <v>102.8</v>
      </c>
      <c r="G581" s="2">
        <v>95.3</v>
      </c>
      <c r="H581" s="2">
        <f t="shared" si="49"/>
        <v>7.5</v>
      </c>
      <c r="I581" s="1">
        <f t="shared" si="50"/>
        <v>0.74280090861208392</v>
      </c>
      <c r="J581" s="2">
        <v>110.7</v>
      </c>
      <c r="K581" s="2">
        <v>102.8</v>
      </c>
      <c r="L581" s="2">
        <f t="shared" si="51"/>
        <v>7.9000000000000057</v>
      </c>
      <c r="M581" s="1">
        <f t="shared" si="52"/>
        <v>-2.3288713490132729E-2</v>
      </c>
      <c r="N581" s="2">
        <v>107.6</v>
      </c>
      <c r="O581" s="2">
        <v>100</v>
      </c>
      <c r="P581" s="2">
        <f t="shared" si="53"/>
        <v>7.5999999999999943</v>
      </c>
      <c r="Q581">
        <v>1.3</v>
      </c>
    </row>
    <row r="582" spans="1:17">
      <c r="A582" t="s">
        <v>54</v>
      </c>
      <c r="B582" t="s">
        <v>27</v>
      </c>
      <c r="C582">
        <v>29</v>
      </c>
      <c r="D582">
        <v>53</v>
      </c>
      <c r="E582" s="1">
        <f t="shared" si="48"/>
        <v>0.35365853658536583</v>
      </c>
      <c r="F582" s="2">
        <v>101.3</v>
      </c>
      <c r="G582" s="2">
        <v>105</v>
      </c>
      <c r="H582" s="2">
        <f t="shared" si="49"/>
        <v>-3.7000000000000028</v>
      </c>
      <c r="I582" s="1">
        <f t="shared" si="50"/>
        <v>0.37701554546274013</v>
      </c>
      <c r="J582" s="2">
        <v>104.5</v>
      </c>
      <c r="K582" s="2">
        <v>108.2</v>
      </c>
      <c r="L582" s="2">
        <f t="shared" si="51"/>
        <v>-3.7000000000000028</v>
      </c>
      <c r="M582" s="1">
        <f t="shared" si="52"/>
        <v>-2.3357008877374297E-2</v>
      </c>
      <c r="N582" s="2">
        <v>99.6</v>
      </c>
      <c r="O582" s="2">
        <v>108.6</v>
      </c>
      <c r="P582" s="2">
        <f t="shared" si="53"/>
        <v>-9</v>
      </c>
      <c r="Q582">
        <v>-1.2</v>
      </c>
    </row>
    <row r="583" spans="1:17">
      <c r="A583" t="s">
        <v>38</v>
      </c>
      <c r="B583" t="s">
        <v>29</v>
      </c>
      <c r="C583">
        <v>37</v>
      </c>
      <c r="D583">
        <v>45</v>
      </c>
      <c r="E583" s="1">
        <f t="shared" si="48"/>
        <v>0.45121951219512196</v>
      </c>
      <c r="F583" s="2">
        <v>97.1</v>
      </c>
      <c r="G583" s="2">
        <v>97.8</v>
      </c>
      <c r="H583" s="2">
        <f t="shared" si="49"/>
        <v>-0.70000000000000284</v>
      </c>
      <c r="I583" s="1">
        <f t="shared" si="50"/>
        <v>0.4748799608375659</v>
      </c>
      <c r="J583" s="2">
        <v>105.6</v>
      </c>
      <c r="K583" s="2">
        <v>106.4</v>
      </c>
      <c r="L583" s="2">
        <f t="shared" si="51"/>
        <v>-0.80000000000001137</v>
      </c>
      <c r="M583" s="1">
        <f t="shared" si="52"/>
        <v>-2.3660448642443932E-2</v>
      </c>
      <c r="N583" s="2">
        <v>111.3</v>
      </c>
      <c r="O583" s="2">
        <v>108.4</v>
      </c>
      <c r="P583" s="2">
        <f t="shared" si="53"/>
        <v>2.8999999999999915</v>
      </c>
      <c r="Q583">
        <v>0.3</v>
      </c>
    </row>
    <row r="584" spans="1:17">
      <c r="A584" t="s">
        <v>65</v>
      </c>
      <c r="B584" t="s">
        <v>24</v>
      </c>
      <c r="C584">
        <v>24</v>
      </c>
      <c r="D584">
        <v>58</v>
      </c>
      <c r="E584" s="1">
        <f t="shared" si="48"/>
        <v>0.29268292682926828</v>
      </c>
      <c r="F584" s="2">
        <v>109.6</v>
      </c>
      <c r="G584" s="2">
        <v>115.8</v>
      </c>
      <c r="H584" s="2">
        <f t="shared" si="49"/>
        <v>-6.2000000000000028</v>
      </c>
      <c r="I584" s="1">
        <f t="shared" si="50"/>
        <v>0.31639676572205722</v>
      </c>
      <c r="J584" s="2">
        <v>111</v>
      </c>
      <c r="K584" s="2">
        <v>117.3</v>
      </c>
      <c r="L584" s="2">
        <f t="shared" si="51"/>
        <v>-6.2999999999999972</v>
      </c>
      <c r="M584" s="1">
        <f t="shared" si="52"/>
        <v>-2.3713838892788941E-2</v>
      </c>
      <c r="N584" s="2">
        <v>104.2</v>
      </c>
      <c r="O584" s="2">
        <v>117</v>
      </c>
      <c r="P584" s="2">
        <f t="shared" si="53"/>
        <v>-12.799999999999997</v>
      </c>
      <c r="Q584">
        <v>-1.9</v>
      </c>
    </row>
    <row r="585" spans="1:17">
      <c r="A585" t="s">
        <v>38</v>
      </c>
      <c r="B585" t="s">
        <v>21</v>
      </c>
      <c r="C585">
        <v>47</v>
      </c>
      <c r="D585">
        <v>35</v>
      </c>
      <c r="E585" s="1">
        <f t="shared" ref="E585:E648" si="54">+C585/(C585+D585)</f>
        <v>0.57317073170731703</v>
      </c>
      <c r="F585" s="2">
        <v>90.3</v>
      </c>
      <c r="G585" s="2">
        <v>87.8</v>
      </c>
      <c r="H585" s="2">
        <f t="shared" ref="H585:H648" si="55">+F585-G585</f>
        <v>2.5</v>
      </c>
      <c r="I585" s="1">
        <f t="shared" ref="I585:I648" si="56">+(F585^14)/((F585^14+G585^14))</f>
        <v>0.59701994134505132</v>
      </c>
      <c r="J585" s="2">
        <v>99</v>
      </c>
      <c r="K585" s="2">
        <v>96.4</v>
      </c>
      <c r="L585" s="2">
        <f t="shared" ref="L585:L648" si="57">+J585-K585</f>
        <v>2.5999999999999943</v>
      </c>
      <c r="M585" s="1">
        <f t="shared" ref="M585:M648" si="58">+E585-I585</f>
        <v>-2.3849209637734292E-2</v>
      </c>
      <c r="N585" s="2">
        <v>96</v>
      </c>
      <c r="O585" s="2">
        <v>95.9</v>
      </c>
      <c r="P585" s="2">
        <f t="shared" si="53"/>
        <v>9.9999999999994316E-2</v>
      </c>
      <c r="Q585">
        <v>0.3</v>
      </c>
    </row>
    <row r="586" spans="1:17">
      <c r="A586" t="s">
        <v>4</v>
      </c>
      <c r="B586" t="s">
        <v>27</v>
      </c>
      <c r="C586">
        <v>55</v>
      </c>
      <c r="D586">
        <v>27</v>
      </c>
      <c r="E586" s="1">
        <f t="shared" si="54"/>
        <v>0.67073170731707321</v>
      </c>
      <c r="F586" s="2">
        <v>101.7</v>
      </c>
      <c r="G586" s="2">
        <v>95.9</v>
      </c>
      <c r="H586" s="2">
        <f t="shared" si="55"/>
        <v>5.7999999999999972</v>
      </c>
      <c r="I586" s="1">
        <f t="shared" si="56"/>
        <v>0.69468161097182612</v>
      </c>
      <c r="J586" s="2">
        <v>104.2</v>
      </c>
      <c r="K586" s="2">
        <v>98.5</v>
      </c>
      <c r="L586" s="2">
        <f t="shared" si="57"/>
        <v>5.7000000000000028</v>
      </c>
      <c r="M586" s="1">
        <f t="shared" si="58"/>
        <v>-2.3949903654752913E-2</v>
      </c>
      <c r="N586" s="2">
        <v>94</v>
      </c>
      <c r="O586" s="2">
        <v>84.6</v>
      </c>
      <c r="P586" s="2">
        <f t="shared" ref="P586:P649" si="59">+N586-O586</f>
        <v>9.4000000000000057</v>
      </c>
      <c r="Q586">
        <v>1.4</v>
      </c>
    </row>
    <row r="587" spans="1:17">
      <c r="A587" t="s">
        <v>41</v>
      </c>
      <c r="B587" t="s">
        <v>14</v>
      </c>
      <c r="C587">
        <v>34</v>
      </c>
      <c r="D587">
        <v>48</v>
      </c>
      <c r="E587" s="1">
        <f t="shared" si="54"/>
        <v>0.41463414634146339</v>
      </c>
      <c r="F587" s="2">
        <v>90.1</v>
      </c>
      <c r="G587" s="2">
        <v>91.7</v>
      </c>
      <c r="H587" s="2">
        <f t="shared" si="55"/>
        <v>-1.6000000000000085</v>
      </c>
      <c r="I587" s="1">
        <f t="shared" si="56"/>
        <v>0.43870214445209316</v>
      </c>
      <c r="J587" s="2">
        <v>100.4</v>
      </c>
      <c r="K587" s="2">
        <v>102.1</v>
      </c>
      <c r="L587" s="2">
        <f t="shared" si="57"/>
        <v>-1.6999999999999886</v>
      </c>
      <c r="M587" s="1">
        <f t="shared" si="58"/>
        <v>-2.4067998110629762E-2</v>
      </c>
      <c r="N587" s="2">
        <v>97.2</v>
      </c>
      <c r="O587" s="2">
        <v>100.5</v>
      </c>
      <c r="P587" s="2">
        <f t="shared" si="59"/>
        <v>-3.2999999999999972</v>
      </c>
      <c r="Q587">
        <v>0.4</v>
      </c>
    </row>
    <row r="588" spans="1:17">
      <c r="A588" t="s">
        <v>50</v>
      </c>
      <c r="B588" t="s">
        <v>23</v>
      </c>
      <c r="C588">
        <v>20</v>
      </c>
      <c r="D588">
        <v>62</v>
      </c>
      <c r="E588" s="1">
        <f t="shared" si="54"/>
        <v>0.24390243902439024</v>
      </c>
      <c r="F588" s="2">
        <v>94.1</v>
      </c>
      <c r="G588" s="2">
        <v>101.1</v>
      </c>
      <c r="H588" s="2">
        <f t="shared" si="55"/>
        <v>-7</v>
      </c>
      <c r="I588" s="1">
        <f t="shared" si="56"/>
        <v>0.26805187630664556</v>
      </c>
      <c r="J588" s="2">
        <v>100.9</v>
      </c>
      <c r="K588" s="2">
        <v>108.4</v>
      </c>
      <c r="L588" s="2">
        <f t="shared" si="57"/>
        <v>-7.5</v>
      </c>
      <c r="M588" s="1">
        <f t="shared" si="58"/>
        <v>-2.4149437282255326E-2</v>
      </c>
      <c r="N588" s="2">
        <v>92.7</v>
      </c>
      <c r="O588" s="2">
        <v>110.1</v>
      </c>
      <c r="P588" s="2">
        <f t="shared" si="59"/>
        <v>-17.399999999999991</v>
      </c>
      <c r="Q588">
        <v>-1.4</v>
      </c>
    </row>
    <row r="589" spans="1:17">
      <c r="A589" t="s">
        <v>65</v>
      </c>
      <c r="B589" t="s">
        <v>27</v>
      </c>
      <c r="C589">
        <v>40</v>
      </c>
      <c r="D589">
        <v>42</v>
      </c>
      <c r="E589" s="1">
        <f t="shared" si="54"/>
        <v>0.48780487804878048</v>
      </c>
      <c r="F589" s="2">
        <v>115.7</v>
      </c>
      <c r="G589" s="2">
        <v>115.3</v>
      </c>
      <c r="H589" s="2">
        <f t="shared" si="55"/>
        <v>0.40000000000000568</v>
      </c>
      <c r="I589" s="1">
        <f t="shared" si="56"/>
        <v>0.51211885026131998</v>
      </c>
      <c r="J589" s="2">
        <v>115.9</v>
      </c>
      <c r="K589" s="2">
        <v>115.3</v>
      </c>
      <c r="L589" s="2">
        <f t="shared" si="57"/>
        <v>0.60000000000000853</v>
      </c>
      <c r="M589" s="1">
        <f t="shared" si="58"/>
        <v>-2.4313972212539503E-2</v>
      </c>
      <c r="N589" s="2">
        <v>114.8</v>
      </c>
      <c r="O589" s="2">
        <v>108.2</v>
      </c>
      <c r="P589" s="2">
        <f t="shared" si="59"/>
        <v>6.5999999999999943</v>
      </c>
      <c r="Q589">
        <v>0.2</v>
      </c>
    </row>
    <row r="590" spans="1:17">
      <c r="A590" t="s">
        <v>45</v>
      </c>
      <c r="B590" t="s">
        <v>26</v>
      </c>
      <c r="C590">
        <v>54</v>
      </c>
      <c r="D590">
        <v>28</v>
      </c>
      <c r="E590" s="1">
        <f t="shared" si="54"/>
        <v>0.65853658536585369</v>
      </c>
      <c r="F590" s="2">
        <v>99.4</v>
      </c>
      <c r="G590" s="2">
        <v>94.1</v>
      </c>
      <c r="H590" s="2">
        <f t="shared" si="55"/>
        <v>5.3000000000000114</v>
      </c>
      <c r="I590" s="1">
        <f t="shared" si="56"/>
        <v>0.68289690002087911</v>
      </c>
      <c r="J590" s="2">
        <v>112.1</v>
      </c>
      <c r="K590" s="2">
        <v>106.1</v>
      </c>
      <c r="L590" s="2">
        <f t="shared" si="57"/>
        <v>6</v>
      </c>
      <c r="M590" s="1">
        <f t="shared" si="58"/>
        <v>-2.4360314655025417E-2</v>
      </c>
      <c r="N590" s="2">
        <v>104</v>
      </c>
      <c r="O590" s="2">
        <v>97.8</v>
      </c>
      <c r="P590" s="2">
        <f t="shared" si="59"/>
        <v>6.2000000000000028</v>
      </c>
      <c r="Q590">
        <v>2.5</v>
      </c>
    </row>
    <row r="591" spans="1:17">
      <c r="A591" t="s">
        <v>62</v>
      </c>
      <c r="B591" t="s">
        <v>13</v>
      </c>
      <c r="C591">
        <v>53</v>
      </c>
      <c r="D591">
        <v>29</v>
      </c>
      <c r="E591" s="1">
        <f t="shared" si="54"/>
        <v>0.64634146341463417</v>
      </c>
      <c r="F591" s="2">
        <v>111</v>
      </c>
      <c r="G591" s="2">
        <v>105.5</v>
      </c>
      <c r="H591" s="2">
        <f t="shared" si="55"/>
        <v>5.5</v>
      </c>
      <c r="I591" s="1">
        <f t="shared" si="56"/>
        <v>0.67072577928625987</v>
      </c>
      <c r="J591" s="2">
        <v>112.1</v>
      </c>
      <c r="K591" s="2">
        <v>106.6</v>
      </c>
      <c r="L591" s="2">
        <f t="shared" si="57"/>
        <v>5.5</v>
      </c>
      <c r="M591" s="1">
        <f t="shared" si="58"/>
        <v>-2.4384315871625706E-2</v>
      </c>
      <c r="N591" s="2">
        <v>101.7</v>
      </c>
      <c r="O591" s="2">
        <v>99</v>
      </c>
      <c r="P591" s="2">
        <f t="shared" si="59"/>
        <v>2.7000000000000028</v>
      </c>
      <c r="Q591">
        <v>1.3</v>
      </c>
    </row>
    <row r="592" spans="1:17">
      <c r="A592" t="s">
        <v>45</v>
      </c>
      <c r="B592" t="s">
        <v>15</v>
      </c>
      <c r="C592">
        <v>36</v>
      </c>
      <c r="D592">
        <v>46</v>
      </c>
      <c r="E592" s="1">
        <f t="shared" si="54"/>
        <v>0.43902439024390244</v>
      </c>
      <c r="F592" s="2">
        <v>105.1</v>
      </c>
      <c r="G592" s="2">
        <v>106.2</v>
      </c>
      <c r="H592" s="2">
        <f t="shared" si="55"/>
        <v>-1.1000000000000085</v>
      </c>
      <c r="I592" s="1">
        <f t="shared" si="56"/>
        <v>0.46362297938992397</v>
      </c>
      <c r="J592" s="2">
        <v>107.2</v>
      </c>
      <c r="K592" s="2">
        <v>108.2</v>
      </c>
      <c r="L592" s="2">
        <f t="shared" si="57"/>
        <v>-1</v>
      </c>
      <c r="M592" s="1">
        <f t="shared" si="58"/>
        <v>-2.4598589146021532E-2</v>
      </c>
      <c r="N592" s="2">
        <v>102.7</v>
      </c>
      <c r="O592" s="2">
        <v>106.5</v>
      </c>
      <c r="P592" s="2">
        <f t="shared" si="59"/>
        <v>-3.7999999999999972</v>
      </c>
      <c r="Q592">
        <v>-0.6</v>
      </c>
    </row>
    <row r="593" spans="1:17">
      <c r="A593" t="s">
        <v>45</v>
      </c>
      <c r="B593" t="s">
        <v>40</v>
      </c>
      <c r="C593">
        <v>35</v>
      </c>
      <c r="D593">
        <v>47</v>
      </c>
      <c r="E593" s="1">
        <f t="shared" si="54"/>
        <v>0.42682926829268292</v>
      </c>
      <c r="F593" s="2">
        <v>93.6</v>
      </c>
      <c r="G593" s="2">
        <v>94.9</v>
      </c>
      <c r="H593" s="2">
        <f t="shared" si="55"/>
        <v>-1.3000000000000114</v>
      </c>
      <c r="I593" s="1">
        <f t="shared" si="56"/>
        <v>0.4518728353322306</v>
      </c>
      <c r="J593" s="2">
        <v>103.7</v>
      </c>
      <c r="K593" s="2">
        <v>105</v>
      </c>
      <c r="L593" s="2">
        <f t="shared" si="57"/>
        <v>-1.2999999999999972</v>
      </c>
      <c r="M593" s="1">
        <f t="shared" si="58"/>
        <v>-2.5043567039547687E-2</v>
      </c>
      <c r="N593" s="2">
        <v>97.8</v>
      </c>
      <c r="O593" s="2">
        <v>96.9</v>
      </c>
      <c r="P593" s="2">
        <f t="shared" si="59"/>
        <v>0.89999999999999147</v>
      </c>
      <c r="Q593">
        <v>-0.3</v>
      </c>
    </row>
    <row r="594" spans="1:17">
      <c r="A594" t="s">
        <v>58</v>
      </c>
      <c r="B594" t="s">
        <v>17</v>
      </c>
      <c r="C594">
        <v>35</v>
      </c>
      <c r="D594">
        <v>47</v>
      </c>
      <c r="E594" s="1">
        <f t="shared" si="54"/>
        <v>0.42682926829268292</v>
      </c>
      <c r="F594" s="2">
        <v>108.1</v>
      </c>
      <c r="G594" s="2">
        <v>109.6</v>
      </c>
      <c r="H594" s="2">
        <f t="shared" si="55"/>
        <v>-1.5</v>
      </c>
      <c r="I594" s="1">
        <f t="shared" si="56"/>
        <v>0.45191677770464023</v>
      </c>
      <c r="J594" s="2">
        <v>106</v>
      </c>
      <c r="K594" s="2">
        <v>107.3</v>
      </c>
      <c r="L594" s="2">
        <f t="shared" si="57"/>
        <v>-1.2999999999999972</v>
      </c>
      <c r="M594" s="1">
        <f t="shared" si="58"/>
        <v>-2.5087509411957309E-2</v>
      </c>
      <c r="N594" s="2">
        <v>99.7</v>
      </c>
      <c r="O594" s="2">
        <v>105.8</v>
      </c>
      <c r="P594" s="2">
        <f t="shared" si="59"/>
        <v>-6.0999999999999943</v>
      </c>
      <c r="Q594">
        <v>-0.4</v>
      </c>
    </row>
    <row r="595" spans="1:17">
      <c r="A595" t="s">
        <v>66</v>
      </c>
      <c r="B595" t="s">
        <v>15</v>
      </c>
      <c r="C595">
        <v>15</v>
      </c>
      <c r="D595">
        <v>48</v>
      </c>
      <c r="E595" s="1">
        <f t="shared" si="54"/>
        <v>0.23809523809523808</v>
      </c>
      <c r="F595" s="2">
        <v>111.4</v>
      </c>
      <c r="G595" s="2">
        <v>119.9</v>
      </c>
      <c r="H595" s="2">
        <f t="shared" si="55"/>
        <v>-8.5</v>
      </c>
      <c r="I595" s="1">
        <f t="shared" si="56"/>
        <v>0.26319457048820816</v>
      </c>
      <c r="J595" s="2">
        <v>108.7</v>
      </c>
      <c r="K595" s="2">
        <v>117</v>
      </c>
      <c r="L595" s="2">
        <f t="shared" si="57"/>
        <v>-8.2999999999999972</v>
      </c>
      <c r="M595" s="1">
        <f t="shared" si="58"/>
        <v>-2.5099332392970075E-2</v>
      </c>
      <c r="N595" s="2">
        <v>97.6</v>
      </c>
      <c r="O595" s="2">
        <v>107</v>
      </c>
      <c r="P595" s="2">
        <f t="shared" si="59"/>
        <v>-9.4000000000000057</v>
      </c>
      <c r="Q595" s="2">
        <v>-1</v>
      </c>
    </row>
    <row r="596" spans="1:17">
      <c r="A596" t="s">
        <v>45</v>
      </c>
      <c r="B596" t="s">
        <v>22</v>
      </c>
      <c r="C596">
        <v>32</v>
      </c>
      <c r="D596">
        <v>50</v>
      </c>
      <c r="E596" s="1">
        <f t="shared" si="54"/>
        <v>0.3902439024390244</v>
      </c>
      <c r="F596" s="2">
        <v>105.2</v>
      </c>
      <c r="G596" s="2">
        <v>107.8</v>
      </c>
      <c r="H596" s="2">
        <f t="shared" si="55"/>
        <v>-2.5999999999999943</v>
      </c>
      <c r="I596" s="1">
        <f t="shared" si="56"/>
        <v>0.41537205557839157</v>
      </c>
      <c r="J596" s="2">
        <v>107</v>
      </c>
      <c r="K596" s="2">
        <v>109.4</v>
      </c>
      <c r="L596" s="2">
        <f t="shared" si="57"/>
        <v>-2.4000000000000057</v>
      </c>
      <c r="M596" s="1">
        <f t="shared" si="58"/>
        <v>-2.5128153139367171E-2</v>
      </c>
      <c r="N596" s="2">
        <v>104.4</v>
      </c>
      <c r="O596" s="2">
        <v>116.8</v>
      </c>
      <c r="P596" s="2">
        <f t="shared" si="59"/>
        <v>-12.399999999999991</v>
      </c>
      <c r="Q596">
        <v>-1.3</v>
      </c>
    </row>
    <row r="597" spans="1:17">
      <c r="A597" t="s">
        <v>36</v>
      </c>
      <c r="B597" t="s">
        <v>16</v>
      </c>
      <c r="C597">
        <v>27</v>
      </c>
      <c r="D597">
        <v>55</v>
      </c>
      <c r="E597" s="1">
        <f t="shared" si="54"/>
        <v>0.32926829268292684</v>
      </c>
      <c r="F597" s="2">
        <v>93.8</v>
      </c>
      <c r="G597" s="2">
        <v>97.9</v>
      </c>
      <c r="H597" s="2">
        <f t="shared" si="55"/>
        <v>-4.1000000000000085</v>
      </c>
      <c r="I597" s="1">
        <f t="shared" si="56"/>
        <v>0.3545853935949021</v>
      </c>
      <c r="J597" s="2">
        <v>101.1</v>
      </c>
      <c r="K597" s="2">
        <v>105.1</v>
      </c>
      <c r="L597" s="2">
        <f t="shared" si="57"/>
        <v>-4</v>
      </c>
      <c r="M597" s="1">
        <f t="shared" si="58"/>
        <v>-2.5317100911975254E-2</v>
      </c>
      <c r="N597" s="2">
        <v>94</v>
      </c>
      <c r="O597" s="2">
        <v>116.5</v>
      </c>
      <c r="P597" s="2">
        <f t="shared" si="59"/>
        <v>-22.5</v>
      </c>
      <c r="Q597">
        <v>-0.5</v>
      </c>
    </row>
    <row r="598" spans="1:17">
      <c r="A598" t="s">
        <v>54</v>
      </c>
      <c r="B598" t="s">
        <v>46</v>
      </c>
      <c r="C598">
        <v>45</v>
      </c>
      <c r="D598">
        <v>37</v>
      </c>
      <c r="E598" s="1">
        <f t="shared" si="54"/>
        <v>0.54878048780487809</v>
      </c>
      <c r="F598" s="2">
        <v>104</v>
      </c>
      <c r="G598" s="2">
        <v>101.8</v>
      </c>
      <c r="H598" s="2">
        <f t="shared" si="55"/>
        <v>2.2000000000000028</v>
      </c>
      <c r="I598" s="1">
        <f t="shared" si="56"/>
        <v>0.57427899793021731</v>
      </c>
      <c r="J598" s="2">
        <v>106.7</v>
      </c>
      <c r="K598" s="2">
        <v>104.6</v>
      </c>
      <c r="L598" s="2">
        <f t="shared" si="57"/>
        <v>2.1000000000000085</v>
      </c>
      <c r="M598" s="1">
        <f t="shared" si="58"/>
        <v>-2.5498510125339213E-2</v>
      </c>
      <c r="N598" s="2">
        <v>92.7</v>
      </c>
      <c r="O598" s="2">
        <v>94</v>
      </c>
      <c r="P598" s="2">
        <f t="shared" si="59"/>
        <v>-1.2999999999999972</v>
      </c>
      <c r="Q598">
        <v>-0.5</v>
      </c>
    </row>
    <row r="599" spans="1:17">
      <c r="A599" t="s">
        <v>66</v>
      </c>
      <c r="B599" t="s">
        <v>13</v>
      </c>
      <c r="C599">
        <v>32</v>
      </c>
      <c r="D599">
        <v>31</v>
      </c>
      <c r="E599" s="1">
        <f t="shared" si="54"/>
        <v>0.50793650793650791</v>
      </c>
      <c r="F599" s="2">
        <v>115</v>
      </c>
      <c r="G599" s="2">
        <v>113.9</v>
      </c>
      <c r="H599" s="2">
        <f t="shared" si="55"/>
        <v>1.0999999999999943</v>
      </c>
      <c r="I599" s="1">
        <f t="shared" si="56"/>
        <v>0.53358873886110747</v>
      </c>
      <c r="J599" s="2">
        <v>114.1</v>
      </c>
      <c r="K599" s="2">
        <v>112.9</v>
      </c>
      <c r="L599" s="2">
        <f t="shared" si="57"/>
        <v>1.1999999999999886</v>
      </c>
      <c r="M599" s="1">
        <f t="shared" si="58"/>
        <v>-2.5652230924599562E-2</v>
      </c>
      <c r="N599" s="2">
        <v>118.2</v>
      </c>
      <c r="O599" s="2">
        <v>123.4</v>
      </c>
      <c r="P599" s="2">
        <f t="shared" si="59"/>
        <v>-5.2000000000000028</v>
      </c>
      <c r="Q599" s="2">
        <v>1</v>
      </c>
    </row>
    <row r="600" spans="1:17">
      <c r="A600" t="s">
        <v>60</v>
      </c>
      <c r="B600" t="s">
        <v>6</v>
      </c>
      <c r="C600">
        <v>48</v>
      </c>
      <c r="D600">
        <v>24</v>
      </c>
      <c r="E600" s="1">
        <f t="shared" si="54"/>
        <v>0.66666666666666663</v>
      </c>
      <c r="F600" s="2">
        <v>113.7</v>
      </c>
      <c r="G600" s="2">
        <v>107.3</v>
      </c>
      <c r="H600" s="2">
        <f t="shared" si="55"/>
        <v>6.4000000000000057</v>
      </c>
      <c r="I600" s="1">
        <f t="shared" si="56"/>
        <v>0.69234098586672488</v>
      </c>
      <c r="J600" s="2">
        <v>112.8</v>
      </c>
      <c r="K600" s="2">
        <v>106.5</v>
      </c>
      <c r="L600" s="2">
        <f t="shared" si="57"/>
        <v>6.2999999999999972</v>
      </c>
      <c r="M600" s="1">
        <f t="shared" si="58"/>
        <v>-2.5674319200058249E-2</v>
      </c>
      <c r="N600" s="2">
        <v>114.7</v>
      </c>
      <c r="O600" s="2">
        <v>111.2</v>
      </c>
      <c r="P600" s="2">
        <f t="shared" si="59"/>
        <v>3.5</v>
      </c>
      <c r="Q600">
        <v>0.6</v>
      </c>
    </row>
    <row r="601" spans="1:17">
      <c r="A601" t="s">
        <v>58</v>
      </c>
      <c r="B601" t="s">
        <v>28</v>
      </c>
      <c r="C601">
        <v>47</v>
      </c>
      <c r="D601">
        <v>35</v>
      </c>
      <c r="E601" s="1">
        <f t="shared" si="54"/>
        <v>0.57317073170731703</v>
      </c>
      <c r="F601" s="2">
        <v>102.7</v>
      </c>
      <c r="G601" s="2">
        <v>99.8</v>
      </c>
      <c r="H601" s="2">
        <f t="shared" si="55"/>
        <v>2.9000000000000057</v>
      </c>
      <c r="I601" s="1">
        <f t="shared" si="56"/>
        <v>0.59893151729191718</v>
      </c>
      <c r="J601" s="2">
        <v>107.1</v>
      </c>
      <c r="K601" s="2">
        <v>104.1</v>
      </c>
      <c r="L601" s="2">
        <f t="shared" si="57"/>
        <v>3</v>
      </c>
      <c r="M601" s="1">
        <f t="shared" si="58"/>
        <v>-2.5760785584600154E-2</v>
      </c>
      <c r="N601" s="2">
        <v>106.8</v>
      </c>
      <c r="O601" s="2">
        <v>104.6</v>
      </c>
      <c r="P601" s="2">
        <f t="shared" si="59"/>
        <v>2.2000000000000028</v>
      </c>
      <c r="Q601">
        <v>1.3</v>
      </c>
    </row>
    <row r="602" spans="1:17">
      <c r="A602" t="s">
        <v>54</v>
      </c>
      <c r="B602" t="s">
        <v>17</v>
      </c>
      <c r="C602">
        <v>21</v>
      </c>
      <c r="D602">
        <v>61</v>
      </c>
      <c r="E602" s="1">
        <f t="shared" si="54"/>
        <v>0.25609756097560976</v>
      </c>
      <c r="F602" s="2">
        <v>98.5</v>
      </c>
      <c r="G602" s="2">
        <v>105.3</v>
      </c>
      <c r="H602" s="2">
        <f t="shared" si="55"/>
        <v>-6.7999999999999972</v>
      </c>
      <c r="I602" s="1">
        <f t="shared" si="56"/>
        <v>0.28199317754915287</v>
      </c>
      <c r="J602" s="2">
        <v>102.3</v>
      </c>
      <c r="K602" s="2">
        <v>109.4</v>
      </c>
      <c r="L602" s="2">
        <f t="shared" si="57"/>
        <v>-7.1000000000000085</v>
      </c>
      <c r="M602" s="1">
        <f t="shared" si="58"/>
        <v>-2.5895616573543112E-2</v>
      </c>
      <c r="N602" s="2">
        <v>95.5</v>
      </c>
      <c r="O602" s="2">
        <v>109.8</v>
      </c>
      <c r="P602" s="2">
        <f t="shared" si="59"/>
        <v>-14.299999999999997</v>
      </c>
      <c r="Q602">
        <v>-0.5</v>
      </c>
    </row>
    <row r="603" spans="1:17">
      <c r="A603" t="s">
        <v>41</v>
      </c>
      <c r="B603" t="s">
        <v>20</v>
      </c>
      <c r="C603">
        <v>33</v>
      </c>
      <c r="D603">
        <v>49</v>
      </c>
      <c r="E603" s="1">
        <f t="shared" si="54"/>
        <v>0.40243902439024393</v>
      </c>
      <c r="F603" s="2">
        <v>91.7</v>
      </c>
      <c r="G603" s="2">
        <v>93.6</v>
      </c>
      <c r="H603" s="2">
        <f t="shared" si="55"/>
        <v>-1.8999999999999915</v>
      </c>
      <c r="I603" s="1">
        <f t="shared" si="56"/>
        <v>0.42871102935912059</v>
      </c>
      <c r="J603" s="2">
        <v>101.5</v>
      </c>
      <c r="K603" s="2">
        <v>103.5</v>
      </c>
      <c r="L603" s="2">
        <f t="shared" si="57"/>
        <v>-2</v>
      </c>
      <c r="M603" s="1">
        <f t="shared" si="58"/>
        <v>-2.6272004968876661E-2</v>
      </c>
      <c r="N603" s="2">
        <v>95.6</v>
      </c>
      <c r="O603" s="2">
        <v>110.1</v>
      </c>
      <c r="P603" s="2">
        <f t="shared" si="59"/>
        <v>-14.5</v>
      </c>
      <c r="Q603">
        <v>-1</v>
      </c>
    </row>
    <row r="604" spans="1:17">
      <c r="A604" t="s">
        <v>44</v>
      </c>
      <c r="B604" t="s">
        <v>24</v>
      </c>
      <c r="C604">
        <v>40</v>
      </c>
      <c r="D604">
        <v>42</v>
      </c>
      <c r="E604" s="1">
        <f t="shared" si="54"/>
        <v>0.48780487804878048</v>
      </c>
      <c r="F604" s="2">
        <v>96.6</v>
      </c>
      <c r="G604" s="2">
        <v>96.2</v>
      </c>
      <c r="H604" s="2">
        <f t="shared" si="55"/>
        <v>0.39999999999999147</v>
      </c>
      <c r="I604" s="1">
        <f t="shared" si="56"/>
        <v>0.51451875971750194</v>
      </c>
      <c r="J604" s="2">
        <v>105.1</v>
      </c>
      <c r="K604" s="2">
        <v>104.7</v>
      </c>
      <c r="L604" s="2">
        <f t="shared" si="57"/>
        <v>0.39999999999999147</v>
      </c>
      <c r="M604" s="1">
        <f t="shared" si="58"/>
        <v>-2.6713881668721462E-2</v>
      </c>
      <c r="N604" s="2">
        <v>102.2</v>
      </c>
      <c r="O604" s="2">
        <v>91.7</v>
      </c>
      <c r="P604" s="2">
        <f t="shared" si="59"/>
        <v>10.5</v>
      </c>
      <c r="Q604">
        <v>1.4</v>
      </c>
    </row>
    <row r="605" spans="1:17">
      <c r="A605" t="s">
        <v>54</v>
      </c>
      <c r="B605" t="s">
        <v>16</v>
      </c>
      <c r="C605">
        <v>56</v>
      </c>
      <c r="D605">
        <v>26</v>
      </c>
      <c r="E605" s="1">
        <f t="shared" si="54"/>
        <v>0.68292682926829273</v>
      </c>
      <c r="F605" s="2">
        <v>106.7</v>
      </c>
      <c r="G605" s="2">
        <v>100.1</v>
      </c>
      <c r="H605" s="2">
        <f t="shared" si="55"/>
        <v>6.6000000000000085</v>
      </c>
      <c r="I605" s="1">
        <f t="shared" si="56"/>
        <v>0.70969858528213514</v>
      </c>
      <c r="J605" s="2">
        <v>111.6</v>
      </c>
      <c r="K605" s="2">
        <v>104.7</v>
      </c>
      <c r="L605" s="2">
        <f t="shared" si="57"/>
        <v>6.8999999999999915</v>
      </c>
      <c r="M605" s="1">
        <f t="shared" si="58"/>
        <v>-2.6771756013842407E-2</v>
      </c>
      <c r="N605" s="2">
        <v>97.9</v>
      </c>
      <c r="O605" s="2">
        <v>91</v>
      </c>
      <c r="P605" s="2">
        <f t="shared" si="59"/>
        <v>6.9000000000000057</v>
      </c>
      <c r="Q605">
        <v>1.1000000000000001</v>
      </c>
    </row>
    <row r="606" spans="1:17">
      <c r="A606" t="s">
        <v>39</v>
      </c>
      <c r="B606" t="s">
        <v>26</v>
      </c>
      <c r="C606">
        <v>27</v>
      </c>
      <c r="D606">
        <v>55</v>
      </c>
      <c r="E606" s="1">
        <f t="shared" si="54"/>
        <v>0.32926829268292684</v>
      </c>
      <c r="F606" s="2">
        <v>92.9</v>
      </c>
      <c r="G606" s="2">
        <v>96.9</v>
      </c>
      <c r="H606" s="2">
        <f t="shared" si="55"/>
        <v>-4</v>
      </c>
      <c r="I606" s="1">
        <f t="shared" si="56"/>
        <v>0.35659304496257005</v>
      </c>
      <c r="J606" s="2">
        <v>101.9</v>
      </c>
      <c r="K606" s="2">
        <v>106.1</v>
      </c>
      <c r="L606" s="2">
        <f t="shared" si="57"/>
        <v>-4.1999999999999886</v>
      </c>
      <c r="M606" s="1">
        <f t="shared" si="58"/>
        <v>-2.7324752279643205E-2</v>
      </c>
      <c r="N606" s="2">
        <v>93.4</v>
      </c>
      <c r="O606" s="2">
        <v>107.3</v>
      </c>
      <c r="P606" s="2">
        <f t="shared" si="59"/>
        <v>-13.899999999999991</v>
      </c>
      <c r="Q606">
        <v>-0.3</v>
      </c>
    </row>
    <row r="607" spans="1:17">
      <c r="A607" t="s">
        <v>39</v>
      </c>
      <c r="B607" t="s">
        <v>14</v>
      </c>
      <c r="C607">
        <v>51</v>
      </c>
      <c r="D607">
        <v>31</v>
      </c>
      <c r="E607" s="1">
        <f t="shared" si="54"/>
        <v>0.62195121951219512</v>
      </c>
      <c r="F607" s="2">
        <v>95.1</v>
      </c>
      <c r="G607" s="2">
        <v>91</v>
      </c>
      <c r="H607" s="2">
        <f t="shared" si="55"/>
        <v>4.0999999999999943</v>
      </c>
      <c r="I607" s="1">
        <f t="shared" si="56"/>
        <v>0.64952967421468588</v>
      </c>
      <c r="J607" s="2">
        <v>104.4</v>
      </c>
      <c r="K607" s="2">
        <v>100.1</v>
      </c>
      <c r="L607" s="2">
        <f t="shared" si="57"/>
        <v>4.3000000000000114</v>
      </c>
      <c r="M607" s="1">
        <f t="shared" si="58"/>
        <v>-2.7578454702490762E-2</v>
      </c>
      <c r="N607" s="2">
        <v>95.7</v>
      </c>
      <c r="O607" s="2">
        <v>104.7</v>
      </c>
      <c r="P607" s="2">
        <f t="shared" si="59"/>
        <v>-9</v>
      </c>
      <c r="Q607">
        <v>0.4</v>
      </c>
    </row>
    <row r="608" spans="1:17">
      <c r="A608" t="s">
        <v>59</v>
      </c>
      <c r="B608" t="s">
        <v>22</v>
      </c>
      <c r="C608">
        <v>17</v>
      </c>
      <c r="D608">
        <v>65</v>
      </c>
      <c r="E608" s="1">
        <f t="shared" si="54"/>
        <v>0.2073170731707317</v>
      </c>
      <c r="F608" s="2">
        <v>104.6</v>
      </c>
      <c r="G608" s="2">
        <v>113.8</v>
      </c>
      <c r="H608" s="2">
        <f t="shared" si="55"/>
        <v>-9.2000000000000028</v>
      </c>
      <c r="I608" s="1">
        <f t="shared" si="56"/>
        <v>0.23501882994446718</v>
      </c>
      <c r="J608" s="2">
        <v>104</v>
      </c>
      <c r="K608" s="2">
        <v>112.9</v>
      </c>
      <c r="L608" s="2">
        <f t="shared" si="57"/>
        <v>-8.9000000000000057</v>
      </c>
      <c r="M608" s="1">
        <f t="shared" si="58"/>
        <v>-2.7701756773735486E-2</v>
      </c>
      <c r="N608" s="2">
        <v>103</v>
      </c>
      <c r="O608" s="2">
        <v>110.8</v>
      </c>
      <c r="P608" s="2">
        <f t="shared" si="59"/>
        <v>-7.7999999999999972</v>
      </c>
      <c r="Q608">
        <v>-1.1000000000000001</v>
      </c>
    </row>
    <row r="609" spans="1:17">
      <c r="A609" t="s">
        <v>55</v>
      </c>
      <c r="B609" t="s">
        <v>20</v>
      </c>
      <c r="C609">
        <v>29</v>
      </c>
      <c r="D609">
        <v>53</v>
      </c>
      <c r="E609" s="1">
        <f t="shared" si="54"/>
        <v>0.35365853658536583</v>
      </c>
      <c r="F609" s="2">
        <v>102.4</v>
      </c>
      <c r="G609" s="2">
        <v>106</v>
      </c>
      <c r="H609" s="2">
        <f t="shared" si="55"/>
        <v>-3.5999999999999943</v>
      </c>
      <c r="I609" s="1">
        <f t="shared" si="56"/>
        <v>0.38137093948309719</v>
      </c>
      <c r="J609" s="2">
        <v>105.4</v>
      </c>
      <c r="K609" s="2">
        <v>109</v>
      </c>
      <c r="L609" s="2">
        <f t="shared" si="57"/>
        <v>-3.5999999999999943</v>
      </c>
      <c r="M609" s="1">
        <f t="shared" si="58"/>
        <v>-2.7712402897731359E-2</v>
      </c>
      <c r="N609" s="2">
        <v>98.6</v>
      </c>
      <c r="O609" s="2">
        <v>102.2</v>
      </c>
      <c r="P609" s="2">
        <f t="shared" si="59"/>
        <v>-3.6000000000000085</v>
      </c>
      <c r="Q609">
        <v>0.1</v>
      </c>
    </row>
    <row r="610" spans="1:17">
      <c r="A610" t="s">
        <v>61</v>
      </c>
      <c r="B610" t="s">
        <v>15</v>
      </c>
      <c r="C610">
        <v>34</v>
      </c>
      <c r="D610">
        <v>38</v>
      </c>
      <c r="E610" s="1">
        <f t="shared" si="54"/>
        <v>0.47222222222222221</v>
      </c>
      <c r="F610" s="2">
        <v>115.3</v>
      </c>
      <c r="G610" s="2">
        <v>115.3</v>
      </c>
      <c r="H610" s="2">
        <f t="shared" si="55"/>
        <v>0</v>
      </c>
      <c r="I610" s="1">
        <f t="shared" si="56"/>
        <v>0.5</v>
      </c>
      <c r="J610" s="2">
        <v>111.9</v>
      </c>
      <c r="K610" s="2">
        <v>111.9</v>
      </c>
      <c r="L610" s="2">
        <f t="shared" si="57"/>
        <v>0</v>
      </c>
      <c r="M610" s="1">
        <f t="shared" si="58"/>
        <v>-2.777777777777779E-2</v>
      </c>
      <c r="N610" s="2">
        <v>101.1</v>
      </c>
      <c r="O610" s="2">
        <v>102.9</v>
      </c>
      <c r="P610" s="2">
        <f t="shared" si="59"/>
        <v>-1.8000000000000114</v>
      </c>
      <c r="Q610">
        <v>-0.2</v>
      </c>
    </row>
    <row r="611" spans="1:17">
      <c r="A611" t="s">
        <v>57</v>
      </c>
      <c r="B611" t="s">
        <v>11</v>
      </c>
      <c r="C611">
        <v>40</v>
      </c>
      <c r="D611">
        <v>42</v>
      </c>
      <c r="E611" s="1">
        <f t="shared" si="54"/>
        <v>0.48780487804878048</v>
      </c>
      <c r="F611" s="2">
        <v>111.7</v>
      </c>
      <c r="G611" s="2">
        <v>111.2</v>
      </c>
      <c r="H611" s="2">
        <f t="shared" si="55"/>
        <v>0.5</v>
      </c>
      <c r="I611" s="1">
        <f t="shared" si="56"/>
        <v>0.51569697497834144</v>
      </c>
      <c r="J611" s="2">
        <v>112.2</v>
      </c>
      <c r="K611" s="2">
        <v>111.7</v>
      </c>
      <c r="L611" s="2">
        <f t="shared" si="57"/>
        <v>0.5</v>
      </c>
      <c r="M611" s="1">
        <f t="shared" si="58"/>
        <v>-2.7892096929560961E-2</v>
      </c>
      <c r="N611" s="2">
        <v>97.2</v>
      </c>
      <c r="O611" s="2">
        <v>105.3</v>
      </c>
      <c r="P611" s="2">
        <f t="shared" si="59"/>
        <v>-8.0999999999999943</v>
      </c>
      <c r="Q611">
        <v>-1</v>
      </c>
    </row>
    <row r="612" spans="1:17">
      <c r="A612" t="s">
        <v>58</v>
      </c>
      <c r="B612" t="s">
        <v>46</v>
      </c>
      <c r="C612">
        <v>48</v>
      </c>
      <c r="D612">
        <v>34</v>
      </c>
      <c r="E612" s="1">
        <f t="shared" si="54"/>
        <v>0.58536585365853655</v>
      </c>
      <c r="F612" s="2">
        <v>107.9</v>
      </c>
      <c r="G612" s="2">
        <v>104.4</v>
      </c>
      <c r="H612" s="2">
        <f t="shared" si="55"/>
        <v>3.5</v>
      </c>
      <c r="I612" s="1">
        <f t="shared" si="56"/>
        <v>0.61340618235435873</v>
      </c>
      <c r="J612" s="2">
        <v>110.1</v>
      </c>
      <c r="K612" s="2">
        <v>106.4</v>
      </c>
      <c r="L612" s="2">
        <f t="shared" si="57"/>
        <v>3.6999999999999886</v>
      </c>
      <c r="M612" s="1">
        <f t="shared" si="58"/>
        <v>-2.8040328695822181E-2</v>
      </c>
      <c r="N612" s="2">
        <v>104.5</v>
      </c>
      <c r="O612" s="2">
        <v>107.2</v>
      </c>
      <c r="P612" s="2">
        <f t="shared" si="59"/>
        <v>-2.7000000000000028</v>
      </c>
      <c r="Q612">
        <v>1.5</v>
      </c>
    </row>
    <row r="613" spans="1:17">
      <c r="A613" t="s">
        <v>66</v>
      </c>
      <c r="B613" t="s">
        <v>14</v>
      </c>
      <c r="C613">
        <v>39</v>
      </c>
      <c r="D613">
        <v>23</v>
      </c>
      <c r="E613" s="1">
        <f t="shared" si="54"/>
        <v>0.62903225806451613</v>
      </c>
      <c r="F613" s="2">
        <v>114.5</v>
      </c>
      <c r="G613" s="2">
        <v>109.3</v>
      </c>
      <c r="H613" s="2">
        <f t="shared" si="55"/>
        <v>5.2000000000000028</v>
      </c>
      <c r="I613" s="1">
        <f t="shared" si="56"/>
        <v>0.65716773573957665</v>
      </c>
      <c r="J613" s="2">
        <v>116.8</v>
      </c>
      <c r="K613" s="2">
        <v>111.6</v>
      </c>
      <c r="L613" s="2">
        <f t="shared" si="57"/>
        <v>5.2000000000000028</v>
      </c>
      <c r="M613" s="1">
        <f t="shared" si="58"/>
        <v>-2.8135477675060527E-2</v>
      </c>
      <c r="N613" s="2">
        <v>114.4</v>
      </c>
      <c r="O613" s="2">
        <v>117.7</v>
      </c>
      <c r="P613" s="2">
        <f t="shared" si="59"/>
        <v>-3.2999999999999972</v>
      </c>
      <c r="Q613" s="2">
        <v>-0.3</v>
      </c>
    </row>
    <row r="614" spans="1:17">
      <c r="A614" t="s">
        <v>48</v>
      </c>
      <c r="B614" t="s">
        <v>30</v>
      </c>
      <c r="C614">
        <v>22</v>
      </c>
      <c r="D614">
        <v>60</v>
      </c>
      <c r="E614" s="1">
        <f t="shared" si="54"/>
        <v>0.26829268292682928</v>
      </c>
      <c r="F614" s="2">
        <v>99.1</v>
      </c>
      <c r="G614" s="2">
        <v>105.4</v>
      </c>
      <c r="H614" s="2">
        <f t="shared" si="55"/>
        <v>-6.3000000000000114</v>
      </c>
      <c r="I614" s="1">
        <f t="shared" si="56"/>
        <v>0.29674116981682536</v>
      </c>
      <c r="J614" s="2">
        <v>105.2</v>
      </c>
      <c r="K614" s="2">
        <v>111.7</v>
      </c>
      <c r="L614" s="2">
        <f t="shared" si="57"/>
        <v>-6.5</v>
      </c>
      <c r="M614" s="1">
        <f t="shared" si="58"/>
        <v>-2.8448486889996072E-2</v>
      </c>
      <c r="N614" s="2">
        <v>93.3</v>
      </c>
      <c r="O614" s="2">
        <v>113.2</v>
      </c>
      <c r="P614" s="2">
        <f t="shared" si="59"/>
        <v>-19.900000000000006</v>
      </c>
      <c r="Q614">
        <v>-1.7</v>
      </c>
    </row>
    <row r="615" spans="1:17">
      <c r="A615" t="s">
        <v>52</v>
      </c>
      <c r="B615" t="s">
        <v>30</v>
      </c>
      <c r="C615">
        <v>48</v>
      </c>
      <c r="D615">
        <v>34</v>
      </c>
      <c r="E615" s="1">
        <f t="shared" si="54"/>
        <v>0.58536585365853655</v>
      </c>
      <c r="F615" s="2">
        <v>101.3</v>
      </c>
      <c r="G615" s="2">
        <v>98</v>
      </c>
      <c r="H615" s="2">
        <f t="shared" si="55"/>
        <v>3.2999999999999972</v>
      </c>
      <c r="I615" s="1">
        <f t="shared" si="56"/>
        <v>0.6138832683846418</v>
      </c>
      <c r="J615" s="2">
        <v>107.9</v>
      </c>
      <c r="K615" s="2">
        <v>104.6</v>
      </c>
      <c r="L615" s="2">
        <f t="shared" si="57"/>
        <v>3.3000000000000114</v>
      </c>
      <c r="M615" s="1">
        <f t="shared" si="58"/>
        <v>-2.851741472610525E-2</v>
      </c>
      <c r="N615" s="2">
        <v>102.9</v>
      </c>
      <c r="O615" s="2">
        <v>95</v>
      </c>
      <c r="P615" s="2">
        <f t="shared" si="59"/>
        <v>7.9000000000000057</v>
      </c>
      <c r="Q615">
        <v>2.4</v>
      </c>
    </row>
    <row r="616" spans="1:17">
      <c r="A616" t="s">
        <v>47</v>
      </c>
      <c r="B616" t="s">
        <v>31</v>
      </c>
      <c r="C616">
        <v>53</v>
      </c>
      <c r="D616">
        <v>29</v>
      </c>
      <c r="E616" s="1">
        <f t="shared" si="54"/>
        <v>0.64634146341463417</v>
      </c>
      <c r="F616" s="2">
        <v>104.2</v>
      </c>
      <c r="G616" s="2">
        <v>98.9</v>
      </c>
      <c r="H616" s="2">
        <f t="shared" si="55"/>
        <v>5.2999999999999972</v>
      </c>
      <c r="I616" s="1">
        <f t="shared" si="56"/>
        <v>0.67498968076198662</v>
      </c>
      <c r="J616" s="2">
        <v>109.7</v>
      </c>
      <c r="K616" s="2">
        <v>104</v>
      </c>
      <c r="L616" s="2">
        <f t="shared" si="57"/>
        <v>5.7000000000000028</v>
      </c>
      <c r="M616" s="1">
        <f t="shared" si="58"/>
        <v>-2.8648217347352456E-2</v>
      </c>
      <c r="N616" s="2">
        <v>105.9</v>
      </c>
      <c r="O616" s="2">
        <v>110.6</v>
      </c>
      <c r="P616" s="2">
        <f t="shared" si="59"/>
        <v>-4.6999999999999886</v>
      </c>
      <c r="Q616">
        <v>1.5</v>
      </c>
    </row>
    <row r="617" spans="1:17">
      <c r="A617" t="s">
        <v>49</v>
      </c>
      <c r="B617" t="s">
        <v>33</v>
      </c>
      <c r="C617">
        <v>20</v>
      </c>
      <c r="D617">
        <v>46</v>
      </c>
      <c r="E617" s="1">
        <f t="shared" si="54"/>
        <v>0.30303030303030304</v>
      </c>
      <c r="F617" s="2">
        <v>93.6</v>
      </c>
      <c r="G617" s="2">
        <v>98.4</v>
      </c>
      <c r="H617" s="2">
        <f t="shared" si="55"/>
        <v>-4.8000000000000114</v>
      </c>
      <c r="I617" s="1">
        <f t="shared" si="56"/>
        <v>0.33177988336782011</v>
      </c>
      <c r="J617" s="2">
        <v>100</v>
      </c>
      <c r="K617" s="2">
        <v>104.9</v>
      </c>
      <c r="L617" s="2">
        <f t="shared" si="57"/>
        <v>-4.9000000000000057</v>
      </c>
      <c r="M617" s="1">
        <f t="shared" si="58"/>
        <v>-2.8749580337517067E-2</v>
      </c>
      <c r="N617" s="2">
        <v>90</v>
      </c>
      <c r="O617" s="2">
        <v>110.3</v>
      </c>
      <c r="P617" s="2">
        <f t="shared" si="59"/>
        <v>-20.299999999999997</v>
      </c>
      <c r="Q617">
        <v>-0.3</v>
      </c>
    </row>
    <row r="618" spans="1:17">
      <c r="A618" t="s">
        <v>49</v>
      </c>
      <c r="B618" t="s">
        <v>20</v>
      </c>
      <c r="C618">
        <v>26</v>
      </c>
      <c r="D618">
        <v>40</v>
      </c>
      <c r="E618" s="1">
        <f t="shared" si="54"/>
        <v>0.39393939393939392</v>
      </c>
      <c r="F618" s="2">
        <v>97.9</v>
      </c>
      <c r="G618" s="2">
        <v>100.1</v>
      </c>
      <c r="H618" s="2">
        <f t="shared" si="55"/>
        <v>-2.1999999999999886</v>
      </c>
      <c r="I618" s="1">
        <f t="shared" si="56"/>
        <v>0.42284042770166808</v>
      </c>
      <c r="J618" s="2">
        <v>103.1</v>
      </c>
      <c r="K618" s="2">
        <v>105.3</v>
      </c>
      <c r="L618" s="2">
        <f t="shared" si="57"/>
        <v>-2.2000000000000028</v>
      </c>
      <c r="M618" s="1">
        <f t="shared" si="58"/>
        <v>-2.8901033762274153E-2</v>
      </c>
      <c r="N618" s="2">
        <v>101</v>
      </c>
      <c r="O618" s="2">
        <v>104.2</v>
      </c>
      <c r="P618" s="2">
        <f t="shared" si="59"/>
        <v>-3.2000000000000028</v>
      </c>
      <c r="Q618">
        <v>0.2</v>
      </c>
    </row>
    <row r="619" spans="1:17">
      <c r="A619" t="s">
        <v>49</v>
      </c>
      <c r="B619" t="s">
        <v>30</v>
      </c>
      <c r="C619">
        <v>23</v>
      </c>
      <c r="D619">
        <v>43</v>
      </c>
      <c r="E619" s="1">
        <f t="shared" si="54"/>
        <v>0.34848484848484851</v>
      </c>
      <c r="F619" s="2">
        <v>90.7</v>
      </c>
      <c r="G619" s="2">
        <v>94</v>
      </c>
      <c r="H619" s="2">
        <f t="shared" si="55"/>
        <v>-3.2999999999999972</v>
      </c>
      <c r="I619" s="1">
        <f t="shared" si="56"/>
        <v>0.37746454187633971</v>
      </c>
      <c r="J619" s="2">
        <v>99.6</v>
      </c>
      <c r="K619" s="2">
        <v>103.6</v>
      </c>
      <c r="L619" s="2">
        <f t="shared" si="57"/>
        <v>-4</v>
      </c>
      <c r="M619" s="1">
        <f t="shared" si="58"/>
        <v>-2.8979693391491201E-2</v>
      </c>
      <c r="N619" s="2">
        <v>88.6</v>
      </c>
      <c r="O619" s="2">
        <v>114.7</v>
      </c>
      <c r="P619" s="2">
        <f t="shared" si="59"/>
        <v>-26.100000000000009</v>
      </c>
      <c r="Q619">
        <v>-1.4</v>
      </c>
    </row>
    <row r="620" spans="1:17">
      <c r="A620" t="s">
        <v>62</v>
      </c>
      <c r="B620" t="s">
        <v>53</v>
      </c>
      <c r="C620">
        <v>36</v>
      </c>
      <c r="D620">
        <v>46</v>
      </c>
      <c r="E620" s="1">
        <f t="shared" si="54"/>
        <v>0.43902439024390244</v>
      </c>
      <c r="F620" s="2">
        <v>109.3</v>
      </c>
      <c r="G620" s="2">
        <v>110.3</v>
      </c>
      <c r="H620" s="2">
        <f t="shared" si="55"/>
        <v>-1</v>
      </c>
      <c r="I620" s="1">
        <f t="shared" si="56"/>
        <v>0.46816675732183283</v>
      </c>
      <c r="J620" s="2">
        <v>111.2</v>
      </c>
      <c r="K620" s="2">
        <v>112</v>
      </c>
      <c r="L620" s="2">
        <f t="shared" si="57"/>
        <v>-0.79999999999999716</v>
      </c>
      <c r="M620" s="1">
        <f t="shared" si="58"/>
        <v>-2.9142367077930387E-2</v>
      </c>
      <c r="N620" s="2">
        <v>115.5</v>
      </c>
      <c r="O620" s="2">
        <v>120.3</v>
      </c>
      <c r="P620" s="2">
        <f t="shared" si="59"/>
        <v>-4.7999999999999972</v>
      </c>
      <c r="Q620">
        <v>0.3</v>
      </c>
    </row>
    <row r="621" spans="1:17">
      <c r="A621" t="s">
        <v>39</v>
      </c>
      <c r="B621" t="s">
        <v>19</v>
      </c>
      <c r="C621">
        <v>30</v>
      </c>
      <c r="D621">
        <v>52</v>
      </c>
      <c r="E621" s="1">
        <f t="shared" si="54"/>
        <v>0.36585365853658536</v>
      </c>
      <c r="F621" s="2">
        <v>97.2</v>
      </c>
      <c r="G621" s="2">
        <v>100.2</v>
      </c>
      <c r="H621" s="2">
        <f t="shared" si="55"/>
        <v>-3</v>
      </c>
      <c r="I621" s="1">
        <f t="shared" si="56"/>
        <v>0.3951859407291477</v>
      </c>
      <c r="J621" s="2">
        <v>105.1</v>
      </c>
      <c r="K621" s="2">
        <v>108.1</v>
      </c>
      <c r="L621" s="2">
        <f t="shared" si="57"/>
        <v>-3</v>
      </c>
      <c r="M621" s="1">
        <f t="shared" si="58"/>
        <v>-2.9332282192562342E-2</v>
      </c>
      <c r="N621" s="2">
        <v>105.2</v>
      </c>
      <c r="O621" s="2">
        <v>108.2</v>
      </c>
      <c r="P621" s="2">
        <f t="shared" si="59"/>
        <v>-3</v>
      </c>
      <c r="Q621">
        <v>-1.3</v>
      </c>
    </row>
    <row r="622" spans="1:17">
      <c r="A622" t="s">
        <v>34</v>
      </c>
      <c r="B622" t="s">
        <v>9</v>
      </c>
      <c r="C622">
        <v>29</v>
      </c>
      <c r="D622">
        <v>53</v>
      </c>
      <c r="E622" s="1">
        <f t="shared" si="54"/>
        <v>0.35365853658536583</v>
      </c>
      <c r="F622" s="2">
        <v>95.3</v>
      </c>
      <c r="G622" s="2">
        <v>98.6</v>
      </c>
      <c r="H622" s="2">
        <f t="shared" si="55"/>
        <v>-3.2999999999999972</v>
      </c>
      <c r="I622" s="1">
        <f t="shared" si="56"/>
        <v>0.38305995894836997</v>
      </c>
      <c r="J622" s="2">
        <v>103.4</v>
      </c>
      <c r="K622" s="2">
        <v>107</v>
      </c>
      <c r="L622" s="2">
        <f t="shared" si="57"/>
        <v>-3.5999999999999943</v>
      </c>
      <c r="M622" s="1">
        <f t="shared" si="58"/>
        <v>-2.9401422363004137E-2</v>
      </c>
      <c r="N622" s="2">
        <v>107.2</v>
      </c>
      <c r="O622" s="2">
        <v>99.7</v>
      </c>
      <c r="P622" s="2">
        <f t="shared" si="59"/>
        <v>7.5</v>
      </c>
      <c r="Q622">
        <v>-0.7</v>
      </c>
    </row>
    <row r="623" spans="1:17">
      <c r="A623" t="s">
        <v>45</v>
      </c>
      <c r="B623" t="s">
        <v>33</v>
      </c>
      <c r="C623">
        <v>19</v>
      </c>
      <c r="D623">
        <v>63</v>
      </c>
      <c r="E623" s="1">
        <f t="shared" si="54"/>
        <v>0.23170731707317074</v>
      </c>
      <c r="F623" s="2">
        <v>96.1</v>
      </c>
      <c r="G623" s="2">
        <v>103.5</v>
      </c>
      <c r="H623" s="2">
        <f t="shared" si="55"/>
        <v>-7.4000000000000057</v>
      </c>
      <c r="I623" s="1">
        <f t="shared" si="56"/>
        <v>0.26142945333120382</v>
      </c>
      <c r="J623" s="2">
        <v>104</v>
      </c>
      <c r="K623" s="2">
        <v>112.1</v>
      </c>
      <c r="L623" s="2">
        <f t="shared" si="57"/>
        <v>-8.0999999999999943</v>
      </c>
      <c r="M623" s="1">
        <f t="shared" si="58"/>
        <v>-2.9722136258033077E-2</v>
      </c>
      <c r="N623" s="2">
        <v>98.5</v>
      </c>
      <c r="O623" s="2">
        <v>118.7</v>
      </c>
      <c r="P623" s="2">
        <f t="shared" si="59"/>
        <v>-20.200000000000003</v>
      </c>
      <c r="Q623">
        <v>-1.6</v>
      </c>
    </row>
    <row r="624" spans="1:17">
      <c r="A624" t="s">
        <v>39</v>
      </c>
      <c r="B624" t="s">
        <v>31</v>
      </c>
      <c r="C624">
        <v>26</v>
      </c>
      <c r="D624">
        <v>56</v>
      </c>
      <c r="E624" s="1">
        <f t="shared" si="54"/>
        <v>0.31707317073170732</v>
      </c>
      <c r="F624" s="2">
        <v>93</v>
      </c>
      <c r="G624" s="2">
        <v>97.3</v>
      </c>
      <c r="H624" s="2">
        <f t="shared" si="55"/>
        <v>-4.2999999999999972</v>
      </c>
      <c r="I624" s="1">
        <f t="shared" si="56"/>
        <v>0.34687751612401035</v>
      </c>
      <c r="J624" s="2">
        <v>102.9</v>
      </c>
      <c r="K624" s="2">
        <v>107.3</v>
      </c>
      <c r="L624" s="2">
        <f t="shared" si="57"/>
        <v>-4.3999999999999915</v>
      </c>
      <c r="M624" s="1">
        <f t="shared" si="58"/>
        <v>-2.9804345392303033E-2</v>
      </c>
      <c r="N624" s="2">
        <v>98.8</v>
      </c>
      <c r="O624" s="2">
        <v>109.9</v>
      </c>
      <c r="P624" s="2">
        <f t="shared" si="59"/>
        <v>-11.100000000000009</v>
      </c>
      <c r="Q624">
        <v>-1.2</v>
      </c>
    </row>
    <row r="625" spans="1:17">
      <c r="A625" t="s">
        <v>34</v>
      </c>
      <c r="B625" t="s">
        <v>17</v>
      </c>
      <c r="C625">
        <v>58</v>
      </c>
      <c r="D625">
        <v>24</v>
      </c>
      <c r="E625" s="1">
        <f t="shared" si="54"/>
        <v>0.70731707317073167</v>
      </c>
      <c r="F625" s="2">
        <v>101.3</v>
      </c>
      <c r="G625" s="2">
        <v>94.1</v>
      </c>
      <c r="H625" s="2">
        <f t="shared" si="55"/>
        <v>7.2000000000000028</v>
      </c>
      <c r="I625" s="1">
        <f t="shared" si="56"/>
        <v>0.73734162874338682</v>
      </c>
      <c r="J625" s="2">
        <v>108</v>
      </c>
      <c r="K625" s="2">
        <v>100.4</v>
      </c>
      <c r="L625" s="2">
        <f t="shared" si="57"/>
        <v>7.5999999999999943</v>
      </c>
      <c r="M625" s="1">
        <f t="shared" si="58"/>
        <v>-3.0024555572655154E-2</v>
      </c>
      <c r="N625" s="2">
        <v>104.2</v>
      </c>
      <c r="O625" s="2">
        <v>94.6</v>
      </c>
      <c r="P625" s="2">
        <f t="shared" si="59"/>
        <v>9.6000000000000085</v>
      </c>
      <c r="Q625">
        <v>2.5</v>
      </c>
    </row>
    <row r="626" spans="1:17">
      <c r="A626" t="s">
        <v>47</v>
      </c>
      <c r="B626" t="s">
        <v>20</v>
      </c>
      <c r="C626">
        <v>15</v>
      </c>
      <c r="D626">
        <v>67</v>
      </c>
      <c r="E626" s="1">
        <f t="shared" si="54"/>
        <v>0.18292682926829268</v>
      </c>
      <c r="F626" s="2">
        <v>98.2</v>
      </c>
      <c r="G626" s="2">
        <v>107.8</v>
      </c>
      <c r="H626" s="2">
        <f t="shared" si="55"/>
        <v>-9.5999999999999943</v>
      </c>
      <c r="I626" s="1">
        <f t="shared" si="56"/>
        <v>0.21319047062273172</v>
      </c>
      <c r="J626" s="2">
        <v>100.6</v>
      </c>
      <c r="K626" s="2">
        <v>110.4</v>
      </c>
      <c r="L626" s="2">
        <f t="shared" si="57"/>
        <v>-9.8000000000000114</v>
      </c>
      <c r="M626" s="1">
        <f t="shared" si="58"/>
        <v>-3.0263641354439041E-2</v>
      </c>
      <c r="N626" s="2">
        <v>102.7</v>
      </c>
      <c r="O626" s="2">
        <v>108.9</v>
      </c>
      <c r="P626" s="2">
        <f t="shared" si="59"/>
        <v>-6.2000000000000028</v>
      </c>
      <c r="Q626">
        <v>0.3</v>
      </c>
    </row>
    <row r="627" spans="1:17">
      <c r="A627" t="s">
        <v>43</v>
      </c>
      <c r="B627" t="s">
        <v>9</v>
      </c>
      <c r="C627">
        <v>50</v>
      </c>
      <c r="D627">
        <v>32</v>
      </c>
      <c r="E627" s="1">
        <f t="shared" si="54"/>
        <v>0.6097560975609756</v>
      </c>
      <c r="F627" s="2">
        <v>96.8</v>
      </c>
      <c r="G627" s="2">
        <v>92.9</v>
      </c>
      <c r="H627" s="2">
        <f t="shared" si="55"/>
        <v>3.8999999999999915</v>
      </c>
      <c r="I627" s="1">
        <f t="shared" si="56"/>
        <v>0.64008356957082357</v>
      </c>
      <c r="J627" s="2">
        <v>104.4</v>
      </c>
      <c r="K627" s="2">
        <v>100.6</v>
      </c>
      <c r="L627" s="2">
        <f t="shared" si="57"/>
        <v>3.8000000000000114</v>
      </c>
      <c r="M627" s="1">
        <f t="shared" si="58"/>
        <v>-3.0327472009847978E-2</v>
      </c>
      <c r="N627" s="2">
        <v>105.4</v>
      </c>
      <c r="O627" s="2">
        <v>95.1</v>
      </c>
      <c r="P627" s="2">
        <f t="shared" si="59"/>
        <v>10.300000000000011</v>
      </c>
      <c r="Q627">
        <v>1.4</v>
      </c>
    </row>
    <row r="628" spans="1:17">
      <c r="A628" t="s">
        <v>61</v>
      </c>
      <c r="B628" t="s">
        <v>19</v>
      </c>
      <c r="C628">
        <v>46</v>
      </c>
      <c r="D628">
        <v>26</v>
      </c>
      <c r="E628" s="1">
        <f t="shared" si="54"/>
        <v>0.63888888888888884</v>
      </c>
      <c r="F628" s="2">
        <v>120.1</v>
      </c>
      <c r="G628" s="2">
        <v>114.2</v>
      </c>
      <c r="H628" s="2">
        <f t="shared" si="55"/>
        <v>5.8999999999999915</v>
      </c>
      <c r="I628" s="1">
        <f t="shared" si="56"/>
        <v>0.66934587633870324</v>
      </c>
      <c r="J628" s="2">
        <v>116.5</v>
      </c>
      <c r="K628" s="2">
        <v>110.7</v>
      </c>
      <c r="L628" s="2">
        <f t="shared" si="57"/>
        <v>5.7999999999999972</v>
      </c>
      <c r="M628" s="1">
        <f t="shared" si="58"/>
        <v>-3.0456987449814399E-2</v>
      </c>
      <c r="N628" s="2">
        <v>107</v>
      </c>
      <c r="O628" s="2">
        <v>105.5</v>
      </c>
      <c r="P628" s="2">
        <f t="shared" si="59"/>
        <v>1.5</v>
      </c>
      <c r="Q628">
        <v>-0.2</v>
      </c>
    </row>
    <row r="629" spans="1:17">
      <c r="A629" t="s">
        <v>44</v>
      </c>
      <c r="B629" t="s">
        <v>17</v>
      </c>
      <c r="C629">
        <v>57</v>
      </c>
      <c r="D629">
        <v>25</v>
      </c>
      <c r="E629" s="1">
        <f t="shared" si="54"/>
        <v>0.69512195121951215</v>
      </c>
      <c r="F629" s="2">
        <v>108.6</v>
      </c>
      <c r="G629" s="2">
        <v>101.3</v>
      </c>
      <c r="H629" s="2">
        <f t="shared" si="55"/>
        <v>7.2999999999999972</v>
      </c>
      <c r="I629" s="1">
        <f t="shared" si="56"/>
        <v>0.72595385497038523</v>
      </c>
      <c r="J629" s="2">
        <v>111.7</v>
      </c>
      <c r="K629" s="2">
        <v>104.3</v>
      </c>
      <c r="L629" s="2">
        <f t="shared" si="57"/>
        <v>7.4000000000000057</v>
      </c>
      <c r="M629" s="1">
        <f t="shared" si="58"/>
        <v>-3.083190375087308E-2</v>
      </c>
      <c r="N629" s="2">
        <v>104.6</v>
      </c>
      <c r="O629" s="2">
        <v>102.1</v>
      </c>
      <c r="P629" s="2">
        <f t="shared" si="59"/>
        <v>2.5</v>
      </c>
      <c r="Q629">
        <v>1.8</v>
      </c>
    </row>
    <row r="630" spans="1:17">
      <c r="A630" t="s">
        <v>36</v>
      </c>
      <c r="B630" t="s">
        <v>12</v>
      </c>
      <c r="C630">
        <v>50</v>
      </c>
      <c r="D630">
        <v>32</v>
      </c>
      <c r="E630" s="1">
        <f t="shared" si="54"/>
        <v>0.6097560975609756</v>
      </c>
      <c r="F630" s="2">
        <v>91.4</v>
      </c>
      <c r="G630" s="2">
        <v>87.7</v>
      </c>
      <c r="H630" s="2">
        <f t="shared" si="55"/>
        <v>3.7000000000000028</v>
      </c>
      <c r="I630" s="1">
        <f t="shared" si="56"/>
        <v>0.64072911392339904</v>
      </c>
      <c r="J630" s="2">
        <v>102.4</v>
      </c>
      <c r="K630" s="2">
        <v>98.2</v>
      </c>
      <c r="L630" s="2">
        <f t="shared" si="57"/>
        <v>4.2000000000000028</v>
      </c>
      <c r="M630" s="1">
        <f t="shared" si="58"/>
        <v>-3.0973016362423444E-2</v>
      </c>
      <c r="N630" s="2">
        <v>103.1</v>
      </c>
      <c r="O630" s="2">
        <v>92</v>
      </c>
      <c r="P630" s="2">
        <f t="shared" si="59"/>
        <v>11.099999999999994</v>
      </c>
      <c r="Q630">
        <v>1.6</v>
      </c>
    </row>
    <row r="631" spans="1:17">
      <c r="A631" t="s">
        <v>45</v>
      </c>
      <c r="B631" t="s">
        <v>27</v>
      </c>
      <c r="C631">
        <v>17</v>
      </c>
      <c r="D631">
        <v>65</v>
      </c>
      <c r="E631" s="1">
        <f t="shared" si="54"/>
        <v>0.2073170731707317</v>
      </c>
      <c r="F631" s="2">
        <v>100.6</v>
      </c>
      <c r="G631" s="2">
        <v>109.3</v>
      </c>
      <c r="H631" s="2">
        <f t="shared" si="55"/>
        <v>-8.7000000000000028</v>
      </c>
      <c r="I631" s="1">
        <f t="shared" si="56"/>
        <v>0.23844605223588522</v>
      </c>
      <c r="J631" s="2">
        <v>104.4</v>
      </c>
      <c r="K631" s="2">
        <v>113.4</v>
      </c>
      <c r="L631" s="2">
        <f t="shared" si="57"/>
        <v>-9</v>
      </c>
      <c r="M631" s="1">
        <f t="shared" si="58"/>
        <v>-3.1128979065153523E-2</v>
      </c>
      <c r="N631" s="2">
        <v>93.2</v>
      </c>
      <c r="O631" s="2">
        <v>104.6</v>
      </c>
      <c r="P631" s="2">
        <f t="shared" si="59"/>
        <v>-11.399999999999991</v>
      </c>
      <c r="Q631">
        <v>-1.2</v>
      </c>
    </row>
    <row r="632" spans="1:17">
      <c r="A632" t="s">
        <v>45</v>
      </c>
      <c r="B632" t="s">
        <v>13</v>
      </c>
      <c r="C632">
        <v>29</v>
      </c>
      <c r="D632">
        <v>53</v>
      </c>
      <c r="E632" s="1">
        <f t="shared" si="54"/>
        <v>0.35365853658536583</v>
      </c>
      <c r="F632" s="2">
        <v>108.6</v>
      </c>
      <c r="G632" s="2">
        <v>112.3</v>
      </c>
      <c r="H632" s="2">
        <f t="shared" si="55"/>
        <v>-3.7000000000000028</v>
      </c>
      <c r="I632" s="1">
        <f t="shared" si="56"/>
        <v>0.38484482323315583</v>
      </c>
      <c r="J632" s="2">
        <v>108</v>
      </c>
      <c r="K632" s="2">
        <v>111.7</v>
      </c>
      <c r="L632" s="2">
        <f t="shared" si="57"/>
        <v>-3.7000000000000028</v>
      </c>
      <c r="M632" s="1">
        <f t="shared" si="58"/>
        <v>-3.1186286647789996E-2</v>
      </c>
      <c r="N632" s="2">
        <v>93.7</v>
      </c>
      <c r="O632" s="2">
        <v>111.1</v>
      </c>
      <c r="P632" s="2">
        <f t="shared" si="59"/>
        <v>-17.399999999999991</v>
      </c>
      <c r="Q632">
        <v>-0.7</v>
      </c>
    </row>
    <row r="633" spans="1:17">
      <c r="A633" t="s">
        <v>58</v>
      </c>
      <c r="B633" t="s">
        <v>35</v>
      </c>
      <c r="C633">
        <v>22</v>
      </c>
      <c r="D633">
        <v>60</v>
      </c>
      <c r="E633" s="1">
        <f t="shared" si="54"/>
        <v>0.26829268292682928</v>
      </c>
      <c r="F633" s="2">
        <v>99.3</v>
      </c>
      <c r="G633" s="2">
        <v>105.5</v>
      </c>
      <c r="H633" s="2">
        <f t="shared" si="55"/>
        <v>-6.2000000000000028</v>
      </c>
      <c r="I633" s="1">
        <f t="shared" si="56"/>
        <v>0.2998703440144932</v>
      </c>
      <c r="J633" s="2">
        <v>103.6</v>
      </c>
      <c r="K633" s="2">
        <v>110.4</v>
      </c>
      <c r="L633" s="2">
        <f t="shared" si="57"/>
        <v>-6.8000000000000114</v>
      </c>
      <c r="M633" s="1">
        <f t="shared" si="58"/>
        <v>-3.1577661087663911E-2</v>
      </c>
      <c r="N633" s="2">
        <v>92.4</v>
      </c>
      <c r="O633" s="2">
        <v>97.4</v>
      </c>
      <c r="P633" s="2">
        <f t="shared" si="59"/>
        <v>-5</v>
      </c>
      <c r="Q633">
        <v>-1</v>
      </c>
    </row>
    <row r="634" spans="1:17">
      <c r="A634" t="s">
        <v>44</v>
      </c>
      <c r="B634" t="s">
        <v>12</v>
      </c>
      <c r="C634">
        <v>59</v>
      </c>
      <c r="D634">
        <v>23</v>
      </c>
      <c r="E634" s="1">
        <f t="shared" si="54"/>
        <v>0.71951219512195119</v>
      </c>
      <c r="F634" s="2">
        <v>97.5</v>
      </c>
      <c r="G634" s="2">
        <v>90.1</v>
      </c>
      <c r="H634" s="2">
        <f t="shared" si="55"/>
        <v>7.4000000000000057</v>
      </c>
      <c r="I634" s="1">
        <f t="shared" si="56"/>
        <v>0.75120531169841753</v>
      </c>
      <c r="J634" s="2">
        <v>109.8</v>
      </c>
      <c r="K634" s="2">
        <v>101.5</v>
      </c>
      <c r="L634" s="2">
        <f t="shared" si="57"/>
        <v>8.2999999999999972</v>
      </c>
      <c r="M634" s="1">
        <f t="shared" si="58"/>
        <v>-3.169311657646634E-2</v>
      </c>
      <c r="N634" s="2">
        <v>113.7</v>
      </c>
      <c r="O634" s="2">
        <v>105.3</v>
      </c>
      <c r="P634" s="2">
        <f t="shared" si="59"/>
        <v>8.4000000000000057</v>
      </c>
      <c r="Q634">
        <v>0.6</v>
      </c>
    </row>
    <row r="635" spans="1:17">
      <c r="A635" t="s">
        <v>36</v>
      </c>
      <c r="B635" t="s">
        <v>14</v>
      </c>
      <c r="C635">
        <v>43</v>
      </c>
      <c r="D635">
        <v>39</v>
      </c>
      <c r="E635" s="1">
        <f t="shared" si="54"/>
        <v>0.52439024390243905</v>
      </c>
      <c r="F635" s="2">
        <v>93.8</v>
      </c>
      <c r="G635" s="2">
        <v>92.3</v>
      </c>
      <c r="H635" s="2">
        <f t="shared" si="55"/>
        <v>1.5</v>
      </c>
      <c r="I635" s="1">
        <f t="shared" si="56"/>
        <v>0.55618421979332688</v>
      </c>
      <c r="J635" s="2">
        <v>102.4</v>
      </c>
      <c r="K635" s="2">
        <v>100.9</v>
      </c>
      <c r="L635" s="2">
        <f t="shared" si="57"/>
        <v>1.5</v>
      </c>
      <c r="M635" s="1">
        <f t="shared" si="58"/>
        <v>-3.1793975890887838E-2</v>
      </c>
      <c r="N635" s="2">
        <v>114.4</v>
      </c>
      <c r="O635" s="2">
        <v>100.9</v>
      </c>
      <c r="P635" s="2">
        <f t="shared" si="59"/>
        <v>13.5</v>
      </c>
      <c r="Q635">
        <v>0.4</v>
      </c>
    </row>
    <row r="636" spans="1:17">
      <c r="A636" t="s">
        <v>62</v>
      </c>
      <c r="B636" t="s">
        <v>9</v>
      </c>
      <c r="C636">
        <v>44</v>
      </c>
      <c r="D636">
        <v>38</v>
      </c>
      <c r="E636" s="1">
        <f t="shared" si="54"/>
        <v>0.53658536585365857</v>
      </c>
      <c r="F636" s="2">
        <v>107.8</v>
      </c>
      <c r="G636" s="2">
        <v>105.7</v>
      </c>
      <c r="H636" s="2">
        <f t="shared" si="55"/>
        <v>2.0999999999999943</v>
      </c>
      <c r="I636" s="1">
        <f t="shared" si="56"/>
        <v>0.56842270571530307</v>
      </c>
      <c r="J636" s="2">
        <v>111</v>
      </c>
      <c r="K636" s="2">
        <v>108.9</v>
      </c>
      <c r="L636" s="2">
        <f t="shared" si="57"/>
        <v>2.0999999999999943</v>
      </c>
      <c r="M636" s="1">
        <f t="shared" si="58"/>
        <v>-3.1837339861644498E-2</v>
      </c>
      <c r="N636" s="2">
        <v>110</v>
      </c>
      <c r="O636" s="2">
        <v>104.4</v>
      </c>
      <c r="P636" s="2">
        <f t="shared" si="59"/>
        <v>5.5999999999999943</v>
      </c>
      <c r="Q636">
        <v>-0.7</v>
      </c>
    </row>
    <row r="637" spans="1:17">
      <c r="A637" t="s">
        <v>50</v>
      </c>
      <c r="B637" t="s">
        <v>30</v>
      </c>
      <c r="C637">
        <v>34</v>
      </c>
      <c r="D637">
        <v>48</v>
      </c>
      <c r="E637" s="1">
        <f t="shared" si="54"/>
        <v>0.41463414634146339</v>
      </c>
      <c r="F637" s="2">
        <v>97.2</v>
      </c>
      <c r="G637" s="2">
        <v>98.7</v>
      </c>
      <c r="H637" s="2">
        <f t="shared" si="55"/>
        <v>-1.5</v>
      </c>
      <c r="I637" s="1">
        <f t="shared" si="56"/>
        <v>0.4466045570075422</v>
      </c>
      <c r="J637" s="2">
        <v>105</v>
      </c>
      <c r="K637" s="2">
        <v>106.4</v>
      </c>
      <c r="L637" s="2">
        <f t="shared" si="57"/>
        <v>-1.4000000000000057</v>
      </c>
      <c r="M637" s="1">
        <f t="shared" si="58"/>
        <v>-3.1970410666078808E-2</v>
      </c>
      <c r="N637" s="2">
        <v>87.8</v>
      </c>
      <c r="O637" s="2">
        <v>112.9</v>
      </c>
      <c r="P637" s="2">
        <f t="shared" si="59"/>
        <v>-25.100000000000009</v>
      </c>
      <c r="Q637">
        <v>-1.5</v>
      </c>
    </row>
    <row r="638" spans="1:17">
      <c r="A638" t="s">
        <v>64</v>
      </c>
      <c r="B638" t="s">
        <v>22</v>
      </c>
      <c r="C638">
        <v>50</v>
      </c>
      <c r="D638">
        <v>32</v>
      </c>
      <c r="E638" s="1">
        <f t="shared" si="54"/>
        <v>0.6097560975609756</v>
      </c>
      <c r="F638" s="2">
        <v>112.8</v>
      </c>
      <c r="G638" s="2">
        <v>108.2</v>
      </c>
      <c r="H638" s="2">
        <f t="shared" si="55"/>
        <v>4.5999999999999943</v>
      </c>
      <c r="I638" s="1">
        <f t="shared" si="56"/>
        <v>0.64173203581076255</v>
      </c>
      <c r="J638" s="2">
        <v>117.3</v>
      </c>
      <c r="K638" s="2">
        <v>112.4</v>
      </c>
      <c r="L638" s="2">
        <f t="shared" si="57"/>
        <v>4.8999999999999915</v>
      </c>
      <c r="M638" s="1">
        <f t="shared" si="58"/>
        <v>-3.197593824978695E-2</v>
      </c>
      <c r="N638" s="2">
        <v>114.4</v>
      </c>
      <c r="O638" s="2">
        <v>100.4</v>
      </c>
      <c r="P638" s="2">
        <f t="shared" si="59"/>
        <v>14</v>
      </c>
      <c r="Q638">
        <v>1</v>
      </c>
    </row>
    <row r="639" spans="1:17">
      <c r="A639" t="s">
        <v>58</v>
      </c>
      <c r="B639" t="s">
        <v>22</v>
      </c>
      <c r="C639">
        <v>29</v>
      </c>
      <c r="D639">
        <v>53</v>
      </c>
      <c r="E639" s="1">
        <f t="shared" si="54"/>
        <v>0.35365853658536583</v>
      </c>
      <c r="F639" s="2">
        <v>104.5</v>
      </c>
      <c r="G639" s="2">
        <v>108</v>
      </c>
      <c r="H639" s="2">
        <f t="shared" si="55"/>
        <v>-3.5</v>
      </c>
      <c r="I639" s="1">
        <f t="shared" si="56"/>
        <v>0.38669687750275528</v>
      </c>
      <c r="J639" s="2">
        <v>106.3</v>
      </c>
      <c r="K639" s="2">
        <v>109.7</v>
      </c>
      <c r="L639" s="2">
        <f t="shared" si="57"/>
        <v>-3.4000000000000057</v>
      </c>
      <c r="M639" s="1">
        <f t="shared" si="58"/>
        <v>-3.3038340917389442E-2</v>
      </c>
      <c r="N639" s="2">
        <v>95.8</v>
      </c>
      <c r="O639" s="2">
        <v>108</v>
      </c>
      <c r="P639" s="2">
        <f t="shared" si="59"/>
        <v>-12.200000000000003</v>
      </c>
      <c r="Q639">
        <v>-1</v>
      </c>
    </row>
    <row r="640" spans="1:17">
      <c r="A640" t="s">
        <v>48</v>
      </c>
      <c r="B640" t="s">
        <v>27</v>
      </c>
      <c r="C640">
        <v>24</v>
      </c>
      <c r="D640">
        <v>58</v>
      </c>
      <c r="E640" s="1">
        <f t="shared" si="54"/>
        <v>0.29268292682926828</v>
      </c>
      <c r="F640" s="2">
        <v>99.4</v>
      </c>
      <c r="G640" s="2">
        <v>104.7</v>
      </c>
      <c r="H640" s="2">
        <f t="shared" si="55"/>
        <v>-5.2999999999999972</v>
      </c>
      <c r="I640" s="1">
        <f t="shared" si="56"/>
        <v>0.32579671565672774</v>
      </c>
      <c r="J640" s="2">
        <v>102.9</v>
      </c>
      <c r="K640" s="2">
        <v>108.4</v>
      </c>
      <c r="L640" s="2">
        <f t="shared" si="57"/>
        <v>-5.5</v>
      </c>
      <c r="M640" s="1">
        <f t="shared" si="58"/>
        <v>-3.3113788827459467E-2</v>
      </c>
      <c r="N640" s="2">
        <v>88.3</v>
      </c>
      <c r="O640" s="2">
        <v>107</v>
      </c>
      <c r="P640" s="2">
        <f t="shared" si="59"/>
        <v>-18.700000000000003</v>
      </c>
      <c r="Q640">
        <v>-0.3</v>
      </c>
    </row>
    <row r="641" spans="1:17">
      <c r="A641" t="s">
        <v>44</v>
      </c>
      <c r="B641" t="s">
        <v>10</v>
      </c>
      <c r="C641">
        <v>51</v>
      </c>
      <c r="D641">
        <v>31</v>
      </c>
      <c r="E641" s="1">
        <f t="shared" si="54"/>
        <v>0.62195121951219512</v>
      </c>
      <c r="F641" s="2">
        <v>100.4</v>
      </c>
      <c r="G641" s="2">
        <v>95.9</v>
      </c>
      <c r="H641" s="2">
        <f t="shared" si="55"/>
        <v>4.5</v>
      </c>
      <c r="I641" s="1">
        <f t="shared" si="56"/>
        <v>0.65520252150189628</v>
      </c>
      <c r="J641" s="2">
        <v>109.5</v>
      </c>
      <c r="K641" s="2">
        <v>104.7</v>
      </c>
      <c r="L641" s="2">
        <f t="shared" si="57"/>
        <v>4.7999999999999972</v>
      </c>
      <c r="M641" s="1">
        <f t="shared" si="58"/>
        <v>-3.3251301989701165E-2</v>
      </c>
      <c r="N641" s="2">
        <v>114.4</v>
      </c>
      <c r="O641" s="2">
        <v>107.9</v>
      </c>
      <c r="P641" s="2">
        <f t="shared" si="59"/>
        <v>6.5</v>
      </c>
      <c r="Q641">
        <v>0.5</v>
      </c>
    </row>
    <row r="642" spans="1:17">
      <c r="A642" t="s">
        <v>54</v>
      </c>
      <c r="B642" t="s">
        <v>28</v>
      </c>
      <c r="C642">
        <v>55</v>
      </c>
      <c r="D642">
        <v>27</v>
      </c>
      <c r="E642" s="1">
        <f t="shared" si="54"/>
        <v>0.67073170731707321</v>
      </c>
      <c r="F642" s="2">
        <v>103.2</v>
      </c>
      <c r="G642" s="2">
        <v>97</v>
      </c>
      <c r="H642" s="2">
        <f t="shared" si="55"/>
        <v>6.2000000000000028</v>
      </c>
      <c r="I642" s="1">
        <f t="shared" si="56"/>
        <v>0.70420653798027644</v>
      </c>
      <c r="J642" s="2">
        <v>107.6</v>
      </c>
      <c r="K642" s="2">
        <v>101.4</v>
      </c>
      <c r="L642" s="2">
        <f t="shared" si="57"/>
        <v>6.1999999999999886</v>
      </c>
      <c r="M642" s="1">
        <f t="shared" si="58"/>
        <v>-3.3474830663203226E-2</v>
      </c>
      <c r="N642" s="2">
        <v>95.5</v>
      </c>
      <c r="O642" s="2">
        <v>97.1</v>
      </c>
      <c r="P642" s="2">
        <f t="shared" si="59"/>
        <v>-1.5999999999999943</v>
      </c>
      <c r="Q642">
        <v>0.9</v>
      </c>
    </row>
    <row r="643" spans="1:17">
      <c r="A643" t="s">
        <v>61</v>
      </c>
      <c r="B643" t="s">
        <v>56</v>
      </c>
      <c r="C643">
        <v>47</v>
      </c>
      <c r="D643">
        <v>25</v>
      </c>
      <c r="E643" s="1">
        <f t="shared" si="54"/>
        <v>0.65277777777777779</v>
      </c>
      <c r="F643" s="2">
        <v>114</v>
      </c>
      <c r="G643" s="2">
        <v>107.8</v>
      </c>
      <c r="H643" s="2">
        <f t="shared" si="55"/>
        <v>6.2000000000000028</v>
      </c>
      <c r="I643" s="1">
        <f t="shared" si="56"/>
        <v>0.68630286858129474</v>
      </c>
      <c r="J643" s="2">
        <v>116.7</v>
      </c>
      <c r="K643" s="2">
        <v>110.6</v>
      </c>
      <c r="L643" s="2">
        <f t="shared" si="57"/>
        <v>6.1000000000000085</v>
      </c>
      <c r="M643" s="1">
        <f t="shared" si="58"/>
        <v>-3.3525090803516955E-2</v>
      </c>
      <c r="N643" s="2">
        <v>110.3</v>
      </c>
      <c r="O643" s="2">
        <v>117.5</v>
      </c>
      <c r="P643" s="2">
        <f t="shared" si="59"/>
        <v>-7.2000000000000028</v>
      </c>
      <c r="Q643">
        <v>1.1000000000000001</v>
      </c>
    </row>
    <row r="644" spans="1:17">
      <c r="A644" t="s">
        <v>39</v>
      </c>
      <c r="B644" t="s">
        <v>37</v>
      </c>
      <c r="C644">
        <v>18</v>
      </c>
      <c r="D644">
        <v>64</v>
      </c>
      <c r="E644" s="1">
        <f t="shared" si="54"/>
        <v>0.21951219512195122</v>
      </c>
      <c r="F644" s="2">
        <v>88.4</v>
      </c>
      <c r="G644" s="2">
        <v>95.5</v>
      </c>
      <c r="H644" s="2">
        <f t="shared" si="55"/>
        <v>-7.0999999999999943</v>
      </c>
      <c r="I644" s="1">
        <f t="shared" si="56"/>
        <v>0.25321093551837054</v>
      </c>
      <c r="J644" s="2">
        <v>98.2</v>
      </c>
      <c r="K644" s="2">
        <v>105.9</v>
      </c>
      <c r="L644" s="2">
        <f t="shared" si="57"/>
        <v>-7.7000000000000028</v>
      </c>
      <c r="M644" s="1">
        <f t="shared" si="58"/>
        <v>-3.3698740396419319E-2</v>
      </c>
      <c r="N644" s="2">
        <v>88</v>
      </c>
      <c r="O644" s="2">
        <v>107.5</v>
      </c>
      <c r="P644" s="2">
        <f t="shared" si="59"/>
        <v>-19.5</v>
      </c>
      <c r="Q644">
        <v>-0.1</v>
      </c>
    </row>
    <row r="645" spans="1:17">
      <c r="A645" t="s">
        <v>64</v>
      </c>
      <c r="B645" t="s">
        <v>14</v>
      </c>
      <c r="C645">
        <v>41</v>
      </c>
      <c r="D645">
        <v>41</v>
      </c>
      <c r="E645" s="1">
        <f t="shared" si="54"/>
        <v>0.5</v>
      </c>
      <c r="F645" s="2">
        <v>114.3</v>
      </c>
      <c r="G645" s="2">
        <v>113.2</v>
      </c>
      <c r="H645" s="2">
        <f t="shared" si="55"/>
        <v>1.0999999999999943</v>
      </c>
      <c r="I645" s="1">
        <f t="shared" si="56"/>
        <v>0.53379481382340799</v>
      </c>
      <c r="J645" s="2">
        <v>113.7</v>
      </c>
      <c r="K645" s="2">
        <v>112.8</v>
      </c>
      <c r="L645" s="2">
        <f t="shared" si="57"/>
        <v>0.90000000000000568</v>
      </c>
      <c r="M645" s="1">
        <f t="shared" si="58"/>
        <v>-3.3794813823407988E-2</v>
      </c>
      <c r="N645" s="2">
        <v>108.4</v>
      </c>
      <c r="O645" s="2">
        <v>121.6</v>
      </c>
      <c r="P645" s="2">
        <f t="shared" si="59"/>
        <v>-13.199999999999989</v>
      </c>
      <c r="Q645">
        <v>0.3</v>
      </c>
    </row>
    <row r="646" spans="1:17">
      <c r="A646" t="s">
        <v>44</v>
      </c>
      <c r="B646" t="s">
        <v>35</v>
      </c>
      <c r="C646">
        <v>22</v>
      </c>
      <c r="D646">
        <v>60</v>
      </c>
      <c r="E646" s="1">
        <f t="shared" si="54"/>
        <v>0.26829268292682928</v>
      </c>
      <c r="F646" s="2">
        <v>100.7</v>
      </c>
      <c r="G646" s="2">
        <v>106.9</v>
      </c>
      <c r="H646" s="2">
        <f t="shared" si="55"/>
        <v>-6.2000000000000028</v>
      </c>
      <c r="I646" s="1">
        <f t="shared" si="56"/>
        <v>0.30227828737765194</v>
      </c>
      <c r="J646" s="2">
        <v>103.9</v>
      </c>
      <c r="K646" s="2">
        <v>110.2</v>
      </c>
      <c r="L646" s="2">
        <f t="shared" si="57"/>
        <v>-6.2999999999999972</v>
      </c>
      <c r="M646" s="1">
        <f t="shared" si="58"/>
        <v>-3.398560445082266E-2</v>
      </c>
      <c r="N646" s="2">
        <v>105.8</v>
      </c>
      <c r="O646" s="2">
        <v>116.6</v>
      </c>
      <c r="P646" s="2">
        <f t="shared" si="59"/>
        <v>-10.799999999999997</v>
      </c>
      <c r="Q646">
        <v>0</v>
      </c>
    </row>
    <row r="647" spans="1:17">
      <c r="A647" t="s">
        <v>49</v>
      </c>
      <c r="B647" t="s">
        <v>13</v>
      </c>
      <c r="C647">
        <v>23</v>
      </c>
      <c r="D647">
        <v>43</v>
      </c>
      <c r="E647" s="1">
        <f t="shared" si="54"/>
        <v>0.34848484848484851</v>
      </c>
      <c r="F647" s="2">
        <v>97.8</v>
      </c>
      <c r="G647" s="2">
        <v>101.2</v>
      </c>
      <c r="H647" s="2">
        <f t="shared" si="55"/>
        <v>-3.4000000000000057</v>
      </c>
      <c r="I647" s="1">
        <f t="shared" si="56"/>
        <v>0.38262091434510453</v>
      </c>
      <c r="J647" s="2">
        <v>103.9</v>
      </c>
      <c r="K647" s="2">
        <v>107.3</v>
      </c>
      <c r="L647" s="2">
        <f t="shared" si="57"/>
        <v>-3.3999999999999915</v>
      </c>
      <c r="M647" s="1">
        <f t="shared" si="58"/>
        <v>-3.4136065860256026E-2</v>
      </c>
      <c r="N647" s="2">
        <v>89</v>
      </c>
      <c r="O647" s="2">
        <v>106.6</v>
      </c>
      <c r="P647" s="2">
        <f t="shared" si="59"/>
        <v>-17.599999999999994</v>
      </c>
      <c r="Q647">
        <v>-1</v>
      </c>
    </row>
    <row r="648" spans="1:17">
      <c r="A648" t="s">
        <v>50</v>
      </c>
      <c r="B648" t="s">
        <v>16</v>
      </c>
      <c r="C648">
        <v>56</v>
      </c>
      <c r="D648">
        <v>26</v>
      </c>
      <c r="E648" s="1">
        <f t="shared" si="54"/>
        <v>0.68292682926829273</v>
      </c>
      <c r="F648" s="2">
        <v>101.1</v>
      </c>
      <c r="G648" s="2">
        <v>94.6</v>
      </c>
      <c r="H648" s="2">
        <f t="shared" si="55"/>
        <v>6.5</v>
      </c>
      <c r="I648" s="1">
        <f t="shared" si="56"/>
        <v>0.71714367068078333</v>
      </c>
      <c r="J648" s="2">
        <v>109.8</v>
      </c>
      <c r="K648" s="2">
        <v>102.8</v>
      </c>
      <c r="L648" s="2">
        <f t="shared" si="57"/>
        <v>7</v>
      </c>
      <c r="M648" s="1">
        <f t="shared" si="58"/>
        <v>-3.4216841412490595E-2</v>
      </c>
      <c r="N648" s="2">
        <v>114.7</v>
      </c>
      <c r="O648" s="2">
        <v>114.9</v>
      </c>
      <c r="P648" s="2">
        <f t="shared" si="59"/>
        <v>-0.20000000000000284</v>
      </c>
      <c r="Q648">
        <v>2.2000000000000002</v>
      </c>
    </row>
    <row r="649" spans="1:17">
      <c r="A649" t="s">
        <v>4</v>
      </c>
      <c r="B649" t="s">
        <v>14</v>
      </c>
      <c r="C649">
        <v>45</v>
      </c>
      <c r="D649">
        <v>37</v>
      </c>
      <c r="E649" s="1">
        <f t="shared" ref="E649:E712" si="60">+C649/(C649+D649)</f>
        <v>0.54878048780487809</v>
      </c>
      <c r="F649" s="2">
        <v>97.2</v>
      </c>
      <c r="G649" s="2">
        <v>94.9</v>
      </c>
      <c r="H649" s="2">
        <f t="shared" ref="H649:H712" si="61">+F649-G649</f>
        <v>2.2999999999999972</v>
      </c>
      <c r="I649" s="1">
        <f t="shared" ref="I649:I712" si="62">+(F649^14)/((F649^14+G649^14))</f>
        <v>0.58303819645921595</v>
      </c>
      <c r="J649" s="2">
        <v>105.2</v>
      </c>
      <c r="K649" s="2">
        <v>102.8</v>
      </c>
      <c r="L649" s="2">
        <f t="shared" ref="L649:L712" si="63">+J649-K649</f>
        <v>2.4000000000000057</v>
      </c>
      <c r="M649" s="1">
        <f t="shared" ref="M649:M712" si="64">+E649-I649</f>
        <v>-3.4257708654337859E-2</v>
      </c>
      <c r="N649" s="2">
        <v>104.5</v>
      </c>
      <c r="O649" s="2">
        <v>88.1</v>
      </c>
      <c r="P649" s="2">
        <f t="shared" si="59"/>
        <v>16.400000000000006</v>
      </c>
      <c r="Q649">
        <v>1.4</v>
      </c>
    </row>
    <row r="650" spans="1:17">
      <c r="A650" t="s">
        <v>52</v>
      </c>
      <c r="B650" t="s">
        <v>23</v>
      </c>
      <c r="C650">
        <v>23</v>
      </c>
      <c r="D650">
        <v>59</v>
      </c>
      <c r="E650" s="1">
        <f t="shared" si="60"/>
        <v>0.28048780487804881</v>
      </c>
      <c r="F650" s="2">
        <v>96.5</v>
      </c>
      <c r="G650" s="2">
        <v>102</v>
      </c>
      <c r="H650" s="2">
        <f t="shared" si="61"/>
        <v>-5.5</v>
      </c>
      <c r="I650" s="1">
        <f t="shared" si="62"/>
        <v>0.31517888985534531</v>
      </c>
      <c r="J650" s="2">
        <v>101</v>
      </c>
      <c r="K650" s="2">
        <v>106.6</v>
      </c>
      <c r="L650" s="2">
        <f t="shared" si="63"/>
        <v>-5.5999999999999943</v>
      </c>
      <c r="M650" s="1">
        <f t="shared" si="64"/>
        <v>-3.4691084977296505E-2</v>
      </c>
      <c r="N650" s="2">
        <v>87.9</v>
      </c>
      <c r="O650" s="2">
        <v>105.2</v>
      </c>
      <c r="P650" s="2">
        <f t="shared" ref="P650:P713" si="65">+N650-O650</f>
        <v>-17.299999999999997</v>
      </c>
      <c r="Q650">
        <v>-0.3</v>
      </c>
    </row>
    <row r="651" spans="1:17">
      <c r="A651" t="s">
        <v>65</v>
      </c>
      <c r="B651" t="s">
        <v>56</v>
      </c>
      <c r="C651">
        <v>50</v>
      </c>
      <c r="D651">
        <v>32</v>
      </c>
      <c r="E651" s="1">
        <f t="shared" si="60"/>
        <v>0.6097560975609756</v>
      </c>
      <c r="F651" s="2">
        <v>112.9</v>
      </c>
      <c r="G651" s="2">
        <v>108.2</v>
      </c>
      <c r="H651" s="2">
        <f t="shared" si="61"/>
        <v>4.7000000000000028</v>
      </c>
      <c r="I651" s="1">
        <f t="shared" si="62"/>
        <v>0.64457924701771829</v>
      </c>
      <c r="J651" s="2">
        <v>114.3</v>
      </c>
      <c r="K651" s="2">
        <v>109.4</v>
      </c>
      <c r="L651" s="2">
        <f t="shared" si="63"/>
        <v>4.8999999999999915</v>
      </c>
      <c r="M651" s="1">
        <f t="shared" si="64"/>
        <v>-3.4823149456742697E-2</v>
      </c>
      <c r="N651" s="2">
        <v>105.9</v>
      </c>
      <c r="O651" s="2">
        <v>106</v>
      </c>
      <c r="P651" s="2">
        <f t="shared" si="65"/>
        <v>-9.9999999999994316E-2</v>
      </c>
      <c r="Q651">
        <v>1</v>
      </c>
    </row>
    <row r="652" spans="1:17">
      <c r="A652" t="s">
        <v>34</v>
      </c>
      <c r="B652" t="s">
        <v>25</v>
      </c>
      <c r="C652">
        <v>36</v>
      </c>
      <c r="D652">
        <v>46</v>
      </c>
      <c r="E652" s="1">
        <f t="shared" si="60"/>
        <v>0.43902439024390244</v>
      </c>
      <c r="F652" s="2">
        <v>95.1</v>
      </c>
      <c r="G652" s="2">
        <v>95.8</v>
      </c>
      <c r="H652" s="2">
        <f t="shared" si="61"/>
        <v>-0.70000000000000284</v>
      </c>
      <c r="I652" s="1">
        <f t="shared" si="62"/>
        <v>0.47435452063041067</v>
      </c>
      <c r="J652" s="2">
        <v>101.8</v>
      </c>
      <c r="K652" s="2">
        <v>102.6</v>
      </c>
      <c r="L652" s="2">
        <f t="shared" si="63"/>
        <v>-0.79999999999999716</v>
      </c>
      <c r="M652" s="1">
        <f t="shared" si="64"/>
        <v>-3.5330130386508229E-2</v>
      </c>
      <c r="N652" s="2">
        <v>104</v>
      </c>
      <c r="O652" s="2">
        <v>101.8</v>
      </c>
      <c r="P652" s="2">
        <f t="shared" si="65"/>
        <v>2.2000000000000028</v>
      </c>
      <c r="Q652">
        <v>0.1</v>
      </c>
    </row>
    <row r="653" spans="1:17">
      <c r="A653" t="s">
        <v>50</v>
      </c>
      <c r="B653" t="s">
        <v>37</v>
      </c>
      <c r="C653">
        <v>27</v>
      </c>
      <c r="D653">
        <v>55</v>
      </c>
      <c r="E653" s="1">
        <f t="shared" si="60"/>
        <v>0.32926829268292684</v>
      </c>
      <c r="F653" s="2">
        <v>94.1</v>
      </c>
      <c r="G653" s="2">
        <v>97.9</v>
      </c>
      <c r="H653" s="2">
        <f t="shared" si="61"/>
        <v>-3.8000000000000114</v>
      </c>
      <c r="I653" s="1">
        <f t="shared" si="62"/>
        <v>0.3648814793953255</v>
      </c>
      <c r="J653" s="2">
        <v>104.5</v>
      </c>
      <c r="K653" s="2">
        <v>108.9</v>
      </c>
      <c r="L653" s="2">
        <f t="shared" si="63"/>
        <v>-4.4000000000000057</v>
      </c>
      <c r="M653" s="1">
        <f t="shared" si="64"/>
        <v>-3.5613186712398659E-2</v>
      </c>
      <c r="N653" s="2">
        <v>93.6</v>
      </c>
      <c r="O653" s="2">
        <v>116.9</v>
      </c>
      <c r="P653" s="2">
        <f t="shared" si="65"/>
        <v>-23.300000000000011</v>
      </c>
      <c r="Q653">
        <v>-0.7</v>
      </c>
    </row>
    <row r="654" spans="1:17">
      <c r="A654" t="s">
        <v>38</v>
      </c>
      <c r="B654" t="s">
        <v>19</v>
      </c>
      <c r="C654">
        <v>41</v>
      </c>
      <c r="D654">
        <v>41</v>
      </c>
      <c r="E654" s="1">
        <f t="shared" si="60"/>
        <v>0.5</v>
      </c>
      <c r="F654" s="2">
        <v>98</v>
      </c>
      <c r="G654" s="2">
        <v>97</v>
      </c>
      <c r="H654" s="2">
        <f t="shared" si="61"/>
        <v>1</v>
      </c>
      <c r="I654" s="1">
        <f t="shared" si="62"/>
        <v>0.53583619805025806</v>
      </c>
      <c r="J654" s="2">
        <v>104.6</v>
      </c>
      <c r="K654" s="2">
        <v>103.5</v>
      </c>
      <c r="L654" s="2">
        <f t="shared" si="63"/>
        <v>1.0999999999999943</v>
      </c>
      <c r="M654" s="1">
        <f t="shared" si="64"/>
        <v>-3.5836198050258061E-2</v>
      </c>
      <c r="N654" s="2">
        <v>94.3</v>
      </c>
      <c r="O654" s="2">
        <v>97.1</v>
      </c>
      <c r="P654" s="2">
        <f t="shared" si="65"/>
        <v>-2.7999999999999972</v>
      </c>
      <c r="Q654">
        <v>0.2</v>
      </c>
    </row>
    <row r="655" spans="1:17">
      <c r="A655" t="s">
        <v>50</v>
      </c>
      <c r="B655" t="s">
        <v>20</v>
      </c>
      <c r="C655">
        <v>31</v>
      </c>
      <c r="D655">
        <v>51</v>
      </c>
      <c r="E655" s="1">
        <f t="shared" si="60"/>
        <v>0.37804878048780488</v>
      </c>
      <c r="F655" s="2">
        <v>95.7</v>
      </c>
      <c r="G655" s="2">
        <v>98.1</v>
      </c>
      <c r="H655" s="2">
        <f t="shared" si="61"/>
        <v>-2.3999999999999915</v>
      </c>
      <c r="I655" s="1">
        <f t="shared" si="62"/>
        <v>0.41416664534903919</v>
      </c>
      <c r="J655" s="2">
        <v>101.8</v>
      </c>
      <c r="K655" s="2">
        <v>104</v>
      </c>
      <c r="L655" s="2">
        <f t="shared" si="63"/>
        <v>-2.2000000000000028</v>
      </c>
      <c r="M655" s="1">
        <f t="shared" si="64"/>
        <v>-3.6117864861234306E-2</v>
      </c>
      <c r="N655" s="2">
        <v>96.4</v>
      </c>
      <c r="O655" s="2">
        <v>103.9</v>
      </c>
      <c r="P655" s="2">
        <f t="shared" si="65"/>
        <v>-7.5</v>
      </c>
      <c r="Q655">
        <v>-1.1000000000000001</v>
      </c>
    </row>
    <row r="656" spans="1:17">
      <c r="A656" t="s">
        <v>43</v>
      </c>
      <c r="B656" t="s">
        <v>27</v>
      </c>
      <c r="C656">
        <v>33</v>
      </c>
      <c r="D656">
        <v>49</v>
      </c>
      <c r="E656" s="1">
        <f t="shared" si="60"/>
        <v>0.40243902439024393</v>
      </c>
      <c r="F656" s="2">
        <v>101.3</v>
      </c>
      <c r="G656" s="2">
        <v>103.1</v>
      </c>
      <c r="H656" s="2">
        <f t="shared" si="61"/>
        <v>-1.7999999999999972</v>
      </c>
      <c r="I656" s="1">
        <f t="shared" si="62"/>
        <v>0.43866503316264344</v>
      </c>
      <c r="J656" s="2">
        <v>105.1</v>
      </c>
      <c r="K656" s="2">
        <v>106.7</v>
      </c>
      <c r="L656" s="2">
        <f t="shared" si="63"/>
        <v>-1.6000000000000085</v>
      </c>
      <c r="M656" s="1">
        <f t="shared" si="64"/>
        <v>-3.6226008772399509E-2</v>
      </c>
      <c r="N656" s="2">
        <v>93.7</v>
      </c>
      <c r="O656" s="2">
        <v>109</v>
      </c>
      <c r="P656" s="2">
        <f t="shared" si="65"/>
        <v>-15.299999999999997</v>
      </c>
      <c r="Q656">
        <v>-0.4</v>
      </c>
    </row>
    <row r="657" spans="1:17">
      <c r="A657" t="s">
        <v>58</v>
      </c>
      <c r="B657" t="s">
        <v>5</v>
      </c>
      <c r="C657">
        <v>24</v>
      </c>
      <c r="D657">
        <v>58</v>
      </c>
      <c r="E657" s="1">
        <f t="shared" si="60"/>
        <v>0.29268292682926828</v>
      </c>
      <c r="F657" s="2">
        <v>103.4</v>
      </c>
      <c r="G657" s="2">
        <v>108.8</v>
      </c>
      <c r="H657" s="2">
        <f t="shared" si="61"/>
        <v>-5.3999999999999915</v>
      </c>
      <c r="I657" s="1">
        <f t="shared" si="62"/>
        <v>0.32900489498317276</v>
      </c>
      <c r="J657" s="2">
        <v>104.4</v>
      </c>
      <c r="K657" s="2">
        <v>110.1</v>
      </c>
      <c r="L657" s="2">
        <f t="shared" si="63"/>
        <v>-5.6999999999999886</v>
      </c>
      <c r="M657" s="1">
        <f t="shared" si="64"/>
        <v>-3.6321968153904483E-2</v>
      </c>
      <c r="N657" s="2">
        <v>105.4</v>
      </c>
      <c r="O657" s="2">
        <v>111.5</v>
      </c>
      <c r="P657" s="2">
        <f t="shared" si="65"/>
        <v>-6.0999999999999943</v>
      </c>
      <c r="Q657">
        <v>0.4</v>
      </c>
    </row>
    <row r="658" spans="1:17">
      <c r="A658" t="s">
        <v>63</v>
      </c>
      <c r="B658" t="s">
        <v>33</v>
      </c>
      <c r="C658">
        <v>35</v>
      </c>
      <c r="D658">
        <v>47</v>
      </c>
      <c r="E658" s="1">
        <f t="shared" si="60"/>
        <v>0.42682926829268292</v>
      </c>
      <c r="F658" s="2">
        <v>113.2</v>
      </c>
      <c r="G658" s="2">
        <v>114.4</v>
      </c>
      <c r="H658" s="2">
        <f t="shared" si="61"/>
        <v>-1.2000000000000028</v>
      </c>
      <c r="I658" s="1">
        <f t="shared" si="62"/>
        <v>0.46315968852837397</v>
      </c>
      <c r="J658" s="2">
        <v>113.7</v>
      </c>
      <c r="K658" s="2">
        <v>114.9</v>
      </c>
      <c r="L658" s="2">
        <f t="shared" si="63"/>
        <v>-1.2000000000000028</v>
      </c>
      <c r="M658" s="1">
        <f t="shared" si="64"/>
        <v>-3.6330420235691052E-2</v>
      </c>
      <c r="N658" s="2">
        <v>101.4</v>
      </c>
      <c r="O658" s="2">
        <v>110.3</v>
      </c>
      <c r="P658" s="2">
        <f t="shared" si="65"/>
        <v>-8.8999999999999915</v>
      </c>
      <c r="Q658">
        <v>0</v>
      </c>
    </row>
    <row r="659" spans="1:17">
      <c r="A659" t="s">
        <v>66</v>
      </c>
      <c r="B659" t="s">
        <v>10</v>
      </c>
      <c r="C659">
        <v>21</v>
      </c>
      <c r="D659">
        <v>42</v>
      </c>
      <c r="E659" s="1">
        <f t="shared" si="60"/>
        <v>0.33333333333333331</v>
      </c>
      <c r="F659" s="2">
        <v>113.3</v>
      </c>
      <c r="G659" s="2">
        <v>117.7</v>
      </c>
      <c r="H659" s="2">
        <f t="shared" si="61"/>
        <v>-4.4000000000000057</v>
      </c>
      <c r="I659" s="1">
        <f t="shared" si="62"/>
        <v>0.36972474338344835</v>
      </c>
      <c r="J659" s="2">
        <v>109.8</v>
      </c>
      <c r="K659" s="2">
        <v>114</v>
      </c>
      <c r="L659" s="2">
        <f t="shared" si="63"/>
        <v>-4.2000000000000028</v>
      </c>
      <c r="M659" s="1">
        <f t="shared" si="64"/>
        <v>-3.6391410050115036E-2</v>
      </c>
      <c r="N659" s="2">
        <v>103.6</v>
      </c>
      <c r="O659" s="2">
        <v>113.4</v>
      </c>
      <c r="P659" s="2">
        <f t="shared" si="65"/>
        <v>-9.8000000000000114</v>
      </c>
      <c r="Q659">
        <v>-0.3</v>
      </c>
    </row>
    <row r="660" spans="1:17">
      <c r="A660" t="s">
        <v>61</v>
      </c>
      <c r="B660" t="s">
        <v>14</v>
      </c>
      <c r="C660">
        <v>17</v>
      </c>
      <c r="D660">
        <v>55</v>
      </c>
      <c r="E660" s="1">
        <f t="shared" si="60"/>
        <v>0.2361111111111111</v>
      </c>
      <c r="F660" s="2">
        <v>108.8</v>
      </c>
      <c r="G660" s="2">
        <v>116.7</v>
      </c>
      <c r="H660" s="2">
        <f t="shared" si="61"/>
        <v>-7.9000000000000057</v>
      </c>
      <c r="I660" s="1">
        <f t="shared" si="62"/>
        <v>0.27262739354761001</v>
      </c>
      <c r="J660" s="2">
        <v>107</v>
      </c>
      <c r="K660" s="2">
        <v>114.4</v>
      </c>
      <c r="L660" s="2">
        <f t="shared" si="63"/>
        <v>-7.4000000000000057</v>
      </c>
      <c r="M660" s="1">
        <f t="shared" si="64"/>
        <v>-3.6516282436498904E-2</v>
      </c>
      <c r="N660" s="2">
        <v>97</v>
      </c>
      <c r="O660" s="2">
        <v>112.9</v>
      </c>
      <c r="P660" s="2">
        <f t="shared" si="65"/>
        <v>-15.900000000000006</v>
      </c>
      <c r="Q660">
        <v>-1.2</v>
      </c>
    </row>
    <row r="661" spans="1:17">
      <c r="A661" t="s">
        <v>55</v>
      </c>
      <c r="B661" t="s">
        <v>5</v>
      </c>
      <c r="C661">
        <v>48</v>
      </c>
      <c r="D661">
        <v>34</v>
      </c>
      <c r="E661" s="1">
        <f t="shared" si="60"/>
        <v>0.58536585365853655</v>
      </c>
      <c r="F661" s="2">
        <v>102.8</v>
      </c>
      <c r="G661" s="2">
        <v>99.2</v>
      </c>
      <c r="H661" s="2">
        <f t="shared" si="61"/>
        <v>3.5999999999999943</v>
      </c>
      <c r="I661" s="1">
        <f t="shared" si="62"/>
        <v>0.62223904687782716</v>
      </c>
      <c r="J661" s="2">
        <v>104.6</v>
      </c>
      <c r="K661" s="2">
        <v>100.8</v>
      </c>
      <c r="L661" s="2">
        <f t="shared" si="63"/>
        <v>3.7999999999999972</v>
      </c>
      <c r="M661" s="1">
        <f t="shared" si="64"/>
        <v>-3.6873193219290612E-2</v>
      </c>
      <c r="N661" s="2">
        <v>104.5</v>
      </c>
      <c r="O661" s="2">
        <v>98</v>
      </c>
      <c r="P661" s="2">
        <f t="shared" si="65"/>
        <v>6.5</v>
      </c>
      <c r="Q661">
        <v>2.4</v>
      </c>
    </row>
    <row r="662" spans="1:17">
      <c r="A662" t="s">
        <v>48</v>
      </c>
      <c r="B662" t="s">
        <v>18</v>
      </c>
      <c r="C662">
        <v>58</v>
      </c>
      <c r="D662">
        <v>24</v>
      </c>
      <c r="E662" s="1">
        <f t="shared" si="60"/>
        <v>0.70731707317073167</v>
      </c>
      <c r="F662" s="2">
        <v>102.1</v>
      </c>
      <c r="G662" s="2">
        <v>94.6</v>
      </c>
      <c r="H662" s="2">
        <f t="shared" si="61"/>
        <v>7.5</v>
      </c>
      <c r="I662" s="1">
        <f t="shared" si="62"/>
        <v>0.7442417947513682</v>
      </c>
      <c r="J662" s="2">
        <v>110.6</v>
      </c>
      <c r="K662" s="2">
        <v>102.9</v>
      </c>
      <c r="L662" s="2">
        <f t="shared" si="63"/>
        <v>7.6999999999999886</v>
      </c>
      <c r="M662" s="1">
        <f t="shared" si="64"/>
        <v>-3.6924721580636533E-2</v>
      </c>
      <c r="N662" s="2">
        <v>113.5</v>
      </c>
      <c r="O662" s="2">
        <v>102.8</v>
      </c>
      <c r="P662" s="2">
        <f t="shared" si="65"/>
        <v>10.700000000000003</v>
      </c>
      <c r="Q662">
        <v>1.4</v>
      </c>
    </row>
    <row r="663" spans="1:17">
      <c r="A663" t="s">
        <v>57</v>
      </c>
      <c r="B663" t="s">
        <v>25</v>
      </c>
      <c r="C663">
        <v>24</v>
      </c>
      <c r="D663">
        <v>58</v>
      </c>
      <c r="E663" s="1">
        <f t="shared" si="60"/>
        <v>0.29268292682926828</v>
      </c>
      <c r="F663" s="2">
        <v>107.7</v>
      </c>
      <c r="G663" s="2">
        <v>113.3</v>
      </c>
      <c r="H663" s="2">
        <f t="shared" si="61"/>
        <v>-5.5999999999999943</v>
      </c>
      <c r="I663" s="1">
        <f t="shared" si="62"/>
        <v>0.3296752595531568</v>
      </c>
      <c r="J663" s="2">
        <v>106.1</v>
      </c>
      <c r="K663" s="2">
        <v>111.3</v>
      </c>
      <c r="L663" s="2">
        <f t="shared" si="63"/>
        <v>-5.2000000000000028</v>
      </c>
      <c r="M663" s="1">
        <f t="shared" si="64"/>
        <v>-3.6992332723888521E-2</v>
      </c>
      <c r="N663" s="2">
        <v>103</v>
      </c>
      <c r="O663" s="2">
        <v>119.5</v>
      </c>
      <c r="P663" s="2">
        <f t="shared" si="65"/>
        <v>-16.5</v>
      </c>
      <c r="Q663">
        <v>-1.5</v>
      </c>
    </row>
    <row r="664" spans="1:17">
      <c r="A664" t="s">
        <v>47</v>
      </c>
      <c r="B664" t="s">
        <v>24</v>
      </c>
      <c r="C664">
        <v>27</v>
      </c>
      <c r="D664">
        <v>55</v>
      </c>
      <c r="E664" s="1">
        <f t="shared" si="60"/>
        <v>0.32926829268292684</v>
      </c>
      <c r="F664" s="2">
        <v>97.7</v>
      </c>
      <c r="G664" s="2">
        <v>101.6</v>
      </c>
      <c r="H664" s="2">
        <f t="shared" si="61"/>
        <v>-3.8999999999999915</v>
      </c>
      <c r="I664" s="1">
        <f t="shared" si="62"/>
        <v>0.36633141190976742</v>
      </c>
      <c r="J664" s="2">
        <v>104.8</v>
      </c>
      <c r="K664" s="2">
        <v>108.9</v>
      </c>
      <c r="L664" s="2">
        <f t="shared" si="63"/>
        <v>-4.1000000000000085</v>
      </c>
      <c r="M664" s="1">
        <f t="shared" si="64"/>
        <v>-3.706311922684058E-2</v>
      </c>
      <c r="N664" s="2">
        <v>93.9</v>
      </c>
      <c r="O664" s="2">
        <v>111.1</v>
      </c>
      <c r="P664" s="2">
        <f t="shared" si="65"/>
        <v>-17.199999999999989</v>
      </c>
      <c r="Q664">
        <v>-1.4</v>
      </c>
    </row>
    <row r="665" spans="1:17">
      <c r="A665" t="s">
        <v>52</v>
      </c>
      <c r="B665" t="s">
        <v>13</v>
      </c>
      <c r="C665">
        <v>51</v>
      </c>
      <c r="D665">
        <v>31</v>
      </c>
      <c r="E665" s="1">
        <f t="shared" si="60"/>
        <v>0.62195121951219512</v>
      </c>
      <c r="F665" s="2">
        <v>104.3</v>
      </c>
      <c r="G665" s="2">
        <v>99.5</v>
      </c>
      <c r="H665" s="2">
        <f t="shared" si="61"/>
        <v>4.7999999999999972</v>
      </c>
      <c r="I665" s="1">
        <f t="shared" si="62"/>
        <v>0.65916874214261856</v>
      </c>
      <c r="J665" s="2">
        <v>106.3</v>
      </c>
      <c r="K665" s="2">
        <v>101.4</v>
      </c>
      <c r="L665" s="2">
        <f t="shared" si="63"/>
        <v>4.8999999999999915</v>
      </c>
      <c r="M665" s="1">
        <f t="shared" si="64"/>
        <v>-3.7217522630423439E-2</v>
      </c>
      <c r="N665" s="2">
        <v>101.2</v>
      </c>
      <c r="O665" s="2">
        <v>94.5</v>
      </c>
      <c r="P665" s="2">
        <f t="shared" si="65"/>
        <v>6.7000000000000028</v>
      </c>
      <c r="Q665">
        <v>0.5</v>
      </c>
    </row>
    <row r="666" spans="1:17">
      <c r="A666" t="s">
        <v>34</v>
      </c>
      <c r="B666" t="s">
        <v>24</v>
      </c>
      <c r="C666">
        <v>43</v>
      </c>
      <c r="D666">
        <v>39</v>
      </c>
      <c r="E666" s="1">
        <f t="shared" si="60"/>
        <v>0.52439024390243905</v>
      </c>
      <c r="F666" s="2">
        <v>91</v>
      </c>
      <c r="G666" s="2">
        <v>89.4</v>
      </c>
      <c r="H666" s="2">
        <f t="shared" si="61"/>
        <v>1.5999999999999943</v>
      </c>
      <c r="I666" s="1">
        <f t="shared" si="62"/>
        <v>0.56176874789874143</v>
      </c>
      <c r="J666" s="2">
        <v>100.5</v>
      </c>
      <c r="K666" s="2">
        <v>98.7</v>
      </c>
      <c r="L666" s="2">
        <f t="shared" si="63"/>
        <v>1.7999999999999972</v>
      </c>
      <c r="M666" s="1">
        <f t="shared" si="64"/>
        <v>-3.7378503996302381E-2</v>
      </c>
      <c r="N666" s="2">
        <v>90.2</v>
      </c>
      <c r="O666" s="2">
        <v>83</v>
      </c>
      <c r="P666" s="2">
        <f t="shared" si="65"/>
        <v>7.2000000000000028</v>
      </c>
      <c r="Q666">
        <v>0</v>
      </c>
    </row>
    <row r="667" spans="1:17">
      <c r="A667" t="s">
        <v>57</v>
      </c>
      <c r="B667" t="s">
        <v>18</v>
      </c>
      <c r="C667">
        <v>41</v>
      </c>
      <c r="D667">
        <v>41</v>
      </c>
      <c r="E667" s="1">
        <f t="shared" si="60"/>
        <v>0.5</v>
      </c>
      <c r="F667" s="2">
        <v>103.2</v>
      </c>
      <c r="G667" s="2">
        <v>102.1</v>
      </c>
      <c r="H667" s="2">
        <f t="shared" si="61"/>
        <v>1.1000000000000085</v>
      </c>
      <c r="I667" s="1">
        <f t="shared" si="62"/>
        <v>0.53743625677450491</v>
      </c>
      <c r="J667" s="2">
        <v>107.4</v>
      </c>
      <c r="K667" s="2">
        <v>106.4</v>
      </c>
      <c r="L667" s="2">
        <f t="shared" si="63"/>
        <v>1</v>
      </c>
      <c r="M667" s="1">
        <f t="shared" si="64"/>
        <v>-3.7436256774504906E-2</v>
      </c>
      <c r="N667" s="2">
        <v>96.4</v>
      </c>
      <c r="O667" s="2">
        <v>107.3</v>
      </c>
      <c r="P667" s="2">
        <f t="shared" si="65"/>
        <v>-10.899999999999991</v>
      </c>
      <c r="Q667">
        <v>1</v>
      </c>
    </row>
    <row r="668" spans="1:17">
      <c r="A668" t="s">
        <v>54</v>
      </c>
      <c r="B668" t="s">
        <v>20</v>
      </c>
      <c r="C668">
        <v>16</v>
      </c>
      <c r="D668">
        <v>66</v>
      </c>
      <c r="E668" s="1">
        <f t="shared" si="60"/>
        <v>0.1951219512195122</v>
      </c>
      <c r="F668" s="2">
        <v>97.8</v>
      </c>
      <c r="G668" s="2">
        <v>106.5</v>
      </c>
      <c r="H668" s="2">
        <f t="shared" si="61"/>
        <v>-8.7000000000000028</v>
      </c>
      <c r="I668" s="1">
        <f t="shared" si="62"/>
        <v>0.23270751266872564</v>
      </c>
      <c r="J668" s="2">
        <v>101.8</v>
      </c>
      <c r="K668" s="2">
        <v>110.9</v>
      </c>
      <c r="L668" s="2">
        <f t="shared" si="63"/>
        <v>-9.1000000000000085</v>
      </c>
      <c r="M668" s="1">
        <f t="shared" si="64"/>
        <v>-3.7585561449213434E-2</v>
      </c>
      <c r="N668" s="2">
        <v>103.7</v>
      </c>
      <c r="O668" s="2">
        <v>107.6</v>
      </c>
      <c r="P668" s="2">
        <f t="shared" si="65"/>
        <v>-3.8999999999999915</v>
      </c>
      <c r="Q668">
        <v>-0.1</v>
      </c>
    </row>
    <row r="669" spans="1:17">
      <c r="A669" t="s">
        <v>39</v>
      </c>
      <c r="B669" t="s">
        <v>35</v>
      </c>
      <c r="C669">
        <v>45</v>
      </c>
      <c r="D669">
        <v>37</v>
      </c>
      <c r="E669" s="1">
        <f t="shared" si="60"/>
        <v>0.54878048780487809</v>
      </c>
      <c r="F669" s="2">
        <v>93.4</v>
      </c>
      <c r="G669" s="2">
        <v>91.1</v>
      </c>
      <c r="H669" s="2">
        <f t="shared" si="61"/>
        <v>2.3000000000000114</v>
      </c>
      <c r="I669" s="1">
        <f t="shared" si="62"/>
        <v>0.58639193476175844</v>
      </c>
      <c r="J669" s="2">
        <v>104.2</v>
      </c>
      <c r="K669" s="2">
        <v>101.5</v>
      </c>
      <c r="L669" s="2">
        <f t="shared" si="63"/>
        <v>2.7000000000000028</v>
      </c>
      <c r="M669" s="1">
        <f t="shared" si="64"/>
        <v>-3.7611446956880346E-2</v>
      </c>
      <c r="N669" s="2">
        <v>103.9</v>
      </c>
      <c r="O669" s="2">
        <v>93.3</v>
      </c>
      <c r="P669" s="2">
        <f t="shared" si="65"/>
        <v>10.600000000000009</v>
      </c>
      <c r="Q669">
        <v>0</v>
      </c>
    </row>
    <row r="670" spans="1:17">
      <c r="A670" t="s">
        <v>61</v>
      </c>
      <c r="B670" t="s">
        <v>31</v>
      </c>
      <c r="C670">
        <v>52</v>
      </c>
      <c r="D670">
        <v>20</v>
      </c>
      <c r="E670" s="1">
        <f t="shared" si="60"/>
        <v>0.72222222222222221</v>
      </c>
      <c r="F670" s="2">
        <v>116.4</v>
      </c>
      <c r="G670" s="2">
        <v>107.2</v>
      </c>
      <c r="H670" s="2">
        <f t="shared" si="61"/>
        <v>9.2000000000000028</v>
      </c>
      <c r="I670" s="1">
        <f t="shared" si="62"/>
        <v>0.76000519896530916</v>
      </c>
      <c r="J670" s="2">
        <v>116.5</v>
      </c>
      <c r="K670" s="2">
        <v>107.5</v>
      </c>
      <c r="L670" s="2">
        <f t="shared" si="63"/>
        <v>9</v>
      </c>
      <c r="M670" s="1">
        <f t="shared" si="64"/>
        <v>-3.7782976743086949E-2</v>
      </c>
      <c r="N670" s="2">
        <v>118.2</v>
      </c>
      <c r="O670" s="2">
        <v>110.1</v>
      </c>
      <c r="P670" s="2">
        <f t="shared" si="65"/>
        <v>8.1000000000000085</v>
      </c>
      <c r="Q670">
        <v>1.2</v>
      </c>
    </row>
    <row r="671" spans="1:17">
      <c r="A671" t="s">
        <v>39</v>
      </c>
      <c r="B671" t="s">
        <v>5</v>
      </c>
      <c r="C671">
        <v>13</v>
      </c>
      <c r="D671">
        <v>69</v>
      </c>
      <c r="E671" s="1">
        <f t="shared" si="60"/>
        <v>0.15853658536585366</v>
      </c>
      <c r="F671" s="2">
        <v>92.7</v>
      </c>
      <c r="G671" s="2">
        <v>102.5</v>
      </c>
      <c r="H671" s="2">
        <f t="shared" si="61"/>
        <v>-9.7999999999999972</v>
      </c>
      <c r="I671" s="1">
        <f t="shared" si="62"/>
        <v>0.19672021863355632</v>
      </c>
      <c r="J671" s="2">
        <v>98.8</v>
      </c>
      <c r="K671" s="2">
        <v>109</v>
      </c>
      <c r="L671" s="2">
        <f t="shared" si="63"/>
        <v>-10.200000000000003</v>
      </c>
      <c r="M671" s="1">
        <f t="shared" si="64"/>
        <v>-3.818363326770266E-2</v>
      </c>
      <c r="N671" s="2">
        <v>94.5</v>
      </c>
      <c r="O671" s="2">
        <v>109.5</v>
      </c>
      <c r="P671" s="2">
        <f t="shared" si="65"/>
        <v>-15</v>
      </c>
      <c r="Q671">
        <v>-2.4</v>
      </c>
    </row>
    <row r="672" spans="1:17">
      <c r="A672" t="s">
        <v>44</v>
      </c>
      <c r="B672" t="s">
        <v>18</v>
      </c>
      <c r="C672">
        <v>15</v>
      </c>
      <c r="D672">
        <v>67</v>
      </c>
      <c r="E672" s="1">
        <f t="shared" si="60"/>
        <v>0.18292682926829268</v>
      </c>
      <c r="F672" s="2">
        <v>91.4</v>
      </c>
      <c r="G672" s="2">
        <v>100</v>
      </c>
      <c r="H672" s="2">
        <f t="shared" si="61"/>
        <v>-8.5999999999999943</v>
      </c>
      <c r="I672" s="1">
        <f t="shared" si="62"/>
        <v>0.2211554021057861</v>
      </c>
      <c r="J672" s="2">
        <v>99.4</v>
      </c>
      <c r="K672" s="2">
        <v>108.8</v>
      </c>
      <c r="L672" s="2">
        <f t="shared" si="63"/>
        <v>-9.3999999999999915</v>
      </c>
      <c r="M672" s="1">
        <f t="shared" si="64"/>
        <v>-3.8228572837493424E-2</v>
      </c>
      <c r="N672" s="2">
        <v>85.2</v>
      </c>
      <c r="O672" s="2">
        <v>111.4</v>
      </c>
      <c r="P672" s="2">
        <f t="shared" si="65"/>
        <v>-26.200000000000003</v>
      </c>
      <c r="Q672">
        <v>-2</v>
      </c>
    </row>
    <row r="673" spans="1:17">
      <c r="A673" t="s">
        <v>39</v>
      </c>
      <c r="B673" t="s">
        <v>30</v>
      </c>
      <c r="C673">
        <v>33</v>
      </c>
      <c r="D673">
        <v>49</v>
      </c>
      <c r="E673" s="1">
        <f t="shared" si="60"/>
        <v>0.40243902439024393</v>
      </c>
      <c r="F673" s="2">
        <v>99.7</v>
      </c>
      <c r="G673" s="2">
        <v>101.4</v>
      </c>
      <c r="H673" s="2">
        <f t="shared" si="61"/>
        <v>-1.7000000000000028</v>
      </c>
      <c r="I673" s="1">
        <f t="shared" si="62"/>
        <v>0.44109880691820486</v>
      </c>
      <c r="J673" s="2">
        <v>105.4</v>
      </c>
      <c r="K673" s="2">
        <v>107.2</v>
      </c>
      <c r="L673" s="2">
        <f t="shared" si="63"/>
        <v>-1.7999999999999972</v>
      </c>
      <c r="M673" s="1">
        <f t="shared" si="64"/>
        <v>-3.8659782527960929E-2</v>
      </c>
      <c r="N673" s="2">
        <v>110.7</v>
      </c>
      <c r="O673" s="2">
        <v>104.6</v>
      </c>
      <c r="P673" s="2">
        <f t="shared" si="65"/>
        <v>6.1000000000000085</v>
      </c>
      <c r="Q673">
        <v>2</v>
      </c>
    </row>
    <row r="674" spans="1:17">
      <c r="A674" t="s">
        <v>59</v>
      </c>
      <c r="B674" t="s">
        <v>6</v>
      </c>
      <c r="C674">
        <v>49</v>
      </c>
      <c r="D674">
        <v>33</v>
      </c>
      <c r="E674" s="1">
        <f t="shared" si="60"/>
        <v>0.59756097560975607</v>
      </c>
      <c r="F674" s="2">
        <v>112.4</v>
      </c>
      <c r="G674" s="2">
        <v>108</v>
      </c>
      <c r="H674" s="2">
        <f t="shared" si="61"/>
        <v>4.4000000000000057</v>
      </c>
      <c r="I674" s="1">
        <f t="shared" si="62"/>
        <v>0.63623453885464354</v>
      </c>
      <c r="J674" s="2">
        <v>111.3</v>
      </c>
      <c r="K674" s="2">
        <v>107</v>
      </c>
      <c r="L674" s="2">
        <f t="shared" si="63"/>
        <v>4.2999999999999972</v>
      </c>
      <c r="M674" s="1">
        <f t="shared" si="64"/>
        <v>-3.8673563244887466E-2</v>
      </c>
      <c r="N674" s="2">
        <v>123.8</v>
      </c>
      <c r="O674" s="2">
        <v>114.7</v>
      </c>
      <c r="P674" s="2">
        <f t="shared" si="65"/>
        <v>9.0999999999999943</v>
      </c>
      <c r="Q674">
        <v>1.4</v>
      </c>
    </row>
    <row r="675" spans="1:17">
      <c r="A675" t="s">
        <v>65</v>
      </c>
      <c r="B675" t="s">
        <v>31</v>
      </c>
      <c r="C675">
        <v>17</v>
      </c>
      <c r="D675">
        <v>65</v>
      </c>
      <c r="E675" s="1">
        <f t="shared" si="60"/>
        <v>0.2073170731707317</v>
      </c>
      <c r="F675" s="2">
        <v>111.9</v>
      </c>
      <c r="G675" s="2">
        <v>121.2</v>
      </c>
      <c r="H675" s="2">
        <f t="shared" si="61"/>
        <v>-9.2999999999999972</v>
      </c>
      <c r="I675" s="1">
        <f t="shared" si="62"/>
        <v>0.24643622472101792</v>
      </c>
      <c r="J675" s="2">
        <v>110.2</v>
      </c>
      <c r="K675" s="2">
        <v>119.4</v>
      </c>
      <c r="L675" s="2">
        <f t="shared" si="63"/>
        <v>-9.2000000000000028</v>
      </c>
      <c r="M675" s="1">
        <f t="shared" si="64"/>
        <v>-3.9119151550286224E-2</v>
      </c>
      <c r="N675" s="2">
        <v>106.5</v>
      </c>
      <c r="O675" s="2">
        <v>127</v>
      </c>
      <c r="P675" s="2">
        <f t="shared" si="65"/>
        <v>-20.5</v>
      </c>
      <c r="Q675">
        <v>-2</v>
      </c>
    </row>
    <row r="676" spans="1:17">
      <c r="A676" t="s">
        <v>41</v>
      </c>
      <c r="B676" t="s">
        <v>17</v>
      </c>
      <c r="C676">
        <v>45</v>
      </c>
      <c r="D676">
        <v>37</v>
      </c>
      <c r="E676" s="1">
        <f t="shared" si="60"/>
        <v>0.54878048780487809</v>
      </c>
      <c r="F676" s="2">
        <v>99.4</v>
      </c>
      <c r="G676" s="2">
        <v>96.9</v>
      </c>
      <c r="H676" s="2">
        <f t="shared" si="61"/>
        <v>2.5</v>
      </c>
      <c r="I676" s="1">
        <f t="shared" si="62"/>
        <v>0.58822109610228113</v>
      </c>
      <c r="J676" s="2">
        <v>106.8</v>
      </c>
      <c r="K676" s="2">
        <v>104.2</v>
      </c>
      <c r="L676" s="2">
        <f t="shared" si="63"/>
        <v>2.5999999999999943</v>
      </c>
      <c r="M676" s="1">
        <f t="shared" si="64"/>
        <v>-3.9440608297403035E-2</v>
      </c>
      <c r="N676" s="2">
        <v>108.6</v>
      </c>
      <c r="O676" s="2">
        <v>109.5</v>
      </c>
      <c r="P676" s="2">
        <f t="shared" si="65"/>
        <v>-0.90000000000000568</v>
      </c>
      <c r="Q676">
        <v>0.7</v>
      </c>
    </row>
    <row r="677" spans="1:17">
      <c r="A677" t="s">
        <v>41</v>
      </c>
      <c r="B677" t="s">
        <v>13</v>
      </c>
      <c r="C677">
        <v>34</v>
      </c>
      <c r="D677">
        <v>48</v>
      </c>
      <c r="E677" s="1">
        <f t="shared" si="60"/>
        <v>0.41463414634146339</v>
      </c>
      <c r="F677" s="2">
        <v>98.5</v>
      </c>
      <c r="G677" s="2">
        <v>99.8</v>
      </c>
      <c r="H677" s="2">
        <f t="shared" si="61"/>
        <v>-1.2999999999999972</v>
      </c>
      <c r="I677" s="1">
        <f t="shared" si="62"/>
        <v>0.45423770290238813</v>
      </c>
      <c r="J677" s="2">
        <v>103.5</v>
      </c>
      <c r="K677" s="2">
        <v>104.9</v>
      </c>
      <c r="L677" s="2">
        <f t="shared" si="63"/>
        <v>-1.4000000000000057</v>
      </c>
      <c r="M677" s="1">
        <f t="shared" si="64"/>
        <v>-3.9603556560924735E-2</v>
      </c>
      <c r="N677" s="2">
        <v>101</v>
      </c>
      <c r="O677" s="2">
        <v>112.8</v>
      </c>
      <c r="P677" s="2">
        <f t="shared" si="65"/>
        <v>-11.799999999999997</v>
      </c>
      <c r="Q677">
        <v>-0.6</v>
      </c>
    </row>
    <row r="678" spans="1:17">
      <c r="A678" t="s">
        <v>63</v>
      </c>
      <c r="B678" t="s">
        <v>10</v>
      </c>
      <c r="C678">
        <v>38</v>
      </c>
      <c r="D678">
        <v>44</v>
      </c>
      <c r="E678" s="1">
        <f t="shared" si="60"/>
        <v>0.46341463414634149</v>
      </c>
      <c r="F678" s="2">
        <v>114.2</v>
      </c>
      <c r="G678" s="2">
        <v>114.1</v>
      </c>
      <c r="H678" s="2">
        <f t="shared" si="61"/>
        <v>0.10000000000000853</v>
      </c>
      <c r="I678" s="1">
        <f t="shared" si="62"/>
        <v>0.50306610280519148</v>
      </c>
      <c r="J678" s="2">
        <v>115.9</v>
      </c>
      <c r="K678" s="2">
        <v>116.1</v>
      </c>
      <c r="L678" s="2">
        <f t="shared" si="63"/>
        <v>-0.19999999999998863</v>
      </c>
      <c r="M678" s="1">
        <f t="shared" si="64"/>
        <v>-3.9651468658849998E-2</v>
      </c>
      <c r="N678" s="2">
        <v>105.1</v>
      </c>
      <c r="O678" s="2">
        <v>106.2</v>
      </c>
      <c r="P678" s="2">
        <f t="shared" si="65"/>
        <v>-1.1000000000000085</v>
      </c>
      <c r="Q678">
        <v>-0.7</v>
      </c>
    </row>
    <row r="679" spans="1:17">
      <c r="A679" t="s">
        <v>43</v>
      </c>
      <c r="B679" t="s">
        <v>14</v>
      </c>
      <c r="C679">
        <v>52</v>
      </c>
      <c r="D679">
        <v>30</v>
      </c>
      <c r="E679" s="1">
        <f t="shared" si="60"/>
        <v>0.63414634146341464</v>
      </c>
      <c r="F679" s="2">
        <v>97</v>
      </c>
      <c r="G679" s="2">
        <v>92.1</v>
      </c>
      <c r="H679" s="2">
        <f t="shared" si="61"/>
        <v>4.9000000000000057</v>
      </c>
      <c r="I679" s="1">
        <f t="shared" si="62"/>
        <v>0.67386194635235153</v>
      </c>
      <c r="J679" s="2">
        <v>104.7</v>
      </c>
      <c r="K679" s="2">
        <v>99.7</v>
      </c>
      <c r="L679" s="2">
        <f t="shared" si="63"/>
        <v>5</v>
      </c>
      <c r="M679" s="1">
        <f t="shared" si="64"/>
        <v>-3.9715604888936884E-2</v>
      </c>
      <c r="N679" s="2">
        <v>99.7</v>
      </c>
      <c r="O679" s="2">
        <v>108.4</v>
      </c>
      <c r="P679" s="2">
        <f t="shared" si="65"/>
        <v>-8.7000000000000028</v>
      </c>
      <c r="Q679">
        <v>-1.4</v>
      </c>
    </row>
    <row r="680" spans="1:17">
      <c r="A680" t="s">
        <v>52</v>
      </c>
      <c r="B680" t="s">
        <v>6</v>
      </c>
      <c r="C680">
        <v>25</v>
      </c>
      <c r="D680">
        <v>57</v>
      </c>
      <c r="E680" s="1">
        <f t="shared" si="60"/>
        <v>0.3048780487804878</v>
      </c>
      <c r="F680" s="2">
        <v>96.2</v>
      </c>
      <c r="G680" s="2">
        <v>100.7</v>
      </c>
      <c r="H680" s="2">
        <f t="shared" si="61"/>
        <v>-4.5</v>
      </c>
      <c r="I680" s="1">
        <f t="shared" si="62"/>
        <v>0.34523971521963903</v>
      </c>
      <c r="J680" s="2">
        <v>101.9</v>
      </c>
      <c r="K680" s="2">
        <v>106.5</v>
      </c>
      <c r="L680" s="2">
        <f t="shared" si="63"/>
        <v>-4.5999999999999943</v>
      </c>
      <c r="M680" s="1">
        <f t="shared" si="64"/>
        <v>-4.0361666439151234E-2</v>
      </c>
      <c r="N680" s="2">
        <v>88.5</v>
      </c>
      <c r="O680" s="2">
        <v>112.9</v>
      </c>
      <c r="P680" s="2">
        <f t="shared" si="65"/>
        <v>-24.400000000000006</v>
      </c>
      <c r="Q680">
        <v>-2</v>
      </c>
    </row>
    <row r="681" spans="1:17">
      <c r="A681" t="s">
        <v>49</v>
      </c>
      <c r="B681" t="s">
        <v>37</v>
      </c>
      <c r="C681">
        <v>21</v>
      </c>
      <c r="D681">
        <v>45</v>
      </c>
      <c r="E681" s="1">
        <f t="shared" si="60"/>
        <v>0.31818181818181818</v>
      </c>
      <c r="F681" s="2">
        <v>89.6</v>
      </c>
      <c r="G681" s="2">
        <v>93.4</v>
      </c>
      <c r="H681" s="2">
        <f t="shared" si="61"/>
        <v>-3.8000000000000114</v>
      </c>
      <c r="I681" s="1">
        <f t="shared" si="62"/>
        <v>0.35858651544032732</v>
      </c>
      <c r="J681" s="2">
        <v>99.9</v>
      </c>
      <c r="K681" s="2">
        <v>103.9</v>
      </c>
      <c r="L681" s="2">
        <f t="shared" si="63"/>
        <v>-4</v>
      </c>
      <c r="M681" s="1">
        <f t="shared" si="64"/>
        <v>-4.0404697258509148E-2</v>
      </c>
      <c r="N681" s="2">
        <v>93.5</v>
      </c>
      <c r="O681" s="2">
        <v>105.4</v>
      </c>
      <c r="P681" s="2">
        <f t="shared" si="65"/>
        <v>-11.900000000000006</v>
      </c>
      <c r="Q681">
        <v>-0.9</v>
      </c>
    </row>
    <row r="682" spans="1:17">
      <c r="A682" t="s">
        <v>60</v>
      </c>
      <c r="B682" t="s">
        <v>25</v>
      </c>
      <c r="C682">
        <v>34</v>
      </c>
      <c r="D682">
        <v>39</v>
      </c>
      <c r="E682" s="1">
        <f t="shared" si="60"/>
        <v>0.46575342465753422</v>
      </c>
      <c r="F682" s="2">
        <v>113.6</v>
      </c>
      <c r="G682" s="2">
        <v>113.4</v>
      </c>
      <c r="H682" s="2">
        <f t="shared" si="61"/>
        <v>0.19999999999998863</v>
      </c>
      <c r="I682" s="1">
        <f t="shared" si="62"/>
        <v>0.50616708971115398</v>
      </c>
      <c r="J682" s="2">
        <v>111.3</v>
      </c>
      <c r="K682" s="2">
        <v>110.8</v>
      </c>
      <c r="L682" s="2">
        <f t="shared" si="63"/>
        <v>0.5</v>
      </c>
      <c r="M682" s="1">
        <f t="shared" si="64"/>
        <v>-4.0413665053619763E-2</v>
      </c>
      <c r="N682" s="2">
        <v>110.3</v>
      </c>
      <c r="O682" s="2">
        <v>110.8</v>
      </c>
      <c r="P682" s="2">
        <f t="shared" si="65"/>
        <v>-0.5</v>
      </c>
      <c r="Q682">
        <v>-0.7</v>
      </c>
    </row>
    <row r="683" spans="1:17">
      <c r="A683" t="s">
        <v>36</v>
      </c>
      <c r="B683" t="s">
        <v>15</v>
      </c>
      <c r="C683">
        <v>48</v>
      </c>
      <c r="D683">
        <v>34</v>
      </c>
      <c r="E683" s="1">
        <f t="shared" si="60"/>
        <v>0.58536585365853655</v>
      </c>
      <c r="F683" s="2">
        <v>96.8</v>
      </c>
      <c r="G683" s="2">
        <v>93.3</v>
      </c>
      <c r="H683" s="2">
        <f t="shared" si="61"/>
        <v>3.5</v>
      </c>
      <c r="I683" s="1">
        <f t="shared" si="62"/>
        <v>0.62611280259686619</v>
      </c>
      <c r="J683" s="2">
        <v>103.2</v>
      </c>
      <c r="K683" s="2">
        <v>99.6</v>
      </c>
      <c r="L683" s="2">
        <f t="shared" si="63"/>
        <v>3.6000000000000085</v>
      </c>
      <c r="M683" s="1">
        <f t="shared" si="64"/>
        <v>-4.0746948938329641E-2</v>
      </c>
      <c r="N683" s="2">
        <v>90.7</v>
      </c>
      <c r="O683" s="2">
        <v>97.8</v>
      </c>
      <c r="P683" s="2">
        <f t="shared" si="65"/>
        <v>-7.0999999999999943</v>
      </c>
      <c r="Q683">
        <v>-0.6</v>
      </c>
    </row>
    <row r="684" spans="1:17">
      <c r="A684" t="s">
        <v>49</v>
      </c>
      <c r="B684" t="s">
        <v>19</v>
      </c>
      <c r="C684">
        <v>31</v>
      </c>
      <c r="D684">
        <v>35</v>
      </c>
      <c r="E684" s="1">
        <f t="shared" si="60"/>
        <v>0.46969696969696972</v>
      </c>
      <c r="F684" s="2">
        <v>99</v>
      </c>
      <c r="G684" s="2">
        <v>98.7</v>
      </c>
      <c r="H684" s="2">
        <f t="shared" si="61"/>
        <v>0.29999999999999716</v>
      </c>
      <c r="I684" s="1">
        <f t="shared" si="62"/>
        <v>0.51062056521838828</v>
      </c>
      <c r="J684" s="2">
        <v>104.5</v>
      </c>
      <c r="K684" s="2">
        <v>104.1</v>
      </c>
      <c r="L684" s="2">
        <f t="shared" si="63"/>
        <v>0.40000000000000568</v>
      </c>
      <c r="M684" s="1">
        <f t="shared" si="64"/>
        <v>-4.0923595521418554E-2</v>
      </c>
      <c r="N684" s="2">
        <v>96.1</v>
      </c>
      <c r="O684" s="2">
        <v>107.1</v>
      </c>
      <c r="P684" s="2">
        <f t="shared" si="65"/>
        <v>-11</v>
      </c>
      <c r="Q684">
        <v>1.1000000000000001</v>
      </c>
    </row>
    <row r="685" spans="1:17">
      <c r="A685" t="s">
        <v>61</v>
      </c>
      <c r="B685" t="s">
        <v>8</v>
      </c>
      <c r="C685">
        <v>31</v>
      </c>
      <c r="D685">
        <v>41</v>
      </c>
      <c r="E685" s="1">
        <f t="shared" si="60"/>
        <v>0.43055555555555558</v>
      </c>
      <c r="F685" s="2">
        <v>110.7</v>
      </c>
      <c r="G685" s="2">
        <v>111.6</v>
      </c>
      <c r="H685" s="2">
        <f t="shared" si="61"/>
        <v>-0.89999999999999147</v>
      </c>
      <c r="I685" s="1">
        <f t="shared" si="62"/>
        <v>0.47169007456598405</v>
      </c>
      <c r="J685" s="2">
        <v>110.4</v>
      </c>
      <c r="K685" s="2">
        <v>111.5</v>
      </c>
      <c r="L685" s="2">
        <f t="shared" si="63"/>
        <v>-1.0999999999999943</v>
      </c>
      <c r="M685" s="1">
        <f t="shared" si="64"/>
        <v>-4.1134519010428472E-2</v>
      </c>
      <c r="N685" s="2">
        <v>107.1</v>
      </c>
      <c r="O685" s="2">
        <v>115.2</v>
      </c>
      <c r="P685" s="2">
        <f t="shared" si="65"/>
        <v>-8.1000000000000085</v>
      </c>
      <c r="Q685">
        <v>-1.1000000000000001</v>
      </c>
    </row>
    <row r="686" spans="1:17">
      <c r="A686" t="s">
        <v>58</v>
      </c>
      <c r="B686" t="s">
        <v>51</v>
      </c>
      <c r="C686">
        <v>28</v>
      </c>
      <c r="D686">
        <v>54</v>
      </c>
      <c r="E686" s="1">
        <f t="shared" si="60"/>
        <v>0.34146341463414637</v>
      </c>
      <c r="F686" s="2">
        <v>106.6</v>
      </c>
      <c r="G686" s="2">
        <v>110.3</v>
      </c>
      <c r="H686" s="2">
        <f t="shared" si="61"/>
        <v>-3.7000000000000028</v>
      </c>
      <c r="I686" s="1">
        <f t="shared" si="62"/>
        <v>0.38279873776476753</v>
      </c>
      <c r="J686" s="2">
        <v>106.1</v>
      </c>
      <c r="K686" s="2">
        <v>109.7</v>
      </c>
      <c r="L686" s="2">
        <f t="shared" si="63"/>
        <v>-3.6000000000000085</v>
      </c>
      <c r="M686" s="1">
        <f t="shared" si="64"/>
        <v>-4.133532313062116E-2</v>
      </c>
      <c r="N686" s="2">
        <v>98.5</v>
      </c>
      <c r="O686" s="2">
        <v>108.4</v>
      </c>
      <c r="P686" s="2">
        <f t="shared" si="65"/>
        <v>-9.9000000000000057</v>
      </c>
      <c r="Q686">
        <v>-0.7</v>
      </c>
    </row>
    <row r="687" spans="1:17">
      <c r="A687" t="s">
        <v>58</v>
      </c>
      <c r="B687" t="s">
        <v>23</v>
      </c>
      <c r="C687">
        <v>25</v>
      </c>
      <c r="D687">
        <v>57</v>
      </c>
      <c r="E687" s="1">
        <f t="shared" si="60"/>
        <v>0.3048780487804878</v>
      </c>
      <c r="F687" s="2">
        <v>103.4</v>
      </c>
      <c r="G687" s="2">
        <v>108.2</v>
      </c>
      <c r="H687" s="2">
        <f t="shared" si="61"/>
        <v>-4.7999999999999972</v>
      </c>
      <c r="I687" s="1">
        <f t="shared" si="62"/>
        <v>0.34631662039158329</v>
      </c>
      <c r="J687" s="2">
        <v>104.7</v>
      </c>
      <c r="K687" s="2">
        <v>109.4</v>
      </c>
      <c r="L687" s="2">
        <f t="shared" si="63"/>
        <v>-4.7000000000000028</v>
      </c>
      <c r="M687" s="1">
        <f t="shared" si="64"/>
        <v>-4.1438571611095487E-2</v>
      </c>
      <c r="N687" s="2">
        <v>98.4</v>
      </c>
      <c r="O687" s="2">
        <v>107.1</v>
      </c>
      <c r="P687" s="2">
        <f t="shared" si="65"/>
        <v>-8.6999999999999886</v>
      </c>
      <c r="Q687">
        <v>0</v>
      </c>
    </row>
    <row r="688" spans="1:17">
      <c r="A688" t="s">
        <v>50</v>
      </c>
      <c r="B688" t="s">
        <v>15</v>
      </c>
      <c r="C688">
        <v>49</v>
      </c>
      <c r="D688">
        <v>32</v>
      </c>
      <c r="E688" s="1">
        <f t="shared" si="60"/>
        <v>0.60493827160493829</v>
      </c>
      <c r="F688" s="2">
        <v>94.7</v>
      </c>
      <c r="G688" s="2">
        <v>90.7</v>
      </c>
      <c r="H688" s="2">
        <f t="shared" si="61"/>
        <v>4</v>
      </c>
      <c r="I688" s="1">
        <f t="shared" si="62"/>
        <v>0.64661501230862617</v>
      </c>
      <c r="J688" s="2">
        <v>103.4</v>
      </c>
      <c r="K688" s="2">
        <v>99</v>
      </c>
      <c r="L688" s="2">
        <f t="shared" si="63"/>
        <v>4.4000000000000057</v>
      </c>
      <c r="M688" s="1">
        <f t="shared" si="64"/>
        <v>-4.1676740703687876E-2</v>
      </c>
      <c r="N688" s="2">
        <v>97.6</v>
      </c>
      <c r="O688" s="2">
        <v>86</v>
      </c>
      <c r="P688" s="2">
        <f t="shared" si="65"/>
        <v>11.599999999999994</v>
      </c>
      <c r="Q688">
        <v>0.2</v>
      </c>
    </row>
    <row r="689" spans="1:17">
      <c r="A689" t="s">
        <v>43</v>
      </c>
      <c r="B689" t="s">
        <v>23</v>
      </c>
      <c r="C689">
        <v>40</v>
      </c>
      <c r="D689">
        <v>42</v>
      </c>
      <c r="E689" s="1">
        <f t="shared" si="60"/>
        <v>0.48780487804878048</v>
      </c>
      <c r="F689" s="2">
        <v>94.8</v>
      </c>
      <c r="G689" s="2">
        <v>94</v>
      </c>
      <c r="H689" s="2">
        <f t="shared" si="61"/>
        <v>0.79999999999999716</v>
      </c>
      <c r="I689" s="1">
        <f t="shared" si="62"/>
        <v>0.52962644935389902</v>
      </c>
      <c r="J689" s="2">
        <v>104.1</v>
      </c>
      <c r="K689" s="2">
        <v>103.3</v>
      </c>
      <c r="L689" s="2">
        <f t="shared" si="63"/>
        <v>0.79999999999999716</v>
      </c>
      <c r="M689" s="1">
        <f t="shared" si="64"/>
        <v>-4.1821571305118543E-2</v>
      </c>
      <c r="N689" s="2">
        <v>84.7</v>
      </c>
      <c r="O689" s="2">
        <v>100.9</v>
      </c>
      <c r="P689" s="2">
        <f t="shared" si="65"/>
        <v>-16.200000000000003</v>
      </c>
      <c r="Q689">
        <v>-0.4</v>
      </c>
    </row>
    <row r="690" spans="1:17">
      <c r="A690" t="s">
        <v>41</v>
      </c>
      <c r="B690" t="s">
        <v>35</v>
      </c>
      <c r="C690">
        <v>49</v>
      </c>
      <c r="D690">
        <v>33</v>
      </c>
      <c r="E690" s="1">
        <f t="shared" si="60"/>
        <v>0.59756097560975607</v>
      </c>
      <c r="F690" s="2">
        <v>92.2</v>
      </c>
      <c r="G690" s="2">
        <v>88.5</v>
      </c>
      <c r="H690" s="2">
        <f t="shared" si="61"/>
        <v>3.7000000000000028</v>
      </c>
      <c r="I690" s="1">
        <f t="shared" si="62"/>
        <v>0.63954874282349128</v>
      </c>
      <c r="J690" s="2">
        <v>104.5</v>
      </c>
      <c r="K690" s="2">
        <v>100.4</v>
      </c>
      <c r="L690" s="2">
        <f t="shared" si="63"/>
        <v>4.0999999999999943</v>
      </c>
      <c r="M690" s="1">
        <f t="shared" si="64"/>
        <v>-4.1987767213735205E-2</v>
      </c>
      <c r="N690" s="2">
        <v>106.3</v>
      </c>
      <c r="O690" s="2">
        <v>95.7</v>
      </c>
      <c r="P690" s="2">
        <f t="shared" si="65"/>
        <v>10.599999999999994</v>
      </c>
      <c r="Q690">
        <v>-0.3</v>
      </c>
    </row>
    <row r="691" spans="1:17">
      <c r="A691" t="s">
        <v>45</v>
      </c>
      <c r="B691" t="s">
        <v>20</v>
      </c>
      <c r="C691">
        <v>24</v>
      </c>
      <c r="D691">
        <v>58</v>
      </c>
      <c r="E691" s="1">
        <f t="shared" si="60"/>
        <v>0.29268292682926828</v>
      </c>
      <c r="F691" s="2">
        <v>97.8</v>
      </c>
      <c r="G691" s="2">
        <v>102.7</v>
      </c>
      <c r="H691" s="2">
        <f t="shared" si="61"/>
        <v>-4.9000000000000057</v>
      </c>
      <c r="I691" s="1">
        <f t="shared" si="62"/>
        <v>0.33527428063081338</v>
      </c>
      <c r="J691" s="2">
        <v>104.9</v>
      </c>
      <c r="K691" s="2">
        <v>109.9</v>
      </c>
      <c r="L691" s="2">
        <f t="shared" si="63"/>
        <v>-5</v>
      </c>
      <c r="M691" s="1">
        <f t="shared" si="64"/>
        <v>-4.2591353801545107E-2</v>
      </c>
      <c r="N691" s="2">
        <v>100.9</v>
      </c>
      <c r="O691" s="2">
        <v>119.7</v>
      </c>
      <c r="P691" s="2">
        <f t="shared" si="65"/>
        <v>-18.799999999999997</v>
      </c>
      <c r="Q691">
        <v>-1</v>
      </c>
    </row>
    <row r="692" spans="1:17">
      <c r="A692" t="s">
        <v>4</v>
      </c>
      <c r="B692" t="s">
        <v>33</v>
      </c>
      <c r="C692">
        <v>19</v>
      </c>
      <c r="D692">
        <v>63</v>
      </c>
      <c r="E692" s="1">
        <f t="shared" si="60"/>
        <v>0.23170731707317074</v>
      </c>
      <c r="F692" s="2">
        <v>93.2</v>
      </c>
      <c r="G692" s="2">
        <v>99.9</v>
      </c>
      <c r="H692" s="2">
        <f t="shared" si="61"/>
        <v>-6.7000000000000028</v>
      </c>
      <c r="I692" s="1">
        <f t="shared" si="62"/>
        <v>0.27450046120978927</v>
      </c>
      <c r="J692" s="2">
        <v>99.4</v>
      </c>
      <c r="K692" s="2">
        <v>106.2</v>
      </c>
      <c r="L692" s="2">
        <f t="shared" si="63"/>
        <v>-6.7999999999999972</v>
      </c>
      <c r="M692" s="1">
        <f t="shared" si="64"/>
        <v>-4.2793144136618527E-2</v>
      </c>
      <c r="N692" s="2">
        <v>101.4</v>
      </c>
      <c r="O692" s="2">
        <v>100</v>
      </c>
      <c r="P692" s="2">
        <f t="shared" si="65"/>
        <v>1.4000000000000057</v>
      </c>
      <c r="Q692">
        <v>-1.1000000000000001</v>
      </c>
    </row>
    <row r="693" spans="1:17">
      <c r="A693" t="s">
        <v>4</v>
      </c>
      <c r="B693" t="s">
        <v>26</v>
      </c>
      <c r="C693">
        <v>50</v>
      </c>
      <c r="D693">
        <v>32</v>
      </c>
      <c r="E693" s="1">
        <f t="shared" si="60"/>
        <v>0.6097560975609756</v>
      </c>
      <c r="F693" s="2">
        <v>95.4</v>
      </c>
      <c r="G693" s="2">
        <v>91.2</v>
      </c>
      <c r="H693" s="2">
        <f t="shared" si="61"/>
        <v>4.2000000000000028</v>
      </c>
      <c r="I693" s="1">
        <f t="shared" si="62"/>
        <v>0.65256463390669783</v>
      </c>
      <c r="J693" s="2">
        <v>104.7</v>
      </c>
      <c r="K693" s="2">
        <v>100.5</v>
      </c>
      <c r="L693" s="2">
        <f t="shared" si="63"/>
        <v>4.2000000000000028</v>
      </c>
      <c r="M693" s="1">
        <f t="shared" si="64"/>
        <v>-4.2808536345722237E-2</v>
      </c>
      <c r="N693" s="2">
        <v>109.3</v>
      </c>
      <c r="O693" s="2">
        <v>99.6</v>
      </c>
      <c r="P693" s="2">
        <f t="shared" si="65"/>
        <v>9.7000000000000028</v>
      </c>
      <c r="Q693">
        <v>0.3</v>
      </c>
    </row>
    <row r="694" spans="1:17">
      <c r="A694" t="s">
        <v>48</v>
      </c>
      <c r="B694" t="s">
        <v>19</v>
      </c>
      <c r="C694">
        <v>35</v>
      </c>
      <c r="D694">
        <v>47</v>
      </c>
      <c r="E694" s="1">
        <f t="shared" si="60"/>
        <v>0.42682926829268292</v>
      </c>
      <c r="F694" s="2">
        <v>91.9</v>
      </c>
      <c r="G694" s="2">
        <v>92.7</v>
      </c>
      <c r="H694" s="2">
        <f t="shared" si="61"/>
        <v>-0.79999999999999716</v>
      </c>
      <c r="I694" s="1">
        <f t="shared" si="62"/>
        <v>0.46970111742339138</v>
      </c>
      <c r="J694" s="2">
        <v>100.8</v>
      </c>
      <c r="K694" s="2">
        <v>101.5</v>
      </c>
      <c r="L694" s="2">
        <f t="shared" si="63"/>
        <v>-0.70000000000000284</v>
      </c>
      <c r="M694" s="1">
        <f t="shared" si="64"/>
        <v>-4.2871849130708461E-2</v>
      </c>
      <c r="N694" s="2">
        <v>90.8</v>
      </c>
      <c r="O694" s="2">
        <v>95.2</v>
      </c>
      <c r="P694" s="2">
        <f t="shared" si="65"/>
        <v>-4.4000000000000057</v>
      </c>
      <c r="Q694">
        <v>0.4</v>
      </c>
    </row>
    <row r="695" spans="1:17">
      <c r="A695" t="s">
        <v>61</v>
      </c>
      <c r="B695" t="s">
        <v>6</v>
      </c>
      <c r="C695">
        <v>36</v>
      </c>
      <c r="D695">
        <v>36</v>
      </c>
      <c r="E695" s="1">
        <f t="shared" si="60"/>
        <v>0.5</v>
      </c>
      <c r="F695" s="2">
        <v>112.6</v>
      </c>
      <c r="G695" s="2">
        <v>111.2</v>
      </c>
      <c r="H695" s="2">
        <f t="shared" si="61"/>
        <v>1.3999999999999915</v>
      </c>
      <c r="I695" s="1">
        <f t="shared" si="62"/>
        <v>0.54367805340698128</v>
      </c>
      <c r="J695" s="2">
        <v>113.1</v>
      </c>
      <c r="K695" s="2">
        <v>111.8</v>
      </c>
      <c r="L695" s="2">
        <f t="shared" si="63"/>
        <v>1.2999999999999972</v>
      </c>
      <c r="M695" s="1">
        <f t="shared" si="64"/>
        <v>-4.3678053406981276E-2</v>
      </c>
      <c r="N695" s="2">
        <v>101.5</v>
      </c>
      <c r="O695" s="2">
        <v>112.4</v>
      </c>
      <c r="P695" s="2">
        <f t="shared" si="65"/>
        <v>-10.900000000000006</v>
      </c>
      <c r="Q695">
        <v>0.5</v>
      </c>
    </row>
    <row r="696" spans="1:17">
      <c r="A696" t="s">
        <v>54</v>
      </c>
      <c r="B696" t="s">
        <v>31</v>
      </c>
      <c r="C696">
        <v>38</v>
      </c>
      <c r="D696">
        <v>44</v>
      </c>
      <c r="E696" s="1">
        <f t="shared" si="60"/>
        <v>0.46341463414634149</v>
      </c>
      <c r="F696" s="2">
        <v>95.1</v>
      </c>
      <c r="G696" s="2">
        <v>94.9</v>
      </c>
      <c r="H696" s="2">
        <f t="shared" si="61"/>
        <v>0.19999999999998863</v>
      </c>
      <c r="I696" s="1">
        <f t="shared" si="62"/>
        <v>0.50736789040877028</v>
      </c>
      <c r="J696" s="2">
        <v>104.2</v>
      </c>
      <c r="K696" s="2">
        <v>104.1</v>
      </c>
      <c r="L696" s="2">
        <f t="shared" si="63"/>
        <v>0.10000000000000853</v>
      </c>
      <c r="M696" s="1">
        <f t="shared" si="64"/>
        <v>-4.3953256262428797E-2</v>
      </c>
      <c r="N696" s="2">
        <v>95.5</v>
      </c>
      <c r="O696" s="2">
        <v>97.3</v>
      </c>
      <c r="P696" s="2">
        <f t="shared" si="65"/>
        <v>-1.7999999999999972</v>
      </c>
      <c r="Q696">
        <v>-0.2</v>
      </c>
    </row>
    <row r="697" spans="1:17">
      <c r="A697" t="s">
        <v>63</v>
      </c>
      <c r="B697" t="s">
        <v>9</v>
      </c>
      <c r="C697">
        <v>51</v>
      </c>
      <c r="D697">
        <v>31</v>
      </c>
      <c r="E697" s="1">
        <f t="shared" si="60"/>
        <v>0.62195121951219512</v>
      </c>
      <c r="F697" s="2">
        <v>112.3</v>
      </c>
      <c r="G697" s="2">
        <v>106.9</v>
      </c>
      <c r="H697" s="2">
        <f t="shared" si="61"/>
        <v>5.3999999999999915</v>
      </c>
      <c r="I697" s="1">
        <f t="shared" si="62"/>
        <v>0.66594926626048301</v>
      </c>
      <c r="J697" s="2">
        <v>115.5</v>
      </c>
      <c r="K697" s="2">
        <v>109.9</v>
      </c>
      <c r="L697" s="2">
        <f t="shared" si="63"/>
        <v>5.5999999999999943</v>
      </c>
      <c r="M697" s="1">
        <f t="shared" si="64"/>
        <v>-4.3998046748287889E-2</v>
      </c>
      <c r="N697" s="2">
        <v>97.9</v>
      </c>
      <c r="O697" s="2">
        <v>98.8</v>
      </c>
      <c r="P697" s="2">
        <f t="shared" si="65"/>
        <v>-0.89999999999999147</v>
      </c>
      <c r="Q697">
        <v>2.2000000000000002</v>
      </c>
    </row>
    <row r="698" spans="1:17">
      <c r="A698" t="s">
        <v>64</v>
      </c>
      <c r="B698" t="s">
        <v>28</v>
      </c>
      <c r="C698">
        <v>22</v>
      </c>
      <c r="D698">
        <v>60</v>
      </c>
      <c r="E698" s="1">
        <f t="shared" si="60"/>
        <v>0.26829268292682928</v>
      </c>
      <c r="F698" s="2">
        <v>112.1</v>
      </c>
      <c r="G698" s="2">
        <v>118.6</v>
      </c>
      <c r="H698" s="2">
        <f t="shared" si="61"/>
        <v>-6.5</v>
      </c>
      <c r="I698" s="1">
        <f t="shared" si="62"/>
        <v>0.31235933105064495</v>
      </c>
      <c r="J698" s="2">
        <v>109.3</v>
      </c>
      <c r="K698" s="2">
        <v>115.6</v>
      </c>
      <c r="L698" s="2">
        <f t="shared" si="63"/>
        <v>-6.2999999999999972</v>
      </c>
      <c r="M698" s="1">
        <f t="shared" si="64"/>
        <v>-4.4066648123815666E-2</v>
      </c>
      <c r="N698" s="2">
        <v>101</v>
      </c>
      <c r="O698" s="2">
        <v>113.6</v>
      </c>
      <c r="P698" s="2">
        <f t="shared" si="65"/>
        <v>-12.599999999999994</v>
      </c>
      <c r="Q698">
        <v>-0.2</v>
      </c>
    </row>
    <row r="699" spans="1:17">
      <c r="A699" t="s">
        <v>60</v>
      </c>
      <c r="B699" t="s">
        <v>53</v>
      </c>
      <c r="C699">
        <v>30</v>
      </c>
      <c r="D699">
        <v>42</v>
      </c>
      <c r="E699" s="1">
        <f t="shared" si="60"/>
        <v>0.41666666666666669</v>
      </c>
      <c r="F699" s="2">
        <v>115.8</v>
      </c>
      <c r="G699" s="2">
        <v>117.1</v>
      </c>
      <c r="H699" s="2">
        <f t="shared" si="61"/>
        <v>-1.2999999999999972</v>
      </c>
      <c r="I699" s="1">
        <f t="shared" si="62"/>
        <v>0.46100637384195686</v>
      </c>
      <c r="J699" s="2">
        <v>110.5</v>
      </c>
      <c r="K699" s="2">
        <v>111.8</v>
      </c>
      <c r="L699" s="2">
        <f t="shared" si="63"/>
        <v>-1.2999999999999972</v>
      </c>
      <c r="M699" s="1">
        <f t="shared" si="64"/>
        <v>-4.4339707175290177E-2</v>
      </c>
      <c r="N699" s="2">
        <v>93.4</v>
      </c>
      <c r="O699" s="2">
        <v>119.8</v>
      </c>
      <c r="P699" s="2">
        <f t="shared" si="65"/>
        <v>-26.399999999999991</v>
      </c>
      <c r="Q699">
        <v>0.1</v>
      </c>
    </row>
    <row r="700" spans="1:17">
      <c r="A700" t="s">
        <v>41</v>
      </c>
      <c r="B700" t="s">
        <v>6</v>
      </c>
      <c r="C700">
        <v>33</v>
      </c>
      <c r="D700">
        <v>49</v>
      </c>
      <c r="E700" s="1">
        <f t="shared" si="60"/>
        <v>0.40243902439024393</v>
      </c>
      <c r="F700" s="2">
        <v>98</v>
      </c>
      <c r="G700" s="2">
        <v>99.5</v>
      </c>
      <c r="H700" s="2">
        <f t="shared" si="61"/>
        <v>-1.5</v>
      </c>
      <c r="I700" s="1">
        <f t="shared" si="62"/>
        <v>0.44703388765865459</v>
      </c>
      <c r="J700" s="2">
        <v>104</v>
      </c>
      <c r="K700" s="2">
        <v>105.6</v>
      </c>
      <c r="L700" s="2">
        <f t="shared" si="63"/>
        <v>-1.5999999999999943</v>
      </c>
      <c r="M700" s="1">
        <f t="shared" si="64"/>
        <v>-4.4594863268410667E-2</v>
      </c>
      <c r="N700" s="2">
        <v>94.7</v>
      </c>
      <c r="O700" s="2">
        <v>102.2</v>
      </c>
      <c r="P700" s="2">
        <f t="shared" si="65"/>
        <v>-7.5</v>
      </c>
      <c r="Q700">
        <v>-0.6</v>
      </c>
    </row>
    <row r="701" spans="1:17">
      <c r="A701" t="s">
        <v>48</v>
      </c>
      <c r="B701" t="s">
        <v>11</v>
      </c>
      <c r="C701">
        <v>50</v>
      </c>
      <c r="D701">
        <v>32</v>
      </c>
      <c r="E701" s="1">
        <f t="shared" si="60"/>
        <v>0.6097560975609756</v>
      </c>
      <c r="F701" s="2">
        <v>107.5</v>
      </c>
      <c r="G701" s="2">
        <v>102.7</v>
      </c>
      <c r="H701" s="2">
        <f t="shared" si="61"/>
        <v>4.7999999999999972</v>
      </c>
      <c r="I701" s="1">
        <f t="shared" si="62"/>
        <v>0.65464093009494817</v>
      </c>
      <c r="J701" s="2">
        <v>111.7</v>
      </c>
      <c r="K701" s="2">
        <v>106.8</v>
      </c>
      <c r="L701" s="2">
        <f t="shared" si="63"/>
        <v>4.9000000000000057</v>
      </c>
      <c r="M701" s="1">
        <f t="shared" si="64"/>
        <v>-4.4884832533972574E-2</v>
      </c>
      <c r="N701" s="2">
        <v>107.4</v>
      </c>
      <c r="O701" s="2">
        <v>101.7</v>
      </c>
      <c r="P701" s="2">
        <f t="shared" si="65"/>
        <v>5.7000000000000028</v>
      </c>
      <c r="Q701">
        <v>0.8</v>
      </c>
    </row>
    <row r="702" spans="1:17">
      <c r="A702" t="s">
        <v>41</v>
      </c>
      <c r="B702" t="s">
        <v>40</v>
      </c>
      <c r="C702">
        <v>26</v>
      </c>
      <c r="D702">
        <v>56</v>
      </c>
      <c r="E702" s="1">
        <f t="shared" si="60"/>
        <v>0.31707317073170732</v>
      </c>
      <c r="F702" s="2">
        <v>96.9</v>
      </c>
      <c r="G702" s="2">
        <v>100.9</v>
      </c>
      <c r="H702" s="2">
        <f t="shared" si="61"/>
        <v>-4</v>
      </c>
      <c r="I702" s="1">
        <f t="shared" si="62"/>
        <v>0.36208969727051943</v>
      </c>
      <c r="J702" s="2">
        <v>101.2</v>
      </c>
      <c r="K702" s="2">
        <v>105.6</v>
      </c>
      <c r="L702" s="2">
        <f t="shared" si="63"/>
        <v>-4.3999999999999915</v>
      </c>
      <c r="M702" s="1">
        <f t="shared" si="64"/>
        <v>-4.5016526538812107E-2</v>
      </c>
      <c r="N702" s="2">
        <v>101.7</v>
      </c>
      <c r="O702" s="2">
        <v>100.9</v>
      </c>
      <c r="P702" s="2">
        <f t="shared" si="65"/>
        <v>0.79999999999999716</v>
      </c>
      <c r="Q702">
        <v>0.4</v>
      </c>
    </row>
    <row r="703" spans="1:17">
      <c r="A703" t="s">
        <v>63</v>
      </c>
      <c r="B703" t="s">
        <v>46</v>
      </c>
      <c r="C703">
        <v>40</v>
      </c>
      <c r="D703">
        <v>42</v>
      </c>
      <c r="E703" s="1">
        <f t="shared" si="60"/>
        <v>0.48780487804878048</v>
      </c>
      <c r="F703" s="2">
        <v>117.5</v>
      </c>
      <c r="G703" s="2">
        <v>116.4</v>
      </c>
      <c r="H703" s="2">
        <f t="shared" si="61"/>
        <v>1.0999999999999943</v>
      </c>
      <c r="I703" s="1">
        <f t="shared" si="62"/>
        <v>0.53287280670641013</v>
      </c>
      <c r="J703" s="2">
        <v>114.2</v>
      </c>
      <c r="K703" s="2">
        <v>113.2</v>
      </c>
      <c r="L703" s="2">
        <f t="shared" si="63"/>
        <v>1</v>
      </c>
      <c r="M703" s="1">
        <f t="shared" si="64"/>
        <v>-4.5067928657629652E-2</v>
      </c>
      <c r="N703" s="2">
        <v>97.1</v>
      </c>
      <c r="O703" s="2">
        <v>106.3</v>
      </c>
      <c r="P703" s="2">
        <f t="shared" si="65"/>
        <v>-9.2000000000000028</v>
      </c>
      <c r="Q703">
        <v>-0.7</v>
      </c>
    </row>
    <row r="704" spans="1:17">
      <c r="A704" t="s">
        <v>64</v>
      </c>
      <c r="B704" t="s">
        <v>53</v>
      </c>
      <c r="C704">
        <v>49</v>
      </c>
      <c r="D704">
        <v>32</v>
      </c>
      <c r="E704" s="1">
        <f t="shared" si="60"/>
        <v>0.60493827160493829</v>
      </c>
      <c r="F704" s="2">
        <v>115.4</v>
      </c>
      <c r="G704" s="2">
        <v>110.4</v>
      </c>
      <c r="H704" s="2">
        <f t="shared" si="61"/>
        <v>5</v>
      </c>
      <c r="I704" s="1">
        <f t="shared" si="62"/>
        <v>0.65024563171173744</v>
      </c>
      <c r="J704" s="2">
        <v>116.9</v>
      </c>
      <c r="K704" s="2">
        <v>111.7</v>
      </c>
      <c r="L704" s="2">
        <f t="shared" si="63"/>
        <v>5.2000000000000028</v>
      </c>
      <c r="M704" s="1">
        <f t="shared" si="64"/>
        <v>-4.5307360106799144E-2</v>
      </c>
      <c r="N704" s="2">
        <v>99</v>
      </c>
      <c r="O704" s="2">
        <v>112.3</v>
      </c>
      <c r="P704" s="2">
        <f t="shared" si="65"/>
        <v>-13.299999999999997</v>
      </c>
      <c r="Q704">
        <v>-0.3</v>
      </c>
    </row>
    <row r="705" spans="1:17">
      <c r="A705" t="s">
        <v>62</v>
      </c>
      <c r="B705" t="s">
        <v>22</v>
      </c>
      <c r="C705">
        <v>37</v>
      </c>
      <c r="D705">
        <v>45</v>
      </c>
      <c r="E705" s="1">
        <f t="shared" si="60"/>
        <v>0.45121951219512196</v>
      </c>
      <c r="F705" s="2">
        <v>106.5</v>
      </c>
      <c r="G705" s="2">
        <v>106.6</v>
      </c>
      <c r="H705" s="2">
        <f t="shared" si="61"/>
        <v>-9.9999999999994316E-2</v>
      </c>
      <c r="I705" s="1">
        <f t="shared" si="62"/>
        <v>0.49671520422004956</v>
      </c>
      <c r="J705" s="2">
        <v>109.7</v>
      </c>
      <c r="K705" s="2">
        <v>110.2</v>
      </c>
      <c r="L705" s="2">
        <f t="shared" si="63"/>
        <v>-0.5</v>
      </c>
      <c r="M705" s="1">
        <f t="shared" si="64"/>
        <v>-4.5495692024927592E-2</v>
      </c>
      <c r="N705" s="2">
        <v>93.2</v>
      </c>
      <c r="O705" s="2">
        <v>116.4</v>
      </c>
      <c r="P705" s="2">
        <f t="shared" si="65"/>
        <v>-23.200000000000003</v>
      </c>
      <c r="Q705">
        <v>-0.3</v>
      </c>
    </row>
    <row r="706" spans="1:17">
      <c r="A706" t="s">
        <v>39</v>
      </c>
      <c r="B706" t="s">
        <v>28</v>
      </c>
      <c r="C706">
        <v>59</v>
      </c>
      <c r="D706">
        <v>23</v>
      </c>
      <c r="E706" s="1">
        <f t="shared" si="60"/>
        <v>0.71951219512195119</v>
      </c>
      <c r="F706" s="2">
        <v>96.2</v>
      </c>
      <c r="G706" s="2">
        <v>88.4</v>
      </c>
      <c r="H706" s="2">
        <f t="shared" si="61"/>
        <v>7.7999999999999972</v>
      </c>
      <c r="I706" s="1">
        <f t="shared" si="62"/>
        <v>0.76563098176040723</v>
      </c>
      <c r="J706" s="2">
        <v>106.1</v>
      </c>
      <c r="K706" s="2">
        <v>97.8</v>
      </c>
      <c r="L706" s="2">
        <f t="shared" si="63"/>
        <v>8.2999999999999972</v>
      </c>
      <c r="M706" s="1">
        <f t="shared" si="64"/>
        <v>-4.6118786638456033E-2</v>
      </c>
      <c r="N706" s="2">
        <v>109.4</v>
      </c>
      <c r="O706" s="2">
        <v>110.8</v>
      </c>
      <c r="P706" s="2">
        <f t="shared" si="65"/>
        <v>-1.3999999999999915</v>
      </c>
      <c r="Q706">
        <v>1.7</v>
      </c>
    </row>
    <row r="707" spans="1:17">
      <c r="A707" t="s">
        <v>63</v>
      </c>
      <c r="B707" t="s">
        <v>53</v>
      </c>
      <c r="C707">
        <v>42</v>
      </c>
      <c r="D707">
        <v>40</v>
      </c>
      <c r="E707" s="1">
        <f t="shared" si="60"/>
        <v>0.51219512195121952</v>
      </c>
      <c r="F707" s="2">
        <v>114.4</v>
      </c>
      <c r="G707" s="2">
        <v>112.5</v>
      </c>
      <c r="H707" s="2">
        <f t="shared" si="61"/>
        <v>1.9000000000000057</v>
      </c>
      <c r="I707" s="1">
        <f t="shared" si="62"/>
        <v>0.55835042155864323</v>
      </c>
      <c r="J707" s="2">
        <v>113.8</v>
      </c>
      <c r="K707" s="2">
        <v>112</v>
      </c>
      <c r="L707" s="2">
        <f t="shared" si="63"/>
        <v>1.7999999999999972</v>
      </c>
      <c r="M707" s="1">
        <f t="shared" si="64"/>
        <v>-4.6155299607423705E-2</v>
      </c>
      <c r="N707" s="2">
        <v>113.1</v>
      </c>
      <c r="O707" s="2">
        <v>104</v>
      </c>
      <c r="P707" s="2">
        <f t="shared" si="65"/>
        <v>9.0999999999999943</v>
      </c>
      <c r="Q707">
        <v>0.4</v>
      </c>
    </row>
    <row r="708" spans="1:17">
      <c r="A708" t="s">
        <v>44</v>
      </c>
      <c r="B708" t="s">
        <v>23</v>
      </c>
      <c r="C708">
        <v>52</v>
      </c>
      <c r="D708">
        <v>30</v>
      </c>
      <c r="E708" s="1">
        <f t="shared" si="60"/>
        <v>0.63414634146341464</v>
      </c>
      <c r="F708" s="2">
        <v>104.5</v>
      </c>
      <c r="G708" s="2">
        <v>99</v>
      </c>
      <c r="H708" s="2">
        <f t="shared" si="61"/>
        <v>5.5</v>
      </c>
      <c r="I708" s="1">
        <f t="shared" si="62"/>
        <v>0.68068924490801519</v>
      </c>
      <c r="J708" s="2">
        <v>110.4</v>
      </c>
      <c r="K708" s="2">
        <v>104.9</v>
      </c>
      <c r="L708" s="2">
        <f t="shared" si="63"/>
        <v>5.5</v>
      </c>
      <c r="M708" s="1">
        <f t="shared" si="64"/>
        <v>-4.6542903444600547E-2</v>
      </c>
      <c r="N708" s="2">
        <v>109.5</v>
      </c>
      <c r="O708" s="2">
        <v>103.2</v>
      </c>
      <c r="P708" s="2">
        <f t="shared" si="65"/>
        <v>6.2999999999999972</v>
      </c>
      <c r="Q708">
        <v>1.3</v>
      </c>
    </row>
    <row r="709" spans="1:17">
      <c r="A709" t="s">
        <v>63</v>
      </c>
      <c r="B709" t="s">
        <v>30</v>
      </c>
      <c r="C709">
        <v>41</v>
      </c>
      <c r="D709">
        <v>41</v>
      </c>
      <c r="E709" s="1">
        <f t="shared" si="60"/>
        <v>0.5</v>
      </c>
      <c r="F709" s="2">
        <v>112.9</v>
      </c>
      <c r="G709" s="2">
        <v>111.4</v>
      </c>
      <c r="H709" s="2">
        <f t="shared" si="61"/>
        <v>1.5</v>
      </c>
      <c r="I709" s="1">
        <f t="shared" si="62"/>
        <v>0.54667669581130873</v>
      </c>
      <c r="J709" s="2">
        <v>114.6</v>
      </c>
      <c r="K709" s="2">
        <v>113.1</v>
      </c>
      <c r="L709" s="2">
        <f t="shared" si="63"/>
        <v>1.5</v>
      </c>
      <c r="M709" s="1">
        <f t="shared" si="64"/>
        <v>-4.6676695811308733E-2</v>
      </c>
      <c r="N709" s="2">
        <v>106.3</v>
      </c>
      <c r="O709" s="2">
        <v>107.1</v>
      </c>
      <c r="P709" s="2">
        <f t="shared" si="65"/>
        <v>-0.79999999999999716</v>
      </c>
      <c r="Q709">
        <v>0.4</v>
      </c>
    </row>
    <row r="710" spans="1:17">
      <c r="A710" t="s">
        <v>50</v>
      </c>
      <c r="B710" t="s">
        <v>9</v>
      </c>
      <c r="C710">
        <v>24</v>
      </c>
      <c r="D710">
        <v>58</v>
      </c>
      <c r="E710" s="1">
        <f t="shared" si="60"/>
        <v>0.29268292682926828</v>
      </c>
      <c r="F710" s="2">
        <v>96.5</v>
      </c>
      <c r="G710" s="2">
        <v>101.2</v>
      </c>
      <c r="H710" s="2">
        <f t="shared" si="61"/>
        <v>-4.7000000000000028</v>
      </c>
      <c r="I710" s="1">
        <f t="shared" si="62"/>
        <v>0.33944230501218881</v>
      </c>
      <c r="J710" s="2">
        <v>103.2</v>
      </c>
      <c r="K710" s="2">
        <v>108.2</v>
      </c>
      <c r="L710" s="2">
        <f t="shared" si="63"/>
        <v>-5</v>
      </c>
      <c r="M710" s="1">
        <f t="shared" si="64"/>
        <v>-4.675937818292053E-2</v>
      </c>
      <c r="N710" s="2">
        <v>102</v>
      </c>
      <c r="O710" s="2">
        <v>109.1</v>
      </c>
      <c r="P710" s="2">
        <f t="shared" si="65"/>
        <v>-7.0999999999999943</v>
      </c>
      <c r="Q710">
        <v>-1.4</v>
      </c>
    </row>
    <row r="711" spans="1:17">
      <c r="A711" t="s">
        <v>45</v>
      </c>
      <c r="B711" t="s">
        <v>19</v>
      </c>
      <c r="C711">
        <v>34</v>
      </c>
      <c r="D711">
        <v>48</v>
      </c>
      <c r="E711" s="1">
        <f t="shared" si="60"/>
        <v>0.41463414634146339</v>
      </c>
      <c r="F711" s="2">
        <v>99.3</v>
      </c>
      <c r="G711" s="2">
        <v>100.4</v>
      </c>
      <c r="H711" s="2">
        <f t="shared" si="61"/>
        <v>-1.1000000000000085</v>
      </c>
      <c r="I711" s="1">
        <f t="shared" si="62"/>
        <v>0.46151802647482632</v>
      </c>
      <c r="J711" s="2">
        <v>105.2</v>
      </c>
      <c r="K711" s="2">
        <v>106.3</v>
      </c>
      <c r="L711" s="2">
        <f t="shared" si="63"/>
        <v>-1.0999999999999943</v>
      </c>
      <c r="M711" s="1">
        <f t="shared" si="64"/>
        <v>-4.6883880133362921E-2</v>
      </c>
      <c r="N711" s="2">
        <v>102</v>
      </c>
      <c r="O711" s="2">
        <v>108.9</v>
      </c>
      <c r="P711" s="2">
        <f t="shared" si="65"/>
        <v>-6.9000000000000057</v>
      </c>
      <c r="Q711">
        <v>-1</v>
      </c>
    </row>
    <row r="712" spans="1:17">
      <c r="A712" t="s">
        <v>54</v>
      </c>
      <c r="B712" t="s">
        <v>15</v>
      </c>
      <c r="C712">
        <v>38</v>
      </c>
      <c r="D712">
        <v>44</v>
      </c>
      <c r="E712" s="1">
        <f t="shared" si="60"/>
        <v>0.46341463414634149</v>
      </c>
      <c r="F712" s="2">
        <v>97.3</v>
      </c>
      <c r="G712" s="2">
        <v>97</v>
      </c>
      <c r="H712" s="2">
        <f t="shared" si="61"/>
        <v>0.29999999999999716</v>
      </c>
      <c r="I712" s="1">
        <f t="shared" si="62"/>
        <v>0.51080635435585753</v>
      </c>
      <c r="J712" s="2">
        <v>102.9</v>
      </c>
      <c r="K712" s="2">
        <v>102.7</v>
      </c>
      <c r="L712" s="2">
        <f t="shared" si="63"/>
        <v>0.20000000000000284</v>
      </c>
      <c r="M712" s="1">
        <f t="shared" si="64"/>
        <v>-4.7391720209516042E-2</v>
      </c>
      <c r="N712" s="2">
        <v>97.5</v>
      </c>
      <c r="O712" s="2">
        <v>94.7</v>
      </c>
      <c r="P712" s="2">
        <f t="shared" si="65"/>
        <v>2.7999999999999972</v>
      </c>
      <c r="Q712">
        <v>0.7</v>
      </c>
    </row>
    <row r="713" spans="1:17">
      <c r="A713" t="s">
        <v>36</v>
      </c>
      <c r="B713" t="s">
        <v>35</v>
      </c>
      <c r="C713">
        <v>28</v>
      </c>
      <c r="D713">
        <v>54</v>
      </c>
      <c r="E713" s="1">
        <f t="shared" ref="E713:E776" si="66">+C713/(C713+D713)</f>
        <v>0.34146341463414637</v>
      </c>
      <c r="F713" s="2">
        <v>97.5</v>
      </c>
      <c r="G713" s="2">
        <v>100.7</v>
      </c>
      <c r="H713" s="2">
        <f t="shared" ref="H713:H776" si="67">+F713-G713</f>
        <v>-3.2000000000000028</v>
      </c>
      <c r="I713" s="1">
        <f t="shared" ref="I713:I776" si="68">+(F713^14)/((F713^14+G713^14))</f>
        <v>0.38885971000700537</v>
      </c>
      <c r="J713" s="2">
        <v>102.3</v>
      </c>
      <c r="K713" s="2">
        <v>105.9</v>
      </c>
      <c r="L713" s="2">
        <f t="shared" ref="L713:L776" si="69">+J713-K713</f>
        <v>-3.6000000000000085</v>
      </c>
      <c r="M713" s="1">
        <f t="shared" ref="M713:M776" si="70">+E713-I713</f>
        <v>-4.7396295372858999E-2</v>
      </c>
      <c r="N713" s="2">
        <v>97.8</v>
      </c>
      <c r="O713" s="2">
        <v>104.4</v>
      </c>
      <c r="P713" s="2">
        <f t="shared" si="65"/>
        <v>-6.6000000000000085</v>
      </c>
      <c r="Q713">
        <v>0.2</v>
      </c>
    </row>
    <row r="714" spans="1:17">
      <c r="A714" t="s">
        <v>66</v>
      </c>
      <c r="B714" t="s">
        <v>53</v>
      </c>
      <c r="C714">
        <v>20</v>
      </c>
      <c r="D714">
        <v>45</v>
      </c>
      <c r="E714" s="1">
        <f t="shared" si="66"/>
        <v>0.30769230769230771</v>
      </c>
      <c r="F714" s="2">
        <v>115.2</v>
      </c>
      <c r="G714" s="2">
        <v>120.2</v>
      </c>
      <c r="H714" s="2">
        <f t="shared" si="67"/>
        <v>-5</v>
      </c>
      <c r="I714" s="1">
        <f t="shared" si="68"/>
        <v>0.35552926815627678</v>
      </c>
      <c r="J714" s="2">
        <v>112.8</v>
      </c>
      <c r="K714" s="2">
        <v>117.8</v>
      </c>
      <c r="L714" s="2">
        <f t="shared" si="69"/>
        <v>-5</v>
      </c>
      <c r="M714" s="1">
        <f t="shared" si="70"/>
        <v>-4.7836960463969069E-2</v>
      </c>
      <c r="N714" s="2">
        <v>105.7</v>
      </c>
      <c r="O714" s="2">
        <v>123.7</v>
      </c>
      <c r="P714" s="2">
        <f t="shared" ref="P714:P777" si="71">+N714-O714</f>
        <v>-18</v>
      </c>
      <c r="Q714" s="2">
        <v>-1.1000000000000001</v>
      </c>
    </row>
    <row r="715" spans="1:17">
      <c r="A715" t="s">
        <v>4</v>
      </c>
      <c r="B715" t="s">
        <v>12</v>
      </c>
      <c r="C715">
        <v>32</v>
      </c>
      <c r="D715">
        <v>50</v>
      </c>
      <c r="E715" s="1">
        <f t="shared" si="66"/>
        <v>0.3902439024390244</v>
      </c>
      <c r="F715" s="2">
        <v>95.6</v>
      </c>
      <c r="G715" s="2">
        <v>97.3</v>
      </c>
      <c r="H715" s="2">
        <f t="shared" si="67"/>
        <v>-1.7000000000000028</v>
      </c>
      <c r="I715" s="1">
        <f t="shared" si="68"/>
        <v>0.43861956554908621</v>
      </c>
      <c r="J715" s="2">
        <v>98.5</v>
      </c>
      <c r="K715" s="2">
        <v>100.3</v>
      </c>
      <c r="L715" s="2">
        <f t="shared" si="69"/>
        <v>-1.7999999999999972</v>
      </c>
      <c r="M715" s="1">
        <f t="shared" si="70"/>
        <v>-4.8375663110061806E-2</v>
      </c>
      <c r="N715" s="2">
        <v>91.8</v>
      </c>
      <c r="O715" s="2">
        <v>101.5</v>
      </c>
      <c r="P715" s="2">
        <f t="shared" si="71"/>
        <v>-9.7000000000000028</v>
      </c>
      <c r="Q715">
        <v>-0.7</v>
      </c>
    </row>
    <row r="716" spans="1:17">
      <c r="A716" t="s">
        <v>48</v>
      </c>
      <c r="B716" t="s">
        <v>14</v>
      </c>
      <c r="C716">
        <v>43</v>
      </c>
      <c r="D716">
        <v>39</v>
      </c>
      <c r="E716" s="1">
        <f t="shared" si="66"/>
        <v>0.52439024390243905</v>
      </c>
      <c r="F716" s="2">
        <v>105.9</v>
      </c>
      <c r="G716" s="2">
        <v>103.7</v>
      </c>
      <c r="H716" s="2">
        <f t="shared" si="67"/>
        <v>2.2000000000000028</v>
      </c>
      <c r="I716" s="1">
        <f t="shared" si="68"/>
        <v>0.57295160820263835</v>
      </c>
      <c r="J716" s="2">
        <v>110.2</v>
      </c>
      <c r="K716" s="2">
        <v>107.9</v>
      </c>
      <c r="L716" s="2">
        <f t="shared" si="69"/>
        <v>2.2999999999999972</v>
      </c>
      <c r="M716" s="1">
        <f t="shared" si="70"/>
        <v>-4.8561364300199306E-2</v>
      </c>
      <c r="N716" s="2">
        <v>99.5</v>
      </c>
      <c r="O716" s="2">
        <v>112.1</v>
      </c>
      <c r="P716" s="2">
        <f t="shared" si="71"/>
        <v>-12.599999999999994</v>
      </c>
      <c r="Q716">
        <v>-0.5</v>
      </c>
    </row>
    <row r="717" spans="1:17">
      <c r="A717" t="s">
        <v>47</v>
      </c>
      <c r="B717" t="s">
        <v>27</v>
      </c>
      <c r="C717">
        <v>25</v>
      </c>
      <c r="D717">
        <v>57</v>
      </c>
      <c r="E717" s="1">
        <f t="shared" si="66"/>
        <v>0.3048780487804878</v>
      </c>
      <c r="F717" s="2">
        <v>100</v>
      </c>
      <c r="G717" s="2">
        <v>104.4</v>
      </c>
      <c r="H717" s="2">
        <f t="shared" si="67"/>
        <v>-4.4000000000000057</v>
      </c>
      <c r="I717" s="1">
        <f t="shared" si="68"/>
        <v>0.35369584952753241</v>
      </c>
      <c r="J717" s="2">
        <v>104.4</v>
      </c>
      <c r="K717" s="2">
        <v>109.1</v>
      </c>
      <c r="L717" s="2">
        <f t="shared" si="69"/>
        <v>-4.6999999999999886</v>
      </c>
      <c r="M717" s="1">
        <f t="shared" si="70"/>
        <v>-4.8817800747044615E-2</v>
      </c>
      <c r="N717" s="2">
        <v>98.1</v>
      </c>
      <c r="O717" s="2">
        <v>114.8</v>
      </c>
      <c r="P717" s="2">
        <f t="shared" si="71"/>
        <v>-16.700000000000003</v>
      </c>
      <c r="Q717">
        <v>-0.9</v>
      </c>
    </row>
    <row r="718" spans="1:17">
      <c r="A718" t="s">
        <v>50</v>
      </c>
      <c r="B718" t="s">
        <v>46</v>
      </c>
      <c r="C718">
        <v>60</v>
      </c>
      <c r="D718">
        <v>22</v>
      </c>
      <c r="E718" s="1">
        <f t="shared" si="66"/>
        <v>0.73170731707317072</v>
      </c>
      <c r="F718" s="2">
        <v>105.7</v>
      </c>
      <c r="G718" s="2">
        <v>96.5</v>
      </c>
      <c r="H718" s="2">
        <f t="shared" si="67"/>
        <v>9.2000000000000028</v>
      </c>
      <c r="I718" s="1">
        <f t="shared" si="68"/>
        <v>0.78157465431369377</v>
      </c>
      <c r="J718" s="2">
        <v>111</v>
      </c>
      <c r="K718" s="2">
        <v>101.2</v>
      </c>
      <c r="L718" s="2">
        <f t="shared" si="69"/>
        <v>9.7999999999999972</v>
      </c>
      <c r="M718" s="1">
        <f t="shared" si="70"/>
        <v>-4.9867337240523057E-2</v>
      </c>
      <c r="N718" s="2">
        <v>108.7</v>
      </c>
      <c r="O718" s="2">
        <v>98.6</v>
      </c>
      <c r="P718" s="2">
        <f t="shared" si="71"/>
        <v>10.100000000000009</v>
      </c>
      <c r="Q718">
        <v>1</v>
      </c>
    </row>
    <row r="719" spans="1:17">
      <c r="A719" t="s">
        <v>59</v>
      </c>
      <c r="B719" t="s">
        <v>31</v>
      </c>
      <c r="C719">
        <v>50</v>
      </c>
      <c r="D719">
        <v>32</v>
      </c>
      <c r="E719" s="1">
        <f t="shared" si="66"/>
        <v>0.6097560975609756</v>
      </c>
      <c r="F719" s="2">
        <v>111.7</v>
      </c>
      <c r="G719" s="2">
        <v>106.5</v>
      </c>
      <c r="H719" s="2">
        <f t="shared" si="67"/>
        <v>5.2000000000000028</v>
      </c>
      <c r="I719" s="1">
        <f t="shared" si="68"/>
        <v>0.66092164871809023</v>
      </c>
      <c r="J719" s="2">
        <v>110.3</v>
      </c>
      <c r="K719" s="2">
        <v>105.3</v>
      </c>
      <c r="L719" s="2">
        <f t="shared" si="69"/>
        <v>5</v>
      </c>
      <c r="M719" s="1">
        <f t="shared" si="70"/>
        <v>-5.116555115711463E-2</v>
      </c>
      <c r="N719" s="2">
        <v>112.7</v>
      </c>
      <c r="O719" s="2">
        <v>109.1</v>
      </c>
      <c r="P719" s="2">
        <f t="shared" si="71"/>
        <v>3.6000000000000085</v>
      </c>
      <c r="Q719">
        <v>0.6</v>
      </c>
    </row>
    <row r="720" spans="1:17">
      <c r="A720" t="s">
        <v>50</v>
      </c>
      <c r="B720" t="s">
        <v>33</v>
      </c>
      <c r="C720">
        <v>29</v>
      </c>
      <c r="D720">
        <v>53</v>
      </c>
      <c r="E720" s="1">
        <f t="shared" si="66"/>
        <v>0.35365853658536583</v>
      </c>
      <c r="F720" s="2">
        <v>93.2</v>
      </c>
      <c r="G720" s="2">
        <v>95.8</v>
      </c>
      <c r="H720" s="2">
        <f t="shared" si="67"/>
        <v>-2.5999999999999943</v>
      </c>
      <c r="I720" s="1">
        <f t="shared" si="68"/>
        <v>0.4048710493768114</v>
      </c>
      <c r="J720" s="2">
        <v>99.3</v>
      </c>
      <c r="K720" s="2">
        <v>101.6</v>
      </c>
      <c r="L720" s="2">
        <f t="shared" si="69"/>
        <v>-2.2999999999999972</v>
      </c>
      <c r="M720" s="1">
        <f t="shared" si="70"/>
        <v>-5.1212512791445564E-2</v>
      </c>
      <c r="N720" s="2">
        <v>80.5</v>
      </c>
      <c r="O720" s="2">
        <v>100.7</v>
      </c>
      <c r="P720" s="2">
        <f t="shared" si="71"/>
        <v>-20.200000000000003</v>
      </c>
      <c r="Q720">
        <v>0.6</v>
      </c>
    </row>
    <row r="721" spans="1:17">
      <c r="A721" t="s">
        <v>65</v>
      </c>
      <c r="B721" t="s">
        <v>35</v>
      </c>
      <c r="C721">
        <v>48</v>
      </c>
      <c r="D721">
        <v>34</v>
      </c>
      <c r="E721" s="1">
        <f t="shared" si="66"/>
        <v>0.58536585365853655</v>
      </c>
      <c r="F721" s="2">
        <v>121.7</v>
      </c>
      <c r="G721" s="2">
        <v>116.9</v>
      </c>
      <c r="H721" s="2">
        <f t="shared" si="67"/>
        <v>4.7999999999999972</v>
      </c>
      <c r="I721" s="1">
        <f t="shared" si="68"/>
        <v>0.63723004806999306</v>
      </c>
      <c r="J721" s="2">
        <v>117.2</v>
      </c>
      <c r="K721" s="2">
        <v>112.6</v>
      </c>
      <c r="L721" s="2">
        <f t="shared" si="69"/>
        <v>4.6000000000000085</v>
      </c>
      <c r="M721" s="1">
        <f t="shared" si="70"/>
        <v>-5.186419441145651E-2</v>
      </c>
      <c r="N721" s="2">
        <v>109.2</v>
      </c>
      <c r="O721" s="2">
        <v>100</v>
      </c>
      <c r="P721" s="2">
        <f t="shared" si="71"/>
        <v>9.2000000000000028</v>
      </c>
      <c r="Q721">
        <v>0.2</v>
      </c>
    </row>
    <row r="722" spans="1:17">
      <c r="A722" t="s">
        <v>55</v>
      </c>
      <c r="B722" t="s">
        <v>46</v>
      </c>
      <c r="C722">
        <v>55</v>
      </c>
      <c r="D722">
        <v>27</v>
      </c>
      <c r="E722" s="1">
        <f t="shared" si="66"/>
        <v>0.67073170731707321</v>
      </c>
      <c r="F722" s="2">
        <v>110.2</v>
      </c>
      <c r="G722" s="2">
        <v>102.9</v>
      </c>
      <c r="H722" s="2">
        <f t="shared" si="67"/>
        <v>7.2999999999999972</v>
      </c>
      <c r="I722" s="1">
        <f t="shared" si="68"/>
        <v>0.72303160932792188</v>
      </c>
      <c r="J722" s="2">
        <v>112.1</v>
      </c>
      <c r="K722" s="2">
        <v>104.8</v>
      </c>
      <c r="L722" s="2">
        <f t="shared" si="69"/>
        <v>7.2999999999999972</v>
      </c>
      <c r="M722" s="1">
        <f t="shared" si="70"/>
        <v>-5.2299902010848665E-2</v>
      </c>
      <c r="N722" s="2">
        <v>102.2</v>
      </c>
      <c r="O722" s="2">
        <v>110.7</v>
      </c>
      <c r="P722" s="2">
        <f t="shared" si="71"/>
        <v>-8.5</v>
      </c>
      <c r="Q722">
        <v>0</v>
      </c>
    </row>
    <row r="723" spans="1:17">
      <c r="A723" t="s">
        <v>63</v>
      </c>
      <c r="B723" t="s">
        <v>8</v>
      </c>
      <c r="C723">
        <v>40</v>
      </c>
      <c r="D723">
        <v>42</v>
      </c>
      <c r="E723" s="1">
        <f t="shared" si="66"/>
        <v>0.48780487804878048</v>
      </c>
      <c r="F723" s="2">
        <v>113.1</v>
      </c>
      <c r="G723" s="2">
        <v>111.8</v>
      </c>
      <c r="H723" s="2">
        <f t="shared" si="67"/>
        <v>1.2999999999999972</v>
      </c>
      <c r="I723" s="1">
        <f t="shared" si="68"/>
        <v>0.54037477901258768</v>
      </c>
      <c r="J723" s="2">
        <v>112.8</v>
      </c>
      <c r="K723" s="2">
        <v>111.5</v>
      </c>
      <c r="L723" s="2">
        <f t="shared" si="69"/>
        <v>1.2999999999999972</v>
      </c>
      <c r="M723" s="1">
        <f t="shared" si="70"/>
        <v>-5.2569900963807203E-2</v>
      </c>
      <c r="N723" s="2">
        <v>106</v>
      </c>
      <c r="O723" s="2">
        <v>105.2</v>
      </c>
      <c r="P723" s="2">
        <f t="shared" si="71"/>
        <v>0.79999999999999716</v>
      </c>
      <c r="Q723">
        <v>0.5</v>
      </c>
    </row>
    <row r="724" spans="1:17">
      <c r="A724" t="s">
        <v>48</v>
      </c>
      <c r="B724" t="s">
        <v>24</v>
      </c>
      <c r="C724">
        <v>41</v>
      </c>
      <c r="D724">
        <v>41</v>
      </c>
      <c r="E724" s="1">
        <f t="shared" si="66"/>
        <v>0.5</v>
      </c>
      <c r="F724" s="2">
        <v>99</v>
      </c>
      <c r="G724" s="2">
        <v>97.5</v>
      </c>
      <c r="H724" s="2">
        <f t="shared" si="67"/>
        <v>1.5</v>
      </c>
      <c r="I724" s="1">
        <f t="shared" si="68"/>
        <v>0.55323363393409675</v>
      </c>
      <c r="J724" s="2">
        <v>105.3</v>
      </c>
      <c r="K724" s="2">
        <v>103.8</v>
      </c>
      <c r="L724" s="2">
        <f t="shared" si="69"/>
        <v>1.5</v>
      </c>
      <c r="M724" s="1">
        <f t="shared" si="70"/>
        <v>-5.3233633934096747E-2</v>
      </c>
      <c r="N724" s="2">
        <v>97.2</v>
      </c>
      <c r="O724" s="2">
        <v>107.6</v>
      </c>
      <c r="P724" s="2">
        <f t="shared" si="71"/>
        <v>-10.399999999999991</v>
      </c>
      <c r="Q724">
        <v>0.3</v>
      </c>
    </row>
    <row r="725" spans="1:17">
      <c r="A725" t="s">
        <v>41</v>
      </c>
      <c r="B725" t="s">
        <v>33</v>
      </c>
      <c r="C725">
        <v>42</v>
      </c>
      <c r="D725">
        <v>40</v>
      </c>
      <c r="E725" s="1">
        <f t="shared" si="66"/>
        <v>0.51219512195121952</v>
      </c>
      <c r="F725" s="2">
        <v>101.7</v>
      </c>
      <c r="G725" s="2">
        <v>99.8</v>
      </c>
      <c r="H725" s="2">
        <f t="shared" si="67"/>
        <v>1.9000000000000057</v>
      </c>
      <c r="I725" s="1">
        <f t="shared" si="68"/>
        <v>0.56562612482912078</v>
      </c>
      <c r="J725" s="2">
        <v>107.7</v>
      </c>
      <c r="K725" s="2">
        <v>105.8</v>
      </c>
      <c r="L725" s="2">
        <f t="shared" si="69"/>
        <v>1.9000000000000057</v>
      </c>
      <c r="M725" s="1">
        <f t="shared" si="70"/>
        <v>-5.3431002877901257E-2</v>
      </c>
      <c r="N725" s="2">
        <v>101</v>
      </c>
      <c r="O725" s="2">
        <v>105.9</v>
      </c>
      <c r="P725" s="2">
        <f t="shared" si="71"/>
        <v>-4.9000000000000057</v>
      </c>
      <c r="Q725">
        <v>-0.5</v>
      </c>
    </row>
    <row r="726" spans="1:17">
      <c r="A726" t="s">
        <v>57</v>
      </c>
      <c r="B726" t="s">
        <v>51</v>
      </c>
      <c r="C726">
        <v>20</v>
      </c>
      <c r="D726">
        <v>62</v>
      </c>
      <c r="E726" s="1">
        <f t="shared" si="66"/>
        <v>0.24390243902439024</v>
      </c>
      <c r="F726" s="2">
        <v>105.8</v>
      </c>
      <c r="G726" s="2">
        <v>112.5</v>
      </c>
      <c r="H726" s="2">
        <f t="shared" si="67"/>
        <v>-6.7000000000000028</v>
      </c>
      <c r="I726" s="1">
        <f t="shared" si="68"/>
        <v>0.29741501867468906</v>
      </c>
      <c r="J726" s="2">
        <v>103.6</v>
      </c>
      <c r="K726" s="2">
        <v>110.1</v>
      </c>
      <c r="L726" s="2">
        <f t="shared" si="69"/>
        <v>-6.5</v>
      </c>
      <c r="M726" s="1">
        <f t="shared" si="70"/>
        <v>-5.3512579650298819E-2</v>
      </c>
      <c r="N726" s="2">
        <v>99.7</v>
      </c>
      <c r="O726" s="2">
        <v>116.1</v>
      </c>
      <c r="P726" s="2">
        <f t="shared" si="71"/>
        <v>-16.399999999999991</v>
      </c>
      <c r="Q726">
        <v>-0.7</v>
      </c>
    </row>
    <row r="727" spans="1:17">
      <c r="A727" t="s">
        <v>65</v>
      </c>
      <c r="B727" t="s">
        <v>20</v>
      </c>
      <c r="C727">
        <v>49</v>
      </c>
      <c r="D727">
        <v>33</v>
      </c>
      <c r="E727" s="1">
        <f t="shared" si="66"/>
        <v>0.59756097560975607</v>
      </c>
      <c r="F727" s="2">
        <v>114.3</v>
      </c>
      <c r="G727" s="2">
        <v>109.3</v>
      </c>
      <c r="H727" s="2">
        <f t="shared" si="67"/>
        <v>5</v>
      </c>
      <c r="I727" s="1">
        <f t="shared" si="68"/>
        <v>0.65163242349651695</v>
      </c>
      <c r="J727" s="2">
        <v>115.7</v>
      </c>
      <c r="K727" s="2">
        <v>110.8</v>
      </c>
      <c r="L727" s="2">
        <f t="shared" si="69"/>
        <v>4.9000000000000057</v>
      </c>
      <c r="M727" s="1">
        <f t="shared" si="70"/>
        <v>-5.4071447886760882E-2</v>
      </c>
      <c r="N727" s="2">
        <v>105.4</v>
      </c>
      <c r="O727" s="2">
        <v>114.9</v>
      </c>
      <c r="P727" s="2">
        <f t="shared" si="71"/>
        <v>-9.5</v>
      </c>
      <c r="Q727">
        <v>2.2999999999999998</v>
      </c>
    </row>
    <row r="728" spans="1:17">
      <c r="A728" t="s">
        <v>66</v>
      </c>
      <c r="B728" t="s">
        <v>6</v>
      </c>
      <c r="C728">
        <v>42</v>
      </c>
      <c r="D728">
        <v>21</v>
      </c>
      <c r="E728" s="1">
        <f t="shared" si="66"/>
        <v>0.66666666666666663</v>
      </c>
      <c r="F728" s="2">
        <v>114.5</v>
      </c>
      <c r="G728" s="2">
        <v>107</v>
      </c>
      <c r="H728" s="2">
        <f t="shared" si="67"/>
        <v>7.5</v>
      </c>
      <c r="I728" s="1">
        <f t="shared" si="68"/>
        <v>0.72080211390693061</v>
      </c>
      <c r="J728" s="2">
        <v>119.9</v>
      </c>
      <c r="K728" s="2">
        <v>111.7</v>
      </c>
      <c r="L728" s="2">
        <f t="shared" si="69"/>
        <v>8.2000000000000028</v>
      </c>
      <c r="M728" s="1">
        <f t="shared" si="70"/>
        <v>-5.4135447240263979E-2</v>
      </c>
      <c r="N728" s="2">
        <v>113.1</v>
      </c>
      <c r="O728" s="2">
        <v>116.6</v>
      </c>
      <c r="P728" s="2">
        <f t="shared" si="71"/>
        <v>-3.5</v>
      </c>
      <c r="Q728">
        <v>1.2</v>
      </c>
    </row>
    <row r="729" spans="1:17">
      <c r="A729" t="s">
        <v>49</v>
      </c>
      <c r="B729" t="s">
        <v>26</v>
      </c>
      <c r="C729">
        <v>28</v>
      </c>
      <c r="D729">
        <v>38</v>
      </c>
      <c r="E729" s="1">
        <f t="shared" si="66"/>
        <v>0.42424242424242425</v>
      </c>
      <c r="F729" s="2">
        <v>97.2</v>
      </c>
      <c r="G729" s="2">
        <v>97.8</v>
      </c>
      <c r="H729" s="2">
        <f t="shared" si="67"/>
        <v>-0.59999999999999432</v>
      </c>
      <c r="I729" s="1">
        <f t="shared" si="68"/>
        <v>0.4784747831438797</v>
      </c>
      <c r="J729" s="2">
        <v>104.4</v>
      </c>
      <c r="K729" s="2">
        <v>105.3</v>
      </c>
      <c r="L729" s="2">
        <f t="shared" si="69"/>
        <v>-0.89999999999999147</v>
      </c>
      <c r="M729" s="1">
        <f t="shared" si="70"/>
        <v>-5.4232358901455446E-2</v>
      </c>
      <c r="N729" s="2">
        <v>91.5</v>
      </c>
      <c r="O729" s="2">
        <v>95.2</v>
      </c>
      <c r="P729" s="2">
        <f t="shared" si="71"/>
        <v>-3.7000000000000028</v>
      </c>
      <c r="Q729">
        <v>0.5</v>
      </c>
    </row>
    <row r="730" spans="1:17">
      <c r="A730" t="s">
        <v>66</v>
      </c>
      <c r="B730" t="s">
        <v>22</v>
      </c>
      <c r="C730">
        <v>40</v>
      </c>
      <c r="D730">
        <v>23</v>
      </c>
      <c r="E730" s="1">
        <f t="shared" si="66"/>
        <v>0.63492063492063489</v>
      </c>
      <c r="F730" s="2">
        <v>117</v>
      </c>
      <c r="G730" s="2">
        <v>110.5</v>
      </c>
      <c r="H730" s="2">
        <f t="shared" si="67"/>
        <v>6.5</v>
      </c>
      <c r="I730" s="1">
        <f t="shared" si="68"/>
        <v>0.6900210673968612</v>
      </c>
      <c r="J730" s="2">
        <v>118.3</v>
      </c>
      <c r="K730" s="2">
        <v>111.7</v>
      </c>
      <c r="L730" s="2">
        <f t="shared" si="69"/>
        <v>6.5999999999999943</v>
      </c>
      <c r="M730" s="1">
        <f t="shared" si="70"/>
        <v>-5.5100432476226313E-2</v>
      </c>
      <c r="N730" s="2">
        <v>120.9</v>
      </c>
      <c r="O730" s="2">
        <v>100.5</v>
      </c>
      <c r="P730" s="2">
        <f t="shared" si="71"/>
        <v>20.400000000000006</v>
      </c>
      <c r="Q730" s="2">
        <v>2.7</v>
      </c>
    </row>
    <row r="731" spans="1:17">
      <c r="A731" t="s">
        <v>66</v>
      </c>
      <c r="B731" t="s">
        <v>18</v>
      </c>
      <c r="C731">
        <v>35</v>
      </c>
      <c r="D731">
        <v>29</v>
      </c>
      <c r="E731" s="1">
        <f t="shared" si="66"/>
        <v>0.546875</v>
      </c>
      <c r="F731" s="2">
        <v>120.1</v>
      </c>
      <c r="G731" s="2">
        <v>116.6</v>
      </c>
      <c r="H731" s="2">
        <f t="shared" si="67"/>
        <v>3.5</v>
      </c>
      <c r="I731" s="1">
        <f t="shared" si="68"/>
        <v>0.60206012084803828</v>
      </c>
      <c r="J731" s="2">
        <v>114.7</v>
      </c>
      <c r="K731" s="2">
        <v>111.5</v>
      </c>
      <c r="L731" s="2">
        <f t="shared" si="69"/>
        <v>3.2000000000000028</v>
      </c>
      <c r="M731" s="1">
        <f t="shared" si="70"/>
        <v>-5.5185120848038283E-2</v>
      </c>
      <c r="N731" s="2">
        <v>109.9</v>
      </c>
      <c r="O731" s="2">
        <v>113.6</v>
      </c>
      <c r="P731" s="2">
        <f t="shared" si="71"/>
        <v>-3.6999999999999886</v>
      </c>
      <c r="Q731" s="2">
        <v>0.9</v>
      </c>
    </row>
    <row r="732" spans="1:17">
      <c r="A732" t="s">
        <v>59</v>
      </c>
      <c r="B732" t="s">
        <v>53</v>
      </c>
      <c r="C732">
        <v>33</v>
      </c>
      <c r="D732">
        <v>49</v>
      </c>
      <c r="E732" s="1">
        <f t="shared" si="66"/>
        <v>0.40243902439024393</v>
      </c>
      <c r="F732" s="2">
        <v>115.4</v>
      </c>
      <c r="G732" s="2">
        <v>116.8</v>
      </c>
      <c r="H732" s="2">
        <f t="shared" si="67"/>
        <v>-1.3999999999999915</v>
      </c>
      <c r="I732" s="1">
        <f t="shared" si="68"/>
        <v>0.45789444917000782</v>
      </c>
      <c r="J732" s="2">
        <v>110.7</v>
      </c>
      <c r="K732" s="2">
        <v>112</v>
      </c>
      <c r="L732" s="2">
        <f t="shared" si="69"/>
        <v>-1.2999999999999972</v>
      </c>
      <c r="M732" s="1">
        <f t="shared" si="70"/>
        <v>-5.5455424779763896E-2</v>
      </c>
      <c r="N732" s="2">
        <v>99.4</v>
      </c>
      <c r="O732" s="2">
        <v>110</v>
      </c>
      <c r="P732" s="2">
        <f t="shared" si="71"/>
        <v>-10.599999999999994</v>
      </c>
      <c r="Q732">
        <v>0.8</v>
      </c>
    </row>
    <row r="733" spans="1:17">
      <c r="A733" t="s">
        <v>48</v>
      </c>
      <c r="B733" t="s">
        <v>23</v>
      </c>
      <c r="C733">
        <v>52</v>
      </c>
      <c r="D733">
        <v>30</v>
      </c>
      <c r="E733" s="1">
        <f t="shared" si="66"/>
        <v>0.63414634146341464</v>
      </c>
      <c r="F733" s="2">
        <v>99.2</v>
      </c>
      <c r="G733" s="2">
        <v>93.7</v>
      </c>
      <c r="H733" s="2">
        <f t="shared" si="67"/>
        <v>5.5</v>
      </c>
      <c r="I733" s="1">
        <f t="shared" si="68"/>
        <v>0.68966584270274334</v>
      </c>
      <c r="J733" s="2">
        <v>107.4</v>
      </c>
      <c r="K733" s="2">
        <v>101.8</v>
      </c>
      <c r="L733" s="2">
        <f t="shared" si="69"/>
        <v>5.6000000000000085</v>
      </c>
      <c r="M733" s="1">
        <f t="shared" si="70"/>
        <v>-5.5519501239328695E-2</v>
      </c>
      <c r="N733" s="2">
        <v>107.1</v>
      </c>
      <c r="O733" s="2">
        <v>107</v>
      </c>
      <c r="P733" s="2">
        <f t="shared" si="71"/>
        <v>9.9999999999994316E-2</v>
      </c>
      <c r="Q733">
        <v>1.2</v>
      </c>
    </row>
    <row r="734" spans="1:17">
      <c r="A734" t="s">
        <v>52</v>
      </c>
      <c r="B734" t="s">
        <v>19</v>
      </c>
      <c r="C734">
        <v>15</v>
      </c>
      <c r="D734">
        <v>67</v>
      </c>
      <c r="E734" s="1">
        <f t="shared" si="66"/>
        <v>0.18292682926829268</v>
      </c>
      <c r="F734" s="2">
        <v>95.5</v>
      </c>
      <c r="G734" s="2">
        <v>103.7</v>
      </c>
      <c r="H734" s="2">
        <f t="shared" si="67"/>
        <v>-8.2000000000000028</v>
      </c>
      <c r="I734" s="1">
        <f t="shared" si="68"/>
        <v>0.23989374282891526</v>
      </c>
      <c r="J734" s="2">
        <v>101.9</v>
      </c>
      <c r="K734" s="2">
        <v>110.2</v>
      </c>
      <c r="L734" s="2">
        <f t="shared" si="69"/>
        <v>-8.2999999999999972</v>
      </c>
      <c r="M734" s="1">
        <f t="shared" si="70"/>
        <v>-5.6966913560622584E-2</v>
      </c>
      <c r="N734" s="2">
        <v>87.3</v>
      </c>
      <c r="O734" s="2">
        <v>108.7</v>
      </c>
      <c r="P734" s="2">
        <f t="shared" si="71"/>
        <v>-21.400000000000006</v>
      </c>
      <c r="Q734">
        <v>0</v>
      </c>
    </row>
    <row r="735" spans="1:17">
      <c r="A735" t="s">
        <v>58</v>
      </c>
      <c r="B735" t="s">
        <v>31</v>
      </c>
      <c r="C735">
        <v>48</v>
      </c>
      <c r="D735">
        <v>34</v>
      </c>
      <c r="E735" s="1">
        <f t="shared" si="66"/>
        <v>0.58536585365853655</v>
      </c>
      <c r="F735" s="2">
        <v>104.1</v>
      </c>
      <c r="G735" s="2">
        <v>99.8</v>
      </c>
      <c r="H735" s="2">
        <f t="shared" si="67"/>
        <v>4.2999999999999972</v>
      </c>
      <c r="I735" s="1">
        <f t="shared" si="68"/>
        <v>0.64349662886143</v>
      </c>
      <c r="J735" s="2">
        <v>107.4</v>
      </c>
      <c r="K735" s="2">
        <v>103</v>
      </c>
      <c r="L735" s="2">
        <f t="shared" si="69"/>
        <v>4.4000000000000057</v>
      </c>
      <c r="M735" s="1">
        <f t="shared" si="70"/>
        <v>-5.8130775202893448E-2</v>
      </c>
      <c r="N735" s="2">
        <v>107.6</v>
      </c>
      <c r="O735" s="2">
        <v>101.3</v>
      </c>
      <c r="P735" s="2">
        <f t="shared" si="71"/>
        <v>6.2999999999999972</v>
      </c>
      <c r="Q735">
        <v>1.8</v>
      </c>
    </row>
    <row r="736" spans="1:17">
      <c r="A736" t="s">
        <v>4</v>
      </c>
      <c r="B736" t="s">
        <v>28</v>
      </c>
      <c r="C736">
        <v>58</v>
      </c>
      <c r="D736">
        <v>24</v>
      </c>
      <c r="E736" s="1">
        <f t="shared" si="66"/>
        <v>0.70731707317073167</v>
      </c>
      <c r="F736" s="2">
        <v>96.2</v>
      </c>
      <c r="G736" s="2">
        <v>88.4</v>
      </c>
      <c r="H736" s="2">
        <f t="shared" si="67"/>
        <v>7.7999999999999972</v>
      </c>
      <c r="I736" s="1">
        <f t="shared" si="68"/>
        <v>0.76563098176040723</v>
      </c>
      <c r="J736" s="2">
        <v>105</v>
      </c>
      <c r="K736" s="2">
        <v>96.6</v>
      </c>
      <c r="L736" s="2">
        <f t="shared" si="69"/>
        <v>8.4000000000000057</v>
      </c>
      <c r="M736" s="1">
        <f t="shared" si="70"/>
        <v>-5.8313908589675556E-2</v>
      </c>
      <c r="N736" s="2">
        <v>97.7</v>
      </c>
      <c r="O736" s="2">
        <v>100.4</v>
      </c>
      <c r="P736" s="2">
        <f t="shared" si="71"/>
        <v>-2.7000000000000028</v>
      </c>
      <c r="Q736">
        <v>0.9</v>
      </c>
    </row>
    <row r="737" spans="1:17">
      <c r="A737" t="s">
        <v>34</v>
      </c>
      <c r="B737" t="s">
        <v>29</v>
      </c>
      <c r="C737">
        <v>45</v>
      </c>
      <c r="D737">
        <v>37</v>
      </c>
      <c r="E737" s="1">
        <f t="shared" si="66"/>
        <v>0.54878048780487809</v>
      </c>
      <c r="F737" s="2">
        <v>97.7</v>
      </c>
      <c r="G737" s="2">
        <v>94.7</v>
      </c>
      <c r="H737" s="2">
        <f t="shared" si="67"/>
        <v>3</v>
      </c>
      <c r="I737" s="1">
        <f t="shared" si="68"/>
        <v>0.60745473911501191</v>
      </c>
      <c r="J737" s="2">
        <v>107.3</v>
      </c>
      <c r="K737" s="2">
        <v>104.1</v>
      </c>
      <c r="L737" s="2">
        <f t="shared" si="69"/>
        <v>3.2000000000000028</v>
      </c>
      <c r="M737" s="1">
        <f t="shared" si="70"/>
        <v>-5.8674251310133818E-2</v>
      </c>
      <c r="N737" s="2">
        <v>92.6</v>
      </c>
      <c r="O737" s="2">
        <v>98.2</v>
      </c>
      <c r="P737" s="2">
        <f t="shared" si="71"/>
        <v>-5.6000000000000085</v>
      </c>
      <c r="Q737">
        <v>0.3</v>
      </c>
    </row>
    <row r="738" spans="1:17">
      <c r="A738" t="s">
        <v>38</v>
      </c>
      <c r="B738" t="s">
        <v>12</v>
      </c>
      <c r="C738">
        <v>54</v>
      </c>
      <c r="D738">
        <v>28</v>
      </c>
      <c r="E738" s="1">
        <f t="shared" si="66"/>
        <v>0.65853658536585369</v>
      </c>
      <c r="F738" s="2">
        <v>90.1</v>
      </c>
      <c r="G738" s="2">
        <v>84.3</v>
      </c>
      <c r="H738" s="2">
        <f t="shared" si="67"/>
        <v>5.7999999999999972</v>
      </c>
      <c r="I738" s="1">
        <f t="shared" si="68"/>
        <v>0.71738684209510184</v>
      </c>
      <c r="J738" s="2">
        <v>100.3</v>
      </c>
      <c r="K738" s="2">
        <v>93.9</v>
      </c>
      <c r="L738" s="2">
        <f t="shared" si="69"/>
        <v>6.3999999999999915</v>
      </c>
      <c r="M738" s="1">
        <f t="shared" si="70"/>
        <v>-5.8850256729248152E-2</v>
      </c>
      <c r="N738" s="2">
        <v>103.8</v>
      </c>
      <c r="O738" s="2">
        <v>94.5</v>
      </c>
      <c r="P738" s="2">
        <f t="shared" si="71"/>
        <v>9.2999999999999972</v>
      </c>
      <c r="Q738">
        <v>1.3</v>
      </c>
    </row>
    <row r="739" spans="1:17">
      <c r="A739" t="s">
        <v>59</v>
      </c>
      <c r="B739" t="s">
        <v>10</v>
      </c>
      <c r="C739">
        <v>33</v>
      </c>
      <c r="D739">
        <v>49</v>
      </c>
      <c r="E739" s="1">
        <f t="shared" si="66"/>
        <v>0.40243902439024393</v>
      </c>
      <c r="F739" s="2">
        <v>108.9</v>
      </c>
      <c r="G739" s="2">
        <v>110.1</v>
      </c>
      <c r="H739" s="2">
        <f t="shared" si="67"/>
        <v>-1.1999999999999886</v>
      </c>
      <c r="I739" s="1">
        <f t="shared" si="68"/>
        <v>0.46171851651459928</v>
      </c>
      <c r="J739" s="2">
        <v>108.7</v>
      </c>
      <c r="K739" s="2">
        <v>110.1</v>
      </c>
      <c r="L739" s="2">
        <f t="shared" si="69"/>
        <v>-1.3999999999999915</v>
      </c>
      <c r="M739" s="1">
        <f t="shared" si="70"/>
        <v>-5.9279492124355349E-2</v>
      </c>
      <c r="N739" s="2">
        <v>100.3</v>
      </c>
      <c r="O739" s="2">
        <v>108.9</v>
      </c>
      <c r="P739" s="2">
        <f t="shared" si="71"/>
        <v>-8.6000000000000085</v>
      </c>
      <c r="Q739">
        <v>0.4</v>
      </c>
    </row>
    <row r="740" spans="1:17">
      <c r="A740" t="s">
        <v>52</v>
      </c>
      <c r="B740" t="s">
        <v>27</v>
      </c>
      <c r="C740">
        <v>28</v>
      </c>
      <c r="D740">
        <v>54</v>
      </c>
      <c r="E740" s="1">
        <f t="shared" si="66"/>
        <v>0.34146341463414637</v>
      </c>
      <c r="F740" s="2">
        <v>100.5</v>
      </c>
      <c r="G740" s="2">
        <v>103.4</v>
      </c>
      <c r="H740" s="2">
        <f t="shared" si="67"/>
        <v>-2.9000000000000057</v>
      </c>
      <c r="I740" s="1">
        <f t="shared" si="68"/>
        <v>0.40173015666550166</v>
      </c>
      <c r="J740" s="2">
        <v>105.1</v>
      </c>
      <c r="K740" s="2">
        <v>107.8</v>
      </c>
      <c r="L740" s="2">
        <f t="shared" si="69"/>
        <v>-2.7000000000000028</v>
      </c>
      <c r="M740" s="1">
        <f t="shared" si="70"/>
        <v>-6.0266742031355292E-2</v>
      </c>
      <c r="N740" s="2">
        <v>101.2</v>
      </c>
      <c r="O740" s="2">
        <v>108.8</v>
      </c>
      <c r="P740" s="2">
        <f t="shared" si="71"/>
        <v>-7.5999999999999943</v>
      </c>
      <c r="Q740">
        <v>-1</v>
      </c>
    </row>
    <row r="741" spans="1:17">
      <c r="A741" t="s">
        <v>61</v>
      </c>
      <c r="B741" t="s">
        <v>53</v>
      </c>
      <c r="C741">
        <v>31</v>
      </c>
      <c r="D741">
        <v>41</v>
      </c>
      <c r="E741" s="1">
        <f t="shared" si="66"/>
        <v>0.43055555555555558</v>
      </c>
      <c r="F741" s="2">
        <v>114.6</v>
      </c>
      <c r="G741" s="2">
        <v>114.9</v>
      </c>
      <c r="H741" s="2">
        <f t="shared" si="67"/>
        <v>-0.30000000000001137</v>
      </c>
      <c r="I741" s="1">
        <f t="shared" si="68"/>
        <v>0.49085068937961135</v>
      </c>
      <c r="J741" s="2">
        <v>113</v>
      </c>
      <c r="K741" s="2">
        <v>113.3</v>
      </c>
      <c r="L741" s="2">
        <f t="shared" si="69"/>
        <v>-0.29999999999999716</v>
      </c>
      <c r="M741" s="1">
        <f t="shared" si="70"/>
        <v>-6.0295133824055769E-2</v>
      </c>
      <c r="N741" s="2">
        <v>109</v>
      </c>
      <c r="O741" s="2">
        <v>101.5</v>
      </c>
      <c r="P741" s="2">
        <f t="shared" si="71"/>
        <v>7.5</v>
      </c>
      <c r="Q741">
        <v>0.5</v>
      </c>
    </row>
    <row r="742" spans="1:17">
      <c r="A742" t="s">
        <v>44</v>
      </c>
      <c r="B742" t="s">
        <v>31</v>
      </c>
      <c r="C742">
        <v>54</v>
      </c>
      <c r="D742">
        <v>28</v>
      </c>
      <c r="E742" s="1">
        <f t="shared" si="66"/>
        <v>0.65853658536585369</v>
      </c>
      <c r="F742" s="2">
        <v>106.2</v>
      </c>
      <c r="G742" s="2">
        <v>99.3</v>
      </c>
      <c r="H742" s="2">
        <f t="shared" si="67"/>
        <v>6.9000000000000057</v>
      </c>
      <c r="I742" s="1">
        <f t="shared" si="68"/>
        <v>0.71920054882030759</v>
      </c>
      <c r="J742" s="2">
        <v>112.1</v>
      </c>
      <c r="K742" s="2">
        <v>104.9</v>
      </c>
      <c r="L742" s="2">
        <f t="shared" si="69"/>
        <v>7.1999999999999886</v>
      </c>
      <c r="M742" s="1">
        <f t="shared" si="70"/>
        <v>-6.0663963454453906E-2</v>
      </c>
      <c r="N742" s="2">
        <v>116.3</v>
      </c>
      <c r="O742" s="2">
        <v>118.1</v>
      </c>
      <c r="P742" s="2">
        <f t="shared" si="71"/>
        <v>-1.7999999999999972</v>
      </c>
      <c r="Q742">
        <v>1.5</v>
      </c>
    </row>
    <row r="743" spans="1:17">
      <c r="A743" t="s">
        <v>63</v>
      </c>
      <c r="B743" t="s">
        <v>12</v>
      </c>
      <c r="C743">
        <v>17</v>
      </c>
      <c r="D743">
        <v>65</v>
      </c>
      <c r="E743" s="1">
        <f t="shared" si="66"/>
        <v>0.2073170731707317</v>
      </c>
      <c r="F743" s="2">
        <v>110.3</v>
      </c>
      <c r="G743" s="2">
        <v>118.5</v>
      </c>
      <c r="H743" s="2">
        <f t="shared" si="67"/>
        <v>-8.2000000000000028</v>
      </c>
      <c r="I743" s="1">
        <f t="shared" si="68"/>
        <v>0.26817012920716587</v>
      </c>
      <c r="J743" s="2">
        <v>109.9</v>
      </c>
      <c r="K743" s="2">
        <v>117.8</v>
      </c>
      <c r="L743" s="2">
        <f t="shared" si="69"/>
        <v>-7.8999999999999915</v>
      </c>
      <c r="M743" s="1">
        <f t="shared" si="70"/>
        <v>-6.0853056036434178E-2</v>
      </c>
      <c r="N743" s="2">
        <v>104.7</v>
      </c>
      <c r="O743" s="2">
        <v>122.7</v>
      </c>
      <c r="P743" s="2">
        <f t="shared" si="71"/>
        <v>-18</v>
      </c>
      <c r="Q743">
        <v>-2.1</v>
      </c>
    </row>
    <row r="744" spans="1:17">
      <c r="A744" t="s">
        <v>60</v>
      </c>
      <c r="B744" t="s">
        <v>8</v>
      </c>
      <c r="C744">
        <v>22</v>
      </c>
      <c r="D744">
        <v>43</v>
      </c>
      <c r="E744" s="1">
        <f t="shared" si="66"/>
        <v>0.33846153846153848</v>
      </c>
      <c r="F744" s="2">
        <v>106.8</v>
      </c>
      <c r="G744" s="2">
        <v>109.9</v>
      </c>
      <c r="H744" s="2">
        <f t="shared" si="67"/>
        <v>-3.1000000000000085</v>
      </c>
      <c r="I744" s="1">
        <f t="shared" si="68"/>
        <v>0.40117273517246865</v>
      </c>
      <c r="J744" s="2">
        <v>105.8</v>
      </c>
      <c r="K744" s="2">
        <v>108.9</v>
      </c>
      <c r="L744" s="2">
        <f t="shared" si="69"/>
        <v>-3.1000000000000085</v>
      </c>
      <c r="M744" s="1">
        <f t="shared" si="70"/>
        <v>-6.2711196710930173E-2</v>
      </c>
      <c r="N744" s="2">
        <v>106.5</v>
      </c>
      <c r="O744" s="2">
        <v>127.3</v>
      </c>
      <c r="P744" s="2">
        <f t="shared" si="71"/>
        <v>-20.799999999999997</v>
      </c>
      <c r="Q744">
        <v>-0.5</v>
      </c>
    </row>
    <row r="745" spans="1:17">
      <c r="A745" t="s">
        <v>47</v>
      </c>
      <c r="B745" t="s">
        <v>28</v>
      </c>
      <c r="C745">
        <v>50</v>
      </c>
      <c r="D745">
        <v>32</v>
      </c>
      <c r="E745" s="1">
        <f t="shared" si="66"/>
        <v>0.6097560975609756</v>
      </c>
      <c r="F745" s="2">
        <v>101.4</v>
      </c>
      <c r="G745" s="2">
        <v>96.3</v>
      </c>
      <c r="H745" s="2">
        <f t="shared" si="67"/>
        <v>5.1000000000000085</v>
      </c>
      <c r="I745" s="1">
        <f t="shared" si="68"/>
        <v>0.67314999462615233</v>
      </c>
      <c r="J745" s="2">
        <v>109.3</v>
      </c>
      <c r="K745" s="2">
        <v>103.9</v>
      </c>
      <c r="L745" s="2">
        <f t="shared" si="69"/>
        <v>5.3999999999999915</v>
      </c>
      <c r="M745" s="1">
        <f t="shared" si="70"/>
        <v>-6.339389706517673E-2</v>
      </c>
      <c r="N745" s="2">
        <v>99.3</v>
      </c>
      <c r="O745" s="2">
        <v>112.2</v>
      </c>
      <c r="P745" s="2">
        <f t="shared" si="71"/>
        <v>-12.900000000000006</v>
      </c>
      <c r="Q745">
        <v>0.9</v>
      </c>
    </row>
    <row r="746" spans="1:17">
      <c r="A746" t="s">
        <v>38</v>
      </c>
      <c r="B746" t="s">
        <v>28</v>
      </c>
      <c r="C746">
        <v>57</v>
      </c>
      <c r="D746">
        <v>25</v>
      </c>
      <c r="E746" s="1">
        <f t="shared" si="66"/>
        <v>0.69512195121951215</v>
      </c>
      <c r="F746" s="2">
        <v>91.5</v>
      </c>
      <c r="G746" s="2">
        <v>84.3</v>
      </c>
      <c r="H746" s="2">
        <f t="shared" si="67"/>
        <v>7.2000000000000028</v>
      </c>
      <c r="I746" s="1">
        <f t="shared" si="68"/>
        <v>0.75903560483804922</v>
      </c>
      <c r="J746" s="2">
        <v>101</v>
      </c>
      <c r="K746" s="2">
        <v>93.1</v>
      </c>
      <c r="L746" s="2">
        <f t="shared" si="69"/>
        <v>7.9000000000000057</v>
      </c>
      <c r="M746" s="1">
        <f t="shared" si="70"/>
        <v>-6.391365361853707E-2</v>
      </c>
      <c r="N746" s="2">
        <v>95.1</v>
      </c>
      <c r="O746" s="2">
        <v>96.9</v>
      </c>
      <c r="P746" s="2">
        <f t="shared" si="71"/>
        <v>-1.8000000000000114</v>
      </c>
      <c r="Q746">
        <v>0.4</v>
      </c>
    </row>
    <row r="747" spans="1:17">
      <c r="A747" t="s">
        <v>34</v>
      </c>
      <c r="B747" t="s">
        <v>13</v>
      </c>
      <c r="C747">
        <v>21</v>
      </c>
      <c r="D747">
        <v>61</v>
      </c>
      <c r="E747" s="1">
        <f t="shared" si="66"/>
        <v>0.25609756097560976</v>
      </c>
      <c r="F747" s="2">
        <v>97.7</v>
      </c>
      <c r="G747" s="2">
        <v>103.1</v>
      </c>
      <c r="H747" s="2">
        <f t="shared" si="67"/>
        <v>-5.3999999999999915</v>
      </c>
      <c r="I747" s="1">
        <f t="shared" si="68"/>
        <v>0.32013104307048473</v>
      </c>
      <c r="J747" s="2">
        <v>101.5</v>
      </c>
      <c r="K747" s="2">
        <v>107.1</v>
      </c>
      <c r="L747" s="2">
        <f t="shared" si="69"/>
        <v>-5.5999999999999943</v>
      </c>
      <c r="M747" s="1">
        <f t="shared" si="70"/>
        <v>-6.4033482094874972E-2</v>
      </c>
      <c r="N747" s="2">
        <v>85.4</v>
      </c>
      <c r="O747" s="2">
        <v>105.3</v>
      </c>
      <c r="P747" s="2">
        <f t="shared" si="71"/>
        <v>-19.899999999999991</v>
      </c>
      <c r="Q747">
        <v>0</v>
      </c>
    </row>
    <row r="748" spans="1:17">
      <c r="A748" t="s">
        <v>47</v>
      </c>
      <c r="B748" t="s">
        <v>21</v>
      </c>
      <c r="C748">
        <v>12</v>
      </c>
      <c r="D748">
        <v>70</v>
      </c>
      <c r="E748" s="1">
        <f t="shared" si="66"/>
        <v>0.14634146341463414</v>
      </c>
      <c r="F748" s="2">
        <v>92.4</v>
      </c>
      <c r="G748" s="2">
        <v>101.5</v>
      </c>
      <c r="H748" s="2">
        <f t="shared" si="67"/>
        <v>-9.0999999999999943</v>
      </c>
      <c r="I748" s="1">
        <f t="shared" si="68"/>
        <v>0.21164377791033548</v>
      </c>
      <c r="J748" s="2">
        <v>99.3</v>
      </c>
      <c r="K748" s="2">
        <v>108.9</v>
      </c>
      <c r="L748" s="2">
        <f t="shared" si="69"/>
        <v>-9.6000000000000085</v>
      </c>
      <c r="M748" s="1">
        <f t="shared" si="70"/>
        <v>-6.5302314495701341E-2</v>
      </c>
      <c r="N748" s="2">
        <v>84.5</v>
      </c>
      <c r="O748" s="2">
        <v>109.7</v>
      </c>
      <c r="P748" s="2">
        <f t="shared" si="71"/>
        <v>-25.200000000000003</v>
      </c>
      <c r="Q748">
        <v>-1.1000000000000001</v>
      </c>
    </row>
    <row r="749" spans="1:17">
      <c r="A749" t="s">
        <v>49</v>
      </c>
      <c r="B749" t="s">
        <v>22</v>
      </c>
      <c r="C749">
        <v>36</v>
      </c>
      <c r="D749">
        <v>30</v>
      </c>
      <c r="E749" s="1">
        <f t="shared" si="66"/>
        <v>0.54545454545454541</v>
      </c>
      <c r="F749" s="2">
        <v>97.8</v>
      </c>
      <c r="G749" s="2">
        <v>94.7</v>
      </c>
      <c r="H749" s="2">
        <f t="shared" si="67"/>
        <v>3.0999999999999943</v>
      </c>
      <c r="I749" s="1">
        <f t="shared" si="68"/>
        <v>0.61086462382590978</v>
      </c>
      <c r="J749" s="2">
        <v>103.5</v>
      </c>
      <c r="K749" s="2">
        <v>100.2</v>
      </c>
      <c r="L749" s="2">
        <f t="shared" si="69"/>
        <v>3.2999999999999972</v>
      </c>
      <c r="M749" s="1">
        <f t="shared" si="70"/>
        <v>-6.5410078371364366E-2</v>
      </c>
      <c r="N749" s="2">
        <v>104.9</v>
      </c>
      <c r="O749" s="2">
        <v>98.8</v>
      </c>
      <c r="P749" s="2">
        <f t="shared" si="71"/>
        <v>6.1000000000000085</v>
      </c>
      <c r="Q749">
        <v>2</v>
      </c>
    </row>
    <row r="750" spans="1:17">
      <c r="A750" t="s">
        <v>66</v>
      </c>
      <c r="B750" t="s">
        <v>35</v>
      </c>
      <c r="C750">
        <v>23</v>
      </c>
      <c r="D750">
        <v>39</v>
      </c>
      <c r="E750" s="1">
        <f t="shared" si="66"/>
        <v>0.37096774193548387</v>
      </c>
      <c r="F750" s="2">
        <v>115.7</v>
      </c>
      <c r="G750" s="2">
        <v>117.8</v>
      </c>
      <c r="H750" s="2">
        <f t="shared" si="67"/>
        <v>-2.0999999999999943</v>
      </c>
      <c r="I750" s="1">
        <f t="shared" si="68"/>
        <v>0.43737388346402561</v>
      </c>
      <c r="J750" s="2">
        <v>113.5</v>
      </c>
      <c r="K750" s="2">
        <v>115.8</v>
      </c>
      <c r="L750" s="2">
        <f t="shared" si="69"/>
        <v>-2.2999999999999972</v>
      </c>
      <c r="M750" s="1">
        <f t="shared" si="70"/>
        <v>-6.640614152854174E-2</v>
      </c>
      <c r="N750" s="2">
        <v>100.4</v>
      </c>
      <c r="O750" s="2">
        <v>118.6</v>
      </c>
      <c r="P750" s="2">
        <f t="shared" si="71"/>
        <v>-18.199999999999989</v>
      </c>
      <c r="Q750" s="2">
        <v>-1.1000000000000001</v>
      </c>
    </row>
    <row r="751" spans="1:17">
      <c r="A751" t="s">
        <v>50</v>
      </c>
      <c r="B751" t="s">
        <v>14</v>
      </c>
      <c r="C751">
        <v>45</v>
      </c>
      <c r="D751">
        <v>37</v>
      </c>
      <c r="E751" s="1">
        <f t="shared" si="66"/>
        <v>0.54878048780487809</v>
      </c>
      <c r="F751" s="2">
        <v>106</v>
      </c>
      <c r="G751" s="2">
        <v>102.5</v>
      </c>
      <c r="H751" s="2">
        <f t="shared" si="67"/>
        <v>3.5</v>
      </c>
      <c r="I751" s="1">
        <f t="shared" si="68"/>
        <v>0.61539988348983532</v>
      </c>
      <c r="J751" s="2">
        <v>108.8</v>
      </c>
      <c r="K751" s="2">
        <v>105.3</v>
      </c>
      <c r="L751" s="2">
        <f t="shared" si="69"/>
        <v>3.5</v>
      </c>
      <c r="M751" s="1">
        <f t="shared" si="70"/>
        <v>-6.6619395684957228E-2</v>
      </c>
      <c r="N751" s="2">
        <v>105.4</v>
      </c>
      <c r="O751" s="2">
        <v>103.3</v>
      </c>
      <c r="P751" s="2">
        <f t="shared" si="71"/>
        <v>2.1000000000000085</v>
      </c>
      <c r="Q751">
        <v>1.1000000000000001</v>
      </c>
    </row>
    <row r="752" spans="1:17">
      <c r="A752" t="s">
        <v>64</v>
      </c>
      <c r="B752" t="s">
        <v>33</v>
      </c>
      <c r="C752">
        <v>15</v>
      </c>
      <c r="D752">
        <v>67</v>
      </c>
      <c r="E752" s="1">
        <f t="shared" si="66"/>
        <v>0.18292682926829268</v>
      </c>
      <c r="F752" s="2">
        <v>113.7</v>
      </c>
      <c r="G752" s="2">
        <v>123</v>
      </c>
      <c r="H752" s="2">
        <f t="shared" si="67"/>
        <v>-9.2999999999999972</v>
      </c>
      <c r="I752" s="1">
        <f t="shared" si="68"/>
        <v>0.24961000130344238</v>
      </c>
      <c r="J752" s="2">
        <v>110.2</v>
      </c>
      <c r="K752" s="2">
        <v>118.9</v>
      </c>
      <c r="L752" s="2">
        <f t="shared" si="69"/>
        <v>-8.7000000000000028</v>
      </c>
      <c r="M752" s="1">
        <f t="shared" si="70"/>
        <v>-6.6683172035149701E-2</v>
      </c>
      <c r="N752" s="2">
        <v>85.1</v>
      </c>
      <c r="O752" s="2">
        <v>123</v>
      </c>
      <c r="P752" s="2">
        <f t="shared" si="71"/>
        <v>-37.900000000000006</v>
      </c>
      <c r="Q752">
        <v>-0.3</v>
      </c>
    </row>
    <row r="753" spans="1:17">
      <c r="A753" t="s">
        <v>43</v>
      </c>
      <c r="B753" t="s">
        <v>35</v>
      </c>
      <c r="C753">
        <v>22</v>
      </c>
      <c r="D753">
        <v>60</v>
      </c>
      <c r="E753" s="1">
        <f t="shared" si="66"/>
        <v>0.26829268292682928</v>
      </c>
      <c r="F753" s="2">
        <v>101.6</v>
      </c>
      <c r="G753" s="2">
        <v>106.7</v>
      </c>
      <c r="H753" s="2">
        <f t="shared" si="67"/>
        <v>-5.1000000000000085</v>
      </c>
      <c r="I753" s="1">
        <f t="shared" si="68"/>
        <v>0.33499326878539809</v>
      </c>
      <c r="J753" s="2">
        <v>105.7</v>
      </c>
      <c r="K753" s="2">
        <v>110.9</v>
      </c>
      <c r="L753" s="2">
        <f t="shared" si="69"/>
        <v>-5.2000000000000028</v>
      </c>
      <c r="M753" s="1">
        <f t="shared" si="70"/>
        <v>-6.6700585858568806E-2</v>
      </c>
      <c r="N753" s="2">
        <v>102.4</v>
      </c>
      <c r="O753" s="2">
        <v>107.5</v>
      </c>
      <c r="P753" s="2">
        <f t="shared" si="71"/>
        <v>-5.0999999999999943</v>
      </c>
      <c r="Q753">
        <v>1.6</v>
      </c>
    </row>
    <row r="754" spans="1:17">
      <c r="A754" t="s">
        <v>58</v>
      </c>
      <c r="B754" t="s">
        <v>7</v>
      </c>
      <c r="C754">
        <v>36</v>
      </c>
      <c r="D754">
        <v>46</v>
      </c>
      <c r="E754" s="1">
        <f t="shared" si="66"/>
        <v>0.43902439024390244</v>
      </c>
      <c r="F754" s="2">
        <v>108.2</v>
      </c>
      <c r="G754" s="2">
        <v>108</v>
      </c>
      <c r="H754" s="2">
        <f t="shared" si="67"/>
        <v>0.20000000000000284</v>
      </c>
      <c r="I754" s="1">
        <f t="shared" si="68"/>
        <v>0.50647512549319473</v>
      </c>
      <c r="J754" s="2">
        <v>109</v>
      </c>
      <c r="K754" s="2">
        <v>109</v>
      </c>
      <c r="L754" s="2">
        <f t="shared" si="69"/>
        <v>0</v>
      </c>
      <c r="M754" s="1">
        <f t="shared" si="70"/>
        <v>-6.7450735249292293E-2</v>
      </c>
      <c r="N754" s="2">
        <v>98.8</v>
      </c>
      <c r="O754" s="2">
        <v>99.7</v>
      </c>
      <c r="P754" s="2">
        <f t="shared" si="71"/>
        <v>-0.90000000000000568</v>
      </c>
      <c r="Q754">
        <v>-0.3</v>
      </c>
    </row>
    <row r="755" spans="1:17">
      <c r="A755" t="s">
        <v>57</v>
      </c>
      <c r="B755" t="s">
        <v>7</v>
      </c>
      <c r="C755">
        <v>36</v>
      </c>
      <c r="D755">
        <v>46</v>
      </c>
      <c r="E755" s="1">
        <f t="shared" si="66"/>
        <v>0.43902439024390244</v>
      </c>
      <c r="F755" s="2">
        <v>104.9</v>
      </c>
      <c r="G755" s="2">
        <v>104.7</v>
      </c>
      <c r="H755" s="2">
        <f t="shared" si="67"/>
        <v>0.20000000000000284</v>
      </c>
      <c r="I755" s="1">
        <f t="shared" si="68"/>
        <v>0.50667899404030869</v>
      </c>
      <c r="J755" s="2">
        <v>108.4</v>
      </c>
      <c r="K755" s="2">
        <v>108.4</v>
      </c>
      <c r="L755" s="2">
        <f t="shared" si="69"/>
        <v>0</v>
      </c>
      <c r="M755" s="1">
        <f t="shared" si="70"/>
        <v>-6.7654603796406254E-2</v>
      </c>
      <c r="N755" s="2">
        <v>115.5</v>
      </c>
      <c r="O755" s="2">
        <v>119.6</v>
      </c>
      <c r="P755" s="2">
        <f t="shared" si="71"/>
        <v>-4.0999999999999943</v>
      </c>
      <c r="Q755">
        <v>-0.3</v>
      </c>
    </row>
    <row r="756" spans="1:17">
      <c r="A756" t="s">
        <v>65</v>
      </c>
      <c r="B756" t="s">
        <v>18</v>
      </c>
      <c r="C756">
        <v>37</v>
      </c>
      <c r="D756">
        <v>45</v>
      </c>
      <c r="E756" s="1">
        <f t="shared" si="66"/>
        <v>0.45121951219512196</v>
      </c>
      <c r="F756" s="2">
        <v>110.6</v>
      </c>
      <c r="G756" s="2">
        <v>110</v>
      </c>
      <c r="H756" s="2">
        <f t="shared" si="67"/>
        <v>0.59999999999999432</v>
      </c>
      <c r="I756" s="1">
        <f t="shared" si="68"/>
        <v>0.51902983505832589</v>
      </c>
      <c r="J756" s="2">
        <v>112.4</v>
      </c>
      <c r="K756" s="2">
        <v>112</v>
      </c>
      <c r="L756" s="2">
        <f t="shared" si="69"/>
        <v>0.40000000000000568</v>
      </c>
      <c r="M756" s="1">
        <f t="shared" si="70"/>
        <v>-6.7810322863203931E-2</v>
      </c>
      <c r="N756" s="2">
        <v>93.7</v>
      </c>
      <c r="O756" s="2">
        <v>109.1</v>
      </c>
      <c r="P756" s="2">
        <f t="shared" si="71"/>
        <v>-15.399999999999991</v>
      </c>
      <c r="Q756">
        <v>-0.7</v>
      </c>
    </row>
    <row r="757" spans="1:17">
      <c r="A757" t="s">
        <v>43</v>
      </c>
      <c r="B757" t="s">
        <v>28</v>
      </c>
      <c r="C757">
        <v>58</v>
      </c>
      <c r="D757">
        <v>24</v>
      </c>
      <c r="E757" s="1">
        <f t="shared" si="66"/>
        <v>0.70731707317073167</v>
      </c>
      <c r="F757" s="2">
        <v>98.5</v>
      </c>
      <c r="G757" s="2">
        <v>90.1</v>
      </c>
      <c r="H757" s="2">
        <f t="shared" si="67"/>
        <v>8.4000000000000057</v>
      </c>
      <c r="I757" s="1">
        <f t="shared" si="68"/>
        <v>0.77693775330182646</v>
      </c>
      <c r="J757" s="2">
        <v>108.6</v>
      </c>
      <c r="K757" s="2">
        <v>99.4</v>
      </c>
      <c r="L757" s="2">
        <f t="shared" si="69"/>
        <v>9.1999999999999886</v>
      </c>
      <c r="M757" s="1">
        <f t="shared" si="70"/>
        <v>-6.9620680131094792E-2</v>
      </c>
      <c r="N757" s="2">
        <v>102.2</v>
      </c>
      <c r="O757" s="2">
        <v>100</v>
      </c>
      <c r="P757" s="2">
        <f t="shared" si="71"/>
        <v>2.2000000000000028</v>
      </c>
      <c r="Q757">
        <v>1.1000000000000001</v>
      </c>
    </row>
    <row r="758" spans="1:17">
      <c r="A758" t="s">
        <v>47</v>
      </c>
      <c r="B758" t="s">
        <v>13</v>
      </c>
      <c r="C758">
        <v>26</v>
      </c>
      <c r="D758">
        <v>56</v>
      </c>
      <c r="E758" s="1">
        <f t="shared" si="66"/>
        <v>0.31707317073170732</v>
      </c>
      <c r="F758" s="2">
        <v>108.8</v>
      </c>
      <c r="G758" s="2">
        <v>112.4</v>
      </c>
      <c r="H758" s="2">
        <f t="shared" si="67"/>
        <v>-3.6000000000000085</v>
      </c>
      <c r="I758" s="1">
        <f t="shared" si="68"/>
        <v>0.38799774425602013</v>
      </c>
      <c r="J758" s="2">
        <v>107</v>
      </c>
      <c r="K758" s="2">
        <v>110.3</v>
      </c>
      <c r="L758" s="2">
        <f t="shared" si="69"/>
        <v>-3.2999999999999972</v>
      </c>
      <c r="M758" s="1">
        <f t="shared" si="70"/>
        <v>-7.0924573524312806E-2</v>
      </c>
      <c r="N758" s="2">
        <v>94.4</v>
      </c>
      <c r="O758" s="2">
        <v>113.4</v>
      </c>
      <c r="P758" s="2">
        <f t="shared" si="71"/>
        <v>-19</v>
      </c>
      <c r="Q758">
        <v>1.4</v>
      </c>
    </row>
    <row r="759" spans="1:17">
      <c r="A759" t="s">
        <v>41</v>
      </c>
      <c r="B759" t="s">
        <v>15</v>
      </c>
      <c r="C759">
        <v>41</v>
      </c>
      <c r="D759">
        <v>41</v>
      </c>
      <c r="E759" s="1">
        <f t="shared" si="66"/>
        <v>0.5</v>
      </c>
      <c r="F759" s="2">
        <v>93.9</v>
      </c>
      <c r="G759" s="2">
        <v>92</v>
      </c>
      <c r="H759" s="2">
        <f t="shared" si="67"/>
        <v>1.9000000000000057</v>
      </c>
      <c r="I759" s="1">
        <f t="shared" si="68"/>
        <v>0.57106198271976594</v>
      </c>
      <c r="J759" s="2">
        <v>103.1</v>
      </c>
      <c r="K759" s="2">
        <v>101</v>
      </c>
      <c r="L759" s="2">
        <f t="shared" si="69"/>
        <v>2.0999999999999943</v>
      </c>
      <c r="M759" s="1">
        <f t="shared" si="70"/>
        <v>-7.1061982719765937E-2</v>
      </c>
      <c r="N759" s="2">
        <v>91.4</v>
      </c>
      <c r="O759" s="2">
        <v>101.6</v>
      </c>
      <c r="P759" s="2">
        <f t="shared" si="71"/>
        <v>-10.199999999999989</v>
      </c>
      <c r="Q759">
        <v>-0.2</v>
      </c>
    </row>
    <row r="760" spans="1:17">
      <c r="A760" t="s">
        <v>60</v>
      </c>
      <c r="B760" t="s">
        <v>10</v>
      </c>
      <c r="C760">
        <v>43</v>
      </c>
      <c r="D760">
        <v>32</v>
      </c>
      <c r="E760" s="1">
        <f t="shared" si="66"/>
        <v>0.57333333333333336</v>
      </c>
      <c r="F760" s="2">
        <v>117</v>
      </c>
      <c r="G760" s="2">
        <v>112.1</v>
      </c>
      <c r="H760" s="2">
        <f t="shared" si="67"/>
        <v>4.9000000000000057</v>
      </c>
      <c r="I760" s="1">
        <f t="shared" si="68"/>
        <v>0.64541752583706569</v>
      </c>
      <c r="J760" s="2">
        <v>115.9</v>
      </c>
      <c r="K760" s="2">
        <v>111.2</v>
      </c>
      <c r="L760" s="2">
        <f t="shared" si="69"/>
        <v>4.7000000000000028</v>
      </c>
      <c r="M760" s="1">
        <f t="shared" si="70"/>
        <v>-7.2084192503732325E-2</v>
      </c>
      <c r="N760" s="2">
        <v>99.4</v>
      </c>
      <c r="O760" s="2">
        <v>107.5</v>
      </c>
      <c r="P760" s="2">
        <f t="shared" si="71"/>
        <v>-8.0999999999999943</v>
      </c>
      <c r="Q760">
        <v>0.5</v>
      </c>
    </row>
    <row r="761" spans="1:17">
      <c r="A761" t="s">
        <v>41</v>
      </c>
      <c r="B761" t="s">
        <v>30</v>
      </c>
      <c r="C761">
        <v>27</v>
      </c>
      <c r="D761">
        <v>55</v>
      </c>
      <c r="E761" s="1">
        <f t="shared" si="66"/>
        <v>0.32926829268292684</v>
      </c>
      <c r="F761" s="2">
        <v>101.1</v>
      </c>
      <c r="G761" s="2">
        <v>104</v>
      </c>
      <c r="H761" s="2">
        <f t="shared" si="67"/>
        <v>-2.9000000000000057</v>
      </c>
      <c r="I761" s="1">
        <f t="shared" si="68"/>
        <v>0.4022903946569592</v>
      </c>
      <c r="J761" s="2">
        <v>107.9</v>
      </c>
      <c r="K761" s="2">
        <v>111.2</v>
      </c>
      <c r="L761" s="2">
        <f t="shared" si="69"/>
        <v>-3.2999999999999972</v>
      </c>
      <c r="M761" s="1">
        <f t="shared" si="70"/>
        <v>-7.3022101974032361E-2</v>
      </c>
      <c r="N761" s="2">
        <v>101.6</v>
      </c>
      <c r="O761" s="2">
        <v>114.4</v>
      </c>
      <c r="P761" s="2">
        <f t="shared" si="71"/>
        <v>-12.800000000000011</v>
      </c>
      <c r="Q761">
        <v>0.7</v>
      </c>
    </row>
    <row r="762" spans="1:17">
      <c r="A762" t="s">
        <v>54</v>
      </c>
      <c r="B762" t="s">
        <v>12</v>
      </c>
      <c r="C762">
        <v>32</v>
      </c>
      <c r="D762">
        <v>50</v>
      </c>
      <c r="E762" s="1">
        <f t="shared" si="66"/>
        <v>0.3902439024390244</v>
      </c>
      <c r="F762" s="2">
        <v>98.5</v>
      </c>
      <c r="G762" s="2">
        <v>99.5</v>
      </c>
      <c r="H762" s="2">
        <f t="shared" si="67"/>
        <v>-1</v>
      </c>
      <c r="I762" s="1">
        <f t="shared" si="68"/>
        <v>0.46470496450899657</v>
      </c>
      <c r="J762" s="2">
        <v>104.3</v>
      </c>
      <c r="K762" s="2">
        <v>105.4</v>
      </c>
      <c r="L762" s="2">
        <f t="shared" si="69"/>
        <v>-1.1000000000000085</v>
      </c>
      <c r="M762" s="1">
        <f t="shared" si="70"/>
        <v>-7.4461062069972161E-2</v>
      </c>
      <c r="N762" s="2">
        <v>90.2</v>
      </c>
      <c r="O762" s="2">
        <v>100.3</v>
      </c>
      <c r="P762" s="2">
        <f t="shared" si="71"/>
        <v>-10.099999999999994</v>
      </c>
      <c r="Q762">
        <v>0</v>
      </c>
    </row>
    <row r="763" spans="1:17">
      <c r="A763" t="s">
        <v>60</v>
      </c>
      <c r="B763" t="s">
        <v>20</v>
      </c>
      <c r="C763">
        <v>19</v>
      </c>
      <c r="D763">
        <v>45</v>
      </c>
      <c r="E763" s="1">
        <f t="shared" si="66"/>
        <v>0.296875</v>
      </c>
      <c r="F763" s="2">
        <v>113.2</v>
      </c>
      <c r="G763" s="2">
        <v>117.5</v>
      </c>
      <c r="H763" s="2">
        <f t="shared" si="67"/>
        <v>-4.2999999999999972</v>
      </c>
      <c r="I763" s="1">
        <f t="shared" si="68"/>
        <v>0.37239628997448704</v>
      </c>
      <c r="J763" s="2">
        <v>107.6</v>
      </c>
      <c r="K763" s="2">
        <v>111.6</v>
      </c>
      <c r="L763" s="2">
        <f t="shared" si="69"/>
        <v>-4</v>
      </c>
      <c r="M763" s="1">
        <f t="shared" si="70"/>
        <v>-7.5521289974487038E-2</v>
      </c>
      <c r="N763" s="2">
        <v>105.6</v>
      </c>
      <c r="O763" s="2">
        <v>116.6</v>
      </c>
      <c r="P763" s="2">
        <f t="shared" si="71"/>
        <v>-11</v>
      </c>
      <c r="Q763">
        <v>-0.4</v>
      </c>
    </row>
    <row r="764" spans="1:17">
      <c r="A764" t="s">
        <v>64</v>
      </c>
      <c r="B764" t="s">
        <v>12</v>
      </c>
      <c r="C764">
        <v>14</v>
      </c>
      <c r="D764">
        <v>68</v>
      </c>
      <c r="E764" s="1">
        <f t="shared" si="66"/>
        <v>0.17073170731707318</v>
      </c>
      <c r="F764" s="2">
        <v>109.9</v>
      </c>
      <c r="G764" s="2">
        <v>119</v>
      </c>
      <c r="H764" s="2">
        <f t="shared" si="67"/>
        <v>-9.0999999999999943</v>
      </c>
      <c r="I764" s="1">
        <f t="shared" si="68"/>
        <v>0.24717488192529891</v>
      </c>
      <c r="J764" s="2">
        <v>109</v>
      </c>
      <c r="K764" s="2">
        <v>118</v>
      </c>
      <c r="L764" s="2">
        <f t="shared" si="69"/>
        <v>-9</v>
      </c>
      <c r="M764" s="1">
        <f t="shared" si="70"/>
        <v>-7.6443174608225722E-2</v>
      </c>
      <c r="N764" s="2">
        <v>93.7</v>
      </c>
      <c r="O764" s="2">
        <v>128.1</v>
      </c>
      <c r="P764" s="2">
        <f t="shared" si="71"/>
        <v>-34.399999999999991</v>
      </c>
      <c r="Q764">
        <v>-0.9</v>
      </c>
    </row>
    <row r="765" spans="1:17">
      <c r="A765" t="s">
        <v>43</v>
      </c>
      <c r="B765" t="s">
        <v>8</v>
      </c>
      <c r="C765">
        <v>49</v>
      </c>
      <c r="D765">
        <v>33</v>
      </c>
      <c r="E765" s="1">
        <f t="shared" si="66"/>
        <v>0.59756097560975607</v>
      </c>
      <c r="F765" s="2">
        <v>98.8</v>
      </c>
      <c r="G765" s="2">
        <v>93.8</v>
      </c>
      <c r="H765" s="2">
        <f t="shared" si="67"/>
        <v>5</v>
      </c>
      <c r="I765" s="1">
        <f t="shared" si="68"/>
        <v>0.67415944517455229</v>
      </c>
      <c r="J765" s="2">
        <v>104</v>
      </c>
      <c r="K765" s="2">
        <v>98.8</v>
      </c>
      <c r="L765" s="2">
        <f t="shared" si="69"/>
        <v>5.2000000000000028</v>
      </c>
      <c r="M765" s="1">
        <f t="shared" si="70"/>
        <v>-7.6598469564796212E-2</v>
      </c>
      <c r="N765" s="2">
        <v>98</v>
      </c>
      <c r="O765" s="2">
        <v>89.6</v>
      </c>
      <c r="P765" s="2">
        <f t="shared" si="71"/>
        <v>8.4000000000000057</v>
      </c>
      <c r="Q765">
        <v>0.6</v>
      </c>
    </row>
    <row r="766" spans="1:17">
      <c r="A766" t="s">
        <v>55</v>
      </c>
      <c r="B766" t="s">
        <v>24</v>
      </c>
      <c r="C766">
        <v>10</v>
      </c>
      <c r="D766">
        <v>72</v>
      </c>
      <c r="E766" s="1">
        <f t="shared" si="66"/>
        <v>0.12195121951219512</v>
      </c>
      <c r="F766" s="2">
        <v>97.4</v>
      </c>
      <c r="G766" s="2">
        <v>107.6</v>
      </c>
      <c r="H766" s="2">
        <f t="shared" si="67"/>
        <v>-10.199999999999989</v>
      </c>
      <c r="I766" s="1">
        <f t="shared" si="68"/>
        <v>0.1987186515098173</v>
      </c>
      <c r="J766" s="2">
        <v>98.4</v>
      </c>
      <c r="K766" s="2">
        <v>108.6</v>
      </c>
      <c r="L766" s="2">
        <f t="shared" si="69"/>
        <v>-10.199999999999989</v>
      </c>
      <c r="M766" s="1">
        <f t="shared" si="70"/>
        <v>-7.6767431997622176E-2</v>
      </c>
      <c r="N766" s="2">
        <v>78.599999999999994</v>
      </c>
      <c r="O766" s="2">
        <v>123.5</v>
      </c>
      <c r="P766" s="2">
        <f t="shared" si="71"/>
        <v>-44.900000000000006</v>
      </c>
      <c r="Q766">
        <v>-2</v>
      </c>
    </row>
    <row r="767" spans="1:17">
      <c r="A767" t="s">
        <v>55</v>
      </c>
      <c r="B767" t="s">
        <v>31</v>
      </c>
      <c r="C767">
        <v>40</v>
      </c>
      <c r="D767">
        <v>42</v>
      </c>
      <c r="E767" s="1">
        <f t="shared" si="66"/>
        <v>0.48780487804878048</v>
      </c>
      <c r="F767" s="2">
        <v>97.7</v>
      </c>
      <c r="G767" s="2">
        <v>95.9</v>
      </c>
      <c r="H767" s="2">
        <f t="shared" si="67"/>
        <v>1.7999999999999972</v>
      </c>
      <c r="I767" s="1">
        <f t="shared" si="68"/>
        <v>0.56471939759532841</v>
      </c>
      <c r="J767" s="2">
        <v>105</v>
      </c>
      <c r="K767" s="2">
        <v>103.2</v>
      </c>
      <c r="L767" s="2">
        <f t="shared" si="69"/>
        <v>1.7999999999999972</v>
      </c>
      <c r="M767" s="1">
        <f t="shared" si="70"/>
        <v>-7.6914519546547933E-2</v>
      </c>
      <c r="N767" s="2">
        <v>99.5</v>
      </c>
      <c r="O767" s="2">
        <v>118.9</v>
      </c>
      <c r="P767" s="2">
        <f t="shared" si="71"/>
        <v>-19.400000000000006</v>
      </c>
      <c r="Q767">
        <v>0.5</v>
      </c>
    </row>
    <row r="768" spans="1:17">
      <c r="A768" t="s">
        <v>39</v>
      </c>
      <c r="B768" t="s">
        <v>40</v>
      </c>
      <c r="C768">
        <v>18</v>
      </c>
      <c r="D768">
        <v>64</v>
      </c>
      <c r="E768" s="1">
        <f t="shared" si="66"/>
        <v>0.21951219512195122</v>
      </c>
      <c r="F768" s="2">
        <v>94.3</v>
      </c>
      <c r="G768" s="2">
        <v>100.2</v>
      </c>
      <c r="H768" s="2">
        <f t="shared" si="67"/>
        <v>-5.9000000000000057</v>
      </c>
      <c r="I768" s="1">
        <f t="shared" si="68"/>
        <v>0.29951299978674456</v>
      </c>
      <c r="J768" s="2">
        <v>99.8</v>
      </c>
      <c r="K768" s="2">
        <v>106</v>
      </c>
      <c r="L768" s="2">
        <f t="shared" si="69"/>
        <v>-6.2000000000000028</v>
      </c>
      <c r="M768" s="1">
        <f t="shared" si="70"/>
        <v>-8.000080466479334E-2</v>
      </c>
      <c r="N768" s="2">
        <v>91.4</v>
      </c>
      <c r="O768" s="2">
        <v>107.5</v>
      </c>
      <c r="P768" s="2">
        <f t="shared" si="71"/>
        <v>-16.099999999999994</v>
      </c>
      <c r="Q768">
        <v>-1.2</v>
      </c>
    </row>
    <row r="769" spans="1:17">
      <c r="A769" t="s">
        <v>61</v>
      </c>
      <c r="B769" t="s">
        <v>12</v>
      </c>
      <c r="C769">
        <v>20</v>
      </c>
      <c r="D769">
        <v>52</v>
      </c>
      <c r="E769" s="1">
        <f t="shared" si="66"/>
        <v>0.27777777777777779</v>
      </c>
      <c r="F769" s="2">
        <v>106.6</v>
      </c>
      <c r="G769" s="2">
        <v>111.1</v>
      </c>
      <c r="H769" s="2">
        <f t="shared" si="67"/>
        <v>-4.5</v>
      </c>
      <c r="I769" s="1">
        <f t="shared" si="68"/>
        <v>0.35919481428812144</v>
      </c>
      <c r="J769" s="2">
        <v>107.6</v>
      </c>
      <c r="K769" s="2">
        <v>112.2</v>
      </c>
      <c r="L769" s="2">
        <f t="shared" si="69"/>
        <v>-4.6000000000000085</v>
      </c>
      <c r="M769" s="1">
        <f t="shared" si="70"/>
        <v>-8.1417036510343654E-2</v>
      </c>
      <c r="N769" s="2">
        <v>101.2</v>
      </c>
      <c r="O769" s="2">
        <v>121.7</v>
      </c>
      <c r="P769" s="2">
        <f t="shared" si="71"/>
        <v>-20.5</v>
      </c>
      <c r="Q769">
        <v>-0.3</v>
      </c>
    </row>
    <row r="770" spans="1:17">
      <c r="A770" t="s">
        <v>60</v>
      </c>
      <c r="B770" t="s">
        <v>12</v>
      </c>
      <c r="C770">
        <v>20</v>
      </c>
      <c r="D770">
        <v>46</v>
      </c>
      <c r="E770" s="1">
        <f t="shared" si="66"/>
        <v>0.30303030303030304</v>
      </c>
      <c r="F770" s="2">
        <v>107.2</v>
      </c>
      <c r="G770" s="2">
        <v>110.8</v>
      </c>
      <c r="H770" s="2">
        <f t="shared" si="67"/>
        <v>-3.5999999999999943</v>
      </c>
      <c r="I770" s="1">
        <f t="shared" si="68"/>
        <v>0.38641014492971848</v>
      </c>
      <c r="J770" s="2">
        <v>108.8</v>
      </c>
      <c r="K770" s="2">
        <v>112.3</v>
      </c>
      <c r="L770" s="2">
        <f t="shared" si="69"/>
        <v>-3.5</v>
      </c>
      <c r="M770" s="1">
        <f t="shared" si="70"/>
        <v>-8.3379841899415441E-2</v>
      </c>
      <c r="N770" s="2">
        <v>91</v>
      </c>
      <c r="O770" s="2">
        <v>115.5</v>
      </c>
      <c r="P770" s="2">
        <f t="shared" si="71"/>
        <v>-24.5</v>
      </c>
      <c r="Q770">
        <v>0</v>
      </c>
    </row>
    <row r="771" spans="1:17">
      <c r="A771" t="s">
        <v>62</v>
      </c>
      <c r="B771" t="s">
        <v>31</v>
      </c>
      <c r="C771">
        <v>49</v>
      </c>
      <c r="D771">
        <v>33</v>
      </c>
      <c r="E771" s="1">
        <f t="shared" si="66"/>
        <v>0.59756097560975607</v>
      </c>
      <c r="F771" s="2">
        <v>113.6</v>
      </c>
      <c r="G771" s="2">
        <v>107.6</v>
      </c>
      <c r="H771" s="2">
        <f t="shared" si="67"/>
        <v>6</v>
      </c>
      <c r="I771" s="1">
        <f t="shared" si="68"/>
        <v>0.68128425860011865</v>
      </c>
      <c r="J771" s="2">
        <v>116.2</v>
      </c>
      <c r="K771" s="2">
        <v>110</v>
      </c>
      <c r="L771" s="2">
        <f t="shared" si="69"/>
        <v>6.2000000000000028</v>
      </c>
      <c r="M771" s="1">
        <f t="shared" si="70"/>
        <v>-8.372328299036258E-2</v>
      </c>
      <c r="N771" s="2">
        <v>105.1</v>
      </c>
      <c r="O771" s="2">
        <v>113.5</v>
      </c>
      <c r="P771" s="2">
        <f t="shared" si="71"/>
        <v>-8.4000000000000057</v>
      </c>
      <c r="Q771">
        <v>0.7</v>
      </c>
    </row>
    <row r="772" spans="1:17">
      <c r="A772" t="s">
        <v>48</v>
      </c>
      <c r="B772" t="s">
        <v>20</v>
      </c>
      <c r="C772">
        <v>17</v>
      </c>
      <c r="D772">
        <v>65</v>
      </c>
      <c r="E772" s="1">
        <f t="shared" si="66"/>
        <v>0.2073170731707317</v>
      </c>
      <c r="F772" s="2">
        <v>101.1</v>
      </c>
      <c r="G772" s="2">
        <v>107.7</v>
      </c>
      <c r="H772" s="2">
        <f t="shared" si="67"/>
        <v>-6.6000000000000085</v>
      </c>
      <c r="I772" s="1">
        <f t="shared" si="68"/>
        <v>0.2920698563562486</v>
      </c>
      <c r="J772" s="2">
        <v>103.2</v>
      </c>
      <c r="K772" s="2">
        <v>109.9</v>
      </c>
      <c r="L772" s="2">
        <f t="shared" si="69"/>
        <v>-6.7000000000000028</v>
      </c>
      <c r="M772" s="1">
        <f t="shared" si="70"/>
        <v>-8.4752783185516906E-2</v>
      </c>
      <c r="N772" s="2">
        <v>91.1</v>
      </c>
      <c r="O772" s="2">
        <v>129.80000000000001</v>
      </c>
      <c r="P772" s="2">
        <f t="shared" si="71"/>
        <v>-38.700000000000017</v>
      </c>
      <c r="Q772">
        <v>-1.7</v>
      </c>
    </row>
    <row r="773" spans="1:17">
      <c r="A773" t="s">
        <v>57</v>
      </c>
      <c r="B773" t="s">
        <v>20</v>
      </c>
      <c r="C773">
        <v>31</v>
      </c>
      <c r="D773">
        <v>51</v>
      </c>
      <c r="E773" s="1">
        <f t="shared" si="66"/>
        <v>0.37804878048780488</v>
      </c>
      <c r="F773" s="2">
        <v>105.6</v>
      </c>
      <c r="G773" s="2">
        <v>106.7</v>
      </c>
      <c r="H773" s="2">
        <f t="shared" si="67"/>
        <v>-1.1000000000000085</v>
      </c>
      <c r="I773" s="1">
        <f t="shared" si="68"/>
        <v>0.46379372867246205</v>
      </c>
      <c r="J773" s="2">
        <v>110</v>
      </c>
      <c r="K773" s="2">
        <v>110.9</v>
      </c>
      <c r="L773" s="2">
        <f t="shared" si="69"/>
        <v>-0.90000000000000568</v>
      </c>
      <c r="M773" s="1">
        <f t="shared" si="70"/>
        <v>-8.5744948184657166E-2</v>
      </c>
      <c r="N773" s="2">
        <v>95</v>
      </c>
      <c r="O773" s="2">
        <v>104.7</v>
      </c>
      <c r="P773" s="2">
        <f t="shared" si="71"/>
        <v>-9.7000000000000028</v>
      </c>
      <c r="Q773">
        <v>-1.1000000000000001</v>
      </c>
    </row>
    <row r="774" spans="1:17">
      <c r="A774" t="s">
        <v>43</v>
      </c>
      <c r="B774" t="s">
        <v>6</v>
      </c>
      <c r="C774">
        <v>24</v>
      </c>
      <c r="D774">
        <v>58</v>
      </c>
      <c r="E774" s="1">
        <f t="shared" si="66"/>
        <v>0.29268292682926828</v>
      </c>
      <c r="F774" s="2">
        <v>95.8</v>
      </c>
      <c r="G774" s="2">
        <v>99.2</v>
      </c>
      <c r="H774" s="2">
        <f t="shared" si="67"/>
        <v>-3.4000000000000057</v>
      </c>
      <c r="I774" s="1">
        <f t="shared" si="68"/>
        <v>0.38030482295206253</v>
      </c>
      <c r="J774" s="2">
        <v>102.3</v>
      </c>
      <c r="K774" s="2">
        <v>105.8</v>
      </c>
      <c r="L774" s="2">
        <f t="shared" si="69"/>
        <v>-3.5</v>
      </c>
      <c r="M774" s="1">
        <f t="shared" si="70"/>
        <v>-8.7621896122794252E-2</v>
      </c>
      <c r="N774" s="2">
        <v>98.7</v>
      </c>
      <c r="O774" s="2">
        <v>99</v>
      </c>
      <c r="P774" s="2">
        <f t="shared" si="71"/>
        <v>-0.29999999999999716</v>
      </c>
      <c r="Q774">
        <v>0.1</v>
      </c>
    </row>
    <row r="775" spans="1:17">
      <c r="A775" t="s">
        <v>62</v>
      </c>
      <c r="B775" t="s">
        <v>15</v>
      </c>
      <c r="C775">
        <v>25</v>
      </c>
      <c r="D775">
        <v>57</v>
      </c>
      <c r="E775" s="1">
        <f t="shared" si="66"/>
        <v>0.3048780487804878</v>
      </c>
      <c r="F775" s="2">
        <v>111.5</v>
      </c>
      <c r="G775" s="2">
        <v>114.9</v>
      </c>
      <c r="H775" s="2">
        <f t="shared" si="67"/>
        <v>-3.4000000000000057</v>
      </c>
      <c r="I775" s="1">
        <f t="shared" si="68"/>
        <v>0.39639081435339146</v>
      </c>
      <c r="J775" s="2">
        <v>111.9</v>
      </c>
      <c r="K775" s="2">
        <v>115.5</v>
      </c>
      <c r="L775" s="2">
        <f t="shared" si="69"/>
        <v>-3.5999999999999943</v>
      </c>
      <c r="M775" s="1">
        <f t="shared" si="70"/>
        <v>-9.1512765572903665E-2</v>
      </c>
      <c r="N775" s="2">
        <v>92</v>
      </c>
      <c r="O775" s="2">
        <v>114.9</v>
      </c>
      <c r="P775" s="2">
        <f t="shared" si="71"/>
        <v>-22.900000000000006</v>
      </c>
      <c r="Q775">
        <v>-0.4</v>
      </c>
    </row>
    <row r="776" spans="1:17">
      <c r="A776" t="s">
        <v>62</v>
      </c>
      <c r="B776" t="s">
        <v>28</v>
      </c>
      <c r="C776">
        <v>34</v>
      </c>
      <c r="D776">
        <v>48</v>
      </c>
      <c r="E776" s="1">
        <f t="shared" si="66"/>
        <v>0.41463414634146339</v>
      </c>
      <c r="F776" s="2">
        <v>113.2</v>
      </c>
      <c r="G776" s="2">
        <v>113</v>
      </c>
      <c r="H776" s="2">
        <f t="shared" si="67"/>
        <v>0.20000000000000284</v>
      </c>
      <c r="I776" s="1">
        <f t="shared" si="68"/>
        <v>0.50618889860276861</v>
      </c>
      <c r="J776" s="2">
        <v>111.9</v>
      </c>
      <c r="K776" s="2">
        <v>111.7</v>
      </c>
      <c r="L776" s="2">
        <f t="shared" si="69"/>
        <v>0.20000000000000284</v>
      </c>
      <c r="M776" s="1">
        <f t="shared" si="70"/>
        <v>-9.1554752261305217E-2</v>
      </c>
      <c r="N776" s="2">
        <v>93.4</v>
      </c>
      <c r="O776" s="2">
        <v>103.8</v>
      </c>
      <c r="P776" s="2">
        <f t="shared" si="71"/>
        <v>-10.399999999999991</v>
      </c>
      <c r="Q776">
        <v>0.7</v>
      </c>
    </row>
    <row r="777" spans="1:17">
      <c r="A777" t="s">
        <v>36</v>
      </c>
      <c r="B777" t="s">
        <v>21</v>
      </c>
      <c r="C777">
        <v>49</v>
      </c>
      <c r="D777">
        <v>33</v>
      </c>
      <c r="E777" s="1">
        <f t="shared" ref="E777:E840" si="72">+C777/(C777+D777)</f>
        <v>0.59756097560975607</v>
      </c>
      <c r="F777" s="2">
        <v>95.4</v>
      </c>
      <c r="G777" s="2">
        <v>90.1</v>
      </c>
      <c r="H777" s="2">
        <f t="shared" ref="H777:H840" si="73">+F777-G777</f>
        <v>5.3000000000000114</v>
      </c>
      <c r="I777" s="1">
        <f t="shared" ref="I777:I784" si="74">+(F777^14)/((F777^14+G777^14))</f>
        <v>0.69002106739686153</v>
      </c>
      <c r="J777" s="2">
        <v>102.1</v>
      </c>
      <c r="K777" s="2">
        <v>96.6</v>
      </c>
      <c r="L777" s="2">
        <f t="shared" ref="L777:L840" si="75">+J777-K777</f>
        <v>5.5</v>
      </c>
      <c r="M777" s="1">
        <f t="shared" ref="M777:M784" si="76">+E777-I777</f>
        <v>-9.2460091787105458E-2</v>
      </c>
      <c r="N777" s="2">
        <v>83.1</v>
      </c>
      <c r="O777" s="2">
        <v>100</v>
      </c>
      <c r="P777" s="2">
        <f t="shared" si="71"/>
        <v>-16.900000000000006</v>
      </c>
      <c r="Q777">
        <v>-0.7</v>
      </c>
    </row>
    <row r="778" spans="1:17">
      <c r="A778" t="s">
        <v>52</v>
      </c>
      <c r="B778" t="s">
        <v>20</v>
      </c>
      <c r="C778">
        <v>40</v>
      </c>
      <c r="D778">
        <v>42</v>
      </c>
      <c r="E778" s="1">
        <f t="shared" si="72"/>
        <v>0.48780487804878048</v>
      </c>
      <c r="F778" s="2">
        <v>106.9</v>
      </c>
      <c r="G778" s="2">
        <v>104.3</v>
      </c>
      <c r="H778" s="2">
        <f t="shared" si="73"/>
        <v>2.6000000000000085</v>
      </c>
      <c r="I778" s="1">
        <f t="shared" si="74"/>
        <v>0.58533524678753013</v>
      </c>
      <c r="J778" s="2">
        <v>107.7</v>
      </c>
      <c r="K778" s="2">
        <v>105.2</v>
      </c>
      <c r="L778" s="2">
        <f t="shared" si="75"/>
        <v>2.5</v>
      </c>
      <c r="M778" s="1">
        <f t="shared" si="76"/>
        <v>-9.7530368738749651E-2</v>
      </c>
      <c r="N778" s="2">
        <v>99.7</v>
      </c>
      <c r="O778" s="2">
        <v>116.3</v>
      </c>
      <c r="P778" s="2">
        <f t="shared" ref="P778:P784" si="77">+N778-O778</f>
        <v>-16.599999999999994</v>
      </c>
      <c r="Q778">
        <v>-2.2999999999999998</v>
      </c>
    </row>
    <row r="779" spans="1:17">
      <c r="A779" t="s">
        <v>62</v>
      </c>
      <c r="B779" t="s">
        <v>6</v>
      </c>
      <c r="C779">
        <v>51</v>
      </c>
      <c r="D779">
        <v>31</v>
      </c>
      <c r="E779" s="1">
        <f t="shared" si="72"/>
        <v>0.62195121951219512</v>
      </c>
      <c r="F779" s="2">
        <v>111.8</v>
      </c>
      <c r="G779" s="2">
        <v>104.5</v>
      </c>
      <c r="H779" s="2">
        <f t="shared" si="73"/>
        <v>7.2999999999999972</v>
      </c>
      <c r="I779" s="1">
        <f t="shared" si="74"/>
        <v>0.72017762385554718</v>
      </c>
      <c r="J779" s="2">
        <v>113.6</v>
      </c>
      <c r="K779" s="2">
        <v>106.2</v>
      </c>
      <c r="L779" s="2">
        <f t="shared" si="75"/>
        <v>7.3999999999999915</v>
      </c>
      <c r="M779" s="1">
        <f t="shared" si="76"/>
        <v>-9.8226404343352058E-2</v>
      </c>
      <c r="N779" s="2">
        <v>96.8</v>
      </c>
      <c r="O779" s="2">
        <v>106.2</v>
      </c>
      <c r="P779" s="2">
        <f t="shared" si="77"/>
        <v>-9.4000000000000057</v>
      </c>
      <c r="Q779">
        <v>0.3</v>
      </c>
    </row>
    <row r="780" spans="1:17">
      <c r="A780" t="s">
        <v>44</v>
      </c>
      <c r="B780" t="s">
        <v>30</v>
      </c>
      <c r="C780">
        <v>41</v>
      </c>
      <c r="D780">
        <v>41</v>
      </c>
      <c r="E780" s="1">
        <f t="shared" si="72"/>
        <v>0.5</v>
      </c>
      <c r="F780" s="2">
        <v>100.2</v>
      </c>
      <c r="G780" s="2">
        <v>97.3</v>
      </c>
      <c r="H780" s="2">
        <f t="shared" si="73"/>
        <v>2.9000000000000057</v>
      </c>
      <c r="I780" s="1">
        <f t="shared" si="74"/>
        <v>0.6013681002055381</v>
      </c>
      <c r="J780" s="2">
        <v>108.9</v>
      </c>
      <c r="K780" s="2">
        <v>105.6</v>
      </c>
      <c r="L780" s="2">
        <f t="shared" si="75"/>
        <v>3.3000000000000114</v>
      </c>
      <c r="M780" s="1">
        <f t="shared" si="76"/>
        <v>-0.1013681002055381</v>
      </c>
      <c r="N780" s="2">
        <v>115.5</v>
      </c>
      <c r="O780" s="2">
        <v>120.5</v>
      </c>
      <c r="P780" s="2">
        <f t="shared" si="77"/>
        <v>-5</v>
      </c>
      <c r="Q780">
        <v>0</v>
      </c>
    </row>
    <row r="781" spans="1:17">
      <c r="A781" t="s">
        <v>58</v>
      </c>
      <c r="B781" t="s">
        <v>10</v>
      </c>
      <c r="C781">
        <v>24</v>
      </c>
      <c r="D781">
        <v>58</v>
      </c>
      <c r="E781" s="1">
        <f t="shared" si="72"/>
        <v>0.29268292682926828</v>
      </c>
      <c r="F781" s="2">
        <v>102.3</v>
      </c>
      <c r="G781" s="2">
        <v>105.4</v>
      </c>
      <c r="H781" s="2">
        <f t="shared" si="73"/>
        <v>-3.1000000000000085</v>
      </c>
      <c r="I781" s="1">
        <f t="shared" si="74"/>
        <v>0.39700943969095354</v>
      </c>
      <c r="J781" s="2">
        <v>105.4</v>
      </c>
      <c r="K781" s="2">
        <v>108.4</v>
      </c>
      <c r="L781" s="2">
        <f t="shared" si="75"/>
        <v>-3</v>
      </c>
      <c r="M781" s="1">
        <f t="shared" si="76"/>
        <v>-0.10432651286168526</v>
      </c>
      <c r="N781" s="2">
        <v>88.3</v>
      </c>
      <c r="O781" s="2">
        <v>116.7</v>
      </c>
      <c r="P781" s="2">
        <f t="shared" si="77"/>
        <v>-28.400000000000006</v>
      </c>
      <c r="Q781">
        <v>-1</v>
      </c>
    </row>
    <row r="782" spans="1:17">
      <c r="A782" t="s">
        <v>66</v>
      </c>
      <c r="B782" t="s">
        <v>7</v>
      </c>
      <c r="C782">
        <v>32</v>
      </c>
      <c r="D782">
        <v>32</v>
      </c>
      <c r="E782" s="1">
        <f t="shared" si="72"/>
        <v>0.5</v>
      </c>
      <c r="F782" s="2">
        <v>116.2</v>
      </c>
      <c r="G782" s="2">
        <v>112.5</v>
      </c>
      <c r="H782" s="2">
        <f t="shared" si="73"/>
        <v>3.7000000000000028</v>
      </c>
      <c r="I782" s="1">
        <f t="shared" si="74"/>
        <v>0.61136052280832021</v>
      </c>
      <c r="J782" s="2">
        <v>117.8</v>
      </c>
      <c r="K782" s="2">
        <v>114.1</v>
      </c>
      <c r="L782" s="2">
        <f t="shared" si="75"/>
        <v>3.7000000000000028</v>
      </c>
      <c r="M782" s="1">
        <f t="shared" si="76"/>
        <v>-0.11136052280832021</v>
      </c>
      <c r="N782" s="2">
        <v>108</v>
      </c>
      <c r="O782" s="2">
        <v>115.5</v>
      </c>
      <c r="P782" s="2">
        <f t="shared" si="77"/>
        <v>-7.5</v>
      </c>
      <c r="Q782">
        <v>-0.9</v>
      </c>
    </row>
    <row r="783" spans="1:17">
      <c r="A783" t="s">
        <v>61</v>
      </c>
      <c r="B783" t="s">
        <v>30</v>
      </c>
      <c r="C783">
        <v>27</v>
      </c>
      <c r="D783">
        <v>45</v>
      </c>
      <c r="E783" s="1">
        <f t="shared" si="72"/>
        <v>0.375</v>
      </c>
      <c r="F783" s="2">
        <v>111.3</v>
      </c>
      <c r="G783" s="2">
        <v>111.7</v>
      </c>
      <c r="H783" s="2">
        <f t="shared" si="73"/>
        <v>-0.40000000000000568</v>
      </c>
      <c r="I783" s="1">
        <f t="shared" si="74"/>
        <v>0.48744657142272707</v>
      </c>
      <c r="J783" s="2">
        <v>111.6</v>
      </c>
      <c r="K783" s="2">
        <v>112</v>
      </c>
      <c r="L783" s="2">
        <f t="shared" si="75"/>
        <v>-0.40000000000000568</v>
      </c>
      <c r="M783" s="1">
        <f t="shared" si="76"/>
        <v>-0.11244657142272707</v>
      </c>
      <c r="N783" s="2">
        <v>100.8</v>
      </c>
      <c r="O783" s="2">
        <v>113.3</v>
      </c>
      <c r="P783" s="2">
        <f t="shared" si="77"/>
        <v>-12.5</v>
      </c>
      <c r="Q783">
        <v>0.8</v>
      </c>
    </row>
    <row r="784" spans="1:17">
      <c r="A784" t="s">
        <v>49</v>
      </c>
      <c r="B784" t="s">
        <v>24</v>
      </c>
      <c r="C784">
        <v>35</v>
      </c>
      <c r="D784">
        <v>31</v>
      </c>
      <c r="E784" s="1">
        <f t="shared" si="72"/>
        <v>0.53030303030303028</v>
      </c>
      <c r="F784" s="2">
        <v>93.6</v>
      </c>
      <c r="G784" s="2">
        <v>89.4</v>
      </c>
      <c r="H784" s="2">
        <f t="shared" si="73"/>
        <v>4.1999999999999886</v>
      </c>
      <c r="I784" s="1">
        <f t="shared" si="74"/>
        <v>0.65537163395547915</v>
      </c>
      <c r="J784" s="2">
        <v>102.7</v>
      </c>
      <c r="K784" s="2">
        <v>98.2</v>
      </c>
      <c r="L784" s="2">
        <f t="shared" si="75"/>
        <v>4.5</v>
      </c>
      <c r="M784" s="1">
        <f t="shared" si="76"/>
        <v>-0.12506860365244887</v>
      </c>
      <c r="N784" s="2">
        <v>89.8</v>
      </c>
      <c r="O784" s="2">
        <v>104.4</v>
      </c>
      <c r="P784" s="2">
        <f t="shared" si="77"/>
        <v>-14.600000000000009</v>
      </c>
      <c r="Q784">
        <v>-0.6</v>
      </c>
    </row>
  </sheetData>
  <sortState xmlns:xlrd2="http://schemas.microsoft.com/office/spreadsheetml/2017/richdata2" ref="A9:Q784">
    <sortCondition descending="1" ref="M9:M784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70C3-789B-E347-855C-10E195CCE0CF}">
  <dimension ref="A2:R784"/>
  <sheetViews>
    <sheetView workbookViewId="0">
      <pane xSplit="2" ySplit="8" topLeftCell="F9" activePane="bottomRight" state="frozen"/>
      <selection pane="topRight" activeCell="C1" sqref="C1"/>
      <selection pane="bottomLeft" activeCell="A9" sqref="A9"/>
      <selection pane="bottomRight" activeCell="R16" sqref="R16"/>
    </sheetView>
  </sheetViews>
  <sheetFormatPr baseColWidth="10" defaultRowHeight="18"/>
  <cols>
    <col min="2" max="2" width="20.625" customWidth="1"/>
    <col min="3" max="17" width="12.625" customWidth="1"/>
  </cols>
  <sheetData>
    <row r="2" spans="1:18">
      <c r="E2">
        <v>776</v>
      </c>
      <c r="M2" s="1">
        <v>8.2002597305889102E-2</v>
      </c>
    </row>
    <row r="3" spans="1:18">
      <c r="E3" s="4">
        <f>(E9-MIN(E$9:E$784))/(MAX(E$9:E$784)-MIN(E$9:E$784))</f>
        <v>1</v>
      </c>
      <c r="I3" s="1">
        <f>+CORREL(I9:I784,E9:E784)</f>
        <v>0.96984726551156464</v>
      </c>
      <c r="M3" s="4">
        <f>(M2-MIN(M$9:M$784))/(MAX(M$9:M$784)-MIN(M$9:M$784))</f>
        <v>0.92185952012573269</v>
      </c>
    </row>
    <row r="4" spans="1:18">
      <c r="M4">
        <f>(RANK(M9,M$9:M$784,1)-1)/(COUNT($M$9:$M$784)-1)</f>
        <v>0.99612903225806448</v>
      </c>
    </row>
    <row r="8" spans="1:18">
      <c r="A8" t="s">
        <v>0</v>
      </c>
      <c r="B8" t="s">
        <v>1</v>
      </c>
      <c r="C8" s="3" t="s">
        <v>2</v>
      </c>
      <c r="D8" s="3" t="s">
        <v>3</v>
      </c>
      <c r="E8" s="3" t="s">
        <v>74</v>
      </c>
      <c r="F8" s="3" t="s">
        <v>70</v>
      </c>
      <c r="G8" s="3" t="s">
        <v>71</v>
      </c>
      <c r="H8" s="3" t="s">
        <v>72</v>
      </c>
      <c r="I8" s="3" t="s">
        <v>73</v>
      </c>
      <c r="J8" s="3" t="s">
        <v>67</v>
      </c>
      <c r="K8" s="3" t="s">
        <v>68</v>
      </c>
      <c r="L8" s="3" t="s">
        <v>69</v>
      </c>
      <c r="M8" s="3" t="s">
        <v>75</v>
      </c>
      <c r="N8" s="3" t="s">
        <v>76</v>
      </c>
      <c r="O8" s="3" t="s">
        <v>77</v>
      </c>
      <c r="P8" s="3" t="s">
        <v>79</v>
      </c>
      <c r="Q8" s="3" t="s">
        <v>78</v>
      </c>
    </row>
    <row r="9" spans="1:18">
      <c r="A9" t="s">
        <v>55</v>
      </c>
      <c r="B9" t="s">
        <v>13</v>
      </c>
      <c r="C9">
        <v>73</v>
      </c>
      <c r="D9">
        <v>9</v>
      </c>
      <c r="E9" s="1">
        <f t="shared" ref="E9:E72" si="0">+C9/(C9+D9)</f>
        <v>0.8902439024390244</v>
      </c>
      <c r="F9" s="2">
        <v>114.9</v>
      </c>
      <c r="G9" s="2">
        <v>104.1</v>
      </c>
      <c r="H9" s="2">
        <f t="shared" ref="H9:H72" si="1">+F9-G9</f>
        <v>10.800000000000011</v>
      </c>
      <c r="I9" s="1">
        <f t="shared" ref="I9:I72" si="2">+(F9^14)/((F9^14+G9^14))</f>
        <v>0.7993028619398963</v>
      </c>
      <c r="J9" s="2">
        <v>113.5</v>
      </c>
      <c r="K9" s="2">
        <v>102.8</v>
      </c>
      <c r="L9" s="2">
        <f t="shared" ref="L9:L72" si="3">+J9-K9</f>
        <v>10.700000000000003</v>
      </c>
      <c r="M9" s="1">
        <f t="shared" ref="M9:M72" si="4">+E9-I9</f>
        <v>9.0941040499128101E-2</v>
      </c>
      <c r="N9" s="2">
        <v>117</v>
      </c>
      <c r="O9" s="2">
        <v>81.099999999999994</v>
      </c>
      <c r="P9" s="2">
        <f t="shared" ref="P9:P72" si="5">+N9-O9</f>
        <v>35.900000000000006</v>
      </c>
      <c r="Q9">
        <v>0.4</v>
      </c>
      <c r="R9">
        <f>+Q9-H9/4</f>
        <v>-2.3000000000000029</v>
      </c>
    </row>
    <row r="10" spans="1:18">
      <c r="A10" t="s">
        <v>62</v>
      </c>
      <c r="B10" t="s">
        <v>25</v>
      </c>
      <c r="C10">
        <v>64</v>
      </c>
      <c r="D10">
        <v>18</v>
      </c>
      <c r="E10" s="1">
        <f t="shared" si="0"/>
        <v>0.78048780487804881</v>
      </c>
      <c r="F10" s="2">
        <v>114.8</v>
      </c>
      <c r="G10" s="2">
        <v>107.3</v>
      </c>
      <c r="H10" s="2">
        <f t="shared" si="1"/>
        <v>7.5</v>
      </c>
      <c r="I10" s="1">
        <f t="shared" si="2"/>
        <v>0.72028579383295666</v>
      </c>
      <c r="J10" s="2">
        <v>114.2</v>
      </c>
      <c r="K10" s="2">
        <v>106.8</v>
      </c>
      <c r="L10" s="2">
        <f t="shared" si="3"/>
        <v>7.4000000000000057</v>
      </c>
      <c r="M10" s="1">
        <f t="shared" si="4"/>
        <v>6.0202011045092152E-2</v>
      </c>
      <c r="N10" s="2">
        <v>131.5</v>
      </c>
      <c r="O10" s="2">
        <v>98.1</v>
      </c>
      <c r="P10" s="2">
        <f t="shared" si="5"/>
        <v>33.400000000000006</v>
      </c>
      <c r="Q10">
        <v>2.7</v>
      </c>
      <c r="R10">
        <f t="shared" ref="R10:R20" si="6">+Q10-H10/4</f>
        <v>0.82500000000000018</v>
      </c>
    </row>
    <row r="11" spans="1:18">
      <c r="A11" t="s">
        <v>50</v>
      </c>
      <c r="B11" t="s">
        <v>18</v>
      </c>
      <c r="C11">
        <v>66</v>
      </c>
      <c r="D11">
        <v>16</v>
      </c>
      <c r="E11" s="1">
        <f t="shared" si="0"/>
        <v>0.80487804878048785</v>
      </c>
      <c r="F11" s="2">
        <v>102.9</v>
      </c>
      <c r="G11" s="2">
        <v>95</v>
      </c>
      <c r="H11" s="2">
        <f t="shared" si="1"/>
        <v>7.9000000000000057</v>
      </c>
      <c r="I11" s="1">
        <f t="shared" si="2"/>
        <v>0.75367891326640968</v>
      </c>
      <c r="J11" s="2">
        <v>111.4</v>
      </c>
      <c r="K11" s="2">
        <v>103.2</v>
      </c>
      <c r="L11" s="2">
        <f t="shared" si="3"/>
        <v>8.2000000000000028</v>
      </c>
      <c r="M11" s="1">
        <f t="shared" si="4"/>
        <v>5.1199135514078176E-2</v>
      </c>
      <c r="N11" s="2">
        <v>117.7</v>
      </c>
      <c r="O11" s="2">
        <v>84.5</v>
      </c>
      <c r="P11" s="2">
        <f t="shared" si="5"/>
        <v>33.200000000000003</v>
      </c>
      <c r="Q11">
        <v>2.1</v>
      </c>
      <c r="R11">
        <f t="shared" si="6"/>
        <v>0.12499999999999867</v>
      </c>
    </row>
    <row r="12" spans="1:18">
      <c r="A12" t="s">
        <v>45</v>
      </c>
      <c r="B12" t="s">
        <v>9</v>
      </c>
      <c r="C12">
        <v>66</v>
      </c>
      <c r="D12">
        <v>16</v>
      </c>
      <c r="E12" s="1">
        <f t="shared" si="0"/>
        <v>0.80487804878048785</v>
      </c>
      <c r="F12" s="2">
        <v>100.3</v>
      </c>
      <c r="G12" s="2">
        <v>91.4</v>
      </c>
      <c r="H12" s="2">
        <f t="shared" si="1"/>
        <v>8.8999999999999915</v>
      </c>
      <c r="I12" s="1">
        <f t="shared" si="2"/>
        <v>0.78598355822200683</v>
      </c>
      <c r="J12" s="2">
        <v>111.2</v>
      </c>
      <c r="K12" s="2">
        <v>101.6</v>
      </c>
      <c r="L12" s="2">
        <f t="shared" si="3"/>
        <v>9.6000000000000085</v>
      </c>
      <c r="M12" s="1">
        <f t="shared" si="4"/>
        <v>1.8894490558481025E-2</v>
      </c>
      <c r="N12" s="2">
        <v>127.1</v>
      </c>
      <c r="O12" s="2">
        <v>93.9</v>
      </c>
      <c r="P12" s="2">
        <f t="shared" si="5"/>
        <v>33.199999999999989</v>
      </c>
      <c r="Q12">
        <v>2</v>
      </c>
      <c r="R12">
        <f t="shared" si="6"/>
        <v>-0.22499999999999787</v>
      </c>
    </row>
    <row r="13" spans="1:18">
      <c r="A13" t="s">
        <v>48</v>
      </c>
      <c r="B13" t="s">
        <v>10</v>
      </c>
      <c r="C13">
        <v>57</v>
      </c>
      <c r="D13">
        <v>25</v>
      </c>
      <c r="E13" s="1">
        <f t="shared" si="0"/>
        <v>0.69512195121951215</v>
      </c>
      <c r="F13" s="2">
        <v>100.2</v>
      </c>
      <c r="G13" s="2">
        <v>96</v>
      </c>
      <c r="H13" s="2">
        <f t="shared" si="1"/>
        <v>4.2000000000000028</v>
      </c>
      <c r="I13" s="1">
        <f t="shared" si="2"/>
        <v>0.64553732038759359</v>
      </c>
      <c r="J13" s="2">
        <v>108.4</v>
      </c>
      <c r="K13" s="2">
        <v>104.1</v>
      </c>
      <c r="L13" s="2">
        <f t="shared" si="3"/>
        <v>4.3000000000000114</v>
      </c>
      <c r="M13" s="1">
        <f t="shared" si="4"/>
        <v>4.9584630831918552E-2</v>
      </c>
      <c r="N13" s="2">
        <v>118.3</v>
      </c>
      <c r="O13" s="2">
        <v>88.8</v>
      </c>
      <c r="P13" s="2">
        <f t="shared" si="5"/>
        <v>29.5</v>
      </c>
      <c r="Q13">
        <v>1.5</v>
      </c>
      <c r="R13">
        <f t="shared" si="6"/>
        <v>0.44999999999999929</v>
      </c>
    </row>
    <row r="14" spans="1:18">
      <c r="A14" t="s">
        <v>61</v>
      </c>
      <c r="B14" t="s">
        <v>26</v>
      </c>
      <c r="C14">
        <v>42</v>
      </c>
      <c r="D14">
        <v>30</v>
      </c>
      <c r="E14" s="1">
        <f t="shared" si="0"/>
        <v>0.58333333333333337</v>
      </c>
      <c r="F14" s="2">
        <v>116.1</v>
      </c>
      <c r="G14" s="2">
        <v>114.3</v>
      </c>
      <c r="H14" s="2">
        <f t="shared" si="1"/>
        <v>1.7999999999999972</v>
      </c>
      <c r="I14" s="1">
        <f t="shared" si="2"/>
        <v>0.55447156441574497</v>
      </c>
      <c r="J14" s="2">
        <v>117.1</v>
      </c>
      <c r="K14" s="2">
        <v>115.3</v>
      </c>
      <c r="L14" s="2">
        <f t="shared" si="3"/>
        <v>1.7999999999999972</v>
      </c>
      <c r="M14" s="1">
        <f t="shared" si="4"/>
        <v>2.8861768917588404E-2</v>
      </c>
      <c r="N14" s="2">
        <v>127.7</v>
      </c>
      <c r="O14" s="2">
        <v>98.6</v>
      </c>
      <c r="P14" s="2">
        <f t="shared" si="5"/>
        <v>29.100000000000009</v>
      </c>
      <c r="Q14">
        <v>0.7</v>
      </c>
      <c r="R14">
        <f t="shared" si="6"/>
        <v>0.25000000000000067</v>
      </c>
    </row>
    <row r="15" spans="1:18">
      <c r="A15" t="s">
        <v>58</v>
      </c>
      <c r="B15" t="s">
        <v>14</v>
      </c>
      <c r="C15">
        <v>65</v>
      </c>
      <c r="D15">
        <v>17</v>
      </c>
      <c r="E15" s="1">
        <f t="shared" si="0"/>
        <v>0.79268292682926833</v>
      </c>
      <c r="F15" s="2">
        <v>112.4</v>
      </c>
      <c r="G15" s="2">
        <v>103.9</v>
      </c>
      <c r="H15" s="2">
        <f t="shared" si="1"/>
        <v>8.5</v>
      </c>
      <c r="I15" s="1">
        <f t="shared" si="2"/>
        <v>0.75042693083028544</v>
      </c>
      <c r="J15" s="2">
        <v>114.1</v>
      </c>
      <c r="K15" s="2">
        <v>105.7</v>
      </c>
      <c r="L15" s="2">
        <f t="shared" si="3"/>
        <v>8.3999999999999915</v>
      </c>
      <c r="M15" s="1">
        <f t="shared" si="4"/>
        <v>4.2255995998982887E-2</v>
      </c>
      <c r="N15" s="2">
        <v>122.9</v>
      </c>
      <c r="O15" s="2">
        <v>95.9</v>
      </c>
      <c r="P15" s="2">
        <f t="shared" si="5"/>
        <v>27</v>
      </c>
      <c r="Q15">
        <v>-0.2</v>
      </c>
      <c r="R15">
        <f t="shared" si="6"/>
        <v>-2.3250000000000002</v>
      </c>
    </row>
    <row r="16" spans="1:18">
      <c r="A16" t="s">
        <v>66</v>
      </c>
      <c r="B16" t="s">
        <v>17</v>
      </c>
      <c r="C16">
        <v>38</v>
      </c>
      <c r="D16">
        <v>25</v>
      </c>
      <c r="E16" s="1">
        <f t="shared" si="0"/>
        <v>0.60317460317460314</v>
      </c>
      <c r="F16" s="2">
        <v>116</v>
      </c>
      <c r="G16" s="2">
        <v>115.3</v>
      </c>
      <c r="H16" s="2">
        <f t="shared" si="1"/>
        <v>0.70000000000000284</v>
      </c>
      <c r="I16" s="1">
        <f t="shared" si="2"/>
        <v>0.52117200586871404</v>
      </c>
      <c r="J16" s="2">
        <v>116.5</v>
      </c>
      <c r="K16" s="2">
        <v>116.1</v>
      </c>
      <c r="L16" s="2">
        <f t="shared" si="3"/>
        <v>0.40000000000000568</v>
      </c>
      <c r="M16" s="1">
        <f t="shared" si="4"/>
        <v>8.2002597305889102E-2</v>
      </c>
      <c r="N16" s="2">
        <v>135.9</v>
      </c>
      <c r="O16" s="2">
        <v>109.1</v>
      </c>
      <c r="P16" s="2">
        <f t="shared" si="5"/>
        <v>26.800000000000011</v>
      </c>
      <c r="Q16" s="2">
        <v>1.6</v>
      </c>
      <c r="R16">
        <f t="shared" si="6"/>
        <v>1.4249999999999994</v>
      </c>
    </row>
    <row r="17" spans="1:18">
      <c r="A17" t="s">
        <v>52</v>
      </c>
      <c r="B17" t="s">
        <v>35</v>
      </c>
      <c r="C17">
        <v>50</v>
      </c>
      <c r="D17">
        <v>32</v>
      </c>
      <c r="E17" s="1">
        <f t="shared" si="0"/>
        <v>0.6097560975609756</v>
      </c>
      <c r="F17" s="2">
        <v>96.1</v>
      </c>
      <c r="G17" s="2">
        <v>94.6</v>
      </c>
      <c r="H17" s="2">
        <f t="shared" si="1"/>
        <v>1.5</v>
      </c>
      <c r="I17" s="1">
        <f t="shared" si="2"/>
        <v>0.554839936539687</v>
      </c>
      <c r="J17" s="2">
        <v>105.5</v>
      </c>
      <c r="K17" s="2">
        <v>103.8</v>
      </c>
      <c r="L17" s="2">
        <f t="shared" si="3"/>
        <v>1.7000000000000028</v>
      </c>
      <c r="M17" s="1">
        <f t="shared" si="4"/>
        <v>5.4916161021288601E-2</v>
      </c>
      <c r="N17" s="2">
        <v>108.7</v>
      </c>
      <c r="O17" s="2">
        <v>82</v>
      </c>
      <c r="P17" s="2">
        <f t="shared" si="5"/>
        <v>26.700000000000003</v>
      </c>
      <c r="Q17">
        <v>1.1000000000000001</v>
      </c>
      <c r="R17">
        <f t="shared" si="6"/>
        <v>0.72500000000000009</v>
      </c>
    </row>
    <row r="18" spans="1:18">
      <c r="A18" t="s">
        <v>60</v>
      </c>
      <c r="B18" t="s">
        <v>46</v>
      </c>
      <c r="C18">
        <v>44</v>
      </c>
      <c r="D18">
        <v>28</v>
      </c>
      <c r="E18" s="1">
        <f t="shared" si="0"/>
        <v>0.61111111111111116</v>
      </c>
      <c r="F18" s="2">
        <v>110.4</v>
      </c>
      <c r="G18" s="2">
        <v>108.4</v>
      </c>
      <c r="H18" s="2">
        <f t="shared" si="1"/>
        <v>2</v>
      </c>
      <c r="I18" s="1">
        <f t="shared" si="2"/>
        <v>0.56364011525876911</v>
      </c>
      <c r="J18" s="2">
        <v>110.1</v>
      </c>
      <c r="K18" s="2">
        <v>108.1</v>
      </c>
      <c r="L18" s="2">
        <f t="shared" si="3"/>
        <v>2</v>
      </c>
      <c r="M18" s="1">
        <f t="shared" si="4"/>
        <v>4.7470995852342046E-2</v>
      </c>
      <c r="N18" s="2">
        <v>120.9</v>
      </c>
      <c r="O18" s="2">
        <v>94.4</v>
      </c>
      <c r="P18" s="2">
        <f t="shared" si="5"/>
        <v>26.5</v>
      </c>
      <c r="Q18">
        <v>2.2000000000000002</v>
      </c>
      <c r="R18">
        <f t="shared" si="6"/>
        <v>1.7000000000000002</v>
      </c>
    </row>
    <row r="19" spans="1:18">
      <c r="A19" t="s">
        <v>64</v>
      </c>
      <c r="B19" t="s">
        <v>11</v>
      </c>
      <c r="C19">
        <v>57</v>
      </c>
      <c r="D19">
        <v>25</v>
      </c>
      <c r="E19" s="1">
        <f t="shared" si="0"/>
        <v>0.69512195121951215</v>
      </c>
      <c r="F19" s="2">
        <v>114.9</v>
      </c>
      <c r="G19" s="2">
        <v>109.6</v>
      </c>
      <c r="H19" s="2">
        <f t="shared" si="1"/>
        <v>5.3000000000000114</v>
      </c>
      <c r="I19" s="1">
        <f t="shared" si="2"/>
        <v>0.65951807642431337</v>
      </c>
      <c r="J19" s="2">
        <v>117.8</v>
      </c>
      <c r="K19" s="2">
        <v>112.3</v>
      </c>
      <c r="L19" s="2">
        <f t="shared" si="3"/>
        <v>5.5</v>
      </c>
      <c r="M19" s="1">
        <f t="shared" si="4"/>
        <v>3.5603874795198776E-2</v>
      </c>
      <c r="N19" s="2">
        <v>121.1</v>
      </c>
      <c r="O19" s="2">
        <v>95.6</v>
      </c>
      <c r="P19" s="2">
        <f t="shared" si="5"/>
        <v>25.5</v>
      </c>
      <c r="Q19">
        <v>1.2</v>
      </c>
      <c r="R19">
        <f t="shared" si="6"/>
        <v>-0.12500000000000289</v>
      </c>
    </row>
    <row r="20" spans="1:18">
      <c r="A20" t="s">
        <v>43</v>
      </c>
      <c r="B20" t="s">
        <v>10</v>
      </c>
      <c r="C20">
        <v>67</v>
      </c>
      <c r="D20">
        <v>15</v>
      </c>
      <c r="E20" s="1">
        <f t="shared" si="0"/>
        <v>0.81707317073170727</v>
      </c>
      <c r="F20" s="2">
        <v>100</v>
      </c>
      <c r="G20" s="2">
        <v>92.8</v>
      </c>
      <c r="H20" s="2">
        <f t="shared" si="1"/>
        <v>7.2000000000000028</v>
      </c>
      <c r="I20" s="1">
        <f t="shared" si="2"/>
        <v>0.74003099281791473</v>
      </c>
      <c r="J20" s="2">
        <v>109.7</v>
      </c>
      <c r="K20" s="2">
        <v>102.1</v>
      </c>
      <c r="L20" s="2">
        <f t="shared" si="3"/>
        <v>7.6000000000000085</v>
      </c>
      <c r="M20" s="1">
        <f t="shared" si="4"/>
        <v>7.7042177913792531E-2</v>
      </c>
      <c r="N20" s="2">
        <v>109.8</v>
      </c>
      <c r="O20" s="2">
        <v>84.5</v>
      </c>
      <c r="P20" s="2">
        <f t="shared" si="5"/>
        <v>25.299999999999997</v>
      </c>
      <c r="Q20">
        <v>1.1000000000000001</v>
      </c>
      <c r="R20">
        <f t="shared" si="6"/>
        <v>-0.70000000000000062</v>
      </c>
    </row>
    <row r="21" spans="1:18">
      <c r="A21" t="s">
        <v>66</v>
      </c>
      <c r="B21" t="s">
        <v>46</v>
      </c>
      <c r="C21">
        <v>50</v>
      </c>
      <c r="D21">
        <v>14</v>
      </c>
      <c r="E21" s="1">
        <f t="shared" si="0"/>
        <v>0.78125</v>
      </c>
      <c r="F21" s="2">
        <v>118.8</v>
      </c>
      <c r="G21" s="2">
        <v>107.5</v>
      </c>
      <c r="H21" s="2">
        <f t="shared" si="1"/>
        <v>11.299999999999997</v>
      </c>
      <c r="I21" s="1">
        <f t="shared" si="2"/>
        <v>0.80207402882582313</v>
      </c>
      <c r="J21" s="2">
        <v>117.2</v>
      </c>
      <c r="K21" s="2">
        <v>106</v>
      </c>
      <c r="L21" s="2">
        <f t="shared" si="3"/>
        <v>11.200000000000003</v>
      </c>
      <c r="M21" s="1">
        <f t="shared" si="4"/>
        <v>-2.0824028825823127E-2</v>
      </c>
      <c r="N21" s="2">
        <v>123.7</v>
      </c>
      <c r="O21" s="2">
        <v>99.2</v>
      </c>
      <c r="P21" s="2">
        <f t="shared" si="5"/>
        <v>24.5</v>
      </c>
      <c r="Q21" s="2">
        <v>1.8</v>
      </c>
    </row>
    <row r="22" spans="1:18">
      <c r="A22" t="s">
        <v>64</v>
      </c>
      <c r="B22" t="s">
        <v>8</v>
      </c>
      <c r="C22">
        <v>39</v>
      </c>
      <c r="D22">
        <v>43</v>
      </c>
      <c r="E22" s="1">
        <f t="shared" si="0"/>
        <v>0.47560975609756095</v>
      </c>
      <c r="F22" s="2">
        <v>112.3</v>
      </c>
      <c r="G22" s="2">
        <v>113.7</v>
      </c>
      <c r="H22" s="2">
        <f t="shared" si="1"/>
        <v>-1.4000000000000057</v>
      </c>
      <c r="I22" s="1">
        <f t="shared" si="2"/>
        <v>0.45674500707162874</v>
      </c>
      <c r="J22" s="2">
        <v>114</v>
      </c>
      <c r="K22" s="2">
        <v>115.7</v>
      </c>
      <c r="L22" s="2">
        <f t="shared" si="3"/>
        <v>-1.7000000000000028</v>
      </c>
      <c r="M22" s="1">
        <f t="shared" si="4"/>
        <v>1.8864749025932215E-2</v>
      </c>
      <c r="N22" s="2">
        <v>119.5</v>
      </c>
      <c r="O22" s="2">
        <v>95.5</v>
      </c>
      <c r="P22" s="2">
        <f t="shared" si="5"/>
        <v>24</v>
      </c>
      <c r="Q22">
        <v>0</v>
      </c>
    </row>
    <row r="23" spans="1:18">
      <c r="A23" t="s">
        <v>57</v>
      </c>
      <c r="B23" t="s">
        <v>46</v>
      </c>
      <c r="C23">
        <v>47</v>
      </c>
      <c r="D23">
        <v>35</v>
      </c>
      <c r="E23" s="1">
        <f t="shared" si="0"/>
        <v>0.57317073170731703</v>
      </c>
      <c r="F23" s="2">
        <v>106.6</v>
      </c>
      <c r="G23" s="2">
        <v>105.8</v>
      </c>
      <c r="H23" s="2">
        <f t="shared" si="1"/>
        <v>0.79999999999999716</v>
      </c>
      <c r="I23" s="1">
        <f t="shared" si="2"/>
        <v>0.52634106336275344</v>
      </c>
      <c r="J23" s="2">
        <v>107.9</v>
      </c>
      <c r="K23" s="2">
        <v>107.1</v>
      </c>
      <c r="L23" s="2">
        <f t="shared" si="3"/>
        <v>0.80000000000001137</v>
      </c>
      <c r="M23" s="1">
        <f t="shared" si="4"/>
        <v>4.6829668344563591E-2</v>
      </c>
      <c r="N23" s="2">
        <v>115.5</v>
      </c>
      <c r="O23" s="2">
        <v>92.6</v>
      </c>
      <c r="P23" s="2">
        <f t="shared" si="5"/>
        <v>22.900000000000006</v>
      </c>
      <c r="Q23">
        <v>0.9</v>
      </c>
    </row>
    <row r="24" spans="1:18">
      <c r="A24" t="s">
        <v>47</v>
      </c>
      <c r="B24" t="s">
        <v>9</v>
      </c>
      <c r="C24">
        <v>61</v>
      </c>
      <c r="D24">
        <v>21</v>
      </c>
      <c r="E24" s="1">
        <f t="shared" si="0"/>
        <v>0.74390243902439024</v>
      </c>
      <c r="F24" s="2">
        <v>102.1</v>
      </c>
      <c r="G24" s="2">
        <v>95.6</v>
      </c>
      <c r="H24" s="2">
        <f t="shared" si="1"/>
        <v>6.5</v>
      </c>
      <c r="I24" s="1">
        <f t="shared" si="2"/>
        <v>0.71522925438381391</v>
      </c>
      <c r="J24" s="2">
        <v>110.6</v>
      </c>
      <c r="K24" s="2">
        <v>103.8</v>
      </c>
      <c r="L24" s="2">
        <f t="shared" si="3"/>
        <v>6.7999999999999972</v>
      </c>
      <c r="M24" s="1">
        <f t="shared" si="4"/>
        <v>2.8673184640576332E-2</v>
      </c>
      <c r="N24" s="2">
        <v>115.9</v>
      </c>
      <c r="O24" s="2">
        <v>93.2</v>
      </c>
      <c r="P24" s="2">
        <f t="shared" si="5"/>
        <v>22.700000000000003</v>
      </c>
      <c r="Q24">
        <v>1</v>
      </c>
    </row>
    <row r="25" spans="1:18">
      <c r="A25" t="s">
        <v>44</v>
      </c>
      <c r="B25" t="s">
        <v>9</v>
      </c>
      <c r="C25">
        <v>45</v>
      </c>
      <c r="D25">
        <v>37</v>
      </c>
      <c r="E25" s="1">
        <f t="shared" si="0"/>
        <v>0.54878048780487809</v>
      </c>
      <c r="F25" s="2">
        <v>96.4</v>
      </c>
      <c r="G25" s="2">
        <v>96.7</v>
      </c>
      <c r="H25" s="2">
        <f t="shared" si="1"/>
        <v>-0.29999999999999716</v>
      </c>
      <c r="I25" s="1">
        <f t="shared" si="2"/>
        <v>0.48912651167349064</v>
      </c>
      <c r="J25" s="2">
        <v>104.8</v>
      </c>
      <c r="K25" s="2">
        <v>105.4</v>
      </c>
      <c r="L25" s="2">
        <f t="shared" si="3"/>
        <v>-0.60000000000000853</v>
      </c>
      <c r="M25" s="1">
        <f t="shared" si="4"/>
        <v>5.9653976131387454E-2</v>
      </c>
      <c r="N25" s="2">
        <v>112.8</v>
      </c>
      <c r="O25" s="2">
        <v>90.9</v>
      </c>
      <c r="P25" s="2">
        <f t="shared" si="5"/>
        <v>21.899999999999991</v>
      </c>
      <c r="Q25">
        <v>1.9</v>
      </c>
    </row>
    <row r="26" spans="1:18">
      <c r="A26" t="s">
        <v>57</v>
      </c>
      <c r="B26" t="s">
        <v>28</v>
      </c>
      <c r="C26">
        <v>61</v>
      </c>
      <c r="D26">
        <v>21</v>
      </c>
      <c r="E26" s="1">
        <f t="shared" si="0"/>
        <v>0.74390243902439024</v>
      </c>
      <c r="F26" s="2">
        <v>105.3</v>
      </c>
      <c r="G26" s="2">
        <v>98.1</v>
      </c>
      <c r="H26" s="2">
        <f t="shared" si="1"/>
        <v>7.2000000000000028</v>
      </c>
      <c r="I26" s="1">
        <f t="shared" si="2"/>
        <v>0.72939687618809401</v>
      </c>
      <c r="J26" s="2">
        <v>110.3</v>
      </c>
      <c r="K26" s="2">
        <v>102.9</v>
      </c>
      <c r="L26" s="2">
        <f t="shared" si="3"/>
        <v>7.3999999999999915</v>
      </c>
      <c r="M26" s="1">
        <f t="shared" si="4"/>
        <v>1.4505562836296226E-2</v>
      </c>
      <c r="N26" s="2">
        <v>111.4</v>
      </c>
      <c r="O26" s="2">
        <v>89.6</v>
      </c>
      <c r="P26" s="2">
        <f t="shared" si="5"/>
        <v>21.800000000000011</v>
      </c>
      <c r="Q26">
        <v>1.2</v>
      </c>
    </row>
    <row r="27" spans="1:18">
      <c r="A27" t="s">
        <v>64</v>
      </c>
      <c r="B27" t="s">
        <v>10</v>
      </c>
      <c r="C27">
        <v>50</v>
      </c>
      <c r="D27">
        <v>32</v>
      </c>
      <c r="E27" s="1">
        <f t="shared" si="0"/>
        <v>0.6097560975609756</v>
      </c>
      <c r="F27" s="2">
        <v>117.9</v>
      </c>
      <c r="G27" s="2">
        <v>115.6</v>
      </c>
      <c r="H27" s="2">
        <f t="shared" si="1"/>
        <v>2.3000000000000114</v>
      </c>
      <c r="I27" s="1">
        <f t="shared" si="2"/>
        <v>0.56851916226040555</v>
      </c>
      <c r="J27" s="2">
        <v>117</v>
      </c>
      <c r="K27" s="2">
        <v>114.9</v>
      </c>
      <c r="L27" s="2">
        <f t="shared" si="3"/>
        <v>2.0999999999999943</v>
      </c>
      <c r="M27" s="1">
        <f t="shared" si="4"/>
        <v>4.1236935300570043E-2</v>
      </c>
      <c r="N27" s="2">
        <v>128.19999999999999</v>
      </c>
      <c r="O27" s="2">
        <v>106.4</v>
      </c>
      <c r="P27" s="2">
        <f t="shared" si="5"/>
        <v>21.799999999999983</v>
      </c>
      <c r="Q27">
        <v>0.5</v>
      </c>
    </row>
    <row r="28" spans="1:18">
      <c r="A28" t="s">
        <v>4</v>
      </c>
      <c r="B28" t="s">
        <v>31</v>
      </c>
      <c r="C28">
        <v>53</v>
      </c>
      <c r="D28">
        <v>29</v>
      </c>
      <c r="E28" s="1">
        <f t="shared" si="0"/>
        <v>0.64634146341463417</v>
      </c>
      <c r="F28" s="2">
        <v>97.1</v>
      </c>
      <c r="G28" s="2">
        <v>92.4</v>
      </c>
      <c r="H28" s="2">
        <f t="shared" si="1"/>
        <v>4.6999999999999886</v>
      </c>
      <c r="I28" s="1">
        <f t="shared" si="2"/>
        <v>0.66698978218466165</v>
      </c>
      <c r="J28" s="2">
        <v>106.1</v>
      </c>
      <c r="K28" s="2">
        <v>100.9</v>
      </c>
      <c r="L28" s="2">
        <f t="shared" si="3"/>
        <v>5.1999999999999886</v>
      </c>
      <c r="M28" s="1">
        <f t="shared" si="4"/>
        <v>-2.0648318770027485E-2</v>
      </c>
      <c r="N28" s="2">
        <v>118.4</v>
      </c>
      <c r="O28" s="2">
        <v>96.8</v>
      </c>
      <c r="P28" s="2">
        <f t="shared" si="5"/>
        <v>21.600000000000009</v>
      </c>
      <c r="Q28">
        <v>2.5</v>
      </c>
    </row>
    <row r="29" spans="1:18">
      <c r="A29" t="s">
        <v>49</v>
      </c>
      <c r="B29" t="s">
        <v>15</v>
      </c>
      <c r="C29">
        <v>42</v>
      </c>
      <c r="D29">
        <v>24</v>
      </c>
      <c r="E29" s="1">
        <f t="shared" si="0"/>
        <v>0.63636363636363635</v>
      </c>
      <c r="F29" s="2">
        <v>97.7</v>
      </c>
      <c r="G29" s="2">
        <v>94.4</v>
      </c>
      <c r="H29" s="2">
        <f t="shared" si="1"/>
        <v>3.2999999999999972</v>
      </c>
      <c r="I29" s="1">
        <f t="shared" si="2"/>
        <v>0.61799503146389967</v>
      </c>
      <c r="J29" s="2">
        <v>105.5</v>
      </c>
      <c r="K29" s="2">
        <v>102.1</v>
      </c>
      <c r="L29" s="2">
        <f t="shared" si="3"/>
        <v>3.4000000000000057</v>
      </c>
      <c r="M29" s="1">
        <f t="shared" si="4"/>
        <v>1.8368604899736685E-2</v>
      </c>
      <c r="N29" s="2">
        <v>106.5</v>
      </c>
      <c r="O29" s="2">
        <v>85.1</v>
      </c>
      <c r="P29" s="2">
        <f t="shared" si="5"/>
        <v>21.400000000000006</v>
      </c>
      <c r="Q29">
        <v>0.7</v>
      </c>
    </row>
    <row r="30" spans="1:18">
      <c r="A30" t="s">
        <v>36</v>
      </c>
      <c r="B30" t="s">
        <v>25</v>
      </c>
      <c r="C30">
        <v>44</v>
      </c>
      <c r="D30">
        <v>38</v>
      </c>
      <c r="E30" s="1">
        <f t="shared" si="0"/>
        <v>0.53658536585365857</v>
      </c>
      <c r="F30" s="2">
        <v>95.5</v>
      </c>
      <c r="G30" s="2">
        <v>94.4</v>
      </c>
      <c r="H30" s="2">
        <f t="shared" si="1"/>
        <v>1.0999999999999943</v>
      </c>
      <c r="I30" s="1">
        <f t="shared" si="2"/>
        <v>0.5404594538627715</v>
      </c>
      <c r="J30" s="2">
        <v>102.6</v>
      </c>
      <c r="K30" s="2">
        <v>101.3</v>
      </c>
      <c r="L30" s="2">
        <f t="shared" si="3"/>
        <v>1.2999999999999972</v>
      </c>
      <c r="M30" s="1">
        <f t="shared" si="4"/>
        <v>-3.8740880091129304E-3</v>
      </c>
      <c r="N30" s="2">
        <v>109</v>
      </c>
      <c r="O30" s="2">
        <v>88.1</v>
      </c>
      <c r="P30" s="2">
        <f t="shared" si="5"/>
        <v>20.900000000000006</v>
      </c>
      <c r="Q30">
        <v>2.7</v>
      </c>
    </row>
    <row r="31" spans="1:18">
      <c r="A31" t="s">
        <v>58</v>
      </c>
      <c r="B31" t="s">
        <v>9</v>
      </c>
      <c r="C31">
        <v>50</v>
      </c>
      <c r="D31">
        <v>32</v>
      </c>
      <c r="E31" s="1">
        <f t="shared" si="0"/>
        <v>0.6097560975609756</v>
      </c>
      <c r="F31" s="2">
        <v>110.9</v>
      </c>
      <c r="G31" s="2">
        <v>109.9</v>
      </c>
      <c r="H31" s="2">
        <f t="shared" si="1"/>
        <v>1</v>
      </c>
      <c r="I31" s="1">
        <f t="shared" si="2"/>
        <v>0.53166069765175683</v>
      </c>
      <c r="J31" s="2">
        <v>112</v>
      </c>
      <c r="K31" s="2">
        <v>111.1</v>
      </c>
      <c r="L31" s="2">
        <f t="shared" si="3"/>
        <v>0.90000000000000568</v>
      </c>
      <c r="M31" s="1">
        <f t="shared" si="4"/>
        <v>7.8095399909218766E-2</v>
      </c>
      <c r="N31" s="2">
        <v>116.9</v>
      </c>
      <c r="O31" s="2">
        <v>96.1</v>
      </c>
      <c r="P31" s="2">
        <f t="shared" si="5"/>
        <v>20.800000000000011</v>
      </c>
      <c r="Q31">
        <v>0.6</v>
      </c>
    </row>
    <row r="32" spans="1:18">
      <c r="A32" t="s">
        <v>54</v>
      </c>
      <c r="B32" t="s">
        <v>5</v>
      </c>
      <c r="C32">
        <v>60</v>
      </c>
      <c r="D32">
        <v>22</v>
      </c>
      <c r="E32" s="1">
        <f t="shared" si="0"/>
        <v>0.73170731707317072</v>
      </c>
      <c r="F32" s="2">
        <v>102.5</v>
      </c>
      <c r="G32" s="2">
        <v>97.1</v>
      </c>
      <c r="H32" s="2">
        <f t="shared" si="1"/>
        <v>5.4000000000000057</v>
      </c>
      <c r="I32" s="1">
        <f t="shared" si="2"/>
        <v>0.68085415464788723</v>
      </c>
      <c r="J32" s="2">
        <v>108.2</v>
      </c>
      <c r="K32" s="2">
        <v>102.3</v>
      </c>
      <c r="L32" s="2">
        <f t="shared" si="3"/>
        <v>5.9000000000000057</v>
      </c>
      <c r="M32" s="1">
        <f t="shared" si="4"/>
        <v>5.0853162425283482E-2</v>
      </c>
      <c r="N32" s="2">
        <v>112.1</v>
      </c>
      <c r="O32" s="2">
        <v>91.3</v>
      </c>
      <c r="P32" s="2">
        <f t="shared" si="5"/>
        <v>20.799999999999997</v>
      </c>
      <c r="Q32">
        <v>1.2</v>
      </c>
    </row>
    <row r="33" spans="1:17">
      <c r="A33" t="s">
        <v>66</v>
      </c>
      <c r="B33" t="s">
        <v>24</v>
      </c>
      <c r="C33">
        <v>34</v>
      </c>
      <c r="D33">
        <v>29</v>
      </c>
      <c r="E33" s="1">
        <f t="shared" si="0"/>
        <v>0.53968253968253965</v>
      </c>
      <c r="F33" s="2">
        <v>115.8</v>
      </c>
      <c r="G33" s="2">
        <v>116.1</v>
      </c>
      <c r="H33" s="2">
        <f t="shared" si="1"/>
        <v>-0.29999999999999716</v>
      </c>
      <c r="I33" s="1">
        <f t="shared" si="2"/>
        <v>0.49094535752934715</v>
      </c>
      <c r="J33" s="2">
        <v>114.3</v>
      </c>
      <c r="K33" s="2">
        <v>114.6</v>
      </c>
      <c r="L33" s="2">
        <f t="shared" si="3"/>
        <v>-0.29999999999999716</v>
      </c>
      <c r="M33" s="1">
        <f t="shared" si="4"/>
        <v>4.8737182153192504E-2</v>
      </c>
      <c r="N33" s="2">
        <v>120.5</v>
      </c>
      <c r="O33" s="2">
        <v>99.7</v>
      </c>
      <c r="P33" s="2">
        <f t="shared" si="5"/>
        <v>20.799999999999997</v>
      </c>
      <c r="Q33" s="2">
        <v>1.3</v>
      </c>
    </row>
    <row r="34" spans="1:17">
      <c r="A34" t="s">
        <v>60</v>
      </c>
      <c r="B34" t="s">
        <v>30</v>
      </c>
      <c r="C34">
        <v>53</v>
      </c>
      <c r="D34">
        <v>19</v>
      </c>
      <c r="E34" s="1">
        <f t="shared" si="0"/>
        <v>0.73611111111111116</v>
      </c>
      <c r="F34" s="2">
        <v>112.8</v>
      </c>
      <c r="G34" s="2">
        <v>106.5</v>
      </c>
      <c r="H34" s="2">
        <f t="shared" si="1"/>
        <v>6.2999999999999972</v>
      </c>
      <c r="I34" s="1">
        <f t="shared" si="2"/>
        <v>0.69095738167684095</v>
      </c>
      <c r="J34" s="2">
        <v>110.8</v>
      </c>
      <c r="K34" s="2">
        <v>104.7</v>
      </c>
      <c r="L34" s="2">
        <f t="shared" si="3"/>
        <v>6.0999999999999943</v>
      </c>
      <c r="M34" s="1">
        <f t="shared" si="4"/>
        <v>4.5153729434270207E-2</v>
      </c>
      <c r="N34" s="2">
        <v>118.1</v>
      </c>
      <c r="O34" s="2">
        <v>97.4</v>
      </c>
      <c r="P34" s="2">
        <f t="shared" si="5"/>
        <v>20.699999999999989</v>
      </c>
      <c r="Q34">
        <v>1.2</v>
      </c>
    </row>
    <row r="35" spans="1:17">
      <c r="A35" t="s">
        <v>66</v>
      </c>
      <c r="B35" t="s">
        <v>22</v>
      </c>
      <c r="C35">
        <v>40</v>
      </c>
      <c r="D35">
        <v>23</v>
      </c>
      <c r="E35" s="1">
        <f t="shared" si="0"/>
        <v>0.63492063492063489</v>
      </c>
      <c r="F35" s="2">
        <v>117</v>
      </c>
      <c r="G35" s="2">
        <v>110.5</v>
      </c>
      <c r="H35" s="2">
        <f t="shared" si="1"/>
        <v>6.5</v>
      </c>
      <c r="I35" s="1">
        <f t="shared" si="2"/>
        <v>0.6900210673968612</v>
      </c>
      <c r="J35" s="2">
        <v>118.3</v>
      </c>
      <c r="K35" s="2">
        <v>111.7</v>
      </c>
      <c r="L35" s="2">
        <f t="shared" si="3"/>
        <v>6.5999999999999943</v>
      </c>
      <c r="M35" s="1">
        <f t="shared" si="4"/>
        <v>-5.5100432476226313E-2</v>
      </c>
      <c r="N35" s="2">
        <v>120.9</v>
      </c>
      <c r="O35" s="2">
        <v>100.5</v>
      </c>
      <c r="P35" s="2">
        <f t="shared" si="5"/>
        <v>20.400000000000006</v>
      </c>
      <c r="Q35" s="2">
        <v>2.7</v>
      </c>
    </row>
    <row r="36" spans="1:17">
      <c r="A36" t="s">
        <v>61</v>
      </c>
      <c r="B36" t="s">
        <v>7</v>
      </c>
      <c r="C36">
        <v>33</v>
      </c>
      <c r="D36">
        <v>39</v>
      </c>
      <c r="E36" s="1">
        <f t="shared" si="0"/>
        <v>0.45833333333333331</v>
      </c>
      <c r="F36" s="2">
        <v>109.5</v>
      </c>
      <c r="G36" s="2">
        <v>111.4</v>
      </c>
      <c r="H36" s="2">
        <f t="shared" si="1"/>
        <v>-1.9000000000000057</v>
      </c>
      <c r="I36" s="1">
        <f t="shared" si="2"/>
        <v>0.4400796285378884</v>
      </c>
      <c r="J36" s="2">
        <v>110.1</v>
      </c>
      <c r="K36" s="2">
        <v>112</v>
      </c>
      <c r="L36" s="2">
        <f t="shared" si="3"/>
        <v>-1.9000000000000057</v>
      </c>
      <c r="M36" s="1">
        <f t="shared" si="4"/>
        <v>1.8253704795444914E-2</v>
      </c>
      <c r="N36" s="2">
        <v>122.2</v>
      </c>
      <c r="O36" s="2">
        <v>102.4</v>
      </c>
      <c r="P36" s="2">
        <f t="shared" si="5"/>
        <v>19.799999999999997</v>
      </c>
      <c r="Q36">
        <v>0</v>
      </c>
    </row>
    <row r="37" spans="1:17">
      <c r="A37" t="s">
        <v>41</v>
      </c>
      <c r="B37" t="s">
        <v>16</v>
      </c>
      <c r="C37">
        <v>47</v>
      </c>
      <c r="D37">
        <v>35</v>
      </c>
      <c r="E37" s="1">
        <f t="shared" si="0"/>
        <v>0.57317073170731703</v>
      </c>
      <c r="F37" s="2">
        <v>97.2</v>
      </c>
      <c r="G37" s="2">
        <v>95.6</v>
      </c>
      <c r="H37" s="2">
        <f t="shared" si="1"/>
        <v>1.6000000000000085</v>
      </c>
      <c r="I37" s="1">
        <f t="shared" si="2"/>
        <v>0.55783262608685169</v>
      </c>
      <c r="J37" s="2">
        <v>103.8</v>
      </c>
      <c r="K37" s="2">
        <v>102.2</v>
      </c>
      <c r="L37" s="2">
        <f t="shared" si="3"/>
        <v>1.5999999999999943</v>
      </c>
      <c r="M37" s="1">
        <f t="shared" si="4"/>
        <v>1.5338105620465337E-2</v>
      </c>
      <c r="N37" s="2">
        <v>112</v>
      </c>
      <c r="O37" s="2">
        <v>92.3</v>
      </c>
      <c r="P37" s="2">
        <f t="shared" si="5"/>
        <v>19.700000000000003</v>
      </c>
      <c r="Q37">
        <v>0.7</v>
      </c>
    </row>
    <row r="38" spans="1:17">
      <c r="A38" t="s">
        <v>52</v>
      </c>
      <c r="B38" t="s">
        <v>15</v>
      </c>
      <c r="C38">
        <v>56</v>
      </c>
      <c r="D38">
        <v>26</v>
      </c>
      <c r="E38" s="1">
        <f t="shared" si="0"/>
        <v>0.68292682926829273</v>
      </c>
      <c r="F38" s="2">
        <v>96.7</v>
      </c>
      <c r="G38" s="2">
        <v>92.3</v>
      </c>
      <c r="H38" s="2">
        <f t="shared" si="1"/>
        <v>4.4000000000000057</v>
      </c>
      <c r="I38" s="1">
        <f t="shared" si="2"/>
        <v>0.65745418217817553</v>
      </c>
      <c r="J38" s="2">
        <v>103.6</v>
      </c>
      <c r="K38" s="2">
        <v>98.9</v>
      </c>
      <c r="L38" s="2">
        <f t="shared" si="3"/>
        <v>4.6999999999999886</v>
      </c>
      <c r="M38" s="1">
        <f t="shared" si="4"/>
        <v>2.5472647090117206E-2</v>
      </c>
      <c r="N38" s="2">
        <v>113.9</v>
      </c>
      <c r="O38" s="2">
        <v>94.6</v>
      </c>
      <c r="P38" s="2">
        <f t="shared" si="5"/>
        <v>19.300000000000011</v>
      </c>
      <c r="Q38">
        <v>1.4</v>
      </c>
    </row>
    <row r="39" spans="1:17">
      <c r="A39" t="s">
        <v>49</v>
      </c>
      <c r="B39" t="s">
        <v>17</v>
      </c>
      <c r="C39">
        <v>41</v>
      </c>
      <c r="D39">
        <v>25</v>
      </c>
      <c r="E39" s="1">
        <f t="shared" si="0"/>
        <v>0.62121212121212122</v>
      </c>
      <c r="F39" s="2">
        <v>97.3</v>
      </c>
      <c r="G39" s="2">
        <v>95.9</v>
      </c>
      <c r="H39" s="2">
        <f t="shared" si="1"/>
        <v>1.3999999999999915</v>
      </c>
      <c r="I39" s="1">
        <f t="shared" si="2"/>
        <v>0.55055221133697552</v>
      </c>
      <c r="J39" s="2">
        <v>104.5</v>
      </c>
      <c r="K39" s="2">
        <v>103.2</v>
      </c>
      <c r="L39" s="2">
        <f t="shared" si="3"/>
        <v>1.2999999999999972</v>
      </c>
      <c r="M39" s="1">
        <f t="shared" si="4"/>
        <v>7.0659909875145699E-2</v>
      </c>
      <c r="N39" s="2">
        <v>111.2</v>
      </c>
      <c r="O39" s="2">
        <v>92.3</v>
      </c>
      <c r="P39" s="2">
        <f t="shared" si="5"/>
        <v>18.900000000000006</v>
      </c>
      <c r="Q39">
        <v>-0.1</v>
      </c>
    </row>
    <row r="40" spans="1:17">
      <c r="A40" t="s">
        <v>54</v>
      </c>
      <c r="B40" t="s">
        <v>13</v>
      </c>
      <c r="C40">
        <v>67</v>
      </c>
      <c r="D40">
        <v>15</v>
      </c>
      <c r="E40" s="1">
        <f t="shared" si="0"/>
        <v>0.81707317073170727</v>
      </c>
      <c r="F40" s="2">
        <v>110</v>
      </c>
      <c r="G40" s="2">
        <v>99.9</v>
      </c>
      <c r="H40" s="2">
        <f t="shared" si="1"/>
        <v>10.099999999999994</v>
      </c>
      <c r="I40" s="1">
        <f t="shared" si="2"/>
        <v>0.79385966423964438</v>
      </c>
      <c r="J40" s="2">
        <v>110.4</v>
      </c>
      <c r="K40" s="2">
        <v>100.4</v>
      </c>
      <c r="L40" s="2">
        <f t="shared" si="3"/>
        <v>10</v>
      </c>
      <c r="M40" s="1">
        <f t="shared" si="4"/>
        <v>2.3213506492062885E-2</v>
      </c>
      <c r="N40" s="2">
        <v>111</v>
      </c>
      <c r="O40" s="2">
        <v>92.1</v>
      </c>
      <c r="P40" s="2">
        <f t="shared" si="5"/>
        <v>18.900000000000006</v>
      </c>
      <c r="Q40">
        <v>0.4</v>
      </c>
    </row>
    <row r="41" spans="1:17">
      <c r="A41" t="s">
        <v>65</v>
      </c>
      <c r="B41" t="s">
        <v>9</v>
      </c>
      <c r="C41">
        <v>64</v>
      </c>
      <c r="D41">
        <v>18</v>
      </c>
      <c r="E41" s="1">
        <f t="shared" si="0"/>
        <v>0.78048780487804881</v>
      </c>
      <c r="F41" s="2">
        <v>121.9</v>
      </c>
      <c r="G41" s="2">
        <v>112.4</v>
      </c>
      <c r="H41" s="2">
        <f t="shared" si="1"/>
        <v>9.5</v>
      </c>
      <c r="I41" s="1">
        <f t="shared" si="2"/>
        <v>0.75692964586236922</v>
      </c>
      <c r="J41" s="2">
        <v>121</v>
      </c>
      <c r="K41" s="2">
        <v>111.8</v>
      </c>
      <c r="L41" s="2">
        <f t="shared" si="3"/>
        <v>9.2000000000000028</v>
      </c>
      <c r="M41" s="1">
        <f t="shared" si="4"/>
        <v>2.3558159015679592E-2</v>
      </c>
      <c r="N41" s="2">
        <v>123.8</v>
      </c>
      <c r="O41" s="2">
        <v>104.9</v>
      </c>
      <c r="P41" s="2">
        <f t="shared" si="5"/>
        <v>18.899999999999991</v>
      </c>
      <c r="Q41">
        <v>2.9</v>
      </c>
    </row>
    <row r="42" spans="1:17">
      <c r="A42" t="s">
        <v>47</v>
      </c>
      <c r="B42" t="s">
        <v>10</v>
      </c>
      <c r="C42">
        <v>55</v>
      </c>
      <c r="D42">
        <v>27</v>
      </c>
      <c r="E42" s="1">
        <f t="shared" si="0"/>
        <v>0.67073170731707321</v>
      </c>
      <c r="F42" s="2">
        <v>102</v>
      </c>
      <c r="G42" s="2">
        <v>99.3</v>
      </c>
      <c r="H42" s="2">
        <f t="shared" si="1"/>
        <v>2.7000000000000028</v>
      </c>
      <c r="I42" s="1">
        <f t="shared" si="2"/>
        <v>0.59280694774061193</v>
      </c>
      <c r="J42" s="2">
        <v>107.8</v>
      </c>
      <c r="K42" s="2">
        <v>105</v>
      </c>
      <c r="L42" s="2">
        <f t="shared" si="3"/>
        <v>2.7999999999999972</v>
      </c>
      <c r="M42" s="1">
        <f t="shared" si="4"/>
        <v>7.7924759576461278E-2</v>
      </c>
      <c r="N42" s="2">
        <v>114.1</v>
      </c>
      <c r="O42" s="2">
        <v>95.3</v>
      </c>
      <c r="P42" s="2">
        <f t="shared" si="5"/>
        <v>18.799999999999997</v>
      </c>
      <c r="Q42">
        <v>0.6</v>
      </c>
    </row>
    <row r="43" spans="1:17">
      <c r="A43" t="s">
        <v>65</v>
      </c>
      <c r="B43" t="s">
        <v>11</v>
      </c>
      <c r="C43">
        <v>50</v>
      </c>
      <c r="D43">
        <v>32</v>
      </c>
      <c r="E43" s="1">
        <f t="shared" si="0"/>
        <v>0.6097560975609756</v>
      </c>
      <c r="F43" s="2">
        <v>120.8</v>
      </c>
      <c r="G43" s="2">
        <v>116.9</v>
      </c>
      <c r="H43" s="2">
        <f t="shared" si="1"/>
        <v>3.8999999999999915</v>
      </c>
      <c r="I43" s="1">
        <f t="shared" si="2"/>
        <v>0.61288223083931581</v>
      </c>
      <c r="J43" s="2">
        <v>118.9</v>
      </c>
      <c r="K43" s="2">
        <v>115.1</v>
      </c>
      <c r="L43" s="2">
        <f t="shared" si="3"/>
        <v>3.8000000000000114</v>
      </c>
      <c r="M43" s="1">
        <f t="shared" si="4"/>
        <v>-3.1261332783402151E-3</v>
      </c>
      <c r="N43" s="2">
        <v>126.8</v>
      </c>
      <c r="O43" s="2">
        <v>108</v>
      </c>
      <c r="P43" s="2">
        <f t="shared" si="5"/>
        <v>18.799999999999997</v>
      </c>
      <c r="Q43">
        <v>0.2</v>
      </c>
    </row>
    <row r="44" spans="1:17">
      <c r="A44" t="s">
        <v>59</v>
      </c>
      <c r="B44" t="s">
        <v>56</v>
      </c>
      <c r="C44">
        <v>48</v>
      </c>
      <c r="D44">
        <v>34</v>
      </c>
      <c r="E44" s="1">
        <f t="shared" si="0"/>
        <v>0.58536585365853655</v>
      </c>
      <c r="F44" s="2">
        <v>115.1</v>
      </c>
      <c r="G44" s="2">
        <v>114.3</v>
      </c>
      <c r="H44" s="2">
        <f t="shared" si="1"/>
        <v>0.79999999999999716</v>
      </c>
      <c r="I44" s="1">
        <f t="shared" si="2"/>
        <v>0.52439222902089777</v>
      </c>
      <c r="J44" s="2">
        <v>111.4</v>
      </c>
      <c r="K44" s="2">
        <v>110.4</v>
      </c>
      <c r="L44" s="2">
        <f t="shared" si="3"/>
        <v>1</v>
      </c>
      <c r="M44" s="1">
        <f t="shared" si="4"/>
        <v>6.0973624637638779E-2</v>
      </c>
      <c r="N44" s="2">
        <v>117.2</v>
      </c>
      <c r="O44" s="2">
        <v>98.5</v>
      </c>
      <c r="P44" s="2">
        <f t="shared" si="5"/>
        <v>18.700000000000003</v>
      </c>
      <c r="Q44">
        <v>1.2</v>
      </c>
    </row>
    <row r="45" spans="1:17">
      <c r="A45" t="s">
        <v>60</v>
      </c>
      <c r="B45" t="s">
        <v>14</v>
      </c>
      <c r="C45">
        <v>44</v>
      </c>
      <c r="D45">
        <v>28</v>
      </c>
      <c r="E45" s="1">
        <f t="shared" si="0"/>
        <v>0.61111111111111116</v>
      </c>
      <c r="F45" s="2">
        <v>117.8</v>
      </c>
      <c r="G45" s="2">
        <v>114.8</v>
      </c>
      <c r="H45" s="2">
        <f t="shared" si="1"/>
        <v>3</v>
      </c>
      <c r="I45" s="1">
        <f t="shared" si="2"/>
        <v>0.58932000368838899</v>
      </c>
      <c r="J45" s="2">
        <v>112.5</v>
      </c>
      <c r="K45" s="2">
        <v>109.8</v>
      </c>
      <c r="L45" s="2">
        <f t="shared" si="3"/>
        <v>2.7000000000000028</v>
      </c>
      <c r="M45" s="1">
        <f t="shared" si="4"/>
        <v>2.1791107422722167E-2</v>
      </c>
      <c r="N45" s="2">
        <v>115.7</v>
      </c>
      <c r="O45" s="2">
        <v>97</v>
      </c>
      <c r="P45" s="2">
        <f t="shared" si="5"/>
        <v>18.700000000000003</v>
      </c>
      <c r="Q45">
        <v>-0.5</v>
      </c>
    </row>
    <row r="46" spans="1:17">
      <c r="A46" t="s">
        <v>55</v>
      </c>
      <c r="B46" t="s">
        <v>28</v>
      </c>
      <c r="C46">
        <v>67</v>
      </c>
      <c r="D46">
        <v>15</v>
      </c>
      <c r="E46" s="1">
        <f t="shared" si="0"/>
        <v>0.81707317073170727</v>
      </c>
      <c r="F46" s="2">
        <v>103.5</v>
      </c>
      <c r="G46" s="2">
        <v>92.9</v>
      </c>
      <c r="H46" s="2">
        <f t="shared" si="1"/>
        <v>10.599999999999994</v>
      </c>
      <c r="I46" s="1">
        <f t="shared" si="2"/>
        <v>0.81945679097395319</v>
      </c>
      <c r="J46" s="2">
        <v>109.3</v>
      </c>
      <c r="K46" s="2">
        <v>98.2</v>
      </c>
      <c r="L46" s="2">
        <f t="shared" si="3"/>
        <v>11.099999999999994</v>
      </c>
      <c r="M46" s="1">
        <f t="shared" si="4"/>
        <v>-2.3836202422459207E-3</v>
      </c>
      <c r="N46" s="2">
        <v>111.1</v>
      </c>
      <c r="O46" s="2">
        <v>92.4</v>
      </c>
      <c r="P46" s="2">
        <f t="shared" si="5"/>
        <v>18.699999999999989</v>
      </c>
      <c r="Q46">
        <v>2</v>
      </c>
    </row>
    <row r="47" spans="1:17">
      <c r="A47" t="s">
        <v>38</v>
      </c>
      <c r="B47" t="s">
        <v>15</v>
      </c>
      <c r="C47">
        <v>61</v>
      </c>
      <c r="D47">
        <v>21</v>
      </c>
      <c r="E47" s="1">
        <f t="shared" si="0"/>
        <v>0.74390243902439024</v>
      </c>
      <c r="F47" s="2">
        <v>91.4</v>
      </c>
      <c r="G47" s="2">
        <v>85.6</v>
      </c>
      <c r="H47" s="2">
        <f t="shared" si="1"/>
        <v>5.8000000000000114</v>
      </c>
      <c r="I47" s="1">
        <f t="shared" si="2"/>
        <v>0.71460234412394263</v>
      </c>
      <c r="J47" s="2">
        <v>102.5</v>
      </c>
      <c r="K47" s="2">
        <v>96.2</v>
      </c>
      <c r="L47" s="2">
        <f t="shared" si="3"/>
        <v>6.2999999999999972</v>
      </c>
      <c r="M47" s="1">
        <f t="shared" si="4"/>
        <v>2.9300094900447604E-2</v>
      </c>
      <c r="N47" s="2">
        <v>103.6</v>
      </c>
      <c r="O47" s="2">
        <v>85</v>
      </c>
      <c r="P47" s="2">
        <f t="shared" si="5"/>
        <v>18.599999999999994</v>
      </c>
      <c r="Q47">
        <v>1.5</v>
      </c>
    </row>
    <row r="48" spans="1:17">
      <c r="A48" t="s">
        <v>45</v>
      </c>
      <c r="B48" t="s">
        <v>17</v>
      </c>
      <c r="C48">
        <v>65</v>
      </c>
      <c r="D48">
        <v>17</v>
      </c>
      <c r="E48" s="1">
        <f t="shared" si="0"/>
        <v>0.79268292682926833</v>
      </c>
      <c r="F48" s="2">
        <v>106.9</v>
      </c>
      <c r="G48" s="2">
        <v>99.3</v>
      </c>
      <c r="H48" s="2">
        <f t="shared" si="1"/>
        <v>7.6000000000000085</v>
      </c>
      <c r="I48" s="1">
        <f t="shared" si="2"/>
        <v>0.73739553340542874</v>
      </c>
      <c r="J48" s="2">
        <v>111.4</v>
      </c>
      <c r="K48" s="2">
        <v>103.5</v>
      </c>
      <c r="L48" s="2">
        <f t="shared" si="3"/>
        <v>7.9000000000000057</v>
      </c>
      <c r="M48" s="1">
        <f t="shared" si="4"/>
        <v>5.5287393423839593E-2</v>
      </c>
      <c r="N48" s="2">
        <v>122.7</v>
      </c>
      <c r="O48" s="2">
        <v>104.4</v>
      </c>
      <c r="P48" s="2">
        <f t="shared" si="5"/>
        <v>18.299999999999997</v>
      </c>
      <c r="Q48">
        <v>1.2</v>
      </c>
    </row>
    <row r="49" spans="1:17">
      <c r="A49" t="s">
        <v>60</v>
      </c>
      <c r="B49" t="s">
        <v>19</v>
      </c>
      <c r="C49">
        <v>56</v>
      </c>
      <c r="D49">
        <v>17</v>
      </c>
      <c r="E49" s="1">
        <f t="shared" si="0"/>
        <v>0.76712328767123283</v>
      </c>
      <c r="F49" s="2">
        <v>118.7</v>
      </c>
      <c r="G49" s="2">
        <v>108.6</v>
      </c>
      <c r="H49" s="2">
        <f t="shared" si="1"/>
        <v>10.100000000000009</v>
      </c>
      <c r="I49" s="1">
        <f t="shared" si="2"/>
        <v>0.77643149133297851</v>
      </c>
      <c r="J49" s="2">
        <v>111.9</v>
      </c>
      <c r="K49" s="2">
        <v>102.5</v>
      </c>
      <c r="L49" s="2">
        <f t="shared" si="3"/>
        <v>9.4000000000000057</v>
      </c>
      <c r="M49" s="1">
        <f t="shared" si="4"/>
        <v>-9.3082036617456732E-3</v>
      </c>
      <c r="N49" s="2">
        <v>110.1</v>
      </c>
      <c r="O49" s="2">
        <v>91.9</v>
      </c>
      <c r="P49" s="2">
        <f t="shared" si="5"/>
        <v>18.199999999999989</v>
      </c>
      <c r="Q49">
        <v>2.5</v>
      </c>
    </row>
    <row r="50" spans="1:17">
      <c r="A50" t="s">
        <v>49</v>
      </c>
      <c r="B50" t="s">
        <v>5</v>
      </c>
      <c r="C50">
        <v>40</v>
      </c>
      <c r="D50">
        <v>26</v>
      </c>
      <c r="E50" s="1">
        <f t="shared" si="0"/>
        <v>0.60606060606060608</v>
      </c>
      <c r="F50" s="2">
        <v>96.6</v>
      </c>
      <c r="G50" s="2">
        <v>93.2</v>
      </c>
      <c r="H50" s="2">
        <f t="shared" si="1"/>
        <v>3.3999999999999915</v>
      </c>
      <c r="I50" s="1">
        <f t="shared" si="2"/>
        <v>0.62284331457936171</v>
      </c>
      <c r="J50" s="2">
        <v>104.2</v>
      </c>
      <c r="K50" s="2">
        <v>100.4</v>
      </c>
      <c r="L50" s="2">
        <f t="shared" si="3"/>
        <v>3.7999999999999972</v>
      </c>
      <c r="M50" s="1">
        <f t="shared" si="4"/>
        <v>-1.6782708518755629E-2</v>
      </c>
      <c r="N50" s="2">
        <v>107.2</v>
      </c>
      <c r="O50" s="2">
        <v>89.1</v>
      </c>
      <c r="P50" s="2">
        <f t="shared" si="5"/>
        <v>18.100000000000009</v>
      </c>
      <c r="Q50">
        <v>1.4</v>
      </c>
    </row>
    <row r="51" spans="1:17">
      <c r="A51" t="s">
        <v>54</v>
      </c>
      <c r="B51" t="s">
        <v>10</v>
      </c>
      <c r="C51">
        <v>50</v>
      </c>
      <c r="D51">
        <v>32</v>
      </c>
      <c r="E51" s="1">
        <f t="shared" si="0"/>
        <v>0.6097560975609756</v>
      </c>
      <c r="F51" s="2">
        <v>105.2</v>
      </c>
      <c r="G51" s="2">
        <v>102.3</v>
      </c>
      <c r="H51" s="2">
        <f t="shared" si="1"/>
        <v>2.9000000000000057</v>
      </c>
      <c r="I51" s="1">
        <f t="shared" si="2"/>
        <v>0.59660783043206966</v>
      </c>
      <c r="J51" s="2">
        <v>108.2</v>
      </c>
      <c r="K51" s="2">
        <v>104.9</v>
      </c>
      <c r="L51" s="2">
        <f t="shared" si="3"/>
        <v>3.2999999999999972</v>
      </c>
      <c r="M51" s="1">
        <f t="shared" si="4"/>
        <v>1.3148267128905933E-2</v>
      </c>
      <c r="N51" s="2">
        <v>113.1</v>
      </c>
      <c r="O51" s="2">
        <v>95.3</v>
      </c>
      <c r="P51" s="2">
        <f t="shared" si="5"/>
        <v>17.799999999999997</v>
      </c>
      <c r="Q51">
        <v>0.8</v>
      </c>
    </row>
    <row r="52" spans="1:17">
      <c r="A52" t="s">
        <v>48</v>
      </c>
      <c r="B52" t="s">
        <v>8</v>
      </c>
      <c r="C52">
        <v>62</v>
      </c>
      <c r="D52">
        <v>20</v>
      </c>
      <c r="E52" s="1">
        <f t="shared" si="0"/>
        <v>0.75609756097560976</v>
      </c>
      <c r="F52" s="2">
        <v>98.6</v>
      </c>
      <c r="G52" s="2">
        <v>91.3</v>
      </c>
      <c r="H52" s="2">
        <f t="shared" si="1"/>
        <v>7.2999999999999972</v>
      </c>
      <c r="I52" s="1">
        <f t="shared" si="2"/>
        <v>0.7459043561062102</v>
      </c>
      <c r="J52" s="2">
        <v>107.2</v>
      </c>
      <c r="K52" s="2">
        <v>99.5</v>
      </c>
      <c r="L52" s="2">
        <f t="shared" si="3"/>
        <v>7.7000000000000028</v>
      </c>
      <c r="M52" s="1">
        <f t="shared" si="4"/>
        <v>1.0193204869399564E-2</v>
      </c>
      <c r="N52" s="2">
        <v>106.7</v>
      </c>
      <c r="O52" s="2">
        <v>88.9</v>
      </c>
      <c r="P52" s="2">
        <f t="shared" si="5"/>
        <v>17.799999999999997</v>
      </c>
      <c r="Q52">
        <v>2.2999999999999998</v>
      </c>
    </row>
    <row r="53" spans="1:17">
      <c r="A53" t="s">
        <v>38</v>
      </c>
      <c r="B53" t="s">
        <v>17</v>
      </c>
      <c r="C53">
        <v>56</v>
      </c>
      <c r="D53">
        <v>26</v>
      </c>
      <c r="E53" s="1">
        <f t="shared" si="0"/>
        <v>0.68292682926829273</v>
      </c>
      <c r="F53" s="2">
        <v>98.2</v>
      </c>
      <c r="G53" s="2">
        <v>94.3</v>
      </c>
      <c r="H53" s="2">
        <f t="shared" si="1"/>
        <v>3.9000000000000057</v>
      </c>
      <c r="I53" s="1">
        <f t="shared" si="2"/>
        <v>0.63815156005224649</v>
      </c>
      <c r="J53" s="2">
        <v>104.2</v>
      </c>
      <c r="K53" s="2">
        <v>100.1</v>
      </c>
      <c r="L53" s="2">
        <f t="shared" si="3"/>
        <v>4.1000000000000085</v>
      </c>
      <c r="M53" s="1">
        <f t="shared" si="4"/>
        <v>4.4775269216046243E-2</v>
      </c>
      <c r="N53" s="2">
        <v>102.8</v>
      </c>
      <c r="O53" s="2">
        <v>85.1</v>
      </c>
      <c r="P53" s="2">
        <f t="shared" si="5"/>
        <v>17.700000000000003</v>
      </c>
      <c r="Q53">
        <v>1.5</v>
      </c>
    </row>
    <row r="54" spans="1:17">
      <c r="A54" t="s">
        <v>65</v>
      </c>
      <c r="B54" t="s">
        <v>15</v>
      </c>
      <c r="C54">
        <v>50</v>
      </c>
      <c r="D54">
        <v>32</v>
      </c>
      <c r="E54" s="1">
        <f t="shared" si="0"/>
        <v>0.6097560975609756</v>
      </c>
      <c r="F54" s="2">
        <v>117.4</v>
      </c>
      <c r="G54" s="2">
        <v>115.1</v>
      </c>
      <c r="H54" s="2">
        <f t="shared" si="1"/>
        <v>2.3000000000000114</v>
      </c>
      <c r="I54" s="1">
        <f t="shared" si="2"/>
        <v>0.56881015999897555</v>
      </c>
      <c r="J54" s="2">
        <v>115.4</v>
      </c>
      <c r="K54" s="2">
        <v>113.3</v>
      </c>
      <c r="L54" s="2">
        <f t="shared" si="3"/>
        <v>2.1000000000000085</v>
      </c>
      <c r="M54" s="1">
        <f t="shared" si="4"/>
        <v>4.0945937562000045E-2</v>
      </c>
      <c r="N54" s="2">
        <v>118.3</v>
      </c>
      <c r="O54" s="2">
        <v>100.6</v>
      </c>
      <c r="P54" s="2">
        <f t="shared" si="5"/>
        <v>17.700000000000003</v>
      </c>
      <c r="Q54">
        <v>2.1</v>
      </c>
    </row>
    <row r="55" spans="1:17">
      <c r="A55" t="s">
        <v>45</v>
      </c>
      <c r="B55" t="s">
        <v>23</v>
      </c>
      <c r="C55">
        <v>59</v>
      </c>
      <c r="D55">
        <v>23</v>
      </c>
      <c r="E55" s="1">
        <f t="shared" si="0"/>
        <v>0.71951219512195119</v>
      </c>
      <c r="F55" s="2">
        <v>101</v>
      </c>
      <c r="G55" s="2">
        <v>94.4</v>
      </c>
      <c r="H55" s="2">
        <f t="shared" si="1"/>
        <v>6.5999999999999943</v>
      </c>
      <c r="I55" s="1">
        <f t="shared" si="2"/>
        <v>0.72033264065959124</v>
      </c>
      <c r="J55" s="2">
        <v>108.3</v>
      </c>
      <c r="K55" s="2">
        <v>101.3</v>
      </c>
      <c r="L55" s="2">
        <f t="shared" si="3"/>
        <v>7</v>
      </c>
      <c r="M55" s="1">
        <f t="shared" si="4"/>
        <v>-8.2044553764004657E-4</v>
      </c>
      <c r="N55" s="2">
        <v>106.3</v>
      </c>
      <c r="O55" s="2">
        <v>88.6</v>
      </c>
      <c r="P55" s="2">
        <f t="shared" si="5"/>
        <v>17.700000000000003</v>
      </c>
      <c r="Q55">
        <v>1.3</v>
      </c>
    </row>
    <row r="56" spans="1:17">
      <c r="A56" t="s">
        <v>34</v>
      </c>
      <c r="B56" t="s">
        <v>6</v>
      </c>
      <c r="C56">
        <v>49</v>
      </c>
      <c r="D56">
        <v>33</v>
      </c>
      <c r="E56" s="1">
        <f t="shared" si="0"/>
        <v>0.59756097560975607</v>
      </c>
      <c r="F56" s="2">
        <v>96.4</v>
      </c>
      <c r="G56" s="2">
        <v>94.1</v>
      </c>
      <c r="H56" s="2">
        <f t="shared" si="1"/>
        <v>2.3000000000000114</v>
      </c>
      <c r="I56" s="1">
        <f t="shared" si="2"/>
        <v>0.58372264017274567</v>
      </c>
      <c r="J56" s="2">
        <v>102.1</v>
      </c>
      <c r="K56" s="2">
        <v>99.9</v>
      </c>
      <c r="L56" s="2">
        <f t="shared" si="3"/>
        <v>2.1999999999999886</v>
      </c>
      <c r="M56" s="1">
        <f t="shared" si="4"/>
        <v>1.3838335437010407E-2</v>
      </c>
      <c r="N56" s="2">
        <v>107.8</v>
      </c>
      <c r="O56" s="2">
        <v>90.2</v>
      </c>
      <c r="P56" s="2">
        <f t="shared" si="5"/>
        <v>17.599999999999994</v>
      </c>
      <c r="Q56">
        <v>1</v>
      </c>
    </row>
    <row r="57" spans="1:17">
      <c r="A57" t="s">
        <v>58</v>
      </c>
      <c r="B57" t="s">
        <v>24</v>
      </c>
      <c r="C57">
        <v>52</v>
      </c>
      <c r="D57">
        <v>30</v>
      </c>
      <c r="E57" s="1">
        <f t="shared" si="0"/>
        <v>0.63414634146341464</v>
      </c>
      <c r="F57" s="2">
        <v>109.8</v>
      </c>
      <c r="G57" s="2">
        <v>105.3</v>
      </c>
      <c r="H57" s="2">
        <f t="shared" si="1"/>
        <v>4.5</v>
      </c>
      <c r="I57" s="1">
        <f t="shared" si="2"/>
        <v>0.64241456879862791</v>
      </c>
      <c r="J57" s="2">
        <v>108.5</v>
      </c>
      <c r="K57" s="2">
        <v>103.9</v>
      </c>
      <c r="L57" s="2">
        <f t="shared" si="3"/>
        <v>4.5999999999999943</v>
      </c>
      <c r="M57" s="1">
        <f t="shared" si="4"/>
        <v>-8.2682273352132629E-3</v>
      </c>
      <c r="N57" s="2">
        <v>114.5</v>
      </c>
      <c r="O57" s="2">
        <v>97.1</v>
      </c>
      <c r="P57" s="2">
        <f t="shared" si="5"/>
        <v>17.400000000000006</v>
      </c>
      <c r="Q57">
        <v>-1.1000000000000001</v>
      </c>
    </row>
    <row r="58" spans="1:17">
      <c r="A58" t="s">
        <v>63</v>
      </c>
      <c r="B58" t="s">
        <v>24</v>
      </c>
      <c r="C58">
        <v>54</v>
      </c>
      <c r="D58">
        <v>28</v>
      </c>
      <c r="E58" s="1">
        <f t="shared" si="0"/>
        <v>0.65853658536585369</v>
      </c>
      <c r="F58" s="2">
        <v>115.2</v>
      </c>
      <c r="G58" s="2">
        <v>110.9</v>
      </c>
      <c r="H58" s="2">
        <f t="shared" si="1"/>
        <v>4.2999999999999972</v>
      </c>
      <c r="I58" s="1">
        <f t="shared" si="2"/>
        <v>0.63008277952794978</v>
      </c>
      <c r="J58" s="2">
        <v>117</v>
      </c>
      <c r="K58" s="2">
        <v>112.7</v>
      </c>
      <c r="L58" s="2">
        <f t="shared" si="3"/>
        <v>4.2999999999999972</v>
      </c>
      <c r="M58" s="1">
        <f t="shared" si="4"/>
        <v>2.8453805837903912E-2</v>
      </c>
      <c r="N58" s="2">
        <v>110.2</v>
      </c>
      <c r="O58" s="2">
        <v>93.3</v>
      </c>
      <c r="P58" s="2">
        <f t="shared" si="5"/>
        <v>16.900000000000006</v>
      </c>
      <c r="Q58">
        <v>2</v>
      </c>
    </row>
    <row r="59" spans="1:17">
      <c r="A59" t="s">
        <v>63</v>
      </c>
      <c r="B59" t="s">
        <v>18</v>
      </c>
      <c r="C59">
        <v>44</v>
      </c>
      <c r="D59">
        <v>38</v>
      </c>
      <c r="E59" s="1">
        <f t="shared" si="0"/>
        <v>0.53658536585365857</v>
      </c>
      <c r="F59" s="2">
        <v>109.5</v>
      </c>
      <c r="G59" s="2">
        <v>109.8</v>
      </c>
      <c r="H59" s="2">
        <f t="shared" si="1"/>
        <v>-0.29999999999999716</v>
      </c>
      <c r="I59" s="1">
        <f t="shared" si="2"/>
        <v>0.49042524125901932</v>
      </c>
      <c r="J59" s="2">
        <v>112.3</v>
      </c>
      <c r="K59" s="2">
        <v>112.8</v>
      </c>
      <c r="L59" s="2">
        <f t="shared" si="3"/>
        <v>-0.5</v>
      </c>
      <c r="M59" s="1">
        <f t="shared" si="4"/>
        <v>4.6160124594639251E-2</v>
      </c>
      <c r="N59" s="2">
        <v>112.3</v>
      </c>
      <c r="O59" s="2">
        <v>95.4</v>
      </c>
      <c r="P59" s="2">
        <f t="shared" si="5"/>
        <v>16.899999999999991</v>
      </c>
      <c r="Q59">
        <v>1.3</v>
      </c>
    </row>
    <row r="60" spans="1:17">
      <c r="A60" t="s">
        <v>64</v>
      </c>
      <c r="B60" t="s">
        <v>56</v>
      </c>
      <c r="C60">
        <v>51</v>
      </c>
      <c r="D60">
        <v>31</v>
      </c>
      <c r="E60" s="1">
        <f t="shared" si="0"/>
        <v>0.62195121951219512</v>
      </c>
      <c r="F60" s="2">
        <v>115.6</v>
      </c>
      <c r="G60" s="2">
        <v>112.3</v>
      </c>
      <c r="H60" s="2">
        <f t="shared" si="1"/>
        <v>3.2999999999999972</v>
      </c>
      <c r="I60" s="1">
        <f t="shared" si="2"/>
        <v>0.60000101155304963</v>
      </c>
      <c r="J60" s="2">
        <v>117.9</v>
      </c>
      <c r="K60" s="2">
        <v>114.6</v>
      </c>
      <c r="L60" s="2">
        <f t="shared" si="3"/>
        <v>3.3000000000000114</v>
      </c>
      <c r="M60" s="1">
        <f t="shared" si="4"/>
        <v>2.1950207959145485E-2</v>
      </c>
      <c r="N60" s="2">
        <v>124.6</v>
      </c>
      <c r="O60" s="2">
        <v>107.8</v>
      </c>
      <c r="P60" s="2">
        <f t="shared" si="5"/>
        <v>16.799999999999997</v>
      </c>
      <c r="Q60">
        <v>-0.5</v>
      </c>
    </row>
    <row r="61" spans="1:17">
      <c r="A61" t="s">
        <v>58</v>
      </c>
      <c r="B61" t="s">
        <v>15</v>
      </c>
      <c r="C61">
        <v>48</v>
      </c>
      <c r="D61">
        <v>34</v>
      </c>
      <c r="E61" s="1">
        <f t="shared" si="0"/>
        <v>0.58536585365853655</v>
      </c>
      <c r="F61" s="2">
        <v>105.6</v>
      </c>
      <c r="G61" s="2">
        <v>104.2</v>
      </c>
      <c r="H61" s="2">
        <f t="shared" si="1"/>
        <v>1.3999999999999915</v>
      </c>
      <c r="I61" s="1">
        <f t="shared" si="2"/>
        <v>0.54657641949522462</v>
      </c>
      <c r="J61" s="2">
        <v>108.5</v>
      </c>
      <c r="K61" s="2">
        <v>107.3</v>
      </c>
      <c r="L61" s="2">
        <f t="shared" si="3"/>
        <v>1.2000000000000028</v>
      </c>
      <c r="M61" s="1">
        <f t="shared" si="4"/>
        <v>3.8789434163311931E-2</v>
      </c>
      <c r="N61" s="2">
        <v>112.2</v>
      </c>
      <c r="O61" s="2">
        <v>95.5</v>
      </c>
      <c r="P61" s="2">
        <f t="shared" si="5"/>
        <v>16.700000000000003</v>
      </c>
      <c r="Q61">
        <v>-0.4</v>
      </c>
    </row>
    <row r="62" spans="1:17">
      <c r="A62" t="s">
        <v>39</v>
      </c>
      <c r="B62" t="s">
        <v>10</v>
      </c>
      <c r="C62">
        <v>58</v>
      </c>
      <c r="D62">
        <v>24</v>
      </c>
      <c r="E62" s="1">
        <f t="shared" si="0"/>
        <v>0.70731707317073167</v>
      </c>
      <c r="F62" s="2">
        <v>102.5</v>
      </c>
      <c r="G62" s="2">
        <v>96.8</v>
      </c>
      <c r="H62" s="2">
        <f t="shared" si="1"/>
        <v>5.7000000000000028</v>
      </c>
      <c r="I62" s="1">
        <f t="shared" si="2"/>
        <v>0.69019289618045576</v>
      </c>
      <c r="J62" s="2">
        <v>108.5</v>
      </c>
      <c r="K62" s="2">
        <v>102.6</v>
      </c>
      <c r="L62" s="2">
        <f t="shared" si="3"/>
        <v>5.9000000000000057</v>
      </c>
      <c r="M62" s="1">
        <f t="shared" si="4"/>
        <v>1.7124176990275908E-2</v>
      </c>
      <c r="N62" s="2">
        <v>113.3</v>
      </c>
      <c r="O62" s="2">
        <v>96.8</v>
      </c>
      <c r="P62" s="2">
        <f t="shared" si="5"/>
        <v>16.5</v>
      </c>
      <c r="Q62">
        <v>0.8</v>
      </c>
    </row>
    <row r="63" spans="1:17">
      <c r="A63" t="s">
        <v>4</v>
      </c>
      <c r="B63" t="s">
        <v>14</v>
      </c>
      <c r="C63">
        <v>45</v>
      </c>
      <c r="D63">
        <v>37</v>
      </c>
      <c r="E63" s="1">
        <f t="shared" si="0"/>
        <v>0.54878048780487809</v>
      </c>
      <c r="F63" s="2">
        <v>97.2</v>
      </c>
      <c r="G63" s="2">
        <v>94.9</v>
      </c>
      <c r="H63" s="2">
        <f t="shared" si="1"/>
        <v>2.2999999999999972</v>
      </c>
      <c r="I63" s="1">
        <f t="shared" si="2"/>
        <v>0.58303819645921595</v>
      </c>
      <c r="J63" s="2">
        <v>105.2</v>
      </c>
      <c r="K63" s="2">
        <v>102.8</v>
      </c>
      <c r="L63" s="2">
        <f t="shared" si="3"/>
        <v>2.4000000000000057</v>
      </c>
      <c r="M63" s="1">
        <f t="shared" si="4"/>
        <v>-3.4257708654337859E-2</v>
      </c>
      <c r="N63" s="2">
        <v>104.5</v>
      </c>
      <c r="O63" s="2">
        <v>88.1</v>
      </c>
      <c r="P63" s="2">
        <f t="shared" si="5"/>
        <v>16.400000000000006</v>
      </c>
      <c r="Q63">
        <v>1.4</v>
      </c>
    </row>
    <row r="64" spans="1:17">
      <c r="A64" t="s">
        <v>62</v>
      </c>
      <c r="B64" t="s">
        <v>8</v>
      </c>
      <c r="C64">
        <v>46</v>
      </c>
      <c r="D64">
        <v>36</v>
      </c>
      <c r="E64" s="1">
        <f t="shared" si="0"/>
        <v>0.56097560975609762</v>
      </c>
      <c r="F64" s="2">
        <v>111.6</v>
      </c>
      <c r="G64" s="2">
        <v>112</v>
      </c>
      <c r="H64" s="2">
        <f t="shared" si="1"/>
        <v>-0.40000000000000568</v>
      </c>
      <c r="I64" s="1">
        <f t="shared" si="2"/>
        <v>0.48748024280159491</v>
      </c>
      <c r="J64" s="2">
        <v>112.7</v>
      </c>
      <c r="K64" s="2">
        <v>113.2</v>
      </c>
      <c r="L64" s="2">
        <f t="shared" si="3"/>
        <v>-0.5</v>
      </c>
      <c r="M64" s="1">
        <f t="shared" si="4"/>
        <v>7.3495366954502706E-2</v>
      </c>
      <c r="N64" s="2">
        <v>121</v>
      </c>
      <c r="O64" s="2">
        <v>104.9</v>
      </c>
      <c r="P64" s="2">
        <f t="shared" si="5"/>
        <v>16.099999999999994</v>
      </c>
      <c r="Q64">
        <v>0.9</v>
      </c>
    </row>
    <row r="65" spans="1:17">
      <c r="A65" t="s">
        <v>55</v>
      </c>
      <c r="B65" t="s">
        <v>18</v>
      </c>
      <c r="C65">
        <v>48</v>
      </c>
      <c r="D65">
        <v>34</v>
      </c>
      <c r="E65" s="1">
        <f t="shared" si="0"/>
        <v>0.58536585365853655</v>
      </c>
      <c r="F65" s="2">
        <v>100</v>
      </c>
      <c r="G65" s="2">
        <v>98.4</v>
      </c>
      <c r="H65" s="2">
        <f t="shared" si="1"/>
        <v>1.5999999999999943</v>
      </c>
      <c r="I65" s="1">
        <f t="shared" si="2"/>
        <v>0.55621417253941718</v>
      </c>
      <c r="J65" s="2">
        <v>105.5</v>
      </c>
      <c r="K65" s="2">
        <v>103.7</v>
      </c>
      <c r="L65" s="2">
        <f t="shared" si="3"/>
        <v>1.7999999999999972</v>
      </c>
      <c r="M65" s="1">
        <f t="shared" si="4"/>
        <v>2.9151681119119366E-2</v>
      </c>
      <c r="N65" s="2">
        <v>111.1</v>
      </c>
      <c r="O65" s="2">
        <v>95.2</v>
      </c>
      <c r="P65" s="2">
        <f t="shared" si="5"/>
        <v>15.899999999999991</v>
      </c>
      <c r="Q65">
        <v>0.8</v>
      </c>
    </row>
    <row r="66" spans="1:17">
      <c r="A66" t="s">
        <v>64</v>
      </c>
      <c r="B66" t="s">
        <v>19</v>
      </c>
      <c r="C66">
        <v>49</v>
      </c>
      <c r="D66">
        <v>32</v>
      </c>
      <c r="E66" s="1">
        <f t="shared" si="0"/>
        <v>0.60493827160493829</v>
      </c>
      <c r="F66" s="2">
        <v>119</v>
      </c>
      <c r="G66" s="2">
        <v>116.2</v>
      </c>
      <c r="H66" s="2">
        <f t="shared" si="1"/>
        <v>2.7999999999999972</v>
      </c>
      <c r="I66" s="1">
        <f t="shared" si="2"/>
        <v>0.58257403618210546</v>
      </c>
      <c r="J66" s="2">
        <v>117.7</v>
      </c>
      <c r="K66" s="2">
        <v>114.9</v>
      </c>
      <c r="L66" s="2">
        <f t="shared" si="3"/>
        <v>2.7999999999999972</v>
      </c>
      <c r="M66" s="1">
        <f t="shared" si="4"/>
        <v>2.2364235422832834E-2</v>
      </c>
      <c r="N66" s="2">
        <v>122</v>
      </c>
      <c r="O66" s="2">
        <v>106.2</v>
      </c>
      <c r="P66" s="2">
        <f t="shared" si="5"/>
        <v>15.799999999999997</v>
      </c>
      <c r="Q66">
        <v>0.1</v>
      </c>
    </row>
    <row r="67" spans="1:17">
      <c r="A67" t="s">
        <v>49</v>
      </c>
      <c r="B67" t="s">
        <v>28</v>
      </c>
      <c r="C67">
        <v>50</v>
      </c>
      <c r="D67">
        <v>16</v>
      </c>
      <c r="E67" s="1">
        <f t="shared" si="0"/>
        <v>0.75757575757575757</v>
      </c>
      <c r="F67" s="2">
        <v>103.7</v>
      </c>
      <c r="G67" s="2">
        <v>96.5</v>
      </c>
      <c r="H67" s="2">
        <f t="shared" si="1"/>
        <v>7.2000000000000028</v>
      </c>
      <c r="I67" s="1">
        <f t="shared" si="2"/>
        <v>0.7325164044661483</v>
      </c>
      <c r="J67" s="2">
        <v>110</v>
      </c>
      <c r="K67" s="2">
        <v>102.3</v>
      </c>
      <c r="L67" s="2">
        <f t="shared" si="3"/>
        <v>7.7000000000000028</v>
      </c>
      <c r="M67" s="1">
        <f t="shared" si="4"/>
        <v>2.5059353109609273E-2</v>
      </c>
      <c r="N67" s="2">
        <v>104.3</v>
      </c>
      <c r="O67" s="2">
        <v>88.6</v>
      </c>
      <c r="P67" s="2">
        <f t="shared" si="5"/>
        <v>15.700000000000003</v>
      </c>
      <c r="Q67">
        <v>1.1000000000000001</v>
      </c>
    </row>
    <row r="68" spans="1:17">
      <c r="A68" t="s">
        <v>57</v>
      </c>
      <c r="B68" t="s">
        <v>31</v>
      </c>
      <c r="C68">
        <v>51</v>
      </c>
      <c r="D68">
        <v>31</v>
      </c>
      <c r="E68" s="1">
        <f t="shared" si="0"/>
        <v>0.62195121951219512</v>
      </c>
      <c r="F68" s="2">
        <v>100.7</v>
      </c>
      <c r="G68" s="2">
        <v>96.8</v>
      </c>
      <c r="H68" s="2">
        <f t="shared" si="1"/>
        <v>3.9000000000000057</v>
      </c>
      <c r="I68" s="1">
        <f t="shared" si="2"/>
        <v>0.63482745651575567</v>
      </c>
      <c r="J68" s="2">
        <v>109</v>
      </c>
      <c r="K68" s="2">
        <v>104.7</v>
      </c>
      <c r="L68" s="2">
        <f t="shared" si="3"/>
        <v>4.2999999999999972</v>
      </c>
      <c r="M68" s="1">
        <f t="shared" si="4"/>
        <v>-1.2876237003560553E-2</v>
      </c>
      <c r="N68" s="2">
        <v>115</v>
      </c>
      <c r="O68" s="2">
        <v>99.3</v>
      </c>
      <c r="P68" s="2">
        <f t="shared" si="5"/>
        <v>15.700000000000003</v>
      </c>
      <c r="Q68">
        <v>2.2000000000000002</v>
      </c>
    </row>
    <row r="69" spans="1:17">
      <c r="A69" t="s">
        <v>60</v>
      </c>
      <c r="B69" t="s">
        <v>11</v>
      </c>
      <c r="C69">
        <v>46</v>
      </c>
      <c r="D69">
        <v>27</v>
      </c>
      <c r="E69" s="1">
        <f t="shared" si="0"/>
        <v>0.63013698630136983</v>
      </c>
      <c r="F69" s="2">
        <v>111.3</v>
      </c>
      <c r="G69" s="2">
        <v>109.2</v>
      </c>
      <c r="H69" s="2">
        <f t="shared" si="1"/>
        <v>2.0999999999999943</v>
      </c>
      <c r="I69" s="1">
        <f t="shared" si="2"/>
        <v>0.56627637451040547</v>
      </c>
      <c r="J69" s="2">
        <v>112.6</v>
      </c>
      <c r="K69" s="2">
        <v>110.4</v>
      </c>
      <c r="L69" s="2">
        <f t="shared" si="3"/>
        <v>2.1999999999999886</v>
      </c>
      <c r="M69" s="1">
        <f t="shared" si="4"/>
        <v>6.3860611790964361E-2</v>
      </c>
      <c r="N69" s="2">
        <v>118.5</v>
      </c>
      <c r="O69" s="2">
        <v>102.9</v>
      </c>
      <c r="P69" s="2">
        <f t="shared" si="5"/>
        <v>15.599999999999994</v>
      </c>
      <c r="Q69">
        <v>0.3</v>
      </c>
    </row>
    <row r="70" spans="1:17">
      <c r="A70" t="s">
        <v>34</v>
      </c>
      <c r="B70" t="s">
        <v>27</v>
      </c>
      <c r="C70">
        <v>61</v>
      </c>
      <c r="D70">
        <v>21</v>
      </c>
      <c r="E70" s="1">
        <f t="shared" si="0"/>
        <v>0.74390243902439024</v>
      </c>
      <c r="F70" s="2">
        <v>104.6</v>
      </c>
      <c r="G70" s="2">
        <v>97</v>
      </c>
      <c r="H70" s="2">
        <f t="shared" si="1"/>
        <v>7.5999999999999943</v>
      </c>
      <c r="I70" s="1">
        <f t="shared" si="2"/>
        <v>0.74193612519657792</v>
      </c>
      <c r="J70" s="2">
        <v>107.9</v>
      </c>
      <c r="K70" s="2">
        <v>99.7</v>
      </c>
      <c r="L70" s="2">
        <f t="shared" si="3"/>
        <v>8.2000000000000028</v>
      </c>
      <c r="M70" s="1">
        <f t="shared" si="4"/>
        <v>1.966313827812316E-3</v>
      </c>
      <c r="N70" s="2">
        <v>105</v>
      </c>
      <c r="O70" s="2">
        <v>89.6</v>
      </c>
      <c r="P70" s="2">
        <f t="shared" si="5"/>
        <v>15.400000000000006</v>
      </c>
      <c r="Q70">
        <v>0.8</v>
      </c>
    </row>
    <row r="71" spans="1:17">
      <c r="A71" t="s">
        <v>62</v>
      </c>
      <c r="B71" t="s">
        <v>19</v>
      </c>
      <c r="C71">
        <v>51</v>
      </c>
      <c r="D71">
        <v>31</v>
      </c>
      <c r="E71" s="1">
        <f t="shared" si="0"/>
        <v>0.62195121951219512</v>
      </c>
      <c r="F71" s="2">
        <v>115.5</v>
      </c>
      <c r="G71" s="2">
        <v>112.1</v>
      </c>
      <c r="H71" s="2">
        <f t="shared" si="1"/>
        <v>3.4000000000000057</v>
      </c>
      <c r="I71" s="1">
        <f t="shared" si="2"/>
        <v>0.60307848942796871</v>
      </c>
      <c r="J71" s="2">
        <v>114.3</v>
      </c>
      <c r="K71" s="2">
        <v>111.1</v>
      </c>
      <c r="L71" s="2">
        <f t="shared" si="3"/>
        <v>3.2000000000000028</v>
      </c>
      <c r="M71" s="1">
        <f t="shared" si="4"/>
        <v>1.8872730084226408E-2</v>
      </c>
      <c r="N71" s="2">
        <v>118.1</v>
      </c>
      <c r="O71" s="2">
        <v>102.8</v>
      </c>
      <c r="P71" s="2">
        <f t="shared" si="5"/>
        <v>15.299999999999997</v>
      </c>
      <c r="Q71">
        <v>1</v>
      </c>
    </row>
    <row r="72" spans="1:17">
      <c r="A72" t="s">
        <v>52</v>
      </c>
      <c r="B72" t="s">
        <v>14</v>
      </c>
      <c r="C72">
        <v>54</v>
      </c>
      <c r="D72">
        <v>28</v>
      </c>
      <c r="E72" s="1">
        <f t="shared" si="0"/>
        <v>0.65853658536585369</v>
      </c>
      <c r="F72" s="2">
        <v>107.7</v>
      </c>
      <c r="G72" s="2">
        <v>103.1</v>
      </c>
      <c r="H72" s="2">
        <f t="shared" si="1"/>
        <v>4.6000000000000085</v>
      </c>
      <c r="I72" s="1">
        <f t="shared" si="2"/>
        <v>0.648192302705629</v>
      </c>
      <c r="J72" s="2">
        <v>109.8</v>
      </c>
      <c r="K72" s="2">
        <v>105.2</v>
      </c>
      <c r="L72" s="2">
        <f t="shared" si="3"/>
        <v>4.5999999999999943</v>
      </c>
      <c r="M72" s="1">
        <f t="shared" si="4"/>
        <v>1.0344282660224691E-2</v>
      </c>
      <c r="N72" s="2">
        <v>111.2</v>
      </c>
      <c r="O72" s="2">
        <v>96.1</v>
      </c>
      <c r="P72" s="2">
        <f t="shared" si="5"/>
        <v>15.100000000000009</v>
      </c>
      <c r="Q72">
        <v>-0.2</v>
      </c>
    </row>
    <row r="73" spans="1:17">
      <c r="A73" t="s">
        <v>61</v>
      </c>
      <c r="B73" t="s">
        <v>24</v>
      </c>
      <c r="C73">
        <v>49</v>
      </c>
      <c r="D73">
        <v>23</v>
      </c>
      <c r="E73" s="1">
        <f t="shared" ref="E73:E136" si="7">+C73/(C73+D73)</f>
        <v>0.68055555555555558</v>
      </c>
      <c r="F73" s="2">
        <v>113.6</v>
      </c>
      <c r="G73" s="2">
        <v>108.1</v>
      </c>
      <c r="H73" s="2">
        <f t="shared" ref="H73:H136" si="8">+F73-G73</f>
        <v>5.5</v>
      </c>
      <c r="I73" s="1">
        <f t="shared" ref="I73:I136" si="9">+(F73^14)/((F73^14+G73^14))</f>
        <v>0.66702829346339876</v>
      </c>
      <c r="J73" s="2">
        <v>112.5</v>
      </c>
      <c r="K73" s="2">
        <v>107</v>
      </c>
      <c r="L73" s="2">
        <f t="shared" ref="L73:L136" si="10">+J73-K73</f>
        <v>5.5</v>
      </c>
      <c r="M73" s="1">
        <f t="shared" ref="M73:M136" si="11">+E73-I73</f>
        <v>1.3527262092156822E-2</v>
      </c>
      <c r="N73" s="2">
        <v>112.5</v>
      </c>
      <c r="O73" s="2">
        <v>97.4</v>
      </c>
      <c r="P73" s="2">
        <f t="shared" ref="P73:P136" si="12">+N73-O73</f>
        <v>15.099999999999994</v>
      </c>
      <c r="Q73">
        <v>1.3</v>
      </c>
    </row>
    <row r="74" spans="1:17">
      <c r="A74" t="s">
        <v>65</v>
      </c>
      <c r="B74" t="s">
        <v>8</v>
      </c>
      <c r="C74">
        <v>39</v>
      </c>
      <c r="D74">
        <v>43</v>
      </c>
      <c r="E74" s="1">
        <f t="shared" si="7"/>
        <v>0.47560975609756095</v>
      </c>
      <c r="F74" s="2">
        <v>117.8</v>
      </c>
      <c r="G74" s="2">
        <v>119.4</v>
      </c>
      <c r="H74" s="2">
        <f t="shared" si="8"/>
        <v>-1.6000000000000085</v>
      </c>
      <c r="I74" s="1">
        <f t="shared" si="9"/>
        <v>0.45292161510107215</v>
      </c>
      <c r="J74" s="2">
        <v>113.2</v>
      </c>
      <c r="K74" s="2">
        <v>114.8</v>
      </c>
      <c r="L74" s="2">
        <f t="shared" si="10"/>
        <v>-1.5999999999999943</v>
      </c>
      <c r="M74" s="1">
        <f t="shared" si="11"/>
        <v>2.2688140996488804E-2</v>
      </c>
      <c r="N74" s="2">
        <v>115.4</v>
      </c>
      <c r="O74" s="2">
        <v>100.4</v>
      </c>
      <c r="P74" s="2">
        <f t="shared" si="12"/>
        <v>15</v>
      </c>
      <c r="Q74">
        <v>0</v>
      </c>
    </row>
    <row r="75" spans="1:17">
      <c r="A75" t="s">
        <v>49</v>
      </c>
      <c r="B75" t="s">
        <v>23</v>
      </c>
      <c r="C75">
        <v>37</v>
      </c>
      <c r="D75">
        <v>29</v>
      </c>
      <c r="E75" s="1">
        <f t="shared" si="7"/>
        <v>0.56060606060606055</v>
      </c>
      <c r="F75" s="2">
        <v>94.2</v>
      </c>
      <c r="G75" s="2">
        <v>93.4</v>
      </c>
      <c r="H75" s="2">
        <f t="shared" si="8"/>
        <v>0.79999999999999716</v>
      </c>
      <c r="I75" s="1">
        <f t="shared" si="9"/>
        <v>0.52981551170793983</v>
      </c>
      <c r="J75" s="2">
        <v>104</v>
      </c>
      <c r="K75" s="2">
        <v>103.4</v>
      </c>
      <c r="L75" s="2">
        <f t="shared" si="10"/>
        <v>0.59999999999999432</v>
      </c>
      <c r="M75" s="1">
        <f t="shared" si="11"/>
        <v>3.0790548898120718E-2</v>
      </c>
      <c r="N75" s="2">
        <v>110</v>
      </c>
      <c r="O75" s="2">
        <v>95.1</v>
      </c>
      <c r="P75" s="2">
        <f t="shared" si="12"/>
        <v>14.900000000000006</v>
      </c>
      <c r="Q75">
        <v>-0.5</v>
      </c>
    </row>
    <row r="76" spans="1:17">
      <c r="A76" t="s">
        <v>47</v>
      </c>
      <c r="B76" t="s">
        <v>16</v>
      </c>
      <c r="C76">
        <v>29</v>
      </c>
      <c r="D76">
        <v>53</v>
      </c>
      <c r="E76" s="1">
        <f t="shared" si="7"/>
        <v>0.35365853658536583</v>
      </c>
      <c r="F76" s="2">
        <v>95.7</v>
      </c>
      <c r="G76" s="2">
        <v>102.1</v>
      </c>
      <c r="H76" s="2">
        <f t="shared" si="8"/>
        <v>-6.3999999999999915</v>
      </c>
      <c r="I76" s="1">
        <f t="shared" si="9"/>
        <v>0.28776126250180661</v>
      </c>
      <c r="J76" s="2">
        <v>102.3</v>
      </c>
      <c r="K76" s="2">
        <v>109.1</v>
      </c>
      <c r="L76" s="2">
        <f t="shared" si="10"/>
        <v>-6.7999999999999972</v>
      </c>
      <c r="M76" s="1">
        <f t="shared" si="11"/>
        <v>6.5897274083559221E-2</v>
      </c>
      <c r="N76" s="2">
        <v>106</v>
      </c>
      <c r="O76" s="2">
        <v>91.3</v>
      </c>
      <c r="P76" s="2">
        <f t="shared" si="12"/>
        <v>14.700000000000003</v>
      </c>
      <c r="Q76">
        <v>-2.1</v>
      </c>
    </row>
    <row r="77" spans="1:17">
      <c r="A77" t="s">
        <v>50</v>
      </c>
      <c r="B77" t="s">
        <v>5</v>
      </c>
      <c r="C77">
        <v>44</v>
      </c>
      <c r="D77">
        <v>38</v>
      </c>
      <c r="E77" s="1">
        <f t="shared" si="7"/>
        <v>0.53658536585365857</v>
      </c>
      <c r="F77" s="2">
        <v>98</v>
      </c>
      <c r="G77" s="2">
        <v>97.5</v>
      </c>
      <c r="H77" s="2">
        <f t="shared" si="8"/>
        <v>0.5</v>
      </c>
      <c r="I77" s="1">
        <f t="shared" si="9"/>
        <v>0.51789520548021317</v>
      </c>
      <c r="J77" s="2">
        <v>103.7</v>
      </c>
      <c r="K77" s="2">
        <v>103.4</v>
      </c>
      <c r="L77" s="2">
        <f t="shared" si="10"/>
        <v>0.29999999999999716</v>
      </c>
      <c r="M77" s="1">
        <f t="shared" si="11"/>
        <v>1.8690160373445397E-2</v>
      </c>
      <c r="N77" s="2">
        <v>102.2</v>
      </c>
      <c r="O77" s="2">
        <v>87.5</v>
      </c>
      <c r="P77" s="2">
        <f t="shared" si="12"/>
        <v>14.700000000000003</v>
      </c>
      <c r="Q77">
        <v>-0.2</v>
      </c>
    </row>
    <row r="78" spans="1:17">
      <c r="A78" t="s">
        <v>45</v>
      </c>
      <c r="B78" t="s">
        <v>37</v>
      </c>
      <c r="C78">
        <v>49</v>
      </c>
      <c r="D78">
        <v>33</v>
      </c>
      <c r="E78" s="1">
        <f t="shared" si="7"/>
        <v>0.59756097560975607</v>
      </c>
      <c r="F78" s="2">
        <v>95.8</v>
      </c>
      <c r="G78" s="2">
        <v>94.3</v>
      </c>
      <c r="H78" s="2">
        <f t="shared" si="8"/>
        <v>1.5</v>
      </c>
      <c r="I78" s="1">
        <f t="shared" si="9"/>
        <v>0.55501163326871295</v>
      </c>
      <c r="J78" s="2">
        <v>107.6</v>
      </c>
      <c r="K78" s="2">
        <v>105.8</v>
      </c>
      <c r="L78" s="2">
        <f t="shared" si="10"/>
        <v>1.7999999999999972</v>
      </c>
      <c r="M78" s="1">
        <f t="shared" si="11"/>
        <v>4.2549342341043128E-2</v>
      </c>
      <c r="N78" s="2">
        <v>124.8</v>
      </c>
      <c r="O78" s="2">
        <v>110.2</v>
      </c>
      <c r="P78" s="2">
        <f t="shared" si="12"/>
        <v>14.599999999999994</v>
      </c>
      <c r="Q78">
        <v>0.9</v>
      </c>
    </row>
    <row r="79" spans="1:17">
      <c r="A79" t="s">
        <v>57</v>
      </c>
      <c r="B79" t="s">
        <v>30</v>
      </c>
      <c r="C79">
        <v>51</v>
      </c>
      <c r="D79">
        <v>31</v>
      </c>
      <c r="E79" s="1">
        <f t="shared" si="7"/>
        <v>0.62195121951219512</v>
      </c>
      <c r="F79" s="2">
        <v>106.9</v>
      </c>
      <c r="G79" s="2">
        <v>102.6</v>
      </c>
      <c r="H79" s="2">
        <f t="shared" si="8"/>
        <v>4.3000000000000114</v>
      </c>
      <c r="I79" s="1">
        <f t="shared" si="9"/>
        <v>0.6398659537059771</v>
      </c>
      <c r="J79" s="2">
        <v>111.4</v>
      </c>
      <c r="K79" s="2">
        <v>107.1</v>
      </c>
      <c r="L79" s="2">
        <f t="shared" si="10"/>
        <v>4.3000000000000114</v>
      </c>
      <c r="M79" s="1">
        <f t="shared" si="11"/>
        <v>-1.7914734193781978E-2</v>
      </c>
      <c r="N79" s="2">
        <v>109.9</v>
      </c>
      <c r="O79" s="2">
        <v>95.4</v>
      </c>
      <c r="P79" s="2">
        <f t="shared" si="12"/>
        <v>14.5</v>
      </c>
      <c r="Q79">
        <v>2.8</v>
      </c>
    </row>
    <row r="80" spans="1:17">
      <c r="A80" t="s">
        <v>39</v>
      </c>
      <c r="B80" t="s">
        <v>29</v>
      </c>
      <c r="C80">
        <v>52</v>
      </c>
      <c r="D80">
        <v>30</v>
      </c>
      <c r="E80" s="1">
        <f t="shared" si="7"/>
        <v>0.63414634146341464</v>
      </c>
      <c r="F80" s="2">
        <v>98.9</v>
      </c>
      <c r="G80" s="2">
        <v>96.6</v>
      </c>
      <c r="H80" s="2">
        <f t="shared" si="8"/>
        <v>2.3000000000000114</v>
      </c>
      <c r="I80" s="1">
        <f t="shared" si="9"/>
        <v>0.58161994176434872</v>
      </c>
      <c r="J80" s="2">
        <v>110.3</v>
      </c>
      <c r="K80" s="2">
        <v>108</v>
      </c>
      <c r="L80" s="2">
        <f t="shared" si="10"/>
        <v>2.2999999999999972</v>
      </c>
      <c r="M80" s="1">
        <f t="shared" si="11"/>
        <v>5.2526399699065918E-2</v>
      </c>
      <c r="N80" s="2">
        <v>119.7</v>
      </c>
      <c r="O80" s="2">
        <v>105.3</v>
      </c>
      <c r="P80" s="2">
        <f t="shared" si="12"/>
        <v>14.400000000000006</v>
      </c>
      <c r="Q80">
        <v>1.5</v>
      </c>
    </row>
    <row r="81" spans="1:17">
      <c r="A81" t="s">
        <v>55</v>
      </c>
      <c r="B81" t="s">
        <v>10</v>
      </c>
      <c r="C81">
        <v>42</v>
      </c>
      <c r="D81">
        <v>40</v>
      </c>
      <c r="E81" s="1">
        <f t="shared" si="7"/>
        <v>0.51219512195121952</v>
      </c>
      <c r="F81" s="2">
        <v>102.3</v>
      </c>
      <c r="G81" s="2">
        <v>102.6</v>
      </c>
      <c r="H81" s="2">
        <f t="shared" si="8"/>
        <v>-0.29999999999999716</v>
      </c>
      <c r="I81" s="1">
        <f t="shared" si="9"/>
        <v>0.4897525259278111</v>
      </c>
      <c r="J81" s="2">
        <v>105.5</v>
      </c>
      <c r="K81" s="2">
        <v>105.9</v>
      </c>
      <c r="L81" s="2">
        <f t="shared" si="10"/>
        <v>-0.40000000000000568</v>
      </c>
      <c r="M81" s="1">
        <f t="shared" si="11"/>
        <v>2.2442596023408423E-2</v>
      </c>
      <c r="N81" s="2">
        <v>113.5</v>
      </c>
      <c r="O81" s="2">
        <v>99.1</v>
      </c>
      <c r="P81" s="2">
        <f t="shared" si="12"/>
        <v>14.400000000000006</v>
      </c>
      <c r="Q81">
        <v>0.3</v>
      </c>
    </row>
    <row r="82" spans="1:17">
      <c r="A82" t="s">
        <v>36</v>
      </c>
      <c r="B82" t="s">
        <v>20</v>
      </c>
      <c r="C82">
        <v>51</v>
      </c>
      <c r="D82">
        <v>31</v>
      </c>
      <c r="E82" s="1">
        <f t="shared" si="7"/>
        <v>0.62195121951219512</v>
      </c>
      <c r="F82" s="2">
        <v>98.1</v>
      </c>
      <c r="G82" s="2">
        <v>96</v>
      </c>
      <c r="H82" s="2">
        <f t="shared" si="8"/>
        <v>2.0999999999999943</v>
      </c>
      <c r="I82" s="1">
        <f t="shared" si="9"/>
        <v>0.57516313158502963</v>
      </c>
      <c r="J82" s="2">
        <v>104.8</v>
      </c>
      <c r="K82" s="2">
        <v>102.5</v>
      </c>
      <c r="L82" s="2">
        <f t="shared" si="10"/>
        <v>2.2999999999999972</v>
      </c>
      <c r="M82" s="1">
        <f t="shared" si="11"/>
        <v>4.6788087927165489E-2</v>
      </c>
      <c r="N82" s="2">
        <v>107.7</v>
      </c>
      <c r="O82" s="2">
        <v>93.4</v>
      </c>
      <c r="P82" s="2">
        <f t="shared" si="12"/>
        <v>14.299999999999997</v>
      </c>
      <c r="Q82">
        <v>0.1</v>
      </c>
    </row>
    <row r="83" spans="1:17">
      <c r="A83" t="s">
        <v>45</v>
      </c>
      <c r="B83" t="s">
        <v>10</v>
      </c>
      <c r="C83">
        <v>50</v>
      </c>
      <c r="D83">
        <v>32</v>
      </c>
      <c r="E83" s="1">
        <f t="shared" si="7"/>
        <v>0.6097560975609756</v>
      </c>
      <c r="F83" s="2">
        <v>101.7</v>
      </c>
      <c r="G83" s="2">
        <v>99.8</v>
      </c>
      <c r="H83" s="2">
        <f t="shared" si="8"/>
        <v>1.9000000000000057</v>
      </c>
      <c r="I83" s="1">
        <f t="shared" si="9"/>
        <v>0.56562612482912078</v>
      </c>
      <c r="J83" s="2">
        <v>109</v>
      </c>
      <c r="K83" s="2">
        <v>107</v>
      </c>
      <c r="L83" s="2">
        <f t="shared" si="10"/>
        <v>2</v>
      </c>
      <c r="M83" s="1">
        <f t="shared" si="11"/>
        <v>4.4129972731854816E-2</v>
      </c>
      <c r="N83" s="2">
        <v>113</v>
      </c>
      <c r="O83" s="2">
        <v>98.7</v>
      </c>
      <c r="P83" s="2">
        <f t="shared" si="12"/>
        <v>14.299999999999997</v>
      </c>
      <c r="Q83">
        <v>-0.2</v>
      </c>
    </row>
    <row r="84" spans="1:17">
      <c r="A84" t="s">
        <v>54</v>
      </c>
      <c r="B84" t="s">
        <v>26</v>
      </c>
      <c r="C84">
        <v>51</v>
      </c>
      <c r="D84">
        <v>31</v>
      </c>
      <c r="E84" s="1">
        <f t="shared" si="7"/>
        <v>0.62195121951219512</v>
      </c>
      <c r="F84" s="2">
        <v>102.8</v>
      </c>
      <c r="G84" s="2">
        <v>98.6</v>
      </c>
      <c r="H84" s="2">
        <f t="shared" si="8"/>
        <v>4.2000000000000028</v>
      </c>
      <c r="I84" s="1">
        <f t="shared" si="9"/>
        <v>0.64198666077986288</v>
      </c>
      <c r="J84" s="2">
        <v>107.1</v>
      </c>
      <c r="K84" s="2">
        <v>102.8</v>
      </c>
      <c r="L84" s="2">
        <f t="shared" si="10"/>
        <v>4.2999999999999972</v>
      </c>
      <c r="M84" s="1">
        <f t="shared" si="11"/>
        <v>-2.0035441267667764E-2</v>
      </c>
      <c r="N84" s="2">
        <v>114.2</v>
      </c>
      <c r="O84" s="2">
        <v>100</v>
      </c>
      <c r="P84" s="2">
        <f t="shared" si="12"/>
        <v>14.200000000000003</v>
      </c>
      <c r="Q84">
        <v>1.7</v>
      </c>
    </row>
    <row r="85" spans="1:17">
      <c r="A85" t="s">
        <v>44</v>
      </c>
      <c r="B85" t="s">
        <v>25</v>
      </c>
      <c r="C85">
        <v>55</v>
      </c>
      <c r="D85">
        <v>27</v>
      </c>
      <c r="E85" s="1">
        <f t="shared" si="7"/>
        <v>0.67073170731707321</v>
      </c>
      <c r="F85" s="2">
        <v>110.1</v>
      </c>
      <c r="G85" s="2">
        <v>105</v>
      </c>
      <c r="H85" s="2">
        <f t="shared" si="8"/>
        <v>5.0999999999999943</v>
      </c>
      <c r="I85" s="1">
        <f t="shared" si="9"/>
        <v>0.66015874335995706</v>
      </c>
      <c r="J85" s="2">
        <v>112</v>
      </c>
      <c r="K85" s="2">
        <v>107</v>
      </c>
      <c r="L85" s="2">
        <f t="shared" si="10"/>
        <v>5</v>
      </c>
      <c r="M85" s="1">
        <f t="shared" si="11"/>
        <v>1.0572963957116155E-2</v>
      </c>
      <c r="N85" s="2">
        <v>110.9</v>
      </c>
      <c r="O85" s="2">
        <v>96.8</v>
      </c>
      <c r="P85" s="2">
        <f t="shared" si="12"/>
        <v>14.100000000000009</v>
      </c>
      <c r="Q85">
        <v>0.6</v>
      </c>
    </row>
    <row r="86" spans="1:17">
      <c r="A86" t="s">
        <v>57</v>
      </c>
      <c r="B86" t="s">
        <v>5</v>
      </c>
      <c r="C86">
        <v>43</v>
      </c>
      <c r="D86">
        <v>39</v>
      </c>
      <c r="E86" s="1">
        <f t="shared" si="7"/>
        <v>0.52439024390243905</v>
      </c>
      <c r="F86" s="2">
        <v>103.2</v>
      </c>
      <c r="G86" s="2">
        <v>104</v>
      </c>
      <c r="H86" s="2">
        <f t="shared" si="8"/>
        <v>-0.79999999999999716</v>
      </c>
      <c r="I86" s="1">
        <f t="shared" si="9"/>
        <v>0.47299913122451137</v>
      </c>
      <c r="J86" s="2">
        <v>104.5</v>
      </c>
      <c r="K86" s="2">
        <v>105.2</v>
      </c>
      <c r="L86" s="2">
        <f t="shared" si="10"/>
        <v>-0.70000000000000284</v>
      </c>
      <c r="M86" s="1">
        <f t="shared" si="11"/>
        <v>5.1391112677927675E-2</v>
      </c>
      <c r="N86" s="2">
        <v>109.8</v>
      </c>
      <c r="O86" s="2">
        <v>95.7</v>
      </c>
      <c r="P86" s="2">
        <f t="shared" si="12"/>
        <v>14.099999999999994</v>
      </c>
      <c r="Q86">
        <v>0.6</v>
      </c>
    </row>
    <row r="87" spans="1:17">
      <c r="A87" t="s">
        <v>64</v>
      </c>
      <c r="B87" t="s">
        <v>22</v>
      </c>
      <c r="C87">
        <v>50</v>
      </c>
      <c r="D87">
        <v>32</v>
      </c>
      <c r="E87" s="1">
        <f t="shared" si="7"/>
        <v>0.6097560975609756</v>
      </c>
      <c r="F87" s="2">
        <v>112.8</v>
      </c>
      <c r="G87" s="2">
        <v>108.2</v>
      </c>
      <c r="H87" s="2">
        <f t="shared" si="8"/>
        <v>4.5999999999999943</v>
      </c>
      <c r="I87" s="1">
        <f t="shared" si="9"/>
        <v>0.64173203581076255</v>
      </c>
      <c r="J87" s="2">
        <v>117.3</v>
      </c>
      <c r="K87" s="2">
        <v>112.4</v>
      </c>
      <c r="L87" s="2">
        <f t="shared" si="10"/>
        <v>4.8999999999999915</v>
      </c>
      <c r="M87" s="1">
        <f t="shared" si="11"/>
        <v>-3.197593824978695E-2</v>
      </c>
      <c r="N87" s="2">
        <v>114.4</v>
      </c>
      <c r="O87" s="2">
        <v>100.4</v>
      </c>
      <c r="P87" s="2">
        <f t="shared" si="12"/>
        <v>14</v>
      </c>
      <c r="Q87">
        <v>1</v>
      </c>
    </row>
    <row r="88" spans="1:17">
      <c r="A88" t="s">
        <v>48</v>
      </c>
      <c r="B88" t="s">
        <v>46</v>
      </c>
      <c r="C88">
        <v>55</v>
      </c>
      <c r="D88">
        <v>27</v>
      </c>
      <c r="E88" s="1">
        <f t="shared" si="7"/>
        <v>0.67073170731707321</v>
      </c>
      <c r="F88" s="2">
        <v>104.8</v>
      </c>
      <c r="G88" s="2">
        <v>101</v>
      </c>
      <c r="H88" s="2">
        <f t="shared" si="8"/>
        <v>3.7999999999999972</v>
      </c>
      <c r="I88" s="1">
        <f t="shared" si="9"/>
        <v>0.62646134296899791</v>
      </c>
      <c r="J88" s="2">
        <v>109.9</v>
      </c>
      <c r="K88" s="2">
        <v>105.9</v>
      </c>
      <c r="L88" s="2">
        <f t="shared" si="10"/>
        <v>4</v>
      </c>
      <c r="M88" s="1">
        <f t="shared" si="11"/>
        <v>4.4270364348075297E-2</v>
      </c>
      <c r="N88" s="2">
        <v>105.8</v>
      </c>
      <c r="O88" s="2">
        <v>92</v>
      </c>
      <c r="P88" s="2">
        <f t="shared" si="12"/>
        <v>13.799999999999997</v>
      </c>
      <c r="Q88">
        <v>0.9</v>
      </c>
    </row>
    <row r="89" spans="1:17">
      <c r="A89" t="s">
        <v>38</v>
      </c>
      <c r="B89" t="s">
        <v>11</v>
      </c>
      <c r="C89">
        <v>43</v>
      </c>
      <c r="D89">
        <v>39</v>
      </c>
      <c r="E89" s="1">
        <f t="shared" si="7"/>
        <v>0.52439024390243905</v>
      </c>
      <c r="F89" s="2">
        <v>97.2</v>
      </c>
      <c r="G89" s="2">
        <v>96.1</v>
      </c>
      <c r="H89" s="2">
        <f t="shared" si="8"/>
        <v>1.1000000000000085</v>
      </c>
      <c r="I89" s="1">
        <f t="shared" si="9"/>
        <v>0.53975081670039182</v>
      </c>
      <c r="J89" s="2">
        <v>102.4</v>
      </c>
      <c r="K89" s="2">
        <v>101.4</v>
      </c>
      <c r="L89" s="2">
        <f t="shared" si="10"/>
        <v>1</v>
      </c>
      <c r="M89" s="1">
        <f t="shared" si="11"/>
        <v>-1.5360572797952776E-2</v>
      </c>
      <c r="N89" s="2">
        <v>103.3</v>
      </c>
      <c r="O89" s="2">
        <v>89.6</v>
      </c>
      <c r="P89" s="2">
        <f t="shared" si="12"/>
        <v>13.700000000000003</v>
      </c>
      <c r="Q89">
        <v>0.1</v>
      </c>
    </row>
    <row r="90" spans="1:17">
      <c r="A90" t="s">
        <v>57</v>
      </c>
      <c r="B90" t="s">
        <v>9</v>
      </c>
      <c r="C90">
        <v>51</v>
      </c>
      <c r="D90">
        <v>31</v>
      </c>
      <c r="E90" s="1">
        <f t="shared" si="7"/>
        <v>0.62195121951219512</v>
      </c>
      <c r="F90" s="2">
        <v>110.3</v>
      </c>
      <c r="G90" s="2">
        <v>107.2</v>
      </c>
      <c r="H90" s="2">
        <f t="shared" si="8"/>
        <v>3.0999999999999943</v>
      </c>
      <c r="I90" s="1">
        <f t="shared" si="9"/>
        <v>0.59847320533092052</v>
      </c>
      <c r="J90" s="2">
        <v>112.8</v>
      </c>
      <c r="K90" s="2">
        <v>109.7</v>
      </c>
      <c r="L90" s="2">
        <f t="shared" si="10"/>
        <v>3.0999999999999943</v>
      </c>
      <c r="M90" s="1">
        <f t="shared" si="11"/>
        <v>2.3478014181274598E-2</v>
      </c>
      <c r="N90" s="2">
        <v>117.1</v>
      </c>
      <c r="O90" s="2">
        <v>103.5</v>
      </c>
      <c r="P90" s="2">
        <f t="shared" si="12"/>
        <v>13.599999999999994</v>
      </c>
      <c r="Q90">
        <v>-1.2</v>
      </c>
    </row>
    <row r="91" spans="1:17">
      <c r="A91" t="s">
        <v>54</v>
      </c>
      <c r="B91" t="s">
        <v>35</v>
      </c>
      <c r="C91">
        <v>55</v>
      </c>
      <c r="D91">
        <v>27</v>
      </c>
      <c r="E91" s="1">
        <f t="shared" si="7"/>
        <v>0.67073170731707321</v>
      </c>
      <c r="F91" s="2">
        <v>98.3</v>
      </c>
      <c r="G91" s="2">
        <v>95.1</v>
      </c>
      <c r="H91" s="2">
        <f t="shared" si="8"/>
        <v>3.2000000000000028</v>
      </c>
      <c r="I91" s="1">
        <f t="shared" si="9"/>
        <v>0.61380403794976324</v>
      </c>
      <c r="J91" s="2">
        <v>104.8</v>
      </c>
      <c r="K91" s="2">
        <v>101.2</v>
      </c>
      <c r="L91" s="2">
        <f t="shared" si="10"/>
        <v>3.5999999999999943</v>
      </c>
      <c r="M91" s="1">
        <f t="shared" si="11"/>
        <v>5.6927669367309974E-2</v>
      </c>
      <c r="N91" s="2">
        <v>108.7</v>
      </c>
      <c r="O91" s="2">
        <v>95.2</v>
      </c>
      <c r="P91" s="2">
        <f t="shared" si="12"/>
        <v>13.5</v>
      </c>
      <c r="Q91">
        <v>0.3</v>
      </c>
    </row>
    <row r="92" spans="1:17">
      <c r="A92" t="s">
        <v>36</v>
      </c>
      <c r="B92" t="s">
        <v>14</v>
      </c>
      <c r="C92">
        <v>43</v>
      </c>
      <c r="D92">
        <v>39</v>
      </c>
      <c r="E92" s="1">
        <f t="shared" si="7"/>
        <v>0.52439024390243905</v>
      </c>
      <c r="F92" s="2">
        <v>93.8</v>
      </c>
      <c r="G92" s="2">
        <v>92.3</v>
      </c>
      <c r="H92" s="2">
        <f t="shared" si="8"/>
        <v>1.5</v>
      </c>
      <c r="I92" s="1">
        <f t="shared" si="9"/>
        <v>0.55618421979332688</v>
      </c>
      <c r="J92" s="2">
        <v>102.4</v>
      </c>
      <c r="K92" s="2">
        <v>100.9</v>
      </c>
      <c r="L92" s="2">
        <f t="shared" si="10"/>
        <v>1.5</v>
      </c>
      <c r="M92" s="1">
        <f t="shared" si="11"/>
        <v>-3.1793975890887838E-2</v>
      </c>
      <c r="N92" s="2">
        <v>114.4</v>
      </c>
      <c r="O92" s="2">
        <v>100.9</v>
      </c>
      <c r="P92" s="2">
        <f t="shared" si="12"/>
        <v>13.5</v>
      </c>
      <c r="Q92">
        <v>0.4</v>
      </c>
    </row>
    <row r="93" spans="1:17">
      <c r="A93" t="s">
        <v>49</v>
      </c>
      <c r="B93" t="s">
        <v>8</v>
      </c>
      <c r="C93">
        <v>50</v>
      </c>
      <c r="D93">
        <v>16</v>
      </c>
      <c r="E93" s="1">
        <f t="shared" si="7"/>
        <v>0.75757575757575757</v>
      </c>
      <c r="F93" s="2">
        <v>96.3</v>
      </c>
      <c r="G93" s="2">
        <v>88.2</v>
      </c>
      <c r="H93" s="2">
        <f t="shared" si="8"/>
        <v>8.0999999999999943</v>
      </c>
      <c r="I93" s="1">
        <f t="shared" si="9"/>
        <v>0.77382889717097558</v>
      </c>
      <c r="J93" s="2">
        <v>106.3</v>
      </c>
      <c r="K93" s="2">
        <v>97.5</v>
      </c>
      <c r="L93" s="2">
        <f t="shared" si="10"/>
        <v>8.7999999999999972</v>
      </c>
      <c r="M93" s="1">
        <f t="shared" si="11"/>
        <v>-1.6253139595218014E-2</v>
      </c>
      <c r="N93" s="2">
        <v>107.5</v>
      </c>
      <c r="O93" s="2">
        <v>94.1</v>
      </c>
      <c r="P93" s="2">
        <f t="shared" si="12"/>
        <v>13.400000000000006</v>
      </c>
      <c r="Q93">
        <v>2.5</v>
      </c>
    </row>
    <row r="94" spans="1:17">
      <c r="A94" t="s">
        <v>44</v>
      </c>
      <c r="B94" t="s">
        <v>13</v>
      </c>
      <c r="C94">
        <v>48</v>
      </c>
      <c r="D94">
        <v>34</v>
      </c>
      <c r="E94" s="1">
        <f t="shared" si="7"/>
        <v>0.58536585365853655</v>
      </c>
      <c r="F94" s="2">
        <v>111</v>
      </c>
      <c r="G94" s="2">
        <v>108.8</v>
      </c>
      <c r="H94" s="2">
        <f t="shared" si="8"/>
        <v>2.2000000000000028</v>
      </c>
      <c r="I94" s="1">
        <f t="shared" si="9"/>
        <v>0.56961097932319371</v>
      </c>
      <c r="J94" s="2">
        <v>110.4</v>
      </c>
      <c r="K94" s="2">
        <v>108.5</v>
      </c>
      <c r="L94" s="2">
        <f t="shared" si="10"/>
        <v>1.9000000000000057</v>
      </c>
      <c r="M94" s="1">
        <f t="shared" si="11"/>
        <v>1.5754874335342839E-2</v>
      </c>
      <c r="N94" s="2">
        <v>117.2</v>
      </c>
      <c r="O94" s="2">
        <v>103.9</v>
      </c>
      <c r="P94" s="2">
        <f t="shared" si="12"/>
        <v>13.299999999999997</v>
      </c>
      <c r="Q94">
        <v>0.5</v>
      </c>
    </row>
    <row r="95" spans="1:17">
      <c r="A95" t="s">
        <v>66</v>
      </c>
      <c r="B95" t="s">
        <v>12</v>
      </c>
      <c r="C95">
        <v>45</v>
      </c>
      <c r="D95">
        <v>17</v>
      </c>
      <c r="E95" s="1">
        <f t="shared" si="7"/>
        <v>0.72580645161290325</v>
      </c>
      <c r="F95" s="2">
        <v>116.8</v>
      </c>
      <c r="G95" s="2">
        <v>109.6</v>
      </c>
      <c r="H95" s="2">
        <f t="shared" si="8"/>
        <v>7.2000000000000028</v>
      </c>
      <c r="I95" s="1">
        <f t="shared" si="9"/>
        <v>0.70904693182577805</v>
      </c>
      <c r="J95" s="2">
        <v>116.1</v>
      </c>
      <c r="K95" s="2">
        <v>108.7</v>
      </c>
      <c r="L95" s="2">
        <f t="shared" si="10"/>
        <v>7.3999999999999915</v>
      </c>
      <c r="M95" s="1">
        <f t="shared" si="11"/>
        <v>1.6759519787125199E-2</v>
      </c>
      <c r="N95" s="2">
        <v>116.3</v>
      </c>
      <c r="O95" s="2">
        <v>103.1</v>
      </c>
      <c r="P95" s="2">
        <f t="shared" si="12"/>
        <v>13.200000000000003</v>
      </c>
      <c r="Q95" s="2">
        <v>1.1000000000000001</v>
      </c>
    </row>
    <row r="96" spans="1:17">
      <c r="A96" t="s">
        <v>52</v>
      </c>
      <c r="B96" t="s">
        <v>28</v>
      </c>
      <c r="C96">
        <v>62</v>
      </c>
      <c r="D96">
        <v>20</v>
      </c>
      <c r="E96" s="1">
        <f t="shared" si="7"/>
        <v>0.75609756097560976</v>
      </c>
      <c r="F96" s="2">
        <v>105.4</v>
      </c>
      <c r="G96" s="2">
        <v>97.6</v>
      </c>
      <c r="H96" s="2">
        <f t="shared" si="8"/>
        <v>7.8000000000000114</v>
      </c>
      <c r="I96" s="1">
        <f t="shared" si="9"/>
        <v>0.74581059535578331</v>
      </c>
      <c r="J96" s="2">
        <v>109.5</v>
      </c>
      <c r="K96" s="2">
        <v>101.4</v>
      </c>
      <c r="L96" s="2">
        <f t="shared" si="10"/>
        <v>8.0999999999999943</v>
      </c>
      <c r="M96" s="1">
        <f t="shared" si="11"/>
        <v>1.0286965619826449E-2</v>
      </c>
      <c r="N96" s="2">
        <v>116.2</v>
      </c>
      <c r="O96" s="2">
        <v>103</v>
      </c>
      <c r="P96" s="2">
        <f t="shared" si="12"/>
        <v>13.200000000000003</v>
      </c>
      <c r="Q96">
        <v>2</v>
      </c>
    </row>
    <row r="97" spans="1:17">
      <c r="A97" t="s">
        <v>48</v>
      </c>
      <c r="B97" t="s">
        <v>26</v>
      </c>
      <c r="C97">
        <v>48</v>
      </c>
      <c r="D97">
        <v>34</v>
      </c>
      <c r="E97" s="1">
        <f t="shared" si="7"/>
        <v>0.58536585365853655</v>
      </c>
      <c r="F97" s="2">
        <v>96.3</v>
      </c>
      <c r="G97" s="2">
        <v>94.8</v>
      </c>
      <c r="H97" s="2">
        <f t="shared" si="8"/>
        <v>1.5</v>
      </c>
      <c r="I97" s="1">
        <f t="shared" si="9"/>
        <v>0.55472606384506307</v>
      </c>
      <c r="J97" s="2">
        <v>107.3</v>
      </c>
      <c r="K97" s="2">
        <v>105.7</v>
      </c>
      <c r="L97" s="2">
        <f t="shared" si="10"/>
        <v>1.5999999999999943</v>
      </c>
      <c r="M97" s="1">
        <f t="shared" si="11"/>
        <v>3.0639789813473484E-2</v>
      </c>
      <c r="N97" s="2">
        <v>108.5</v>
      </c>
      <c r="O97" s="2">
        <v>95.4</v>
      </c>
      <c r="P97" s="2">
        <f t="shared" si="12"/>
        <v>13.099999999999994</v>
      </c>
      <c r="Q97">
        <v>-0.1</v>
      </c>
    </row>
    <row r="98" spans="1:17">
      <c r="A98" t="s">
        <v>49</v>
      </c>
      <c r="B98" t="s">
        <v>35</v>
      </c>
      <c r="C98">
        <v>41</v>
      </c>
      <c r="D98">
        <v>25</v>
      </c>
      <c r="E98" s="1">
        <f t="shared" si="7"/>
        <v>0.62121212121212122</v>
      </c>
      <c r="F98" s="2">
        <v>95</v>
      </c>
      <c r="G98" s="2">
        <v>93</v>
      </c>
      <c r="H98" s="2">
        <f t="shared" si="8"/>
        <v>2</v>
      </c>
      <c r="I98" s="1">
        <f t="shared" si="9"/>
        <v>0.57392505859345744</v>
      </c>
      <c r="J98" s="2">
        <v>102.8</v>
      </c>
      <c r="K98" s="2">
        <v>100.6</v>
      </c>
      <c r="L98" s="2">
        <f t="shared" si="10"/>
        <v>2.2000000000000028</v>
      </c>
      <c r="M98" s="1">
        <f t="shared" si="11"/>
        <v>4.7287062618663778E-2</v>
      </c>
      <c r="N98" s="2">
        <v>106.8</v>
      </c>
      <c r="O98" s="2">
        <v>93.8</v>
      </c>
      <c r="P98" s="2">
        <f t="shared" si="12"/>
        <v>13</v>
      </c>
      <c r="Q98">
        <v>0.3</v>
      </c>
    </row>
    <row r="99" spans="1:17">
      <c r="A99" t="s">
        <v>57</v>
      </c>
      <c r="B99" t="s">
        <v>33</v>
      </c>
      <c r="C99">
        <v>49</v>
      </c>
      <c r="D99">
        <v>33</v>
      </c>
      <c r="E99" s="1">
        <f t="shared" si="7"/>
        <v>0.59756097560975607</v>
      </c>
      <c r="F99" s="2">
        <v>109.2</v>
      </c>
      <c r="G99" s="2">
        <v>107.4</v>
      </c>
      <c r="H99" s="2">
        <f t="shared" si="8"/>
        <v>1.7999999999999972</v>
      </c>
      <c r="I99" s="1">
        <f t="shared" si="9"/>
        <v>0.55791201251406242</v>
      </c>
      <c r="J99" s="2">
        <v>110.4</v>
      </c>
      <c r="K99" s="2">
        <v>108.8</v>
      </c>
      <c r="L99" s="2">
        <f t="shared" si="10"/>
        <v>1.6000000000000085</v>
      </c>
      <c r="M99" s="1">
        <f t="shared" si="11"/>
        <v>3.9648963095693657E-2</v>
      </c>
      <c r="N99" s="2">
        <v>116.8</v>
      </c>
      <c r="O99" s="2">
        <v>103.8</v>
      </c>
      <c r="P99" s="2">
        <f t="shared" si="12"/>
        <v>13</v>
      </c>
      <c r="Q99">
        <v>0.8</v>
      </c>
    </row>
    <row r="100" spans="1:17">
      <c r="A100" t="s">
        <v>41</v>
      </c>
      <c r="B100" t="s">
        <v>8</v>
      </c>
      <c r="C100">
        <v>41</v>
      </c>
      <c r="D100">
        <v>41</v>
      </c>
      <c r="E100" s="1">
        <f t="shared" si="7"/>
        <v>0.5</v>
      </c>
      <c r="F100" s="2">
        <v>97.8</v>
      </c>
      <c r="G100" s="2">
        <v>97.2</v>
      </c>
      <c r="H100" s="2">
        <f t="shared" si="8"/>
        <v>0.59999999999999432</v>
      </c>
      <c r="I100" s="1">
        <f t="shared" si="9"/>
        <v>0.52152521685612041</v>
      </c>
      <c r="J100" s="2">
        <v>103.3</v>
      </c>
      <c r="K100" s="2">
        <v>102.7</v>
      </c>
      <c r="L100" s="2">
        <f t="shared" si="10"/>
        <v>0.59999999999999432</v>
      </c>
      <c r="M100" s="1">
        <f t="shared" si="11"/>
        <v>-2.152521685612041E-2</v>
      </c>
      <c r="N100" s="2">
        <v>107.7</v>
      </c>
      <c r="O100" s="2">
        <v>94.8</v>
      </c>
      <c r="P100" s="2">
        <f t="shared" si="12"/>
        <v>12.900000000000006</v>
      </c>
      <c r="Q100">
        <v>0.7</v>
      </c>
    </row>
    <row r="101" spans="1:17">
      <c r="A101" t="s">
        <v>39</v>
      </c>
      <c r="B101" t="s">
        <v>25</v>
      </c>
      <c r="C101">
        <v>62</v>
      </c>
      <c r="D101">
        <v>20</v>
      </c>
      <c r="E101" s="1">
        <f t="shared" si="7"/>
        <v>0.75609756097560976</v>
      </c>
      <c r="F101" s="2">
        <v>110.4</v>
      </c>
      <c r="G101" s="2">
        <v>103.3</v>
      </c>
      <c r="H101" s="2">
        <f t="shared" si="8"/>
        <v>7.1000000000000085</v>
      </c>
      <c r="I101" s="1">
        <f t="shared" si="9"/>
        <v>0.71720077079913214</v>
      </c>
      <c r="J101" s="2">
        <v>112.7</v>
      </c>
      <c r="K101" s="2">
        <v>105.7</v>
      </c>
      <c r="L101" s="2">
        <f t="shared" si="10"/>
        <v>7</v>
      </c>
      <c r="M101" s="1">
        <f t="shared" si="11"/>
        <v>3.8896790176477625E-2</v>
      </c>
      <c r="N101" s="2">
        <v>111.8</v>
      </c>
      <c r="O101" s="2">
        <v>98.9</v>
      </c>
      <c r="P101" s="2">
        <f t="shared" si="12"/>
        <v>12.899999999999991</v>
      </c>
      <c r="Q101">
        <v>0.3</v>
      </c>
    </row>
    <row r="102" spans="1:17">
      <c r="A102" t="s">
        <v>64</v>
      </c>
      <c r="B102" t="s">
        <v>6</v>
      </c>
      <c r="C102">
        <v>64</v>
      </c>
      <c r="D102">
        <v>18</v>
      </c>
      <c r="E102" s="1">
        <f t="shared" si="7"/>
        <v>0.78048780487804881</v>
      </c>
      <c r="F102" s="2">
        <v>120.6</v>
      </c>
      <c r="G102" s="2">
        <v>109.2</v>
      </c>
      <c r="H102" s="2">
        <f t="shared" si="8"/>
        <v>11.399999999999991</v>
      </c>
      <c r="I102" s="1">
        <f t="shared" si="9"/>
        <v>0.80062019440018317</v>
      </c>
      <c r="J102" s="2">
        <v>122.2</v>
      </c>
      <c r="K102" s="2">
        <v>110.6</v>
      </c>
      <c r="L102" s="2">
        <f t="shared" si="10"/>
        <v>11.600000000000009</v>
      </c>
      <c r="M102" s="1">
        <f t="shared" si="11"/>
        <v>-2.0132389522134364E-2</v>
      </c>
      <c r="N102" s="2">
        <v>116.8</v>
      </c>
      <c r="O102" s="2">
        <v>103.9</v>
      </c>
      <c r="P102" s="2">
        <f t="shared" si="12"/>
        <v>12.899999999999991</v>
      </c>
      <c r="Q102">
        <v>1.9</v>
      </c>
    </row>
    <row r="103" spans="1:17">
      <c r="A103" t="s">
        <v>45</v>
      </c>
      <c r="B103" t="s">
        <v>5</v>
      </c>
      <c r="C103">
        <v>47</v>
      </c>
      <c r="D103">
        <v>35</v>
      </c>
      <c r="E103" s="1">
        <f t="shared" si="7"/>
        <v>0.57317073170731703</v>
      </c>
      <c r="F103" s="2">
        <v>98.1</v>
      </c>
      <c r="G103" s="2">
        <v>96.5</v>
      </c>
      <c r="H103" s="2">
        <f t="shared" si="8"/>
        <v>1.5999999999999943</v>
      </c>
      <c r="I103" s="1">
        <f t="shared" si="9"/>
        <v>0.55730238336398075</v>
      </c>
      <c r="J103" s="2">
        <v>108.3</v>
      </c>
      <c r="K103" s="2">
        <v>106.7</v>
      </c>
      <c r="L103" s="2">
        <f t="shared" si="10"/>
        <v>1.5999999999999943</v>
      </c>
      <c r="M103" s="1">
        <f t="shared" si="11"/>
        <v>1.586834834333628E-2</v>
      </c>
      <c r="N103" s="2">
        <v>106.7</v>
      </c>
      <c r="O103" s="2">
        <v>93.9</v>
      </c>
      <c r="P103" s="2">
        <f t="shared" si="12"/>
        <v>12.799999999999997</v>
      </c>
      <c r="Q103">
        <v>2.1</v>
      </c>
    </row>
    <row r="104" spans="1:17">
      <c r="A104" t="s">
        <v>63</v>
      </c>
      <c r="B104" t="s">
        <v>11</v>
      </c>
      <c r="C104">
        <v>53</v>
      </c>
      <c r="D104">
        <v>29</v>
      </c>
      <c r="E104" s="1">
        <f t="shared" si="7"/>
        <v>0.64634146341463417</v>
      </c>
      <c r="F104" s="2">
        <v>115.8</v>
      </c>
      <c r="G104" s="2">
        <v>112.5</v>
      </c>
      <c r="H104" s="2">
        <f t="shared" si="8"/>
        <v>3.2999999999999972</v>
      </c>
      <c r="I104" s="1">
        <f t="shared" si="9"/>
        <v>0.59983047622888896</v>
      </c>
      <c r="J104" s="2">
        <v>116.8</v>
      </c>
      <c r="K104" s="2">
        <v>113.5</v>
      </c>
      <c r="L104" s="2">
        <f t="shared" si="10"/>
        <v>3.2999999999999972</v>
      </c>
      <c r="M104" s="1">
        <f t="shared" si="11"/>
        <v>4.6510987185745201E-2</v>
      </c>
      <c r="N104" s="2">
        <v>109.2</v>
      </c>
      <c r="O104" s="2">
        <v>96.5</v>
      </c>
      <c r="P104" s="2">
        <f t="shared" si="12"/>
        <v>12.700000000000003</v>
      </c>
      <c r="Q104">
        <v>-0.5</v>
      </c>
    </row>
    <row r="105" spans="1:17">
      <c r="A105" t="s">
        <v>62</v>
      </c>
      <c r="B105" t="s">
        <v>33</v>
      </c>
      <c r="C105">
        <v>35</v>
      </c>
      <c r="D105">
        <v>47</v>
      </c>
      <c r="E105" s="1">
        <f t="shared" si="7"/>
        <v>0.42682926829268292</v>
      </c>
      <c r="F105" s="2">
        <v>108.6</v>
      </c>
      <c r="G105" s="2">
        <v>112</v>
      </c>
      <c r="H105" s="2">
        <f t="shared" si="8"/>
        <v>-3.4000000000000057</v>
      </c>
      <c r="I105" s="1">
        <f t="shared" si="9"/>
        <v>0.39374803277968673</v>
      </c>
      <c r="J105" s="2">
        <v>110.2</v>
      </c>
      <c r="K105" s="2">
        <v>113.6</v>
      </c>
      <c r="L105" s="2">
        <f t="shared" si="10"/>
        <v>-3.3999999999999915</v>
      </c>
      <c r="M105" s="1">
        <f t="shared" si="11"/>
        <v>3.3081235512996188E-2</v>
      </c>
      <c r="N105" s="2">
        <v>111.5</v>
      </c>
      <c r="O105" s="2">
        <v>98.8</v>
      </c>
      <c r="P105" s="2">
        <f t="shared" si="12"/>
        <v>12.700000000000003</v>
      </c>
      <c r="Q105">
        <v>0.5</v>
      </c>
    </row>
    <row r="106" spans="1:17">
      <c r="A106" t="s">
        <v>52</v>
      </c>
      <c r="B106" t="s">
        <v>26</v>
      </c>
      <c r="C106">
        <v>54</v>
      </c>
      <c r="D106">
        <v>28</v>
      </c>
      <c r="E106" s="1">
        <f t="shared" si="7"/>
        <v>0.65853658536585369</v>
      </c>
      <c r="F106" s="2">
        <v>106.7</v>
      </c>
      <c r="G106" s="2">
        <v>102.8</v>
      </c>
      <c r="H106" s="2">
        <f t="shared" si="8"/>
        <v>3.9000000000000057</v>
      </c>
      <c r="I106" s="1">
        <f t="shared" si="9"/>
        <v>0.62745199732003099</v>
      </c>
      <c r="J106" s="2">
        <v>110.4</v>
      </c>
      <c r="K106" s="2">
        <v>106.2</v>
      </c>
      <c r="L106" s="2">
        <f t="shared" si="10"/>
        <v>4.2000000000000028</v>
      </c>
      <c r="M106" s="1">
        <f t="shared" si="11"/>
        <v>3.1084588045822703E-2</v>
      </c>
      <c r="N106" s="2">
        <v>113.7</v>
      </c>
      <c r="O106" s="2">
        <v>101</v>
      </c>
      <c r="P106" s="2">
        <f t="shared" si="12"/>
        <v>12.700000000000003</v>
      </c>
      <c r="Q106">
        <v>0.6</v>
      </c>
    </row>
    <row r="107" spans="1:17">
      <c r="A107" t="s">
        <v>50</v>
      </c>
      <c r="B107" t="s">
        <v>17</v>
      </c>
      <c r="C107">
        <v>45</v>
      </c>
      <c r="D107">
        <v>37</v>
      </c>
      <c r="E107" s="1">
        <f t="shared" si="7"/>
        <v>0.54878048780487809</v>
      </c>
      <c r="F107" s="2">
        <v>102.2</v>
      </c>
      <c r="G107" s="2">
        <v>101</v>
      </c>
      <c r="H107" s="2">
        <f t="shared" si="8"/>
        <v>1.2000000000000028</v>
      </c>
      <c r="I107" s="1">
        <f t="shared" si="9"/>
        <v>0.54124512665476499</v>
      </c>
      <c r="J107" s="2">
        <v>107</v>
      </c>
      <c r="K107" s="2">
        <v>105.9</v>
      </c>
      <c r="L107" s="2">
        <f t="shared" si="10"/>
        <v>1.0999999999999943</v>
      </c>
      <c r="M107" s="1">
        <f t="shared" si="11"/>
        <v>7.5353611501131068E-3</v>
      </c>
      <c r="N107" s="2">
        <v>104.3</v>
      </c>
      <c r="O107" s="2">
        <v>91.6</v>
      </c>
      <c r="P107" s="2">
        <f t="shared" si="12"/>
        <v>12.700000000000003</v>
      </c>
      <c r="Q107">
        <v>1.4</v>
      </c>
    </row>
    <row r="108" spans="1:17">
      <c r="A108" t="s">
        <v>43</v>
      </c>
      <c r="B108" t="s">
        <v>12</v>
      </c>
      <c r="C108">
        <v>53</v>
      </c>
      <c r="D108">
        <v>29</v>
      </c>
      <c r="E108" s="1">
        <f t="shared" si="7"/>
        <v>0.64634146341463417</v>
      </c>
      <c r="F108" s="2">
        <v>96</v>
      </c>
      <c r="G108" s="2">
        <v>91.8</v>
      </c>
      <c r="H108" s="2">
        <f t="shared" si="8"/>
        <v>4.2000000000000028</v>
      </c>
      <c r="I108" s="1">
        <f t="shared" si="9"/>
        <v>0.65165059639805156</v>
      </c>
      <c r="J108" s="2">
        <v>107.4</v>
      </c>
      <c r="K108" s="2">
        <v>102.6</v>
      </c>
      <c r="L108" s="2">
        <f t="shared" si="10"/>
        <v>4.8000000000000114</v>
      </c>
      <c r="M108" s="1">
        <f t="shared" si="11"/>
        <v>-5.3091329834173973E-3</v>
      </c>
      <c r="N108" s="2">
        <v>113.9</v>
      </c>
      <c r="O108" s="2">
        <v>101.2</v>
      </c>
      <c r="P108" s="2">
        <f t="shared" si="12"/>
        <v>12.700000000000003</v>
      </c>
      <c r="Q108">
        <v>1.5</v>
      </c>
    </row>
    <row r="109" spans="1:17">
      <c r="A109" t="s">
        <v>47</v>
      </c>
      <c r="B109" t="s">
        <v>30</v>
      </c>
      <c r="C109">
        <v>40</v>
      </c>
      <c r="D109">
        <v>42</v>
      </c>
      <c r="E109" s="1">
        <f t="shared" si="7"/>
        <v>0.48780487804878048</v>
      </c>
      <c r="F109" s="2">
        <v>104.1</v>
      </c>
      <c r="G109" s="2">
        <v>105.9</v>
      </c>
      <c r="H109" s="2">
        <f t="shared" si="8"/>
        <v>-1.8000000000000114</v>
      </c>
      <c r="I109" s="1">
        <f t="shared" si="9"/>
        <v>0.44028490223940814</v>
      </c>
      <c r="J109" s="2">
        <v>110.2</v>
      </c>
      <c r="K109" s="2">
        <v>112.2</v>
      </c>
      <c r="L109" s="2">
        <f t="shared" si="10"/>
        <v>-2</v>
      </c>
      <c r="M109" s="1">
        <f t="shared" si="11"/>
        <v>4.7519975809372339E-2</v>
      </c>
      <c r="N109" s="2">
        <v>114.5</v>
      </c>
      <c r="O109" s="2">
        <v>101.9</v>
      </c>
      <c r="P109" s="2">
        <f t="shared" si="12"/>
        <v>12.599999999999994</v>
      </c>
      <c r="Q109">
        <v>-0.5</v>
      </c>
    </row>
    <row r="110" spans="1:17">
      <c r="A110" t="s">
        <v>60</v>
      </c>
      <c r="B110" t="s">
        <v>31</v>
      </c>
      <c r="C110">
        <v>44</v>
      </c>
      <c r="D110">
        <v>28</v>
      </c>
      <c r="E110" s="1">
        <f t="shared" si="7"/>
        <v>0.61111111111111116</v>
      </c>
      <c r="F110" s="2">
        <v>111.3</v>
      </c>
      <c r="G110" s="2">
        <v>108.8</v>
      </c>
      <c r="H110" s="2">
        <f t="shared" si="8"/>
        <v>2.5</v>
      </c>
      <c r="I110" s="1">
        <f t="shared" si="9"/>
        <v>0.57884917653720358</v>
      </c>
      <c r="J110" s="2">
        <v>111.8</v>
      </c>
      <c r="K110" s="2">
        <v>109.3</v>
      </c>
      <c r="L110" s="2">
        <f t="shared" si="10"/>
        <v>2.5</v>
      </c>
      <c r="M110" s="1">
        <f t="shared" si="11"/>
        <v>3.226193457390758E-2</v>
      </c>
      <c r="N110" s="2">
        <v>112.8</v>
      </c>
      <c r="O110" s="2">
        <v>100.3</v>
      </c>
      <c r="P110" s="2">
        <f t="shared" si="12"/>
        <v>12.5</v>
      </c>
      <c r="Q110">
        <v>0.1</v>
      </c>
    </row>
    <row r="111" spans="1:17">
      <c r="A111" t="s">
        <v>52</v>
      </c>
      <c r="B111" t="s">
        <v>10</v>
      </c>
      <c r="C111">
        <v>49</v>
      </c>
      <c r="D111">
        <v>33</v>
      </c>
      <c r="E111" s="1">
        <f t="shared" si="7"/>
        <v>0.59756097560975607</v>
      </c>
      <c r="F111" s="2">
        <v>104.8</v>
      </c>
      <c r="G111" s="2">
        <v>102.4</v>
      </c>
      <c r="H111" s="2">
        <f t="shared" si="8"/>
        <v>2.3999999999999915</v>
      </c>
      <c r="I111" s="1">
        <f t="shared" si="9"/>
        <v>0.58038129278939099</v>
      </c>
      <c r="J111" s="2">
        <v>109.5</v>
      </c>
      <c r="K111" s="2">
        <v>107.2</v>
      </c>
      <c r="L111" s="2">
        <f t="shared" si="10"/>
        <v>2.2999999999999972</v>
      </c>
      <c r="M111" s="1">
        <f t="shared" si="11"/>
        <v>1.7179682820365083E-2</v>
      </c>
      <c r="N111" s="2">
        <v>110.6</v>
      </c>
      <c r="O111" s="2">
        <v>98.1</v>
      </c>
      <c r="P111" s="2">
        <f t="shared" si="12"/>
        <v>12.5</v>
      </c>
      <c r="Q111">
        <v>0.7</v>
      </c>
    </row>
    <row r="112" spans="1:17">
      <c r="A112" t="s">
        <v>45</v>
      </c>
      <c r="B112" t="s">
        <v>24</v>
      </c>
      <c r="C112">
        <v>41</v>
      </c>
      <c r="D112">
        <v>41</v>
      </c>
      <c r="E112" s="1">
        <f t="shared" si="7"/>
        <v>0.5</v>
      </c>
      <c r="F112" s="2">
        <v>97.4</v>
      </c>
      <c r="G112" s="2">
        <v>97.3</v>
      </c>
      <c r="H112" s="2">
        <f t="shared" si="8"/>
        <v>0.10000000000000853</v>
      </c>
      <c r="I112" s="1">
        <f t="shared" si="9"/>
        <v>0.50359521313575439</v>
      </c>
      <c r="J112" s="2">
        <v>106.3</v>
      </c>
      <c r="K112" s="2">
        <v>106.1</v>
      </c>
      <c r="L112" s="2">
        <f t="shared" si="10"/>
        <v>0.20000000000000284</v>
      </c>
      <c r="M112" s="1">
        <f t="shared" si="11"/>
        <v>-3.5952131357543937E-3</v>
      </c>
      <c r="N112" s="2">
        <v>109.6</v>
      </c>
      <c r="O112" s="2">
        <v>97.1</v>
      </c>
      <c r="P112" s="2">
        <f t="shared" si="12"/>
        <v>12.5</v>
      </c>
      <c r="Q112">
        <v>0</v>
      </c>
    </row>
    <row r="113" spans="1:17">
      <c r="A113" t="s">
        <v>66</v>
      </c>
      <c r="B113" t="s">
        <v>28</v>
      </c>
      <c r="C113">
        <v>45</v>
      </c>
      <c r="D113">
        <v>17</v>
      </c>
      <c r="E113" s="1">
        <f t="shared" si="7"/>
        <v>0.72580645161290325</v>
      </c>
      <c r="F113" s="2">
        <v>118.3</v>
      </c>
      <c r="G113" s="2">
        <v>111.4</v>
      </c>
      <c r="H113" s="2">
        <f t="shared" si="8"/>
        <v>6.8999999999999915</v>
      </c>
      <c r="I113" s="1">
        <f t="shared" si="9"/>
        <v>0.69874950937248992</v>
      </c>
      <c r="J113" s="2">
        <v>117.3</v>
      </c>
      <c r="K113" s="2">
        <v>110.2</v>
      </c>
      <c r="L113" s="2">
        <f t="shared" si="10"/>
        <v>7.0999999999999943</v>
      </c>
      <c r="M113" s="1">
        <f t="shared" si="11"/>
        <v>2.7056942240413329E-2</v>
      </c>
      <c r="N113" s="2">
        <v>128.19999999999999</v>
      </c>
      <c r="O113" s="2">
        <v>115.8</v>
      </c>
      <c r="P113" s="2">
        <f t="shared" si="12"/>
        <v>12.399999999999991</v>
      </c>
      <c r="Q113" s="2">
        <v>1.3</v>
      </c>
    </row>
    <row r="114" spans="1:17">
      <c r="A114" t="s">
        <v>63</v>
      </c>
      <c r="B114" t="s">
        <v>27</v>
      </c>
      <c r="C114">
        <v>48</v>
      </c>
      <c r="D114">
        <v>34</v>
      </c>
      <c r="E114" s="1">
        <f t="shared" si="7"/>
        <v>0.58536585365853655</v>
      </c>
      <c r="F114" s="2">
        <v>120.7</v>
      </c>
      <c r="G114" s="2">
        <v>118.1</v>
      </c>
      <c r="H114" s="2">
        <f t="shared" si="8"/>
        <v>2.6000000000000085</v>
      </c>
      <c r="I114" s="1">
        <f t="shared" si="9"/>
        <v>0.57563251403873306</v>
      </c>
      <c r="J114" s="2">
        <v>118.6</v>
      </c>
      <c r="K114" s="2">
        <v>116</v>
      </c>
      <c r="L114" s="2">
        <f t="shared" si="10"/>
        <v>2.5999999999999943</v>
      </c>
      <c r="M114" s="1">
        <f t="shared" si="11"/>
        <v>9.7333396198034938E-3</v>
      </c>
      <c r="N114" s="2">
        <v>129.19999999999999</v>
      </c>
      <c r="O114" s="2">
        <v>116.8</v>
      </c>
      <c r="P114" s="2">
        <f t="shared" si="12"/>
        <v>12.399999999999991</v>
      </c>
      <c r="Q114">
        <v>0.9</v>
      </c>
    </row>
    <row r="115" spans="1:17">
      <c r="A115" t="s">
        <v>41</v>
      </c>
      <c r="B115" t="s">
        <v>28</v>
      </c>
      <c r="C115">
        <v>63</v>
      </c>
      <c r="D115">
        <v>19</v>
      </c>
      <c r="E115" s="1">
        <f t="shared" si="7"/>
        <v>0.76829268292682928</v>
      </c>
      <c r="F115" s="2">
        <v>95.6</v>
      </c>
      <c r="G115" s="2">
        <v>88.8</v>
      </c>
      <c r="H115" s="2">
        <f t="shared" si="8"/>
        <v>6.7999999999999972</v>
      </c>
      <c r="I115" s="1">
        <f t="shared" si="9"/>
        <v>0.7374983301821354</v>
      </c>
      <c r="J115" s="2">
        <v>106.2</v>
      </c>
      <c r="K115" s="2">
        <v>98.7</v>
      </c>
      <c r="L115" s="2">
        <f t="shared" si="10"/>
        <v>7.5</v>
      </c>
      <c r="M115" s="1">
        <f t="shared" si="11"/>
        <v>3.0794352744693887E-2</v>
      </c>
      <c r="N115" s="2">
        <v>102.1</v>
      </c>
      <c r="O115" s="2">
        <v>89.8</v>
      </c>
      <c r="P115" s="2">
        <f t="shared" si="12"/>
        <v>12.299999999999997</v>
      </c>
      <c r="Q115">
        <v>0.2</v>
      </c>
    </row>
    <row r="116" spans="1:17">
      <c r="A116" t="s">
        <v>45</v>
      </c>
      <c r="B116" t="s">
        <v>6</v>
      </c>
      <c r="C116">
        <v>62</v>
      </c>
      <c r="D116">
        <v>20</v>
      </c>
      <c r="E116" s="1">
        <f t="shared" si="7"/>
        <v>0.75609756097560976</v>
      </c>
      <c r="F116" s="2">
        <v>100.9</v>
      </c>
      <c r="G116" s="2">
        <v>93.4</v>
      </c>
      <c r="H116" s="2">
        <f t="shared" si="8"/>
        <v>7.5</v>
      </c>
      <c r="I116" s="1">
        <f t="shared" si="9"/>
        <v>0.74674751044772081</v>
      </c>
      <c r="J116" s="2">
        <v>109.5</v>
      </c>
      <c r="K116" s="2">
        <v>101.6</v>
      </c>
      <c r="L116" s="2">
        <f t="shared" si="10"/>
        <v>7.9000000000000057</v>
      </c>
      <c r="M116" s="1">
        <f t="shared" si="11"/>
        <v>9.3500505278889534E-3</v>
      </c>
      <c r="N116" s="2">
        <v>113.7</v>
      </c>
      <c r="O116" s="2">
        <v>101.4</v>
      </c>
      <c r="P116" s="2">
        <f t="shared" si="12"/>
        <v>12.299999999999997</v>
      </c>
      <c r="Q116">
        <v>0.5</v>
      </c>
    </row>
    <row r="117" spans="1:17">
      <c r="A117" t="s">
        <v>39</v>
      </c>
      <c r="B117" t="s">
        <v>20</v>
      </c>
      <c r="C117">
        <v>44</v>
      </c>
      <c r="D117">
        <v>38</v>
      </c>
      <c r="E117" s="1">
        <f t="shared" si="7"/>
        <v>0.53658536585365857</v>
      </c>
      <c r="F117" s="2">
        <v>96.8</v>
      </c>
      <c r="G117" s="2">
        <v>95.3</v>
      </c>
      <c r="H117" s="2">
        <f t="shared" si="8"/>
        <v>1.5</v>
      </c>
      <c r="I117" s="1">
        <f t="shared" si="9"/>
        <v>0.55444343215777947</v>
      </c>
      <c r="J117" s="2">
        <v>106.6</v>
      </c>
      <c r="K117" s="2">
        <v>105</v>
      </c>
      <c r="L117" s="2">
        <f t="shared" si="10"/>
        <v>1.5999999999999943</v>
      </c>
      <c r="M117" s="1">
        <f t="shared" si="11"/>
        <v>-1.7858066304120901E-2</v>
      </c>
      <c r="N117" s="2">
        <v>111.9</v>
      </c>
      <c r="O117" s="2">
        <v>99.7</v>
      </c>
      <c r="P117" s="2">
        <f t="shared" si="12"/>
        <v>12.200000000000003</v>
      </c>
      <c r="Q117">
        <v>0.5</v>
      </c>
    </row>
    <row r="118" spans="1:17">
      <c r="A118" t="s">
        <v>34</v>
      </c>
      <c r="B118" t="s">
        <v>26</v>
      </c>
      <c r="C118">
        <v>49</v>
      </c>
      <c r="D118">
        <v>33</v>
      </c>
      <c r="E118" s="1">
        <f t="shared" si="7"/>
        <v>0.59756097560975607</v>
      </c>
      <c r="F118" s="2">
        <v>96.6</v>
      </c>
      <c r="G118" s="2">
        <v>93.7</v>
      </c>
      <c r="H118" s="2">
        <f t="shared" si="8"/>
        <v>2.8999999999999915</v>
      </c>
      <c r="I118" s="1">
        <f t="shared" si="9"/>
        <v>0.60509200990048839</v>
      </c>
      <c r="J118" s="2">
        <v>105.9</v>
      </c>
      <c r="K118" s="2">
        <v>102.6</v>
      </c>
      <c r="L118" s="2">
        <f t="shared" si="10"/>
        <v>3.3000000000000114</v>
      </c>
      <c r="M118" s="1">
        <f t="shared" si="11"/>
        <v>-7.5310342907323191E-3</v>
      </c>
      <c r="N118" s="2">
        <v>111.7</v>
      </c>
      <c r="O118" s="2">
        <v>99.7</v>
      </c>
      <c r="P118" s="2">
        <f t="shared" si="12"/>
        <v>12</v>
      </c>
      <c r="Q118">
        <v>-0.2</v>
      </c>
    </row>
    <row r="119" spans="1:17">
      <c r="A119" t="s">
        <v>59</v>
      </c>
      <c r="B119" t="s">
        <v>11</v>
      </c>
      <c r="C119">
        <v>54</v>
      </c>
      <c r="D119">
        <v>28</v>
      </c>
      <c r="E119" s="1">
        <f t="shared" si="7"/>
        <v>0.65853658536585369</v>
      </c>
      <c r="F119" s="2">
        <v>110.7</v>
      </c>
      <c r="G119" s="2">
        <v>106.7</v>
      </c>
      <c r="H119" s="2">
        <f t="shared" si="8"/>
        <v>4</v>
      </c>
      <c r="I119" s="1">
        <f t="shared" si="9"/>
        <v>0.62603347117131569</v>
      </c>
      <c r="J119" s="2">
        <v>112.1</v>
      </c>
      <c r="K119" s="2">
        <v>108.1</v>
      </c>
      <c r="L119" s="2">
        <f t="shared" si="10"/>
        <v>4</v>
      </c>
      <c r="M119" s="1">
        <f t="shared" si="11"/>
        <v>3.2503114194537996E-2</v>
      </c>
      <c r="N119" s="2">
        <v>106.7</v>
      </c>
      <c r="O119" s="2">
        <v>94.9</v>
      </c>
      <c r="P119" s="2">
        <f t="shared" si="12"/>
        <v>11.799999999999997</v>
      </c>
      <c r="Q119">
        <v>1.6</v>
      </c>
    </row>
    <row r="120" spans="1:17">
      <c r="A120" t="s">
        <v>64</v>
      </c>
      <c r="B120" t="s">
        <v>31</v>
      </c>
      <c r="C120">
        <v>31</v>
      </c>
      <c r="D120">
        <v>51</v>
      </c>
      <c r="E120" s="1">
        <f t="shared" si="7"/>
        <v>0.37804878048780488</v>
      </c>
      <c r="F120" s="2">
        <v>115.7</v>
      </c>
      <c r="G120" s="2">
        <v>120.5</v>
      </c>
      <c r="H120" s="2">
        <f t="shared" si="8"/>
        <v>-4.7999999999999972</v>
      </c>
      <c r="I120" s="1">
        <f t="shared" si="9"/>
        <v>0.36144736866912885</v>
      </c>
      <c r="J120" s="2">
        <v>114.5</v>
      </c>
      <c r="K120" s="2">
        <v>119.6</v>
      </c>
      <c r="L120" s="2">
        <f t="shared" si="10"/>
        <v>-5.0999999999999943</v>
      </c>
      <c r="M120" s="1">
        <f t="shared" si="11"/>
        <v>1.6601411818676026E-2</v>
      </c>
      <c r="N120" s="2">
        <v>116.1</v>
      </c>
      <c r="O120" s="2">
        <v>104.3</v>
      </c>
      <c r="P120" s="2">
        <f t="shared" si="12"/>
        <v>11.799999999999997</v>
      </c>
      <c r="Q120">
        <v>0.2</v>
      </c>
    </row>
    <row r="121" spans="1:17">
      <c r="A121" t="s">
        <v>52</v>
      </c>
      <c r="B121" t="s">
        <v>16</v>
      </c>
      <c r="C121">
        <v>57</v>
      </c>
      <c r="D121">
        <v>25</v>
      </c>
      <c r="E121" s="1">
        <f t="shared" si="7"/>
        <v>0.69512195121951215</v>
      </c>
      <c r="F121" s="2">
        <v>107.9</v>
      </c>
      <c r="G121" s="2">
        <v>101</v>
      </c>
      <c r="H121" s="2">
        <f t="shared" si="8"/>
        <v>6.9000000000000057</v>
      </c>
      <c r="I121" s="1">
        <f t="shared" si="9"/>
        <v>0.71609658806886933</v>
      </c>
      <c r="J121" s="2">
        <v>111.3</v>
      </c>
      <c r="K121" s="2">
        <v>104</v>
      </c>
      <c r="L121" s="2">
        <f t="shared" si="10"/>
        <v>7.2999999999999972</v>
      </c>
      <c r="M121" s="1">
        <f t="shared" si="11"/>
        <v>-2.0974636849357187E-2</v>
      </c>
      <c r="N121" s="2">
        <v>111.8</v>
      </c>
      <c r="O121" s="2">
        <v>100</v>
      </c>
      <c r="P121" s="2">
        <f t="shared" si="12"/>
        <v>11.799999999999997</v>
      </c>
      <c r="Q121">
        <v>1.6</v>
      </c>
    </row>
    <row r="122" spans="1:17">
      <c r="A122" t="s">
        <v>54</v>
      </c>
      <c r="B122" t="s">
        <v>18</v>
      </c>
      <c r="C122">
        <v>37</v>
      </c>
      <c r="D122">
        <v>45</v>
      </c>
      <c r="E122" s="1">
        <f t="shared" si="7"/>
        <v>0.45121951219512196</v>
      </c>
      <c r="F122" s="2">
        <v>94.7</v>
      </c>
      <c r="G122" s="2">
        <v>97.3</v>
      </c>
      <c r="H122" s="2">
        <f t="shared" si="8"/>
        <v>-2.5999999999999943</v>
      </c>
      <c r="I122" s="1">
        <f t="shared" si="9"/>
        <v>0.40632231121075763</v>
      </c>
      <c r="J122" s="2">
        <v>103.2</v>
      </c>
      <c r="K122" s="2">
        <v>106.1</v>
      </c>
      <c r="L122" s="2">
        <f t="shared" si="10"/>
        <v>-2.8999999999999915</v>
      </c>
      <c r="M122" s="1">
        <f t="shared" si="11"/>
        <v>4.4897200984364338E-2</v>
      </c>
      <c r="N122" s="2">
        <v>102.9</v>
      </c>
      <c r="O122" s="2">
        <v>91.3</v>
      </c>
      <c r="P122" s="2">
        <f t="shared" si="12"/>
        <v>11.600000000000009</v>
      </c>
      <c r="Q122">
        <v>-1.1000000000000001</v>
      </c>
    </row>
    <row r="123" spans="1:17">
      <c r="A123" t="s">
        <v>50</v>
      </c>
      <c r="B123" t="s">
        <v>15</v>
      </c>
      <c r="C123">
        <v>49</v>
      </c>
      <c r="D123">
        <v>32</v>
      </c>
      <c r="E123" s="1">
        <f t="shared" si="7"/>
        <v>0.60493827160493829</v>
      </c>
      <c r="F123" s="2">
        <v>94.7</v>
      </c>
      <c r="G123" s="2">
        <v>90.7</v>
      </c>
      <c r="H123" s="2">
        <f t="shared" si="8"/>
        <v>4</v>
      </c>
      <c r="I123" s="1">
        <f t="shared" si="9"/>
        <v>0.64661501230862617</v>
      </c>
      <c r="J123" s="2">
        <v>103.4</v>
      </c>
      <c r="K123" s="2">
        <v>99</v>
      </c>
      <c r="L123" s="2">
        <f t="shared" si="10"/>
        <v>4.4000000000000057</v>
      </c>
      <c r="M123" s="1">
        <f t="shared" si="11"/>
        <v>-4.1676740703687876E-2</v>
      </c>
      <c r="N123" s="2">
        <v>97.6</v>
      </c>
      <c r="O123" s="2">
        <v>86</v>
      </c>
      <c r="P123" s="2">
        <f t="shared" si="12"/>
        <v>11.599999999999994</v>
      </c>
      <c r="Q123">
        <v>0.2</v>
      </c>
    </row>
    <row r="124" spans="1:17">
      <c r="A124" t="s">
        <v>50</v>
      </c>
      <c r="B124" t="s">
        <v>11</v>
      </c>
      <c r="C124">
        <v>57</v>
      </c>
      <c r="D124">
        <v>25</v>
      </c>
      <c r="E124" s="1">
        <f t="shared" si="7"/>
        <v>0.69512195121951215</v>
      </c>
      <c r="F124" s="2">
        <v>106.1</v>
      </c>
      <c r="G124" s="2">
        <v>101.1</v>
      </c>
      <c r="H124" s="2">
        <f t="shared" si="8"/>
        <v>5</v>
      </c>
      <c r="I124" s="1">
        <f t="shared" si="9"/>
        <v>0.66280219358548198</v>
      </c>
      <c r="J124" s="2">
        <v>109.3</v>
      </c>
      <c r="K124" s="2">
        <v>104.2</v>
      </c>
      <c r="L124" s="2">
        <f t="shared" si="10"/>
        <v>5.0999999999999943</v>
      </c>
      <c r="M124" s="1">
        <f t="shared" si="11"/>
        <v>3.2319757634030166E-2</v>
      </c>
      <c r="N124" s="2">
        <v>107.2</v>
      </c>
      <c r="O124" s="2">
        <v>95.7</v>
      </c>
      <c r="P124" s="2">
        <f t="shared" si="12"/>
        <v>11.5</v>
      </c>
      <c r="Q124">
        <v>1.4</v>
      </c>
    </row>
    <row r="125" spans="1:17">
      <c r="A125" t="s">
        <v>61</v>
      </c>
      <c r="B125" t="s">
        <v>22</v>
      </c>
      <c r="C125">
        <v>41</v>
      </c>
      <c r="D125">
        <v>31</v>
      </c>
      <c r="E125" s="1">
        <f t="shared" si="7"/>
        <v>0.56944444444444442</v>
      </c>
      <c r="F125" s="2">
        <v>107</v>
      </c>
      <c r="G125" s="2">
        <v>104.7</v>
      </c>
      <c r="H125" s="2">
        <f t="shared" si="8"/>
        <v>2.2999999999999972</v>
      </c>
      <c r="I125" s="1">
        <f t="shared" si="9"/>
        <v>0.57547283603033039</v>
      </c>
      <c r="J125" s="2">
        <v>110.2</v>
      </c>
      <c r="K125" s="2">
        <v>107.8</v>
      </c>
      <c r="L125" s="2">
        <f t="shared" si="10"/>
        <v>2.4000000000000057</v>
      </c>
      <c r="M125" s="1">
        <f t="shared" si="11"/>
        <v>-6.0283915858859727E-3</v>
      </c>
      <c r="N125" s="2">
        <v>106.3</v>
      </c>
      <c r="O125" s="2">
        <v>94.8</v>
      </c>
      <c r="P125" s="2">
        <f t="shared" si="12"/>
        <v>11.5</v>
      </c>
      <c r="Q125">
        <v>-0.4</v>
      </c>
    </row>
    <row r="126" spans="1:17">
      <c r="A126" t="s">
        <v>64</v>
      </c>
      <c r="B126" t="s">
        <v>46</v>
      </c>
      <c r="C126">
        <v>57</v>
      </c>
      <c r="D126">
        <v>25</v>
      </c>
      <c r="E126" s="1">
        <f t="shared" si="7"/>
        <v>0.69512195121951215</v>
      </c>
      <c r="F126" s="2">
        <v>120.1</v>
      </c>
      <c r="G126" s="2">
        <v>112.7</v>
      </c>
      <c r="H126" s="2">
        <f t="shared" si="8"/>
        <v>7.3999999999999915</v>
      </c>
      <c r="I126" s="1">
        <f t="shared" si="9"/>
        <v>0.70895915812510701</v>
      </c>
      <c r="J126" s="2">
        <v>118.3</v>
      </c>
      <c r="K126" s="2">
        <v>111</v>
      </c>
      <c r="L126" s="2">
        <f t="shared" si="10"/>
        <v>7.2999999999999972</v>
      </c>
      <c r="M126" s="1">
        <f t="shared" si="11"/>
        <v>-1.3837206905594868E-2</v>
      </c>
      <c r="N126" s="2">
        <v>125.5</v>
      </c>
      <c r="O126" s="2">
        <v>114</v>
      </c>
      <c r="P126" s="2">
        <f t="shared" si="12"/>
        <v>11.5</v>
      </c>
      <c r="Q126">
        <v>0.8</v>
      </c>
    </row>
    <row r="127" spans="1:17">
      <c r="A127" t="s">
        <v>55</v>
      </c>
      <c r="B127" t="s">
        <v>35</v>
      </c>
      <c r="C127">
        <v>42</v>
      </c>
      <c r="D127">
        <v>40</v>
      </c>
      <c r="E127" s="1">
        <f t="shared" si="7"/>
        <v>0.51219512195121952</v>
      </c>
      <c r="F127" s="2">
        <v>99.1</v>
      </c>
      <c r="G127" s="2">
        <v>101.3</v>
      </c>
      <c r="H127" s="2">
        <f t="shared" si="8"/>
        <v>-2.2000000000000028</v>
      </c>
      <c r="I127" s="1">
        <f t="shared" si="9"/>
        <v>0.42375008711442541</v>
      </c>
      <c r="J127" s="2">
        <v>104.7</v>
      </c>
      <c r="K127" s="2">
        <v>107.1</v>
      </c>
      <c r="L127" s="2">
        <f t="shared" si="10"/>
        <v>-2.3999999999999915</v>
      </c>
      <c r="M127" s="1">
        <f t="shared" si="11"/>
        <v>8.8445034836794112E-2</v>
      </c>
      <c r="N127" s="2">
        <v>105.9</v>
      </c>
      <c r="O127" s="2">
        <v>94.5</v>
      </c>
      <c r="P127" s="2">
        <f t="shared" si="12"/>
        <v>11.400000000000006</v>
      </c>
      <c r="Q127">
        <v>-0.1</v>
      </c>
    </row>
    <row r="128" spans="1:17">
      <c r="A128" t="s">
        <v>38</v>
      </c>
      <c r="B128" t="s">
        <v>31</v>
      </c>
      <c r="C128">
        <v>42</v>
      </c>
      <c r="D128">
        <v>40</v>
      </c>
      <c r="E128" s="1">
        <f t="shared" si="7"/>
        <v>0.51219512195121952</v>
      </c>
      <c r="F128" s="2">
        <v>88.7</v>
      </c>
      <c r="G128" s="2">
        <v>89.9</v>
      </c>
      <c r="H128" s="2">
        <f t="shared" si="8"/>
        <v>-1.2000000000000028</v>
      </c>
      <c r="I128" s="1">
        <f t="shared" si="9"/>
        <v>0.45310505226104381</v>
      </c>
      <c r="J128" s="2">
        <v>100</v>
      </c>
      <c r="K128" s="2">
        <v>101.3</v>
      </c>
      <c r="L128" s="2">
        <f t="shared" si="10"/>
        <v>-1.2999999999999972</v>
      </c>
      <c r="M128" s="1">
        <f t="shared" si="11"/>
        <v>5.9090069690175717E-2</v>
      </c>
      <c r="N128" s="2">
        <v>108.6</v>
      </c>
      <c r="O128" s="2">
        <v>97.3</v>
      </c>
      <c r="P128" s="2">
        <f t="shared" si="12"/>
        <v>11.299999999999997</v>
      </c>
      <c r="Q128">
        <v>0.3</v>
      </c>
    </row>
    <row r="129" spans="1:17">
      <c r="A129" t="s">
        <v>55</v>
      </c>
      <c r="B129" t="s">
        <v>14</v>
      </c>
      <c r="C129">
        <v>41</v>
      </c>
      <c r="D129">
        <v>41</v>
      </c>
      <c r="E129" s="1">
        <f t="shared" si="7"/>
        <v>0.5</v>
      </c>
      <c r="F129" s="2">
        <v>106.5</v>
      </c>
      <c r="G129" s="2">
        <v>106.4</v>
      </c>
      <c r="H129" s="2">
        <f t="shared" si="8"/>
        <v>9.9999999999994316E-2</v>
      </c>
      <c r="I129" s="1">
        <f t="shared" si="9"/>
        <v>0.50328788145549319</v>
      </c>
      <c r="J129" s="2">
        <v>107.3</v>
      </c>
      <c r="K129" s="2">
        <v>107.3</v>
      </c>
      <c r="L129" s="2">
        <f t="shared" si="10"/>
        <v>0</v>
      </c>
      <c r="M129" s="1">
        <f t="shared" si="11"/>
        <v>-3.2878814554931912E-3</v>
      </c>
      <c r="N129" s="2">
        <v>107.3</v>
      </c>
      <c r="O129" s="2">
        <v>96</v>
      </c>
      <c r="P129" s="2">
        <f t="shared" si="12"/>
        <v>11.299999999999997</v>
      </c>
      <c r="Q129">
        <v>1</v>
      </c>
    </row>
    <row r="130" spans="1:17">
      <c r="A130" t="s">
        <v>41</v>
      </c>
      <c r="B130" t="s">
        <v>12</v>
      </c>
      <c r="C130">
        <v>64</v>
      </c>
      <c r="D130">
        <v>18</v>
      </c>
      <c r="E130" s="1">
        <f t="shared" si="7"/>
        <v>0.78048780487804881</v>
      </c>
      <c r="F130" s="2">
        <v>96.8</v>
      </c>
      <c r="G130" s="2">
        <v>90.2</v>
      </c>
      <c r="H130" s="2">
        <f t="shared" si="8"/>
        <v>6.5999999999999943</v>
      </c>
      <c r="I130" s="1">
        <f t="shared" si="9"/>
        <v>0.72882038739462951</v>
      </c>
      <c r="J130" s="2">
        <v>109.3</v>
      </c>
      <c r="K130" s="2">
        <v>101.7</v>
      </c>
      <c r="L130" s="2">
        <f t="shared" si="10"/>
        <v>7.5999999999999943</v>
      </c>
      <c r="M130" s="1">
        <f t="shared" si="11"/>
        <v>5.1667417483419298E-2</v>
      </c>
      <c r="N130" s="2">
        <v>111.5</v>
      </c>
      <c r="O130" s="2">
        <v>100.3</v>
      </c>
      <c r="P130" s="2">
        <f t="shared" si="12"/>
        <v>11.200000000000003</v>
      </c>
      <c r="Q130">
        <v>0.2</v>
      </c>
    </row>
    <row r="131" spans="1:17">
      <c r="A131" t="s">
        <v>36</v>
      </c>
      <c r="B131" t="s">
        <v>10</v>
      </c>
      <c r="C131">
        <v>60</v>
      </c>
      <c r="D131">
        <v>22</v>
      </c>
      <c r="E131" s="1">
        <f t="shared" si="7"/>
        <v>0.73170731707317072</v>
      </c>
      <c r="F131" s="2">
        <v>103</v>
      </c>
      <c r="G131" s="2">
        <v>95.2</v>
      </c>
      <c r="H131" s="2">
        <f t="shared" si="8"/>
        <v>7.7999999999999972</v>
      </c>
      <c r="I131" s="1">
        <f t="shared" si="9"/>
        <v>0.75072573890804006</v>
      </c>
      <c r="J131" s="2">
        <v>109.3</v>
      </c>
      <c r="K131" s="2">
        <v>101</v>
      </c>
      <c r="L131" s="2">
        <f t="shared" si="10"/>
        <v>8.2999999999999972</v>
      </c>
      <c r="M131" s="1">
        <f t="shared" si="11"/>
        <v>-1.9018421834869348E-2</v>
      </c>
      <c r="N131" s="2">
        <v>112.2</v>
      </c>
      <c r="O131" s="2">
        <v>101</v>
      </c>
      <c r="P131" s="2">
        <f t="shared" si="12"/>
        <v>11.200000000000003</v>
      </c>
      <c r="Q131">
        <v>0.5</v>
      </c>
    </row>
    <row r="132" spans="1:17">
      <c r="A132" t="s">
        <v>65</v>
      </c>
      <c r="B132" t="s">
        <v>46</v>
      </c>
      <c r="C132">
        <v>67</v>
      </c>
      <c r="D132">
        <v>14</v>
      </c>
      <c r="E132" s="1">
        <f t="shared" si="7"/>
        <v>0.8271604938271605</v>
      </c>
      <c r="F132" s="2">
        <v>120.6</v>
      </c>
      <c r="G132" s="2">
        <v>107.8</v>
      </c>
      <c r="H132" s="2">
        <f t="shared" si="8"/>
        <v>12.799999999999997</v>
      </c>
      <c r="I132" s="1">
        <f t="shared" si="9"/>
        <v>0.82790086778629035</v>
      </c>
      <c r="J132" s="2">
        <v>119.3</v>
      </c>
      <c r="K132" s="2">
        <v>106.7</v>
      </c>
      <c r="L132" s="2">
        <f t="shared" si="10"/>
        <v>12.599999999999994</v>
      </c>
      <c r="M132" s="1">
        <f t="shared" si="11"/>
        <v>-7.4037395912984749E-4</v>
      </c>
      <c r="N132" s="2">
        <v>118.2</v>
      </c>
      <c r="O132" s="2">
        <v>107.1</v>
      </c>
      <c r="P132" s="2">
        <f t="shared" si="12"/>
        <v>11.100000000000009</v>
      </c>
      <c r="Q132">
        <v>1.9</v>
      </c>
    </row>
    <row r="133" spans="1:17">
      <c r="A133" t="s">
        <v>39</v>
      </c>
      <c r="B133" t="s">
        <v>18</v>
      </c>
      <c r="C133">
        <v>59</v>
      </c>
      <c r="D133">
        <v>23</v>
      </c>
      <c r="E133" s="1">
        <f t="shared" si="7"/>
        <v>0.71951219512195119</v>
      </c>
      <c r="F133" s="2">
        <v>101.5</v>
      </c>
      <c r="G133" s="2">
        <v>95</v>
      </c>
      <c r="H133" s="2">
        <f t="shared" si="8"/>
        <v>6.5</v>
      </c>
      <c r="I133" s="1">
        <f t="shared" si="9"/>
        <v>0.71637416016050837</v>
      </c>
      <c r="J133" s="2">
        <v>108.9</v>
      </c>
      <c r="K133" s="2">
        <v>102.2</v>
      </c>
      <c r="L133" s="2">
        <f t="shared" si="10"/>
        <v>6.7000000000000028</v>
      </c>
      <c r="M133" s="1">
        <f t="shared" si="11"/>
        <v>3.138034961442826E-3</v>
      </c>
      <c r="N133" s="2">
        <v>108.8</v>
      </c>
      <c r="O133" s="2">
        <v>97.7</v>
      </c>
      <c r="P133" s="2">
        <f t="shared" si="12"/>
        <v>11.099999999999994</v>
      </c>
      <c r="Q133">
        <v>2.4</v>
      </c>
    </row>
    <row r="134" spans="1:17">
      <c r="A134" t="s">
        <v>36</v>
      </c>
      <c r="B134" t="s">
        <v>12</v>
      </c>
      <c r="C134">
        <v>50</v>
      </c>
      <c r="D134">
        <v>32</v>
      </c>
      <c r="E134" s="1">
        <f t="shared" si="7"/>
        <v>0.6097560975609756</v>
      </c>
      <c r="F134" s="2">
        <v>91.4</v>
      </c>
      <c r="G134" s="2">
        <v>87.7</v>
      </c>
      <c r="H134" s="2">
        <f t="shared" si="8"/>
        <v>3.7000000000000028</v>
      </c>
      <c r="I134" s="1">
        <f t="shared" si="9"/>
        <v>0.64072911392339904</v>
      </c>
      <c r="J134" s="2">
        <v>102.4</v>
      </c>
      <c r="K134" s="2">
        <v>98.2</v>
      </c>
      <c r="L134" s="2">
        <f t="shared" si="10"/>
        <v>4.2000000000000028</v>
      </c>
      <c r="M134" s="1">
        <f t="shared" si="11"/>
        <v>-3.0973016362423444E-2</v>
      </c>
      <c r="N134" s="2">
        <v>103.1</v>
      </c>
      <c r="O134" s="2">
        <v>92</v>
      </c>
      <c r="P134" s="2">
        <f t="shared" si="12"/>
        <v>11.099999999999994</v>
      </c>
      <c r="Q134">
        <v>1.6</v>
      </c>
    </row>
    <row r="135" spans="1:17">
      <c r="A135" t="s">
        <v>38</v>
      </c>
      <c r="B135" t="s">
        <v>20</v>
      </c>
      <c r="C135">
        <v>58</v>
      </c>
      <c r="D135">
        <v>24</v>
      </c>
      <c r="E135" s="1">
        <f t="shared" si="7"/>
        <v>0.70731707317073167</v>
      </c>
      <c r="F135" s="2">
        <v>94.5</v>
      </c>
      <c r="G135" s="2">
        <v>89.1</v>
      </c>
      <c r="H135" s="2">
        <f t="shared" si="8"/>
        <v>5.4000000000000057</v>
      </c>
      <c r="I135" s="1">
        <f t="shared" si="9"/>
        <v>0.6950353841239254</v>
      </c>
      <c r="J135" s="2">
        <v>104.2</v>
      </c>
      <c r="K135" s="2">
        <v>98.5</v>
      </c>
      <c r="L135" s="2">
        <f t="shared" si="10"/>
        <v>5.7000000000000028</v>
      </c>
      <c r="M135" s="1">
        <f t="shared" si="11"/>
        <v>1.2281689046806266E-2</v>
      </c>
      <c r="N135" s="2">
        <v>110.4</v>
      </c>
      <c r="O135" s="2">
        <v>99.4</v>
      </c>
      <c r="P135" s="2">
        <f t="shared" si="12"/>
        <v>11</v>
      </c>
      <c r="Q135">
        <v>1.3</v>
      </c>
    </row>
    <row r="136" spans="1:17">
      <c r="A136" t="s">
        <v>61</v>
      </c>
      <c r="B136" t="s">
        <v>17</v>
      </c>
      <c r="C136">
        <v>42</v>
      </c>
      <c r="D136">
        <v>30</v>
      </c>
      <c r="E136" s="1">
        <f t="shared" si="7"/>
        <v>0.58333333333333337</v>
      </c>
      <c r="F136" s="2">
        <v>109.5</v>
      </c>
      <c r="G136" s="2">
        <v>106.8</v>
      </c>
      <c r="H136" s="2">
        <f t="shared" si="8"/>
        <v>2.7000000000000028</v>
      </c>
      <c r="I136" s="1">
        <f t="shared" si="9"/>
        <v>0.58650425971999209</v>
      </c>
      <c r="J136" s="2">
        <v>109.8</v>
      </c>
      <c r="K136" s="2">
        <v>106.8</v>
      </c>
      <c r="L136" s="2">
        <f t="shared" si="10"/>
        <v>3</v>
      </c>
      <c r="M136" s="1">
        <f t="shared" si="11"/>
        <v>-3.1709263866587234E-3</v>
      </c>
      <c r="N136" s="2">
        <v>110.5</v>
      </c>
      <c r="O136" s="2">
        <v>99.6</v>
      </c>
      <c r="P136" s="2">
        <f t="shared" si="12"/>
        <v>10.900000000000006</v>
      </c>
      <c r="Q136">
        <v>1.3</v>
      </c>
    </row>
    <row r="137" spans="1:17">
      <c r="A137" t="s">
        <v>38</v>
      </c>
      <c r="B137" t="s">
        <v>18</v>
      </c>
      <c r="C137">
        <v>42</v>
      </c>
      <c r="D137">
        <v>40</v>
      </c>
      <c r="E137" s="1">
        <f t="shared" ref="E137:E200" si="13">+C137/(C137+D137)</f>
        <v>0.51219512195121952</v>
      </c>
      <c r="F137" s="2">
        <v>90.3</v>
      </c>
      <c r="G137" s="2">
        <v>89.7</v>
      </c>
      <c r="H137" s="2">
        <f t="shared" ref="H137:H200" si="14">+F137-G137</f>
        <v>0.59999999999999432</v>
      </c>
      <c r="I137" s="1">
        <f t="shared" ref="I137:I200" si="15">+(F137^14)/((F137^14+G137^14))</f>
        <v>0.52331649603624697</v>
      </c>
      <c r="J137" s="2">
        <v>100.6</v>
      </c>
      <c r="K137" s="2">
        <v>100.3</v>
      </c>
      <c r="L137" s="2">
        <f t="shared" ref="L137:L200" si="16">+J137-K137</f>
        <v>0.29999999999999716</v>
      </c>
      <c r="M137" s="1">
        <f t="shared" ref="M137:M200" si="17">+E137-I137</f>
        <v>-1.1121374085027447E-2</v>
      </c>
      <c r="N137" s="2">
        <v>100</v>
      </c>
      <c r="O137" s="2">
        <v>89.1</v>
      </c>
      <c r="P137" s="2">
        <f t="shared" ref="P137:P200" si="18">+N137-O137</f>
        <v>10.900000000000006</v>
      </c>
      <c r="Q137">
        <v>0.5</v>
      </c>
    </row>
    <row r="138" spans="1:17">
      <c r="A138" t="s">
        <v>38</v>
      </c>
      <c r="B138" t="s">
        <v>22</v>
      </c>
      <c r="C138">
        <v>39</v>
      </c>
      <c r="D138">
        <v>43</v>
      </c>
      <c r="E138" s="1">
        <f t="shared" si="13"/>
        <v>0.47560975609756095</v>
      </c>
      <c r="F138" s="2">
        <v>92</v>
      </c>
      <c r="G138" s="2">
        <v>93.5</v>
      </c>
      <c r="H138" s="2">
        <f t="shared" si="14"/>
        <v>-1.5</v>
      </c>
      <c r="I138" s="1">
        <f t="shared" si="15"/>
        <v>0.44363558545762971</v>
      </c>
      <c r="J138" s="2">
        <v>99.7</v>
      </c>
      <c r="K138" s="2">
        <v>101.3</v>
      </c>
      <c r="L138" s="2">
        <f t="shared" si="16"/>
        <v>-1.5999999999999943</v>
      </c>
      <c r="M138" s="1">
        <f t="shared" si="17"/>
        <v>3.1974170639931243E-2</v>
      </c>
      <c r="N138" s="2">
        <v>103.3</v>
      </c>
      <c r="O138" s="2">
        <v>92.4</v>
      </c>
      <c r="P138" s="2">
        <f t="shared" si="18"/>
        <v>10.899999999999991</v>
      </c>
      <c r="Q138">
        <v>0.1</v>
      </c>
    </row>
    <row r="139" spans="1:17">
      <c r="A139" t="s">
        <v>39</v>
      </c>
      <c r="B139" t="s">
        <v>11</v>
      </c>
      <c r="C139">
        <v>49</v>
      </c>
      <c r="D139">
        <v>33</v>
      </c>
      <c r="E139" s="1">
        <f t="shared" si="13"/>
        <v>0.59756097560975607</v>
      </c>
      <c r="F139" s="2">
        <v>99.5</v>
      </c>
      <c r="G139" s="2">
        <v>97.5</v>
      </c>
      <c r="H139" s="2">
        <f t="shared" si="14"/>
        <v>2</v>
      </c>
      <c r="I139" s="1">
        <f t="shared" si="15"/>
        <v>0.57059367194887745</v>
      </c>
      <c r="J139" s="2">
        <v>104.7</v>
      </c>
      <c r="K139" s="2">
        <v>102.6</v>
      </c>
      <c r="L139" s="2">
        <f t="shared" si="16"/>
        <v>2.1000000000000085</v>
      </c>
      <c r="M139" s="1">
        <f t="shared" si="17"/>
        <v>2.6967303660878628E-2</v>
      </c>
      <c r="N139" s="2">
        <v>107.4</v>
      </c>
      <c r="O139" s="2">
        <v>96.7</v>
      </c>
      <c r="P139" s="2">
        <f t="shared" si="18"/>
        <v>10.700000000000003</v>
      </c>
      <c r="Q139">
        <v>1.1000000000000001</v>
      </c>
    </row>
    <row r="140" spans="1:17">
      <c r="A140" t="s">
        <v>55</v>
      </c>
      <c r="B140" t="s">
        <v>7</v>
      </c>
      <c r="C140">
        <v>48</v>
      </c>
      <c r="D140">
        <v>34</v>
      </c>
      <c r="E140" s="1">
        <f t="shared" si="13"/>
        <v>0.58536585365853655</v>
      </c>
      <c r="F140" s="2">
        <v>103.4</v>
      </c>
      <c r="G140" s="2">
        <v>100.7</v>
      </c>
      <c r="H140" s="2">
        <f t="shared" si="14"/>
        <v>2.7000000000000028</v>
      </c>
      <c r="I140" s="1">
        <f t="shared" si="15"/>
        <v>0.59156246020875802</v>
      </c>
      <c r="J140" s="2">
        <v>106.4</v>
      </c>
      <c r="K140" s="2">
        <v>103.7</v>
      </c>
      <c r="L140" s="2">
        <f t="shared" si="16"/>
        <v>2.7000000000000028</v>
      </c>
      <c r="M140" s="1">
        <f t="shared" si="17"/>
        <v>-6.1966065502214729E-3</v>
      </c>
      <c r="N140" s="2">
        <v>106</v>
      </c>
      <c r="O140" s="2">
        <v>95.3</v>
      </c>
      <c r="P140" s="2">
        <f t="shared" si="18"/>
        <v>10.700000000000003</v>
      </c>
      <c r="Q140">
        <v>0.6</v>
      </c>
    </row>
    <row r="141" spans="1:17">
      <c r="A141" t="s">
        <v>65</v>
      </c>
      <c r="B141" t="s">
        <v>6</v>
      </c>
      <c r="C141">
        <v>61</v>
      </c>
      <c r="D141">
        <v>21</v>
      </c>
      <c r="E141" s="1">
        <f t="shared" si="13"/>
        <v>0.74390243902439024</v>
      </c>
      <c r="F141" s="2">
        <v>116.3</v>
      </c>
      <c r="G141" s="2">
        <v>107.2</v>
      </c>
      <c r="H141" s="2">
        <f t="shared" si="14"/>
        <v>9.0999999999999943</v>
      </c>
      <c r="I141" s="1">
        <f t="shared" si="15"/>
        <v>0.75780361294366638</v>
      </c>
      <c r="J141" s="2">
        <v>119.5</v>
      </c>
      <c r="K141" s="2">
        <v>110.1</v>
      </c>
      <c r="L141" s="2">
        <f t="shared" si="16"/>
        <v>9.4000000000000057</v>
      </c>
      <c r="M141" s="1">
        <f t="shared" si="17"/>
        <v>-1.3901173919276144E-2</v>
      </c>
      <c r="N141" s="2">
        <v>120.4</v>
      </c>
      <c r="O141" s="2">
        <v>109.7</v>
      </c>
      <c r="P141" s="2">
        <f t="shared" si="18"/>
        <v>10.700000000000003</v>
      </c>
      <c r="Q141">
        <v>0.4</v>
      </c>
    </row>
    <row r="142" spans="1:17">
      <c r="A142" t="s">
        <v>48</v>
      </c>
      <c r="B142" t="s">
        <v>18</v>
      </c>
      <c r="C142">
        <v>58</v>
      </c>
      <c r="D142">
        <v>24</v>
      </c>
      <c r="E142" s="1">
        <f t="shared" si="13"/>
        <v>0.70731707317073167</v>
      </c>
      <c r="F142" s="2">
        <v>102.1</v>
      </c>
      <c r="G142" s="2">
        <v>94.6</v>
      </c>
      <c r="H142" s="2">
        <f t="shared" si="14"/>
        <v>7.5</v>
      </c>
      <c r="I142" s="1">
        <f t="shared" si="15"/>
        <v>0.7442417947513682</v>
      </c>
      <c r="J142" s="2">
        <v>110.6</v>
      </c>
      <c r="K142" s="2">
        <v>102.9</v>
      </c>
      <c r="L142" s="2">
        <f t="shared" si="16"/>
        <v>7.6999999999999886</v>
      </c>
      <c r="M142" s="1">
        <f t="shared" si="17"/>
        <v>-3.6924721580636533E-2</v>
      </c>
      <c r="N142" s="2">
        <v>113.5</v>
      </c>
      <c r="O142" s="2">
        <v>102.8</v>
      </c>
      <c r="P142" s="2">
        <f t="shared" si="18"/>
        <v>10.700000000000003</v>
      </c>
      <c r="Q142">
        <v>1.4</v>
      </c>
    </row>
    <row r="143" spans="1:17">
      <c r="A143" t="s">
        <v>4</v>
      </c>
      <c r="B143" t="s">
        <v>25</v>
      </c>
      <c r="C143">
        <v>51</v>
      </c>
      <c r="D143">
        <v>31</v>
      </c>
      <c r="E143" s="1">
        <f t="shared" si="13"/>
        <v>0.62195121951219512</v>
      </c>
      <c r="F143" s="2">
        <v>94</v>
      </c>
      <c r="G143" s="2">
        <v>91.8</v>
      </c>
      <c r="H143" s="2">
        <f t="shared" si="14"/>
        <v>2.2000000000000028</v>
      </c>
      <c r="I143" s="1">
        <f t="shared" si="15"/>
        <v>0.58213763182578848</v>
      </c>
      <c r="J143" s="2">
        <v>98.9</v>
      </c>
      <c r="K143" s="2">
        <v>96.7</v>
      </c>
      <c r="L143" s="2">
        <f t="shared" si="16"/>
        <v>2.2000000000000028</v>
      </c>
      <c r="M143" s="1">
        <f t="shared" si="17"/>
        <v>3.9813587686406637E-2</v>
      </c>
      <c r="N143" s="2">
        <v>97.7</v>
      </c>
      <c r="O143" s="2">
        <v>87.1</v>
      </c>
      <c r="P143" s="2">
        <f t="shared" si="18"/>
        <v>10.600000000000009</v>
      </c>
      <c r="Q143">
        <v>1.7</v>
      </c>
    </row>
    <row r="144" spans="1:17">
      <c r="A144" t="s">
        <v>39</v>
      </c>
      <c r="B144" t="s">
        <v>35</v>
      </c>
      <c r="C144">
        <v>45</v>
      </c>
      <c r="D144">
        <v>37</v>
      </c>
      <c r="E144" s="1">
        <f t="shared" si="13"/>
        <v>0.54878048780487809</v>
      </c>
      <c r="F144" s="2">
        <v>93.4</v>
      </c>
      <c r="G144" s="2">
        <v>91.1</v>
      </c>
      <c r="H144" s="2">
        <f t="shared" si="14"/>
        <v>2.3000000000000114</v>
      </c>
      <c r="I144" s="1">
        <f t="shared" si="15"/>
        <v>0.58639193476175844</v>
      </c>
      <c r="J144" s="2">
        <v>104.2</v>
      </c>
      <c r="K144" s="2">
        <v>101.5</v>
      </c>
      <c r="L144" s="2">
        <f t="shared" si="16"/>
        <v>2.7000000000000028</v>
      </c>
      <c r="M144" s="1">
        <f t="shared" si="17"/>
        <v>-3.7611446956880346E-2</v>
      </c>
      <c r="N144" s="2">
        <v>103.9</v>
      </c>
      <c r="O144" s="2">
        <v>93.3</v>
      </c>
      <c r="P144" s="2">
        <f t="shared" si="18"/>
        <v>10.600000000000009</v>
      </c>
      <c r="Q144">
        <v>0</v>
      </c>
    </row>
    <row r="145" spans="1:17">
      <c r="A145" t="s">
        <v>48</v>
      </c>
      <c r="B145" t="s">
        <v>37</v>
      </c>
      <c r="C145">
        <v>46</v>
      </c>
      <c r="D145">
        <v>36</v>
      </c>
      <c r="E145" s="1">
        <f t="shared" si="13"/>
        <v>0.56097560975609762</v>
      </c>
      <c r="F145" s="2">
        <v>94.9</v>
      </c>
      <c r="G145" s="2">
        <v>94</v>
      </c>
      <c r="H145" s="2">
        <f t="shared" si="14"/>
        <v>0.90000000000000568</v>
      </c>
      <c r="I145" s="1">
        <f t="shared" si="15"/>
        <v>0.53330185727266632</v>
      </c>
      <c r="J145" s="2">
        <v>105.4</v>
      </c>
      <c r="K145" s="2">
        <v>104.4</v>
      </c>
      <c r="L145" s="2">
        <f t="shared" si="16"/>
        <v>1</v>
      </c>
      <c r="M145" s="1">
        <f t="shared" si="17"/>
        <v>2.7673752483431291E-2</v>
      </c>
      <c r="N145" s="2">
        <v>101</v>
      </c>
      <c r="O145" s="2">
        <v>90.4</v>
      </c>
      <c r="P145" s="2">
        <f t="shared" si="18"/>
        <v>10.599999999999994</v>
      </c>
      <c r="Q145">
        <v>-0.4</v>
      </c>
    </row>
    <row r="146" spans="1:17">
      <c r="A146" t="s">
        <v>36</v>
      </c>
      <c r="B146" t="s">
        <v>17</v>
      </c>
      <c r="C146">
        <v>50</v>
      </c>
      <c r="D146">
        <v>32</v>
      </c>
      <c r="E146" s="1">
        <f t="shared" si="13"/>
        <v>0.6097560975609756</v>
      </c>
      <c r="F146" s="2">
        <v>100.4</v>
      </c>
      <c r="G146" s="2">
        <v>98</v>
      </c>
      <c r="H146" s="2">
        <f t="shared" si="14"/>
        <v>2.4000000000000057</v>
      </c>
      <c r="I146" s="1">
        <f t="shared" si="15"/>
        <v>0.58388106859457733</v>
      </c>
      <c r="J146" s="2">
        <v>105.6</v>
      </c>
      <c r="K146" s="2">
        <v>103.4</v>
      </c>
      <c r="L146" s="2">
        <f t="shared" si="16"/>
        <v>2.1999999999999886</v>
      </c>
      <c r="M146" s="1">
        <f t="shared" si="17"/>
        <v>2.5875028966398261E-2</v>
      </c>
      <c r="N146" s="2">
        <v>111.5</v>
      </c>
      <c r="O146" s="2">
        <v>100.9</v>
      </c>
      <c r="P146" s="2">
        <f t="shared" si="18"/>
        <v>10.599999999999994</v>
      </c>
      <c r="Q146">
        <v>0.5</v>
      </c>
    </row>
    <row r="147" spans="1:17">
      <c r="A147" t="s">
        <v>41</v>
      </c>
      <c r="B147" t="s">
        <v>35</v>
      </c>
      <c r="C147">
        <v>49</v>
      </c>
      <c r="D147">
        <v>33</v>
      </c>
      <c r="E147" s="1">
        <f t="shared" si="13"/>
        <v>0.59756097560975607</v>
      </c>
      <c r="F147" s="2">
        <v>92.2</v>
      </c>
      <c r="G147" s="2">
        <v>88.5</v>
      </c>
      <c r="H147" s="2">
        <f t="shared" si="14"/>
        <v>3.7000000000000028</v>
      </c>
      <c r="I147" s="1">
        <f t="shared" si="15"/>
        <v>0.63954874282349128</v>
      </c>
      <c r="J147" s="2">
        <v>104.5</v>
      </c>
      <c r="K147" s="2">
        <v>100.4</v>
      </c>
      <c r="L147" s="2">
        <f t="shared" si="16"/>
        <v>4.0999999999999943</v>
      </c>
      <c r="M147" s="1">
        <f t="shared" si="17"/>
        <v>-4.1987767213735205E-2</v>
      </c>
      <c r="N147" s="2">
        <v>106.3</v>
      </c>
      <c r="O147" s="2">
        <v>95.7</v>
      </c>
      <c r="P147" s="2">
        <f t="shared" si="18"/>
        <v>10.599999999999994</v>
      </c>
      <c r="Q147">
        <v>-0.3</v>
      </c>
    </row>
    <row r="148" spans="1:17">
      <c r="A148" t="s">
        <v>55</v>
      </c>
      <c r="B148" t="s">
        <v>12</v>
      </c>
      <c r="C148">
        <v>44</v>
      </c>
      <c r="D148">
        <v>38</v>
      </c>
      <c r="E148" s="1">
        <f t="shared" si="13"/>
        <v>0.53658536585365857</v>
      </c>
      <c r="F148" s="2">
        <v>102</v>
      </c>
      <c r="G148" s="2">
        <v>101.4</v>
      </c>
      <c r="H148" s="2">
        <f t="shared" si="14"/>
        <v>0.59999999999999432</v>
      </c>
      <c r="I148" s="1">
        <f t="shared" si="15"/>
        <v>0.52063729627420186</v>
      </c>
      <c r="J148" s="2">
        <v>105.3</v>
      </c>
      <c r="K148" s="2">
        <v>104.9</v>
      </c>
      <c r="L148" s="2">
        <f t="shared" si="16"/>
        <v>0.39999999999999147</v>
      </c>
      <c r="M148" s="1">
        <f t="shared" si="17"/>
        <v>1.5948069579456714E-2</v>
      </c>
      <c r="N148" s="2">
        <v>104.4</v>
      </c>
      <c r="O148" s="2">
        <v>93.9</v>
      </c>
      <c r="P148" s="2">
        <f t="shared" si="18"/>
        <v>10.5</v>
      </c>
      <c r="Q148">
        <v>1.5</v>
      </c>
    </row>
    <row r="149" spans="1:17">
      <c r="A149" t="s">
        <v>62</v>
      </c>
      <c r="B149" t="s">
        <v>30</v>
      </c>
      <c r="C149">
        <v>48</v>
      </c>
      <c r="D149">
        <v>34</v>
      </c>
      <c r="E149" s="1">
        <f t="shared" si="13"/>
        <v>0.58536585365853655</v>
      </c>
      <c r="F149" s="2">
        <v>109.4</v>
      </c>
      <c r="G149" s="2">
        <v>107.1</v>
      </c>
      <c r="H149" s="2">
        <f t="shared" si="14"/>
        <v>2.3000000000000114</v>
      </c>
      <c r="I149" s="1">
        <f t="shared" si="15"/>
        <v>0.57382411075027417</v>
      </c>
      <c r="J149" s="2">
        <v>112.1</v>
      </c>
      <c r="K149" s="2">
        <v>109.9</v>
      </c>
      <c r="L149" s="2">
        <f t="shared" si="16"/>
        <v>2.1999999999999886</v>
      </c>
      <c r="M149" s="1">
        <f t="shared" si="17"/>
        <v>1.1541742908262376E-2</v>
      </c>
      <c r="N149" s="2">
        <v>112.5</v>
      </c>
      <c r="O149" s="2">
        <v>102</v>
      </c>
      <c r="P149" s="2">
        <f t="shared" si="18"/>
        <v>10.5</v>
      </c>
      <c r="Q149">
        <v>1</v>
      </c>
    </row>
    <row r="150" spans="1:17">
      <c r="A150" t="s">
        <v>44</v>
      </c>
      <c r="B150" t="s">
        <v>24</v>
      </c>
      <c r="C150">
        <v>40</v>
      </c>
      <c r="D150">
        <v>42</v>
      </c>
      <c r="E150" s="1">
        <f t="shared" si="13"/>
        <v>0.48780487804878048</v>
      </c>
      <c r="F150" s="2">
        <v>96.6</v>
      </c>
      <c r="G150" s="2">
        <v>96.2</v>
      </c>
      <c r="H150" s="2">
        <f t="shared" si="14"/>
        <v>0.39999999999999147</v>
      </c>
      <c r="I150" s="1">
        <f t="shared" si="15"/>
        <v>0.51451875971750194</v>
      </c>
      <c r="J150" s="2">
        <v>105.1</v>
      </c>
      <c r="K150" s="2">
        <v>104.7</v>
      </c>
      <c r="L150" s="2">
        <f t="shared" si="16"/>
        <v>0.39999999999999147</v>
      </c>
      <c r="M150" s="1">
        <f t="shared" si="17"/>
        <v>-2.6713881668721462E-2</v>
      </c>
      <c r="N150" s="2">
        <v>102.2</v>
      </c>
      <c r="O150" s="2">
        <v>91.7</v>
      </c>
      <c r="P150" s="2">
        <f t="shared" si="18"/>
        <v>10.5</v>
      </c>
      <c r="Q150">
        <v>1.4</v>
      </c>
    </row>
    <row r="151" spans="1:17">
      <c r="A151" t="s">
        <v>49</v>
      </c>
      <c r="B151" t="s">
        <v>18</v>
      </c>
      <c r="C151">
        <v>46</v>
      </c>
      <c r="D151">
        <v>20</v>
      </c>
      <c r="E151" s="1">
        <f t="shared" si="13"/>
        <v>0.69696969696969702</v>
      </c>
      <c r="F151" s="2">
        <v>98.5</v>
      </c>
      <c r="G151" s="2">
        <v>92.5</v>
      </c>
      <c r="H151" s="2">
        <f t="shared" si="14"/>
        <v>6</v>
      </c>
      <c r="I151" s="1">
        <f t="shared" si="15"/>
        <v>0.70679541613451391</v>
      </c>
      <c r="J151" s="2">
        <v>105.6</v>
      </c>
      <c r="K151" s="2">
        <v>99.2</v>
      </c>
      <c r="L151" s="2">
        <f t="shared" si="16"/>
        <v>6.3999999999999915</v>
      </c>
      <c r="M151" s="1">
        <f t="shared" si="17"/>
        <v>-9.8257191648168929E-3</v>
      </c>
      <c r="N151" s="2">
        <v>100.8</v>
      </c>
      <c r="O151" s="2">
        <v>90.4</v>
      </c>
      <c r="P151" s="2">
        <f t="shared" si="18"/>
        <v>10.399999999999991</v>
      </c>
      <c r="Q151">
        <v>0.6</v>
      </c>
    </row>
    <row r="152" spans="1:17">
      <c r="A152" t="s">
        <v>43</v>
      </c>
      <c r="B152" t="s">
        <v>9</v>
      </c>
      <c r="C152">
        <v>50</v>
      </c>
      <c r="D152">
        <v>32</v>
      </c>
      <c r="E152" s="1">
        <f t="shared" si="13"/>
        <v>0.6097560975609756</v>
      </c>
      <c r="F152" s="2">
        <v>96.8</v>
      </c>
      <c r="G152" s="2">
        <v>92.9</v>
      </c>
      <c r="H152" s="2">
        <f t="shared" si="14"/>
        <v>3.8999999999999915</v>
      </c>
      <c r="I152" s="1">
        <f t="shared" si="15"/>
        <v>0.64008356957082357</v>
      </c>
      <c r="J152" s="2">
        <v>104.4</v>
      </c>
      <c r="K152" s="2">
        <v>100.6</v>
      </c>
      <c r="L152" s="2">
        <f t="shared" si="16"/>
        <v>3.8000000000000114</v>
      </c>
      <c r="M152" s="1">
        <f t="shared" si="17"/>
        <v>-3.0327472009847978E-2</v>
      </c>
      <c r="N152" s="2">
        <v>105.4</v>
      </c>
      <c r="O152" s="2">
        <v>95.1</v>
      </c>
      <c r="P152" s="2">
        <f t="shared" si="18"/>
        <v>10.300000000000011</v>
      </c>
      <c r="Q152">
        <v>1.4</v>
      </c>
    </row>
    <row r="153" spans="1:17">
      <c r="A153" t="s">
        <v>41</v>
      </c>
      <c r="B153" t="s">
        <v>21</v>
      </c>
      <c r="C153">
        <v>49</v>
      </c>
      <c r="D153">
        <v>33</v>
      </c>
      <c r="E153" s="1">
        <f t="shared" si="13"/>
        <v>0.59756097560975607</v>
      </c>
      <c r="F153" s="2">
        <v>93.8</v>
      </c>
      <c r="G153" s="2">
        <v>92.4</v>
      </c>
      <c r="H153" s="2">
        <f t="shared" si="14"/>
        <v>1.3999999999999915</v>
      </c>
      <c r="I153" s="1">
        <f t="shared" si="15"/>
        <v>0.55243902579341386</v>
      </c>
      <c r="J153" s="2">
        <v>102.4</v>
      </c>
      <c r="K153" s="2">
        <v>100.9</v>
      </c>
      <c r="L153" s="2">
        <f t="shared" si="16"/>
        <v>1.5</v>
      </c>
      <c r="M153" s="1">
        <f t="shared" si="17"/>
        <v>4.5121949816342211E-2</v>
      </c>
      <c r="N153" s="2">
        <v>109.2</v>
      </c>
      <c r="O153" s="2">
        <v>99</v>
      </c>
      <c r="P153" s="2">
        <f t="shared" si="18"/>
        <v>10.200000000000003</v>
      </c>
      <c r="Q153">
        <v>-0.7</v>
      </c>
    </row>
    <row r="154" spans="1:17">
      <c r="A154" t="s">
        <v>44</v>
      </c>
      <c r="B154" t="s">
        <v>28</v>
      </c>
      <c r="C154">
        <v>56</v>
      </c>
      <c r="D154">
        <v>26</v>
      </c>
      <c r="E154" s="1">
        <f t="shared" si="13"/>
        <v>0.68292682926829273</v>
      </c>
      <c r="F154" s="2">
        <v>95.4</v>
      </c>
      <c r="G154" s="2">
        <v>90.6</v>
      </c>
      <c r="H154" s="2">
        <f t="shared" si="14"/>
        <v>4.8000000000000114</v>
      </c>
      <c r="I154" s="1">
        <f t="shared" si="15"/>
        <v>0.6732103435940866</v>
      </c>
      <c r="J154" s="2">
        <v>106</v>
      </c>
      <c r="K154" s="2">
        <v>100.7</v>
      </c>
      <c r="L154" s="2">
        <f t="shared" si="16"/>
        <v>5.2999999999999972</v>
      </c>
      <c r="M154" s="1">
        <f t="shared" si="17"/>
        <v>9.7164856742061323E-3</v>
      </c>
      <c r="N154" s="2">
        <v>110.6</v>
      </c>
      <c r="O154" s="2">
        <v>100.4</v>
      </c>
      <c r="P154" s="2">
        <f t="shared" si="18"/>
        <v>10.199999999999989</v>
      </c>
      <c r="Q154">
        <v>1</v>
      </c>
    </row>
    <row r="155" spans="1:17">
      <c r="A155" t="s">
        <v>57</v>
      </c>
      <c r="B155" t="s">
        <v>6</v>
      </c>
      <c r="C155">
        <v>53</v>
      </c>
      <c r="D155">
        <v>29</v>
      </c>
      <c r="E155" s="1">
        <f t="shared" si="13"/>
        <v>0.64634146341463417</v>
      </c>
      <c r="F155" s="2">
        <v>108</v>
      </c>
      <c r="G155" s="2">
        <v>105.4</v>
      </c>
      <c r="H155" s="2">
        <f t="shared" si="14"/>
        <v>2.5999999999999943</v>
      </c>
      <c r="I155" s="1">
        <f t="shared" si="15"/>
        <v>0.58447233985908875</v>
      </c>
      <c r="J155" s="2">
        <v>110.6</v>
      </c>
      <c r="K155" s="2">
        <v>108</v>
      </c>
      <c r="L155" s="2">
        <f t="shared" si="16"/>
        <v>2.5999999999999943</v>
      </c>
      <c r="M155" s="1">
        <f t="shared" si="17"/>
        <v>6.1869123555545413E-2</v>
      </c>
      <c r="N155" s="2">
        <v>117.9</v>
      </c>
      <c r="O155" s="2">
        <v>107.8</v>
      </c>
      <c r="P155" s="2">
        <f t="shared" si="18"/>
        <v>10.100000000000009</v>
      </c>
      <c r="Q155">
        <v>0.7</v>
      </c>
    </row>
    <row r="156" spans="1:17">
      <c r="A156" t="s">
        <v>50</v>
      </c>
      <c r="B156" t="s">
        <v>46</v>
      </c>
      <c r="C156">
        <v>60</v>
      </c>
      <c r="D156">
        <v>22</v>
      </c>
      <c r="E156" s="1">
        <f t="shared" si="13"/>
        <v>0.73170731707317072</v>
      </c>
      <c r="F156" s="2">
        <v>105.7</v>
      </c>
      <c r="G156" s="2">
        <v>96.5</v>
      </c>
      <c r="H156" s="2">
        <f t="shared" si="14"/>
        <v>9.2000000000000028</v>
      </c>
      <c r="I156" s="1">
        <f t="shared" si="15"/>
        <v>0.78157465431369377</v>
      </c>
      <c r="J156" s="2">
        <v>111</v>
      </c>
      <c r="K156" s="2">
        <v>101.2</v>
      </c>
      <c r="L156" s="2">
        <f t="shared" si="16"/>
        <v>9.7999999999999972</v>
      </c>
      <c r="M156" s="1">
        <f t="shared" si="17"/>
        <v>-4.9867337240523057E-2</v>
      </c>
      <c r="N156" s="2">
        <v>108.7</v>
      </c>
      <c r="O156" s="2">
        <v>98.6</v>
      </c>
      <c r="P156" s="2">
        <f t="shared" si="18"/>
        <v>10.100000000000009</v>
      </c>
      <c r="Q156">
        <v>1</v>
      </c>
    </row>
    <row r="157" spans="1:17">
      <c r="A157" t="s">
        <v>38</v>
      </c>
      <c r="B157" t="s">
        <v>35</v>
      </c>
      <c r="C157">
        <v>50</v>
      </c>
      <c r="D157">
        <v>32</v>
      </c>
      <c r="E157" s="1">
        <f t="shared" si="13"/>
        <v>0.6097560975609756</v>
      </c>
      <c r="F157" s="2">
        <v>96.7</v>
      </c>
      <c r="G157" s="2">
        <v>94.3</v>
      </c>
      <c r="H157" s="2">
        <f t="shared" si="14"/>
        <v>2.4000000000000057</v>
      </c>
      <c r="I157" s="1">
        <f t="shared" si="15"/>
        <v>0.58706636453816929</v>
      </c>
      <c r="J157" s="2">
        <v>103.4</v>
      </c>
      <c r="K157" s="2">
        <v>100.8</v>
      </c>
      <c r="L157" s="2">
        <f t="shared" si="16"/>
        <v>2.6000000000000085</v>
      </c>
      <c r="M157" s="1">
        <f t="shared" si="17"/>
        <v>2.2689733022806302E-2</v>
      </c>
      <c r="N157" s="2">
        <v>105.6</v>
      </c>
      <c r="O157" s="2">
        <v>95.5</v>
      </c>
      <c r="P157" s="2">
        <f t="shared" si="18"/>
        <v>10.099999999999994</v>
      </c>
      <c r="Q157">
        <v>2</v>
      </c>
    </row>
    <row r="158" spans="1:17">
      <c r="A158" t="s">
        <v>65</v>
      </c>
      <c r="B158" t="s">
        <v>5</v>
      </c>
      <c r="C158">
        <v>40</v>
      </c>
      <c r="D158">
        <v>41</v>
      </c>
      <c r="E158" s="1">
        <f t="shared" si="13"/>
        <v>0.49382716049382713</v>
      </c>
      <c r="F158" s="2">
        <v>118.4</v>
      </c>
      <c r="G158" s="2">
        <v>119.4</v>
      </c>
      <c r="H158" s="2">
        <f t="shared" si="14"/>
        <v>-1</v>
      </c>
      <c r="I158" s="1">
        <f t="shared" si="15"/>
        <v>0.47059728800481032</v>
      </c>
      <c r="J158" s="2">
        <v>113.9</v>
      </c>
      <c r="K158" s="2">
        <v>114.9</v>
      </c>
      <c r="L158" s="2">
        <f t="shared" si="16"/>
        <v>-1</v>
      </c>
      <c r="M158" s="1">
        <f t="shared" si="17"/>
        <v>2.3229872489016812E-2</v>
      </c>
      <c r="N158" s="2">
        <v>119.4</v>
      </c>
      <c r="O158" s="2">
        <v>109.6</v>
      </c>
      <c r="P158" s="2">
        <f t="shared" si="18"/>
        <v>9.8000000000000114</v>
      </c>
      <c r="Q158">
        <v>1.1000000000000001</v>
      </c>
    </row>
    <row r="159" spans="1:17">
      <c r="A159" t="s">
        <v>60</v>
      </c>
      <c r="B159" t="s">
        <v>15</v>
      </c>
      <c r="C159">
        <v>45</v>
      </c>
      <c r="D159">
        <v>28</v>
      </c>
      <c r="E159" s="1">
        <f t="shared" si="13"/>
        <v>0.61643835616438358</v>
      </c>
      <c r="F159" s="2">
        <v>109.4</v>
      </c>
      <c r="G159" s="2">
        <v>107.5</v>
      </c>
      <c r="H159" s="2">
        <f t="shared" si="14"/>
        <v>1.9000000000000057</v>
      </c>
      <c r="I159" s="1">
        <f t="shared" si="15"/>
        <v>0.56101455538977274</v>
      </c>
      <c r="J159" s="2">
        <v>109.5</v>
      </c>
      <c r="K159" s="2">
        <v>107.5</v>
      </c>
      <c r="L159" s="2">
        <f t="shared" si="16"/>
        <v>2</v>
      </c>
      <c r="M159" s="1">
        <f t="shared" si="17"/>
        <v>5.5423800774610843E-2</v>
      </c>
      <c r="N159" s="2">
        <v>107</v>
      </c>
      <c r="O159" s="2">
        <v>97.2</v>
      </c>
      <c r="P159" s="2">
        <f t="shared" si="18"/>
        <v>9.7999999999999972</v>
      </c>
      <c r="Q159">
        <v>-0.8</v>
      </c>
    </row>
    <row r="160" spans="1:17">
      <c r="A160" t="s">
        <v>47</v>
      </c>
      <c r="B160" t="s">
        <v>37</v>
      </c>
      <c r="C160">
        <v>37</v>
      </c>
      <c r="D160">
        <v>45</v>
      </c>
      <c r="E160" s="1">
        <f t="shared" si="13"/>
        <v>0.45121951219512196</v>
      </c>
      <c r="F160" s="2">
        <v>100.2</v>
      </c>
      <c r="G160" s="2">
        <v>102.7</v>
      </c>
      <c r="H160" s="2">
        <f t="shared" si="14"/>
        <v>-2.5</v>
      </c>
      <c r="I160" s="1">
        <f t="shared" si="15"/>
        <v>0.41459179126180778</v>
      </c>
      <c r="J160" s="2">
        <v>106.5</v>
      </c>
      <c r="K160" s="2">
        <v>108.9</v>
      </c>
      <c r="L160" s="2">
        <f t="shared" si="16"/>
        <v>-2.4000000000000057</v>
      </c>
      <c r="M160" s="1">
        <f t="shared" si="17"/>
        <v>3.6627720933314178E-2</v>
      </c>
      <c r="N160" s="2">
        <v>109</v>
      </c>
      <c r="O160" s="2">
        <v>99.2</v>
      </c>
      <c r="P160" s="2">
        <f t="shared" si="18"/>
        <v>9.7999999999999972</v>
      </c>
      <c r="Q160">
        <v>0.3</v>
      </c>
    </row>
    <row r="161" spans="1:17">
      <c r="A161" t="s">
        <v>41</v>
      </c>
      <c r="B161" t="s">
        <v>42</v>
      </c>
      <c r="C161">
        <v>38</v>
      </c>
      <c r="D161">
        <v>44</v>
      </c>
      <c r="E161" s="1">
        <f t="shared" si="13"/>
        <v>0.46341463414634149</v>
      </c>
      <c r="F161" s="2">
        <v>92.8</v>
      </c>
      <c r="G161" s="2">
        <v>95.6</v>
      </c>
      <c r="H161" s="2">
        <f t="shared" si="14"/>
        <v>-2.7999999999999972</v>
      </c>
      <c r="I161" s="1">
        <f t="shared" si="15"/>
        <v>0.3974344302617922</v>
      </c>
      <c r="J161" s="2">
        <v>102.3</v>
      </c>
      <c r="K161" s="2">
        <v>105.1</v>
      </c>
      <c r="L161" s="2">
        <f t="shared" si="16"/>
        <v>-2.7999999999999972</v>
      </c>
      <c r="M161" s="1">
        <f t="shared" si="17"/>
        <v>6.5980203884549282E-2</v>
      </c>
      <c r="N161" s="2">
        <v>111.7</v>
      </c>
      <c r="O161" s="2">
        <v>102</v>
      </c>
      <c r="P161" s="2">
        <f t="shared" si="18"/>
        <v>9.7000000000000028</v>
      </c>
      <c r="Q161">
        <v>-0.3</v>
      </c>
    </row>
    <row r="162" spans="1:17">
      <c r="A162" t="s">
        <v>60</v>
      </c>
      <c r="B162" t="s">
        <v>7</v>
      </c>
      <c r="C162">
        <v>23</v>
      </c>
      <c r="D162">
        <v>42</v>
      </c>
      <c r="E162" s="1">
        <f t="shared" si="13"/>
        <v>0.35384615384615387</v>
      </c>
      <c r="F162" s="2">
        <v>102.9</v>
      </c>
      <c r="G162" s="2">
        <v>109.6</v>
      </c>
      <c r="H162" s="2">
        <f t="shared" si="14"/>
        <v>-6.6999999999999886</v>
      </c>
      <c r="I162" s="1">
        <f t="shared" si="15"/>
        <v>0.29253243315718996</v>
      </c>
      <c r="J162" s="2">
        <v>105.9</v>
      </c>
      <c r="K162" s="2">
        <v>112.8</v>
      </c>
      <c r="L162" s="2">
        <f t="shared" si="16"/>
        <v>-6.8999999999999915</v>
      </c>
      <c r="M162" s="1">
        <f t="shared" si="17"/>
        <v>6.1313720688963902E-2</v>
      </c>
      <c r="N162" s="2">
        <v>120.3</v>
      </c>
      <c r="O162" s="2">
        <v>110.6</v>
      </c>
      <c r="P162" s="2">
        <f t="shared" si="18"/>
        <v>9.7000000000000028</v>
      </c>
      <c r="Q162">
        <v>-2.1</v>
      </c>
    </row>
    <row r="163" spans="1:17">
      <c r="A163" t="s">
        <v>61</v>
      </c>
      <c r="B163" t="s">
        <v>51</v>
      </c>
      <c r="C163">
        <v>48</v>
      </c>
      <c r="D163">
        <v>24</v>
      </c>
      <c r="E163" s="1">
        <f t="shared" si="13"/>
        <v>0.66666666666666663</v>
      </c>
      <c r="F163" s="2">
        <v>118.6</v>
      </c>
      <c r="G163" s="2">
        <v>114.1</v>
      </c>
      <c r="H163" s="2">
        <f t="shared" si="14"/>
        <v>4.5</v>
      </c>
      <c r="I163" s="1">
        <f t="shared" si="15"/>
        <v>0.63216994078193656</v>
      </c>
      <c r="J163" s="2">
        <v>117.3</v>
      </c>
      <c r="K163" s="2">
        <v>113.1</v>
      </c>
      <c r="L163" s="2">
        <f t="shared" si="16"/>
        <v>4.2000000000000028</v>
      </c>
      <c r="M163" s="1">
        <f t="shared" si="17"/>
        <v>3.4496725884730073E-2</v>
      </c>
      <c r="N163" s="2">
        <v>113.2</v>
      </c>
      <c r="O163" s="2">
        <v>103.5</v>
      </c>
      <c r="P163" s="2">
        <f t="shared" si="18"/>
        <v>9.7000000000000028</v>
      </c>
      <c r="Q163">
        <v>0.9</v>
      </c>
    </row>
    <row r="164" spans="1:17">
      <c r="A164" t="s">
        <v>39</v>
      </c>
      <c r="B164" t="s">
        <v>8</v>
      </c>
      <c r="C164">
        <v>47</v>
      </c>
      <c r="D164">
        <v>35</v>
      </c>
      <c r="E164" s="1">
        <f t="shared" si="13"/>
        <v>0.57317073170731703</v>
      </c>
      <c r="F164" s="2">
        <v>94.5</v>
      </c>
      <c r="G164" s="2">
        <v>93.4</v>
      </c>
      <c r="H164" s="2">
        <f t="shared" si="14"/>
        <v>1.0999999999999943</v>
      </c>
      <c r="I164" s="1">
        <f t="shared" si="15"/>
        <v>0.54088819998710902</v>
      </c>
      <c r="J164" s="2">
        <v>100.5</v>
      </c>
      <c r="K164" s="2">
        <v>99.1</v>
      </c>
      <c r="L164" s="2">
        <f t="shared" si="16"/>
        <v>1.4000000000000057</v>
      </c>
      <c r="M164" s="1">
        <f t="shared" si="17"/>
        <v>3.2282531720208008E-2</v>
      </c>
      <c r="N164" s="2">
        <v>96.7</v>
      </c>
      <c r="O164" s="2">
        <v>87</v>
      </c>
      <c r="P164" s="2">
        <f t="shared" si="18"/>
        <v>9.7000000000000028</v>
      </c>
      <c r="Q164">
        <v>0.8</v>
      </c>
    </row>
    <row r="165" spans="1:17">
      <c r="A165" t="s">
        <v>57</v>
      </c>
      <c r="B165" t="s">
        <v>13</v>
      </c>
      <c r="C165">
        <v>67</v>
      </c>
      <c r="D165">
        <v>15</v>
      </c>
      <c r="E165" s="1">
        <f t="shared" si="13"/>
        <v>0.81707317073170727</v>
      </c>
      <c r="F165" s="2">
        <v>115.9</v>
      </c>
      <c r="G165" s="2">
        <v>104.3</v>
      </c>
      <c r="H165" s="2">
        <f t="shared" si="14"/>
        <v>11.600000000000009</v>
      </c>
      <c r="I165" s="1">
        <f t="shared" si="15"/>
        <v>0.81402660694533269</v>
      </c>
      <c r="J165" s="2">
        <v>114.8</v>
      </c>
      <c r="K165" s="2">
        <v>103.4</v>
      </c>
      <c r="L165" s="2">
        <f t="shared" si="16"/>
        <v>11.399999999999991</v>
      </c>
      <c r="M165" s="1">
        <f t="shared" si="17"/>
        <v>3.0465637863745787E-3</v>
      </c>
      <c r="N165" s="2">
        <v>109.7</v>
      </c>
      <c r="O165" s="2">
        <v>100</v>
      </c>
      <c r="P165" s="2">
        <f t="shared" si="18"/>
        <v>9.7000000000000028</v>
      </c>
      <c r="Q165">
        <v>0.2</v>
      </c>
    </row>
    <row r="166" spans="1:17">
      <c r="A166" t="s">
        <v>54</v>
      </c>
      <c r="B166" t="s">
        <v>9</v>
      </c>
      <c r="C166">
        <v>53</v>
      </c>
      <c r="D166">
        <v>29</v>
      </c>
      <c r="E166" s="1">
        <f t="shared" si="13"/>
        <v>0.64634146341463417</v>
      </c>
      <c r="F166" s="2">
        <v>103.1</v>
      </c>
      <c r="G166" s="2">
        <v>98.7</v>
      </c>
      <c r="H166" s="2">
        <f t="shared" si="14"/>
        <v>4.3999999999999915</v>
      </c>
      <c r="I166" s="1">
        <f t="shared" si="15"/>
        <v>0.64807816531272</v>
      </c>
      <c r="J166" s="2">
        <v>110.1</v>
      </c>
      <c r="K166" s="2">
        <v>105.3</v>
      </c>
      <c r="L166" s="2">
        <f t="shared" si="16"/>
        <v>4.7999999999999972</v>
      </c>
      <c r="M166" s="1">
        <f t="shared" si="17"/>
        <v>-1.7367018980858351E-3</v>
      </c>
      <c r="N166" s="2">
        <v>112.7</v>
      </c>
      <c r="O166" s="2">
        <v>103</v>
      </c>
      <c r="P166" s="2">
        <f t="shared" si="18"/>
        <v>9.7000000000000028</v>
      </c>
      <c r="Q166">
        <v>0</v>
      </c>
    </row>
    <row r="167" spans="1:17">
      <c r="A167" t="s">
        <v>4</v>
      </c>
      <c r="B167" t="s">
        <v>26</v>
      </c>
      <c r="C167">
        <v>50</v>
      </c>
      <c r="D167">
        <v>32</v>
      </c>
      <c r="E167" s="1">
        <f t="shared" si="13"/>
        <v>0.6097560975609756</v>
      </c>
      <c r="F167" s="2">
        <v>95.4</v>
      </c>
      <c r="G167" s="2">
        <v>91.2</v>
      </c>
      <c r="H167" s="2">
        <f t="shared" si="14"/>
        <v>4.2000000000000028</v>
      </c>
      <c r="I167" s="1">
        <f t="shared" si="15"/>
        <v>0.65256463390669783</v>
      </c>
      <c r="J167" s="2">
        <v>104.7</v>
      </c>
      <c r="K167" s="2">
        <v>100.5</v>
      </c>
      <c r="L167" s="2">
        <f t="shared" si="16"/>
        <v>4.2000000000000028</v>
      </c>
      <c r="M167" s="1">
        <f t="shared" si="17"/>
        <v>-4.2808536345722237E-2</v>
      </c>
      <c r="N167" s="2">
        <v>109.3</v>
      </c>
      <c r="O167" s="2">
        <v>99.6</v>
      </c>
      <c r="P167" s="2">
        <f t="shared" si="18"/>
        <v>9.7000000000000028</v>
      </c>
      <c r="Q167">
        <v>0.3</v>
      </c>
    </row>
    <row r="168" spans="1:17">
      <c r="A168" t="s">
        <v>34</v>
      </c>
      <c r="B168" t="s">
        <v>17</v>
      </c>
      <c r="C168">
        <v>58</v>
      </c>
      <c r="D168">
        <v>24</v>
      </c>
      <c r="E168" s="1">
        <f t="shared" si="13"/>
        <v>0.70731707317073167</v>
      </c>
      <c r="F168" s="2">
        <v>101.3</v>
      </c>
      <c r="G168" s="2">
        <v>94.1</v>
      </c>
      <c r="H168" s="2">
        <f t="shared" si="14"/>
        <v>7.2000000000000028</v>
      </c>
      <c r="I168" s="1">
        <f t="shared" si="15"/>
        <v>0.73734162874338682</v>
      </c>
      <c r="J168" s="2">
        <v>108</v>
      </c>
      <c r="K168" s="2">
        <v>100.4</v>
      </c>
      <c r="L168" s="2">
        <f t="shared" si="16"/>
        <v>7.5999999999999943</v>
      </c>
      <c r="M168" s="1">
        <f t="shared" si="17"/>
        <v>-3.0024555572655154E-2</v>
      </c>
      <c r="N168" s="2">
        <v>104.2</v>
      </c>
      <c r="O168" s="2">
        <v>94.6</v>
      </c>
      <c r="P168" s="2">
        <f t="shared" si="18"/>
        <v>9.6000000000000085</v>
      </c>
      <c r="Q168">
        <v>2.5</v>
      </c>
    </row>
    <row r="169" spans="1:17">
      <c r="A169" t="s">
        <v>62</v>
      </c>
      <c r="B169" t="s">
        <v>51</v>
      </c>
      <c r="C169">
        <v>44</v>
      </c>
      <c r="D169">
        <v>38</v>
      </c>
      <c r="E169" s="1">
        <f t="shared" si="13"/>
        <v>0.53658536585365857</v>
      </c>
      <c r="F169" s="2">
        <v>112.9</v>
      </c>
      <c r="G169" s="2">
        <v>112.1</v>
      </c>
      <c r="H169" s="2">
        <f t="shared" si="14"/>
        <v>0.80000000000001137</v>
      </c>
      <c r="I169" s="1">
        <f t="shared" si="15"/>
        <v>0.52486845707756435</v>
      </c>
      <c r="J169" s="2">
        <v>113.2</v>
      </c>
      <c r="K169" s="2">
        <v>112.3</v>
      </c>
      <c r="L169" s="2">
        <f t="shared" si="16"/>
        <v>0.90000000000000568</v>
      </c>
      <c r="M169" s="1">
        <f t="shared" si="17"/>
        <v>1.1716908776094215E-2</v>
      </c>
      <c r="N169" s="2">
        <v>112.6</v>
      </c>
      <c r="O169" s="2">
        <v>103</v>
      </c>
      <c r="P169" s="2">
        <f t="shared" si="18"/>
        <v>9.5999999999999943</v>
      </c>
      <c r="Q169">
        <v>-0.1</v>
      </c>
    </row>
    <row r="170" spans="1:17">
      <c r="A170" t="s">
        <v>62</v>
      </c>
      <c r="B170" t="s">
        <v>56</v>
      </c>
      <c r="C170">
        <v>42</v>
      </c>
      <c r="D170">
        <v>40</v>
      </c>
      <c r="E170" s="1">
        <f t="shared" si="13"/>
        <v>0.51219512195121952</v>
      </c>
      <c r="F170" s="2">
        <v>108.4</v>
      </c>
      <c r="G170" s="2">
        <v>108.4</v>
      </c>
      <c r="H170" s="2">
        <f t="shared" si="14"/>
        <v>0</v>
      </c>
      <c r="I170" s="1">
        <f t="shared" si="15"/>
        <v>0.5</v>
      </c>
      <c r="J170" s="2">
        <v>109.5</v>
      </c>
      <c r="K170" s="2">
        <v>109.5</v>
      </c>
      <c r="L170" s="2">
        <f t="shared" si="16"/>
        <v>0</v>
      </c>
      <c r="M170" s="1">
        <f t="shared" si="17"/>
        <v>1.2195121951219523E-2</v>
      </c>
      <c r="N170" s="2">
        <v>123.8</v>
      </c>
      <c r="O170" s="2">
        <v>114.3</v>
      </c>
      <c r="P170" s="2">
        <f t="shared" si="18"/>
        <v>9.5</v>
      </c>
      <c r="Q170">
        <v>1.1000000000000001</v>
      </c>
    </row>
    <row r="171" spans="1:17">
      <c r="A171" t="s">
        <v>41</v>
      </c>
      <c r="B171" t="s">
        <v>18</v>
      </c>
      <c r="C171">
        <v>52</v>
      </c>
      <c r="D171">
        <v>30</v>
      </c>
      <c r="E171" s="1">
        <f t="shared" si="13"/>
        <v>0.63414634146341464</v>
      </c>
      <c r="F171" s="2">
        <v>99.9</v>
      </c>
      <c r="G171" s="2">
        <v>96</v>
      </c>
      <c r="H171" s="2">
        <f t="shared" si="14"/>
        <v>3.9000000000000057</v>
      </c>
      <c r="I171" s="1">
        <f t="shared" si="15"/>
        <v>0.63587410412119993</v>
      </c>
      <c r="J171" s="2">
        <v>107.5</v>
      </c>
      <c r="K171" s="2">
        <v>103.4</v>
      </c>
      <c r="L171" s="2">
        <f t="shared" si="16"/>
        <v>4.0999999999999943</v>
      </c>
      <c r="M171" s="1">
        <f t="shared" si="17"/>
        <v>-1.7277626577852923E-3</v>
      </c>
      <c r="N171" s="2">
        <v>115.1</v>
      </c>
      <c r="O171" s="2">
        <v>105.6</v>
      </c>
      <c r="P171" s="2">
        <f t="shared" si="18"/>
        <v>9.5</v>
      </c>
      <c r="Q171">
        <v>1.5</v>
      </c>
    </row>
    <row r="172" spans="1:17">
      <c r="A172" t="s">
        <v>59</v>
      </c>
      <c r="B172" t="s">
        <v>15</v>
      </c>
      <c r="C172">
        <v>48</v>
      </c>
      <c r="D172">
        <v>34</v>
      </c>
      <c r="E172" s="1">
        <f t="shared" si="13"/>
        <v>0.58536585365853655</v>
      </c>
      <c r="F172" s="2">
        <v>108</v>
      </c>
      <c r="G172" s="2">
        <v>104.7</v>
      </c>
      <c r="H172" s="2">
        <f t="shared" si="14"/>
        <v>3.2999999999999972</v>
      </c>
      <c r="I172" s="1">
        <f t="shared" si="15"/>
        <v>0.60693567293355</v>
      </c>
      <c r="J172" s="2">
        <v>109.4</v>
      </c>
      <c r="K172" s="2">
        <v>106</v>
      </c>
      <c r="L172" s="2">
        <f t="shared" si="16"/>
        <v>3.4000000000000057</v>
      </c>
      <c r="M172" s="1">
        <f t="shared" si="17"/>
        <v>-2.1569819275013447E-2</v>
      </c>
      <c r="N172" s="2">
        <v>113.9</v>
      </c>
      <c r="O172" s="2">
        <v>104.5</v>
      </c>
      <c r="P172" s="2">
        <f t="shared" si="18"/>
        <v>9.4000000000000057</v>
      </c>
      <c r="Q172">
        <v>0.8</v>
      </c>
    </row>
    <row r="173" spans="1:17">
      <c r="A173" t="s">
        <v>4</v>
      </c>
      <c r="B173" t="s">
        <v>27</v>
      </c>
      <c r="C173">
        <v>55</v>
      </c>
      <c r="D173">
        <v>27</v>
      </c>
      <c r="E173" s="1">
        <f t="shared" si="13"/>
        <v>0.67073170731707321</v>
      </c>
      <c r="F173" s="2">
        <v>101.7</v>
      </c>
      <c r="G173" s="2">
        <v>95.9</v>
      </c>
      <c r="H173" s="2">
        <f t="shared" si="14"/>
        <v>5.7999999999999972</v>
      </c>
      <c r="I173" s="1">
        <f t="shared" si="15"/>
        <v>0.69468161097182612</v>
      </c>
      <c r="J173" s="2">
        <v>104.2</v>
      </c>
      <c r="K173" s="2">
        <v>98.5</v>
      </c>
      <c r="L173" s="2">
        <f t="shared" si="16"/>
        <v>5.7000000000000028</v>
      </c>
      <c r="M173" s="1">
        <f t="shared" si="17"/>
        <v>-2.3949903654752913E-2</v>
      </c>
      <c r="N173" s="2">
        <v>94</v>
      </c>
      <c r="O173" s="2">
        <v>84.6</v>
      </c>
      <c r="P173" s="2">
        <f t="shared" si="18"/>
        <v>9.4000000000000057</v>
      </c>
      <c r="Q173">
        <v>1.4</v>
      </c>
    </row>
    <row r="174" spans="1:17">
      <c r="A174" t="s">
        <v>43</v>
      </c>
      <c r="B174" t="s">
        <v>18</v>
      </c>
      <c r="C174">
        <v>44</v>
      </c>
      <c r="D174">
        <v>38</v>
      </c>
      <c r="E174" s="1">
        <f t="shared" si="13"/>
        <v>0.53658536585365857</v>
      </c>
      <c r="F174" s="2">
        <v>94.6</v>
      </c>
      <c r="G174" s="2">
        <v>95.5</v>
      </c>
      <c r="H174" s="2">
        <f t="shared" si="14"/>
        <v>-0.90000000000000568</v>
      </c>
      <c r="I174" s="1">
        <f t="shared" si="15"/>
        <v>0.46690774637254517</v>
      </c>
      <c r="J174" s="2">
        <v>103.4</v>
      </c>
      <c r="K174" s="2">
        <v>104.6</v>
      </c>
      <c r="L174" s="2">
        <f t="shared" si="16"/>
        <v>-1.1999999999999886</v>
      </c>
      <c r="M174" s="1">
        <f t="shared" si="17"/>
        <v>6.9677619481113395E-2</v>
      </c>
      <c r="N174" s="2">
        <v>106.9</v>
      </c>
      <c r="O174" s="2">
        <v>97.6</v>
      </c>
      <c r="P174" s="2">
        <f t="shared" si="18"/>
        <v>9.3000000000000114</v>
      </c>
      <c r="Q174">
        <v>0.5</v>
      </c>
    </row>
    <row r="175" spans="1:17">
      <c r="A175" t="s">
        <v>48</v>
      </c>
      <c r="B175" t="s">
        <v>17</v>
      </c>
      <c r="C175">
        <v>57</v>
      </c>
      <c r="D175">
        <v>25</v>
      </c>
      <c r="E175" s="1">
        <f t="shared" si="13"/>
        <v>0.69512195121951215</v>
      </c>
      <c r="F175" s="2">
        <v>101.5</v>
      </c>
      <c r="G175" s="2">
        <v>95.4</v>
      </c>
      <c r="H175" s="2">
        <f t="shared" si="14"/>
        <v>6.0999999999999943</v>
      </c>
      <c r="I175" s="1">
        <f t="shared" si="15"/>
        <v>0.70427169761914954</v>
      </c>
      <c r="J175" s="2">
        <v>109.6</v>
      </c>
      <c r="K175" s="2">
        <v>103.3</v>
      </c>
      <c r="L175" s="2">
        <f t="shared" si="16"/>
        <v>6.2999999999999972</v>
      </c>
      <c r="M175" s="1">
        <f t="shared" si="17"/>
        <v>-9.1497463996373929E-3</v>
      </c>
      <c r="N175" s="2">
        <v>108</v>
      </c>
      <c r="O175" s="2">
        <v>98.7</v>
      </c>
      <c r="P175" s="2">
        <f t="shared" si="18"/>
        <v>9.2999999999999972</v>
      </c>
      <c r="Q175">
        <v>0</v>
      </c>
    </row>
    <row r="176" spans="1:17">
      <c r="A176" t="s">
        <v>38</v>
      </c>
      <c r="B176" t="s">
        <v>12</v>
      </c>
      <c r="C176">
        <v>54</v>
      </c>
      <c r="D176">
        <v>28</v>
      </c>
      <c r="E176" s="1">
        <f t="shared" si="13"/>
        <v>0.65853658536585369</v>
      </c>
      <c r="F176" s="2">
        <v>90.1</v>
      </c>
      <c r="G176" s="2">
        <v>84.3</v>
      </c>
      <c r="H176" s="2">
        <f t="shared" si="14"/>
        <v>5.7999999999999972</v>
      </c>
      <c r="I176" s="1">
        <f t="shared" si="15"/>
        <v>0.71738684209510184</v>
      </c>
      <c r="J176" s="2">
        <v>100.3</v>
      </c>
      <c r="K176" s="2">
        <v>93.9</v>
      </c>
      <c r="L176" s="2">
        <f t="shared" si="16"/>
        <v>6.3999999999999915</v>
      </c>
      <c r="M176" s="1">
        <f t="shared" si="17"/>
        <v>-5.8850256729248152E-2</v>
      </c>
      <c r="N176" s="2">
        <v>103.8</v>
      </c>
      <c r="O176" s="2">
        <v>94.5</v>
      </c>
      <c r="P176" s="2">
        <f t="shared" si="18"/>
        <v>9.2999999999999972</v>
      </c>
      <c r="Q176">
        <v>1.3</v>
      </c>
    </row>
    <row r="177" spans="1:17">
      <c r="A177" t="s">
        <v>59</v>
      </c>
      <c r="B177" t="s">
        <v>26</v>
      </c>
      <c r="C177">
        <v>53</v>
      </c>
      <c r="D177">
        <v>29</v>
      </c>
      <c r="E177" s="1">
        <f t="shared" si="13"/>
        <v>0.64634146341463417</v>
      </c>
      <c r="F177" s="2">
        <v>114.7</v>
      </c>
      <c r="G177" s="2">
        <v>110.5</v>
      </c>
      <c r="H177" s="2">
        <f t="shared" si="14"/>
        <v>4.2000000000000028</v>
      </c>
      <c r="I177" s="1">
        <f t="shared" si="15"/>
        <v>0.62767678935512594</v>
      </c>
      <c r="J177" s="2">
        <v>113.7</v>
      </c>
      <c r="K177" s="2">
        <v>109.5</v>
      </c>
      <c r="L177" s="2">
        <f t="shared" si="16"/>
        <v>4.2000000000000028</v>
      </c>
      <c r="M177" s="1">
        <f t="shared" si="17"/>
        <v>1.8664674059508224E-2</v>
      </c>
      <c r="N177" s="2">
        <v>117.2</v>
      </c>
      <c r="O177" s="2">
        <v>108</v>
      </c>
      <c r="P177" s="2">
        <f t="shared" si="18"/>
        <v>9.2000000000000028</v>
      </c>
      <c r="Q177">
        <v>0.1</v>
      </c>
    </row>
    <row r="178" spans="1:17">
      <c r="A178" t="s">
        <v>54</v>
      </c>
      <c r="B178" t="s">
        <v>8</v>
      </c>
      <c r="C178">
        <v>50</v>
      </c>
      <c r="D178">
        <v>32</v>
      </c>
      <c r="E178" s="1">
        <f t="shared" si="13"/>
        <v>0.6097560975609756</v>
      </c>
      <c r="F178" s="2">
        <v>100.8</v>
      </c>
      <c r="G178" s="2">
        <v>97.8</v>
      </c>
      <c r="H178" s="2">
        <f t="shared" si="14"/>
        <v>3</v>
      </c>
      <c r="I178" s="1">
        <f t="shared" si="15"/>
        <v>0.60419920235636659</v>
      </c>
      <c r="J178" s="2">
        <v>106.3</v>
      </c>
      <c r="K178" s="2">
        <v>103.3</v>
      </c>
      <c r="L178" s="2">
        <f t="shared" si="16"/>
        <v>3</v>
      </c>
      <c r="M178" s="1">
        <f t="shared" si="17"/>
        <v>5.5568952046090025E-3</v>
      </c>
      <c r="N178" s="2">
        <v>99.7</v>
      </c>
      <c r="O178" s="2">
        <v>90.5</v>
      </c>
      <c r="P178" s="2">
        <f t="shared" si="18"/>
        <v>9.2000000000000028</v>
      </c>
      <c r="Q178">
        <v>1.5</v>
      </c>
    </row>
    <row r="179" spans="1:17">
      <c r="A179" t="s">
        <v>57</v>
      </c>
      <c r="B179" t="s">
        <v>8</v>
      </c>
      <c r="C179">
        <v>41</v>
      </c>
      <c r="D179">
        <v>41</v>
      </c>
      <c r="E179" s="1">
        <f t="shared" si="13"/>
        <v>0.5</v>
      </c>
      <c r="F179" s="2">
        <v>102.9</v>
      </c>
      <c r="G179" s="2">
        <v>102.4</v>
      </c>
      <c r="H179" s="2">
        <f t="shared" si="14"/>
        <v>0.5</v>
      </c>
      <c r="I179" s="1">
        <f t="shared" si="15"/>
        <v>0.51704165228301435</v>
      </c>
      <c r="J179" s="2">
        <v>106.5</v>
      </c>
      <c r="K179" s="2">
        <v>106.2</v>
      </c>
      <c r="L179" s="2">
        <f t="shared" si="16"/>
        <v>0.29999999999999716</v>
      </c>
      <c r="M179" s="1">
        <f t="shared" si="17"/>
        <v>-1.7041652283014352E-2</v>
      </c>
      <c r="N179" s="2">
        <v>107.3</v>
      </c>
      <c r="O179" s="2">
        <v>98.1</v>
      </c>
      <c r="P179" s="2">
        <f t="shared" si="18"/>
        <v>9.2000000000000028</v>
      </c>
      <c r="Q179">
        <v>-0.5</v>
      </c>
    </row>
    <row r="180" spans="1:17">
      <c r="A180" t="s">
        <v>65</v>
      </c>
      <c r="B180" t="s">
        <v>35</v>
      </c>
      <c r="C180">
        <v>48</v>
      </c>
      <c r="D180">
        <v>34</v>
      </c>
      <c r="E180" s="1">
        <f t="shared" si="13"/>
        <v>0.58536585365853655</v>
      </c>
      <c r="F180" s="2">
        <v>121.7</v>
      </c>
      <c r="G180" s="2">
        <v>116.9</v>
      </c>
      <c r="H180" s="2">
        <f t="shared" si="14"/>
        <v>4.7999999999999972</v>
      </c>
      <c r="I180" s="1">
        <f t="shared" si="15"/>
        <v>0.63723004806999306</v>
      </c>
      <c r="J180" s="2">
        <v>117.2</v>
      </c>
      <c r="K180" s="2">
        <v>112.6</v>
      </c>
      <c r="L180" s="2">
        <f t="shared" si="16"/>
        <v>4.6000000000000085</v>
      </c>
      <c r="M180" s="1">
        <f t="shared" si="17"/>
        <v>-5.186419441145651E-2</v>
      </c>
      <c r="N180" s="2">
        <v>109.2</v>
      </c>
      <c r="O180" s="2">
        <v>100</v>
      </c>
      <c r="P180" s="2">
        <f t="shared" si="18"/>
        <v>9.2000000000000028</v>
      </c>
      <c r="Q180">
        <v>0.2</v>
      </c>
    </row>
    <row r="181" spans="1:17">
      <c r="A181" t="s">
        <v>48</v>
      </c>
      <c r="B181" t="s">
        <v>5</v>
      </c>
      <c r="C181">
        <v>44</v>
      </c>
      <c r="D181">
        <v>38</v>
      </c>
      <c r="E181" s="1">
        <f t="shared" si="13"/>
        <v>0.53658536585365857</v>
      </c>
      <c r="F181" s="2">
        <v>95</v>
      </c>
      <c r="G181" s="2">
        <v>95.8</v>
      </c>
      <c r="H181" s="2">
        <f t="shared" si="14"/>
        <v>-0.79999999999999716</v>
      </c>
      <c r="I181" s="1">
        <f t="shared" si="15"/>
        <v>0.47068338807108751</v>
      </c>
      <c r="J181" s="2">
        <v>105.1</v>
      </c>
      <c r="K181" s="2">
        <v>105.8</v>
      </c>
      <c r="L181" s="2">
        <f t="shared" si="16"/>
        <v>-0.70000000000000284</v>
      </c>
      <c r="M181" s="1">
        <f t="shared" si="17"/>
        <v>6.5901977782571064E-2</v>
      </c>
      <c r="N181" s="2">
        <v>112.6</v>
      </c>
      <c r="O181" s="2">
        <v>103.5</v>
      </c>
      <c r="P181" s="2">
        <f t="shared" si="18"/>
        <v>9.0999999999999943</v>
      </c>
      <c r="Q181">
        <v>-1.5</v>
      </c>
    </row>
    <row r="182" spans="1:17">
      <c r="A182" t="s">
        <v>64</v>
      </c>
      <c r="B182" t="s">
        <v>17</v>
      </c>
      <c r="C182">
        <v>46</v>
      </c>
      <c r="D182">
        <v>35</v>
      </c>
      <c r="E182" s="1">
        <f t="shared" si="13"/>
        <v>0.5679012345679012</v>
      </c>
      <c r="F182" s="2">
        <v>117.9</v>
      </c>
      <c r="G182" s="2">
        <v>117.8</v>
      </c>
      <c r="H182" s="2">
        <f t="shared" si="14"/>
        <v>0.10000000000000853</v>
      </c>
      <c r="I182" s="1">
        <f t="shared" si="15"/>
        <v>0.50296984221450003</v>
      </c>
      <c r="J182" s="2">
        <v>115.2</v>
      </c>
      <c r="K182" s="2">
        <v>115.2</v>
      </c>
      <c r="L182" s="2">
        <f t="shared" si="16"/>
        <v>0</v>
      </c>
      <c r="M182" s="1">
        <f t="shared" si="17"/>
        <v>6.4931392353401174E-2</v>
      </c>
      <c r="N182" s="2">
        <v>117.6</v>
      </c>
      <c r="O182" s="2">
        <v>108.5</v>
      </c>
      <c r="P182" s="2">
        <f t="shared" si="18"/>
        <v>9.0999999999999943</v>
      </c>
      <c r="Q182">
        <v>0.1</v>
      </c>
    </row>
    <row r="183" spans="1:17">
      <c r="A183" t="s">
        <v>39</v>
      </c>
      <c r="B183" t="s">
        <v>15</v>
      </c>
      <c r="C183">
        <v>44</v>
      </c>
      <c r="D183">
        <v>38</v>
      </c>
      <c r="E183" s="1">
        <f t="shared" si="13"/>
        <v>0.53658536585365857</v>
      </c>
      <c r="F183" s="2">
        <v>93</v>
      </c>
      <c r="G183" s="2">
        <v>92.2</v>
      </c>
      <c r="H183" s="2">
        <f t="shared" si="14"/>
        <v>0.79999999999999716</v>
      </c>
      <c r="I183" s="1">
        <f t="shared" si="15"/>
        <v>0.53020096014425155</v>
      </c>
      <c r="J183" s="2">
        <v>103.7</v>
      </c>
      <c r="K183" s="2">
        <v>102.7</v>
      </c>
      <c r="L183" s="2">
        <f t="shared" si="16"/>
        <v>1</v>
      </c>
      <c r="M183" s="1">
        <f t="shared" si="17"/>
        <v>6.384405709407015E-3</v>
      </c>
      <c r="N183" s="2">
        <v>102.5</v>
      </c>
      <c r="O183" s="2">
        <v>93.4</v>
      </c>
      <c r="P183" s="2">
        <f t="shared" si="18"/>
        <v>9.0999999999999943</v>
      </c>
      <c r="Q183">
        <v>0</v>
      </c>
    </row>
    <row r="184" spans="1:17">
      <c r="A184" t="s">
        <v>59</v>
      </c>
      <c r="B184" t="s">
        <v>6</v>
      </c>
      <c r="C184">
        <v>49</v>
      </c>
      <c r="D184">
        <v>33</v>
      </c>
      <c r="E184" s="1">
        <f t="shared" si="13"/>
        <v>0.59756097560975607</v>
      </c>
      <c r="F184" s="2">
        <v>112.4</v>
      </c>
      <c r="G184" s="2">
        <v>108</v>
      </c>
      <c r="H184" s="2">
        <f t="shared" si="14"/>
        <v>4.4000000000000057</v>
      </c>
      <c r="I184" s="1">
        <f t="shared" si="15"/>
        <v>0.63623453885464354</v>
      </c>
      <c r="J184" s="2">
        <v>111.3</v>
      </c>
      <c r="K184" s="2">
        <v>107</v>
      </c>
      <c r="L184" s="2">
        <f t="shared" si="16"/>
        <v>4.2999999999999972</v>
      </c>
      <c r="M184" s="1">
        <f t="shared" si="17"/>
        <v>-3.8673563244887466E-2</v>
      </c>
      <c r="N184" s="2">
        <v>123.8</v>
      </c>
      <c r="O184" s="2">
        <v>114.7</v>
      </c>
      <c r="P184" s="2">
        <f t="shared" si="18"/>
        <v>9.0999999999999943</v>
      </c>
      <c r="Q184">
        <v>1.4</v>
      </c>
    </row>
    <row r="185" spans="1:17">
      <c r="A185" t="s">
        <v>63</v>
      </c>
      <c r="B185" t="s">
        <v>53</v>
      </c>
      <c r="C185">
        <v>42</v>
      </c>
      <c r="D185">
        <v>40</v>
      </c>
      <c r="E185" s="1">
        <f t="shared" si="13"/>
        <v>0.51219512195121952</v>
      </c>
      <c r="F185" s="2">
        <v>114.4</v>
      </c>
      <c r="G185" s="2">
        <v>112.5</v>
      </c>
      <c r="H185" s="2">
        <f t="shared" si="14"/>
        <v>1.9000000000000057</v>
      </c>
      <c r="I185" s="1">
        <f t="shared" si="15"/>
        <v>0.55835042155864323</v>
      </c>
      <c r="J185" s="2">
        <v>113.8</v>
      </c>
      <c r="K185" s="2">
        <v>112</v>
      </c>
      <c r="L185" s="2">
        <f t="shared" si="16"/>
        <v>1.7999999999999972</v>
      </c>
      <c r="M185" s="1">
        <f t="shared" si="17"/>
        <v>-4.6155299607423705E-2</v>
      </c>
      <c r="N185" s="2">
        <v>113.1</v>
      </c>
      <c r="O185" s="2">
        <v>104</v>
      </c>
      <c r="P185" s="2">
        <f t="shared" si="18"/>
        <v>9.0999999999999943</v>
      </c>
      <c r="Q185">
        <v>0.4</v>
      </c>
    </row>
    <row r="186" spans="1:17">
      <c r="A186" t="s">
        <v>48</v>
      </c>
      <c r="B186" t="s">
        <v>9</v>
      </c>
      <c r="C186">
        <v>19</v>
      </c>
      <c r="D186">
        <v>63</v>
      </c>
      <c r="E186" s="1">
        <f t="shared" si="13"/>
        <v>0.23170731707317074</v>
      </c>
      <c r="F186" s="2">
        <v>95.5</v>
      </c>
      <c r="G186" s="2">
        <v>104.5</v>
      </c>
      <c r="H186" s="2">
        <f t="shared" si="14"/>
        <v>-9</v>
      </c>
      <c r="I186" s="1">
        <f t="shared" si="15"/>
        <v>0.22082734006674018</v>
      </c>
      <c r="J186" s="2">
        <v>101.5</v>
      </c>
      <c r="K186" s="2">
        <v>110.9</v>
      </c>
      <c r="L186" s="2">
        <f t="shared" si="16"/>
        <v>-9.4000000000000057</v>
      </c>
      <c r="M186" s="1">
        <f t="shared" si="17"/>
        <v>1.0879977006430563E-2</v>
      </c>
      <c r="N186" s="2">
        <v>110.9</v>
      </c>
      <c r="O186" s="2">
        <v>102.2</v>
      </c>
      <c r="P186" s="2">
        <f t="shared" si="18"/>
        <v>8.7000000000000028</v>
      </c>
      <c r="Q186">
        <v>-0.8</v>
      </c>
    </row>
    <row r="187" spans="1:17">
      <c r="A187" t="s">
        <v>55</v>
      </c>
      <c r="B187" t="s">
        <v>56</v>
      </c>
      <c r="C187">
        <v>53</v>
      </c>
      <c r="D187">
        <v>29</v>
      </c>
      <c r="E187" s="1">
        <f t="shared" si="13"/>
        <v>0.64634146341463417</v>
      </c>
      <c r="F187" s="2">
        <v>104.5</v>
      </c>
      <c r="G187" s="2">
        <v>100.2</v>
      </c>
      <c r="H187" s="2">
        <f t="shared" si="14"/>
        <v>4.2999999999999972</v>
      </c>
      <c r="I187" s="1">
        <f t="shared" si="15"/>
        <v>0.64296680993487854</v>
      </c>
      <c r="J187" s="2">
        <v>107.2</v>
      </c>
      <c r="K187" s="2">
        <v>102.7</v>
      </c>
      <c r="L187" s="2">
        <f t="shared" si="16"/>
        <v>4.5</v>
      </c>
      <c r="M187" s="1">
        <f t="shared" si="17"/>
        <v>3.3746534797556293E-3</v>
      </c>
      <c r="N187" s="2">
        <v>111.5</v>
      </c>
      <c r="O187" s="2">
        <v>102.8</v>
      </c>
      <c r="P187" s="2">
        <f t="shared" si="18"/>
        <v>8.7000000000000028</v>
      </c>
      <c r="Q187">
        <v>-0.2</v>
      </c>
    </row>
    <row r="188" spans="1:17">
      <c r="A188" t="s">
        <v>43</v>
      </c>
      <c r="B188" t="s">
        <v>24</v>
      </c>
      <c r="C188">
        <v>35</v>
      </c>
      <c r="D188">
        <v>47</v>
      </c>
      <c r="E188" s="1">
        <f t="shared" si="13"/>
        <v>0.42682926829268292</v>
      </c>
      <c r="F188" s="2">
        <v>94.9</v>
      </c>
      <c r="G188" s="2">
        <v>98</v>
      </c>
      <c r="H188" s="2">
        <f t="shared" si="14"/>
        <v>-3.0999999999999943</v>
      </c>
      <c r="I188" s="1">
        <f t="shared" si="15"/>
        <v>0.38935771732767777</v>
      </c>
      <c r="J188" s="2">
        <v>102.4</v>
      </c>
      <c r="K188" s="2">
        <v>105.6</v>
      </c>
      <c r="L188" s="2">
        <f t="shared" si="16"/>
        <v>-3.1999999999999886</v>
      </c>
      <c r="M188" s="1">
        <f t="shared" si="17"/>
        <v>3.7471550965005151E-2</v>
      </c>
      <c r="N188" s="2">
        <v>106.5</v>
      </c>
      <c r="O188" s="2">
        <v>97.9</v>
      </c>
      <c r="P188" s="2">
        <f t="shared" si="18"/>
        <v>8.5999999999999943</v>
      </c>
      <c r="Q188">
        <v>-0.1</v>
      </c>
    </row>
    <row r="189" spans="1:17">
      <c r="A189" t="s">
        <v>48</v>
      </c>
      <c r="B189" t="s">
        <v>31</v>
      </c>
      <c r="C189">
        <v>39</v>
      </c>
      <c r="D189">
        <v>43</v>
      </c>
      <c r="E189" s="1">
        <f t="shared" si="13"/>
        <v>0.47560975609756095</v>
      </c>
      <c r="F189" s="2">
        <v>99.4</v>
      </c>
      <c r="G189" s="2">
        <v>101.3</v>
      </c>
      <c r="H189" s="2">
        <f t="shared" si="14"/>
        <v>-1.8999999999999915</v>
      </c>
      <c r="I189" s="1">
        <f t="shared" si="15"/>
        <v>0.4341153034134177</v>
      </c>
      <c r="J189" s="2">
        <v>107</v>
      </c>
      <c r="K189" s="2">
        <v>108.8</v>
      </c>
      <c r="L189" s="2">
        <f t="shared" si="16"/>
        <v>-1.7999999999999972</v>
      </c>
      <c r="M189" s="1">
        <f t="shared" si="17"/>
        <v>4.1494452684143257E-2</v>
      </c>
      <c r="N189" s="2">
        <v>111.8</v>
      </c>
      <c r="O189" s="2">
        <v>103.3</v>
      </c>
      <c r="P189" s="2">
        <f t="shared" si="18"/>
        <v>8.5</v>
      </c>
      <c r="Q189">
        <v>1.3</v>
      </c>
    </row>
    <row r="190" spans="1:17">
      <c r="A190" t="s">
        <v>41</v>
      </c>
      <c r="B190" t="s">
        <v>19</v>
      </c>
      <c r="C190">
        <v>40</v>
      </c>
      <c r="D190">
        <v>42</v>
      </c>
      <c r="E190" s="1">
        <f t="shared" si="13"/>
        <v>0.48780487804878048</v>
      </c>
      <c r="F190" s="2">
        <v>97.8</v>
      </c>
      <c r="G190" s="2">
        <v>98.8</v>
      </c>
      <c r="H190" s="2">
        <f t="shared" si="14"/>
        <v>-1</v>
      </c>
      <c r="I190" s="1">
        <f t="shared" si="15"/>
        <v>0.46445446690558873</v>
      </c>
      <c r="J190" s="2">
        <v>104.9</v>
      </c>
      <c r="K190" s="2">
        <v>105.9</v>
      </c>
      <c r="L190" s="2">
        <f t="shared" si="16"/>
        <v>-1</v>
      </c>
      <c r="M190" s="1">
        <f t="shared" si="17"/>
        <v>2.3350411143191752E-2</v>
      </c>
      <c r="N190" s="2">
        <v>103.7</v>
      </c>
      <c r="O190" s="2">
        <v>95.3</v>
      </c>
      <c r="P190" s="2">
        <f t="shared" si="18"/>
        <v>8.4000000000000057</v>
      </c>
      <c r="Q190">
        <v>-1.1000000000000001</v>
      </c>
    </row>
    <row r="191" spans="1:17">
      <c r="A191" t="s">
        <v>4</v>
      </c>
      <c r="B191" t="s">
        <v>19</v>
      </c>
      <c r="C191">
        <v>52</v>
      </c>
      <c r="D191">
        <v>30</v>
      </c>
      <c r="E191" s="1">
        <f t="shared" si="13"/>
        <v>0.63414634146341464</v>
      </c>
      <c r="F191" s="2">
        <v>100.7</v>
      </c>
      <c r="G191" s="2">
        <v>96.9</v>
      </c>
      <c r="H191" s="2">
        <f t="shared" si="14"/>
        <v>3.7999999999999972</v>
      </c>
      <c r="I191" s="1">
        <f t="shared" si="15"/>
        <v>0.63146991070867009</v>
      </c>
      <c r="J191" s="2">
        <v>106.8</v>
      </c>
      <c r="K191" s="2">
        <v>102.6</v>
      </c>
      <c r="L191" s="2">
        <f t="shared" si="16"/>
        <v>4.2000000000000028</v>
      </c>
      <c r="M191" s="1">
        <f t="shared" si="17"/>
        <v>2.6764307547445521E-3</v>
      </c>
      <c r="N191" s="2">
        <v>112.2</v>
      </c>
      <c r="O191" s="2">
        <v>103.8</v>
      </c>
      <c r="P191" s="2">
        <f t="shared" si="18"/>
        <v>8.4000000000000057</v>
      </c>
      <c r="Q191">
        <v>0.2</v>
      </c>
    </row>
    <row r="192" spans="1:17">
      <c r="A192" t="s">
        <v>44</v>
      </c>
      <c r="B192" t="s">
        <v>12</v>
      </c>
      <c r="C192">
        <v>59</v>
      </c>
      <c r="D192">
        <v>23</v>
      </c>
      <c r="E192" s="1">
        <f t="shared" si="13"/>
        <v>0.71951219512195119</v>
      </c>
      <c r="F192" s="2">
        <v>97.5</v>
      </c>
      <c r="G192" s="2">
        <v>90.1</v>
      </c>
      <c r="H192" s="2">
        <f t="shared" si="14"/>
        <v>7.4000000000000057</v>
      </c>
      <c r="I192" s="1">
        <f t="shared" si="15"/>
        <v>0.75120531169841753</v>
      </c>
      <c r="J192" s="2">
        <v>109.8</v>
      </c>
      <c r="K192" s="2">
        <v>101.5</v>
      </c>
      <c r="L192" s="2">
        <f t="shared" si="16"/>
        <v>8.2999999999999972</v>
      </c>
      <c r="M192" s="1">
        <f t="shared" si="17"/>
        <v>-3.169311657646634E-2</v>
      </c>
      <c r="N192" s="2">
        <v>113.7</v>
      </c>
      <c r="O192" s="2">
        <v>105.3</v>
      </c>
      <c r="P192" s="2">
        <f t="shared" si="18"/>
        <v>8.4000000000000057</v>
      </c>
      <c r="Q192">
        <v>0.6</v>
      </c>
    </row>
    <row r="193" spans="1:17">
      <c r="A193" t="s">
        <v>43</v>
      </c>
      <c r="B193" t="s">
        <v>8</v>
      </c>
      <c r="C193">
        <v>49</v>
      </c>
      <c r="D193">
        <v>33</v>
      </c>
      <c r="E193" s="1">
        <f t="shared" si="13"/>
        <v>0.59756097560975607</v>
      </c>
      <c r="F193" s="2">
        <v>98.8</v>
      </c>
      <c r="G193" s="2">
        <v>93.8</v>
      </c>
      <c r="H193" s="2">
        <f t="shared" si="14"/>
        <v>5</v>
      </c>
      <c r="I193" s="1">
        <f t="shared" si="15"/>
        <v>0.67415944517455229</v>
      </c>
      <c r="J193" s="2">
        <v>104</v>
      </c>
      <c r="K193" s="2">
        <v>98.8</v>
      </c>
      <c r="L193" s="2">
        <f t="shared" si="16"/>
        <v>5.2000000000000028</v>
      </c>
      <c r="M193" s="1">
        <f t="shared" si="17"/>
        <v>-7.6598469564796212E-2</v>
      </c>
      <c r="N193" s="2">
        <v>98</v>
      </c>
      <c r="O193" s="2">
        <v>89.6</v>
      </c>
      <c r="P193" s="2">
        <f t="shared" si="18"/>
        <v>8.4000000000000057</v>
      </c>
      <c r="Q193">
        <v>0.6</v>
      </c>
    </row>
    <row r="194" spans="1:17">
      <c r="A194" t="s">
        <v>45</v>
      </c>
      <c r="B194" t="s">
        <v>28</v>
      </c>
      <c r="C194">
        <v>54</v>
      </c>
      <c r="D194">
        <v>28</v>
      </c>
      <c r="E194" s="1">
        <f t="shared" si="13"/>
        <v>0.65853658536585369</v>
      </c>
      <c r="F194" s="2">
        <v>97</v>
      </c>
      <c r="G194" s="2">
        <v>93.3</v>
      </c>
      <c r="H194" s="2">
        <f t="shared" si="14"/>
        <v>3.7000000000000028</v>
      </c>
      <c r="I194" s="1">
        <f t="shared" si="15"/>
        <v>0.63285214825789127</v>
      </c>
      <c r="J194" s="2">
        <v>107.6</v>
      </c>
      <c r="K194" s="2">
        <v>103.4</v>
      </c>
      <c r="L194" s="2">
        <f t="shared" si="16"/>
        <v>4.1999999999999886</v>
      </c>
      <c r="M194" s="1">
        <f t="shared" si="17"/>
        <v>2.5684437107962421E-2</v>
      </c>
      <c r="N194" s="2">
        <v>104.3</v>
      </c>
      <c r="O194" s="2">
        <v>95.9</v>
      </c>
      <c r="P194" s="2">
        <f t="shared" si="18"/>
        <v>8.3999999999999915</v>
      </c>
      <c r="Q194">
        <v>0.7</v>
      </c>
    </row>
    <row r="195" spans="1:17">
      <c r="A195" t="s">
        <v>38</v>
      </c>
      <c r="B195" t="s">
        <v>27</v>
      </c>
      <c r="C195">
        <v>55</v>
      </c>
      <c r="D195">
        <v>27</v>
      </c>
      <c r="E195" s="1">
        <f t="shared" si="13"/>
        <v>0.67073170731707321</v>
      </c>
      <c r="F195" s="2">
        <v>102.8</v>
      </c>
      <c r="G195" s="2">
        <v>97.8</v>
      </c>
      <c r="H195" s="2">
        <f t="shared" si="14"/>
        <v>5</v>
      </c>
      <c r="I195" s="1">
        <f t="shared" si="15"/>
        <v>0.66775548198710677</v>
      </c>
      <c r="J195" s="2">
        <v>108.6</v>
      </c>
      <c r="K195" s="2">
        <v>103.2</v>
      </c>
      <c r="L195" s="2">
        <f t="shared" si="16"/>
        <v>5.3999999999999915</v>
      </c>
      <c r="M195" s="1">
        <f t="shared" si="17"/>
        <v>2.9762253299664421E-3</v>
      </c>
      <c r="N195" s="2">
        <v>105.1</v>
      </c>
      <c r="O195" s="2">
        <v>96.7</v>
      </c>
      <c r="P195" s="2">
        <f t="shared" si="18"/>
        <v>8.3999999999999915</v>
      </c>
      <c r="Q195">
        <v>1.5</v>
      </c>
    </row>
    <row r="196" spans="1:17">
      <c r="A196" t="s">
        <v>34</v>
      </c>
      <c r="B196" t="s">
        <v>10</v>
      </c>
      <c r="C196">
        <v>57</v>
      </c>
      <c r="D196">
        <v>25</v>
      </c>
      <c r="E196" s="1">
        <f t="shared" si="13"/>
        <v>0.69512195121951215</v>
      </c>
      <c r="F196" s="2">
        <v>105.2</v>
      </c>
      <c r="G196" s="2">
        <v>101</v>
      </c>
      <c r="H196" s="2">
        <f t="shared" si="14"/>
        <v>4.2000000000000028</v>
      </c>
      <c r="I196" s="1">
        <f t="shared" si="15"/>
        <v>0.63885522994426547</v>
      </c>
      <c r="J196" s="2">
        <v>110.3</v>
      </c>
      <c r="K196" s="2">
        <v>106</v>
      </c>
      <c r="L196" s="2">
        <f t="shared" si="16"/>
        <v>4.2999999999999972</v>
      </c>
      <c r="M196" s="1">
        <f t="shared" si="17"/>
        <v>5.6266721275246678E-2</v>
      </c>
      <c r="N196" s="2">
        <v>115.5</v>
      </c>
      <c r="O196" s="2">
        <v>107.2</v>
      </c>
      <c r="P196" s="2">
        <f t="shared" si="18"/>
        <v>8.2999999999999972</v>
      </c>
      <c r="Q196">
        <v>1.5</v>
      </c>
    </row>
    <row r="197" spans="1:17">
      <c r="A197" t="s">
        <v>58</v>
      </c>
      <c r="B197" t="s">
        <v>18</v>
      </c>
      <c r="C197">
        <v>44</v>
      </c>
      <c r="D197">
        <v>38</v>
      </c>
      <c r="E197" s="1">
        <f t="shared" si="13"/>
        <v>0.53658536585365857</v>
      </c>
      <c r="F197" s="2">
        <v>103.4</v>
      </c>
      <c r="G197" s="2">
        <v>102.9</v>
      </c>
      <c r="H197" s="2">
        <f t="shared" si="14"/>
        <v>0.5</v>
      </c>
      <c r="I197" s="1">
        <f t="shared" si="15"/>
        <v>0.5169591093166388</v>
      </c>
      <c r="J197" s="2">
        <v>106.2</v>
      </c>
      <c r="K197" s="2">
        <v>105.8</v>
      </c>
      <c r="L197" s="2">
        <f t="shared" si="16"/>
        <v>0.40000000000000568</v>
      </c>
      <c r="M197" s="1">
        <f t="shared" si="17"/>
        <v>1.9626256537019771E-2</v>
      </c>
      <c r="N197" s="2">
        <v>108.7</v>
      </c>
      <c r="O197" s="2">
        <v>100.4</v>
      </c>
      <c r="P197" s="2">
        <f t="shared" si="18"/>
        <v>8.2999999999999972</v>
      </c>
      <c r="Q197">
        <v>0.7</v>
      </c>
    </row>
    <row r="198" spans="1:17">
      <c r="A198" t="s">
        <v>55</v>
      </c>
      <c r="B198" t="s">
        <v>30</v>
      </c>
      <c r="C198">
        <v>56</v>
      </c>
      <c r="D198">
        <v>26</v>
      </c>
      <c r="E198" s="1">
        <f t="shared" si="13"/>
        <v>0.68292682926829273</v>
      </c>
      <c r="F198" s="2">
        <v>102.7</v>
      </c>
      <c r="G198" s="2">
        <v>98.2</v>
      </c>
      <c r="H198" s="2">
        <f t="shared" si="14"/>
        <v>4.5</v>
      </c>
      <c r="I198" s="1">
        <f t="shared" si="15"/>
        <v>0.65187304994551343</v>
      </c>
      <c r="J198" s="2">
        <v>109.3</v>
      </c>
      <c r="K198" s="2">
        <v>104.8</v>
      </c>
      <c r="L198" s="2">
        <f t="shared" si="16"/>
        <v>4.5</v>
      </c>
      <c r="M198" s="1">
        <f t="shared" si="17"/>
        <v>3.1053779322779307E-2</v>
      </c>
      <c r="N198" s="2">
        <v>108.5</v>
      </c>
      <c r="O198" s="2">
        <v>100.3</v>
      </c>
      <c r="P198" s="2">
        <f t="shared" si="18"/>
        <v>8.2000000000000028</v>
      </c>
      <c r="Q198">
        <v>1.5</v>
      </c>
    </row>
    <row r="199" spans="1:17">
      <c r="A199" t="s">
        <v>41</v>
      </c>
      <c r="B199" t="s">
        <v>10</v>
      </c>
      <c r="C199">
        <v>60</v>
      </c>
      <c r="D199">
        <v>22</v>
      </c>
      <c r="E199" s="1">
        <f t="shared" si="13"/>
        <v>0.73170731707317072</v>
      </c>
      <c r="F199" s="2">
        <v>99.1</v>
      </c>
      <c r="G199" s="2">
        <v>93.1</v>
      </c>
      <c r="H199" s="2">
        <f t="shared" si="14"/>
        <v>6</v>
      </c>
      <c r="I199" s="1">
        <f t="shared" si="15"/>
        <v>0.70565493727063389</v>
      </c>
      <c r="J199" s="2">
        <v>109.9</v>
      </c>
      <c r="K199" s="2">
        <v>103.2</v>
      </c>
      <c r="L199" s="2">
        <f t="shared" si="16"/>
        <v>6.7000000000000028</v>
      </c>
      <c r="M199" s="1">
        <f t="shared" si="17"/>
        <v>2.6052379802536829E-2</v>
      </c>
      <c r="N199" s="2">
        <v>105.6</v>
      </c>
      <c r="O199" s="2">
        <v>97.4</v>
      </c>
      <c r="P199" s="2">
        <f t="shared" si="18"/>
        <v>8.1999999999999886</v>
      </c>
      <c r="Q199">
        <v>1.6</v>
      </c>
    </row>
    <row r="200" spans="1:17">
      <c r="A200" t="s">
        <v>66</v>
      </c>
      <c r="B200" t="s">
        <v>19</v>
      </c>
      <c r="C200">
        <v>27</v>
      </c>
      <c r="D200">
        <v>35</v>
      </c>
      <c r="E200" s="1">
        <f t="shared" si="13"/>
        <v>0.43548387096774194</v>
      </c>
      <c r="F200" s="2">
        <v>111.4</v>
      </c>
      <c r="G200" s="2">
        <v>115.5</v>
      </c>
      <c r="H200" s="2">
        <f t="shared" si="14"/>
        <v>-4.0999999999999943</v>
      </c>
      <c r="I200" s="1">
        <f t="shared" si="15"/>
        <v>0.37613055154918495</v>
      </c>
      <c r="J200" s="2">
        <v>112.7</v>
      </c>
      <c r="K200" s="2">
        <v>116.7</v>
      </c>
      <c r="L200" s="2">
        <f t="shared" si="16"/>
        <v>-4</v>
      </c>
      <c r="M200" s="1">
        <f t="shared" si="17"/>
        <v>5.9353319418556982E-2</v>
      </c>
      <c r="N200" s="2">
        <v>119.7</v>
      </c>
      <c r="O200" s="2">
        <v>111.6</v>
      </c>
      <c r="P200" s="2">
        <f t="shared" si="18"/>
        <v>8.1000000000000085</v>
      </c>
      <c r="Q200" s="2">
        <v>-0.3</v>
      </c>
    </row>
    <row r="201" spans="1:17">
      <c r="A201" t="s">
        <v>61</v>
      </c>
      <c r="B201" t="s">
        <v>31</v>
      </c>
      <c r="C201">
        <v>52</v>
      </c>
      <c r="D201">
        <v>20</v>
      </c>
      <c r="E201" s="1">
        <f t="shared" ref="E201:E264" si="19">+C201/(C201+D201)</f>
        <v>0.72222222222222221</v>
      </c>
      <c r="F201" s="2">
        <v>116.4</v>
      </c>
      <c r="G201" s="2">
        <v>107.2</v>
      </c>
      <c r="H201" s="2">
        <f t="shared" ref="H201:H264" si="20">+F201-G201</f>
        <v>9.2000000000000028</v>
      </c>
      <c r="I201" s="1">
        <f t="shared" ref="I201:I264" si="21">+(F201^14)/((F201^14+G201^14))</f>
        <v>0.76000519896530916</v>
      </c>
      <c r="J201" s="2">
        <v>116.5</v>
      </c>
      <c r="K201" s="2">
        <v>107.5</v>
      </c>
      <c r="L201" s="2">
        <f t="shared" ref="L201:L264" si="22">+J201-K201</f>
        <v>9</v>
      </c>
      <c r="M201" s="1">
        <f t="shared" ref="M201:M264" si="23">+E201-I201</f>
        <v>-3.7782976743086949E-2</v>
      </c>
      <c r="N201" s="2">
        <v>118.2</v>
      </c>
      <c r="O201" s="2">
        <v>110.1</v>
      </c>
      <c r="P201" s="2">
        <f t="shared" ref="P201:P264" si="24">+N201-O201</f>
        <v>8.1000000000000085</v>
      </c>
      <c r="Q201">
        <v>1.2</v>
      </c>
    </row>
    <row r="202" spans="1:17">
      <c r="A202" t="s">
        <v>52</v>
      </c>
      <c r="B202" t="s">
        <v>8</v>
      </c>
      <c r="C202">
        <v>48</v>
      </c>
      <c r="D202">
        <v>34</v>
      </c>
      <c r="E202" s="1">
        <f t="shared" si="19"/>
        <v>0.58536585365853655</v>
      </c>
      <c r="F202" s="2">
        <v>93.7</v>
      </c>
      <c r="G202" s="2">
        <v>91.8</v>
      </c>
      <c r="H202" s="2">
        <f t="shared" si="20"/>
        <v>1.9000000000000057</v>
      </c>
      <c r="I202" s="1">
        <f t="shared" si="21"/>
        <v>0.57121314816076207</v>
      </c>
      <c r="J202" s="2">
        <v>101.7</v>
      </c>
      <c r="K202" s="2">
        <v>99.9</v>
      </c>
      <c r="L202" s="2">
        <f t="shared" si="22"/>
        <v>1.7999999999999972</v>
      </c>
      <c r="M202" s="1">
        <f t="shared" si="23"/>
        <v>1.4152705497774476E-2</v>
      </c>
      <c r="N202" s="2">
        <v>91.5</v>
      </c>
      <c r="O202" s="2">
        <v>83.4</v>
      </c>
      <c r="P202" s="2">
        <f t="shared" si="24"/>
        <v>8.0999999999999943</v>
      </c>
      <c r="Q202">
        <v>1</v>
      </c>
    </row>
    <row r="203" spans="1:17">
      <c r="A203" t="s">
        <v>50</v>
      </c>
      <c r="B203" t="s">
        <v>13</v>
      </c>
      <c r="C203">
        <v>47</v>
      </c>
      <c r="D203">
        <v>35</v>
      </c>
      <c r="E203" s="1">
        <f t="shared" si="19"/>
        <v>0.57317073170731703</v>
      </c>
      <c r="F203" s="2">
        <v>101.2</v>
      </c>
      <c r="G203" s="2">
        <v>100.3</v>
      </c>
      <c r="H203" s="2">
        <f t="shared" si="20"/>
        <v>0.90000000000000568</v>
      </c>
      <c r="I203" s="1">
        <f t="shared" si="21"/>
        <v>0.53122502870875743</v>
      </c>
      <c r="J203" s="2">
        <v>105.1</v>
      </c>
      <c r="K203" s="2">
        <v>104.2</v>
      </c>
      <c r="L203" s="2">
        <f t="shared" si="22"/>
        <v>0.89999999999999147</v>
      </c>
      <c r="M203" s="1">
        <f t="shared" si="23"/>
        <v>4.1945702998559597E-2</v>
      </c>
      <c r="N203" s="2">
        <v>101.8</v>
      </c>
      <c r="O203" s="2">
        <v>93.8</v>
      </c>
      <c r="P203" s="2">
        <f t="shared" si="24"/>
        <v>8</v>
      </c>
      <c r="Q203">
        <v>0.8</v>
      </c>
    </row>
    <row r="204" spans="1:17">
      <c r="A204" t="s">
        <v>39</v>
      </c>
      <c r="B204" t="s">
        <v>12</v>
      </c>
      <c r="C204">
        <v>54</v>
      </c>
      <c r="D204">
        <v>28</v>
      </c>
      <c r="E204" s="1">
        <f t="shared" si="19"/>
        <v>0.65853658536585369</v>
      </c>
      <c r="F204" s="2">
        <v>93.3</v>
      </c>
      <c r="G204" s="2">
        <v>89.5</v>
      </c>
      <c r="H204" s="2">
        <f t="shared" si="20"/>
        <v>3.7999999999999972</v>
      </c>
      <c r="I204" s="1">
        <f t="shared" si="21"/>
        <v>0.64155984536555377</v>
      </c>
      <c r="J204" s="2">
        <v>103.9</v>
      </c>
      <c r="K204" s="2">
        <v>99.6</v>
      </c>
      <c r="L204" s="2">
        <f t="shared" si="22"/>
        <v>4.3000000000000114</v>
      </c>
      <c r="M204" s="1">
        <f t="shared" si="23"/>
        <v>1.6976740000299917E-2</v>
      </c>
      <c r="N204" s="2">
        <v>100</v>
      </c>
      <c r="O204" s="2">
        <v>92</v>
      </c>
      <c r="P204" s="2">
        <f t="shared" si="24"/>
        <v>8</v>
      </c>
      <c r="Q204">
        <v>0.1</v>
      </c>
    </row>
    <row r="205" spans="1:17">
      <c r="A205" t="s">
        <v>52</v>
      </c>
      <c r="B205" t="s">
        <v>30</v>
      </c>
      <c r="C205">
        <v>48</v>
      </c>
      <c r="D205">
        <v>34</v>
      </c>
      <c r="E205" s="1">
        <f t="shared" si="19"/>
        <v>0.58536585365853655</v>
      </c>
      <c r="F205" s="2">
        <v>101.3</v>
      </c>
      <c r="G205" s="2">
        <v>98</v>
      </c>
      <c r="H205" s="2">
        <f t="shared" si="20"/>
        <v>3.2999999999999972</v>
      </c>
      <c r="I205" s="1">
        <f t="shared" si="21"/>
        <v>0.6138832683846418</v>
      </c>
      <c r="J205" s="2">
        <v>107.9</v>
      </c>
      <c r="K205" s="2">
        <v>104.6</v>
      </c>
      <c r="L205" s="2">
        <f t="shared" si="22"/>
        <v>3.3000000000000114</v>
      </c>
      <c r="M205" s="1">
        <f t="shared" si="23"/>
        <v>-2.851741472610525E-2</v>
      </c>
      <c r="N205" s="2">
        <v>102.9</v>
      </c>
      <c r="O205" s="2">
        <v>95</v>
      </c>
      <c r="P205" s="2">
        <f t="shared" si="24"/>
        <v>7.9000000000000057</v>
      </c>
      <c r="Q205">
        <v>2.4</v>
      </c>
    </row>
    <row r="206" spans="1:17">
      <c r="A206" t="s">
        <v>62</v>
      </c>
      <c r="B206" t="s">
        <v>35</v>
      </c>
      <c r="C206">
        <v>56</v>
      </c>
      <c r="D206">
        <v>26</v>
      </c>
      <c r="E206" s="1">
        <f t="shared" si="19"/>
        <v>0.68292682926829273</v>
      </c>
      <c r="F206" s="2">
        <v>115.6</v>
      </c>
      <c r="G206" s="2">
        <v>109.9</v>
      </c>
      <c r="H206" s="2">
        <f t="shared" si="20"/>
        <v>5.6999999999999886</v>
      </c>
      <c r="I206" s="1">
        <f t="shared" si="21"/>
        <v>0.66993947540957544</v>
      </c>
      <c r="J206" s="2">
        <v>114.3</v>
      </c>
      <c r="K206" s="2">
        <v>108.9</v>
      </c>
      <c r="L206" s="2">
        <f t="shared" si="22"/>
        <v>5.3999999999999915</v>
      </c>
      <c r="M206" s="1">
        <f t="shared" si="23"/>
        <v>1.2987353858717299E-2</v>
      </c>
      <c r="N206" s="2">
        <v>111.6</v>
      </c>
      <c r="O206" s="2">
        <v>103.7</v>
      </c>
      <c r="P206" s="2">
        <f t="shared" si="24"/>
        <v>7.8999999999999915</v>
      </c>
      <c r="Q206">
        <v>0.1</v>
      </c>
    </row>
    <row r="207" spans="1:17">
      <c r="A207" t="s">
        <v>48</v>
      </c>
      <c r="B207" t="s">
        <v>40</v>
      </c>
      <c r="C207">
        <v>34</v>
      </c>
      <c r="D207">
        <v>48</v>
      </c>
      <c r="E207" s="1">
        <f t="shared" si="19"/>
        <v>0.41463414634146339</v>
      </c>
      <c r="F207" s="2">
        <v>93.3</v>
      </c>
      <c r="G207" s="2">
        <v>97.3</v>
      </c>
      <c r="H207" s="2">
        <f t="shared" si="20"/>
        <v>-4</v>
      </c>
      <c r="I207" s="1">
        <f t="shared" si="21"/>
        <v>0.35716175877963002</v>
      </c>
      <c r="J207" s="2">
        <v>102.8</v>
      </c>
      <c r="K207" s="2">
        <v>107</v>
      </c>
      <c r="L207" s="2">
        <f t="shared" si="22"/>
        <v>-4.2000000000000028</v>
      </c>
      <c r="M207" s="1">
        <f t="shared" si="23"/>
        <v>5.7472387561833371E-2</v>
      </c>
      <c r="N207" s="2">
        <v>105.8</v>
      </c>
      <c r="O207" s="2">
        <v>98</v>
      </c>
      <c r="P207" s="2">
        <f t="shared" si="24"/>
        <v>7.7999999999999972</v>
      </c>
      <c r="Q207">
        <v>0</v>
      </c>
    </row>
    <row r="208" spans="1:17">
      <c r="A208" t="s">
        <v>59</v>
      </c>
      <c r="B208" t="s">
        <v>30</v>
      </c>
      <c r="C208">
        <v>58</v>
      </c>
      <c r="D208">
        <v>24</v>
      </c>
      <c r="E208" s="1">
        <f t="shared" si="19"/>
        <v>0.70731707317073167</v>
      </c>
      <c r="F208" s="2">
        <v>114.4</v>
      </c>
      <c r="G208" s="2">
        <v>108.4</v>
      </c>
      <c r="H208" s="2">
        <f t="shared" si="20"/>
        <v>6</v>
      </c>
      <c r="I208" s="1">
        <f t="shared" si="21"/>
        <v>0.68009792442204564</v>
      </c>
      <c r="J208" s="2">
        <v>112.6</v>
      </c>
      <c r="K208" s="2">
        <v>106.8</v>
      </c>
      <c r="L208" s="2">
        <f t="shared" si="22"/>
        <v>5.7999999999999972</v>
      </c>
      <c r="M208" s="1">
        <f t="shared" si="23"/>
        <v>2.7219148748686028E-2</v>
      </c>
      <c r="N208" s="2">
        <v>108.1</v>
      </c>
      <c r="O208" s="2">
        <v>100.3</v>
      </c>
      <c r="P208" s="2">
        <f t="shared" si="24"/>
        <v>7.7999999999999972</v>
      </c>
      <c r="Q208">
        <v>-0.5</v>
      </c>
    </row>
    <row r="209" spans="1:17">
      <c r="A209" t="s">
        <v>58</v>
      </c>
      <c r="B209" t="s">
        <v>13</v>
      </c>
      <c r="C209">
        <v>58</v>
      </c>
      <c r="D209">
        <v>24</v>
      </c>
      <c r="E209" s="1">
        <f t="shared" si="19"/>
        <v>0.70731707317073167</v>
      </c>
      <c r="F209" s="2">
        <v>113.5</v>
      </c>
      <c r="G209" s="2">
        <v>107.5</v>
      </c>
      <c r="H209" s="2">
        <f t="shared" si="20"/>
        <v>6</v>
      </c>
      <c r="I209" s="1">
        <f t="shared" si="21"/>
        <v>0.68143359288372995</v>
      </c>
      <c r="J209" s="2">
        <v>112.8</v>
      </c>
      <c r="K209" s="2">
        <v>106.8</v>
      </c>
      <c r="L209" s="2">
        <f t="shared" si="22"/>
        <v>6</v>
      </c>
      <c r="M209" s="1">
        <f t="shared" si="23"/>
        <v>2.5883480287001714E-2</v>
      </c>
      <c r="N209" s="2">
        <v>113.1</v>
      </c>
      <c r="O209" s="2">
        <v>105.3</v>
      </c>
      <c r="P209" s="2">
        <f t="shared" si="24"/>
        <v>7.7999999999999972</v>
      </c>
      <c r="Q209">
        <v>0</v>
      </c>
    </row>
    <row r="210" spans="1:17">
      <c r="A210" t="s">
        <v>66</v>
      </c>
      <c r="B210" t="s">
        <v>9</v>
      </c>
      <c r="C210">
        <v>39</v>
      </c>
      <c r="D210">
        <v>24</v>
      </c>
      <c r="E210" s="1">
        <f t="shared" si="19"/>
        <v>0.61904761904761907</v>
      </c>
      <c r="F210" s="2">
        <v>119.1</v>
      </c>
      <c r="G210" s="2">
        <v>114.9</v>
      </c>
      <c r="H210" s="2">
        <f t="shared" si="20"/>
        <v>4.1999999999999886</v>
      </c>
      <c r="I210" s="1">
        <f t="shared" si="21"/>
        <v>0.62307439243207641</v>
      </c>
      <c r="J210" s="2">
        <v>117.4</v>
      </c>
      <c r="K210" s="2">
        <v>113.1</v>
      </c>
      <c r="L210" s="2">
        <f t="shared" si="22"/>
        <v>4.3000000000000114</v>
      </c>
      <c r="M210" s="1">
        <f t="shared" si="23"/>
        <v>-4.0267733844573383E-3</v>
      </c>
      <c r="N210" s="2">
        <v>114.8</v>
      </c>
      <c r="O210" s="2">
        <v>107</v>
      </c>
      <c r="P210" s="2">
        <f t="shared" si="24"/>
        <v>7.7999999999999972</v>
      </c>
      <c r="Q210">
        <v>1.9</v>
      </c>
    </row>
    <row r="211" spans="1:17">
      <c r="A211" t="s">
        <v>60</v>
      </c>
      <c r="B211" t="s">
        <v>56</v>
      </c>
      <c r="C211">
        <v>49</v>
      </c>
      <c r="D211">
        <v>23</v>
      </c>
      <c r="E211" s="1">
        <f t="shared" si="19"/>
        <v>0.68055555555555558</v>
      </c>
      <c r="F211" s="2">
        <v>116.3</v>
      </c>
      <c r="G211" s="2">
        <v>109.9</v>
      </c>
      <c r="H211" s="2">
        <f t="shared" si="20"/>
        <v>6.3999999999999915</v>
      </c>
      <c r="I211" s="1">
        <f t="shared" si="21"/>
        <v>0.68835302636242091</v>
      </c>
      <c r="J211" s="2">
        <v>113.3</v>
      </c>
      <c r="K211" s="2">
        <v>106.9</v>
      </c>
      <c r="L211" s="2">
        <f t="shared" si="22"/>
        <v>6.3999999999999915</v>
      </c>
      <c r="M211" s="1">
        <f t="shared" si="23"/>
        <v>-7.7974708068653253E-3</v>
      </c>
      <c r="N211" s="2">
        <v>116</v>
      </c>
      <c r="O211" s="2">
        <v>108.3</v>
      </c>
      <c r="P211" s="2">
        <f t="shared" si="24"/>
        <v>7.7000000000000028</v>
      </c>
      <c r="Q211">
        <v>0.7</v>
      </c>
    </row>
    <row r="212" spans="1:17">
      <c r="A212" t="s">
        <v>63</v>
      </c>
      <c r="B212" t="s">
        <v>31</v>
      </c>
      <c r="C212">
        <v>37</v>
      </c>
      <c r="D212">
        <v>45</v>
      </c>
      <c r="E212" s="1">
        <f t="shared" si="19"/>
        <v>0.45121951219512196</v>
      </c>
      <c r="F212" s="2">
        <v>117.1</v>
      </c>
      <c r="G212" s="2">
        <v>118</v>
      </c>
      <c r="H212" s="2">
        <f t="shared" si="20"/>
        <v>-0.90000000000000568</v>
      </c>
      <c r="I212" s="1">
        <f t="shared" si="21"/>
        <v>0.47322838921503652</v>
      </c>
      <c r="J212" s="2">
        <v>115.3</v>
      </c>
      <c r="K212" s="2">
        <v>116</v>
      </c>
      <c r="L212" s="2">
        <f t="shared" si="22"/>
        <v>-0.70000000000000284</v>
      </c>
      <c r="M212" s="1">
        <f t="shared" si="23"/>
        <v>-2.2008877019914552E-2</v>
      </c>
      <c r="N212" s="2">
        <v>117.2</v>
      </c>
      <c r="O212" s="2">
        <v>109.5</v>
      </c>
      <c r="P212" s="2">
        <f t="shared" si="24"/>
        <v>7.7000000000000028</v>
      </c>
      <c r="Q212">
        <v>-0.1</v>
      </c>
    </row>
    <row r="213" spans="1:17">
      <c r="A213" t="s">
        <v>48</v>
      </c>
      <c r="B213" t="s">
        <v>28</v>
      </c>
      <c r="C213">
        <v>61</v>
      </c>
      <c r="D213">
        <v>21</v>
      </c>
      <c r="E213" s="1">
        <f t="shared" si="19"/>
        <v>0.74390243902439024</v>
      </c>
      <c r="F213" s="2">
        <v>103.7</v>
      </c>
      <c r="G213" s="2">
        <v>98</v>
      </c>
      <c r="H213" s="2">
        <f t="shared" si="20"/>
        <v>5.7000000000000028</v>
      </c>
      <c r="I213" s="1">
        <f t="shared" si="21"/>
        <v>0.68815008100174779</v>
      </c>
      <c r="J213" s="2">
        <v>110.5</v>
      </c>
      <c r="K213" s="2">
        <v>104.4</v>
      </c>
      <c r="L213" s="2">
        <f t="shared" si="22"/>
        <v>6.0999999999999943</v>
      </c>
      <c r="M213" s="1">
        <f t="shared" si="23"/>
        <v>5.5752358022642445E-2</v>
      </c>
      <c r="N213" s="2">
        <v>100.7</v>
      </c>
      <c r="O213" s="2">
        <v>93.1</v>
      </c>
      <c r="P213" s="2">
        <f t="shared" si="24"/>
        <v>7.6000000000000085</v>
      </c>
      <c r="Q213">
        <v>0.9</v>
      </c>
    </row>
    <row r="214" spans="1:17">
      <c r="A214" t="s">
        <v>47</v>
      </c>
      <c r="B214" t="s">
        <v>23</v>
      </c>
      <c r="C214">
        <v>59</v>
      </c>
      <c r="D214">
        <v>23</v>
      </c>
      <c r="E214" s="1">
        <f t="shared" si="19"/>
        <v>0.71951219512195119</v>
      </c>
      <c r="F214" s="2">
        <v>102.8</v>
      </c>
      <c r="G214" s="2">
        <v>95.3</v>
      </c>
      <c r="H214" s="2">
        <f t="shared" si="20"/>
        <v>7.5</v>
      </c>
      <c r="I214" s="1">
        <f t="shared" si="21"/>
        <v>0.74280090861208392</v>
      </c>
      <c r="J214" s="2">
        <v>110.7</v>
      </c>
      <c r="K214" s="2">
        <v>102.8</v>
      </c>
      <c r="L214" s="2">
        <f t="shared" si="22"/>
        <v>7.9000000000000057</v>
      </c>
      <c r="M214" s="1">
        <f t="shared" si="23"/>
        <v>-2.3288713490132729E-2</v>
      </c>
      <c r="N214" s="2">
        <v>107.6</v>
      </c>
      <c r="O214" s="2">
        <v>100</v>
      </c>
      <c r="P214" s="2">
        <f t="shared" si="24"/>
        <v>7.5999999999999943</v>
      </c>
      <c r="Q214">
        <v>1.3</v>
      </c>
    </row>
    <row r="215" spans="1:17">
      <c r="A215" t="s">
        <v>50</v>
      </c>
      <c r="B215" t="s">
        <v>35</v>
      </c>
      <c r="C215">
        <v>56</v>
      </c>
      <c r="D215">
        <v>26</v>
      </c>
      <c r="E215" s="1">
        <f t="shared" si="19"/>
        <v>0.68292682926829273</v>
      </c>
      <c r="F215" s="2">
        <v>93.4</v>
      </c>
      <c r="G215" s="2">
        <v>89.3</v>
      </c>
      <c r="H215" s="2">
        <f t="shared" si="20"/>
        <v>4.1000000000000085</v>
      </c>
      <c r="I215" s="1">
        <f t="shared" si="21"/>
        <v>0.65213973687486437</v>
      </c>
      <c r="J215" s="2">
        <v>103.6</v>
      </c>
      <c r="K215" s="2">
        <v>99.1</v>
      </c>
      <c r="L215" s="2">
        <f t="shared" si="22"/>
        <v>4.5</v>
      </c>
      <c r="M215" s="1">
        <f t="shared" si="23"/>
        <v>3.0787092393428361E-2</v>
      </c>
      <c r="N215" s="2">
        <v>97.9</v>
      </c>
      <c r="O215" s="2">
        <v>90.4</v>
      </c>
      <c r="P215" s="2">
        <f t="shared" si="24"/>
        <v>7.5</v>
      </c>
      <c r="Q215">
        <v>-0.7</v>
      </c>
    </row>
    <row r="216" spans="1:17">
      <c r="A216" t="s">
        <v>49</v>
      </c>
      <c r="B216" t="s">
        <v>27</v>
      </c>
      <c r="C216">
        <v>22</v>
      </c>
      <c r="D216">
        <v>44</v>
      </c>
      <c r="E216" s="1">
        <f t="shared" si="19"/>
        <v>0.33333333333333331</v>
      </c>
      <c r="F216" s="2">
        <v>98.8</v>
      </c>
      <c r="G216" s="2">
        <v>104.4</v>
      </c>
      <c r="H216" s="2">
        <f t="shared" si="20"/>
        <v>-5.6000000000000085</v>
      </c>
      <c r="I216" s="1">
        <f t="shared" si="21"/>
        <v>0.31607926844552064</v>
      </c>
      <c r="J216" s="2">
        <v>102.9</v>
      </c>
      <c r="K216" s="2">
        <v>108.7</v>
      </c>
      <c r="L216" s="2">
        <f t="shared" si="22"/>
        <v>-5.7999999999999972</v>
      </c>
      <c r="M216" s="1">
        <f t="shared" si="23"/>
        <v>1.725406488781267E-2</v>
      </c>
      <c r="N216" s="2">
        <v>100</v>
      </c>
      <c r="O216" s="2">
        <v>92.5</v>
      </c>
      <c r="P216" s="2">
        <f t="shared" si="24"/>
        <v>7.5</v>
      </c>
      <c r="Q216">
        <v>0</v>
      </c>
    </row>
    <row r="217" spans="1:17">
      <c r="A217" t="s">
        <v>47</v>
      </c>
      <c r="B217" t="s">
        <v>11</v>
      </c>
      <c r="C217">
        <v>53</v>
      </c>
      <c r="D217">
        <v>29</v>
      </c>
      <c r="E217" s="1">
        <f t="shared" si="19"/>
        <v>0.64634146341463417</v>
      </c>
      <c r="F217" s="2">
        <v>106.5</v>
      </c>
      <c r="G217" s="2">
        <v>102.4</v>
      </c>
      <c r="H217" s="2">
        <f t="shared" si="20"/>
        <v>4.0999999999999943</v>
      </c>
      <c r="I217" s="1">
        <f t="shared" si="21"/>
        <v>0.63404645270509008</v>
      </c>
      <c r="J217" s="2">
        <v>110.8</v>
      </c>
      <c r="K217" s="2">
        <v>106.5</v>
      </c>
      <c r="L217" s="2">
        <f t="shared" si="22"/>
        <v>4.2999999999999972</v>
      </c>
      <c r="M217" s="1">
        <f t="shared" si="23"/>
        <v>1.2295010709544085E-2</v>
      </c>
      <c r="N217" s="2">
        <v>117.7</v>
      </c>
      <c r="O217" s="2">
        <v>110.2</v>
      </c>
      <c r="P217" s="2">
        <f t="shared" si="24"/>
        <v>7.5</v>
      </c>
      <c r="Q217">
        <v>1.6</v>
      </c>
    </row>
    <row r="218" spans="1:17">
      <c r="A218" t="s">
        <v>65</v>
      </c>
      <c r="B218" t="s">
        <v>19</v>
      </c>
      <c r="C218">
        <v>47</v>
      </c>
      <c r="D218">
        <v>34</v>
      </c>
      <c r="E218" s="1">
        <f t="shared" si="19"/>
        <v>0.58024691358024694</v>
      </c>
      <c r="F218" s="2">
        <v>115.6</v>
      </c>
      <c r="G218" s="2">
        <v>113.2</v>
      </c>
      <c r="H218" s="2">
        <f t="shared" si="20"/>
        <v>2.3999999999999915</v>
      </c>
      <c r="I218" s="1">
        <f t="shared" si="21"/>
        <v>0.57290588785941787</v>
      </c>
      <c r="J218" s="2">
        <v>115.3</v>
      </c>
      <c r="K218" s="2">
        <v>112.9</v>
      </c>
      <c r="L218" s="2">
        <f t="shared" si="22"/>
        <v>2.3999999999999915</v>
      </c>
      <c r="M218" s="1">
        <f t="shared" si="23"/>
        <v>7.3410257208290641E-3</v>
      </c>
      <c r="N218" s="2">
        <v>102.5</v>
      </c>
      <c r="O218" s="2">
        <v>95</v>
      </c>
      <c r="P218" s="2">
        <f t="shared" si="24"/>
        <v>7.5</v>
      </c>
      <c r="Q218">
        <v>0.2</v>
      </c>
    </row>
    <row r="219" spans="1:17">
      <c r="A219" t="s">
        <v>66</v>
      </c>
      <c r="B219" t="s">
        <v>31</v>
      </c>
      <c r="C219">
        <v>19</v>
      </c>
      <c r="D219">
        <v>45</v>
      </c>
      <c r="E219" s="1">
        <f t="shared" si="19"/>
        <v>0.296875</v>
      </c>
      <c r="F219" s="2">
        <v>117.4</v>
      </c>
      <c r="G219" s="2">
        <v>125</v>
      </c>
      <c r="H219" s="2">
        <f t="shared" si="20"/>
        <v>-7.5999999999999943</v>
      </c>
      <c r="I219" s="1">
        <f t="shared" si="21"/>
        <v>0.29355597812960449</v>
      </c>
      <c r="J219" s="2">
        <v>113.2</v>
      </c>
      <c r="K219" s="2">
        <v>120.5</v>
      </c>
      <c r="L219" s="2">
        <f t="shared" si="22"/>
        <v>-7.2999999999999972</v>
      </c>
      <c r="M219" s="1">
        <f t="shared" si="23"/>
        <v>3.319021870395511E-3</v>
      </c>
      <c r="N219" s="2">
        <v>113.6</v>
      </c>
      <c r="O219" s="2">
        <v>106.1</v>
      </c>
      <c r="P219" s="2">
        <f t="shared" si="24"/>
        <v>7.5</v>
      </c>
      <c r="Q219" s="2">
        <v>-0.7</v>
      </c>
    </row>
    <row r="220" spans="1:17">
      <c r="A220" t="s">
        <v>34</v>
      </c>
      <c r="B220" t="s">
        <v>9</v>
      </c>
      <c r="C220">
        <v>29</v>
      </c>
      <c r="D220">
        <v>53</v>
      </c>
      <c r="E220" s="1">
        <f t="shared" si="19"/>
        <v>0.35365853658536583</v>
      </c>
      <c r="F220" s="2">
        <v>95.3</v>
      </c>
      <c r="G220" s="2">
        <v>98.6</v>
      </c>
      <c r="H220" s="2">
        <f t="shared" si="20"/>
        <v>-3.2999999999999972</v>
      </c>
      <c r="I220" s="1">
        <f t="shared" si="21"/>
        <v>0.38305995894836997</v>
      </c>
      <c r="J220" s="2">
        <v>103.4</v>
      </c>
      <c r="K220" s="2">
        <v>107</v>
      </c>
      <c r="L220" s="2">
        <f t="shared" si="22"/>
        <v>-3.5999999999999943</v>
      </c>
      <c r="M220" s="1">
        <f t="shared" si="23"/>
        <v>-2.9401422363004137E-2</v>
      </c>
      <c r="N220" s="2">
        <v>107.2</v>
      </c>
      <c r="O220" s="2">
        <v>99.7</v>
      </c>
      <c r="P220" s="2">
        <f t="shared" si="24"/>
        <v>7.5</v>
      </c>
      <c r="Q220">
        <v>-0.7</v>
      </c>
    </row>
    <row r="221" spans="1:17">
      <c r="A221" t="s">
        <v>61</v>
      </c>
      <c r="B221" t="s">
        <v>53</v>
      </c>
      <c r="C221">
        <v>31</v>
      </c>
      <c r="D221">
        <v>41</v>
      </c>
      <c r="E221" s="1">
        <f t="shared" si="19"/>
        <v>0.43055555555555558</v>
      </c>
      <c r="F221" s="2">
        <v>114.6</v>
      </c>
      <c r="G221" s="2">
        <v>114.9</v>
      </c>
      <c r="H221" s="2">
        <f t="shared" si="20"/>
        <v>-0.30000000000001137</v>
      </c>
      <c r="I221" s="1">
        <f t="shared" si="21"/>
        <v>0.49085068937961135</v>
      </c>
      <c r="J221" s="2">
        <v>113</v>
      </c>
      <c r="K221" s="2">
        <v>113.3</v>
      </c>
      <c r="L221" s="2">
        <f t="shared" si="22"/>
        <v>-0.29999999999999716</v>
      </c>
      <c r="M221" s="1">
        <f t="shared" si="23"/>
        <v>-6.0295133824055769E-2</v>
      </c>
      <c r="N221" s="2">
        <v>109</v>
      </c>
      <c r="O221" s="2">
        <v>101.5</v>
      </c>
      <c r="P221" s="2">
        <f t="shared" si="24"/>
        <v>7.5</v>
      </c>
      <c r="Q221">
        <v>0.5</v>
      </c>
    </row>
    <row r="222" spans="1:17">
      <c r="A222" t="s">
        <v>4</v>
      </c>
      <c r="B222" t="s">
        <v>24</v>
      </c>
      <c r="C222">
        <v>56</v>
      </c>
      <c r="D222">
        <v>26</v>
      </c>
      <c r="E222" s="1">
        <f t="shared" si="19"/>
        <v>0.68292682926829273</v>
      </c>
      <c r="F222" s="2">
        <v>94.7</v>
      </c>
      <c r="G222" s="2">
        <v>90.4</v>
      </c>
      <c r="H222" s="2">
        <f t="shared" si="20"/>
        <v>4.2999999999999972</v>
      </c>
      <c r="I222" s="1">
        <f t="shared" si="21"/>
        <v>0.65714030959602765</v>
      </c>
      <c r="J222" s="2">
        <v>101.9</v>
      </c>
      <c r="K222" s="2">
        <v>97.3</v>
      </c>
      <c r="L222" s="2">
        <f t="shared" si="22"/>
        <v>4.6000000000000085</v>
      </c>
      <c r="M222" s="1">
        <f t="shared" si="23"/>
        <v>2.5786519672265085E-2</v>
      </c>
      <c r="N222" s="2">
        <v>101.9</v>
      </c>
      <c r="O222" s="2">
        <v>94.6</v>
      </c>
      <c r="P222" s="2">
        <f t="shared" si="24"/>
        <v>7.3000000000000114</v>
      </c>
      <c r="Q222">
        <v>0.4</v>
      </c>
    </row>
    <row r="223" spans="1:17">
      <c r="A223" t="s">
        <v>34</v>
      </c>
      <c r="B223" t="s">
        <v>19</v>
      </c>
      <c r="C223">
        <v>41</v>
      </c>
      <c r="D223">
        <v>41</v>
      </c>
      <c r="E223" s="1">
        <f t="shared" si="19"/>
        <v>0.5</v>
      </c>
      <c r="F223" s="2">
        <v>97.5</v>
      </c>
      <c r="G223" s="2">
        <v>97.7</v>
      </c>
      <c r="H223" s="2">
        <f t="shared" si="20"/>
        <v>-0.20000000000000284</v>
      </c>
      <c r="I223" s="1">
        <f t="shared" si="21"/>
        <v>0.49282835821021359</v>
      </c>
      <c r="J223" s="2">
        <v>105.3</v>
      </c>
      <c r="K223" s="2">
        <v>105.6</v>
      </c>
      <c r="L223" s="2">
        <f t="shared" si="22"/>
        <v>-0.29999999999999716</v>
      </c>
      <c r="M223" s="1">
        <f t="shared" si="23"/>
        <v>7.1716417897864093E-3</v>
      </c>
      <c r="N223" s="2">
        <v>107.5</v>
      </c>
      <c r="O223" s="2">
        <v>100.2</v>
      </c>
      <c r="P223" s="2">
        <f t="shared" si="24"/>
        <v>7.2999999999999972</v>
      </c>
      <c r="Q223">
        <v>0.4</v>
      </c>
    </row>
    <row r="224" spans="1:17">
      <c r="A224" t="s">
        <v>59</v>
      </c>
      <c r="B224" t="s">
        <v>17</v>
      </c>
      <c r="C224">
        <v>37</v>
      </c>
      <c r="D224">
        <v>45</v>
      </c>
      <c r="E224" s="1">
        <f t="shared" si="19"/>
        <v>0.45121951219512196</v>
      </c>
      <c r="F224" s="2">
        <v>111.8</v>
      </c>
      <c r="G224" s="2">
        <v>113.5</v>
      </c>
      <c r="H224" s="2">
        <f t="shared" si="20"/>
        <v>-1.7000000000000028</v>
      </c>
      <c r="I224" s="1">
        <f t="shared" si="21"/>
        <v>0.44737614127951658</v>
      </c>
      <c r="J224" s="2">
        <v>107.4</v>
      </c>
      <c r="K224" s="2">
        <v>108.9</v>
      </c>
      <c r="L224" s="2">
        <f t="shared" si="22"/>
        <v>-1.5</v>
      </c>
      <c r="M224" s="1">
        <f t="shared" si="23"/>
        <v>3.8433709156053819E-3</v>
      </c>
      <c r="N224" s="2">
        <v>114.7</v>
      </c>
      <c r="O224" s="2">
        <v>107.5</v>
      </c>
      <c r="P224" s="2">
        <f t="shared" si="24"/>
        <v>7.2000000000000028</v>
      </c>
      <c r="Q224">
        <v>-0.8</v>
      </c>
    </row>
    <row r="225" spans="1:17">
      <c r="A225" t="s">
        <v>34</v>
      </c>
      <c r="B225" t="s">
        <v>24</v>
      </c>
      <c r="C225">
        <v>43</v>
      </c>
      <c r="D225">
        <v>39</v>
      </c>
      <c r="E225" s="1">
        <f t="shared" si="19"/>
        <v>0.52439024390243905</v>
      </c>
      <c r="F225" s="2">
        <v>91</v>
      </c>
      <c r="G225" s="2">
        <v>89.4</v>
      </c>
      <c r="H225" s="2">
        <f t="shared" si="20"/>
        <v>1.5999999999999943</v>
      </c>
      <c r="I225" s="1">
        <f t="shared" si="21"/>
        <v>0.56176874789874143</v>
      </c>
      <c r="J225" s="2">
        <v>100.5</v>
      </c>
      <c r="K225" s="2">
        <v>98.7</v>
      </c>
      <c r="L225" s="2">
        <f t="shared" si="22"/>
        <v>1.7999999999999972</v>
      </c>
      <c r="M225" s="1">
        <f t="shared" si="23"/>
        <v>-3.7378503996302381E-2</v>
      </c>
      <c r="N225" s="2">
        <v>90.2</v>
      </c>
      <c r="O225" s="2">
        <v>83</v>
      </c>
      <c r="P225" s="2">
        <f t="shared" si="24"/>
        <v>7.2000000000000028</v>
      </c>
      <c r="Q225">
        <v>0</v>
      </c>
    </row>
    <row r="226" spans="1:17">
      <c r="A226" t="s">
        <v>4</v>
      </c>
      <c r="B226" t="s">
        <v>18</v>
      </c>
      <c r="C226">
        <v>50</v>
      </c>
      <c r="D226">
        <v>32</v>
      </c>
      <c r="E226" s="1">
        <f t="shared" si="19"/>
        <v>0.6097560975609756</v>
      </c>
      <c r="F226" s="2">
        <v>88.9</v>
      </c>
      <c r="G226" s="2">
        <v>86.6</v>
      </c>
      <c r="H226" s="2">
        <f t="shared" si="20"/>
        <v>2.3000000000000114</v>
      </c>
      <c r="I226" s="1">
        <f t="shared" si="21"/>
        <v>0.59072724433353874</v>
      </c>
      <c r="J226" s="2">
        <v>99.4</v>
      </c>
      <c r="K226" s="2">
        <v>97.1</v>
      </c>
      <c r="L226" s="2">
        <f t="shared" si="22"/>
        <v>2.3000000000000114</v>
      </c>
      <c r="M226" s="1">
        <f t="shared" si="23"/>
        <v>1.9028853227436859E-2</v>
      </c>
      <c r="N226" s="2">
        <v>99.1</v>
      </c>
      <c r="O226" s="2">
        <v>92.1</v>
      </c>
      <c r="P226" s="2">
        <f t="shared" si="24"/>
        <v>7</v>
      </c>
      <c r="Q226">
        <v>-0.3</v>
      </c>
    </row>
    <row r="227" spans="1:17">
      <c r="A227" t="s">
        <v>65</v>
      </c>
      <c r="B227" t="s">
        <v>23</v>
      </c>
      <c r="C227">
        <v>41</v>
      </c>
      <c r="D227">
        <v>41</v>
      </c>
      <c r="E227" s="1">
        <f t="shared" si="19"/>
        <v>0.5</v>
      </c>
      <c r="F227" s="2">
        <v>105.4</v>
      </c>
      <c r="G227" s="2">
        <v>105.5</v>
      </c>
      <c r="H227" s="2">
        <f t="shared" si="20"/>
        <v>-9.9999999999994316E-2</v>
      </c>
      <c r="I227" s="1">
        <f t="shared" si="21"/>
        <v>0.4966809399213436</v>
      </c>
      <c r="J227" s="2">
        <v>108.9</v>
      </c>
      <c r="K227" s="2">
        <v>109.1</v>
      </c>
      <c r="L227" s="2">
        <f t="shared" si="22"/>
        <v>-0.19999999999998863</v>
      </c>
      <c r="M227" s="1">
        <f t="shared" si="23"/>
        <v>3.3190600786563995E-3</v>
      </c>
      <c r="N227" s="2">
        <v>104.5</v>
      </c>
      <c r="O227" s="2">
        <v>97.5</v>
      </c>
      <c r="P227" s="2">
        <f t="shared" si="24"/>
        <v>7</v>
      </c>
      <c r="Q227">
        <v>0.8</v>
      </c>
    </row>
    <row r="228" spans="1:17">
      <c r="A228" t="s">
        <v>63</v>
      </c>
      <c r="B228" t="s">
        <v>19</v>
      </c>
      <c r="C228">
        <v>58</v>
      </c>
      <c r="D228">
        <v>24</v>
      </c>
      <c r="E228" s="1">
        <f t="shared" si="19"/>
        <v>0.70731707317073167</v>
      </c>
      <c r="F228" s="2">
        <v>116.9</v>
      </c>
      <c r="G228" s="2">
        <v>113.3</v>
      </c>
      <c r="H228" s="2">
        <f t="shared" si="20"/>
        <v>3.6000000000000085</v>
      </c>
      <c r="I228" s="1">
        <f t="shared" si="21"/>
        <v>0.607762297189269</v>
      </c>
      <c r="J228" s="2">
        <v>114.3</v>
      </c>
      <c r="K228" s="2">
        <v>110.9</v>
      </c>
      <c r="L228" s="2">
        <f t="shared" si="22"/>
        <v>3.3999999999999915</v>
      </c>
      <c r="M228" s="1">
        <f t="shared" si="23"/>
        <v>9.9554775981462673E-2</v>
      </c>
      <c r="N228" s="2">
        <v>109.7</v>
      </c>
      <c r="O228" s="2">
        <v>102.8</v>
      </c>
      <c r="P228" s="2">
        <f t="shared" si="24"/>
        <v>6.9000000000000057</v>
      </c>
      <c r="Q228">
        <v>0.7</v>
      </c>
    </row>
    <row r="229" spans="1:17">
      <c r="A229" t="s">
        <v>52</v>
      </c>
      <c r="B229" t="s">
        <v>18</v>
      </c>
      <c r="C229">
        <v>54</v>
      </c>
      <c r="D229">
        <v>28</v>
      </c>
      <c r="E229" s="1">
        <f t="shared" si="19"/>
        <v>0.65853658536585369</v>
      </c>
      <c r="F229" s="2">
        <v>102.2</v>
      </c>
      <c r="G229" s="2">
        <v>97.4</v>
      </c>
      <c r="H229" s="2">
        <f t="shared" si="20"/>
        <v>4.7999999999999972</v>
      </c>
      <c r="I229" s="1">
        <f t="shared" si="21"/>
        <v>0.66228117698287825</v>
      </c>
      <c r="J229" s="2">
        <v>110</v>
      </c>
      <c r="K229" s="2">
        <v>105</v>
      </c>
      <c r="L229" s="2">
        <f t="shared" si="22"/>
        <v>5</v>
      </c>
      <c r="M229" s="1">
        <f t="shared" si="23"/>
        <v>-3.7445916170245619E-3</v>
      </c>
      <c r="N229" s="2">
        <v>104.5</v>
      </c>
      <c r="O229" s="2">
        <v>97.6</v>
      </c>
      <c r="P229" s="2">
        <f t="shared" si="24"/>
        <v>6.9000000000000057</v>
      </c>
      <c r="Q229">
        <v>1.6</v>
      </c>
    </row>
    <row r="230" spans="1:17">
      <c r="A230" t="s">
        <v>54</v>
      </c>
      <c r="B230" t="s">
        <v>16</v>
      </c>
      <c r="C230">
        <v>56</v>
      </c>
      <c r="D230">
        <v>26</v>
      </c>
      <c r="E230" s="1">
        <f t="shared" si="19"/>
        <v>0.68292682926829273</v>
      </c>
      <c r="F230" s="2">
        <v>106.7</v>
      </c>
      <c r="G230" s="2">
        <v>100.1</v>
      </c>
      <c r="H230" s="2">
        <f t="shared" si="20"/>
        <v>6.6000000000000085</v>
      </c>
      <c r="I230" s="1">
        <f t="shared" si="21"/>
        <v>0.70969858528213514</v>
      </c>
      <c r="J230" s="2">
        <v>111.6</v>
      </c>
      <c r="K230" s="2">
        <v>104.7</v>
      </c>
      <c r="L230" s="2">
        <f t="shared" si="22"/>
        <v>6.8999999999999915</v>
      </c>
      <c r="M230" s="1">
        <f t="shared" si="23"/>
        <v>-2.6771756013842407E-2</v>
      </c>
      <c r="N230" s="2">
        <v>97.9</v>
      </c>
      <c r="O230" s="2">
        <v>91</v>
      </c>
      <c r="P230" s="2">
        <f t="shared" si="24"/>
        <v>6.9000000000000057</v>
      </c>
      <c r="Q230">
        <v>1.1000000000000001</v>
      </c>
    </row>
    <row r="231" spans="1:17">
      <c r="A231" t="s">
        <v>43</v>
      </c>
      <c r="B231" t="s">
        <v>30</v>
      </c>
      <c r="C231">
        <v>47</v>
      </c>
      <c r="D231">
        <v>35</v>
      </c>
      <c r="E231" s="1">
        <f t="shared" si="19"/>
        <v>0.57317073170731703</v>
      </c>
      <c r="F231" s="2">
        <v>99.5</v>
      </c>
      <c r="G231" s="2">
        <v>98.5</v>
      </c>
      <c r="H231" s="2">
        <f t="shared" si="20"/>
        <v>1</v>
      </c>
      <c r="I231" s="1">
        <f t="shared" si="21"/>
        <v>0.53529503549100332</v>
      </c>
      <c r="J231" s="2">
        <v>105.7</v>
      </c>
      <c r="K231" s="2">
        <v>104.4</v>
      </c>
      <c r="L231" s="2">
        <f t="shared" si="22"/>
        <v>1.2999999999999972</v>
      </c>
      <c r="M231" s="1">
        <f t="shared" si="23"/>
        <v>3.7875696216313703E-2</v>
      </c>
      <c r="N231" s="2">
        <v>106.6</v>
      </c>
      <c r="O231" s="2">
        <v>99.7</v>
      </c>
      <c r="P231" s="2">
        <f t="shared" si="24"/>
        <v>6.8999999999999915</v>
      </c>
      <c r="Q231">
        <v>0.3</v>
      </c>
    </row>
    <row r="232" spans="1:17">
      <c r="A232" t="s">
        <v>41</v>
      </c>
      <c r="B232" t="s">
        <v>9</v>
      </c>
      <c r="C232">
        <v>50</v>
      </c>
      <c r="D232">
        <v>32</v>
      </c>
      <c r="E232" s="1">
        <f t="shared" si="19"/>
        <v>0.6097560975609756</v>
      </c>
      <c r="F232" s="2">
        <v>97.6</v>
      </c>
      <c r="G232" s="2">
        <v>95.4</v>
      </c>
      <c r="H232" s="2">
        <f t="shared" si="20"/>
        <v>2.1999999999999886</v>
      </c>
      <c r="I232" s="1">
        <f t="shared" si="21"/>
        <v>0.57912557114227126</v>
      </c>
      <c r="J232" s="2">
        <v>106.6</v>
      </c>
      <c r="K232" s="2">
        <v>104.4</v>
      </c>
      <c r="L232" s="2">
        <f t="shared" si="22"/>
        <v>2.1999999999999886</v>
      </c>
      <c r="M232" s="1">
        <f t="shared" si="23"/>
        <v>3.063052641870434E-2</v>
      </c>
      <c r="N232" s="2">
        <v>113.8</v>
      </c>
      <c r="O232" s="2">
        <v>106.9</v>
      </c>
      <c r="P232" s="2">
        <f t="shared" si="24"/>
        <v>6.8999999999999915</v>
      </c>
      <c r="Q232">
        <v>0.6</v>
      </c>
    </row>
    <row r="233" spans="1:17">
      <c r="A233" t="s">
        <v>39</v>
      </c>
      <c r="B233" t="s">
        <v>13</v>
      </c>
      <c r="C233">
        <v>34</v>
      </c>
      <c r="D233">
        <v>48</v>
      </c>
      <c r="E233" s="1">
        <f t="shared" si="19"/>
        <v>0.41463414634146339</v>
      </c>
      <c r="F233" s="2">
        <v>98.7</v>
      </c>
      <c r="G233" s="2">
        <v>100.9</v>
      </c>
      <c r="H233" s="2">
        <f t="shared" si="20"/>
        <v>-2.2000000000000028</v>
      </c>
      <c r="I233" s="1">
        <f t="shared" si="21"/>
        <v>0.42344924071660006</v>
      </c>
      <c r="J233" s="2">
        <v>103.4</v>
      </c>
      <c r="K233" s="2">
        <v>105.5</v>
      </c>
      <c r="L233" s="2">
        <f t="shared" si="22"/>
        <v>-2.0999999999999943</v>
      </c>
      <c r="M233" s="1">
        <f t="shared" si="23"/>
        <v>-8.8150943751366673E-3</v>
      </c>
      <c r="N233" s="2">
        <v>99.8</v>
      </c>
      <c r="O233" s="2">
        <v>92.9</v>
      </c>
      <c r="P233" s="2">
        <f t="shared" si="24"/>
        <v>6.8999999999999915</v>
      </c>
      <c r="Q233">
        <v>-0.8</v>
      </c>
    </row>
    <row r="234" spans="1:17">
      <c r="A234" t="s">
        <v>58</v>
      </c>
      <c r="B234" t="s">
        <v>53</v>
      </c>
      <c r="C234">
        <v>48</v>
      </c>
      <c r="D234">
        <v>34</v>
      </c>
      <c r="E234" s="1">
        <f t="shared" si="19"/>
        <v>0.58536585365853655</v>
      </c>
      <c r="F234" s="2">
        <v>111.7</v>
      </c>
      <c r="G234" s="2">
        <v>110.4</v>
      </c>
      <c r="H234" s="2">
        <f t="shared" si="20"/>
        <v>1.2999999999999972</v>
      </c>
      <c r="I234" s="1">
        <f t="shared" si="21"/>
        <v>0.54088153523494542</v>
      </c>
      <c r="J234" s="2">
        <v>108.5</v>
      </c>
      <c r="K234" s="2">
        <v>107.4</v>
      </c>
      <c r="L234" s="2">
        <f t="shared" si="22"/>
        <v>1.0999999999999943</v>
      </c>
      <c r="M234" s="1">
        <f t="shared" si="23"/>
        <v>4.4484318423591129E-2</v>
      </c>
      <c r="N234" s="2">
        <v>106</v>
      </c>
      <c r="O234" s="2">
        <v>99.3</v>
      </c>
      <c r="P234" s="2">
        <f t="shared" si="24"/>
        <v>6.7000000000000028</v>
      </c>
      <c r="Q234">
        <v>0.2</v>
      </c>
    </row>
    <row r="235" spans="1:17">
      <c r="A235" t="s">
        <v>50</v>
      </c>
      <c r="B235" t="s">
        <v>8</v>
      </c>
      <c r="C235">
        <v>45</v>
      </c>
      <c r="D235">
        <v>37</v>
      </c>
      <c r="E235" s="1">
        <f t="shared" si="19"/>
        <v>0.54878048780487809</v>
      </c>
      <c r="F235" s="2">
        <v>93.2</v>
      </c>
      <c r="G235" s="2">
        <v>92.9</v>
      </c>
      <c r="H235" s="2">
        <f t="shared" si="20"/>
        <v>0.29999999999999716</v>
      </c>
      <c r="I235" s="1">
        <f t="shared" si="21"/>
        <v>0.51128235010405287</v>
      </c>
      <c r="J235" s="2">
        <v>102.4</v>
      </c>
      <c r="K235" s="2">
        <v>101.9</v>
      </c>
      <c r="L235" s="2">
        <f t="shared" si="22"/>
        <v>0.5</v>
      </c>
      <c r="M235" s="1">
        <f t="shared" si="23"/>
        <v>3.7498137700825218E-2</v>
      </c>
      <c r="N235" s="2">
        <v>101.4</v>
      </c>
      <c r="O235" s="2">
        <v>94.7</v>
      </c>
      <c r="P235" s="2">
        <f t="shared" si="24"/>
        <v>6.7000000000000028</v>
      </c>
      <c r="Q235">
        <v>-0.5</v>
      </c>
    </row>
    <row r="236" spans="1:17">
      <c r="A236" t="s">
        <v>44</v>
      </c>
      <c r="B236" t="s">
        <v>37</v>
      </c>
      <c r="C236">
        <v>56</v>
      </c>
      <c r="D236">
        <v>26</v>
      </c>
      <c r="E236" s="1">
        <f t="shared" si="19"/>
        <v>0.68292682926829273</v>
      </c>
      <c r="F236" s="2">
        <v>100.9</v>
      </c>
      <c r="G236" s="2">
        <v>95.6</v>
      </c>
      <c r="H236" s="2">
        <f t="shared" si="20"/>
        <v>5.3000000000000114</v>
      </c>
      <c r="I236" s="1">
        <f t="shared" si="21"/>
        <v>0.68035408366862116</v>
      </c>
      <c r="J236" s="2">
        <v>110</v>
      </c>
      <c r="K236" s="2">
        <v>104.4</v>
      </c>
      <c r="L236" s="2">
        <f t="shared" si="22"/>
        <v>5.5999999999999943</v>
      </c>
      <c r="M236" s="1">
        <f t="shared" si="23"/>
        <v>2.5727455996715776E-3</v>
      </c>
      <c r="N236" s="2">
        <v>105.2</v>
      </c>
      <c r="O236" s="2">
        <v>98.5</v>
      </c>
      <c r="P236" s="2">
        <f t="shared" si="24"/>
        <v>6.7000000000000028</v>
      </c>
      <c r="Q236">
        <v>1.4</v>
      </c>
    </row>
    <row r="237" spans="1:17">
      <c r="A237" t="s">
        <v>52</v>
      </c>
      <c r="B237" t="s">
        <v>13</v>
      </c>
      <c r="C237">
        <v>51</v>
      </c>
      <c r="D237">
        <v>31</v>
      </c>
      <c r="E237" s="1">
        <f t="shared" si="19"/>
        <v>0.62195121951219512</v>
      </c>
      <c r="F237" s="2">
        <v>104.3</v>
      </c>
      <c r="G237" s="2">
        <v>99.5</v>
      </c>
      <c r="H237" s="2">
        <f t="shared" si="20"/>
        <v>4.7999999999999972</v>
      </c>
      <c r="I237" s="1">
        <f t="shared" si="21"/>
        <v>0.65916874214261856</v>
      </c>
      <c r="J237" s="2">
        <v>106.3</v>
      </c>
      <c r="K237" s="2">
        <v>101.4</v>
      </c>
      <c r="L237" s="2">
        <f t="shared" si="22"/>
        <v>4.8999999999999915</v>
      </c>
      <c r="M237" s="1">
        <f t="shared" si="23"/>
        <v>-3.7217522630423439E-2</v>
      </c>
      <c r="N237" s="2">
        <v>101.2</v>
      </c>
      <c r="O237" s="2">
        <v>94.5</v>
      </c>
      <c r="P237" s="2">
        <f t="shared" si="24"/>
        <v>6.7000000000000028</v>
      </c>
      <c r="Q237">
        <v>0.5</v>
      </c>
    </row>
    <row r="238" spans="1:17">
      <c r="A238" t="s">
        <v>43</v>
      </c>
      <c r="B238" t="s">
        <v>25</v>
      </c>
      <c r="C238">
        <v>61</v>
      </c>
      <c r="D238">
        <v>21</v>
      </c>
      <c r="E238" s="1">
        <f t="shared" si="19"/>
        <v>0.74390243902439024</v>
      </c>
      <c r="F238" s="2">
        <v>110.2</v>
      </c>
      <c r="G238" s="2">
        <v>102.9</v>
      </c>
      <c r="H238" s="2">
        <f t="shared" si="20"/>
        <v>7.2999999999999972</v>
      </c>
      <c r="I238" s="1">
        <f t="shared" si="21"/>
        <v>0.72303160932792188</v>
      </c>
      <c r="J238" s="2">
        <v>112.9</v>
      </c>
      <c r="K238" s="2">
        <v>105.5</v>
      </c>
      <c r="L238" s="2">
        <f t="shared" si="22"/>
        <v>7.4000000000000057</v>
      </c>
      <c r="M238" s="1">
        <f t="shared" si="23"/>
        <v>2.0870829696468363E-2</v>
      </c>
      <c r="N238" s="2">
        <v>108.6</v>
      </c>
      <c r="O238" s="2">
        <v>101.9</v>
      </c>
      <c r="P238" s="2">
        <f t="shared" si="24"/>
        <v>6.6999999999999886</v>
      </c>
      <c r="Q238">
        <v>0.9</v>
      </c>
    </row>
    <row r="239" spans="1:17">
      <c r="A239" t="s">
        <v>49</v>
      </c>
      <c r="B239" t="s">
        <v>14</v>
      </c>
      <c r="C239">
        <v>34</v>
      </c>
      <c r="D239">
        <v>32</v>
      </c>
      <c r="E239" s="1">
        <f t="shared" si="19"/>
        <v>0.51515151515151514</v>
      </c>
      <c r="F239" s="2">
        <v>98.1</v>
      </c>
      <c r="G239" s="2">
        <v>97.9</v>
      </c>
      <c r="H239" s="2">
        <f t="shared" si="20"/>
        <v>0.19999999999998863</v>
      </c>
      <c r="I239" s="1">
        <f t="shared" si="21"/>
        <v>0.5071423737524916</v>
      </c>
      <c r="J239" s="2">
        <v>104.2</v>
      </c>
      <c r="K239" s="2">
        <v>104</v>
      </c>
      <c r="L239" s="2">
        <f t="shared" si="22"/>
        <v>0.20000000000000284</v>
      </c>
      <c r="M239" s="1">
        <f t="shared" si="23"/>
        <v>8.0091413990235338E-3</v>
      </c>
      <c r="N239" s="2">
        <v>104.5</v>
      </c>
      <c r="O239" s="2">
        <v>97.9</v>
      </c>
      <c r="P239" s="2">
        <f t="shared" si="24"/>
        <v>6.5999999999999943</v>
      </c>
      <c r="Q239">
        <v>-0.5</v>
      </c>
    </row>
    <row r="240" spans="1:17">
      <c r="A240" t="s">
        <v>65</v>
      </c>
      <c r="B240" t="s">
        <v>27</v>
      </c>
      <c r="C240">
        <v>40</v>
      </c>
      <c r="D240">
        <v>42</v>
      </c>
      <c r="E240" s="1">
        <f t="shared" si="19"/>
        <v>0.48780487804878048</v>
      </c>
      <c r="F240" s="2">
        <v>115.7</v>
      </c>
      <c r="G240" s="2">
        <v>115.3</v>
      </c>
      <c r="H240" s="2">
        <f t="shared" si="20"/>
        <v>0.40000000000000568</v>
      </c>
      <c r="I240" s="1">
        <f t="shared" si="21"/>
        <v>0.51211885026131998</v>
      </c>
      <c r="J240" s="2">
        <v>115.9</v>
      </c>
      <c r="K240" s="2">
        <v>115.3</v>
      </c>
      <c r="L240" s="2">
        <f t="shared" si="22"/>
        <v>0.60000000000000853</v>
      </c>
      <c r="M240" s="1">
        <f t="shared" si="23"/>
        <v>-2.4313972212539503E-2</v>
      </c>
      <c r="N240" s="2">
        <v>114.8</v>
      </c>
      <c r="O240" s="2">
        <v>108.2</v>
      </c>
      <c r="P240" s="2">
        <f t="shared" si="24"/>
        <v>6.5999999999999943</v>
      </c>
      <c r="Q240">
        <v>0.2</v>
      </c>
    </row>
    <row r="241" spans="1:17">
      <c r="A241" t="s">
        <v>44</v>
      </c>
      <c r="B241" t="s">
        <v>10</v>
      </c>
      <c r="C241">
        <v>51</v>
      </c>
      <c r="D241">
        <v>31</v>
      </c>
      <c r="E241" s="1">
        <f t="shared" si="19"/>
        <v>0.62195121951219512</v>
      </c>
      <c r="F241" s="2">
        <v>100.4</v>
      </c>
      <c r="G241" s="2">
        <v>95.9</v>
      </c>
      <c r="H241" s="2">
        <f t="shared" si="20"/>
        <v>4.5</v>
      </c>
      <c r="I241" s="1">
        <f t="shared" si="21"/>
        <v>0.65520252150189628</v>
      </c>
      <c r="J241" s="2">
        <v>109.5</v>
      </c>
      <c r="K241" s="2">
        <v>104.7</v>
      </c>
      <c r="L241" s="2">
        <f t="shared" si="22"/>
        <v>4.7999999999999972</v>
      </c>
      <c r="M241" s="1">
        <f t="shared" si="23"/>
        <v>-3.3251301989701165E-2</v>
      </c>
      <c r="N241" s="2">
        <v>114.4</v>
      </c>
      <c r="O241" s="2">
        <v>107.9</v>
      </c>
      <c r="P241" s="2">
        <f t="shared" si="24"/>
        <v>6.5</v>
      </c>
      <c r="Q241">
        <v>0.5</v>
      </c>
    </row>
    <row r="242" spans="1:17">
      <c r="A242" t="s">
        <v>55</v>
      </c>
      <c r="B242" t="s">
        <v>5</v>
      </c>
      <c r="C242">
        <v>48</v>
      </c>
      <c r="D242">
        <v>34</v>
      </c>
      <c r="E242" s="1">
        <f t="shared" si="19"/>
        <v>0.58536585365853655</v>
      </c>
      <c r="F242" s="2">
        <v>102.8</v>
      </c>
      <c r="G242" s="2">
        <v>99.2</v>
      </c>
      <c r="H242" s="2">
        <f t="shared" si="20"/>
        <v>3.5999999999999943</v>
      </c>
      <c r="I242" s="1">
        <f t="shared" si="21"/>
        <v>0.62223904687782716</v>
      </c>
      <c r="J242" s="2">
        <v>104.6</v>
      </c>
      <c r="K242" s="2">
        <v>100.8</v>
      </c>
      <c r="L242" s="2">
        <f t="shared" si="22"/>
        <v>3.7999999999999972</v>
      </c>
      <c r="M242" s="1">
        <f t="shared" si="23"/>
        <v>-3.6873193219290612E-2</v>
      </c>
      <c r="N242" s="2">
        <v>104.5</v>
      </c>
      <c r="O242" s="2">
        <v>98</v>
      </c>
      <c r="P242" s="2">
        <f t="shared" si="24"/>
        <v>6.5</v>
      </c>
      <c r="Q242">
        <v>2.4</v>
      </c>
    </row>
    <row r="243" spans="1:17">
      <c r="A243" t="s">
        <v>43</v>
      </c>
      <c r="B243" t="s">
        <v>31</v>
      </c>
      <c r="C243">
        <v>51</v>
      </c>
      <c r="D243">
        <v>31</v>
      </c>
      <c r="E243" s="1">
        <f t="shared" si="19"/>
        <v>0.62195121951219512</v>
      </c>
      <c r="F243" s="2">
        <v>101.5</v>
      </c>
      <c r="G243" s="2">
        <v>98.6</v>
      </c>
      <c r="H243" s="2">
        <f t="shared" si="20"/>
        <v>2.9000000000000057</v>
      </c>
      <c r="I243" s="1">
        <f t="shared" si="21"/>
        <v>0.60008649482988841</v>
      </c>
      <c r="J243" s="2">
        <v>108.6</v>
      </c>
      <c r="K243" s="2">
        <v>105.6</v>
      </c>
      <c r="L243" s="2">
        <f t="shared" si="22"/>
        <v>3</v>
      </c>
      <c r="M243" s="1">
        <f t="shared" si="23"/>
        <v>2.1864724682306713E-2</v>
      </c>
      <c r="N243" s="2">
        <v>116.1</v>
      </c>
      <c r="O243" s="2">
        <v>109.7</v>
      </c>
      <c r="P243" s="2">
        <f t="shared" si="24"/>
        <v>6.3999999999999915</v>
      </c>
      <c r="Q243">
        <v>1.9</v>
      </c>
    </row>
    <row r="244" spans="1:17">
      <c r="A244" t="s">
        <v>47</v>
      </c>
      <c r="B244" t="s">
        <v>14</v>
      </c>
      <c r="C244">
        <v>42</v>
      </c>
      <c r="D244">
        <v>40</v>
      </c>
      <c r="E244" s="1">
        <f t="shared" si="19"/>
        <v>0.51219512195121952</v>
      </c>
      <c r="F244" s="2">
        <v>102.4</v>
      </c>
      <c r="G244" s="2">
        <v>102.7</v>
      </c>
      <c r="H244" s="2">
        <f t="shared" si="20"/>
        <v>-0.29999999999999716</v>
      </c>
      <c r="I244" s="1">
        <f t="shared" si="21"/>
        <v>0.48976251580890345</v>
      </c>
      <c r="J244" s="2">
        <v>106.8</v>
      </c>
      <c r="K244" s="2">
        <v>106.8</v>
      </c>
      <c r="L244" s="2">
        <f t="shared" si="22"/>
        <v>0</v>
      </c>
      <c r="M244" s="1">
        <f t="shared" si="23"/>
        <v>2.2432606142316069E-2</v>
      </c>
      <c r="N244" s="2">
        <v>103.5</v>
      </c>
      <c r="O244" s="2">
        <v>97.2</v>
      </c>
      <c r="P244" s="2">
        <f t="shared" si="24"/>
        <v>6.2999999999999972</v>
      </c>
      <c r="Q244">
        <v>-0.8</v>
      </c>
    </row>
    <row r="245" spans="1:17">
      <c r="A245" t="s">
        <v>58</v>
      </c>
      <c r="B245" t="s">
        <v>26</v>
      </c>
      <c r="C245">
        <v>49</v>
      </c>
      <c r="D245">
        <v>33</v>
      </c>
      <c r="E245" s="1">
        <f t="shared" si="19"/>
        <v>0.59756097560975607</v>
      </c>
      <c r="F245" s="2">
        <v>105.6</v>
      </c>
      <c r="G245" s="2">
        <v>103</v>
      </c>
      <c r="H245" s="2">
        <f t="shared" si="20"/>
        <v>2.5999999999999943</v>
      </c>
      <c r="I245" s="1">
        <f t="shared" si="21"/>
        <v>0.5863778164099368</v>
      </c>
      <c r="J245" s="2">
        <v>108.4</v>
      </c>
      <c r="K245" s="2">
        <v>105.7</v>
      </c>
      <c r="L245" s="2">
        <f t="shared" si="22"/>
        <v>2.7000000000000028</v>
      </c>
      <c r="M245" s="1">
        <f t="shared" si="23"/>
        <v>1.118315919981927E-2</v>
      </c>
      <c r="N245" s="2">
        <v>103</v>
      </c>
      <c r="O245" s="2">
        <v>96.7</v>
      </c>
      <c r="P245" s="2">
        <f t="shared" si="24"/>
        <v>6.2999999999999972</v>
      </c>
      <c r="Q245">
        <v>-0.4</v>
      </c>
    </row>
    <row r="246" spans="1:17">
      <c r="A246" t="s">
        <v>55</v>
      </c>
      <c r="B246" t="s">
        <v>6</v>
      </c>
      <c r="C246">
        <v>48</v>
      </c>
      <c r="D246">
        <v>34</v>
      </c>
      <c r="E246" s="1">
        <f t="shared" si="19"/>
        <v>0.58536585365853655</v>
      </c>
      <c r="F246" s="2">
        <v>105.7</v>
      </c>
      <c r="G246" s="2">
        <v>102.5</v>
      </c>
      <c r="H246" s="2">
        <f t="shared" si="20"/>
        <v>3.2000000000000028</v>
      </c>
      <c r="I246" s="1">
        <f t="shared" si="21"/>
        <v>0.60596663066011414</v>
      </c>
      <c r="J246" s="2">
        <v>105.8</v>
      </c>
      <c r="K246" s="2">
        <v>102.5</v>
      </c>
      <c r="L246" s="2">
        <f t="shared" si="22"/>
        <v>3.2999999999999972</v>
      </c>
      <c r="M246" s="1">
        <f t="shared" si="23"/>
        <v>-2.0600777001577586E-2</v>
      </c>
      <c r="N246" s="2">
        <v>112</v>
      </c>
      <c r="O246" s="2">
        <v>105.7</v>
      </c>
      <c r="P246" s="2">
        <f t="shared" si="24"/>
        <v>6.2999999999999972</v>
      </c>
      <c r="Q246">
        <v>0.2</v>
      </c>
    </row>
    <row r="247" spans="1:17">
      <c r="A247" t="s">
        <v>44</v>
      </c>
      <c r="B247" t="s">
        <v>23</v>
      </c>
      <c r="C247">
        <v>52</v>
      </c>
      <c r="D247">
        <v>30</v>
      </c>
      <c r="E247" s="1">
        <f t="shared" si="19"/>
        <v>0.63414634146341464</v>
      </c>
      <c r="F247" s="2">
        <v>104.5</v>
      </c>
      <c r="G247" s="2">
        <v>99</v>
      </c>
      <c r="H247" s="2">
        <f t="shared" si="20"/>
        <v>5.5</v>
      </c>
      <c r="I247" s="1">
        <f t="shared" si="21"/>
        <v>0.68068924490801519</v>
      </c>
      <c r="J247" s="2">
        <v>110.4</v>
      </c>
      <c r="K247" s="2">
        <v>104.9</v>
      </c>
      <c r="L247" s="2">
        <f t="shared" si="22"/>
        <v>5.5</v>
      </c>
      <c r="M247" s="1">
        <f t="shared" si="23"/>
        <v>-4.6542903444600547E-2</v>
      </c>
      <c r="N247" s="2">
        <v>109.5</v>
      </c>
      <c r="O247" s="2">
        <v>103.2</v>
      </c>
      <c r="P247" s="2">
        <f t="shared" si="24"/>
        <v>6.2999999999999972</v>
      </c>
      <c r="Q247">
        <v>1.3</v>
      </c>
    </row>
    <row r="248" spans="1:17">
      <c r="A248" t="s">
        <v>58</v>
      </c>
      <c r="B248" t="s">
        <v>31</v>
      </c>
      <c r="C248">
        <v>48</v>
      </c>
      <c r="D248">
        <v>34</v>
      </c>
      <c r="E248" s="1">
        <f t="shared" si="19"/>
        <v>0.58536585365853655</v>
      </c>
      <c r="F248" s="2">
        <v>104.1</v>
      </c>
      <c r="G248" s="2">
        <v>99.8</v>
      </c>
      <c r="H248" s="2">
        <f t="shared" si="20"/>
        <v>4.2999999999999972</v>
      </c>
      <c r="I248" s="1">
        <f t="shared" si="21"/>
        <v>0.64349662886143</v>
      </c>
      <c r="J248" s="2">
        <v>107.4</v>
      </c>
      <c r="K248" s="2">
        <v>103</v>
      </c>
      <c r="L248" s="2">
        <f t="shared" si="22"/>
        <v>4.4000000000000057</v>
      </c>
      <c r="M248" s="1">
        <f t="shared" si="23"/>
        <v>-5.8130775202893448E-2</v>
      </c>
      <c r="N248" s="2">
        <v>107.6</v>
      </c>
      <c r="O248" s="2">
        <v>101.3</v>
      </c>
      <c r="P248" s="2">
        <f t="shared" si="24"/>
        <v>6.2999999999999972</v>
      </c>
      <c r="Q248">
        <v>1.8</v>
      </c>
    </row>
    <row r="249" spans="1:17">
      <c r="A249" t="s">
        <v>55</v>
      </c>
      <c r="B249" t="s">
        <v>19</v>
      </c>
      <c r="C249">
        <v>33</v>
      </c>
      <c r="D249">
        <v>49</v>
      </c>
      <c r="E249" s="1">
        <f t="shared" si="19"/>
        <v>0.40243902439024393</v>
      </c>
      <c r="F249" s="2">
        <v>99</v>
      </c>
      <c r="G249" s="2">
        <v>103.2</v>
      </c>
      <c r="H249" s="2">
        <f t="shared" si="20"/>
        <v>-4.2000000000000028</v>
      </c>
      <c r="I249" s="1">
        <f t="shared" si="21"/>
        <v>0.35854472804772958</v>
      </c>
      <c r="J249" s="2">
        <v>103.4</v>
      </c>
      <c r="K249" s="2">
        <v>107.8</v>
      </c>
      <c r="L249" s="2">
        <f t="shared" si="22"/>
        <v>-4.3999999999999915</v>
      </c>
      <c r="M249" s="1">
        <f t="shared" si="23"/>
        <v>4.389429634251435E-2</v>
      </c>
      <c r="N249" s="2">
        <v>101.2</v>
      </c>
      <c r="O249" s="2">
        <v>95</v>
      </c>
      <c r="P249" s="2">
        <f t="shared" si="24"/>
        <v>6.2000000000000028</v>
      </c>
      <c r="Q249">
        <v>-1.5</v>
      </c>
    </row>
    <row r="250" spans="1:17">
      <c r="A250" t="s">
        <v>59</v>
      </c>
      <c r="B250" t="s">
        <v>5</v>
      </c>
      <c r="C250">
        <v>29</v>
      </c>
      <c r="D250">
        <v>53</v>
      </c>
      <c r="E250" s="1">
        <f t="shared" si="19"/>
        <v>0.35365853658536583</v>
      </c>
      <c r="F250" s="2">
        <v>113.3</v>
      </c>
      <c r="G250" s="2">
        <v>119.4</v>
      </c>
      <c r="H250" s="2">
        <f t="shared" si="20"/>
        <v>-6.1000000000000085</v>
      </c>
      <c r="I250" s="1">
        <f t="shared" si="21"/>
        <v>0.32428240772060213</v>
      </c>
      <c r="J250" s="2">
        <v>107.5</v>
      </c>
      <c r="K250" s="2">
        <v>113.1</v>
      </c>
      <c r="L250" s="2">
        <f t="shared" si="22"/>
        <v>-5.5999999999999943</v>
      </c>
      <c r="M250" s="1">
        <f t="shared" si="23"/>
        <v>2.9376128864763706E-2</v>
      </c>
      <c r="N250" s="2">
        <v>104</v>
      </c>
      <c r="O250" s="2">
        <v>97.8</v>
      </c>
      <c r="P250" s="2">
        <f t="shared" si="24"/>
        <v>6.2000000000000028</v>
      </c>
      <c r="Q250">
        <v>-0.1</v>
      </c>
    </row>
    <row r="251" spans="1:17">
      <c r="A251" t="s">
        <v>47</v>
      </c>
      <c r="B251" t="s">
        <v>6</v>
      </c>
      <c r="C251">
        <v>50</v>
      </c>
      <c r="D251">
        <v>32</v>
      </c>
      <c r="E251" s="1">
        <f t="shared" si="19"/>
        <v>0.6097560975609756</v>
      </c>
      <c r="F251" s="2">
        <v>99.2</v>
      </c>
      <c r="G251" s="2">
        <v>95.6</v>
      </c>
      <c r="H251" s="2">
        <f t="shared" si="20"/>
        <v>3.6000000000000085</v>
      </c>
      <c r="I251" s="1">
        <f t="shared" si="21"/>
        <v>0.62656597319638863</v>
      </c>
      <c r="J251" s="2">
        <v>106.9</v>
      </c>
      <c r="K251" s="2">
        <v>103.2</v>
      </c>
      <c r="L251" s="2">
        <f t="shared" si="22"/>
        <v>3.7000000000000028</v>
      </c>
      <c r="M251" s="1">
        <f t="shared" si="23"/>
        <v>-1.680987563541303E-2</v>
      </c>
      <c r="N251" s="2">
        <v>101.2</v>
      </c>
      <c r="O251" s="2">
        <v>95</v>
      </c>
      <c r="P251" s="2">
        <f t="shared" si="24"/>
        <v>6.2000000000000028</v>
      </c>
      <c r="Q251">
        <v>0</v>
      </c>
    </row>
    <row r="252" spans="1:17">
      <c r="A252" t="s">
        <v>45</v>
      </c>
      <c r="B252" t="s">
        <v>26</v>
      </c>
      <c r="C252">
        <v>54</v>
      </c>
      <c r="D252">
        <v>28</v>
      </c>
      <c r="E252" s="1">
        <f t="shared" si="19"/>
        <v>0.65853658536585369</v>
      </c>
      <c r="F252" s="2">
        <v>99.4</v>
      </c>
      <c r="G252" s="2">
        <v>94.1</v>
      </c>
      <c r="H252" s="2">
        <f t="shared" si="20"/>
        <v>5.3000000000000114</v>
      </c>
      <c r="I252" s="1">
        <f t="shared" si="21"/>
        <v>0.68289690002087911</v>
      </c>
      <c r="J252" s="2">
        <v>112.1</v>
      </c>
      <c r="K252" s="2">
        <v>106.1</v>
      </c>
      <c r="L252" s="2">
        <f t="shared" si="22"/>
        <v>6</v>
      </c>
      <c r="M252" s="1">
        <f t="shared" si="23"/>
        <v>-2.4360314655025417E-2</v>
      </c>
      <c r="N252" s="2">
        <v>104</v>
      </c>
      <c r="O252" s="2">
        <v>97.8</v>
      </c>
      <c r="P252" s="2">
        <f t="shared" si="24"/>
        <v>6.2000000000000028</v>
      </c>
      <c r="Q252">
        <v>2.5</v>
      </c>
    </row>
    <row r="253" spans="1:17">
      <c r="A253" t="s">
        <v>45</v>
      </c>
      <c r="B253" t="s">
        <v>31</v>
      </c>
      <c r="C253">
        <v>48</v>
      </c>
      <c r="D253">
        <v>34</v>
      </c>
      <c r="E253" s="1">
        <f t="shared" si="19"/>
        <v>0.58536585365853655</v>
      </c>
      <c r="F253" s="2">
        <v>103.6</v>
      </c>
      <c r="G253" s="2">
        <v>100.9</v>
      </c>
      <c r="H253" s="2">
        <f t="shared" si="20"/>
        <v>2.6999999999999886</v>
      </c>
      <c r="I253" s="1">
        <f t="shared" si="21"/>
        <v>0.59138736414412263</v>
      </c>
      <c r="J253" s="2">
        <v>108.5</v>
      </c>
      <c r="K253" s="2">
        <v>105.8</v>
      </c>
      <c r="L253" s="2">
        <f t="shared" si="22"/>
        <v>2.7000000000000028</v>
      </c>
      <c r="M253" s="1">
        <f t="shared" si="23"/>
        <v>-6.021510485586079E-3</v>
      </c>
      <c r="N253" s="2">
        <v>109.6</v>
      </c>
      <c r="O253" s="2">
        <v>103.4</v>
      </c>
      <c r="P253" s="2">
        <f t="shared" si="24"/>
        <v>6.1999999999999886</v>
      </c>
      <c r="Q253">
        <v>1.2</v>
      </c>
    </row>
    <row r="254" spans="1:17">
      <c r="A254" t="s">
        <v>39</v>
      </c>
      <c r="B254" t="s">
        <v>30</v>
      </c>
      <c r="C254">
        <v>33</v>
      </c>
      <c r="D254">
        <v>49</v>
      </c>
      <c r="E254" s="1">
        <f t="shared" si="19"/>
        <v>0.40243902439024393</v>
      </c>
      <c r="F254" s="2">
        <v>99.7</v>
      </c>
      <c r="G254" s="2">
        <v>101.4</v>
      </c>
      <c r="H254" s="2">
        <f t="shared" si="20"/>
        <v>-1.7000000000000028</v>
      </c>
      <c r="I254" s="1">
        <f t="shared" si="21"/>
        <v>0.44109880691820486</v>
      </c>
      <c r="J254" s="2">
        <v>105.4</v>
      </c>
      <c r="K254" s="2">
        <v>107.2</v>
      </c>
      <c r="L254" s="2">
        <f t="shared" si="22"/>
        <v>-1.7999999999999972</v>
      </c>
      <c r="M254" s="1">
        <f t="shared" si="23"/>
        <v>-3.8659782527960929E-2</v>
      </c>
      <c r="N254" s="2">
        <v>110.7</v>
      </c>
      <c r="O254" s="2">
        <v>104.6</v>
      </c>
      <c r="P254" s="2">
        <f t="shared" si="24"/>
        <v>6.1000000000000085</v>
      </c>
      <c r="Q254">
        <v>2</v>
      </c>
    </row>
    <row r="255" spans="1:17">
      <c r="A255" t="s">
        <v>49</v>
      </c>
      <c r="B255" t="s">
        <v>22</v>
      </c>
      <c r="C255">
        <v>36</v>
      </c>
      <c r="D255">
        <v>30</v>
      </c>
      <c r="E255" s="1">
        <f t="shared" si="19"/>
        <v>0.54545454545454541</v>
      </c>
      <c r="F255" s="2">
        <v>97.8</v>
      </c>
      <c r="G255" s="2">
        <v>94.7</v>
      </c>
      <c r="H255" s="2">
        <f t="shared" si="20"/>
        <v>3.0999999999999943</v>
      </c>
      <c r="I255" s="1">
        <f t="shared" si="21"/>
        <v>0.61086462382590978</v>
      </c>
      <c r="J255" s="2">
        <v>103.5</v>
      </c>
      <c r="K255" s="2">
        <v>100.2</v>
      </c>
      <c r="L255" s="2">
        <f t="shared" si="22"/>
        <v>3.2999999999999972</v>
      </c>
      <c r="M255" s="1">
        <f t="shared" si="23"/>
        <v>-6.5410078371364366E-2</v>
      </c>
      <c r="N255" s="2">
        <v>104.9</v>
      </c>
      <c r="O255" s="2">
        <v>98.8</v>
      </c>
      <c r="P255" s="2">
        <f t="shared" si="24"/>
        <v>6.1000000000000085</v>
      </c>
      <c r="Q255">
        <v>2</v>
      </c>
    </row>
    <row r="256" spans="1:17">
      <c r="A256" t="s">
        <v>57</v>
      </c>
      <c r="B256" t="s">
        <v>35</v>
      </c>
      <c r="C256">
        <v>43</v>
      </c>
      <c r="D256">
        <v>39</v>
      </c>
      <c r="E256" s="1">
        <f t="shared" si="19"/>
        <v>0.52439024390243905</v>
      </c>
      <c r="F256" s="2">
        <v>100.5</v>
      </c>
      <c r="G256" s="2">
        <v>100</v>
      </c>
      <c r="H256" s="2">
        <f t="shared" si="20"/>
        <v>0.5</v>
      </c>
      <c r="I256" s="1">
        <f t="shared" si="21"/>
        <v>0.51744930619443652</v>
      </c>
      <c r="J256" s="2">
        <v>107</v>
      </c>
      <c r="K256" s="2">
        <v>106.5</v>
      </c>
      <c r="L256" s="2">
        <f t="shared" si="22"/>
        <v>0.5</v>
      </c>
      <c r="M256" s="1">
        <f t="shared" si="23"/>
        <v>6.9409377080025259E-3</v>
      </c>
      <c r="N256" s="2">
        <v>101.1</v>
      </c>
      <c r="O256" s="2">
        <v>95</v>
      </c>
      <c r="P256" s="2">
        <f t="shared" si="24"/>
        <v>6.0999999999999943</v>
      </c>
      <c r="Q256">
        <v>1.2</v>
      </c>
    </row>
    <row r="257" spans="1:17">
      <c r="A257" t="s">
        <v>52</v>
      </c>
      <c r="B257" t="s">
        <v>24</v>
      </c>
      <c r="C257">
        <v>19</v>
      </c>
      <c r="D257">
        <v>63</v>
      </c>
      <c r="E257" s="1">
        <f t="shared" si="19"/>
        <v>0.23170731707317074</v>
      </c>
      <c r="F257" s="2">
        <v>99.5</v>
      </c>
      <c r="G257" s="2">
        <v>109.9</v>
      </c>
      <c r="H257" s="2">
        <f t="shared" si="20"/>
        <v>-10.400000000000006</v>
      </c>
      <c r="I257" s="1">
        <f t="shared" si="21"/>
        <v>0.19912293805378545</v>
      </c>
      <c r="J257" s="2">
        <v>99</v>
      </c>
      <c r="K257" s="2">
        <v>109</v>
      </c>
      <c r="L257" s="2">
        <f t="shared" si="22"/>
        <v>-10</v>
      </c>
      <c r="M257" s="1">
        <f t="shared" si="23"/>
        <v>3.2584379019385296E-2</v>
      </c>
      <c r="N257" s="2">
        <v>105</v>
      </c>
      <c r="O257" s="2">
        <v>99</v>
      </c>
      <c r="P257" s="2">
        <f t="shared" si="24"/>
        <v>6</v>
      </c>
      <c r="Q257">
        <v>-0.8</v>
      </c>
    </row>
    <row r="258" spans="1:17">
      <c r="A258" t="s">
        <v>60</v>
      </c>
      <c r="B258" t="s">
        <v>26</v>
      </c>
      <c r="C258">
        <v>35</v>
      </c>
      <c r="D258">
        <v>39</v>
      </c>
      <c r="E258" s="1">
        <f t="shared" si="19"/>
        <v>0.47297297297297297</v>
      </c>
      <c r="F258" s="2">
        <v>115</v>
      </c>
      <c r="G258" s="2">
        <v>116.1</v>
      </c>
      <c r="H258" s="2">
        <f t="shared" si="20"/>
        <v>-1.0999999999999943</v>
      </c>
      <c r="I258" s="1">
        <f t="shared" si="21"/>
        <v>0.46673007111560078</v>
      </c>
      <c r="J258" s="2">
        <v>113.2</v>
      </c>
      <c r="K258" s="2">
        <v>114.3</v>
      </c>
      <c r="L258" s="2">
        <f t="shared" si="22"/>
        <v>-1.0999999999999943</v>
      </c>
      <c r="M258" s="1">
        <f t="shared" si="23"/>
        <v>6.2429018573721962E-3</v>
      </c>
      <c r="N258" s="2">
        <v>117.2</v>
      </c>
      <c r="O258" s="2">
        <v>111.2</v>
      </c>
      <c r="P258" s="2">
        <f t="shared" si="24"/>
        <v>6</v>
      </c>
      <c r="Q258">
        <v>1</v>
      </c>
    </row>
    <row r="259" spans="1:17">
      <c r="A259" t="s">
        <v>50</v>
      </c>
      <c r="B259" t="s">
        <v>22</v>
      </c>
      <c r="C259">
        <v>54</v>
      </c>
      <c r="D259">
        <v>28</v>
      </c>
      <c r="E259" s="1">
        <f t="shared" si="19"/>
        <v>0.65853658536585369</v>
      </c>
      <c r="F259" s="2">
        <v>100</v>
      </c>
      <c r="G259" s="2">
        <v>95.7</v>
      </c>
      <c r="H259" s="2">
        <f t="shared" si="20"/>
        <v>4.2999999999999972</v>
      </c>
      <c r="I259" s="1">
        <f t="shared" si="21"/>
        <v>0.64915487217242029</v>
      </c>
      <c r="J259" s="2">
        <v>109.8</v>
      </c>
      <c r="K259" s="2">
        <v>105.4</v>
      </c>
      <c r="L259" s="2">
        <f t="shared" si="22"/>
        <v>4.3999999999999915</v>
      </c>
      <c r="M259" s="1">
        <f t="shared" si="23"/>
        <v>9.3817131934333942E-3</v>
      </c>
      <c r="N259" s="2">
        <v>94.7</v>
      </c>
      <c r="O259" s="2">
        <v>88.8</v>
      </c>
      <c r="P259" s="2">
        <f t="shared" si="24"/>
        <v>5.9000000000000057</v>
      </c>
      <c r="Q259">
        <v>2.1</v>
      </c>
    </row>
    <row r="260" spans="1:17">
      <c r="A260" t="s">
        <v>59</v>
      </c>
      <c r="B260" t="s">
        <v>13</v>
      </c>
      <c r="C260">
        <v>57</v>
      </c>
      <c r="D260">
        <v>25</v>
      </c>
      <c r="E260" s="1">
        <f t="shared" si="19"/>
        <v>0.69512195121951215</v>
      </c>
      <c r="F260" s="2">
        <v>117.7</v>
      </c>
      <c r="G260" s="2">
        <v>111.2</v>
      </c>
      <c r="H260" s="2">
        <f t="shared" si="20"/>
        <v>6.5</v>
      </c>
      <c r="I260" s="1">
        <f t="shared" si="21"/>
        <v>0.68897267779673199</v>
      </c>
      <c r="J260" s="2">
        <v>115</v>
      </c>
      <c r="K260" s="2">
        <v>108.6</v>
      </c>
      <c r="L260" s="2">
        <f t="shared" si="22"/>
        <v>6.4000000000000057</v>
      </c>
      <c r="M260" s="1">
        <f t="shared" si="23"/>
        <v>6.1492734227801549E-3</v>
      </c>
      <c r="N260" s="2">
        <v>110.5</v>
      </c>
      <c r="O260" s="2">
        <v>104.6</v>
      </c>
      <c r="P260" s="2">
        <f t="shared" si="24"/>
        <v>5.9000000000000057</v>
      </c>
      <c r="Q260">
        <v>0.2</v>
      </c>
    </row>
    <row r="261" spans="1:17">
      <c r="A261" t="s">
        <v>47</v>
      </c>
      <c r="B261" t="s">
        <v>25</v>
      </c>
      <c r="C261">
        <v>54</v>
      </c>
      <c r="D261">
        <v>28</v>
      </c>
      <c r="E261" s="1">
        <f t="shared" si="19"/>
        <v>0.65853658536585369</v>
      </c>
      <c r="F261" s="2">
        <v>110.2</v>
      </c>
      <c r="G261" s="2">
        <v>105.3</v>
      </c>
      <c r="H261" s="2">
        <f t="shared" si="20"/>
        <v>4.9000000000000057</v>
      </c>
      <c r="I261" s="1">
        <f t="shared" si="21"/>
        <v>0.654022652875209</v>
      </c>
      <c r="J261" s="2">
        <v>113.9</v>
      </c>
      <c r="K261" s="2">
        <v>109.1</v>
      </c>
      <c r="L261" s="2">
        <f t="shared" si="22"/>
        <v>4.8000000000000114</v>
      </c>
      <c r="M261" s="1">
        <f t="shared" si="23"/>
        <v>4.5139324906446898E-3</v>
      </c>
      <c r="N261" s="2">
        <v>118.3</v>
      </c>
      <c r="O261" s="2">
        <v>112.5</v>
      </c>
      <c r="P261" s="2">
        <f t="shared" si="24"/>
        <v>5.7999999999999972</v>
      </c>
      <c r="Q261">
        <v>0.8</v>
      </c>
    </row>
    <row r="262" spans="1:17">
      <c r="A262" t="s">
        <v>36</v>
      </c>
      <c r="B262" t="s">
        <v>37</v>
      </c>
      <c r="C262">
        <v>47</v>
      </c>
      <c r="D262">
        <v>35</v>
      </c>
      <c r="E262" s="1">
        <f t="shared" si="19"/>
        <v>0.57317073170731703</v>
      </c>
      <c r="F262" s="2">
        <v>93.9</v>
      </c>
      <c r="G262" s="2">
        <v>91.8</v>
      </c>
      <c r="H262" s="2">
        <f t="shared" si="20"/>
        <v>2.1000000000000085</v>
      </c>
      <c r="I262" s="1">
        <f t="shared" si="21"/>
        <v>0.57850840531735526</v>
      </c>
      <c r="J262" s="2">
        <v>102.4</v>
      </c>
      <c r="K262" s="2">
        <v>100</v>
      </c>
      <c r="L262" s="2">
        <f t="shared" si="22"/>
        <v>2.4000000000000057</v>
      </c>
      <c r="M262" s="1">
        <f t="shared" si="23"/>
        <v>-5.3376736100382294E-3</v>
      </c>
      <c r="N262" s="2">
        <v>101.5</v>
      </c>
      <c r="O262" s="2">
        <v>95.7</v>
      </c>
      <c r="P262" s="2">
        <f t="shared" si="24"/>
        <v>5.7999999999999972</v>
      </c>
      <c r="Q262">
        <v>0.3</v>
      </c>
    </row>
    <row r="263" spans="1:17">
      <c r="A263" t="s">
        <v>44</v>
      </c>
      <c r="B263" t="s">
        <v>21</v>
      </c>
      <c r="C263">
        <v>34</v>
      </c>
      <c r="D263">
        <v>48</v>
      </c>
      <c r="E263" s="1">
        <f t="shared" si="19"/>
        <v>0.41463414634146339</v>
      </c>
      <c r="F263" s="2">
        <v>95.8</v>
      </c>
      <c r="G263" s="2">
        <v>100.9</v>
      </c>
      <c r="H263" s="2">
        <f t="shared" si="20"/>
        <v>-5.1000000000000085</v>
      </c>
      <c r="I263" s="1">
        <f t="shared" si="21"/>
        <v>0.32604204255195213</v>
      </c>
      <c r="J263" s="2">
        <v>102.3</v>
      </c>
      <c r="K263" s="2">
        <v>107.7</v>
      </c>
      <c r="L263" s="2">
        <f t="shared" si="22"/>
        <v>-5.4000000000000057</v>
      </c>
      <c r="M263" s="1">
        <f t="shared" si="23"/>
        <v>8.8592103789511267E-2</v>
      </c>
      <c r="N263" s="2">
        <v>112.8</v>
      </c>
      <c r="O263" s="2">
        <v>107.1</v>
      </c>
      <c r="P263" s="2">
        <f t="shared" si="24"/>
        <v>5.7000000000000028</v>
      </c>
      <c r="Q263">
        <v>-1.8</v>
      </c>
    </row>
    <row r="264" spans="1:17">
      <c r="A264" t="s">
        <v>60</v>
      </c>
      <c r="B264" t="s">
        <v>17</v>
      </c>
      <c r="C264">
        <v>52</v>
      </c>
      <c r="D264">
        <v>19</v>
      </c>
      <c r="E264" s="1">
        <f t="shared" si="19"/>
        <v>0.73239436619718312</v>
      </c>
      <c r="F264" s="2">
        <v>113.4</v>
      </c>
      <c r="G264" s="2">
        <v>107.6</v>
      </c>
      <c r="H264" s="2">
        <f t="shared" si="20"/>
        <v>5.8000000000000114</v>
      </c>
      <c r="I264" s="1">
        <f t="shared" si="21"/>
        <v>0.6759038081055907</v>
      </c>
      <c r="J264" s="2">
        <v>111.7</v>
      </c>
      <c r="K264" s="2">
        <v>106.1</v>
      </c>
      <c r="L264" s="2">
        <f t="shared" si="22"/>
        <v>5.6000000000000085</v>
      </c>
      <c r="M264" s="1">
        <f t="shared" si="23"/>
        <v>5.6490558091592424E-2</v>
      </c>
      <c r="N264" s="2">
        <v>107.4</v>
      </c>
      <c r="O264" s="2">
        <v>101.7</v>
      </c>
      <c r="P264" s="2">
        <f t="shared" si="24"/>
        <v>5.7000000000000028</v>
      </c>
      <c r="Q264">
        <v>1.7</v>
      </c>
    </row>
    <row r="265" spans="1:17">
      <c r="A265" t="s">
        <v>63</v>
      </c>
      <c r="B265" t="s">
        <v>51</v>
      </c>
      <c r="C265">
        <v>45</v>
      </c>
      <c r="D265">
        <v>37</v>
      </c>
      <c r="E265" s="1">
        <f t="shared" ref="E265:E328" si="25">+C265/(C265+D265)</f>
        <v>0.54878048780487809</v>
      </c>
      <c r="F265" s="2">
        <v>113.4</v>
      </c>
      <c r="G265" s="2">
        <v>112.5</v>
      </c>
      <c r="H265" s="2">
        <f t="shared" ref="H265:H328" si="26">+F265-G265</f>
        <v>0.90000000000000568</v>
      </c>
      <c r="I265" s="1">
        <f t="shared" ref="I265:I328" si="27">+(F265^14)/((F265^14+G265^14))</f>
        <v>0.52785970836604967</v>
      </c>
      <c r="J265" s="2">
        <v>114.6</v>
      </c>
      <c r="K265" s="2">
        <v>113.5</v>
      </c>
      <c r="L265" s="2">
        <f t="shared" ref="L265:L328" si="28">+J265-K265</f>
        <v>1.0999999999999943</v>
      </c>
      <c r="M265" s="1">
        <f t="shared" ref="M265:M328" si="29">+E265-I265</f>
        <v>2.0920779438828419E-2</v>
      </c>
      <c r="N265" s="2">
        <v>115.9</v>
      </c>
      <c r="O265" s="2">
        <v>110.2</v>
      </c>
      <c r="P265" s="2">
        <f t="shared" ref="P265:P328" si="30">+N265-O265</f>
        <v>5.7000000000000028</v>
      </c>
      <c r="Q265">
        <v>0.3</v>
      </c>
    </row>
    <row r="266" spans="1:17">
      <c r="A266" t="s">
        <v>48</v>
      </c>
      <c r="B266" t="s">
        <v>11</v>
      </c>
      <c r="C266">
        <v>50</v>
      </c>
      <c r="D266">
        <v>32</v>
      </c>
      <c r="E266" s="1">
        <f t="shared" si="25"/>
        <v>0.6097560975609756</v>
      </c>
      <c r="F266" s="2">
        <v>107.5</v>
      </c>
      <c r="G266" s="2">
        <v>102.7</v>
      </c>
      <c r="H266" s="2">
        <f t="shared" si="26"/>
        <v>4.7999999999999972</v>
      </c>
      <c r="I266" s="1">
        <f t="shared" si="27"/>
        <v>0.65464093009494817</v>
      </c>
      <c r="J266" s="2">
        <v>111.7</v>
      </c>
      <c r="K266" s="2">
        <v>106.8</v>
      </c>
      <c r="L266" s="2">
        <f t="shared" si="28"/>
        <v>4.9000000000000057</v>
      </c>
      <c r="M266" s="1">
        <f t="shared" si="29"/>
        <v>-4.4884832533972574E-2</v>
      </c>
      <c r="N266" s="2">
        <v>107.4</v>
      </c>
      <c r="O266" s="2">
        <v>101.7</v>
      </c>
      <c r="P266" s="2">
        <f t="shared" si="30"/>
        <v>5.7000000000000028</v>
      </c>
      <c r="Q266">
        <v>0.8</v>
      </c>
    </row>
    <row r="267" spans="1:17">
      <c r="A267" t="s">
        <v>62</v>
      </c>
      <c r="B267" t="s">
        <v>9</v>
      </c>
      <c r="C267">
        <v>44</v>
      </c>
      <c r="D267">
        <v>38</v>
      </c>
      <c r="E267" s="1">
        <f t="shared" si="25"/>
        <v>0.53658536585365857</v>
      </c>
      <c r="F267" s="2">
        <v>107.8</v>
      </c>
      <c r="G267" s="2">
        <v>105.7</v>
      </c>
      <c r="H267" s="2">
        <f t="shared" si="26"/>
        <v>2.0999999999999943</v>
      </c>
      <c r="I267" s="1">
        <f t="shared" si="27"/>
        <v>0.56842270571530307</v>
      </c>
      <c r="J267" s="2">
        <v>111</v>
      </c>
      <c r="K267" s="2">
        <v>108.9</v>
      </c>
      <c r="L267" s="2">
        <f t="shared" si="28"/>
        <v>2.0999999999999943</v>
      </c>
      <c r="M267" s="1">
        <f t="shared" si="29"/>
        <v>-3.1837339861644498E-2</v>
      </c>
      <c r="N267" s="2">
        <v>110</v>
      </c>
      <c r="O267" s="2">
        <v>104.4</v>
      </c>
      <c r="P267" s="2">
        <f t="shared" si="30"/>
        <v>5.5999999999999943</v>
      </c>
      <c r="Q267">
        <v>-0.7</v>
      </c>
    </row>
    <row r="268" spans="1:17">
      <c r="A268" t="s">
        <v>49</v>
      </c>
      <c r="B268" t="s">
        <v>46</v>
      </c>
      <c r="C268">
        <v>47</v>
      </c>
      <c r="D268">
        <v>19</v>
      </c>
      <c r="E268" s="1">
        <f t="shared" si="25"/>
        <v>0.71212121212121215</v>
      </c>
      <c r="F268" s="2">
        <v>103.1</v>
      </c>
      <c r="G268" s="2">
        <v>96.9</v>
      </c>
      <c r="H268" s="2">
        <f t="shared" si="26"/>
        <v>6.1999999999999886</v>
      </c>
      <c r="I268" s="1">
        <f t="shared" si="27"/>
        <v>0.70438730300910357</v>
      </c>
      <c r="J268" s="2">
        <v>108.4</v>
      </c>
      <c r="K268" s="2">
        <v>102.1</v>
      </c>
      <c r="L268" s="2">
        <f t="shared" si="28"/>
        <v>6.3000000000000114</v>
      </c>
      <c r="M268" s="1">
        <f t="shared" si="29"/>
        <v>7.7339091121085835E-3</v>
      </c>
      <c r="N268" s="2">
        <v>103.4</v>
      </c>
      <c r="O268" s="2">
        <v>97.9</v>
      </c>
      <c r="P268" s="2">
        <f t="shared" si="30"/>
        <v>5.5</v>
      </c>
      <c r="Q268">
        <v>0.1</v>
      </c>
    </row>
    <row r="269" spans="1:17">
      <c r="A269" t="s">
        <v>61</v>
      </c>
      <c r="B269" t="s">
        <v>11</v>
      </c>
      <c r="C269">
        <v>47</v>
      </c>
      <c r="D269">
        <v>25</v>
      </c>
      <c r="E269" s="1">
        <f t="shared" si="25"/>
        <v>0.65277777777777779</v>
      </c>
      <c r="F269" s="2">
        <v>115.1</v>
      </c>
      <c r="G269" s="2">
        <v>110.1</v>
      </c>
      <c r="H269" s="2">
        <f t="shared" si="26"/>
        <v>5</v>
      </c>
      <c r="I269" s="1">
        <f t="shared" si="27"/>
        <v>0.65062141130812434</v>
      </c>
      <c r="J269" s="2">
        <v>116.3</v>
      </c>
      <c r="K269" s="2">
        <v>111.5</v>
      </c>
      <c r="L269" s="2">
        <f t="shared" si="28"/>
        <v>4.7999999999999972</v>
      </c>
      <c r="M269" s="1">
        <f t="shared" si="29"/>
        <v>2.1563664696534479E-3</v>
      </c>
      <c r="N269" s="2">
        <v>114.4</v>
      </c>
      <c r="O269" s="2">
        <v>109</v>
      </c>
      <c r="P269" s="2">
        <f t="shared" si="30"/>
        <v>5.4000000000000057</v>
      </c>
      <c r="Q269">
        <v>0.7</v>
      </c>
    </row>
    <row r="270" spans="1:17">
      <c r="A270" t="s">
        <v>55</v>
      </c>
      <c r="B270" t="s">
        <v>9</v>
      </c>
      <c r="C270">
        <v>57</v>
      </c>
      <c r="D270">
        <v>25</v>
      </c>
      <c r="E270" s="1">
        <f t="shared" si="25"/>
        <v>0.69512195121951215</v>
      </c>
      <c r="F270" s="2">
        <v>104.3</v>
      </c>
      <c r="G270" s="2">
        <v>98.3</v>
      </c>
      <c r="H270" s="2">
        <f t="shared" si="26"/>
        <v>6</v>
      </c>
      <c r="I270" s="1">
        <f t="shared" si="27"/>
        <v>0.6962413060313849</v>
      </c>
      <c r="J270" s="2">
        <v>110.2</v>
      </c>
      <c r="K270" s="2">
        <v>103.9</v>
      </c>
      <c r="L270" s="2">
        <f t="shared" si="28"/>
        <v>6.2999999999999972</v>
      </c>
      <c r="M270" s="1">
        <f t="shared" si="29"/>
        <v>-1.1193548118727525E-3</v>
      </c>
      <c r="N270" s="2">
        <v>103.4</v>
      </c>
      <c r="O270" s="2">
        <v>98</v>
      </c>
      <c r="P270" s="2">
        <f t="shared" si="30"/>
        <v>5.4000000000000057</v>
      </c>
      <c r="Q270">
        <v>0.7</v>
      </c>
    </row>
    <row r="271" spans="1:17">
      <c r="A271" t="s">
        <v>63</v>
      </c>
      <c r="B271" t="s">
        <v>13</v>
      </c>
      <c r="C271">
        <v>44</v>
      </c>
      <c r="D271">
        <v>38</v>
      </c>
      <c r="E271" s="1">
        <f t="shared" si="25"/>
        <v>0.53658536585365857</v>
      </c>
      <c r="F271" s="2">
        <v>118.9</v>
      </c>
      <c r="G271" s="2">
        <v>117.1</v>
      </c>
      <c r="H271" s="2">
        <f t="shared" si="26"/>
        <v>1.8000000000000114</v>
      </c>
      <c r="I271" s="1">
        <f t="shared" si="27"/>
        <v>0.55318886020704383</v>
      </c>
      <c r="J271" s="2">
        <v>115.1</v>
      </c>
      <c r="K271" s="2">
        <v>113.4</v>
      </c>
      <c r="L271" s="2">
        <f t="shared" si="28"/>
        <v>1.6999999999999886</v>
      </c>
      <c r="M271" s="1">
        <f t="shared" si="29"/>
        <v>-1.6603494353385262E-2</v>
      </c>
      <c r="N271" s="2">
        <v>104</v>
      </c>
      <c r="O271" s="2">
        <v>98.6</v>
      </c>
      <c r="P271" s="2">
        <f t="shared" si="30"/>
        <v>5.4000000000000057</v>
      </c>
      <c r="Q271">
        <v>0.8</v>
      </c>
    </row>
    <row r="272" spans="1:17">
      <c r="A272" t="s">
        <v>52</v>
      </c>
      <c r="B272" t="s">
        <v>5</v>
      </c>
      <c r="C272">
        <v>38</v>
      </c>
      <c r="D272">
        <v>44</v>
      </c>
      <c r="E272" s="1">
        <f t="shared" si="25"/>
        <v>0.46341463414634149</v>
      </c>
      <c r="F272" s="2">
        <v>101</v>
      </c>
      <c r="G272" s="2">
        <v>101.5</v>
      </c>
      <c r="H272" s="2">
        <f t="shared" si="26"/>
        <v>-0.5</v>
      </c>
      <c r="I272" s="1">
        <f t="shared" si="27"/>
        <v>0.48272289543770702</v>
      </c>
      <c r="J272" s="2">
        <v>104.9</v>
      </c>
      <c r="K272" s="2">
        <v>105.7</v>
      </c>
      <c r="L272" s="2">
        <f t="shared" si="28"/>
        <v>-0.79999999999999716</v>
      </c>
      <c r="M272" s="1">
        <f t="shared" si="29"/>
        <v>-1.9308261291365536E-2</v>
      </c>
      <c r="N272" s="2">
        <v>105.6</v>
      </c>
      <c r="O272" s="2">
        <v>100.2</v>
      </c>
      <c r="P272" s="2">
        <f t="shared" si="30"/>
        <v>5.3999999999999915</v>
      </c>
      <c r="Q272">
        <v>-0.9</v>
      </c>
    </row>
    <row r="273" spans="1:17">
      <c r="A273" t="s">
        <v>60</v>
      </c>
      <c r="B273" t="s">
        <v>24</v>
      </c>
      <c r="C273">
        <v>43</v>
      </c>
      <c r="D273">
        <v>30</v>
      </c>
      <c r="E273" s="1">
        <f t="shared" si="25"/>
        <v>0.58904109589041098</v>
      </c>
      <c r="F273" s="2">
        <v>110.7</v>
      </c>
      <c r="G273" s="2">
        <v>108.4</v>
      </c>
      <c r="H273" s="2">
        <f t="shared" si="26"/>
        <v>2.2999999999999972</v>
      </c>
      <c r="I273" s="1">
        <f t="shared" si="27"/>
        <v>0.57296056014659968</v>
      </c>
      <c r="J273" s="2">
        <v>110.7</v>
      </c>
      <c r="K273" s="2">
        <v>108.4</v>
      </c>
      <c r="L273" s="2">
        <f t="shared" si="28"/>
        <v>2.2999999999999972</v>
      </c>
      <c r="M273" s="1">
        <f t="shared" si="29"/>
        <v>1.6080535743811297E-2</v>
      </c>
      <c r="N273" s="2">
        <v>108.9</v>
      </c>
      <c r="O273" s="2">
        <v>103.6</v>
      </c>
      <c r="P273" s="2">
        <f t="shared" si="30"/>
        <v>5.3000000000000114</v>
      </c>
      <c r="Q273">
        <v>0</v>
      </c>
    </row>
    <row r="274" spans="1:17">
      <c r="A274" t="s">
        <v>50</v>
      </c>
      <c r="B274" t="s">
        <v>31</v>
      </c>
      <c r="C274">
        <v>43</v>
      </c>
      <c r="D274">
        <v>39</v>
      </c>
      <c r="E274" s="1">
        <f t="shared" si="25"/>
        <v>0.52439024390243905</v>
      </c>
      <c r="F274" s="2">
        <v>98</v>
      </c>
      <c r="G274" s="2">
        <v>98.1</v>
      </c>
      <c r="H274" s="2">
        <f t="shared" si="26"/>
        <v>-9.9999999999994316E-2</v>
      </c>
      <c r="I274" s="1">
        <f t="shared" si="27"/>
        <v>0.49643045299187905</v>
      </c>
      <c r="J274" s="2">
        <v>105.4</v>
      </c>
      <c r="K274" s="2">
        <v>105.6</v>
      </c>
      <c r="L274" s="2">
        <f t="shared" si="28"/>
        <v>-0.19999999999998863</v>
      </c>
      <c r="M274" s="1">
        <f t="shared" si="29"/>
        <v>2.7959790910560001E-2</v>
      </c>
      <c r="N274" s="2">
        <v>106.4</v>
      </c>
      <c r="O274" s="2">
        <v>101.2</v>
      </c>
      <c r="P274" s="2">
        <f t="shared" si="30"/>
        <v>5.2000000000000028</v>
      </c>
      <c r="Q274">
        <v>-0.1</v>
      </c>
    </row>
    <row r="275" spans="1:17">
      <c r="A275" t="s">
        <v>34</v>
      </c>
      <c r="B275" t="s">
        <v>23</v>
      </c>
      <c r="C275">
        <v>44</v>
      </c>
      <c r="D275">
        <v>38</v>
      </c>
      <c r="E275" s="1">
        <f t="shared" si="25"/>
        <v>0.53658536585365857</v>
      </c>
      <c r="F275" s="2">
        <v>100.5</v>
      </c>
      <c r="G275" s="2">
        <v>98.9</v>
      </c>
      <c r="H275" s="2">
        <f t="shared" si="26"/>
        <v>1.5999999999999943</v>
      </c>
      <c r="I275" s="1">
        <f t="shared" si="27"/>
        <v>0.5559346078100218</v>
      </c>
      <c r="J275" s="2">
        <v>105.6</v>
      </c>
      <c r="K275" s="2">
        <v>104.1</v>
      </c>
      <c r="L275" s="2">
        <f t="shared" si="28"/>
        <v>1.5</v>
      </c>
      <c r="M275" s="1">
        <f t="shared" si="29"/>
        <v>-1.9349241956363228E-2</v>
      </c>
      <c r="N275" s="2">
        <v>105.5</v>
      </c>
      <c r="O275" s="2">
        <v>100.4</v>
      </c>
      <c r="P275" s="2">
        <f t="shared" si="30"/>
        <v>5.0999999999999943</v>
      </c>
      <c r="Q275">
        <v>-1</v>
      </c>
    </row>
    <row r="276" spans="1:17">
      <c r="A276" t="s">
        <v>4</v>
      </c>
      <c r="B276" t="s">
        <v>11</v>
      </c>
      <c r="C276">
        <v>40</v>
      </c>
      <c r="D276">
        <v>42</v>
      </c>
      <c r="E276" s="1">
        <f t="shared" si="25"/>
        <v>0.48780487804878048</v>
      </c>
      <c r="F276" s="2">
        <v>96.6</v>
      </c>
      <c r="G276" s="2">
        <v>99</v>
      </c>
      <c r="H276" s="2">
        <f t="shared" si="26"/>
        <v>-2.4000000000000057</v>
      </c>
      <c r="I276" s="1">
        <f t="shared" si="27"/>
        <v>0.41494120163391823</v>
      </c>
      <c r="J276" s="2">
        <v>102.2</v>
      </c>
      <c r="K276" s="2">
        <v>104.9</v>
      </c>
      <c r="L276" s="2">
        <f t="shared" si="28"/>
        <v>-2.7000000000000028</v>
      </c>
      <c r="M276" s="1">
        <f t="shared" si="29"/>
        <v>7.2863676414862244E-2</v>
      </c>
      <c r="N276" s="2">
        <v>100.5</v>
      </c>
      <c r="O276" s="2">
        <v>95.5</v>
      </c>
      <c r="P276" s="2">
        <f t="shared" si="30"/>
        <v>5</v>
      </c>
      <c r="Q276">
        <v>0.1</v>
      </c>
    </row>
    <row r="277" spans="1:17">
      <c r="A277" t="s">
        <v>36</v>
      </c>
      <c r="B277" t="s">
        <v>5</v>
      </c>
      <c r="C277">
        <v>35</v>
      </c>
      <c r="D277">
        <v>47</v>
      </c>
      <c r="E277" s="1">
        <f t="shared" si="25"/>
        <v>0.42682926829268292</v>
      </c>
      <c r="F277" s="2">
        <v>94.1</v>
      </c>
      <c r="G277" s="2">
        <v>97.6</v>
      </c>
      <c r="H277" s="2">
        <f t="shared" si="26"/>
        <v>-3.5</v>
      </c>
      <c r="I277" s="1">
        <f t="shared" si="27"/>
        <v>0.37489532651227531</v>
      </c>
      <c r="J277" s="2">
        <v>100.4</v>
      </c>
      <c r="K277" s="2">
        <v>104.2</v>
      </c>
      <c r="L277" s="2">
        <f t="shared" si="28"/>
        <v>-3.7999999999999972</v>
      </c>
      <c r="M277" s="1">
        <f t="shared" si="29"/>
        <v>5.1933941780407611E-2</v>
      </c>
      <c r="N277" s="2">
        <v>102</v>
      </c>
      <c r="O277" s="2">
        <v>97.1</v>
      </c>
      <c r="P277" s="2">
        <f t="shared" si="30"/>
        <v>4.9000000000000057</v>
      </c>
      <c r="Q277">
        <v>-2</v>
      </c>
    </row>
    <row r="278" spans="1:17">
      <c r="A278" t="s">
        <v>4</v>
      </c>
      <c r="B278" t="s">
        <v>30</v>
      </c>
      <c r="C278">
        <v>47</v>
      </c>
      <c r="D278">
        <v>35</v>
      </c>
      <c r="E278" s="1">
        <f t="shared" si="25"/>
        <v>0.57317073170731703</v>
      </c>
      <c r="F278" s="2">
        <v>97.6</v>
      </c>
      <c r="G278" s="2">
        <v>95.4</v>
      </c>
      <c r="H278" s="2">
        <f t="shared" si="26"/>
        <v>2.1999999999999886</v>
      </c>
      <c r="I278" s="1">
        <f t="shared" si="27"/>
        <v>0.57912557114227126</v>
      </c>
      <c r="J278" s="2">
        <v>104.4</v>
      </c>
      <c r="K278" s="2">
        <v>102</v>
      </c>
      <c r="L278" s="2">
        <f t="shared" si="28"/>
        <v>2.4000000000000057</v>
      </c>
      <c r="M278" s="1">
        <f t="shared" si="29"/>
        <v>-5.9548394349542288E-3</v>
      </c>
      <c r="N278" s="2">
        <v>96.8</v>
      </c>
      <c r="O278" s="2">
        <v>92.1</v>
      </c>
      <c r="P278" s="2">
        <f t="shared" si="30"/>
        <v>4.7000000000000028</v>
      </c>
      <c r="Q278">
        <v>0.7</v>
      </c>
    </row>
    <row r="279" spans="1:17">
      <c r="A279" t="s">
        <v>43</v>
      </c>
      <c r="B279" t="s">
        <v>42</v>
      </c>
      <c r="C279">
        <v>39</v>
      </c>
      <c r="D279">
        <v>43</v>
      </c>
      <c r="E279" s="1">
        <f t="shared" si="25"/>
        <v>0.47560975609756095</v>
      </c>
      <c r="F279" s="2">
        <v>95.5</v>
      </c>
      <c r="G279" s="2">
        <v>97.1</v>
      </c>
      <c r="H279" s="2">
        <f t="shared" si="26"/>
        <v>-1.5999999999999943</v>
      </c>
      <c r="I279" s="1">
        <f t="shared" si="27"/>
        <v>0.44210785442582834</v>
      </c>
      <c r="J279" s="2">
        <v>103.7</v>
      </c>
      <c r="K279" s="2">
        <v>105.4</v>
      </c>
      <c r="L279" s="2">
        <f t="shared" si="28"/>
        <v>-1.7000000000000028</v>
      </c>
      <c r="M279" s="1">
        <f t="shared" si="29"/>
        <v>3.3501901671732615E-2</v>
      </c>
      <c r="N279" s="2">
        <v>101.2</v>
      </c>
      <c r="O279" s="2">
        <v>96.6</v>
      </c>
      <c r="P279" s="2">
        <f t="shared" si="30"/>
        <v>4.6000000000000085</v>
      </c>
      <c r="Q279">
        <v>-0.2</v>
      </c>
    </row>
    <row r="280" spans="1:17">
      <c r="A280" t="s">
        <v>47</v>
      </c>
      <c r="B280" t="s">
        <v>26</v>
      </c>
      <c r="C280">
        <v>50</v>
      </c>
      <c r="D280">
        <v>32</v>
      </c>
      <c r="E280" s="1">
        <f t="shared" si="25"/>
        <v>0.6097560975609756</v>
      </c>
      <c r="F280" s="2">
        <v>98.1</v>
      </c>
      <c r="G280" s="2">
        <v>94.8</v>
      </c>
      <c r="H280" s="2">
        <f t="shared" si="26"/>
        <v>3.2999999999999972</v>
      </c>
      <c r="I280" s="1">
        <f t="shared" si="27"/>
        <v>0.61752385224098172</v>
      </c>
      <c r="J280" s="2">
        <v>109.6</v>
      </c>
      <c r="K280" s="2">
        <v>106.1</v>
      </c>
      <c r="L280" s="2">
        <f t="shared" si="28"/>
        <v>3.5</v>
      </c>
      <c r="M280" s="1">
        <f t="shared" si="29"/>
        <v>-7.7677546800061226E-3</v>
      </c>
      <c r="N280" s="2">
        <v>100.8</v>
      </c>
      <c r="O280" s="2">
        <v>96.2</v>
      </c>
      <c r="P280" s="2">
        <f t="shared" si="30"/>
        <v>4.5999999999999943</v>
      </c>
      <c r="Q280">
        <v>0.4</v>
      </c>
    </row>
    <row r="281" spans="1:17">
      <c r="A281" t="s">
        <v>4</v>
      </c>
      <c r="B281" t="s">
        <v>9</v>
      </c>
      <c r="C281">
        <v>30</v>
      </c>
      <c r="D281">
        <v>52</v>
      </c>
      <c r="E281" s="1">
        <f t="shared" si="25"/>
        <v>0.36585365853658536</v>
      </c>
      <c r="F281" s="2">
        <v>92.2</v>
      </c>
      <c r="G281" s="2">
        <v>96.5</v>
      </c>
      <c r="H281" s="2">
        <f t="shared" si="26"/>
        <v>-4.2999999999999972</v>
      </c>
      <c r="I281" s="1">
        <f t="shared" si="27"/>
        <v>0.34566252690458571</v>
      </c>
      <c r="J281" s="2">
        <v>99.3</v>
      </c>
      <c r="K281" s="2">
        <v>103.5</v>
      </c>
      <c r="L281" s="2">
        <f t="shared" si="28"/>
        <v>-4.2000000000000028</v>
      </c>
      <c r="M281" s="1">
        <f t="shared" si="29"/>
        <v>2.0191131631999648E-2</v>
      </c>
      <c r="N281" s="2">
        <v>91.3</v>
      </c>
      <c r="O281" s="2">
        <v>86.8</v>
      </c>
      <c r="P281" s="2">
        <f t="shared" si="30"/>
        <v>4.5</v>
      </c>
      <c r="Q281">
        <v>1</v>
      </c>
    </row>
    <row r="282" spans="1:17">
      <c r="A282" t="s">
        <v>43</v>
      </c>
      <c r="B282" t="s">
        <v>22</v>
      </c>
      <c r="C282">
        <v>33</v>
      </c>
      <c r="D282">
        <v>49</v>
      </c>
      <c r="E282" s="1">
        <f t="shared" si="25"/>
        <v>0.40243902439024393</v>
      </c>
      <c r="F282" s="2">
        <v>97.5</v>
      </c>
      <c r="G282" s="2">
        <v>100.3</v>
      </c>
      <c r="H282" s="2">
        <f t="shared" si="26"/>
        <v>-2.7999999999999972</v>
      </c>
      <c r="I282" s="1">
        <f t="shared" si="27"/>
        <v>0.40218084588560077</v>
      </c>
      <c r="J282" s="2">
        <v>104.3</v>
      </c>
      <c r="K282" s="2">
        <v>107.4</v>
      </c>
      <c r="L282" s="2">
        <f t="shared" si="28"/>
        <v>-3.1000000000000085</v>
      </c>
      <c r="M282" s="1">
        <f t="shared" si="29"/>
        <v>2.5817850464315839E-4</v>
      </c>
      <c r="N282" s="2">
        <v>107.4</v>
      </c>
      <c r="O282" s="2">
        <v>102.9</v>
      </c>
      <c r="P282" s="2">
        <f t="shared" si="30"/>
        <v>4.5</v>
      </c>
      <c r="Q282">
        <v>-0.2</v>
      </c>
    </row>
    <row r="283" spans="1:17">
      <c r="A283" t="s">
        <v>47</v>
      </c>
      <c r="B283" t="s">
        <v>19</v>
      </c>
      <c r="C283">
        <v>46</v>
      </c>
      <c r="D283">
        <v>36</v>
      </c>
      <c r="E283" s="1">
        <f t="shared" si="25"/>
        <v>0.56097560975609762</v>
      </c>
      <c r="F283" s="2">
        <v>97.7</v>
      </c>
      <c r="G283" s="2">
        <v>96</v>
      </c>
      <c r="H283" s="2">
        <f t="shared" si="26"/>
        <v>1.7000000000000028</v>
      </c>
      <c r="I283" s="1">
        <f t="shared" si="27"/>
        <v>0.56112945331002462</v>
      </c>
      <c r="J283" s="2">
        <v>104</v>
      </c>
      <c r="K283" s="2">
        <v>101.9</v>
      </c>
      <c r="L283" s="2">
        <f t="shared" si="28"/>
        <v>2.0999999999999943</v>
      </c>
      <c r="M283" s="1">
        <f t="shared" si="29"/>
        <v>-1.5384355392700222E-4</v>
      </c>
      <c r="N283" s="2">
        <v>99.6</v>
      </c>
      <c r="O283" s="2">
        <v>95.1</v>
      </c>
      <c r="P283" s="2">
        <f t="shared" si="30"/>
        <v>4.5</v>
      </c>
      <c r="Q283">
        <v>0.2</v>
      </c>
    </row>
    <row r="284" spans="1:17">
      <c r="A284" t="s">
        <v>63</v>
      </c>
      <c r="B284" t="s">
        <v>17</v>
      </c>
      <c r="C284">
        <v>43</v>
      </c>
      <c r="D284">
        <v>39</v>
      </c>
      <c r="E284" s="1">
        <f t="shared" si="25"/>
        <v>0.52439024390243905</v>
      </c>
      <c r="F284" s="2">
        <v>117.2</v>
      </c>
      <c r="G284" s="2">
        <v>116.6</v>
      </c>
      <c r="H284" s="2">
        <f t="shared" si="26"/>
        <v>0.60000000000000853</v>
      </c>
      <c r="I284" s="1">
        <f t="shared" si="27"/>
        <v>0.5179563857008791</v>
      </c>
      <c r="J284" s="2">
        <v>113.9</v>
      </c>
      <c r="K284" s="2">
        <v>113.2</v>
      </c>
      <c r="L284" s="2">
        <f t="shared" si="28"/>
        <v>0.70000000000000284</v>
      </c>
      <c r="M284" s="1">
        <f t="shared" si="29"/>
        <v>6.4338582015599499E-3</v>
      </c>
      <c r="N284" s="2">
        <v>115.9</v>
      </c>
      <c r="O284" s="2">
        <v>111.5</v>
      </c>
      <c r="P284" s="2">
        <f t="shared" si="30"/>
        <v>4.4000000000000057</v>
      </c>
      <c r="Q284">
        <v>1.9</v>
      </c>
    </row>
    <row r="285" spans="1:17">
      <c r="A285" t="s">
        <v>63</v>
      </c>
      <c r="B285" t="s">
        <v>6</v>
      </c>
      <c r="C285">
        <v>57</v>
      </c>
      <c r="D285">
        <v>25</v>
      </c>
      <c r="E285" s="1">
        <f t="shared" si="25"/>
        <v>0.69512195121951215</v>
      </c>
      <c r="F285" s="2">
        <v>117.9</v>
      </c>
      <c r="G285" s="2">
        <v>111.4</v>
      </c>
      <c r="H285" s="2">
        <f t="shared" si="26"/>
        <v>6.5</v>
      </c>
      <c r="I285" s="1">
        <f t="shared" si="27"/>
        <v>0.6886751375801452</v>
      </c>
      <c r="J285" s="2">
        <v>117.3</v>
      </c>
      <c r="K285" s="2">
        <v>110.6</v>
      </c>
      <c r="L285" s="2">
        <f t="shared" si="28"/>
        <v>6.7000000000000028</v>
      </c>
      <c r="M285" s="1">
        <f t="shared" si="29"/>
        <v>6.446813639366944E-3</v>
      </c>
      <c r="N285" s="2">
        <v>107.4</v>
      </c>
      <c r="O285" s="2">
        <v>103.1</v>
      </c>
      <c r="P285" s="2">
        <f t="shared" si="30"/>
        <v>4.3000000000000114</v>
      </c>
      <c r="Q285">
        <v>0.6</v>
      </c>
    </row>
    <row r="286" spans="1:17">
      <c r="A286" t="s">
        <v>41</v>
      </c>
      <c r="B286" t="s">
        <v>27</v>
      </c>
      <c r="C286">
        <v>44</v>
      </c>
      <c r="D286">
        <v>38</v>
      </c>
      <c r="E286" s="1">
        <f t="shared" si="25"/>
        <v>0.53658536585365857</v>
      </c>
      <c r="F286" s="2">
        <v>98.9</v>
      </c>
      <c r="G286" s="2">
        <v>97.3</v>
      </c>
      <c r="H286" s="2">
        <f t="shared" si="26"/>
        <v>1.6000000000000085</v>
      </c>
      <c r="I286" s="1">
        <f t="shared" si="27"/>
        <v>0.55683911786058593</v>
      </c>
      <c r="J286" s="2">
        <v>105.3</v>
      </c>
      <c r="K286" s="2">
        <v>103.5</v>
      </c>
      <c r="L286" s="2">
        <f t="shared" si="28"/>
        <v>1.7999999999999972</v>
      </c>
      <c r="M286" s="1">
        <f t="shared" si="29"/>
        <v>-2.0253752006927361E-2</v>
      </c>
      <c r="N286" s="2">
        <v>101.9</v>
      </c>
      <c r="O286" s="2">
        <v>97.8</v>
      </c>
      <c r="P286" s="2">
        <f t="shared" si="30"/>
        <v>4.1000000000000085</v>
      </c>
      <c r="Q286">
        <v>-0.7</v>
      </c>
    </row>
    <row r="287" spans="1:17">
      <c r="A287" t="s">
        <v>39</v>
      </c>
      <c r="B287" t="s">
        <v>21</v>
      </c>
      <c r="C287">
        <v>42</v>
      </c>
      <c r="D287">
        <v>40</v>
      </c>
      <c r="E287" s="1">
        <f t="shared" si="25"/>
        <v>0.51219512195121952</v>
      </c>
      <c r="F287" s="2">
        <v>91.4</v>
      </c>
      <c r="G287" s="2">
        <v>92.9</v>
      </c>
      <c r="H287" s="2">
        <f t="shared" si="26"/>
        <v>-1.5</v>
      </c>
      <c r="I287" s="1">
        <f t="shared" si="27"/>
        <v>0.44327172117741881</v>
      </c>
      <c r="J287" s="2">
        <v>99.9</v>
      </c>
      <c r="K287" s="2">
        <v>101.6</v>
      </c>
      <c r="L287" s="2">
        <f t="shared" si="28"/>
        <v>-1.6999999999999886</v>
      </c>
      <c r="M287" s="1">
        <f t="shared" si="29"/>
        <v>6.8923400773800714E-2</v>
      </c>
      <c r="N287" s="2">
        <v>100</v>
      </c>
      <c r="O287" s="2">
        <v>95.9</v>
      </c>
      <c r="P287" s="2">
        <f t="shared" si="30"/>
        <v>4.0999999999999943</v>
      </c>
      <c r="Q287">
        <v>-2.2000000000000002</v>
      </c>
    </row>
    <row r="288" spans="1:17">
      <c r="A288" t="s">
        <v>58</v>
      </c>
      <c r="B288" t="s">
        <v>11</v>
      </c>
      <c r="C288">
        <v>46</v>
      </c>
      <c r="D288">
        <v>36</v>
      </c>
      <c r="E288" s="1">
        <f t="shared" si="25"/>
        <v>0.56097560975609762</v>
      </c>
      <c r="F288" s="2">
        <v>110</v>
      </c>
      <c r="G288" s="2">
        <v>108.5</v>
      </c>
      <c r="H288" s="2">
        <f t="shared" si="26"/>
        <v>1.5</v>
      </c>
      <c r="I288" s="1">
        <f t="shared" si="27"/>
        <v>0.54790824985193565</v>
      </c>
      <c r="J288" s="2">
        <v>111.4</v>
      </c>
      <c r="K288" s="2">
        <v>110</v>
      </c>
      <c r="L288" s="2">
        <f t="shared" si="28"/>
        <v>1.4000000000000057</v>
      </c>
      <c r="M288" s="1">
        <f t="shared" si="29"/>
        <v>1.3067359904161968E-2</v>
      </c>
      <c r="N288" s="2">
        <v>103.6</v>
      </c>
      <c r="O288" s="2">
        <v>99.5</v>
      </c>
      <c r="P288" s="2">
        <f t="shared" si="30"/>
        <v>4.0999999999999943</v>
      </c>
      <c r="Q288">
        <v>-0.6</v>
      </c>
    </row>
    <row r="289" spans="1:17">
      <c r="A289" t="s">
        <v>65</v>
      </c>
      <c r="B289" t="s">
        <v>17</v>
      </c>
      <c r="C289">
        <v>50</v>
      </c>
      <c r="D289">
        <v>32</v>
      </c>
      <c r="E289" s="1">
        <f t="shared" si="25"/>
        <v>0.6097560975609756</v>
      </c>
      <c r="F289" s="2">
        <v>113.4</v>
      </c>
      <c r="G289" s="2">
        <v>112.2</v>
      </c>
      <c r="H289" s="2">
        <f t="shared" si="26"/>
        <v>1.2000000000000028</v>
      </c>
      <c r="I289" s="1">
        <f t="shared" si="27"/>
        <v>0.5371657170333668</v>
      </c>
      <c r="J289" s="2">
        <v>115</v>
      </c>
      <c r="K289" s="2">
        <v>113.8</v>
      </c>
      <c r="L289" s="2">
        <f t="shared" si="28"/>
        <v>1.2000000000000028</v>
      </c>
      <c r="M289" s="1">
        <f t="shared" si="29"/>
        <v>7.25903805276088E-2</v>
      </c>
      <c r="N289" s="2">
        <v>114.6</v>
      </c>
      <c r="O289" s="2">
        <v>110.6</v>
      </c>
      <c r="P289" s="2">
        <f t="shared" si="30"/>
        <v>4</v>
      </c>
      <c r="Q289">
        <v>-0.7</v>
      </c>
    </row>
    <row r="290" spans="1:17">
      <c r="A290" t="s">
        <v>4</v>
      </c>
      <c r="B290" t="s">
        <v>17</v>
      </c>
      <c r="C290">
        <v>56</v>
      </c>
      <c r="D290">
        <v>26</v>
      </c>
      <c r="E290" s="1">
        <f t="shared" si="25"/>
        <v>0.68292682926829273</v>
      </c>
      <c r="F290" s="2">
        <v>100.6</v>
      </c>
      <c r="G290" s="2">
        <v>97.2</v>
      </c>
      <c r="H290" s="2">
        <f t="shared" si="26"/>
        <v>3.3999999999999915</v>
      </c>
      <c r="I290" s="1">
        <f t="shared" si="27"/>
        <v>0.61806463503344422</v>
      </c>
      <c r="J290" s="2">
        <v>107</v>
      </c>
      <c r="K290" s="2">
        <v>103.6</v>
      </c>
      <c r="L290" s="2">
        <f t="shared" si="28"/>
        <v>3.4000000000000057</v>
      </c>
      <c r="M290" s="1">
        <f t="shared" si="29"/>
        <v>6.4862194234848514E-2</v>
      </c>
      <c r="N290" s="2">
        <v>103.2</v>
      </c>
      <c r="O290" s="2">
        <v>99.2</v>
      </c>
      <c r="P290" s="2">
        <f t="shared" si="30"/>
        <v>4</v>
      </c>
      <c r="Q290">
        <v>-1</v>
      </c>
    </row>
    <row r="291" spans="1:17">
      <c r="A291" t="s">
        <v>52</v>
      </c>
      <c r="B291" t="s">
        <v>46</v>
      </c>
      <c r="C291">
        <v>59</v>
      </c>
      <c r="D291">
        <v>23</v>
      </c>
      <c r="E291" s="1">
        <f t="shared" si="25"/>
        <v>0.71951219512195119</v>
      </c>
      <c r="F291" s="2">
        <v>106.2</v>
      </c>
      <c r="G291" s="2">
        <v>99.8</v>
      </c>
      <c r="H291" s="2">
        <f t="shared" si="26"/>
        <v>6.4000000000000057</v>
      </c>
      <c r="I291" s="1">
        <f t="shared" si="27"/>
        <v>0.70478376609010041</v>
      </c>
      <c r="J291" s="2">
        <v>109.4</v>
      </c>
      <c r="K291" s="2">
        <v>103</v>
      </c>
      <c r="L291" s="2">
        <f t="shared" si="28"/>
        <v>6.4000000000000057</v>
      </c>
      <c r="M291" s="1">
        <f t="shared" si="29"/>
        <v>1.4728429031850787E-2</v>
      </c>
      <c r="N291" s="2">
        <v>103.7</v>
      </c>
      <c r="O291" s="2">
        <v>99.7</v>
      </c>
      <c r="P291" s="2">
        <f t="shared" si="30"/>
        <v>4</v>
      </c>
      <c r="Q291">
        <v>1.1000000000000001</v>
      </c>
    </row>
    <row r="292" spans="1:17">
      <c r="A292" t="s">
        <v>36</v>
      </c>
      <c r="B292" t="s">
        <v>24</v>
      </c>
      <c r="C292">
        <v>48</v>
      </c>
      <c r="D292">
        <v>34</v>
      </c>
      <c r="E292" s="1">
        <f t="shared" si="25"/>
        <v>0.58536585365853655</v>
      </c>
      <c r="F292" s="2">
        <v>96.8</v>
      </c>
      <c r="G292" s="2">
        <v>94.5</v>
      </c>
      <c r="H292" s="2">
        <f t="shared" si="26"/>
        <v>2.2999999999999972</v>
      </c>
      <c r="I292" s="1">
        <f t="shared" si="27"/>
        <v>0.58337902714403844</v>
      </c>
      <c r="J292" s="2">
        <v>103.2</v>
      </c>
      <c r="K292" s="2">
        <v>100.6</v>
      </c>
      <c r="L292" s="2">
        <f t="shared" si="28"/>
        <v>2.6000000000000085</v>
      </c>
      <c r="M292" s="1">
        <f t="shared" si="29"/>
        <v>1.9868265144981079E-3</v>
      </c>
      <c r="N292" s="2">
        <v>102.4</v>
      </c>
      <c r="O292" s="2">
        <v>98.5</v>
      </c>
      <c r="P292" s="2">
        <f t="shared" si="30"/>
        <v>3.9000000000000057</v>
      </c>
      <c r="Q292">
        <v>1.1000000000000001</v>
      </c>
    </row>
    <row r="293" spans="1:17">
      <c r="A293" t="s">
        <v>47</v>
      </c>
      <c r="B293" t="s">
        <v>17</v>
      </c>
      <c r="C293">
        <v>57</v>
      </c>
      <c r="D293">
        <v>25</v>
      </c>
      <c r="E293" s="1">
        <f t="shared" si="25"/>
        <v>0.69512195121951215</v>
      </c>
      <c r="F293" s="2">
        <v>101.7</v>
      </c>
      <c r="G293" s="2">
        <v>97</v>
      </c>
      <c r="H293" s="2">
        <f t="shared" si="26"/>
        <v>4.7000000000000028</v>
      </c>
      <c r="I293" s="1">
        <f t="shared" si="27"/>
        <v>0.65980571592524628</v>
      </c>
      <c r="J293" s="2">
        <v>107.6</v>
      </c>
      <c r="K293" s="2">
        <v>102.7</v>
      </c>
      <c r="L293" s="2">
        <f t="shared" si="28"/>
        <v>4.8999999999999915</v>
      </c>
      <c r="M293" s="1">
        <f t="shared" si="29"/>
        <v>3.5316235294265863E-2</v>
      </c>
      <c r="N293" s="2">
        <v>99.7</v>
      </c>
      <c r="O293" s="2">
        <v>95.9</v>
      </c>
      <c r="P293" s="2">
        <f t="shared" si="30"/>
        <v>3.7999999999999972</v>
      </c>
      <c r="Q293">
        <v>0.2</v>
      </c>
    </row>
    <row r="294" spans="1:17">
      <c r="A294" t="s">
        <v>60</v>
      </c>
      <c r="B294" t="s">
        <v>22</v>
      </c>
      <c r="C294">
        <v>21</v>
      </c>
      <c r="D294">
        <v>45</v>
      </c>
      <c r="E294" s="1">
        <f t="shared" si="25"/>
        <v>0.31818181818181818</v>
      </c>
      <c r="F294" s="2">
        <v>105.8</v>
      </c>
      <c r="G294" s="2">
        <v>112.3</v>
      </c>
      <c r="H294" s="2">
        <f t="shared" si="26"/>
        <v>-6.5</v>
      </c>
      <c r="I294" s="1">
        <f t="shared" si="27"/>
        <v>0.30264654338217839</v>
      </c>
      <c r="J294" s="2">
        <v>105.9</v>
      </c>
      <c r="K294" s="2">
        <v>112.4</v>
      </c>
      <c r="L294" s="2">
        <f t="shared" si="28"/>
        <v>-6.5</v>
      </c>
      <c r="M294" s="1">
        <f t="shared" si="29"/>
        <v>1.5535274799639787E-2</v>
      </c>
      <c r="N294" s="2">
        <v>106.3</v>
      </c>
      <c r="O294" s="2">
        <v>102.5</v>
      </c>
      <c r="P294" s="2">
        <f t="shared" si="30"/>
        <v>3.7999999999999972</v>
      </c>
      <c r="Q294">
        <v>-0.8</v>
      </c>
    </row>
    <row r="295" spans="1:17">
      <c r="A295" t="s">
        <v>66</v>
      </c>
      <c r="B295" t="s">
        <v>20</v>
      </c>
      <c r="C295">
        <v>40</v>
      </c>
      <c r="D295">
        <v>24</v>
      </c>
      <c r="E295" s="1">
        <f t="shared" si="25"/>
        <v>0.625</v>
      </c>
      <c r="F295" s="2">
        <v>118.6</v>
      </c>
      <c r="G295" s="2">
        <v>114.5</v>
      </c>
      <c r="H295" s="2">
        <f t="shared" si="26"/>
        <v>4.0999999999999943</v>
      </c>
      <c r="I295" s="1">
        <f t="shared" si="27"/>
        <v>0.62070538318450608</v>
      </c>
      <c r="J295" s="2">
        <v>116.1</v>
      </c>
      <c r="K295" s="2">
        <v>112.2</v>
      </c>
      <c r="L295" s="2">
        <f t="shared" si="28"/>
        <v>3.8999999999999915</v>
      </c>
      <c r="M295" s="1">
        <f t="shared" si="29"/>
        <v>4.2946168154939235E-3</v>
      </c>
      <c r="N295" s="2">
        <v>117.2</v>
      </c>
      <c r="O295" s="2">
        <v>113.4</v>
      </c>
      <c r="P295" s="2">
        <f t="shared" si="30"/>
        <v>3.7999999999999972</v>
      </c>
      <c r="Q295" s="2">
        <v>1.6</v>
      </c>
    </row>
    <row r="296" spans="1:17">
      <c r="A296" t="s">
        <v>62</v>
      </c>
      <c r="B296" t="s">
        <v>11</v>
      </c>
      <c r="C296">
        <v>48</v>
      </c>
      <c r="D296">
        <v>34</v>
      </c>
      <c r="E296" s="1">
        <f t="shared" si="25"/>
        <v>0.58536585365853655</v>
      </c>
      <c r="F296" s="2">
        <v>112.7</v>
      </c>
      <c r="G296" s="2">
        <v>110.4</v>
      </c>
      <c r="H296" s="2">
        <f t="shared" si="26"/>
        <v>2.2999999999999972</v>
      </c>
      <c r="I296" s="1">
        <f t="shared" si="27"/>
        <v>0.57167050088011562</v>
      </c>
      <c r="J296" s="2">
        <v>113.8</v>
      </c>
      <c r="K296" s="2">
        <v>111.5</v>
      </c>
      <c r="L296" s="2">
        <f t="shared" si="28"/>
        <v>2.2999999999999972</v>
      </c>
      <c r="M296" s="1">
        <f t="shared" si="29"/>
        <v>1.3695352778420933E-2</v>
      </c>
      <c r="N296" s="2">
        <v>106.9</v>
      </c>
      <c r="O296" s="2">
        <v>103.2</v>
      </c>
      <c r="P296" s="2">
        <f t="shared" si="30"/>
        <v>3.7000000000000028</v>
      </c>
      <c r="Q296">
        <v>-1.8</v>
      </c>
    </row>
    <row r="297" spans="1:17">
      <c r="A297" t="s">
        <v>59</v>
      </c>
      <c r="B297" t="s">
        <v>31</v>
      </c>
      <c r="C297">
        <v>50</v>
      </c>
      <c r="D297">
        <v>32</v>
      </c>
      <c r="E297" s="1">
        <f t="shared" si="25"/>
        <v>0.6097560975609756</v>
      </c>
      <c r="F297" s="2">
        <v>111.7</v>
      </c>
      <c r="G297" s="2">
        <v>106.5</v>
      </c>
      <c r="H297" s="2">
        <f t="shared" si="26"/>
        <v>5.2000000000000028</v>
      </c>
      <c r="I297" s="1">
        <f t="shared" si="27"/>
        <v>0.66092164871809023</v>
      </c>
      <c r="J297" s="2">
        <v>110.3</v>
      </c>
      <c r="K297" s="2">
        <v>105.3</v>
      </c>
      <c r="L297" s="2">
        <f t="shared" si="28"/>
        <v>5</v>
      </c>
      <c r="M297" s="1">
        <f t="shared" si="29"/>
        <v>-5.116555115711463E-2</v>
      </c>
      <c r="N297" s="2">
        <v>112.7</v>
      </c>
      <c r="O297" s="2">
        <v>109.1</v>
      </c>
      <c r="P297" s="2">
        <f t="shared" si="30"/>
        <v>3.6000000000000085</v>
      </c>
      <c r="Q297">
        <v>0.6</v>
      </c>
    </row>
    <row r="298" spans="1:17">
      <c r="A298" t="s">
        <v>36</v>
      </c>
      <c r="B298" t="s">
        <v>31</v>
      </c>
      <c r="C298">
        <v>47</v>
      </c>
      <c r="D298">
        <v>35</v>
      </c>
      <c r="E298" s="1">
        <f t="shared" si="25"/>
        <v>0.57317073170731703</v>
      </c>
      <c r="F298" s="2">
        <v>94.7</v>
      </c>
      <c r="G298" s="2">
        <v>92.3</v>
      </c>
      <c r="H298" s="2">
        <f t="shared" si="26"/>
        <v>2.4000000000000057</v>
      </c>
      <c r="I298" s="1">
        <f t="shared" si="27"/>
        <v>0.58888986228470186</v>
      </c>
      <c r="J298" s="2">
        <v>103.7</v>
      </c>
      <c r="K298" s="2">
        <v>101.1</v>
      </c>
      <c r="L298" s="2">
        <f t="shared" si="28"/>
        <v>2.6000000000000085</v>
      </c>
      <c r="M298" s="1">
        <f t="shared" si="29"/>
        <v>-1.5719130577384832E-2</v>
      </c>
      <c r="N298" s="2">
        <v>102.6</v>
      </c>
      <c r="O298" s="2">
        <v>99</v>
      </c>
      <c r="P298" s="2">
        <f t="shared" si="30"/>
        <v>3.5999999999999943</v>
      </c>
      <c r="Q298">
        <v>0.3</v>
      </c>
    </row>
    <row r="299" spans="1:17">
      <c r="A299" t="s">
        <v>60</v>
      </c>
      <c r="B299" t="s">
        <v>6</v>
      </c>
      <c r="C299">
        <v>48</v>
      </c>
      <c r="D299">
        <v>24</v>
      </c>
      <c r="E299" s="1">
        <f t="shared" si="25"/>
        <v>0.66666666666666663</v>
      </c>
      <c r="F299" s="2">
        <v>113.7</v>
      </c>
      <c r="G299" s="2">
        <v>107.3</v>
      </c>
      <c r="H299" s="2">
        <f t="shared" si="26"/>
        <v>6.4000000000000057</v>
      </c>
      <c r="I299" s="1">
        <f t="shared" si="27"/>
        <v>0.69234098586672488</v>
      </c>
      <c r="J299" s="2">
        <v>112.8</v>
      </c>
      <c r="K299" s="2">
        <v>106.5</v>
      </c>
      <c r="L299" s="2">
        <f t="shared" si="28"/>
        <v>6.2999999999999972</v>
      </c>
      <c r="M299" s="1">
        <f t="shared" si="29"/>
        <v>-2.5674319200058249E-2</v>
      </c>
      <c r="N299" s="2">
        <v>114.7</v>
      </c>
      <c r="O299" s="2">
        <v>111.2</v>
      </c>
      <c r="P299" s="2">
        <f t="shared" si="30"/>
        <v>3.5</v>
      </c>
      <c r="Q299">
        <v>0.6</v>
      </c>
    </row>
    <row r="300" spans="1:17">
      <c r="A300" t="s">
        <v>59</v>
      </c>
      <c r="B300" t="s">
        <v>24</v>
      </c>
      <c r="C300">
        <v>51</v>
      </c>
      <c r="D300">
        <v>31</v>
      </c>
      <c r="E300" s="1">
        <f t="shared" si="25"/>
        <v>0.62195121951219512</v>
      </c>
      <c r="F300" s="2">
        <v>115.2</v>
      </c>
      <c r="G300" s="2">
        <v>112.5</v>
      </c>
      <c r="H300" s="2">
        <f t="shared" si="26"/>
        <v>2.7000000000000028</v>
      </c>
      <c r="I300" s="1">
        <f t="shared" si="27"/>
        <v>0.58225355885206587</v>
      </c>
      <c r="J300" s="2">
        <v>111.6</v>
      </c>
      <c r="K300" s="2">
        <v>109</v>
      </c>
      <c r="L300" s="2">
        <f t="shared" si="28"/>
        <v>2.5999999999999943</v>
      </c>
      <c r="M300" s="1">
        <f t="shared" si="29"/>
        <v>3.9697660660129253E-2</v>
      </c>
      <c r="N300" s="2">
        <v>109.5</v>
      </c>
      <c r="O300" s="2">
        <v>106.1</v>
      </c>
      <c r="P300" s="2">
        <f t="shared" si="30"/>
        <v>3.4000000000000057</v>
      </c>
      <c r="Q300">
        <v>-0.1</v>
      </c>
    </row>
    <row r="301" spans="1:17">
      <c r="A301" t="s">
        <v>64</v>
      </c>
      <c r="B301" t="s">
        <v>23</v>
      </c>
      <c r="C301">
        <v>47</v>
      </c>
      <c r="D301">
        <v>35</v>
      </c>
      <c r="E301" s="1">
        <f t="shared" si="25"/>
        <v>0.57317073170731703</v>
      </c>
      <c r="F301" s="2">
        <v>110.5</v>
      </c>
      <c r="G301" s="2">
        <v>108.4</v>
      </c>
      <c r="H301" s="2">
        <f t="shared" si="26"/>
        <v>2.0999999999999943</v>
      </c>
      <c r="I301" s="1">
        <f t="shared" si="27"/>
        <v>0.56675507945775017</v>
      </c>
      <c r="J301" s="2">
        <v>112.9</v>
      </c>
      <c r="K301" s="2">
        <v>110.8</v>
      </c>
      <c r="L301" s="2">
        <f t="shared" si="28"/>
        <v>2.1000000000000085</v>
      </c>
      <c r="M301" s="1">
        <f t="shared" si="29"/>
        <v>6.4156522495668611E-3</v>
      </c>
      <c r="N301" s="2">
        <v>104.2</v>
      </c>
      <c r="O301" s="2">
        <v>100.8</v>
      </c>
      <c r="P301" s="2">
        <f t="shared" si="30"/>
        <v>3.4000000000000057</v>
      </c>
      <c r="Q301">
        <v>0.6</v>
      </c>
    </row>
    <row r="302" spans="1:17">
      <c r="A302" t="s">
        <v>34</v>
      </c>
      <c r="B302" t="s">
        <v>12</v>
      </c>
      <c r="C302">
        <v>50</v>
      </c>
      <c r="D302">
        <v>32</v>
      </c>
      <c r="E302" s="1">
        <f t="shared" si="25"/>
        <v>0.6097560975609756</v>
      </c>
      <c r="F302" s="2">
        <v>94.3</v>
      </c>
      <c r="G302" s="2">
        <v>92.2</v>
      </c>
      <c r="H302" s="2">
        <f t="shared" si="26"/>
        <v>2.0999999999999943</v>
      </c>
      <c r="I302" s="1">
        <f t="shared" si="27"/>
        <v>0.57817713942580595</v>
      </c>
      <c r="J302" s="2">
        <v>103.2</v>
      </c>
      <c r="K302" s="2">
        <v>100.9</v>
      </c>
      <c r="L302" s="2">
        <f t="shared" si="28"/>
        <v>2.2999999999999972</v>
      </c>
      <c r="M302" s="1">
        <f t="shared" si="29"/>
        <v>3.1578958135169644E-2</v>
      </c>
      <c r="N302" s="2">
        <v>96.6</v>
      </c>
      <c r="O302" s="2">
        <v>93.2</v>
      </c>
      <c r="P302" s="2">
        <f t="shared" si="30"/>
        <v>3.3999999999999915</v>
      </c>
      <c r="Q302">
        <v>1</v>
      </c>
    </row>
    <row r="303" spans="1:17">
      <c r="A303" t="s">
        <v>39</v>
      </c>
      <c r="B303" t="s">
        <v>6</v>
      </c>
      <c r="C303">
        <v>45</v>
      </c>
      <c r="D303">
        <v>37</v>
      </c>
      <c r="E303" s="1">
        <f t="shared" si="25"/>
        <v>0.54878048780487809</v>
      </c>
      <c r="F303" s="2">
        <v>101.3</v>
      </c>
      <c r="G303" s="2">
        <v>100.4</v>
      </c>
      <c r="H303" s="2">
        <f t="shared" si="26"/>
        <v>0.89999999999999147</v>
      </c>
      <c r="I303" s="1">
        <f t="shared" si="27"/>
        <v>0.53119414689005995</v>
      </c>
      <c r="J303" s="2">
        <v>105.9</v>
      </c>
      <c r="K303" s="2">
        <v>105.1</v>
      </c>
      <c r="L303" s="2">
        <f t="shared" si="28"/>
        <v>0.80000000000001137</v>
      </c>
      <c r="M303" s="1">
        <f t="shared" si="29"/>
        <v>1.7586340914818144E-2</v>
      </c>
      <c r="N303" s="2">
        <v>98.3</v>
      </c>
      <c r="O303" s="2">
        <v>94.9</v>
      </c>
      <c r="P303" s="2">
        <f t="shared" si="30"/>
        <v>3.3999999999999915</v>
      </c>
      <c r="Q303">
        <v>0.2</v>
      </c>
    </row>
    <row r="304" spans="1:17">
      <c r="A304" t="s">
        <v>41</v>
      </c>
      <c r="B304" t="s">
        <v>31</v>
      </c>
      <c r="C304">
        <v>41</v>
      </c>
      <c r="D304">
        <v>41</v>
      </c>
      <c r="E304" s="1">
        <f t="shared" si="25"/>
        <v>0.5</v>
      </c>
      <c r="F304" s="2">
        <v>92.4</v>
      </c>
      <c r="G304" s="2">
        <v>95</v>
      </c>
      <c r="H304" s="2">
        <f t="shared" si="26"/>
        <v>-2.5999999999999943</v>
      </c>
      <c r="I304" s="1">
        <f t="shared" si="27"/>
        <v>0.40407874070852795</v>
      </c>
      <c r="J304" s="2">
        <v>102.4</v>
      </c>
      <c r="K304" s="2">
        <v>105.1</v>
      </c>
      <c r="L304" s="2">
        <f t="shared" si="28"/>
        <v>-2.6999999999999886</v>
      </c>
      <c r="M304" s="1">
        <f t="shared" si="29"/>
        <v>9.592125929147205E-2</v>
      </c>
      <c r="N304" s="2">
        <v>107.2</v>
      </c>
      <c r="O304" s="2">
        <v>103.9</v>
      </c>
      <c r="P304" s="2">
        <f t="shared" si="30"/>
        <v>3.2999999999999972</v>
      </c>
      <c r="Q304">
        <v>0.7</v>
      </c>
    </row>
    <row r="305" spans="1:17">
      <c r="A305" t="s">
        <v>66</v>
      </c>
      <c r="B305" t="s">
        <v>5</v>
      </c>
      <c r="C305">
        <v>33</v>
      </c>
      <c r="D305">
        <v>31</v>
      </c>
      <c r="E305" s="1">
        <f t="shared" si="25"/>
        <v>0.515625</v>
      </c>
      <c r="F305" s="2">
        <v>117.7</v>
      </c>
      <c r="G305" s="2">
        <v>117.3</v>
      </c>
      <c r="H305" s="2">
        <f t="shared" si="26"/>
        <v>0.40000000000000568</v>
      </c>
      <c r="I305" s="1">
        <f t="shared" si="27"/>
        <v>0.51191265030386746</v>
      </c>
      <c r="J305" s="2">
        <v>114.1</v>
      </c>
      <c r="K305" s="2">
        <v>113.7</v>
      </c>
      <c r="L305" s="2">
        <f t="shared" si="28"/>
        <v>0.39999999999999147</v>
      </c>
      <c r="M305" s="1">
        <f t="shared" si="29"/>
        <v>3.7123496961325442E-3</v>
      </c>
      <c r="N305" s="2">
        <v>116</v>
      </c>
      <c r="O305" s="2">
        <v>112.7</v>
      </c>
      <c r="P305" s="2">
        <f t="shared" si="30"/>
        <v>3.2999999999999972</v>
      </c>
      <c r="Q305">
        <v>0.7</v>
      </c>
    </row>
    <row r="306" spans="1:17">
      <c r="A306" t="s">
        <v>44</v>
      </c>
      <c r="B306" t="s">
        <v>11</v>
      </c>
      <c r="C306">
        <v>50</v>
      </c>
      <c r="D306">
        <v>32</v>
      </c>
      <c r="E306" s="1">
        <f t="shared" si="25"/>
        <v>0.6097560975609756</v>
      </c>
      <c r="F306" s="2">
        <v>110.7</v>
      </c>
      <c r="G306" s="2">
        <v>107</v>
      </c>
      <c r="H306" s="2">
        <f t="shared" si="26"/>
        <v>3.7000000000000028</v>
      </c>
      <c r="I306" s="1">
        <f t="shared" si="27"/>
        <v>0.61678636144729848</v>
      </c>
      <c r="J306" s="2">
        <v>108.9</v>
      </c>
      <c r="K306" s="2">
        <v>105.5</v>
      </c>
      <c r="L306" s="2">
        <f t="shared" si="28"/>
        <v>3.4000000000000057</v>
      </c>
      <c r="M306" s="1">
        <f t="shared" si="29"/>
        <v>-7.030263886322885E-3</v>
      </c>
      <c r="N306" s="2">
        <v>100.3</v>
      </c>
      <c r="O306" s="2">
        <v>97</v>
      </c>
      <c r="P306" s="2">
        <f t="shared" si="30"/>
        <v>3.2999999999999972</v>
      </c>
      <c r="Q306">
        <v>0.8</v>
      </c>
    </row>
    <row r="307" spans="1:17">
      <c r="A307" t="s">
        <v>60</v>
      </c>
      <c r="B307" t="s">
        <v>51</v>
      </c>
      <c r="C307">
        <v>35</v>
      </c>
      <c r="D307">
        <v>37</v>
      </c>
      <c r="E307" s="1">
        <f t="shared" si="25"/>
        <v>0.4861111111111111</v>
      </c>
      <c r="F307" s="2">
        <v>111.8</v>
      </c>
      <c r="G307" s="2">
        <v>112.3</v>
      </c>
      <c r="H307" s="2">
        <f t="shared" si="26"/>
        <v>-0.5</v>
      </c>
      <c r="I307" s="1">
        <f t="shared" si="27"/>
        <v>0.48438702391890293</v>
      </c>
      <c r="J307" s="2">
        <v>108.7</v>
      </c>
      <c r="K307" s="2">
        <v>109.2</v>
      </c>
      <c r="L307" s="2">
        <f t="shared" si="28"/>
        <v>-0.5</v>
      </c>
      <c r="M307" s="1">
        <f t="shared" si="29"/>
        <v>1.7240871922081791E-3</v>
      </c>
      <c r="N307" s="2">
        <v>110.4</v>
      </c>
      <c r="O307" s="2">
        <v>107.2</v>
      </c>
      <c r="P307" s="2">
        <f t="shared" si="30"/>
        <v>3.2000000000000028</v>
      </c>
      <c r="Q307">
        <v>-1.3</v>
      </c>
    </row>
    <row r="308" spans="1:17">
      <c r="A308" t="s">
        <v>34</v>
      </c>
      <c r="B308" t="s">
        <v>7</v>
      </c>
      <c r="C308">
        <v>44</v>
      </c>
      <c r="D308">
        <v>38</v>
      </c>
      <c r="E308" s="1">
        <f t="shared" si="25"/>
        <v>0.53658536585365857</v>
      </c>
      <c r="F308" s="2">
        <v>93.9</v>
      </c>
      <c r="G308" s="2">
        <v>92.9</v>
      </c>
      <c r="H308" s="2">
        <f t="shared" si="26"/>
        <v>1</v>
      </c>
      <c r="I308" s="1">
        <f t="shared" si="27"/>
        <v>0.5374035846136257</v>
      </c>
      <c r="J308" s="2">
        <v>102.9</v>
      </c>
      <c r="K308" s="2">
        <v>101.8</v>
      </c>
      <c r="L308" s="2">
        <f t="shared" si="28"/>
        <v>1.1000000000000085</v>
      </c>
      <c r="M308" s="1">
        <f t="shared" si="29"/>
        <v>-8.1821875996712645E-4</v>
      </c>
      <c r="N308" s="2">
        <v>101.1</v>
      </c>
      <c r="O308" s="2">
        <v>97.9</v>
      </c>
      <c r="P308" s="2">
        <f t="shared" si="30"/>
        <v>3.1999999999999886</v>
      </c>
      <c r="Q308">
        <v>-0.5</v>
      </c>
    </row>
    <row r="309" spans="1:17">
      <c r="A309" t="s">
        <v>36</v>
      </c>
      <c r="B309" t="s">
        <v>6</v>
      </c>
      <c r="C309">
        <v>44</v>
      </c>
      <c r="D309">
        <v>38</v>
      </c>
      <c r="E309" s="1">
        <f t="shared" si="25"/>
        <v>0.53658536585365857</v>
      </c>
      <c r="F309" s="2">
        <v>92.7</v>
      </c>
      <c r="G309" s="2">
        <v>93.1</v>
      </c>
      <c r="H309" s="2">
        <f t="shared" si="26"/>
        <v>-0.39999999999999147</v>
      </c>
      <c r="I309" s="1">
        <f t="shared" si="27"/>
        <v>0.48493457063949058</v>
      </c>
      <c r="J309" s="2">
        <v>100</v>
      </c>
      <c r="K309" s="2">
        <v>100.5</v>
      </c>
      <c r="L309" s="2">
        <f t="shared" si="28"/>
        <v>-0.5</v>
      </c>
      <c r="M309" s="1">
        <f t="shared" si="29"/>
        <v>5.1650795214167988E-2</v>
      </c>
      <c r="N309" s="2">
        <v>93.4</v>
      </c>
      <c r="O309" s="2">
        <v>90.4</v>
      </c>
      <c r="P309" s="2">
        <f t="shared" si="30"/>
        <v>3</v>
      </c>
      <c r="Q309">
        <v>0</v>
      </c>
    </row>
    <row r="310" spans="1:17">
      <c r="A310" t="s">
        <v>59</v>
      </c>
      <c r="B310" t="s">
        <v>19</v>
      </c>
      <c r="C310">
        <v>60</v>
      </c>
      <c r="D310">
        <v>22</v>
      </c>
      <c r="E310" s="1">
        <f t="shared" si="25"/>
        <v>0.73170731707317072</v>
      </c>
      <c r="F310" s="2">
        <v>118.1</v>
      </c>
      <c r="G310" s="2">
        <v>109.3</v>
      </c>
      <c r="H310" s="2">
        <f t="shared" si="26"/>
        <v>8.7999999999999972</v>
      </c>
      <c r="I310" s="1">
        <f t="shared" si="27"/>
        <v>0.7472680645596036</v>
      </c>
      <c r="J310" s="2">
        <v>113.5</v>
      </c>
      <c r="K310" s="2">
        <v>104.9</v>
      </c>
      <c r="L310" s="2">
        <f t="shared" si="28"/>
        <v>8.5999999999999943</v>
      </c>
      <c r="M310" s="1">
        <f t="shared" si="29"/>
        <v>-1.556074748643288E-2</v>
      </c>
      <c r="N310" s="2">
        <v>113</v>
      </c>
      <c r="O310" s="2">
        <v>110.1</v>
      </c>
      <c r="P310" s="2">
        <f t="shared" si="30"/>
        <v>2.9000000000000057</v>
      </c>
      <c r="Q310">
        <v>2.1</v>
      </c>
    </row>
    <row r="311" spans="1:17">
      <c r="A311" t="s">
        <v>44</v>
      </c>
      <c r="B311" t="s">
        <v>26</v>
      </c>
      <c r="C311">
        <v>41</v>
      </c>
      <c r="D311">
        <v>41</v>
      </c>
      <c r="E311" s="1">
        <f t="shared" si="25"/>
        <v>0.5</v>
      </c>
      <c r="F311" s="2">
        <v>95.4</v>
      </c>
      <c r="G311" s="2">
        <v>96.3</v>
      </c>
      <c r="H311" s="2">
        <f t="shared" si="26"/>
        <v>-0.89999999999999147</v>
      </c>
      <c r="I311" s="1">
        <f t="shared" si="27"/>
        <v>0.46718315355083007</v>
      </c>
      <c r="J311" s="2">
        <v>105.9</v>
      </c>
      <c r="K311" s="2">
        <v>106.8</v>
      </c>
      <c r="L311" s="2">
        <f t="shared" si="28"/>
        <v>-0.89999999999999147</v>
      </c>
      <c r="M311" s="1">
        <f t="shared" si="29"/>
        <v>3.2816846449169934E-2</v>
      </c>
      <c r="N311" s="2">
        <v>110.6</v>
      </c>
      <c r="O311" s="2">
        <v>107.7</v>
      </c>
      <c r="P311" s="2">
        <f t="shared" si="30"/>
        <v>2.8999999999999915</v>
      </c>
      <c r="Q311">
        <v>0.1</v>
      </c>
    </row>
    <row r="312" spans="1:17">
      <c r="A312" t="s">
        <v>38</v>
      </c>
      <c r="B312" t="s">
        <v>29</v>
      </c>
      <c r="C312">
        <v>37</v>
      </c>
      <c r="D312">
        <v>45</v>
      </c>
      <c r="E312" s="1">
        <f t="shared" si="25"/>
        <v>0.45121951219512196</v>
      </c>
      <c r="F312" s="2">
        <v>97.1</v>
      </c>
      <c r="G312" s="2">
        <v>97.8</v>
      </c>
      <c r="H312" s="2">
        <f t="shared" si="26"/>
        <v>-0.70000000000000284</v>
      </c>
      <c r="I312" s="1">
        <f t="shared" si="27"/>
        <v>0.4748799608375659</v>
      </c>
      <c r="J312" s="2">
        <v>105.6</v>
      </c>
      <c r="K312" s="2">
        <v>106.4</v>
      </c>
      <c r="L312" s="2">
        <f t="shared" si="28"/>
        <v>-0.80000000000001137</v>
      </c>
      <c r="M312" s="1">
        <f t="shared" si="29"/>
        <v>-2.3660448642443932E-2</v>
      </c>
      <c r="N312" s="2">
        <v>111.3</v>
      </c>
      <c r="O312" s="2">
        <v>108.4</v>
      </c>
      <c r="P312" s="2">
        <f t="shared" si="30"/>
        <v>2.8999999999999915</v>
      </c>
      <c r="Q312">
        <v>0.3</v>
      </c>
    </row>
    <row r="313" spans="1:17">
      <c r="A313" t="s">
        <v>44</v>
      </c>
      <c r="B313" t="s">
        <v>27</v>
      </c>
      <c r="C313">
        <v>38</v>
      </c>
      <c r="D313">
        <v>44</v>
      </c>
      <c r="E313" s="1">
        <f t="shared" si="25"/>
        <v>0.46341463414634149</v>
      </c>
      <c r="F313" s="2">
        <v>102.5</v>
      </c>
      <c r="G313" s="2">
        <v>104.8</v>
      </c>
      <c r="H313" s="2">
        <f t="shared" si="26"/>
        <v>-2.2999999999999972</v>
      </c>
      <c r="I313" s="1">
        <f t="shared" si="27"/>
        <v>0.42295032284639811</v>
      </c>
      <c r="J313" s="2">
        <v>106.2</v>
      </c>
      <c r="K313" s="2">
        <v>108.6</v>
      </c>
      <c r="L313" s="2">
        <f t="shared" si="28"/>
        <v>-2.3999999999999915</v>
      </c>
      <c r="M313" s="1">
        <f t="shared" si="29"/>
        <v>4.0464311299943378E-2</v>
      </c>
      <c r="N313" s="2">
        <v>109.5</v>
      </c>
      <c r="O313" s="2">
        <v>106.7</v>
      </c>
      <c r="P313" s="2">
        <f t="shared" si="30"/>
        <v>2.7999999999999972</v>
      </c>
      <c r="Q313">
        <v>-0.6</v>
      </c>
    </row>
    <row r="314" spans="1:17">
      <c r="A314" t="s">
        <v>61</v>
      </c>
      <c r="B314" t="s">
        <v>33</v>
      </c>
      <c r="C314">
        <v>34</v>
      </c>
      <c r="D314">
        <v>38</v>
      </c>
      <c r="E314" s="1">
        <f t="shared" si="25"/>
        <v>0.47222222222222221</v>
      </c>
      <c r="F314" s="2">
        <v>116.6</v>
      </c>
      <c r="G314" s="2">
        <v>118.5</v>
      </c>
      <c r="H314" s="2">
        <f t="shared" si="26"/>
        <v>-1.9000000000000057</v>
      </c>
      <c r="I314" s="1">
        <f t="shared" si="27"/>
        <v>0.44366728176929326</v>
      </c>
      <c r="J314" s="2">
        <v>110.7</v>
      </c>
      <c r="K314" s="2">
        <v>112.3</v>
      </c>
      <c r="L314" s="2">
        <f t="shared" si="28"/>
        <v>-1.5999999999999943</v>
      </c>
      <c r="M314" s="1">
        <f t="shared" si="29"/>
        <v>2.8554940452928945E-2</v>
      </c>
      <c r="N314" s="2">
        <v>110.5</v>
      </c>
      <c r="O314" s="2">
        <v>107.7</v>
      </c>
      <c r="P314" s="2">
        <f t="shared" si="30"/>
        <v>2.7999999999999972</v>
      </c>
      <c r="Q314">
        <v>-0.3</v>
      </c>
    </row>
    <row r="315" spans="1:17">
      <c r="A315" t="s">
        <v>39</v>
      </c>
      <c r="B315" t="s">
        <v>17</v>
      </c>
      <c r="C315">
        <v>34</v>
      </c>
      <c r="D315">
        <v>48</v>
      </c>
      <c r="E315" s="1">
        <f t="shared" si="25"/>
        <v>0.41463414634146339</v>
      </c>
      <c r="F315" s="2">
        <v>98.7</v>
      </c>
      <c r="G315" s="2">
        <v>101.7</v>
      </c>
      <c r="H315" s="2">
        <f t="shared" si="26"/>
        <v>-3</v>
      </c>
      <c r="I315" s="1">
        <f t="shared" si="27"/>
        <v>0.39670987603328994</v>
      </c>
      <c r="J315" s="2">
        <v>106.4</v>
      </c>
      <c r="K315" s="2">
        <v>109.6</v>
      </c>
      <c r="L315" s="2">
        <f t="shared" si="28"/>
        <v>-3.1999999999999886</v>
      </c>
      <c r="M315" s="1">
        <f t="shared" si="29"/>
        <v>1.7924270308173451E-2</v>
      </c>
      <c r="N315" s="2">
        <v>104.3</v>
      </c>
      <c r="O315" s="2">
        <v>101.5</v>
      </c>
      <c r="P315" s="2">
        <f t="shared" si="30"/>
        <v>2.7999999999999972</v>
      </c>
      <c r="Q315">
        <v>0.7</v>
      </c>
    </row>
    <row r="316" spans="1:17">
      <c r="A316" t="s">
        <v>65</v>
      </c>
      <c r="B316" t="s">
        <v>22</v>
      </c>
      <c r="C316">
        <v>51</v>
      </c>
      <c r="D316">
        <v>31</v>
      </c>
      <c r="E316" s="1">
        <f t="shared" si="25"/>
        <v>0.62195121951219512</v>
      </c>
      <c r="F316" s="2">
        <v>115.8</v>
      </c>
      <c r="G316" s="2">
        <v>111.7</v>
      </c>
      <c r="H316" s="2">
        <f t="shared" si="26"/>
        <v>4.0999999999999943</v>
      </c>
      <c r="I316" s="1">
        <f t="shared" si="27"/>
        <v>0.62355617559165299</v>
      </c>
      <c r="J316" s="2">
        <v>117.3</v>
      </c>
      <c r="K316" s="2">
        <v>113.3</v>
      </c>
      <c r="L316" s="2">
        <f t="shared" si="28"/>
        <v>4</v>
      </c>
      <c r="M316" s="1">
        <f t="shared" si="29"/>
        <v>-1.6049560794578754E-3</v>
      </c>
      <c r="N316" s="2">
        <v>111.2</v>
      </c>
      <c r="O316" s="2">
        <v>108.4</v>
      </c>
      <c r="P316" s="2">
        <f t="shared" si="30"/>
        <v>2.7999999999999972</v>
      </c>
      <c r="Q316">
        <v>-1</v>
      </c>
    </row>
    <row r="317" spans="1:17">
      <c r="A317" t="s">
        <v>54</v>
      </c>
      <c r="B317" t="s">
        <v>15</v>
      </c>
      <c r="C317">
        <v>38</v>
      </c>
      <c r="D317">
        <v>44</v>
      </c>
      <c r="E317" s="1">
        <f t="shared" si="25"/>
        <v>0.46341463414634149</v>
      </c>
      <c r="F317" s="2">
        <v>97.3</v>
      </c>
      <c r="G317" s="2">
        <v>97</v>
      </c>
      <c r="H317" s="2">
        <f t="shared" si="26"/>
        <v>0.29999999999999716</v>
      </c>
      <c r="I317" s="1">
        <f t="shared" si="27"/>
        <v>0.51080635435585753</v>
      </c>
      <c r="J317" s="2">
        <v>102.9</v>
      </c>
      <c r="K317" s="2">
        <v>102.7</v>
      </c>
      <c r="L317" s="2">
        <f t="shared" si="28"/>
        <v>0.20000000000000284</v>
      </c>
      <c r="M317" s="1">
        <f t="shared" si="29"/>
        <v>-4.7391720209516042E-2</v>
      </c>
      <c r="N317" s="2">
        <v>97.5</v>
      </c>
      <c r="O317" s="2">
        <v>94.7</v>
      </c>
      <c r="P317" s="2">
        <f t="shared" si="30"/>
        <v>2.7999999999999972</v>
      </c>
      <c r="Q317">
        <v>0.7</v>
      </c>
    </row>
    <row r="318" spans="1:17">
      <c r="A318" t="s">
        <v>45</v>
      </c>
      <c r="B318" t="s">
        <v>8</v>
      </c>
      <c r="C318">
        <v>41</v>
      </c>
      <c r="D318">
        <v>41</v>
      </c>
      <c r="E318" s="1">
        <f t="shared" si="25"/>
        <v>0.5</v>
      </c>
      <c r="F318" s="2">
        <v>102.2</v>
      </c>
      <c r="G318" s="2">
        <v>102.5</v>
      </c>
      <c r="H318" s="2">
        <f t="shared" si="26"/>
        <v>-0.29999999999999716</v>
      </c>
      <c r="I318" s="1">
        <f t="shared" si="27"/>
        <v>0.48974251653386769</v>
      </c>
      <c r="J318" s="2">
        <v>107.2</v>
      </c>
      <c r="K318" s="2">
        <v>107.5</v>
      </c>
      <c r="L318" s="2">
        <f t="shared" si="28"/>
        <v>-0.29999999999999716</v>
      </c>
      <c r="M318" s="1">
        <f t="shared" si="29"/>
        <v>1.0257483466132311E-2</v>
      </c>
      <c r="N318" s="2">
        <v>107.2</v>
      </c>
      <c r="O318" s="2">
        <v>104.5</v>
      </c>
      <c r="P318" s="2">
        <f t="shared" si="30"/>
        <v>2.7000000000000028</v>
      </c>
      <c r="Q318">
        <v>1.6</v>
      </c>
    </row>
    <row r="319" spans="1:17">
      <c r="A319" t="s">
        <v>36</v>
      </c>
      <c r="B319" t="s">
        <v>27</v>
      </c>
      <c r="C319">
        <v>59</v>
      </c>
      <c r="D319">
        <v>23</v>
      </c>
      <c r="E319" s="1">
        <f t="shared" si="25"/>
        <v>0.71951219512195119</v>
      </c>
      <c r="F319" s="2">
        <v>101.7</v>
      </c>
      <c r="G319" s="2">
        <v>95.2</v>
      </c>
      <c r="H319" s="2">
        <f t="shared" si="26"/>
        <v>6.5</v>
      </c>
      <c r="I319" s="1">
        <f t="shared" si="27"/>
        <v>0.71599128231824272</v>
      </c>
      <c r="J319" s="2">
        <v>104.4</v>
      </c>
      <c r="K319" s="2">
        <v>97.8</v>
      </c>
      <c r="L319" s="2">
        <f t="shared" si="28"/>
        <v>6.6000000000000085</v>
      </c>
      <c r="M319" s="1">
        <f t="shared" si="29"/>
        <v>3.5209128037084758E-3</v>
      </c>
      <c r="N319" s="2">
        <v>104.5</v>
      </c>
      <c r="O319" s="2">
        <v>101.8</v>
      </c>
      <c r="P319" s="2">
        <f t="shared" si="30"/>
        <v>2.7000000000000028</v>
      </c>
      <c r="Q319">
        <v>0.4</v>
      </c>
    </row>
    <row r="320" spans="1:17">
      <c r="A320" t="s">
        <v>62</v>
      </c>
      <c r="B320" t="s">
        <v>13</v>
      </c>
      <c r="C320">
        <v>53</v>
      </c>
      <c r="D320">
        <v>29</v>
      </c>
      <c r="E320" s="1">
        <f t="shared" si="25"/>
        <v>0.64634146341463417</v>
      </c>
      <c r="F320" s="2">
        <v>111</v>
      </c>
      <c r="G320" s="2">
        <v>105.5</v>
      </c>
      <c r="H320" s="2">
        <f t="shared" si="26"/>
        <v>5.5</v>
      </c>
      <c r="I320" s="1">
        <f t="shared" si="27"/>
        <v>0.67072577928625987</v>
      </c>
      <c r="J320" s="2">
        <v>112.1</v>
      </c>
      <c r="K320" s="2">
        <v>106.6</v>
      </c>
      <c r="L320" s="2">
        <f t="shared" si="28"/>
        <v>5.5</v>
      </c>
      <c r="M320" s="1">
        <f t="shared" si="29"/>
        <v>-2.4384315871625706E-2</v>
      </c>
      <c r="N320" s="2">
        <v>101.7</v>
      </c>
      <c r="O320" s="2">
        <v>99</v>
      </c>
      <c r="P320" s="2">
        <f t="shared" si="30"/>
        <v>2.7000000000000028</v>
      </c>
      <c r="Q320">
        <v>1.3</v>
      </c>
    </row>
    <row r="321" spans="1:17">
      <c r="A321" t="s">
        <v>38</v>
      </c>
      <c r="B321" t="s">
        <v>26</v>
      </c>
      <c r="C321">
        <v>41</v>
      </c>
      <c r="D321">
        <v>41</v>
      </c>
      <c r="E321" s="1">
        <f t="shared" si="25"/>
        <v>0.5</v>
      </c>
      <c r="F321" s="2">
        <v>90.7</v>
      </c>
      <c r="G321" s="2">
        <v>92</v>
      </c>
      <c r="H321" s="2">
        <f t="shared" si="26"/>
        <v>-1.2999999999999972</v>
      </c>
      <c r="I321" s="1">
        <f t="shared" si="27"/>
        <v>0.45035484545137711</v>
      </c>
      <c r="J321" s="2">
        <v>102.1</v>
      </c>
      <c r="K321" s="2">
        <v>103.5</v>
      </c>
      <c r="L321" s="2">
        <f t="shared" si="28"/>
        <v>-1.4000000000000057</v>
      </c>
      <c r="M321" s="1">
        <f t="shared" si="29"/>
        <v>4.9645154548622894E-2</v>
      </c>
      <c r="N321" s="2">
        <v>101.4</v>
      </c>
      <c r="O321" s="2">
        <v>98.8</v>
      </c>
      <c r="P321" s="2">
        <f t="shared" si="30"/>
        <v>2.6000000000000085</v>
      </c>
      <c r="Q321">
        <v>-1.1000000000000001</v>
      </c>
    </row>
    <row r="322" spans="1:17">
      <c r="A322" t="s">
        <v>58</v>
      </c>
      <c r="B322" t="s">
        <v>27</v>
      </c>
      <c r="C322">
        <v>27</v>
      </c>
      <c r="D322">
        <v>55</v>
      </c>
      <c r="E322" s="1">
        <f t="shared" si="25"/>
        <v>0.32926829268292684</v>
      </c>
      <c r="F322" s="2">
        <v>98.8</v>
      </c>
      <c r="G322" s="2">
        <v>105.8</v>
      </c>
      <c r="H322" s="2">
        <f t="shared" si="26"/>
        <v>-7</v>
      </c>
      <c r="I322" s="1">
        <f t="shared" si="27"/>
        <v>0.27721051622974674</v>
      </c>
      <c r="J322" s="2">
        <v>103.1</v>
      </c>
      <c r="K322" s="2">
        <v>110.4</v>
      </c>
      <c r="L322" s="2">
        <f t="shared" si="28"/>
        <v>-7.3000000000000114</v>
      </c>
      <c r="M322" s="1">
        <f t="shared" si="29"/>
        <v>5.2057776453180105E-2</v>
      </c>
      <c r="N322" s="2">
        <v>105.8</v>
      </c>
      <c r="O322" s="2">
        <v>103.2</v>
      </c>
      <c r="P322" s="2">
        <f t="shared" si="30"/>
        <v>2.5999999999999943</v>
      </c>
      <c r="Q322">
        <v>-0.9</v>
      </c>
    </row>
    <row r="323" spans="1:17">
      <c r="A323" t="s">
        <v>34</v>
      </c>
      <c r="B323" t="s">
        <v>30</v>
      </c>
      <c r="C323">
        <v>42</v>
      </c>
      <c r="D323">
        <v>40</v>
      </c>
      <c r="E323" s="1">
        <f t="shared" si="25"/>
        <v>0.51219512195121952</v>
      </c>
      <c r="F323" s="2">
        <v>91.4</v>
      </c>
      <c r="G323" s="2">
        <v>91.8</v>
      </c>
      <c r="H323" s="2">
        <f t="shared" si="26"/>
        <v>-0.39999999999999147</v>
      </c>
      <c r="I323" s="1">
        <f t="shared" si="27"/>
        <v>0.48472089148498448</v>
      </c>
      <c r="J323" s="2">
        <v>101.1</v>
      </c>
      <c r="K323" s="2">
        <v>101.7</v>
      </c>
      <c r="L323" s="2">
        <f t="shared" si="28"/>
        <v>-0.60000000000000853</v>
      </c>
      <c r="M323" s="1">
        <f t="shared" si="29"/>
        <v>2.7474230466235039E-2</v>
      </c>
      <c r="N323" s="2">
        <v>93</v>
      </c>
      <c r="O323" s="2">
        <v>90.4</v>
      </c>
      <c r="P323" s="2">
        <f t="shared" si="30"/>
        <v>2.5999999999999943</v>
      </c>
      <c r="Q323">
        <v>-0.8</v>
      </c>
    </row>
    <row r="324" spans="1:17">
      <c r="A324" t="s">
        <v>63</v>
      </c>
      <c r="B324" t="s">
        <v>56</v>
      </c>
      <c r="C324">
        <v>44</v>
      </c>
      <c r="D324">
        <v>38</v>
      </c>
      <c r="E324" s="1">
        <f t="shared" si="25"/>
        <v>0.53658536585365857</v>
      </c>
      <c r="F324" s="2">
        <v>113.6</v>
      </c>
      <c r="G324" s="2">
        <v>113.1</v>
      </c>
      <c r="H324" s="2">
        <f t="shared" si="26"/>
        <v>0.5</v>
      </c>
      <c r="I324" s="1">
        <f t="shared" si="27"/>
        <v>0.515434026237649</v>
      </c>
      <c r="J324" s="2">
        <v>114</v>
      </c>
      <c r="K324" s="2">
        <v>113.6</v>
      </c>
      <c r="L324" s="2">
        <f t="shared" si="28"/>
        <v>0.40000000000000568</v>
      </c>
      <c r="M324" s="1">
        <f t="shared" si="29"/>
        <v>2.1151339616009568E-2</v>
      </c>
      <c r="N324" s="2">
        <v>112.3</v>
      </c>
      <c r="O324" s="2">
        <v>109.8</v>
      </c>
      <c r="P324" s="2">
        <f t="shared" si="30"/>
        <v>2.5</v>
      </c>
      <c r="Q324">
        <v>0.7</v>
      </c>
    </row>
    <row r="325" spans="1:17">
      <c r="A325" t="s">
        <v>57</v>
      </c>
      <c r="B325" t="s">
        <v>26</v>
      </c>
      <c r="C325">
        <v>41</v>
      </c>
      <c r="D325">
        <v>41</v>
      </c>
      <c r="E325" s="1">
        <f t="shared" si="25"/>
        <v>0.5</v>
      </c>
      <c r="F325" s="2">
        <v>107.9</v>
      </c>
      <c r="G325" s="2">
        <v>108.5</v>
      </c>
      <c r="H325" s="2">
        <f t="shared" si="26"/>
        <v>-0.59999999999999432</v>
      </c>
      <c r="I325" s="1">
        <f t="shared" si="27"/>
        <v>0.48060118968049892</v>
      </c>
      <c r="J325" s="2">
        <v>109.4</v>
      </c>
      <c r="K325" s="2">
        <v>110</v>
      </c>
      <c r="L325" s="2">
        <f t="shared" si="28"/>
        <v>-0.59999999999999432</v>
      </c>
      <c r="M325" s="1">
        <f t="shared" si="29"/>
        <v>1.9398810319501081E-2</v>
      </c>
      <c r="N325" s="2">
        <v>104.9</v>
      </c>
      <c r="O325" s="2">
        <v>102.4</v>
      </c>
      <c r="P325" s="2">
        <f t="shared" si="30"/>
        <v>2.5</v>
      </c>
      <c r="Q325">
        <v>-0.1</v>
      </c>
    </row>
    <row r="326" spans="1:17">
      <c r="A326" t="s">
        <v>50</v>
      </c>
      <c r="B326" t="s">
        <v>19</v>
      </c>
      <c r="C326">
        <v>38</v>
      </c>
      <c r="D326">
        <v>44</v>
      </c>
      <c r="E326" s="1">
        <f t="shared" si="25"/>
        <v>0.46341463414634149</v>
      </c>
      <c r="F326" s="2">
        <v>98.9</v>
      </c>
      <c r="G326" s="2">
        <v>100.4</v>
      </c>
      <c r="H326" s="2">
        <f t="shared" si="26"/>
        <v>-1.5</v>
      </c>
      <c r="I326" s="1">
        <f t="shared" si="27"/>
        <v>0.44750873634234695</v>
      </c>
      <c r="J326" s="2">
        <v>102.5</v>
      </c>
      <c r="K326" s="2">
        <v>104.2</v>
      </c>
      <c r="L326" s="2">
        <f t="shared" si="28"/>
        <v>-1.7000000000000028</v>
      </c>
      <c r="M326" s="1">
        <f t="shared" si="29"/>
        <v>1.590589780399454E-2</v>
      </c>
      <c r="N326" s="2">
        <v>101.6</v>
      </c>
      <c r="O326" s="2">
        <v>99.1</v>
      </c>
      <c r="P326" s="2">
        <f t="shared" si="30"/>
        <v>2.5</v>
      </c>
      <c r="Q326">
        <v>-1.2</v>
      </c>
    </row>
    <row r="327" spans="1:17">
      <c r="A327" t="s">
        <v>44</v>
      </c>
      <c r="B327" t="s">
        <v>17</v>
      </c>
      <c r="C327">
        <v>57</v>
      </c>
      <c r="D327">
        <v>25</v>
      </c>
      <c r="E327" s="1">
        <f t="shared" si="25"/>
        <v>0.69512195121951215</v>
      </c>
      <c r="F327" s="2">
        <v>108.6</v>
      </c>
      <c r="G327" s="2">
        <v>101.3</v>
      </c>
      <c r="H327" s="2">
        <f t="shared" si="26"/>
        <v>7.2999999999999972</v>
      </c>
      <c r="I327" s="1">
        <f t="shared" si="27"/>
        <v>0.72595385497038523</v>
      </c>
      <c r="J327" s="2">
        <v>111.7</v>
      </c>
      <c r="K327" s="2">
        <v>104.3</v>
      </c>
      <c r="L327" s="2">
        <f t="shared" si="28"/>
        <v>7.4000000000000057</v>
      </c>
      <c r="M327" s="1">
        <f t="shared" si="29"/>
        <v>-3.083190375087308E-2</v>
      </c>
      <c r="N327" s="2">
        <v>104.6</v>
      </c>
      <c r="O327" s="2">
        <v>102.1</v>
      </c>
      <c r="P327" s="2">
        <f t="shared" si="30"/>
        <v>2.5</v>
      </c>
      <c r="Q327">
        <v>1.8</v>
      </c>
    </row>
    <row r="328" spans="1:17">
      <c r="A328" t="s">
        <v>36</v>
      </c>
      <c r="B328" t="s">
        <v>28</v>
      </c>
      <c r="C328">
        <v>60</v>
      </c>
      <c r="D328">
        <v>22</v>
      </c>
      <c r="E328" s="1">
        <f t="shared" si="25"/>
        <v>0.73170731707317072</v>
      </c>
      <c r="F328" s="2">
        <v>95.8</v>
      </c>
      <c r="G328" s="2">
        <v>90.4</v>
      </c>
      <c r="H328" s="2">
        <f t="shared" si="26"/>
        <v>5.3999999999999915</v>
      </c>
      <c r="I328" s="1">
        <f t="shared" si="27"/>
        <v>0.6925904288126854</v>
      </c>
      <c r="J328" s="2">
        <v>103.9</v>
      </c>
      <c r="K328" s="2">
        <v>98.1</v>
      </c>
      <c r="L328" s="2">
        <f t="shared" si="28"/>
        <v>5.8000000000000114</v>
      </c>
      <c r="M328" s="1">
        <f t="shared" si="29"/>
        <v>3.9116888260485316E-2</v>
      </c>
      <c r="N328" s="2">
        <v>102.4</v>
      </c>
      <c r="O328" s="2">
        <v>100</v>
      </c>
      <c r="P328" s="2">
        <f t="shared" si="30"/>
        <v>2.4000000000000057</v>
      </c>
      <c r="Q328">
        <v>-1.9</v>
      </c>
    </row>
    <row r="329" spans="1:17">
      <c r="A329" t="s">
        <v>61</v>
      </c>
      <c r="B329" t="s">
        <v>25</v>
      </c>
      <c r="C329">
        <v>51</v>
      </c>
      <c r="D329">
        <v>21</v>
      </c>
      <c r="E329" s="1">
        <f t="shared" ref="E329:E392" si="31">+C329/(C329+D329)</f>
        <v>0.70833333333333337</v>
      </c>
      <c r="F329" s="2">
        <v>115.3</v>
      </c>
      <c r="G329" s="2">
        <v>109.5</v>
      </c>
      <c r="H329" s="2">
        <f t="shared" ref="H329:H392" si="32">+F329-G329</f>
        <v>5.7999999999999972</v>
      </c>
      <c r="I329" s="1">
        <f t="shared" ref="I329:I392" si="33">+(F329^14)/((F329^14+G329^14))</f>
        <v>0.67317496175026137</v>
      </c>
      <c r="J329" s="2">
        <v>116.3</v>
      </c>
      <c r="K329" s="2">
        <v>110.4</v>
      </c>
      <c r="L329" s="2">
        <f t="shared" ref="L329:L392" si="34">+J329-K329</f>
        <v>5.8999999999999915</v>
      </c>
      <c r="M329" s="1">
        <f t="shared" ref="M329:M392" si="35">+E329-I329</f>
        <v>3.5158371583072001E-2</v>
      </c>
      <c r="N329" s="2">
        <v>110.3</v>
      </c>
      <c r="O329" s="2">
        <v>107.9</v>
      </c>
      <c r="P329" s="2">
        <f t="shared" ref="P329:P392" si="36">+N329-O329</f>
        <v>2.3999999999999915</v>
      </c>
      <c r="Q329">
        <v>0.7</v>
      </c>
    </row>
    <row r="330" spans="1:17">
      <c r="A330" t="s">
        <v>62</v>
      </c>
      <c r="B330" t="s">
        <v>24</v>
      </c>
      <c r="C330">
        <v>51</v>
      </c>
      <c r="D330">
        <v>31</v>
      </c>
      <c r="E330" s="1">
        <f t="shared" si="31"/>
        <v>0.62195121951219512</v>
      </c>
      <c r="F330" s="2">
        <v>109.9</v>
      </c>
      <c r="G330" s="2">
        <v>107.3</v>
      </c>
      <c r="H330" s="2">
        <f t="shared" si="32"/>
        <v>2.6000000000000085</v>
      </c>
      <c r="I330" s="1">
        <f t="shared" si="33"/>
        <v>0.58302187989199494</v>
      </c>
      <c r="J330" s="2">
        <v>113</v>
      </c>
      <c r="K330" s="2">
        <v>110.2</v>
      </c>
      <c r="L330" s="2">
        <f t="shared" si="34"/>
        <v>2.7999999999999972</v>
      </c>
      <c r="M330" s="1">
        <f t="shared" si="35"/>
        <v>3.8929339620200176E-2</v>
      </c>
      <c r="N330" s="2">
        <v>105.9</v>
      </c>
      <c r="O330" s="2">
        <v>103.6</v>
      </c>
      <c r="P330" s="2">
        <f t="shared" si="36"/>
        <v>2.3000000000000114</v>
      </c>
      <c r="Q330">
        <v>0.5</v>
      </c>
    </row>
    <row r="331" spans="1:17">
      <c r="A331" t="s">
        <v>59</v>
      </c>
      <c r="B331" t="s">
        <v>46</v>
      </c>
      <c r="C331">
        <v>49</v>
      </c>
      <c r="D331">
        <v>33</v>
      </c>
      <c r="E331" s="1">
        <f t="shared" si="31"/>
        <v>0.59756097560975607</v>
      </c>
      <c r="F331" s="2">
        <v>114.5</v>
      </c>
      <c r="G331" s="2">
        <v>111.1</v>
      </c>
      <c r="H331" s="2">
        <f t="shared" si="32"/>
        <v>3.4000000000000057</v>
      </c>
      <c r="I331" s="1">
        <f t="shared" si="33"/>
        <v>0.60396598327503692</v>
      </c>
      <c r="J331" s="2">
        <v>109.8</v>
      </c>
      <c r="K331" s="2">
        <v>106.5</v>
      </c>
      <c r="L331" s="2">
        <f t="shared" si="34"/>
        <v>3.2999999999999972</v>
      </c>
      <c r="M331" s="1">
        <f t="shared" si="35"/>
        <v>-6.4050076652808485E-3</v>
      </c>
      <c r="N331" s="2">
        <v>106.9</v>
      </c>
      <c r="O331" s="2">
        <v>104.6</v>
      </c>
      <c r="P331" s="2">
        <f t="shared" si="36"/>
        <v>2.3000000000000114</v>
      </c>
      <c r="Q331">
        <v>1</v>
      </c>
    </row>
    <row r="332" spans="1:17">
      <c r="A332" t="s">
        <v>49</v>
      </c>
      <c r="B332" t="s">
        <v>10</v>
      </c>
      <c r="C332">
        <v>36</v>
      </c>
      <c r="D332">
        <v>30</v>
      </c>
      <c r="E332" s="1">
        <f t="shared" si="31"/>
        <v>0.54545454545454541</v>
      </c>
      <c r="F332" s="2">
        <v>95.8</v>
      </c>
      <c r="G332" s="2">
        <v>94.8</v>
      </c>
      <c r="H332" s="2">
        <f t="shared" si="32"/>
        <v>1</v>
      </c>
      <c r="I332" s="1">
        <f t="shared" si="33"/>
        <v>0.53666055673861812</v>
      </c>
      <c r="J332" s="2">
        <v>102.1</v>
      </c>
      <c r="K332" s="2">
        <v>100.9</v>
      </c>
      <c r="L332" s="2">
        <f t="shared" si="34"/>
        <v>1.1999999999999886</v>
      </c>
      <c r="M332" s="1">
        <f t="shared" si="35"/>
        <v>8.7939887159272923E-3</v>
      </c>
      <c r="N332" s="2">
        <v>101</v>
      </c>
      <c r="O332" s="2">
        <v>98.7</v>
      </c>
      <c r="P332" s="2">
        <f t="shared" si="36"/>
        <v>2.2999999999999972</v>
      </c>
      <c r="Q332">
        <v>-0.6</v>
      </c>
    </row>
    <row r="333" spans="1:17">
      <c r="A333" t="s">
        <v>47</v>
      </c>
      <c r="B333" t="s">
        <v>22</v>
      </c>
      <c r="C333">
        <v>29</v>
      </c>
      <c r="D333">
        <v>53</v>
      </c>
      <c r="E333" s="1">
        <f t="shared" si="31"/>
        <v>0.35365853658536583</v>
      </c>
      <c r="F333" s="2">
        <v>102.1</v>
      </c>
      <c r="G333" s="2">
        <v>105.9</v>
      </c>
      <c r="H333" s="2">
        <f t="shared" si="32"/>
        <v>-3.8000000000000114</v>
      </c>
      <c r="I333" s="1">
        <f t="shared" si="33"/>
        <v>0.3748196047848904</v>
      </c>
      <c r="J333" s="2">
        <v>106.4</v>
      </c>
      <c r="K333" s="2">
        <v>110.3</v>
      </c>
      <c r="L333" s="2">
        <f t="shared" si="34"/>
        <v>-3.8999999999999915</v>
      </c>
      <c r="M333" s="1">
        <f t="shared" si="35"/>
        <v>-2.1161068199524569E-2</v>
      </c>
      <c r="N333" s="2">
        <v>99.7</v>
      </c>
      <c r="O333" s="2">
        <v>97.4</v>
      </c>
      <c r="P333" s="2">
        <f t="shared" si="36"/>
        <v>2.2999999999999972</v>
      </c>
      <c r="Q333">
        <v>1</v>
      </c>
    </row>
    <row r="334" spans="1:17">
      <c r="A334" t="s">
        <v>45</v>
      </c>
      <c r="B334" t="s">
        <v>11</v>
      </c>
      <c r="C334">
        <v>54</v>
      </c>
      <c r="D334">
        <v>28</v>
      </c>
      <c r="E334" s="1">
        <f t="shared" si="31"/>
        <v>0.65853658536585369</v>
      </c>
      <c r="F334" s="2">
        <v>104.3</v>
      </c>
      <c r="G334" s="2">
        <v>100.9</v>
      </c>
      <c r="H334" s="2">
        <f t="shared" si="32"/>
        <v>3.3999999999999915</v>
      </c>
      <c r="I334" s="1">
        <f t="shared" si="33"/>
        <v>0.61395793719078184</v>
      </c>
      <c r="J334" s="2">
        <v>109</v>
      </c>
      <c r="K334" s="2">
        <v>105.6</v>
      </c>
      <c r="L334" s="2">
        <f t="shared" si="34"/>
        <v>3.4000000000000057</v>
      </c>
      <c r="M334" s="1">
        <f t="shared" si="35"/>
        <v>4.4578648175071844E-2</v>
      </c>
      <c r="N334" s="2">
        <v>108.5</v>
      </c>
      <c r="O334" s="2">
        <v>106.3</v>
      </c>
      <c r="P334" s="2">
        <f t="shared" si="36"/>
        <v>2.2000000000000028</v>
      </c>
      <c r="Q334">
        <v>-0.4</v>
      </c>
    </row>
    <row r="335" spans="1:17">
      <c r="A335" t="s">
        <v>64</v>
      </c>
      <c r="B335" t="s">
        <v>26</v>
      </c>
      <c r="C335">
        <v>21</v>
      </c>
      <c r="D335">
        <v>61</v>
      </c>
      <c r="E335" s="1">
        <f t="shared" si="31"/>
        <v>0.25609756097560976</v>
      </c>
      <c r="F335" s="2">
        <v>106.4</v>
      </c>
      <c r="G335" s="2">
        <v>115.4</v>
      </c>
      <c r="H335" s="2">
        <f t="shared" si="32"/>
        <v>-9</v>
      </c>
      <c r="I335" s="1">
        <f t="shared" si="33"/>
        <v>0.24291151759071603</v>
      </c>
      <c r="J335" s="2">
        <v>107.6</v>
      </c>
      <c r="K335" s="2">
        <v>116.6</v>
      </c>
      <c r="L335" s="2">
        <f t="shared" si="34"/>
        <v>-9</v>
      </c>
      <c r="M335" s="1">
        <f t="shared" si="35"/>
        <v>1.3186043384893736E-2</v>
      </c>
      <c r="N335" s="2">
        <v>104.8</v>
      </c>
      <c r="O335" s="2">
        <v>102.6</v>
      </c>
      <c r="P335" s="2">
        <f t="shared" si="36"/>
        <v>2.2000000000000028</v>
      </c>
      <c r="Q335">
        <v>-0.6</v>
      </c>
    </row>
    <row r="336" spans="1:17">
      <c r="A336" t="s">
        <v>36</v>
      </c>
      <c r="B336" t="s">
        <v>19</v>
      </c>
      <c r="C336">
        <v>42</v>
      </c>
      <c r="D336">
        <v>40</v>
      </c>
      <c r="E336" s="1">
        <f t="shared" si="31"/>
        <v>0.51219512195121952</v>
      </c>
      <c r="F336" s="2">
        <v>99.5</v>
      </c>
      <c r="G336" s="2">
        <v>99.3</v>
      </c>
      <c r="H336" s="2">
        <f t="shared" si="32"/>
        <v>0.20000000000000284</v>
      </c>
      <c r="I336" s="1">
        <f t="shared" si="33"/>
        <v>0.50704179026833252</v>
      </c>
      <c r="J336" s="2">
        <v>107.2</v>
      </c>
      <c r="K336" s="2">
        <v>106.9</v>
      </c>
      <c r="L336" s="2">
        <f t="shared" si="34"/>
        <v>0.29999999999999716</v>
      </c>
      <c r="M336" s="1">
        <f t="shared" si="35"/>
        <v>5.1533316828870079E-3</v>
      </c>
      <c r="N336" s="2">
        <v>104.2</v>
      </c>
      <c r="O336" s="2">
        <v>102</v>
      </c>
      <c r="P336" s="2">
        <f t="shared" si="36"/>
        <v>2.2000000000000028</v>
      </c>
      <c r="Q336">
        <v>1.8</v>
      </c>
    </row>
    <row r="337" spans="1:17">
      <c r="A337" t="s">
        <v>58</v>
      </c>
      <c r="B337" t="s">
        <v>28</v>
      </c>
      <c r="C337">
        <v>47</v>
      </c>
      <c r="D337">
        <v>35</v>
      </c>
      <c r="E337" s="1">
        <f t="shared" si="31"/>
        <v>0.57317073170731703</v>
      </c>
      <c r="F337" s="2">
        <v>102.7</v>
      </c>
      <c r="G337" s="2">
        <v>99.8</v>
      </c>
      <c r="H337" s="2">
        <f t="shared" si="32"/>
        <v>2.9000000000000057</v>
      </c>
      <c r="I337" s="1">
        <f t="shared" si="33"/>
        <v>0.59893151729191718</v>
      </c>
      <c r="J337" s="2">
        <v>107.1</v>
      </c>
      <c r="K337" s="2">
        <v>104.1</v>
      </c>
      <c r="L337" s="2">
        <f t="shared" si="34"/>
        <v>3</v>
      </c>
      <c r="M337" s="1">
        <f t="shared" si="35"/>
        <v>-2.5760785584600154E-2</v>
      </c>
      <c r="N337" s="2">
        <v>106.8</v>
      </c>
      <c r="O337" s="2">
        <v>104.6</v>
      </c>
      <c r="P337" s="2">
        <f t="shared" si="36"/>
        <v>2.2000000000000028</v>
      </c>
      <c r="Q337">
        <v>1.3</v>
      </c>
    </row>
    <row r="338" spans="1:17">
      <c r="A338" t="s">
        <v>34</v>
      </c>
      <c r="B338" t="s">
        <v>25</v>
      </c>
      <c r="C338">
        <v>36</v>
      </c>
      <c r="D338">
        <v>46</v>
      </c>
      <c r="E338" s="1">
        <f t="shared" si="31"/>
        <v>0.43902439024390244</v>
      </c>
      <c r="F338" s="2">
        <v>95.1</v>
      </c>
      <c r="G338" s="2">
        <v>95.8</v>
      </c>
      <c r="H338" s="2">
        <f t="shared" si="32"/>
        <v>-0.70000000000000284</v>
      </c>
      <c r="I338" s="1">
        <f t="shared" si="33"/>
        <v>0.47435452063041067</v>
      </c>
      <c r="J338" s="2">
        <v>101.8</v>
      </c>
      <c r="K338" s="2">
        <v>102.6</v>
      </c>
      <c r="L338" s="2">
        <f t="shared" si="34"/>
        <v>-0.79999999999999716</v>
      </c>
      <c r="M338" s="1">
        <f t="shared" si="35"/>
        <v>-3.5330130386508229E-2</v>
      </c>
      <c r="N338" s="2">
        <v>104</v>
      </c>
      <c r="O338" s="2">
        <v>101.8</v>
      </c>
      <c r="P338" s="2">
        <f t="shared" si="36"/>
        <v>2.2000000000000028</v>
      </c>
      <c r="Q338">
        <v>0.1</v>
      </c>
    </row>
    <row r="339" spans="1:17">
      <c r="A339" t="s">
        <v>43</v>
      </c>
      <c r="B339" t="s">
        <v>28</v>
      </c>
      <c r="C339">
        <v>58</v>
      </c>
      <c r="D339">
        <v>24</v>
      </c>
      <c r="E339" s="1">
        <f t="shared" si="31"/>
        <v>0.70731707317073167</v>
      </c>
      <c r="F339" s="2">
        <v>98.5</v>
      </c>
      <c r="G339" s="2">
        <v>90.1</v>
      </c>
      <c r="H339" s="2">
        <f t="shared" si="32"/>
        <v>8.4000000000000057</v>
      </c>
      <c r="I339" s="1">
        <f t="shared" si="33"/>
        <v>0.77693775330182646</v>
      </c>
      <c r="J339" s="2">
        <v>108.6</v>
      </c>
      <c r="K339" s="2">
        <v>99.4</v>
      </c>
      <c r="L339" s="2">
        <f t="shared" si="34"/>
        <v>9.1999999999999886</v>
      </c>
      <c r="M339" s="1">
        <f t="shared" si="35"/>
        <v>-6.9620680131094792E-2</v>
      </c>
      <c r="N339" s="2">
        <v>102.2</v>
      </c>
      <c r="O339" s="2">
        <v>100</v>
      </c>
      <c r="P339" s="2">
        <f t="shared" si="36"/>
        <v>2.2000000000000028</v>
      </c>
      <c r="Q339">
        <v>1.1000000000000001</v>
      </c>
    </row>
    <row r="340" spans="1:17">
      <c r="A340" t="s">
        <v>66</v>
      </c>
      <c r="B340" t="s">
        <v>23</v>
      </c>
      <c r="C340">
        <v>34</v>
      </c>
      <c r="D340">
        <v>27</v>
      </c>
      <c r="E340" s="1">
        <f t="shared" si="31"/>
        <v>0.55737704918032782</v>
      </c>
      <c r="F340" s="2">
        <v>114.8</v>
      </c>
      <c r="G340" s="2">
        <v>113.7</v>
      </c>
      <c r="H340" s="2">
        <f t="shared" si="32"/>
        <v>1.0999999999999943</v>
      </c>
      <c r="I340" s="1">
        <f t="shared" si="33"/>
        <v>0.53364736091127729</v>
      </c>
      <c r="J340" s="2">
        <v>113.7</v>
      </c>
      <c r="K340" s="2">
        <v>112.7</v>
      </c>
      <c r="L340" s="2">
        <f t="shared" si="34"/>
        <v>1</v>
      </c>
      <c r="M340" s="1">
        <f t="shared" si="35"/>
        <v>2.3729688269050531E-2</v>
      </c>
      <c r="N340" s="2">
        <v>109.6</v>
      </c>
      <c r="O340" s="2">
        <v>107.4</v>
      </c>
      <c r="P340" s="2">
        <f t="shared" si="36"/>
        <v>2.1999999999999886</v>
      </c>
      <c r="Q340" s="2">
        <v>0.7</v>
      </c>
    </row>
    <row r="341" spans="1:17">
      <c r="A341" t="s">
        <v>34</v>
      </c>
      <c r="B341" t="s">
        <v>8</v>
      </c>
      <c r="C341">
        <v>21</v>
      </c>
      <c r="D341">
        <v>61</v>
      </c>
      <c r="E341" s="1">
        <f t="shared" si="31"/>
        <v>0.25609756097560976</v>
      </c>
      <c r="F341" s="2">
        <v>89.5</v>
      </c>
      <c r="G341" s="2">
        <v>98</v>
      </c>
      <c r="H341" s="2">
        <f t="shared" si="32"/>
        <v>-8.5</v>
      </c>
      <c r="I341" s="1">
        <f t="shared" si="33"/>
        <v>0.21922234164546633</v>
      </c>
      <c r="J341" s="2">
        <v>97.2</v>
      </c>
      <c r="K341" s="2">
        <v>106.2</v>
      </c>
      <c r="L341" s="2">
        <f t="shared" si="34"/>
        <v>-9</v>
      </c>
      <c r="M341" s="1">
        <f t="shared" si="35"/>
        <v>3.6875219330143427E-2</v>
      </c>
      <c r="N341" s="2">
        <v>99.7</v>
      </c>
      <c r="O341" s="2">
        <v>97.6</v>
      </c>
      <c r="P341" s="2">
        <f t="shared" si="36"/>
        <v>2.1000000000000085</v>
      </c>
      <c r="Q341">
        <v>0</v>
      </c>
    </row>
    <row r="342" spans="1:17">
      <c r="A342" t="s">
        <v>45</v>
      </c>
      <c r="B342" t="s">
        <v>25</v>
      </c>
      <c r="C342">
        <v>46</v>
      </c>
      <c r="D342">
        <v>36</v>
      </c>
      <c r="E342" s="1">
        <f t="shared" si="31"/>
        <v>0.56097560975609762</v>
      </c>
      <c r="F342" s="2">
        <v>109.4</v>
      </c>
      <c r="G342" s="2">
        <v>107.5</v>
      </c>
      <c r="H342" s="2">
        <f t="shared" si="32"/>
        <v>1.9000000000000057</v>
      </c>
      <c r="I342" s="1">
        <f t="shared" si="33"/>
        <v>0.56101455538977274</v>
      </c>
      <c r="J342" s="2">
        <v>112.4</v>
      </c>
      <c r="K342" s="2">
        <v>110.4</v>
      </c>
      <c r="L342" s="2">
        <f t="shared" si="34"/>
        <v>2</v>
      </c>
      <c r="M342" s="1">
        <f t="shared" si="35"/>
        <v>-3.8945633675124824E-5</v>
      </c>
      <c r="N342" s="2">
        <v>111.9</v>
      </c>
      <c r="O342" s="2">
        <v>109.8</v>
      </c>
      <c r="P342" s="2">
        <f t="shared" si="36"/>
        <v>2.1000000000000085</v>
      </c>
      <c r="Q342">
        <v>1.5</v>
      </c>
    </row>
    <row r="343" spans="1:17">
      <c r="A343" t="s">
        <v>50</v>
      </c>
      <c r="B343" t="s">
        <v>14</v>
      </c>
      <c r="C343">
        <v>45</v>
      </c>
      <c r="D343">
        <v>37</v>
      </c>
      <c r="E343" s="1">
        <f t="shared" si="31"/>
        <v>0.54878048780487809</v>
      </c>
      <c r="F343" s="2">
        <v>106</v>
      </c>
      <c r="G343" s="2">
        <v>102.5</v>
      </c>
      <c r="H343" s="2">
        <f t="shared" si="32"/>
        <v>3.5</v>
      </c>
      <c r="I343" s="1">
        <f t="shared" si="33"/>
        <v>0.61539988348983532</v>
      </c>
      <c r="J343" s="2">
        <v>108.8</v>
      </c>
      <c r="K343" s="2">
        <v>105.3</v>
      </c>
      <c r="L343" s="2">
        <f t="shared" si="34"/>
        <v>3.5</v>
      </c>
      <c r="M343" s="1">
        <f t="shared" si="35"/>
        <v>-6.6619395684957228E-2</v>
      </c>
      <c r="N343" s="2">
        <v>105.4</v>
      </c>
      <c r="O343" s="2">
        <v>103.3</v>
      </c>
      <c r="P343" s="2">
        <f t="shared" si="36"/>
        <v>2.1000000000000085</v>
      </c>
      <c r="Q343">
        <v>1.1000000000000001</v>
      </c>
    </row>
    <row r="344" spans="1:17">
      <c r="A344" t="s">
        <v>64</v>
      </c>
      <c r="B344" t="s">
        <v>24</v>
      </c>
      <c r="C344">
        <v>47</v>
      </c>
      <c r="D344">
        <v>35</v>
      </c>
      <c r="E344" s="1">
        <f t="shared" si="31"/>
        <v>0.57317073170731703</v>
      </c>
      <c r="F344" s="2">
        <v>114.6</v>
      </c>
      <c r="G344" s="2">
        <v>111.5</v>
      </c>
      <c r="H344" s="2">
        <f t="shared" si="32"/>
        <v>3.0999999999999943</v>
      </c>
      <c r="I344" s="1">
        <f t="shared" si="33"/>
        <v>0.59481941226835489</v>
      </c>
      <c r="J344" s="2">
        <v>116.2</v>
      </c>
      <c r="K344" s="2">
        <v>113</v>
      </c>
      <c r="L344" s="2">
        <f t="shared" si="34"/>
        <v>3.2000000000000028</v>
      </c>
      <c r="M344" s="1">
        <f t="shared" si="35"/>
        <v>-2.1648680561037859E-2</v>
      </c>
      <c r="N344" s="2">
        <v>115.3</v>
      </c>
      <c r="O344" s="2">
        <v>113.2</v>
      </c>
      <c r="P344" s="2">
        <f t="shared" si="36"/>
        <v>2.0999999999999943</v>
      </c>
      <c r="Q344">
        <v>0.7</v>
      </c>
    </row>
    <row r="345" spans="1:17">
      <c r="A345" t="s">
        <v>52</v>
      </c>
      <c r="B345" t="s">
        <v>40</v>
      </c>
      <c r="C345">
        <v>43</v>
      </c>
      <c r="D345">
        <v>39</v>
      </c>
      <c r="E345" s="1">
        <f t="shared" si="31"/>
        <v>0.52439024390243905</v>
      </c>
      <c r="F345" s="2">
        <v>96.9</v>
      </c>
      <c r="G345" s="2">
        <v>97.1</v>
      </c>
      <c r="H345" s="2">
        <f t="shared" si="32"/>
        <v>-0.19999999999998863</v>
      </c>
      <c r="I345" s="1">
        <f t="shared" si="33"/>
        <v>0.49278400364904085</v>
      </c>
      <c r="J345" s="2">
        <v>103</v>
      </c>
      <c r="K345" s="2">
        <v>103.3</v>
      </c>
      <c r="L345" s="2">
        <f t="shared" si="34"/>
        <v>-0.29999999999999716</v>
      </c>
      <c r="M345" s="1">
        <f t="shared" si="35"/>
        <v>3.1606240253398199E-2</v>
      </c>
      <c r="N345" s="2">
        <v>94.6</v>
      </c>
      <c r="O345" s="2">
        <v>92.6</v>
      </c>
      <c r="P345" s="2">
        <f t="shared" si="36"/>
        <v>2</v>
      </c>
      <c r="Q345">
        <v>-0.4</v>
      </c>
    </row>
    <row r="346" spans="1:17">
      <c r="A346" t="s">
        <v>47</v>
      </c>
      <c r="B346" t="s">
        <v>5</v>
      </c>
      <c r="C346">
        <v>53</v>
      </c>
      <c r="D346">
        <v>29</v>
      </c>
      <c r="E346" s="1">
        <f t="shared" si="31"/>
        <v>0.64634146341463417</v>
      </c>
      <c r="F346" s="2">
        <v>101.7</v>
      </c>
      <c r="G346" s="2">
        <v>97</v>
      </c>
      <c r="H346" s="2">
        <f t="shared" si="32"/>
        <v>4.7000000000000028</v>
      </c>
      <c r="I346" s="1">
        <f t="shared" si="33"/>
        <v>0.65980571592524628</v>
      </c>
      <c r="J346" s="2">
        <v>111</v>
      </c>
      <c r="K346" s="2">
        <v>106</v>
      </c>
      <c r="L346" s="2">
        <f t="shared" si="34"/>
        <v>5</v>
      </c>
      <c r="M346" s="1">
        <f t="shared" si="35"/>
        <v>-1.3464252510612118E-2</v>
      </c>
      <c r="N346" s="2">
        <v>105.7</v>
      </c>
      <c r="O346" s="2">
        <v>103.7</v>
      </c>
      <c r="P346" s="2">
        <f t="shared" si="36"/>
        <v>2</v>
      </c>
      <c r="Q346">
        <v>0.3</v>
      </c>
    </row>
    <row r="347" spans="1:17">
      <c r="A347" t="s">
        <v>44</v>
      </c>
      <c r="B347" t="s">
        <v>33</v>
      </c>
      <c r="C347">
        <v>43</v>
      </c>
      <c r="D347">
        <v>39</v>
      </c>
      <c r="E347" s="1">
        <f t="shared" si="31"/>
        <v>0.52439024390243905</v>
      </c>
      <c r="F347" s="2">
        <v>98.8</v>
      </c>
      <c r="G347" s="2">
        <v>99.2</v>
      </c>
      <c r="H347" s="2">
        <f t="shared" si="32"/>
        <v>-0.40000000000000568</v>
      </c>
      <c r="I347" s="1">
        <f t="shared" si="33"/>
        <v>0.48586233608877544</v>
      </c>
      <c r="J347" s="2">
        <v>107.6</v>
      </c>
      <c r="K347" s="2">
        <v>107.9</v>
      </c>
      <c r="L347" s="2">
        <f t="shared" si="34"/>
        <v>-0.30000000000001137</v>
      </c>
      <c r="M347" s="1">
        <f t="shared" si="35"/>
        <v>3.8527907813663609E-2</v>
      </c>
      <c r="N347" s="2">
        <v>110.5</v>
      </c>
      <c r="O347" s="2">
        <v>108.6</v>
      </c>
      <c r="P347" s="2">
        <f t="shared" si="36"/>
        <v>1.9000000000000057</v>
      </c>
      <c r="Q347">
        <v>-0.1</v>
      </c>
    </row>
    <row r="348" spans="1:17">
      <c r="A348" t="s">
        <v>45</v>
      </c>
      <c r="B348" t="s">
        <v>18</v>
      </c>
      <c r="C348">
        <v>43</v>
      </c>
      <c r="D348">
        <v>39</v>
      </c>
      <c r="E348" s="1">
        <f t="shared" si="31"/>
        <v>0.52439024390243905</v>
      </c>
      <c r="F348" s="2">
        <v>98.3</v>
      </c>
      <c r="G348" s="2">
        <v>98</v>
      </c>
      <c r="H348" s="2">
        <f t="shared" si="32"/>
        <v>0.29999999999999716</v>
      </c>
      <c r="I348" s="1">
        <f t="shared" si="33"/>
        <v>0.51069628754963348</v>
      </c>
      <c r="J348" s="2">
        <v>106.8</v>
      </c>
      <c r="K348" s="2">
        <v>106.5</v>
      </c>
      <c r="L348" s="2">
        <f t="shared" si="34"/>
        <v>0.29999999999999716</v>
      </c>
      <c r="M348" s="1">
        <f t="shared" si="35"/>
        <v>1.369395635280557E-2</v>
      </c>
      <c r="N348" s="2">
        <v>114.1</v>
      </c>
      <c r="O348" s="2">
        <v>112.2</v>
      </c>
      <c r="P348" s="2">
        <f t="shared" si="36"/>
        <v>1.8999999999999915</v>
      </c>
      <c r="Q348">
        <v>-0.7</v>
      </c>
    </row>
    <row r="349" spans="1:17">
      <c r="A349" t="s">
        <v>38</v>
      </c>
      <c r="B349" t="s">
        <v>37</v>
      </c>
      <c r="C349">
        <v>41</v>
      </c>
      <c r="D349">
        <v>41</v>
      </c>
      <c r="E349" s="1">
        <f t="shared" si="31"/>
        <v>0.5</v>
      </c>
      <c r="F349" s="2">
        <v>91.8</v>
      </c>
      <c r="G349" s="2">
        <v>91.9</v>
      </c>
      <c r="H349" s="2">
        <f t="shared" si="32"/>
        <v>-0.10000000000000853</v>
      </c>
      <c r="I349" s="1">
        <f t="shared" si="33"/>
        <v>0.49618951269946909</v>
      </c>
      <c r="J349" s="2">
        <v>100.7</v>
      </c>
      <c r="K349" s="2">
        <v>100.6</v>
      </c>
      <c r="L349" s="2">
        <f t="shared" si="34"/>
        <v>0.10000000000000853</v>
      </c>
      <c r="M349" s="1">
        <f t="shared" si="35"/>
        <v>3.810487300530907E-3</v>
      </c>
      <c r="N349" s="2">
        <v>94.3</v>
      </c>
      <c r="O349" s="2">
        <v>92.4</v>
      </c>
      <c r="P349" s="2">
        <f t="shared" si="36"/>
        <v>1.8999999999999915</v>
      </c>
      <c r="Q349">
        <v>1.1000000000000001</v>
      </c>
    </row>
    <row r="350" spans="1:17">
      <c r="A350" t="s">
        <v>36</v>
      </c>
      <c r="B350" t="s">
        <v>29</v>
      </c>
      <c r="C350">
        <v>40</v>
      </c>
      <c r="D350">
        <v>42</v>
      </c>
      <c r="E350" s="1">
        <f t="shared" si="31"/>
        <v>0.48780487804878048</v>
      </c>
      <c r="F350" s="2">
        <v>92.1</v>
      </c>
      <c r="G350" s="2">
        <v>92.3</v>
      </c>
      <c r="H350" s="2">
        <f t="shared" si="32"/>
        <v>-0.20000000000000284</v>
      </c>
      <c r="I350" s="1">
        <f t="shared" si="33"/>
        <v>0.49240838957943855</v>
      </c>
      <c r="J350" s="2">
        <v>102.4</v>
      </c>
      <c r="K350" s="2">
        <v>102.6</v>
      </c>
      <c r="L350" s="2">
        <f t="shared" si="34"/>
        <v>-0.19999999999998863</v>
      </c>
      <c r="M350" s="1">
        <f t="shared" si="35"/>
        <v>-4.6035115306580776E-3</v>
      </c>
      <c r="N350" s="2">
        <v>101.6</v>
      </c>
      <c r="O350" s="2">
        <v>99.7</v>
      </c>
      <c r="P350" s="2">
        <f t="shared" si="36"/>
        <v>1.8999999999999915</v>
      </c>
      <c r="Q350">
        <v>-0.5</v>
      </c>
    </row>
    <row r="351" spans="1:17">
      <c r="A351" t="s">
        <v>58</v>
      </c>
      <c r="B351" t="s">
        <v>19</v>
      </c>
      <c r="C351">
        <v>44</v>
      </c>
      <c r="D351">
        <v>38</v>
      </c>
      <c r="E351" s="1">
        <f t="shared" si="31"/>
        <v>0.53658536585365857</v>
      </c>
      <c r="F351" s="2">
        <v>106.5</v>
      </c>
      <c r="G351" s="2">
        <v>106.8</v>
      </c>
      <c r="H351" s="2">
        <f t="shared" si="32"/>
        <v>-0.29999999999999716</v>
      </c>
      <c r="I351" s="1">
        <f t="shared" si="33"/>
        <v>0.49015597738821681</v>
      </c>
      <c r="J351" s="2">
        <v>109</v>
      </c>
      <c r="K351" s="2">
        <v>109.1</v>
      </c>
      <c r="L351" s="2">
        <f t="shared" si="34"/>
        <v>-9.9999999999994316E-2</v>
      </c>
      <c r="M351" s="1">
        <f t="shared" si="35"/>
        <v>4.6429388465441757E-2</v>
      </c>
      <c r="N351" s="2">
        <v>102.1</v>
      </c>
      <c r="O351" s="2">
        <v>100.3</v>
      </c>
      <c r="P351" s="2">
        <f t="shared" si="36"/>
        <v>1.7999999999999972</v>
      </c>
      <c r="Q351">
        <v>-1.2</v>
      </c>
    </row>
    <row r="352" spans="1:17">
      <c r="A352" t="s">
        <v>48</v>
      </c>
      <c r="B352" t="s">
        <v>13</v>
      </c>
      <c r="C352">
        <v>36</v>
      </c>
      <c r="D352">
        <v>46</v>
      </c>
      <c r="E352" s="1">
        <f t="shared" si="31"/>
        <v>0.43902439024390244</v>
      </c>
      <c r="F352" s="2">
        <v>103.4</v>
      </c>
      <c r="G352" s="2">
        <v>105.7</v>
      </c>
      <c r="H352" s="2">
        <f t="shared" si="32"/>
        <v>-2.2999999999999972</v>
      </c>
      <c r="I352" s="1">
        <f t="shared" si="33"/>
        <v>0.42360322763648928</v>
      </c>
      <c r="J352" s="2">
        <v>107.1</v>
      </c>
      <c r="K352" s="2">
        <v>109.4</v>
      </c>
      <c r="L352" s="2">
        <f t="shared" si="34"/>
        <v>-2.3000000000000114</v>
      </c>
      <c r="M352" s="1">
        <f t="shared" si="35"/>
        <v>1.5421162607413164E-2</v>
      </c>
      <c r="N352" s="2">
        <v>113</v>
      </c>
      <c r="O352" s="2">
        <v>111.2</v>
      </c>
      <c r="P352" s="2">
        <f t="shared" si="36"/>
        <v>1.7999999999999972</v>
      </c>
      <c r="Q352">
        <v>-0.1</v>
      </c>
    </row>
    <row r="353" spans="1:17">
      <c r="A353" t="s">
        <v>57</v>
      </c>
      <c r="B353" t="s">
        <v>56</v>
      </c>
      <c r="C353">
        <v>51</v>
      </c>
      <c r="D353">
        <v>31</v>
      </c>
      <c r="E353" s="1">
        <f t="shared" si="31"/>
        <v>0.62195121951219512</v>
      </c>
      <c r="F353" s="2">
        <v>108.7</v>
      </c>
      <c r="G353" s="2">
        <v>104.4</v>
      </c>
      <c r="H353" s="2">
        <f t="shared" si="32"/>
        <v>4.2999999999999972</v>
      </c>
      <c r="I353" s="1">
        <f t="shared" si="33"/>
        <v>0.63762474872278996</v>
      </c>
      <c r="J353" s="2">
        <v>111.8</v>
      </c>
      <c r="K353" s="2">
        <v>107.5</v>
      </c>
      <c r="L353" s="2">
        <f t="shared" si="34"/>
        <v>4.2999999999999972</v>
      </c>
      <c r="M353" s="1">
        <f t="shared" si="35"/>
        <v>-1.5673529210594839E-2</v>
      </c>
      <c r="N353" s="2">
        <v>97.3</v>
      </c>
      <c r="O353" s="2">
        <v>95.5</v>
      </c>
      <c r="P353" s="2">
        <f t="shared" si="36"/>
        <v>1.7999999999999972</v>
      </c>
      <c r="Q353">
        <v>-0.5</v>
      </c>
    </row>
    <row r="354" spans="1:17">
      <c r="A354" t="s">
        <v>43</v>
      </c>
      <c r="B354" t="s">
        <v>15</v>
      </c>
      <c r="C354">
        <v>35</v>
      </c>
      <c r="D354">
        <v>47</v>
      </c>
      <c r="E354" s="1">
        <f t="shared" si="31"/>
        <v>0.42682926829268292</v>
      </c>
      <c r="F354" s="2">
        <v>95.6</v>
      </c>
      <c r="G354" s="2">
        <v>98</v>
      </c>
      <c r="H354" s="2">
        <f t="shared" si="32"/>
        <v>-2.4000000000000057</v>
      </c>
      <c r="I354" s="1">
        <f t="shared" si="33"/>
        <v>0.41407972075394056</v>
      </c>
      <c r="J354" s="2">
        <v>101.9</v>
      </c>
      <c r="K354" s="2">
        <v>104.4</v>
      </c>
      <c r="L354" s="2">
        <f t="shared" si="34"/>
        <v>-2.5</v>
      </c>
      <c r="M354" s="1">
        <f t="shared" si="35"/>
        <v>1.2749547538742356E-2</v>
      </c>
      <c r="N354" s="2">
        <v>102.9</v>
      </c>
      <c r="O354" s="2">
        <v>101.2</v>
      </c>
      <c r="P354" s="2">
        <f t="shared" si="36"/>
        <v>1.7000000000000028</v>
      </c>
      <c r="Q354">
        <v>-0.4</v>
      </c>
    </row>
    <row r="355" spans="1:17">
      <c r="A355" t="s">
        <v>44</v>
      </c>
      <c r="B355" t="s">
        <v>6</v>
      </c>
      <c r="C355">
        <v>66</v>
      </c>
      <c r="D355">
        <v>16</v>
      </c>
      <c r="E355" s="1">
        <f t="shared" si="31"/>
        <v>0.80487804878048785</v>
      </c>
      <c r="F355" s="2">
        <v>100.5</v>
      </c>
      <c r="G355" s="2">
        <v>90.3</v>
      </c>
      <c r="H355" s="2">
        <f t="shared" si="32"/>
        <v>10.200000000000003</v>
      </c>
      <c r="I355" s="1">
        <f t="shared" si="33"/>
        <v>0.81731836243506328</v>
      </c>
      <c r="J355" s="2">
        <v>108.8</v>
      </c>
      <c r="K355" s="2">
        <v>98.1</v>
      </c>
      <c r="L355" s="2">
        <f t="shared" si="34"/>
        <v>10.700000000000003</v>
      </c>
      <c r="M355" s="1">
        <f t="shared" si="35"/>
        <v>-1.244031365457543E-2</v>
      </c>
      <c r="N355" s="2">
        <v>101.4</v>
      </c>
      <c r="O355" s="2">
        <v>99.7</v>
      </c>
      <c r="P355" s="2">
        <f t="shared" si="36"/>
        <v>1.7000000000000028</v>
      </c>
      <c r="Q355">
        <v>1</v>
      </c>
    </row>
    <row r="356" spans="1:17">
      <c r="A356" t="s">
        <v>4</v>
      </c>
      <c r="B356" t="s">
        <v>22</v>
      </c>
      <c r="C356">
        <v>48</v>
      </c>
      <c r="D356">
        <v>34</v>
      </c>
      <c r="E356" s="1">
        <f t="shared" si="31"/>
        <v>0.58536585365853655</v>
      </c>
      <c r="F356" s="2">
        <v>88.7</v>
      </c>
      <c r="G356" s="2">
        <v>86.1</v>
      </c>
      <c r="H356" s="2">
        <f t="shared" si="32"/>
        <v>2.6000000000000085</v>
      </c>
      <c r="I356" s="1">
        <f t="shared" si="33"/>
        <v>0.6026470301039869</v>
      </c>
      <c r="J356" s="2">
        <v>100</v>
      </c>
      <c r="K356" s="2">
        <v>97</v>
      </c>
      <c r="L356" s="2">
        <f t="shared" si="34"/>
        <v>3</v>
      </c>
      <c r="M356" s="1">
        <f t="shared" si="35"/>
        <v>-1.7281176445450352E-2</v>
      </c>
      <c r="N356" s="2">
        <v>82.7</v>
      </c>
      <c r="O356" s="2">
        <v>81</v>
      </c>
      <c r="P356" s="2">
        <f t="shared" si="36"/>
        <v>1.7000000000000028</v>
      </c>
      <c r="Q356">
        <v>1.3</v>
      </c>
    </row>
    <row r="357" spans="1:17">
      <c r="A357" t="s">
        <v>43</v>
      </c>
      <c r="B357" t="s">
        <v>29</v>
      </c>
      <c r="C357">
        <v>31</v>
      </c>
      <c r="D357">
        <v>51</v>
      </c>
      <c r="E357" s="1">
        <f t="shared" si="31"/>
        <v>0.37804878048780488</v>
      </c>
      <c r="F357" s="2">
        <v>99.1</v>
      </c>
      <c r="G357" s="2">
        <v>102</v>
      </c>
      <c r="H357" s="2">
        <f t="shared" si="32"/>
        <v>-2.9000000000000057</v>
      </c>
      <c r="I357" s="1">
        <f t="shared" si="33"/>
        <v>0.40039796208658779</v>
      </c>
      <c r="J357" s="2">
        <v>105.9</v>
      </c>
      <c r="K357" s="2">
        <v>108.9</v>
      </c>
      <c r="L357" s="2">
        <f t="shared" si="34"/>
        <v>-3</v>
      </c>
      <c r="M357" s="1">
        <f t="shared" si="35"/>
        <v>-2.2349181598782908E-2</v>
      </c>
      <c r="N357" s="2">
        <v>105.5</v>
      </c>
      <c r="O357" s="2">
        <v>103.8</v>
      </c>
      <c r="P357" s="2">
        <f t="shared" si="36"/>
        <v>1.7000000000000028</v>
      </c>
      <c r="Q357">
        <v>-0.4</v>
      </c>
    </row>
    <row r="358" spans="1:17">
      <c r="A358" t="s">
        <v>64</v>
      </c>
      <c r="B358" t="s">
        <v>27</v>
      </c>
      <c r="C358">
        <v>46</v>
      </c>
      <c r="D358">
        <v>36</v>
      </c>
      <c r="E358" s="1">
        <f t="shared" si="31"/>
        <v>0.56097560975609762</v>
      </c>
      <c r="F358" s="2">
        <v>116.6</v>
      </c>
      <c r="G358" s="2">
        <v>114.8</v>
      </c>
      <c r="H358" s="2">
        <f t="shared" si="32"/>
        <v>1.7999999999999972</v>
      </c>
      <c r="I358" s="1">
        <f t="shared" si="33"/>
        <v>0.55423800996909134</v>
      </c>
      <c r="J358" s="2">
        <v>116.2</v>
      </c>
      <c r="K358" s="2">
        <v>114.4</v>
      </c>
      <c r="L358" s="2">
        <f t="shared" si="34"/>
        <v>1.7999999999999972</v>
      </c>
      <c r="M358" s="1">
        <f t="shared" si="35"/>
        <v>6.7375997870062765E-3</v>
      </c>
      <c r="N358" s="2">
        <v>105.6</v>
      </c>
      <c r="O358" s="2">
        <v>104.1</v>
      </c>
      <c r="P358" s="2">
        <f t="shared" si="36"/>
        <v>1.5</v>
      </c>
      <c r="Q358">
        <v>-0.8</v>
      </c>
    </row>
    <row r="359" spans="1:17">
      <c r="A359" t="s">
        <v>54</v>
      </c>
      <c r="B359" t="s">
        <v>25</v>
      </c>
      <c r="C359">
        <v>39</v>
      </c>
      <c r="D359">
        <v>43</v>
      </c>
      <c r="E359" s="1">
        <f t="shared" si="31"/>
        <v>0.47560975609756095</v>
      </c>
      <c r="F359" s="2">
        <v>102.4</v>
      </c>
      <c r="G359" s="2">
        <v>103.3</v>
      </c>
      <c r="H359" s="2">
        <f t="shared" si="32"/>
        <v>-0.89999999999999147</v>
      </c>
      <c r="I359" s="1">
        <f t="shared" si="33"/>
        <v>0.4694109261885151</v>
      </c>
      <c r="J359" s="2">
        <v>104.2</v>
      </c>
      <c r="K359" s="2">
        <v>105.3</v>
      </c>
      <c r="L359" s="2">
        <f t="shared" si="34"/>
        <v>-1.0999999999999943</v>
      </c>
      <c r="M359" s="1">
        <f t="shared" si="35"/>
        <v>6.1988299090458554E-3</v>
      </c>
      <c r="N359" s="2">
        <v>98</v>
      </c>
      <c r="O359" s="2">
        <v>96.5</v>
      </c>
      <c r="P359" s="2">
        <f t="shared" si="36"/>
        <v>1.5</v>
      </c>
      <c r="Q359">
        <v>0.9</v>
      </c>
    </row>
    <row r="360" spans="1:17">
      <c r="A360" t="s">
        <v>50</v>
      </c>
      <c r="B360" t="s">
        <v>28</v>
      </c>
      <c r="C360">
        <v>58</v>
      </c>
      <c r="D360">
        <v>24</v>
      </c>
      <c r="E360" s="1">
        <f t="shared" si="31"/>
        <v>0.70731707317073167</v>
      </c>
      <c r="F360" s="2">
        <v>103</v>
      </c>
      <c r="G360" s="2">
        <v>96.6</v>
      </c>
      <c r="H360" s="2">
        <f t="shared" si="32"/>
        <v>6.4000000000000057</v>
      </c>
      <c r="I360" s="1">
        <f t="shared" si="33"/>
        <v>0.71055960682270991</v>
      </c>
      <c r="J360" s="2">
        <v>107</v>
      </c>
      <c r="K360" s="2">
        <v>100.3</v>
      </c>
      <c r="L360" s="2">
        <f t="shared" si="34"/>
        <v>6.7000000000000028</v>
      </c>
      <c r="M360" s="1">
        <f t="shared" si="35"/>
        <v>-3.2425336519782411E-3</v>
      </c>
      <c r="N360" s="2">
        <v>95</v>
      </c>
      <c r="O360" s="2">
        <v>93.5</v>
      </c>
      <c r="P360" s="2">
        <f t="shared" si="36"/>
        <v>1.5</v>
      </c>
      <c r="Q360">
        <v>1.2</v>
      </c>
    </row>
    <row r="361" spans="1:17">
      <c r="A361" t="s">
        <v>61</v>
      </c>
      <c r="B361" t="s">
        <v>19</v>
      </c>
      <c r="C361">
        <v>46</v>
      </c>
      <c r="D361">
        <v>26</v>
      </c>
      <c r="E361" s="1">
        <f t="shared" si="31"/>
        <v>0.63888888888888884</v>
      </c>
      <c r="F361" s="2">
        <v>120.1</v>
      </c>
      <c r="G361" s="2">
        <v>114.2</v>
      </c>
      <c r="H361" s="2">
        <f t="shared" si="32"/>
        <v>5.8999999999999915</v>
      </c>
      <c r="I361" s="1">
        <f t="shared" si="33"/>
        <v>0.66934587633870324</v>
      </c>
      <c r="J361" s="2">
        <v>116.5</v>
      </c>
      <c r="K361" s="2">
        <v>110.7</v>
      </c>
      <c r="L361" s="2">
        <f t="shared" si="34"/>
        <v>5.7999999999999972</v>
      </c>
      <c r="M361" s="1">
        <f t="shared" si="35"/>
        <v>-3.0456987449814399E-2</v>
      </c>
      <c r="N361" s="2">
        <v>107</v>
      </c>
      <c r="O361" s="2">
        <v>105.5</v>
      </c>
      <c r="P361" s="2">
        <f t="shared" si="36"/>
        <v>1.5</v>
      </c>
      <c r="Q361">
        <v>-0.2</v>
      </c>
    </row>
    <row r="362" spans="1:17">
      <c r="A362" t="s">
        <v>44</v>
      </c>
      <c r="B362" t="s">
        <v>40</v>
      </c>
      <c r="C362">
        <v>32</v>
      </c>
      <c r="D362">
        <v>50</v>
      </c>
      <c r="E362" s="1">
        <f t="shared" si="31"/>
        <v>0.3902439024390244</v>
      </c>
      <c r="F362" s="2">
        <v>97.1</v>
      </c>
      <c r="G362" s="2">
        <v>101.4</v>
      </c>
      <c r="H362" s="2">
        <f t="shared" si="32"/>
        <v>-4.3000000000000114</v>
      </c>
      <c r="I362" s="1">
        <f t="shared" si="33"/>
        <v>0.35282512141387656</v>
      </c>
      <c r="J362" s="2">
        <v>103.7</v>
      </c>
      <c r="K362" s="2">
        <v>108.2</v>
      </c>
      <c r="L362" s="2">
        <f t="shared" si="34"/>
        <v>-4.5</v>
      </c>
      <c r="M362" s="1">
        <f t="shared" si="35"/>
        <v>3.741878102514784E-2</v>
      </c>
      <c r="N362" s="2">
        <v>101.9</v>
      </c>
      <c r="O362" s="2">
        <v>100.5</v>
      </c>
      <c r="P362" s="2">
        <f t="shared" si="36"/>
        <v>1.4000000000000057</v>
      </c>
      <c r="Q362">
        <v>-0.5</v>
      </c>
    </row>
    <row r="363" spans="1:17">
      <c r="A363" t="s">
        <v>4</v>
      </c>
      <c r="B363" t="s">
        <v>33</v>
      </c>
      <c r="C363">
        <v>19</v>
      </c>
      <c r="D363">
        <v>63</v>
      </c>
      <c r="E363" s="1">
        <f t="shared" si="31"/>
        <v>0.23170731707317074</v>
      </c>
      <c r="F363" s="2">
        <v>93.2</v>
      </c>
      <c r="G363" s="2">
        <v>99.9</v>
      </c>
      <c r="H363" s="2">
        <f t="shared" si="32"/>
        <v>-6.7000000000000028</v>
      </c>
      <c r="I363" s="1">
        <f t="shared" si="33"/>
        <v>0.27450046120978927</v>
      </c>
      <c r="J363" s="2">
        <v>99.4</v>
      </c>
      <c r="K363" s="2">
        <v>106.2</v>
      </c>
      <c r="L363" s="2">
        <f t="shared" si="34"/>
        <v>-6.7999999999999972</v>
      </c>
      <c r="M363" s="1">
        <f t="shared" si="35"/>
        <v>-4.2793144136618527E-2</v>
      </c>
      <c r="N363" s="2">
        <v>101.4</v>
      </c>
      <c r="O363" s="2">
        <v>100</v>
      </c>
      <c r="P363" s="2">
        <f t="shared" si="36"/>
        <v>1.4000000000000057</v>
      </c>
      <c r="Q363">
        <v>-1.1000000000000001</v>
      </c>
    </row>
    <row r="364" spans="1:17">
      <c r="A364" t="s">
        <v>62</v>
      </c>
      <c r="B364" t="s">
        <v>27</v>
      </c>
      <c r="C364">
        <v>30</v>
      </c>
      <c r="D364">
        <v>52</v>
      </c>
      <c r="E364" s="1">
        <f t="shared" si="31"/>
        <v>0.36585365853658536</v>
      </c>
      <c r="F364" s="2">
        <v>110.3</v>
      </c>
      <c r="G364" s="2">
        <v>115.8</v>
      </c>
      <c r="H364" s="2">
        <f t="shared" si="32"/>
        <v>-5.5</v>
      </c>
      <c r="I364" s="1">
        <f t="shared" si="33"/>
        <v>0.33598260819490139</v>
      </c>
      <c r="J364" s="2">
        <v>109.6</v>
      </c>
      <c r="K364" s="2">
        <v>114.8</v>
      </c>
      <c r="L364" s="2">
        <f t="shared" si="34"/>
        <v>-5.2000000000000028</v>
      </c>
      <c r="M364" s="1">
        <f t="shared" si="35"/>
        <v>2.9871050341683969E-2</v>
      </c>
      <c r="N364" s="2">
        <v>110.6</v>
      </c>
      <c r="O364" s="2">
        <v>109.2</v>
      </c>
      <c r="P364" s="2">
        <f t="shared" si="36"/>
        <v>1.3999999999999915</v>
      </c>
      <c r="Q364">
        <v>-1.3</v>
      </c>
    </row>
    <row r="365" spans="1:17">
      <c r="A365" t="s">
        <v>36</v>
      </c>
      <c r="B365" t="s">
        <v>23</v>
      </c>
      <c r="C365">
        <v>42</v>
      </c>
      <c r="D365">
        <v>40</v>
      </c>
      <c r="E365" s="1">
        <f t="shared" si="31"/>
        <v>0.51219512195121952</v>
      </c>
      <c r="F365" s="2">
        <v>98.5</v>
      </c>
      <c r="G365" s="2">
        <v>98.4</v>
      </c>
      <c r="H365" s="2">
        <f t="shared" si="32"/>
        <v>9.9999999999994316E-2</v>
      </c>
      <c r="I365" s="1">
        <f t="shared" si="33"/>
        <v>0.5035550445111181</v>
      </c>
      <c r="J365" s="2">
        <v>103.7</v>
      </c>
      <c r="K365" s="2">
        <v>103.7</v>
      </c>
      <c r="L365" s="2">
        <f t="shared" si="34"/>
        <v>0</v>
      </c>
      <c r="M365" s="1">
        <f t="shared" si="35"/>
        <v>8.6400774401014235E-3</v>
      </c>
      <c r="N365" s="2">
        <v>95.9</v>
      </c>
      <c r="O365" s="2">
        <v>94.6</v>
      </c>
      <c r="P365" s="2">
        <f t="shared" si="36"/>
        <v>1.3000000000000114</v>
      </c>
      <c r="Q365">
        <v>-1</v>
      </c>
    </row>
    <row r="366" spans="1:17">
      <c r="A366" t="s">
        <v>41</v>
      </c>
      <c r="B366" t="s">
        <v>29</v>
      </c>
      <c r="C366">
        <v>35</v>
      </c>
      <c r="D366">
        <v>47</v>
      </c>
      <c r="E366" s="1">
        <f t="shared" si="31"/>
        <v>0.42682926829268292</v>
      </c>
      <c r="F366" s="2">
        <v>102.6</v>
      </c>
      <c r="G366" s="2">
        <v>105.6</v>
      </c>
      <c r="H366" s="2">
        <f t="shared" si="32"/>
        <v>-3</v>
      </c>
      <c r="I366" s="1">
        <f t="shared" si="33"/>
        <v>0.40047504632184655</v>
      </c>
      <c r="J366" s="2">
        <v>109.4</v>
      </c>
      <c r="K366" s="2">
        <v>112.7</v>
      </c>
      <c r="L366" s="2">
        <f t="shared" si="34"/>
        <v>-3.2999999999999972</v>
      </c>
      <c r="M366" s="1">
        <f t="shared" si="35"/>
        <v>2.6354221970836367E-2</v>
      </c>
      <c r="N366" s="2">
        <v>112.8</v>
      </c>
      <c r="O366" s="2">
        <v>111.5</v>
      </c>
      <c r="P366" s="2">
        <f t="shared" si="36"/>
        <v>1.2999999999999972</v>
      </c>
      <c r="Q366">
        <v>-1.2</v>
      </c>
    </row>
    <row r="367" spans="1:17">
      <c r="A367" t="s">
        <v>65</v>
      </c>
      <c r="B367" t="s">
        <v>10</v>
      </c>
      <c r="C367">
        <v>39</v>
      </c>
      <c r="D367">
        <v>43</v>
      </c>
      <c r="E367" s="1">
        <f t="shared" si="31"/>
        <v>0.47560975609756095</v>
      </c>
      <c r="F367" s="2">
        <v>114.2</v>
      </c>
      <c r="G367" s="2">
        <v>115.4</v>
      </c>
      <c r="H367" s="2">
        <f t="shared" si="32"/>
        <v>-1.2000000000000028</v>
      </c>
      <c r="I367" s="1">
        <f t="shared" si="33"/>
        <v>0.46347945541484592</v>
      </c>
      <c r="J367" s="2">
        <v>113.7</v>
      </c>
      <c r="K367" s="2">
        <v>115</v>
      </c>
      <c r="L367" s="2">
        <f t="shared" si="34"/>
        <v>-1.2999999999999972</v>
      </c>
      <c r="M367" s="1">
        <f t="shared" si="35"/>
        <v>1.2130300682715034E-2</v>
      </c>
      <c r="N367" s="2">
        <v>113</v>
      </c>
      <c r="O367" s="2">
        <v>111.7</v>
      </c>
      <c r="P367" s="2">
        <f t="shared" si="36"/>
        <v>1.2999999999999972</v>
      </c>
      <c r="Q367">
        <v>0.1</v>
      </c>
    </row>
    <row r="368" spans="1:17">
      <c r="A368" t="s">
        <v>62</v>
      </c>
      <c r="B368" t="s">
        <v>26</v>
      </c>
      <c r="C368">
        <v>27</v>
      </c>
      <c r="D368">
        <v>55</v>
      </c>
      <c r="E368" s="1">
        <f t="shared" si="31"/>
        <v>0.32926829268292684</v>
      </c>
      <c r="F368" s="2">
        <v>106.2</v>
      </c>
      <c r="G368" s="2">
        <v>115.1</v>
      </c>
      <c r="H368" s="2">
        <f t="shared" si="32"/>
        <v>-8.8999999999999915</v>
      </c>
      <c r="I368" s="1">
        <f t="shared" si="33"/>
        <v>0.24477414963979585</v>
      </c>
      <c r="J368" s="2">
        <v>107.3</v>
      </c>
      <c r="K368" s="2">
        <v>116.3</v>
      </c>
      <c r="L368" s="2">
        <f t="shared" si="34"/>
        <v>-9</v>
      </c>
      <c r="M368" s="1">
        <f t="shared" si="35"/>
        <v>8.4494143043130993E-2</v>
      </c>
      <c r="N368" s="2">
        <v>107</v>
      </c>
      <c r="O368" s="2">
        <v>105.8</v>
      </c>
      <c r="P368" s="2">
        <f t="shared" si="36"/>
        <v>1.2000000000000028</v>
      </c>
      <c r="Q368">
        <v>-3.6</v>
      </c>
    </row>
    <row r="369" spans="1:17">
      <c r="A369" t="s">
        <v>65</v>
      </c>
      <c r="B369" t="s">
        <v>53</v>
      </c>
      <c r="C369">
        <v>21</v>
      </c>
      <c r="D369">
        <v>61</v>
      </c>
      <c r="E369" s="1">
        <f t="shared" si="31"/>
        <v>0.25609756097560976</v>
      </c>
      <c r="F369" s="2">
        <v>109.8</v>
      </c>
      <c r="G369" s="2">
        <v>119.3</v>
      </c>
      <c r="H369" s="2">
        <f t="shared" si="32"/>
        <v>-9.5</v>
      </c>
      <c r="I369" s="1">
        <f t="shared" si="33"/>
        <v>0.23835285935229417</v>
      </c>
      <c r="J369" s="2">
        <v>109.7</v>
      </c>
      <c r="K369" s="2">
        <v>119.1</v>
      </c>
      <c r="L369" s="2">
        <f t="shared" si="34"/>
        <v>-9.3999999999999915</v>
      </c>
      <c r="M369" s="1">
        <f t="shared" si="35"/>
        <v>1.7744701623315595E-2</v>
      </c>
      <c r="N369" s="2">
        <v>104.5</v>
      </c>
      <c r="O369" s="2">
        <v>103.3</v>
      </c>
      <c r="P369" s="2">
        <f t="shared" si="36"/>
        <v>1.2000000000000028</v>
      </c>
      <c r="Q369">
        <v>-1</v>
      </c>
    </row>
    <row r="370" spans="1:17">
      <c r="A370" t="s">
        <v>62</v>
      </c>
      <c r="B370" t="s">
        <v>18</v>
      </c>
      <c r="C370">
        <v>53</v>
      </c>
      <c r="D370">
        <v>29</v>
      </c>
      <c r="E370" s="1">
        <f t="shared" si="31"/>
        <v>0.64634146341463417</v>
      </c>
      <c r="F370" s="2">
        <v>110</v>
      </c>
      <c r="G370" s="2">
        <v>105.6</v>
      </c>
      <c r="H370" s="2">
        <f t="shared" si="32"/>
        <v>4.4000000000000057</v>
      </c>
      <c r="I370" s="1">
        <f t="shared" si="33"/>
        <v>0.63911104772076754</v>
      </c>
      <c r="J370" s="2">
        <v>113</v>
      </c>
      <c r="K370" s="2">
        <v>108.4</v>
      </c>
      <c r="L370" s="2">
        <f t="shared" si="34"/>
        <v>4.5999999999999943</v>
      </c>
      <c r="M370" s="1">
        <f t="shared" si="35"/>
        <v>7.2304156938666209E-3</v>
      </c>
      <c r="N370" s="2">
        <v>100.4</v>
      </c>
      <c r="O370" s="2">
        <v>99.2</v>
      </c>
      <c r="P370" s="2">
        <f t="shared" si="36"/>
        <v>1.2000000000000028</v>
      </c>
      <c r="Q370">
        <v>0.4</v>
      </c>
    </row>
    <row r="371" spans="1:17">
      <c r="A371" t="s">
        <v>47</v>
      </c>
      <c r="B371" t="s">
        <v>18</v>
      </c>
      <c r="C371">
        <v>47</v>
      </c>
      <c r="D371">
        <v>35</v>
      </c>
      <c r="E371" s="1">
        <f t="shared" si="31"/>
        <v>0.57317073170731703</v>
      </c>
      <c r="F371" s="2">
        <v>96.5</v>
      </c>
      <c r="G371" s="2">
        <v>94.2</v>
      </c>
      <c r="H371" s="2">
        <f t="shared" si="32"/>
        <v>2.2999999999999972</v>
      </c>
      <c r="I371" s="1">
        <f t="shared" si="33"/>
        <v>0.58363647422814535</v>
      </c>
      <c r="J371" s="2">
        <v>105.7</v>
      </c>
      <c r="K371" s="2">
        <v>103.4</v>
      </c>
      <c r="L371" s="2">
        <f t="shared" si="34"/>
        <v>2.2999999999999972</v>
      </c>
      <c r="M371" s="1">
        <f t="shared" si="35"/>
        <v>-1.0465742520828325E-2</v>
      </c>
      <c r="N371" s="2">
        <v>102.9</v>
      </c>
      <c r="O371" s="2">
        <v>101.7</v>
      </c>
      <c r="P371" s="2">
        <f t="shared" si="36"/>
        <v>1.2000000000000028</v>
      </c>
      <c r="Q371">
        <v>-0.9</v>
      </c>
    </row>
    <row r="372" spans="1:17">
      <c r="A372" t="s">
        <v>59</v>
      </c>
      <c r="B372" t="s">
        <v>28</v>
      </c>
      <c r="C372">
        <v>48</v>
      </c>
      <c r="D372">
        <v>34</v>
      </c>
      <c r="E372" s="1">
        <f t="shared" si="31"/>
        <v>0.58536585365853655</v>
      </c>
      <c r="F372" s="2">
        <v>111.7</v>
      </c>
      <c r="G372" s="2">
        <v>110</v>
      </c>
      <c r="H372" s="2">
        <f t="shared" si="32"/>
        <v>1.7000000000000028</v>
      </c>
      <c r="I372" s="1">
        <f t="shared" si="33"/>
        <v>0.55347192797788125</v>
      </c>
      <c r="J372" s="2">
        <v>112.2</v>
      </c>
      <c r="K372" s="2">
        <v>110.6</v>
      </c>
      <c r="L372" s="2">
        <f t="shared" si="34"/>
        <v>1.6000000000000085</v>
      </c>
      <c r="M372" s="1">
        <f t="shared" si="35"/>
        <v>3.18939256806553E-2</v>
      </c>
      <c r="N372" s="2">
        <v>113.6</v>
      </c>
      <c r="O372" s="2">
        <v>112.5</v>
      </c>
      <c r="P372" s="2">
        <f t="shared" si="36"/>
        <v>1.0999999999999943</v>
      </c>
      <c r="Q372">
        <v>0.4</v>
      </c>
    </row>
    <row r="373" spans="1:17">
      <c r="A373" t="s">
        <v>62</v>
      </c>
      <c r="B373" t="s">
        <v>20</v>
      </c>
      <c r="C373">
        <v>46</v>
      </c>
      <c r="D373">
        <v>36</v>
      </c>
      <c r="E373" s="1">
        <f t="shared" si="31"/>
        <v>0.56097560975609762</v>
      </c>
      <c r="F373" s="2">
        <v>115.9</v>
      </c>
      <c r="G373" s="2">
        <v>113.3</v>
      </c>
      <c r="H373" s="2">
        <f t="shared" si="32"/>
        <v>2.6000000000000085</v>
      </c>
      <c r="I373" s="1">
        <f t="shared" si="33"/>
        <v>0.57874903178603399</v>
      </c>
      <c r="J373" s="2">
        <v>113.8</v>
      </c>
      <c r="K373" s="2">
        <v>111</v>
      </c>
      <c r="L373" s="2">
        <f t="shared" si="34"/>
        <v>2.7999999999999972</v>
      </c>
      <c r="M373" s="1">
        <f t="shared" si="35"/>
        <v>-1.777342202993637E-2</v>
      </c>
      <c r="N373" s="2">
        <v>107.1</v>
      </c>
      <c r="O373" s="2">
        <v>106</v>
      </c>
      <c r="P373" s="2">
        <f t="shared" si="36"/>
        <v>1.0999999999999943</v>
      </c>
      <c r="Q373">
        <v>-0.9</v>
      </c>
    </row>
    <row r="374" spans="1:17">
      <c r="A374" t="s">
        <v>58</v>
      </c>
      <c r="B374" t="s">
        <v>6</v>
      </c>
      <c r="C374">
        <v>55</v>
      </c>
      <c r="D374">
        <v>27</v>
      </c>
      <c r="E374" s="1">
        <f t="shared" si="31"/>
        <v>0.67073170731707321</v>
      </c>
      <c r="F374" s="2">
        <v>104</v>
      </c>
      <c r="G374" s="2">
        <v>100.4</v>
      </c>
      <c r="H374" s="2">
        <f t="shared" si="32"/>
        <v>3.5999999999999943</v>
      </c>
      <c r="I374" s="1">
        <f t="shared" si="33"/>
        <v>0.62086037726466381</v>
      </c>
      <c r="J374" s="2">
        <v>106.8</v>
      </c>
      <c r="K374" s="2">
        <v>103.2</v>
      </c>
      <c r="L374" s="2">
        <f t="shared" si="34"/>
        <v>3.5999999999999943</v>
      </c>
      <c r="M374" s="1">
        <f t="shared" si="35"/>
        <v>4.9871330052409402E-2</v>
      </c>
      <c r="N374" s="2">
        <v>109.6</v>
      </c>
      <c r="O374" s="2">
        <v>108.6</v>
      </c>
      <c r="P374" s="2">
        <f t="shared" si="36"/>
        <v>1</v>
      </c>
      <c r="Q374">
        <v>0.8</v>
      </c>
    </row>
    <row r="375" spans="1:17">
      <c r="A375" t="s">
        <v>63</v>
      </c>
      <c r="B375" t="s">
        <v>35</v>
      </c>
      <c r="C375">
        <v>51</v>
      </c>
      <c r="D375">
        <v>31</v>
      </c>
      <c r="E375" s="1">
        <f t="shared" si="31"/>
        <v>0.62195121951219512</v>
      </c>
      <c r="F375" s="2">
        <v>116.9</v>
      </c>
      <c r="G375" s="2">
        <v>113</v>
      </c>
      <c r="H375" s="2">
        <f t="shared" si="32"/>
        <v>3.9000000000000057</v>
      </c>
      <c r="I375" s="1">
        <f t="shared" si="33"/>
        <v>0.61657470721768026</v>
      </c>
      <c r="J375" s="2">
        <v>114.7</v>
      </c>
      <c r="K375" s="2">
        <v>110.7</v>
      </c>
      <c r="L375" s="2">
        <f t="shared" si="34"/>
        <v>4</v>
      </c>
      <c r="M375" s="1">
        <f t="shared" si="35"/>
        <v>5.3765122945148569E-3</v>
      </c>
      <c r="N375" s="2">
        <v>114.9</v>
      </c>
      <c r="O375" s="2">
        <v>113.9</v>
      </c>
      <c r="P375" s="2">
        <f t="shared" si="36"/>
        <v>1</v>
      </c>
      <c r="Q375">
        <v>-1.1000000000000001</v>
      </c>
    </row>
    <row r="376" spans="1:17">
      <c r="A376" t="s">
        <v>61</v>
      </c>
      <c r="B376" t="s">
        <v>46</v>
      </c>
      <c r="C376">
        <v>22</v>
      </c>
      <c r="D376">
        <v>50</v>
      </c>
      <c r="E376" s="1">
        <f t="shared" si="31"/>
        <v>0.30555555555555558</v>
      </c>
      <c r="F376" s="2">
        <v>105</v>
      </c>
      <c r="G376" s="2">
        <v>115.6</v>
      </c>
      <c r="H376" s="2">
        <f t="shared" si="32"/>
        <v>-10.599999999999994</v>
      </c>
      <c r="I376" s="1">
        <f t="shared" si="33"/>
        <v>0.20644996928068904</v>
      </c>
      <c r="J376" s="2">
        <v>102.8</v>
      </c>
      <c r="K376" s="2">
        <v>113.4</v>
      </c>
      <c r="L376" s="2">
        <f t="shared" si="34"/>
        <v>-10.600000000000009</v>
      </c>
      <c r="M376" s="1">
        <f t="shared" si="35"/>
        <v>9.9105586274866542E-2</v>
      </c>
      <c r="N376" s="2">
        <v>102.7</v>
      </c>
      <c r="O376" s="2">
        <v>101.8</v>
      </c>
      <c r="P376" s="2">
        <f t="shared" si="36"/>
        <v>0.90000000000000568</v>
      </c>
      <c r="Q376">
        <v>-1.1000000000000001</v>
      </c>
    </row>
    <row r="377" spans="1:17">
      <c r="A377" t="s">
        <v>43</v>
      </c>
      <c r="B377" t="s">
        <v>26</v>
      </c>
      <c r="C377">
        <v>32</v>
      </c>
      <c r="D377">
        <v>50</v>
      </c>
      <c r="E377" s="1">
        <f t="shared" si="31"/>
        <v>0.3902439024390244</v>
      </c>
      <c r="F377" s="2">
        <v>94.1</v>
      </c>
      <c r="G377" s="2">
        <v>98.4</v>
      </c>
      <c r="H377" s="2">
        <f t="shared" si="32"/>
        <v>-4.3000000000000114</v>
      </c>
      <c r="I377" s="1">
        <f t="shared" si="33"/>
        <v>0.34851829160504433</v>
      </c>
      <c r="J377" s="2">
        <v>103.8</v>
      </c>
      <c r="K377" s="2">
        <v>108.6</v>
      </c>
      <c r="L377" s="2">
        <f t="shared" si="34"/>
        <v>-4.7999999999999972</v>
      </c>
      <c r="M377" s="1">
        <f t="shared" si="35"/>
        <v>4.1725610833980076E-2</v>
      </c>
      <c r="N377" s="2">
        <v>113.4</v>
      </c>
      <c r="O377" s="2">
        <v>112.5</v>
      </c>
      <c r="P377" s="2">
        <f t="shared" si="36"/>
        <v>0.90000000000000568</v>
      </c>
      <c r="Q377">
        <v>-0.5</v>
      </c>
    </row>
    <row r="378" spans="1:17">
      <c r="A378" t="s">
        <v>54</v>
      </c>
      <c r="B378" t="s">
        <v>53</v>
      </c>
      <c r="C378">
        <v>45</v>
      </c>
      <c r="D378">
        <v>37</v>
      </c>
      <c r="E378" s="1">
        <f t="shared" si="31"/>
        <v>0.54878048780487809</v>
      </c>
      <c r="F378" s="2">
        <v>99.4</v>
      </c>
      <c r="G378" s="2">
        <v>98.6</v>
      </c>
      <c r="H378" s="2">
        <f t="shared" si="32"/>
        <v>0.80000000000001137</v>
      </c>
      <c r="I378" s="1">
        <f t="shared" si="33"/>
        <v>0.52825285498297569</v>
      </c>
      <c r="J378" s="2">
        <v>107.1</v>
      </c>
      <c r="K378" s="2">
        <v>106.3</v>
      </c>
      <c r="L378" s="2">
        <f t="shared" si="34"/>
        <v>0.79999999999999716</v>
      </c>
      <c r="M378" s="1">
        <f t="shared" si="35"/>
        <v>2.0527632821902397E-2</v>
      </c>
      <c r="N378" s="2">
        <v>106.2</v>
      </c>
      <c r="O378" s="2">
        <v>105.3</v>
      </c>
      <c r="P378" s="2">
        <f t="shared" si="36"/>
        <v>0.90000000000000568</v>
      </c>
      <c r="Q378">
        <v>-0.2</v>
      </c>
    </row>
    <row r="379" spans="1:17">
      <c r="A379" t="s">
        <v>39</v>
      </c>
      <c r="B379" t="s">
        <v>24</v>
      </c>
      <c r="C379">
        <v>43</v>
      </c>
      <c r="D379">
        <v>39</v>
      </c>
      <c r="E379" s="1">
        <f t="shared" si="31"/>
        <v>0.52439024390243905</v>
      </c>
      <c r="F379" s="2">
        <v>99.1</v>
      </c>
      <c r="G379" s="2">
        <v>99.9</v>
      </c>
      <c r="H379" s="2">
        <f t="shared" si="32"/>
        <v>-0.80000000000001137</v>
      </c>
      <c r="I379" s="1">
        <f t="shared" si="33"/>
        <v>0.47188882056574427</v>
      </c>
      <c r="J379" s="2">
        <v>101.8</v>
      </c>
      <c r="K379" s="2">
        <v>102.5</v>
      </c>
      <c r="L379" s="2">
        <f t="shared" si="34"/>
        <v>-0.70000000000000284</v>
      </c>
      <c r="M379" s="1">
        <f t="shared" si="35"/>
        <v>5.2501423336694775E-2</v>
      </c>
      <c r="N379" s="2">
        <v>95.8</v>
      </c>
      <c r="O379" s="2">
        <v>94.9</v>
      </c>
      <c r="P379" s="2">
        <f t="shared" si="36"/>
        <v>0.89999999999999147</v>
      </c>
      <c r="Q379">
        <v>-0.7</v>
      </c>
    </row>
    <row r="380" spans="1:17">
      <c r="A380" t="s">
        <v>45</v>
      </c>
      <c r="B380" t="s">
        <v>40</v>
      </c>
      <c r="C380">
        <v>35</v>
      </c>
      <c r="D380">
        <v>47</v>
      </c>
      <c r="E380" s="1">
        <f t="shared" si="31"/>
        <v>0.42682926829268292</v>
      </c>
      <c r="F380" s="2">
        <v>93.6</v>
      </c>
      <c r="G380" s="2">
        <v>94.9</v>
      </c>
      <c r="H380" s="2">
        <f t="shared" si="32"/>
        <v>-1.3000000000000114</v>
      </c>
      <c r="I380" s="1">
        <f t="shared" si="33"/>
        <v>0.4518728353322306</v>
      </c>
      <c r="J380" s="2">
        <v>103.7</v>
      </c>
      <c r="K380" s="2">
        <v>105</v>
      </c>
      <c r="L380" s="2">
        <f t="shared" si="34"/>
        <v>-1.2999999999999972</v>
      </c>
      <c r="M380" s="1">
        <f t="shared" si="35"/>
        <v>-2.5043567039547687E-2</v>
      </c>
      <c r="N380" s="2">
        <v>97.8</v>
      </c>
      <c r="O380" s="2">
        <v>96.9</v>
      </c>
      <c r="P380" s="2">
        <f t="shared" si="36"/>
        <v>0.89999999999999147</v>
      </c>
      <c r="Q380">
        <v>-0.3</v>
      </c>
    </row>
    <row r="381" spans="1:17">
      <c r="A381" t="s">
        <v>61</v>
      </c>
      <c r="B381" t="s">
        <v>23</v>
      </c>
      <c r="C381">
        <v>21</v>
      </c>
      <c r="D381">
        <v>51</v>
      </c>
      <c r="E381" s="1">
        <f t="shared" si="31"/>
        <v>0.29166666666666669</v>
      </c>
      <c r="F381" s="2">
        <v>104</v>
      </c>
      <c r="G381" s="2">
        <v>113.3</v>
      </c>
      <c r="H381" s="2">
        <f t="shared" si="32"/>
        <v>-9.2999999999999972</v>
      </c>
      <c r="I381" s="1">
        <f t="shared" si="33"/>
        <v>0.23163967366224553</v>
      </c>
      <c r="J381" s="2">
        <v>104.6</v>
      </c>
      <c r="K381" s="2">
        <v>113.9</v>
      </c>
      <c r="L381" s="2">
        <f t="shared" si="34"/>
        <v>-9.3000000000000114</v>
      </c>
      <c r="M381" s="1">
        <f t="shared" si="35"/>
        <v>6.0026993004421159E-2</v>
      </c>
      <c r="N381" s="2">
        <v>106.5</v>
      </c>
      <c r="O381" s="2">
        <v>105.7</v>
      </c>
      <c r="P381" s="2">
        <f t="shared" si="36"/>
        <v>0.79999999999999716</v>
      </c>
      <c r="Q381">
        <v>-1.8</v>
      </c>
    </row>
    <row r="382" spans="1:17">
      <c r="A382" t="s">
        <v>52</v>
      </c>
      <c r="B382" t="s">
        <v>17</v>
      </c>
      <c r="C382">
        <v>27</v>
      </c>
      <c r="D382">
        <v>55</v>
      </c>
      <c r="E382" s="1">
        <f t="shared" si="31"/>
        <v>0.32926829268292684</v>
      </c>
      <c r="F382" s="2">
        <v>103</v>
      </c>
      <c r="G382" s="2">
        <v>109.2</v>
      </c>
      <c r="H382" s="2">
        <f t="shared" si="32"/>
        <v>-6.2000000000000028</v>
      </c>
      <c r="I382" s="1">
        <f t="shared" si="33"/>
        <v>0.30611847103175666</v>
      </c>
      <c r="J382" s="2">
        <v>103.2</v>
      </c>
      <c r="K382" s="2">
        <v>109.3</v>
      </c>
      <c r="L382" s="2">
        <f t="shared" si="34"/>
        <v>-6.0999999999999943</v>
      </c>
      <c r="M382" s="1">
        <f t="shared" si="35"/>
        <v>2.3149821651170188E-2</v>
      </c>
      <c r="N382" s="2">
        <v>100.8</v>
      </c>
      <c r="O382" s="2">
        <v>100</v>
      </c>
      <c r="P382" s="2">
        <f t="shared" si="36"/>
        <v>0.79999999999999716</v>
      </c>
      <c r="Q382">
        <v>0.5</v>
      </c>
    </row>
    <row r="383" spans="1:17">
      <c r="A383" t="s">
        <v>4</v>
      </c>
      <c r="B383" t="s">
        <v>15</v>
      </c>
      <c r="C383">
        <v>41</v>
      </c>
      <c r="D383">
        <v>41</v>
      </c>
      <c r="E383" s="1">
        <f t="shared" si="31"/>
        <v>0.5</v>
      </c>
      <c r="F383" s="2">
        <v>92.6</v>
      </c>
      <c r="G383" s="2">
        <v>92.8</v>
      </c>
      <c r="H383" s="2">
        <f t="shared" si="32"/>
        <v>-0.20000000000000284</v>
      </c>
      <c r="I383" s="1">
        <f t="shared" si="33"/>
        <v>0.49244933056629364</v>
      </c>
      <c r="J383" s="2">
        <v>100.3</v>
      </c>
      <c r="K383" s="2">
        <v>100.5</v>
      </c>
      <c r="L383" s="2">
        <f t="shared" si="34"/>
        <v>-0.20000000000000284</v>
      </c>
      <c r="M383" s="1">
        <f t="shared" si="35"/>
        <v>7.5506694337063585E-3</v>
      </c>
      <c r="N383" s="2">
        <v>93.1</v>
      </c>
      <c r="O383" s="2">
        <v>92.3</v>
      </c>
      <c r="P383" s="2">
        <f t="shared" si="36"/>
        <v>0.79999999999999716</v>
      </c>
      <c r="Q383">
        <v>0</v>
      </c>
    </row>
    <row r="384" spans="1:17">
      <c r="A384" t="s">
        <v>49</v>
      </c>
      <c r="B384" t="s">
        <v>6</v>
      </c>
      <c r="C384">
        <v>39</v>
      </c>
      <c r="D384">
        <v>27</v>
      </c>
      <c r="E384" s="1">
        <f t="shared" si="31"/>
        <v>0.59090909090909094</v>
      </c>
      <c r="F384" s="2">
        <v>91.8</v>
      </c>
      <c r="G384" s="2">
        <v>89.3</v>
      </c>
      <c r="H384" s="2">
        <f t="shared" si="32"/>
        <v>2.5</v>
      </c>
      <c r="I384" s="1">
        <f t="shared" si="33"/>
        <v>0.59545222881559101</v>
      </c>
      <c r="J384" s="2">
        <v>100.1</v>
      </c>
      <c r="K384" s="2">
        <v>97.5</v>
      </c>
      <c r="L384" s="2">
        <f t="shared" si="34"/>
        <v>2.5999999999999943</v>
      </c>
      <c r="M384" s="1">
        <f t="shared" si="35"/>
        <v>-4.5431379065000721E-3</v>
      </c>
      <c r="N384" s="2">
        <v>101.2</v>
      </c>
      <c r="O384" s="2">
        <v>100.4</v>
      </c>
      <c r="P384" s="2">
        <f t="shared" si="36"/>
        <v>0.79999999999999716</v>
      </c>
      <c r="Q384">
        <v>0.1</v>
      </c>
    </row>
    <row r="385" spans="1:17">
      <c r="A385" t="s">
        <v>41</v>
      </c>
      <c r="B385" t="s">
        <v>40</v>
      </c>
      <c r="C385">
        <v>26</v>
      </c>
      <c r="D385">
        <v>56</v>
      </c>
      <c r="E385" s="1">
        <f t="shared" si="31"/>
        <v>0.31707317073170732</v>
      </c>
      <c r="F385" s="2">
        <v>96.9</v>
      </c>
      <c r="G385" s="2">
        <v>100.9</v>
      </c>
      <c r="H385" s="2">
        <f t="shared" si="32"/>
        <v>-4</v>
      </c>
      <c r="I385" s="1">
        <f t="shared" si="33"/>
        <v>0.36208969727051943</v>
      </c>
      <c r="J385" s="2">
        <v>101.2</v>
      </c>
      <c r="K385" s="2">
        <v>105.6</v>
      </c>
      <c r="L385" s="2">
        <f t="shared" si="34"/>
        <v>-4.3999999999999915</v>
      </c>
      <c r="M385" s="1">
        <f t="shared" si="35"/>
        <v>-4.5016526538812107E-2</v>
      </c>
      <c r="N385" s="2">
        <v>101.7</v>
      </c>
      <c r="O385" s="2">
        <v>100.9</v>
      </c>
      <c r="P385" s="2">
        <f t="shared" si="36"/>
        <v>0.79999999999999716</v>
      </c>
      <c r="Q385">
        <v>0.4</v>
      </c>
    </row>
    <row r="386" spans="1:17">
      <c r="A386" t="s">
        <v>63</v>
      </c>
      <c r="B386" t="s">
        <v>8</v>
      </c>
      <c r="C386">
        <v>40</v>
      </c>
      <c r="D386">
        <v>42</v>
      </c>
      <c r="E386" s="1">
        <f t="shared" si="31"/>
        <v>0.48780487804878048</v>
      </c>
      <c r="F386" s="2">
        <v>113.1</v>
      </c>
      <c r="G386" s="2">
        <v>111.8</v>
      </c>
      <c r="H386" s="2">
        <f t="shared" si="32"/>
        <v>1.2999999999999972</v>
      </c>
      <c r="I386" s="1">
        <f t="shared" si="33"/>
        <v>0.54037477901258768</v>
      </c>
      <c r="J386" s="2">
        <v>112.8</v>
      </c>
      <c r="K386" s="2">
        <v>111.5</v>
      </c>
      <c r="L386" s="2">
        <f t="shared" si="34"/>
        <v>1.2999999999999972</v>
      </c>
      <c r="M386" s="1">
        <f t="shared" si="35"/>
        <v>-5.2569900963807203E-2</v>
      </c>
      <c r="N386" s="2">
        <v>106</v>
      </c>
      <c r="O386" s="2">
        <v>105.2</v>
      </c>
      <c r="P386" s="2">
        <f t="shared" si="36"/>
        <v>0.79999999999999716</v>
      </c>
      <c r="Q386">
        <v>0.5</v>
      </c>
    </row>
    <row r="387" spans="1:17">
      <c r="A387" t="s">
        <v>65</v>
      </c>
      <c r="B387" t="s">
        <v>13</v>
      </c>
      <c r="C387">
        <v>48</v>
      </c>
      <c r="D387">
        <v>34</v>
      </c>
      <c r="E387" s="1">
        <f t="shared" si="31"/>
        <v>0.58536585365853655</v>
      </c>
      <c r="F387" s="2">
        <v>113.8</v>
      </c>
      <c r="G387" s="2">
        <v>110.5</v>
      </c>
      <c r="H387" s="2">
        <f t="shared" si="32"/>
        <v>3.2999999999999972</v>
      </c>
      <c r="I387" s="1">
        <f t="shared" si="33"/>
        <v>0.60156207363677106</v>
      </c>
      <c r="J387" s="2">
        <v>114.2</v>
      </c>
      <c r="K387" s="2">
        <v>111</v>
      </c>
      <c r="L387" s="2">
        <f t="shared" si="34"/>
        <v>3.2000000000000028</v>
      </c>
      <c r="M387" s="1">
        <f t="shared" si="35"/>
        <v>-1.6196219978234505E-2</v>
      </c>
      <c r="N387" s="2">
        <v>111</v>
      </c>
      <c r="O387" s="2">
        <v>110.3</v>
      </c>
      <c r="P387" s="2">
        <f t="shared" si="36"/>
        <v>0.70000000000000284</v>
      </c>
      <c r="Q387">
        <v>0.8</v>
      </c>
    </row>
    <row r="388" spans="1:17">
      <c r="A388" t="s">
        <v>61</v>
      </c>
      <c r="B388" t="s">
        <v>5</v>
      </c>
      <c r="C388">
        <v>41</v>
      </c>
      <c r="D388">
        <v>31</v>
      </c>
      <c r="E388" s="1">
        <f t="shared" si="31"/>
        <v>0.56944444444444442</v>
      </c>
      <c r="F388" s="2">
        <v>113.7</v>
      </c>
      <c r="G388" s="2">
        <v>111.4</v>
      </c>
      <c r="H388" s="2">
        <f t="shared" si="32"/>
        <v>2.2999999999999972</v>
      </c>
      <c r="I388" s="1">
        <f t="shared" si="33"/>
        <v>0.57104231246361747</v>
      </c>
      <c r="J388" s="2">
        <v>114.3</v>
      </c>
      <c r="K388" s="2">
        <v>112.1</v>
      </c>
      <c r="L388" s="2">
        <f t="shared" si="34"/>
        <v>2.2000000000000028</v>
      </c>
      <c r="M388" s="1">
        <f t="shared" si="35"/>
        <v>-1.5978680191730543E-3</v>
      </c>
      <c r="N388" s="2">
        <v>113.7</v>
      </c>
      <c r="O388" s="2">
        <v>113.1</v>
      </c>
      <c r="P388" s="2">
        <f t="shared" si="36"/>
        <v>0.60000000000000853</v>
      </c>
      <c r="Q388">
        <v>0.7</v>
      </c>
    </row>
    <row r="389" spans="1:17">
      <c r="A389" t="s">
        <v>58</v>
      </c>
      <c r="B389" t="s">
        <v>30</v>
      </c>
      <c r="C389">
        <v>59</v>
      </c>
      <c r="D389">
        <v>23</v>
      </c>
      <c r="E389" s="1">
        <f t="shared" si="31"/>
        <v>0.71951219512195119</v>
      </c>
      <c r="F389" s="2">
        <v>111.7</v>
      </c>
      <c r="G389" s="2">
        <v>103.9</v>
      </c>
      <c r="H389" s="2">
        <f t="shared" si="32"/>
        <v>7.7999999999999972</v>
      </c>
      <c r="I389" s="1">
        <f t="shared" si="33"/>
        <v>0.73369073451534572</v>
      </c>
      <c r="J389" s="2">
        <v>113</v>
      </c>
      <c r="K389" s="2">
        <v>105.3</v>
      </c>
      <c r="L389" s="2">
        <f t="shared" si="34"/>
        <v>7.7000000000000028</v>
      </c>
      <c r="M389" s="1">
        <f t="shared" si="35"/>
        <v>-1.4178539393394529E-2</v>
      </c>
      <c r="N389" s="2">
        <v>103.1</v>
      </c>
      <c r="O389" s="2">
        <v>102.6</v>
      </c>
      <c r="P389" s="2">
        <f t="shared" si="36"/>
        <v>0.5</v>
      </c>
      <c r="Q389">
        <v>1.9</v>
      </c>
    </row>
    <row r="390" spans="1:17">
      <c r="A390" t="s">
        <v>41</v>
      </c>
      <c r="B390" t="s">
        <v>25</v>
      </c>
      <c r="C390">
        <v>54</v>
      </c>
      <c r="D390">
        <v>28</v>
      </c>
      <c r="E390" s="1">
        <f t="shared" si="31"/>
        <v>0.65853658536585369</v>
      </c>
      <c r="F390" s="2">
        <v>108.4</v>
      </c>
      <c r="G390" s="2">
        <v>102.8</v>
      </c>
      <c r="H390" s="2">
        <f t="shared" si="32"/>
        <v>5.6000000000000085</v>
      </c>
      <c r="I390" s="1">
        <f t="shared" si="33"/>
        <v>0.67756377223855135</v>
      </c>
      <c r="J390" s="2">
        <v>110.2</v>
      </c>
      <c r="K390" s="2">
        <v>104.7</v>
      </c>
      <c r="L390" s="2">
        <f t="shared" si="34"/>
        <v>5.5</v>
      </c>
      <c r="M390" s="1">
        <f t="shared" si="35"/>
        <v>-1.9027186872697666E-2</v>
      </c>
      <c r="N390" s="2">
        <v>105.4</v>
      </c>
      <c r="O390" s="2">
        <v>104.9</v>
      </c>
      <c r="P390" s="2">
        <f t="shared" si="36"/>
        <v>0.5</v>
      </c>
      <c r="Q390">
        <v>0.5</v>
      </c>
    </row>
    <row r="391" spans="1:17">
      <c r="A391" t="s">
        <v>39</v>
      </c>
      <c r="B391" t="s">
        <v>27</v>
      </c>
      <c r="C391">
        <v>50</v>
      </c>
      <c r="D391">
        <v>32</v>
      </c>
      <c r="E391" s="1">
        <f t="shared" si="31"/>
        <v>0.6097560975609756</v>
      </c>
      <c r="F391" s="2">
        <v>103.7</v>
      </c>
      <c r="G391" s="2">
        <v>101.6</v>
      </c>
      <c r="H391" s="2">
        <f t="shared" si="32"/>
        <v>2.1000000000000085</v>
      </c>
      <c r="I391" s="1">
        <f t="shared" si="33"/>
        <v>0.57111949434189069</v>
      </c>
      <c r="J391" s="2">
        <v>108.8</v>
      </c>
      <c r="K391" s="2">
        <v>106.5</v>
      </c>
      <c r="L391" s="2">
        <f t="shared" si="34"/>
        <v>2.2999999999999972</v>
      </c>
      <c r="M391" s="1">
        <f t="shared" si="35"/>
        <v>3.8636603219084908E-2</v>
      </c>
      <c r="N391" s="2">
        <v>105.2</v>
      </c>
      <c r="O391" s="2">
        <v>104.8</v>
      </c>
      <c r="P391" s="2">
        <f t="shared" si="36"/>
        <v>0.40000000000000568</v>
      </c>
      <c r="Q391">
        <v>0</v>
      </c>
    </row>
    <row r="392" spans="1:17">
      <c r="A392" t="s">
        <v>41</v>
      </c>
      <c r="B392" t="s">
        <v>11</v>
      </c>
      <c r="C392">
        <v>44</v>
      </c>
      <c r="D392">
        <v>38</v>
      </c>
      <c r="E392" s="1">
        <f t="shared" si="31"/>
        <v>0.53658536585365857</v>
      </c>
      <c r="F392" s="2">
        <v>100.3</v>
      </c>
      <c r="G392" s="2">
        <v>100.1</v>
      </c>
      <c r="H392" s="2">
        <f t="shared" si="32"/>
        <v>0.20000000000000284</v>
      </c>
      <c r="I392" s="1">
        <f t="shared" si="33"/>
        <v>0.50698557569827274</v>
      </c>
      <c r="J392" s="2">
        <v>104.4</v>
      </c>
      <c r="K392" s="2">
        <v>104.1</v>
      </c>
      <c r="L392" s="2">
        <f t="shared" si="34"/>
        <v>0.30000000000001137</v>
      </c>
      <c r="M392" s="1">
        <f t="shared" si="35"/>
        <v>2.959979015538583E-2</v>
      </c>
      <c r="N392" s="2">
        <v>102.1</v>
      </c>
      <c r="O392" s="2">
        <v>101.8</v>
      </c>
      <c r="P392" s="2">
        <f t="shared" si="36"/>
        <v>0.29999999999999716</v>
      </c>
      <c r="Q392">
        <v>0.1</v>
      </c>
    </row>
    <row r="393" spans="1:17">
      <c r="A393" t="s">
        <v>48</v>
      </c>
      <c r="B393" t="s">
        <v>25</v>
      </c>
      <c r="C393">
        <v>40</v>
      </c>
      <c r="D393">
        <v>42</v>
      </c>
      <c r="E393" s="1">
        <f t="shared" ref="E393:E456" si="37">+C393/(C393+D393)</f>
        <v>0.48780487804878048</v>
      </c>
      <c r="F393" s="2">
        <v>105</v>
      </c>
      <c r="G393" s="2">
        <v>105.9</v>
      </c>
      <c r="H393" s="2">
        <f t="shared" ref="H393:H456" si="38">+F393-G393</f>
        <v>-0.90000000000000568</v>
      </c>
      <c r="I393" s="1">
        <f t="shared" ref="I393:I456" si="39">+(F393^14)/((F393^14+G393^14))</f>
        <v>0.47016333248324643</v>
      </c>
      <c r="J393" s="2">
        <v>108.6</v>
      </c>
      <c r="K393" s="2">
        <v>109.4</v>
      </c>
      <c r="L393" s="2">
        <f t="shared" ref="L393:L456" si="40">+J393-K393</f>
        <v>-0.80000000000001137</v>
      </c>
      <c r="M393" s="1">
        <f t="shared" ref="M393:M456" si="41">+E393-I393</f>
        <v>1.7641545565534045E-2</v>
      </c>
      <c r="N393" s="2">
        <v>106.3</v>
      </c>
      <c r="O393" s="2">
        <v>106</v>
      </c>
      <c r="P393" s="2">
        <f t="shared" ref="P393:P456" si="42">+N393-O393</f>
        <v>0.29999999999999716</v>
      </c>
      <c r="Q393">
        <v>-0.1</v>
      </c>
    </row>
    <row r="394" spans="1:17">
      <c r="A394" t="s">
        <v>64</v>
      </c>
      <c r="B394" t="s">
        <v>15</v>
      </c>
      <c r="C394">
        <v>46</v>
      </c>
      <c r="D394">
        <v>35</v>
      </c>
      <c r="E394" s="1">
        <f t="shared" si="37"/>
        <v>0.5679012345679012</v>
      </c>
      <c r="F394" s="2">
        <v>123.2</v>
      </c>
      <c r="G394" s="2">
        <v>120.3</v>
      </c>
      <c r="H394" s="2">
        <f t="shared" si="38"/>
        <v>2.9000000000000057</v>
      </c>
      <c r="I394" s="1">
        <f t="shared" si="39"/>
        <v>0.5826073302631597</v>
      </c>
      <c r="J394" s="2">
        <v>120.5</v>
      </c>
      <c r="K394" s="2">
        <v>117.6</v>
      </c>
      <c r="L394" s="2">
        <f t="shared" si="40"/>
        <v>2.9000000000000057</v>
      </c>
      <c r="M394" s="1">
        <f t="shared" si="41"/>
        <v>-1.4706095695258492E-2</v>
      </c>
      <c r="N394" s="2">
        <v>117.2</v>
      </c>
      <c r="O394" s="2">
        <v>116.9</v>
      </c>
      <c r="P394" s="2">
        <f t="shared" si="42"/>
        <v>0.29999999999999716</v>
      </c>
      <c r="Q394">
        <v>0.7</v>
      </c>
    </row>
    <row r="395" spans="1:17">
      <c r="A395" t="s">
        <v>64</v>
      </c>
      <c r="B395" t="s">
        <v>13</v>
      </c>
      <c r="C395">
        <v>46</v>
      </c>
      <c r="D395">
        <v>36</v>
      </c>
      <c r="E395" s="1">
        <f t="shared" si="37"/>
        <v>0.56097560975609762</v>
      </c>
      <c r="F395" s="2">
        <v>117.8</v>
      </c>
      <c r="G395" s="2">
        <v>115.2</v>
      </c>
      <c r="H395" s="2">
        <f t="shared" si="38"/>
        <v>2.5999999999999943</v>
      </c>
      <c r="I395" s="1">
        <f t="shared" si="39"/>
        <v>0.57748543979619871</v>
      </c>
      <c r="J395" s="2">
        <v>116.9</v>
      </c>
      <c r="K395" s="2">
        <v>114.5</v>
      </c>
      <c r="L395" s="2">
        <f t="shared" si="40"/>
        <v>2.4000000000000057</v>
      </c>
      <c r="M395" s="1">
        <f t="shared" si="41"/>
        <v>-1.6509830040101092E-2</v>
      </c>
      <c r="N395" s="2">
        <v>116.2</v>
      </c>
      <c r="O395" s="2">
        <v>115.9</v>
      </c>
      <c r="P395" s="2">
        <f t="shared" si="42"/>
        <v>0.29999999999999716</v>
      </c>
      <c r="Q395">
        <v>-0.5</v>
      </c>
    </row>
    <row r="396" spans="1:17">
      <c r="A396" t="s">
        <v>66</v>
      </c>
      <c r="B396" t="s">
        <v>30</v>
      </c>
      <c r="C396">
        <v>35</v>
      </c>
      <c r="D396">
        <v>27</v>
      </c>
      <c r="E396" s="1">
        <f t="shared" si="37"/>
        <v>0.56451612903225812</v>
      </c>
      <c r="F396" s="2">
        <v>113.5</v>
      </c>
      <c r="G396" s="2">
        <v>112</v>
      </c>
      <c r="H396" s="2">
        <f t="shared" si="38"/>
        <v>1.5</v>
      </c>
      <c r="I396" s="1">
        <f t="shared" si="39"/>
        <v>0.54642973229059522</v>
      </c>
      <c r="J396" s="2">
        <v>113.7</v>
      </c>
      <c r="K396" s="2">
        <v>112.2</v>
      </c>
      <c r="L396" s="2">
        <f t="shared" si="40"/>
        <v>1.5</v>
      </c>
      <c r="M396" s="1">
        <f t="shared" si="41"/>
        <v>1.8086396741662902E-2</v>
      </c>
      <c r="N396" s="2">
        <v>104.3</v>
      </c>
      <c r="O396" s="2">
        <v>104.1</v>
      </c>
      <c r="P396" s="2">
        <f t="shared" si="42"/>
        <v>0.20000000000000284</v>
      </c>
      <c r="Q396" s="2">
        <v>-0.5</v>
      </c>
    </row>
    <row r="397" spans="1:17">
      <c r="A397" t="s">
        <v>48</v>
      </c>
      <c r="B397" t="s">
        <v>6</v>
      </c>
      <c r="C397">
        <v>56</v>
      </c>
      <c r="D397">
        <v>26</v>
      </c>
      <c r="E397" s="1">
        <f t="shared" si="37"/>
        <v>0.68292682926829273</v>
      </c>
      <c r="F397" s="2">
        <v>96.5</v>
      </c>
      <c r="G397" s="2">
        <v>91.1</v>
      </c>
      <c r="H397" s="2">
        <f t="shared" si="38"/>
        <v>5.4000000000000057</v>
      </c>
      <c r="I397" s="1">
        <f t="shared" si="39"/>
        <v>0.69129763241570297</v>
      </c>
      <c r="J397" s="2">
        <v>105.5</v>
      </c>
      <c r="K397" s="2">
        <v>99.8</v>
      </c>
      <c r="L397" s="2">
        <f t="shared" si="40"/>
        <v>5.7000000000000028</v>
      </c>
      <c r="M397" s="1">
        <f t="shared" si="41"/>
        <v>-8.3708031474102329E-3</v>
      </c>
      <c r="N397" s="2">
        <v>98.7</v>
      </c>
      <c r="O397" s="2">
        <v>98.6</v>
      </c>
      <c r="P397" s="2">
        <f t="shared" si="42"/>
        <v>0.10000000000000853</v>
      </c>
      <c r="Q397">
        <v>0.5</v>
      </c>
    </row>
    <row r="398" spans="1:17">
      <c r="A398" t="s">
        <v>38</v>
      </c>
      <c r="B398" t="s">
        <v>14</v>
      </c>
      <c r="C398">
        <v>45</v>
      </c>
      <c r="D398">
        <v>37</v>
      </c>
      <c r="E398" s="1">
        <f t="shared" si="37"/>
        <v>0.54878048780487809</v>
      </c>
      <c r="F398" s="2">
        <v>89.8</v>
      </c>
      <c r="G398" s="2">
        <v>88</v>
      </c>
      <c r="H398" s="2">
        <f t="shared" si="38"/>
        <v>1.7999999999999972</v>
      </c>
      <c r="I398" s="1">
        <f t="shared" si="39"/>
        <v>0.5703977764006517</v>
      </c>
      <c r="J398" s="2">
        <v>99.7</v>
      </c>
      <c r="K398" s="2">
        <v>97.8</v>
      </c>
      <c r="L398" s="2">
        <f t="shared" si="40"/>
        <v>1.9000000000000057</v>
      </c>
      <c r="M398" s="1">
        <f t="shared" si="41"/>
        <v>-2.1617288595773609E-2</v>
      </c>
      <c r="N398" s="2">
        <v>105.8</v>
      </c>
      <c r="O398" s="2">
        <v>105.7</v>
      </c>
      <c r="P398" s="2">
        <f t="shared" si="42"/>
        <v>9.9999999999994316E-2</v>
      </c>
      <c r="Q398">
        <v>-0.1</v>
      </c>
    </row>
    <row r="399" spans="1:17">
      <c r="A399" t="s">
        <v>38</v>
      </c>
      <c r="B399" t="s">
        <v>21</v>
      </c>
      <c r="C399">
        <v>47</v>
      </c>
      <c r="D399">
        <v>35</v>
      </c>
      <c r="E399" s="1">
        <f t="shared" si="37"/>
        <v>0.57317073170731703</v>
      </c>
      <c r="F399" s="2">
        <v>90.3</v>
      </c>
      <c r="G399" s="2">
        <v>87.8</v>
      </c>
      <c r="H399" s="2">
        <f t="shared" si="38"/>
        <v>2.5</v>
      </c>
      <c r="I399" s="1">
        <f t="shared" si="39"/>
        <v>0.59701994134505132</v>
      </c>
      <c r="J399" s="2">
        <v>99</v>
      </c>
      <c r="K399" s="2">
        <v>96.4</v>
      </c>
      <c r="L399" s="2">
        <f t="shared" si="40"/>
        <v>2.5999999999999943</v>
      </c>
      <c r="M399" s="1">
        <f t="shared" si="41"/>
        <v>-2.3849209637734292E-2</v>
      </c>
      <c r="N399" s="2">
        <v>96</v>
      </c>
      <c r="O399" s="2">
        <v>95.9</v>
      </c>
      <c r="P399" s="2">
        <f t="shared" si="42"/>
        <v>9.9999999999994316E-2</v>
      </c>
      <c r="Q399">
        <v>0.3</v>
      </c>
    </row>
    <row r="400" spans="1:17">
      <c r="A400" t="s">
        <v>48</v>
      </c>
      <c r="B400" t="s">
        <v>23</v>
      </c>
      <c r="C400">
        <v>52</v>
      </c>
      <c r="D400">
        <v>30</v>
      </c>
      <c r="E400" s="1">
        <f t="shared" si="37"/>
        <v>0.63414634146341464</v>
      </c>
      <c r="F400" s="2">
        <v>99.2</v>
      </c>
      <c r="G400" s="2">
        <v>93.7</v>
      </c>
      <c r="H400" s="2">
        <f t="shared" si="38"/>
        <v>5.5</v>
      </c>
      <c r="I400" s="1">
        <f t="shared" si="39"/>
        <v>0.68966584270274334</v>
      </c>
      <c r="J400" s="2">
        <v>107.4</v>
      </c>
      <c r="K400" s="2">
        <v>101.8</v>
      </c>
      <c r="L400" s="2">
        <f t="shared" si="40"/>
        <v>5.6000000000000085</v>
      </c>
      <c r="M400" s="1">
        <f t="shared" si="41"/>
        <v>-5.5519501239328695E-2</v>
      </c>
      <c r="N400" s="2">
        <v>107.1</v>
      </c>
      <c r="O400" s="2">
        <v>107</v>
      </c>
      <c r="P400" s="2">
        <f t="shared" si="42"/>
        <v>9.9999999999994316E-2</v>
      </c>
      <c r="Q400">
        <v>1.2</v>
      </c>
    </row>
    <row r="401" spans="1:17">
      <c r="A401" t="s">
        <v>65</v>
      </c>
      <c r="B401" t="s">
        <v>14</v>
      </c>
      <c r="C401">
        <v>52</v>
      </c>
      <c r="D401">
        <v>29</v>
      </c>
      <c r="E401" s="1">
        <f t="shared" si="37"/>
        <v>0.64197530864197527</v>
      </c>
      <c r="F401" s="2">
        <v>114.5</v>
      </c>
      <c r="G401" s="2">
        <v>109.8</v>
      </c>
      <c r="H401" s="2">
        <f t="shared" si="38"/>
        <v>4.7000000000000028</v>
      </c>
      <c r="I401" s="1">
        <f t="shared" si="39"/>
        <v>0.64263060711327835</v>
      </c>
      <c r="J401" s="2">
        <v>115.1</v>
      </c>
      <c r="K401" s="2">
        <v>110.2</v>
      </c>
      <c r="L401" s="2">
        <f t="shared" si="40"/>
        <v>4.8999999999999915</v>
      </c>
      <c r="M401" s="1">
        <f t="shared" si="41"/>
        <v>-6.552984713030785E-4</v>
      </c>
      <c r="N401" s="2">
        <v>107.1</v>
      </c>
      <c r="O401" s="2">
        <v>107.1</v>
      </c>
      <c r="P401" s="2">
        <f t="shared" si="42"/>
        <v>0</v>
      </c>
      <c r="Q401">
        <v>-0.5</v>
      </c>
    </row>
    <row r="402" spans="1:17">
      <c r="A402" t="s">
        <v>54</v>
      </c>
      <c r="B402" t="s">
        <v>23</v>
      </c>
      <c r="C402">
        <v>25</v>
      </c>
      <c r="D402">
        <v>57</v>
      </c>
      <c r="E402" s="1">
        <f t="shared" si="37"/>
        <v>0.3048780487804878</v>
      </c>
      <c r="F402" s="2">
        <v>95.7</v>
      </c>
      <c r="G402" s="2">
        <v>101.4</v>
      </c>
      <c r="H402" s="2">
        <f t="shared" si="38"/>
        <v>-5.7000000000000028</v>
      </c>
      <c r="I402" s="1">
        <f t="shared" si="39"/>
        <v>0.3078975070073538</v>
      </c>
      <c r="J402" s="2">
        <v>101</v>
      </c>
      <c r="K402" s="2">
        <v>106.8</v>
      </c>
      <c r="L402" s="2">
        <f t="shared" si="40"/>
        <v>-5.7999999999999972</v>
      </c>
      <c r="M402" s="1">
        <f t="shared" si="41"/>
        <v>-3.0194582268660008E-3</v>
      </c>
      <c r="N402" s="2">
        <v>100</v>
      </c>
      <c r="O402" s="2">
        <v>100</v>
      </c>
      <c r="P402" s="2">
        <f t="shared" si="42"/>
        <v>0</v>
      </c>
      <c r="Q402">
        <v>-0.5</v>
      </c>
    </row>
    <row r="403" spans="1:17">
      <c r="A403" t="s">
        <v>65</v>
      </c>
      <c r="B403" t="s">
        <v>56</v>
      </c>
      <c r="C403">
        <v>50</v>
      </c>
      <c r="D403">
        <v>32</v>
      </c>
      <c r="E403" s="1">
        <f t="shared" si="37"/>
        <v>0.6097560975609756</v>
      </c>
      <c r="F403" s="2">
        <v>112.9</v>
      </c>
      <c r="G403" s="2">
        <v>108.2</v>
      </c>
      <c r="H403" s="2">
        <f t="shared" si="38"/>
        <v>4.7000000000000028</v>
      </c>
      <c r="I403" s="1">
        <f t="shared" si="39"/>
        <v>0.64457924701771829</v>
      </c>
      <c r="J403" s="2">
        <v>114.3</v>
      </c>
      <c r="K403" s="2">
        <v>109.4</v>
      </c>
      <c r="L403" s="2">
        <f t="shared" si="40"/>
        <v>4.8999999999999915</v>
      </c>
      <c r="M403" s="1">
        <f t="shared" si="41"/>
        <v>-3.4823149456742697E-2</v>
      </c>
      <c r="N403" s="2">
        <v>105.9</v>
      </c>
      <c r="O403" s="2">
        <v>106</v>
      </c>
      <c r="P403" s="2">
        <f t="shared" si="42"/>
        <v>-9.9999999999994316E-2</v>
      </c>
      <c r="Q403">
        <v>1</v>
      </c>
    </row>
    <row r="404" spans="1:17">
      <c r="A404" t="s">
        <v>44</v>
      </c>
      <c r="B404" t="s">
        <v>29</v>
      </c>
      <c r="C404">
        <v>20</v>
      </c>
      <c r="D404">
        <v>62</v>
      </c>
      <c r="E404" s="1">
        <f t="shared" si="37"/>
        <v>0.24390243902439024</v>
      </c>
      <c r="F404" s="2">
        <v>97.5</v>
      </c>
      <c r="G404" s="2">
        <v>106.3</v>
      </c>
      <c r="H404" s="2">
        <f t="shared" si="38"/>
        <v>-8.7999999999999972</v>
      </c>
      <c r="I404" s="1">
        <f t="shared" si="39"/>
        <v>0.22973985536315381</v>
      </c>
      <c r="J404" s="2">
        <v>99.6</v>
      </c>
      <c r="K404" s="2">
        <v>108.3</v>
      </c>
      <c r="L404" s="2">
        <f t="shared" si="40"/>
        <v>-8.7000000000000028</v>
      </c>
      <c r="M404" s="1">
        <f t="shared" si="41"/>
        <v>1.4162583661236433E-2</v>
      </c>
      <c r="N404" s="2">
        <v>105.6</v>
      </c>
      <c r="O404" s="2">
        <v>105.8</v>
      </c>
      <c r="P404" s="2">
        <f t="shared" si="42"/>
        <v>-0.20000000000000284</v>
      </c>
      <c r="Q404">
        <v>-2.6</v>
      </c>
    </row>
    <row r="405" spans="1:17">
      <c r="A405" t="s">
        <v>63</v>
      </c>
      <c r="B405" t="s">
        <v>20</v>
      </c>
      <c r="C405">
        <v>42</v>
      </c>
      <c r="D405">
        <v>40</v>
      </c>
      <c r="E405" s="1">
        <f t="shared" si="37"/>
        <v>0.51219512195121952</v>
      </c>
      <c r="F405" s="2">
        <v>115.8</v>
      </c>
      <c r="G405" s="2">
        <v>115.8</v>
      </c>
      <c r="H405" s="2">
        <f t="shared" si="38"/>
        <v>0</v>
      </c>
      <c r="I405" s="1">
        <f t="shared" si="39"/>
        <v>0.5</v>
      </c>
      <c r="J405" s="2">
        <v>113.3</v>
      </c>
      <c r="K405" s="2">
        <v>113.1</v>
      </c>
      <c r="L405" s="2">
        <f t="shared" si="40"/>
        <v>0.20000000000000284</v>
      </c>
      <c r="M405" s="1">
        <f t="shared" si="41"/>
        <v>1.2195121951219523E-2</v>
      </c>
      <c r="N405" s="2">
        <v>100.3</v>
      </c>
      <c r="O405" s="2">
        <v>100.5</v>
      </c>
      <c r="P405" s="2">
        <f t="shared" si="42"/>
        <v>-0.20000000000000284</v>
      </c>
      <c r="Q405">
        <v>-0.2</v>
      </c>
    </row>
    <row r="406" spans="1:17">
      <c r="A406" t="s">
        <v>50</v>
      </c>
      <c r="B406" t="s">
        <v>16</v>
      </c>
      <c r="C406">
        <v>56</v>
      </c>
      <c r="D406">
        <v>26</v>
      </c>
      <c r="E406" s="1">
        <f t="shared" si="37"/>
        <v>0.68292682926829273</v>
      </c>
      <c r="F406" s="2">
        <v>101.1</v>
      </c>
      <c r="G406" s="2">
        <v>94.6</v>
      </c>
      <c r="H406" s="2">
        <f t="shared" si="38"/>
        <v>6.5</v>
      </c>
      <c r="I406" s="1">
        <f t="shared" si="39"/>
        <v>0.71714367068078333</v>
      </c>
      <c r="J406" s="2">
        <v>109.8</v>
      </c>
      <c r="K406" s="2">
        <v>102.8</v>
      </c>
      <c r="L406" s="2">
        <f t="shared" si="40"/>
        <v>7</v>
      </c>
      <c r="M406" s="1">
        <f t="shared" si="41"/>
        <v>-3.4216841412490595E-2</v>
      </c>
      <c r="N406" s="2">
        <v>114.7</v>
      </c>
      <c r="O406" s="2">
        <v>114.9</v>
      </c>
      <c r="P406" s="2">
        <f t="shared" si="42"/>
        <v>-0.20000000000000284</v>
      </c>
      <c r="Q406">
        <v>2.2000000000000002</v>
      </c>
    </row>
    <row r="407" spans="1:17">
      <c r="A407" t="s">
        <v>43</v>
      </c>
      <c r="B407" t="s">
        <v>6</v>
      </c>
      <c r="C407">
        <v>24</v>
      </c>
      <c r="D407">
        <v>58</v>
      </c>
      <c r="E407" s="1">
        <f t="shared" si="37"/>
        <v>0.29268292682926828</v>
      </c>
      <c r="F407" s="2">
        <v>95.8</v>
      </c>
      <c r="G407" s="2">
        <v>99.2</v>
      </c>
      <c r="H407" s="2">
        <f t="shared" si="38"/>
        <v>-3.4000000000000057</v>
      </c>
      <c r="I407" s="1">
        <f t="shared" si="39"/>
        <v>0.38030482295206253</v>
      </c>
      <c r="J407" s="2">
        <v>102.3</v>
      </c>
      <c r="K407" s="2">
        <v>105.8</v>
      </c>
      <c r="L407" s="2">
        <f t="shared" si="40"/>
        <v>-3.5</v>
      </c>
      <c r="M407" s="1">
        <f t="shared" si="41"/>
        <v>-8.7621896122794252E-2</v>
      </c>
      <c r="N407" s="2">
        <v>98.7</v>
      </c>
      <c r="O407" s="2">
        <v>99</v>
      </c>
      <c r="P407" s="2">
        <f t="shared" si="42"/>
        <v>-0.29999999999999716</v>
      </c>
      <c r="Q407">
        <v>0.1</v>
      </c>
    </row>
    <row r="408" spans="1:17">
      <c r="A408" t="s">
        <v>39</v>
      </c>
      <c r="B408" t="s">
        <v>33</v>
      </c>
      <c r="C408">
        <v>45</v>
      </c>
      <c r="D408">
        <v>37</v>
      </c>
      <c r="E408" s="1">
        <f t="shared" si="37"/>
        <v>0.54878048780487809</v>
      </c>
      <c r="F408" s="2">
        <v>100.5</v>
      </c>
      <c r="G408" s="2">
        <v>100.8</v>
      </c>
      <c r="H408" s="2">
        <f t="shared" si="38"/>
        <v>-0.29999999999999716</v>
      </c>
      <c r="I408" s="1">
        <f t="shared" si="39"/>
        <v>0.48956931504516038</v>
      </c>
      <c r="J408" s="2">
        <v>105.4</v>
      </c>
      <c r="K408" s="2">
        <v>105.9</v>
      </c>
      <c r="L408" s="2">
        <f t="shared" si="40"/>
        <v>-0.5</v>
      </c>
      <c r="M408" s="1">
        <f t="shared" si="41"/>
        <v>5.9211172759717712E-2</v>
      </c>
      <c r="N408" s="2">
        <v>109.6</v>
      </c>
      <c r="O408" s="2">
        <v>109.9</v>
      </c>
      <c r="P408" s="2">
        <f t="shared" si="42"/>
        <v>-0.30000000000001137</v>
      </c>
      <c r="Q408">
        <v>-0.3</v>
      </c>
    </row>
    <row r="409" spans="1:17">
      <c r="A409" t="s">
        <v>34</v>
      </c>
      <c r="B409" t="s">
        <v>21</v>
      </c>
      <c r="C409">
        <v>52</v>
      </c>
      <c r="D409">
        <v>30</v>
      </c>
      <c r="E409" s="1">
        <f t="shared" si="37"/>
        <v>0.63414634146341464</v>
      </c>
      <c r="F409" s="2">
        <v>96.2</v>
      </c>
      <c r="G409" s="2">
        <v>92</v>
      </c>
      <c r="H409" s="2">
        <f t="shared" si="38"/>
        <v>4.2000000000000028</v>
      </c>
      <c r="I409" s="1">
        <f t="shared" si="39"/>
        <v>0.65134826278971358</v>
      </c>
      <c r="J409" s="2">
        <v>102.4</v>
      </c>
      <c r="K409" s="2">
        <v>98.1</v>
      </c>
      <c r="L409" s="2">
        <f t="shared" si="40"/>
        <v>4.3000000000000114</v>
      </c>
      <c r="M409" s="1">
        <f t="shared" si="41"/>
        <v>-1.7201921326298941E-2</v>
      </c>
      <c r="N409" s="2">
        <v>98.1</v>
      </c>
      <c r="O409" s="2">
        <v>98.6</v>
      </c>
      <c r="P409" s="2">
        <f t="shared" si="42"/>
        <v>-0.5</v>
      </c>
      <c r="Q409">
        <v>1</v>
      </c>
    </row>
    <row r="410" spans="1:17">
      <c r="A410" t="s">
        <v>60</v>
      </c>
      <c r="B410" t="s">
        <v>25</v>
      </c>
      <c r="C410">
        <v>34</v>
      </c>
      <c r="D410">
        <v>39</v>
      </c>
      <c r="E410" s="1">
        <f t="shared" si="37"/>
        <v>0.46575342465753422</v>
      </c>
      <c r="F410" s="2">
        <v>113.6</v>
      </c>
      <c r="G410" s="2">
        <v>113.4</v>
      </c>
      <c r="H410" s="2">
        <f t="shared" si="38"/>
        <v>0.19999999999998863</v>
      </c>
      <c r="I410" s="1">
        <f t="shared" si="39"/>
        <v>0.50616708971115398</v>
      </c>
      <c r="J410" s="2">
        <v>111.3</v>
      </c>
      <c r="K410" s="2">
        <v>110.8</v>
      </c>
      <c r="L410" s="2">
        <f t="shared" si="40"/>
        <v>0.5</v>
      </c>
      <c r="M410" s="1">
        <f t="shared" si="41"/>
        <v>-4.0413665053619763E-2</v>
      </c>
      <c r="N410" s="2">
        <v>110.3</v>
      </c>
      <c r="O410" s="2">
        <v>110.8</v>
      </c>
      <c r="P410" s="2">
        <f t="shared" si="42"/>
        <v>-0.5</v>
      </c>
      <c r="Q410">
        <v>-0.7</v>
      </c>
    </row>
    <row r="411" spans="1:17">
      <c r="A411" t="s">
        <v>47</v>
      </c>
      <c r="B411" t="s">
        <v>40</v>
      </c>
      <c r="C411">
        <v>44</v>
      </c>
      <c r="D411">
        <v>38</v>
      </c>
      <c r="E411" s="1">
        <f t="shared" si="37"/>
        <v>0.53658536585365857</v>
      </c>
      <c r="F411" s="2">
        <v>95.3</v>
      </c>
      <c r="G411" s="2">
        <v>93.8</v>
      </c>
      <c r="H411" s="2">
        <f t="shared" si="38"/>
        <v>1.5</v>
      </c>
      <c r="I411" s="1">
        <f t="shared" si="39"/>
        <v>0.55530018627834388</v>
      </c>
      <c r="J411" s="2">
        <v>103.9</v>
      </c>
      <c r="K411" s="2">
        <v>102</v>
      </c>
      <c r="L411" s="2">
        <f t="shared" si="40"/>
        <v>1.9000000000000057</v>
      </c>
      <c r="M411" s="1">
        <f t="shared" si="41"/>
        <v>-1.8714820424685308E-2</v>
      </c>
      <c r="N411" s="2">
        <v>98.2</v>
      </c>
      <c r="O411" s="2">
        <v>98.8</v>
      </c>
      <c r="P411" s="2">
        <f t="shared" si="42"/>
        <v>-0.59999999999999432</v>
      </c>
      <c r="Q411">
        <v>0.2</v>
      </c>
    </row>
    <row r="412" spans="1:17">
      <c r="A412" t="s">
        <v>63</v>
      </c>
      <c r="B412" t="s">
        <v>15</v>
      </c>
      <c r="C412">
        <v>35</v>
      </c>
      <c r="D412">
        <v>47</v>
      </c>
      <c r="E412" s="1">
        <f t="shared" si="37"/>
        <v>0.42682926829268292</v>
      </c>
      <c r="F412" s="2">
        <v>116.3</v>
      </c>
      <c r="G412" s="2">
        <v>119.5</v>
      </c>
      <c r="H412" s="2">
        <f t="shared" si="38"/>
        <v>-3.2000000000000028</v>
      </c>
      <c r="I412" s="1">
        <f t="shared" si="39"/>
        <v>0.40612536169941066</v>
      </c>
      <c r="J412" s="2">
        <v>113.8</v>
      </c>
      <c r="K412" s="2">
        <v>117.1</v>
      </c>
      <c r="L412" s="2">
        <f t="shared" si="40"/>
        <v>-3.2999999999999972</v>
      </c>
      <c r="M412" s="1">
        <f t="shared" si="41"/>
        <v>2.0703906593272259E-2</v>
      </c>
      <c r="N412" s="2">
        <v>110</v>
      </c>
      <c r="O412" s="2">
        <v>110.7</v>
      </c>
      <c r="P412" s="2">
        <f t="shared" si="42"/>
        <v>-0.70000000000000284</v>
      </c>
      <c r="Q412">
        <v>0.7</v>
      </c>
    </row>
    <row r="413" spans="1:17">
      <c r="A413" t="s">
        <v>34</v>
      </c>
      <c r="B413" t="s">
        <v>33</v>
      </c>
      <c r="C413">
        <v>37</v>
      </c>
      <c r="D413">
        <v>45</v>
      </c>
      <c r="E413" s="1">
        <f t="shared" si="37"/>
        <v>0.45121951219512196</v>
      </c>
      <c r="F413" s="2">
        <v>92.8</v>
      </c>
      <c r="G413" s="2">
        <v>94.2</v>
      </c>
      <c r="H413" s="2">
        <f t="shared" si="38"/>
        <v>-1.4000000000000057</v>
      </c>
      <c r="I413" s="1">
        <f t="shared" si="39"/>
        <v>0.4477836824349537</v>
      </c>
      <c r="J413" s="2">
        <v>102.9</v>
      </c>
      <c r="K413" s="2">
        <v>104.5</v>
      </c>
      <c r="L413" s="2">
        <f t="shared" si="40"/>
        <v>-1.5999999999999943</v>
      </c>
      <c r="M413" s="1">
        <f t="shared" si="41"/>
        <v>3.435829760168263E-3</v>
      </c>
      <c r="N413" s="2">
        <v>100.3</v>
      </c>
      <c r="O413" s="2">
        <v>101</v>
      </c>
      <c r="P413" s="2">
        <f t="shared" si="42"/>
        <v>-0.70000000000000284</v>
      </c>
      <c r="Q413">
        <v>-0.4</v>
      </c>
    </row>
    <row r="414" spans="1:17">
      <c r="A414" t="s">
        <v>4</v>
      </c>
      <c r="B414" t="s">
        <v>10</v>
      </c>
      <c r="C414">
        <v>53</v>
      </c>
      <c r="D414">
        <v>29</v>
      </c>
      <c r="E414" s="1">
        <f t="shared" si="37"/>
        <v>0.64634146341463417</v>
      </c>
      <c r="F414" s="2">
        <v>100.5</v>
      </c>
      <c r="G414" s="2">
        <v>96.2</v>
      </c>
      <c r="H414" s="2">
        <f t="shared" si="38"/>
        <v>4.2999999999999972</v>
      </c>
      <c r="I414" s="1">
        <f t="shared" si="39"/>
        <v>0.64844184492485568</v>
      </c>
      <c r="J414" s="2">
        <v>105.6</v>
      </c>
      <c r="K414" s="2">
        <v>101.2</v>
      </c>
      <c r="L414" s="2">
        <f t="shared" si="40"/>
        <v>4.3999999999999915</v>
      </c>
      <c r="M414" s="1">
        <f t="shared" si="41"/>
        <v>-2.1003815102215162E-3</v>
      </c>
      <c r="N414" s="2">
        <v>103.3</v>
      </c>
      <c r="O414" s="2">
        <v>104</v>
      </c>
      <c r="P414" s="2">
        <f t="shared" si="42"/>
        <v>-0.70000000000000284</v>
      </c>
      <c r="Q414">
        <v>1</v>
      </c>
    </row>
    <row r="415" spans="1:17">
      <c r="A415" t="s">
        <v>66</v>
      </c>
      <c r="B415" t="s">
        <v>56</v>
      </c>
      <c r="C415">
        <v>31</v>
      </c>
      <c r="D415">
        <v>32</v>
      </c>
      <c r="E415" s="1">
        <f t="shared" si="37"/>
        <v>0.49206349206349204</v>
      </c>
      <c r="F415" s="2">
        <v>112.6</v>
      </c>
      <c r="G415" s="2">
        <v>112.2</v>
      </c>
      <c r="H415" s="2">
        <f t="shared" si="38"/>
        <v>0.39999999999999147</v>
      </c>
      <c r="I415" s="1">
        <f t="shared" si="39"/>
        <v>0.51245295332770446</v>
      </c>
      <c r="J415" s="2">
        <v>115.6</v>
      </c>
      <c r="K415" s="2">
        <v>115.3</v>
      </c>
      <c r="L415" s="2">
        <f t="shared" si="40"/>
        <v>0.29999999999999716</v>
      </c>
      <c r="M415" s="1">
        <f t="shared" si="41"/>
        <v>-2.0389461264212427E-2</v>
      </c>
      <c r="N415" s="2">
        <v>115.7</v>
      </c>
      <c r="O415" s="2">
        <v>116.4</v>
      </c>
      <c r="P415" s="2">
        <f t="shared" si="42"/>
        <v>-0.70000000000000284</v>
      </c>
      <c r="Q415" s="2">
        <v>-0.7</v>
      </c>
    </row>
    <row r="416" spans="1:17">
      <c r="A416" t="s">
        <v>47</v>
      </c>
      <c r="B416" t="s">
        <v>8</v>
      </c>
      <c r="C416">
        <v>41</v>
      </c>
      <c r="D416">
        <v>41</v>
      </c>
      <c r="E416" s="1">
        <f t="shared" si="37"/>
        <v>0.5</v>
      </c>
      <c r="F416" s="2">
        <v>97.5</v>
      </c>
      <c r="G416" s="2">
        <v>99.1</v>
      </c>
      <c r="H416" s="2">
        <f t="shared" si="38"/>
        <v>-1.5999999999999943</v>
      </c>
      <c r="I416" s="1">
        <f t="shared" si="39"/>
        <v>0.44327553553702231</v>
      </c>
      <c r="J416" s="2">
        <v>102.6</v>
      </c>
      <c r="K416" s="2">
        <v>104.2</v>
      </c>
      <c r="L416" s="2">
        <f t="shared" si="40"/>
        <v>-1.6000000000000085</v>
      </c>
      <c r="M416" s="1">
        <f t="shared" si="41"/>
        <v>5.6724464462977686E-2</v>
      </c>
      <c r="N416" s="2">
        <v>97.2</v>
      </c>
      <c r="O416" s="2">
        <v>98</v>
      </c>
      <c r="P416" s="2">
        <f t="shared" si="42"/>
        <v>-0.79999999999999716</v>
      </c>
      <c r="Q416">
        <v>-0.3</v>
      </c>
    </row>
    <row r="417" spans="1:17">
      <c r="A417" t="s">
        <v>66</v>
      </c>
      <c r="B417" t="s">
        <v>25</v>
      </c>
      <c r="C417">
        <v>36</v>
      </c>
      <c r="D417">
        <v>27</v>
      </c>
      <c r="E417" s="1">
        <f t="shared" si="37"/>
        <v>0.5714285714285714</v>
      </c>
      <c r="F417" s="2">
        <v>112.1</v>
      </c>
      <c r="G417" s="2">
        <v>111.2</v>
      </c>
      <c r="H417" s="2">
        <f t="shared" si="38"/>
        <v>0.89999999999999147</v>
      </c>
      <c r="I417" s="1">
        <f t="shared" si="39"/>
        <v>0.52818341359119181</v>
      </c>
      <c r="J417" s="2">
        <v>113.4</v>
      </c>
      <c r="K417" s="2">
        <v>112.5</v>
      </c>
      <c r="L417" s="2">
        <f t="shared" si="40"/>
        <v>0.90000000000000568</v>
      </c>
      <c r="M417" s="1">
        <f t="shared" si="41"/>
        <v>4.3245157837379589E-2</v>
      </c>
      <c r="N417" s="2">
        <v>113.4</v>
      </c>
      <c r="O417" s="2">
        <v>114.2</v>
      </c>
      <c r="P417" s="2">
        <f t="shared" si="42"/>
        <v>-0.79999999999999716</v>
      </c>
      <c r="Q417" s="2">
        <v>-1.1000000000000001</v>
      </c>
    </row>
    <row r="418" spans="1:17">
      <c r="A418" t="s">
        <v>47</v>
      </c>
      <c r="B418" t="s">
        <v>35</v>
      </c>
      <c r="C418">
        <v>40</v>
      </c>
      <c r="D418">
        <v>42</v>
      </c>
      <c r="E418" s="1">
        <f t="shared" si="37"/>
        <v>0.48780487804878048</v>
      </c>
      <c r="F418" s="2">
        <v>102.5</v>
      </c>
      <c r="G418" s="2">
        <v>104</v>
      </c>
      <c r="H418" s="2">
        <f t="shared" si="38"/>
        <v>-1.5</v>
      </c>
      <c r="I418" s="1">
        <f t="shared" si="39"/>
        <v>0.44932622081798346</v>
      </c>
      <c r="J418" s="2">
        <v>107.5</v>
      </c>
      <c r="K418" s="2">
        <v>109</v>
      </c>
      <c r="L418" s="2">
        <f t="shared" si="40"/>
        <v>-1.5</v>
      </c>
      <c r="M418" s="1">
        <f t="shared" si="41"/>
        <v>3.847865723079702E-2</v>
      </c>
      <c r="N418" s="2">
        <v>98.2</v>
      </c>
      <c r="O418" s="2">
        <v>99</v>
      </c>
      <c r="P418" s="2">
        <f t="shared" si="42"/>
        <v>-0.79999999999999716</v>
      </c>
      <c r="Q418">
        <v>-1.5</v>
      </c>
    </row>
    <row r="419" spans="1:17">
      <c r="A419" t="s">
        <v>54</v>
      </c>
      <c r="B419" t="s">
        <v>6</v>
      </c>
      <c r="C419">
        <v>40</v>
      </c>
      <c r="D419">
        <v>42</v>
      </c>
      <c r="E419" s="1">
        <f t="shared" si="37"/>
        <v>0.48780487804878048</v>
      </c>
      <c r="F419" s="2">
        <v>101.4</v>
      </c>
      <c r="G419" s="2">
        <v>101.2</v>
      </c>
      <c r="H419" s="2">
        <f t="shared" si="38"/>
        <v>0.20000000000000284</v>
      </c>
      <c r="I419" s="1">
        <f t="shared" si="39"/>
        <v>0.50690973014497898</v>
      </c>
      <c r="J419" s="2">
        <v>103.8</v>
      </c>
      <c r="K419" s="2">
        <v>103.5</v>
      </c>
      <c r="L419" s="2">
        <f t="shared" si="40"/>
        <v>0.29999999999999716</v>
      </c>
      <c r="M419" s="1">
        <f t="shared" si="41"/>
        <v>-1.9104852096198499E-2</v>
      </c>
      <c r="N419" s="2">
        <v>103</v>
      </c>
      <c r="O419" s="2">
        <v>103.8</v>
      </c>
      <c r="P419" s="2">
        <f t="shared" si="42"/>
        <v>-0.79999999999999716</v>
      </c>
      <c r="Q419">
        <v>0.9</v>
      </c>
    </row>
    <row r="420" spans="1:17">
      <c r="A420" t="s">
        <v>63</v>
      </c>
      <c r="B420" t="s">
        <v>30</v>
      </c>
      <c r="C420">
        <v>41</v>
      </c>
      <c r="D420">
        <v>41</v>
      </c>
      <c r="E420" s="1">
        <f t="shared" si="37"/>
        <v>0.5</v>
      </c>
      <c r="F420" s="2">
        <v>112.9</v>
      </c>
      <c r="G420" s="2">
        <v>111.4</v>
      </c>
      <c r="H420" s="2">
        <f t="shared" si="38"/>
        <v>1.5</v>
      </c>
      <c r="I420" s="1">
        <f t="shared" si="39"/>
        <v>0.54667669581130873</v>
      </c>
      <c r="J420" s="2">
        <v>114.6</v>
      </c>
      <c r="K420" s="2">
        <v>113.1</v>
      </c>
      <c r="L420" s="2">
        <f t="shared" si="40"/>
        <v>1.5</v>
      </c>
      <c r="M420" s="1">
        <f t="shared" si="41"/>
        <v>-4.6676695811308733E-2</v>
      </c>
      <c r="N420" s="2">
        <v>106.3</v>
      </c>
      <c r="O420" s="2">
        <v>107.1</v>
      </c>
      <c r="P420" s="2">
        <f t="shared" si="42"/>
        <v>-0.79999999999999716</v>
      </c>
      <c r="Q420">
        <v>0.4</v>
      </c>
    </row>
    <row r="421" spans="1:17">
      <c r="A421" t="s">
        <v>52</v>
      </c>
      <c r="B421" t="s">
        <v>25</v>
      </c>
      <c r="C421">
        <v>48</v>
      </c>
      <c r="D421">
        <v>34</v>
      </c>
      <c r="E421" s="1">
        <f t="shared" si="37"/>
        <v>0.58536585365853655</v>
      </c>
      <c r="F421" s="2">
        <v>105.2</v>
      </c>
      <c r="G421" s="2">
        <v>102.6</v>
      </c>
      <c r="H421" s="2">
        <f t="shared" si="38"/>
        <v>2.6000000000000085</v>
      </c>
      <c r="I421" s="1">
        <f t="shared" si="39"/>
        <v>0.58670369823184843</v>
      </c>
      <c r="J421" s="2">
        <v>108.2</v>
      </c>
      <c r="K421" s="2">
        <v>105.6</v>
      </c>
      <c r="L421" s="2">
        <f t="shared" si="40"/>
        <v>2.6000000000000085</v>
      </c>
      <c r="M421" s="1">
        <f t="shared" si="41"/>
        <v>-1.3378445733118749E-3</v>
      </c>
      <c r="N421" s="2">
        <v>96.2</v>
      </c>
      <c r="O421" s="2">
        <v>97.1</v>
      </c>
      <c r="P421" s="2">
        <f t="shared" si="42"/>
        <v>-0.89999999999999147</v>
      </c>
      <c r="Q421">
        <v>0.4</v>
      </c>
    </row>
    <row r="422" spans="1:17">
      <c r="A422" t="s">
        <v>63</v>
      </c>
      <c r="B422" t="s">
        <v>9</v>
      </c>
      <c r="C422">
        <v>51</v>
      </c>
      <c r="D422">
        <v>31</v>
      </c>
      <c r="E422" s="1">
        <f t="shared" si="37"/>
        <v>0.62195121951219512</v>
      </c>
      <c r="F422" s="2">
        <v>112.3</v>
      </c>
      <c r="G422" s="2">
        <v>106.9</v>
      </c>
      <c r="H422" s="2">
        <f t="shared" si="38"/>
        <v>5.3999999999999915</v>
      </c>
      <c r="I422" s="1">
        <f t="shared" si="39"/>
        <v>0.66594926626048301</v>
      </c>
      <c r="J422" s="2">
        <v>115.5</v>
      </c>
      <c r="K422" s="2">
        <v>109.9</v>
      </c>
      <c r="L422" s="2">
        <f t="shared" si="40"/>
        <v>5.5999999999999943</v>
      </c>
      <c r="M422" s="1">
        <f t="shared" si="41"/>
        <v>-4.3998046748287889E-2</v>
      </c>
      <c r="N422" s="2">
        <v>97.9</v>
      </c>
      <c r="O422" s="2">
        <v>98.8</v>
      </c>
      <c r="P422" s="2">
        <f t="shared" si="42"/>
        <v>-0.89999999999999147</v>
      </c>
      <c r="Q422">
        <v>2.2000000000000002</v>
      </c>
    </row>
    <row r="423" spans="1:17">
      <c r="A423" t="s">
        <v>50</v>
      </c>
      <c r="B423" t="s">
        <v>51</v>
      </c>
      <c r="C423">
        <v>49</v>
      </c>
      <c r="D423">
        <v>33</v>
      </c>
      <c r="E423" s="1">
        <f t="shared" si="37"/>
        <v>0.59756097560975607</v>
      </c>
      <c r="F423" s="2">
        <v>96.9</v>
      </c>
      <c r="G423" s="2">
        <v>95.1</v>
      </c>
      <c r="H423" s="2">
        <f t="shared" si="38"/>
        <v>1.8000000000000114</v>
      </c>
      <c r="I423" s="1">
        <f t="shared" si="39"/>
        <v>0.56525263753000543</v>
      </c>
      <c r="J423" s="2">
        <v>106.9</v>
      </c>
      <c r="K423" s="2">
        <v>104.8</v>
      </c>
      <c r="L423" s="2">
        <f t="shared" si="40"/>
        <v>2.1000000000000085</v>
      </c>
      <c r="M423" s="1">
        <f t="shared" si="41"/>
        <v>3.2308338079750643E-2</v>
      </c>
      <c r="N423" s="2">
        <v>98.8</v>
      </c>
      <c r="O423" s="2">
        <v>99.7</v>
      </c>
      <c r="P423" s="2">
        <f t="shared" si="42"/>
        <v>-0.90000000000000568</v>
      </c>
      <c r="Q423">
        <v>0.4</v>
      </c>
    </row>
    <row r="424" spans="1:17">
      <c r="A424" t="s">
        <v>41</v>
      </c>
      <c r="B424" t="s">
        <v>17</v>
      </c>
      <c r="C424">
        <v>45</v>
      </c>
      <c r="D424">
        <v>37</v>
      </c>
      <c r="E424" s="1">
        <f t="shared" si="37"/>
        <v>0.54878048780487809</v>
      </c>
      <c r="F424" s="2">
        <v>99.4</v>
      </c>
      <c r="G424" s="2">
        <v>96.9</v>
      </c>
      <c r="H424" s="2">
        <f t="shared" si="38"/>
        <v>2.5</v>
      </c>
      <c r="I424" s="1">
        <f t="shared" si="39"/>
        <v>0.58822109610228113</v>
      </c>
      <c r="J424" s="2">
        <v>106.8</v>
      </c>
      <c r="K424" s="2">
        <v>104.2</v>
      </c>
      <c r="L424" s="2">
        <f t="shared" si="40"/>
        <v>2.5999999999999943</v>
      </c>
      <c r="M424" s="1">
        <f t="shared" si="41"/>
        <v>-3.9440608297403035E-2</v>
      </c>
      <c r="N424" s="2">
        <v>108.6</v>
      </c>
      <c r="O424" s="2">
        <v>109.5</v>
      </c>
      <c r="P424" s="2">
        <f t="shared" si="42"/>
        <v>-0.90000000000000568</v>
      </c>
      <c r="Q424">
        <v>0.7</v>
      </c>
    </row>
    <row r="425" spans="1:17">
      <c r="A425" t="s">
        <v>58</v>
      </c>
      <c r="B425" t="s">
        <v>7</v>
      </c>
      <c r="C425">
        <v>36</v>
      </c>
      <c r="D425">
        <v>46</v>
      </c>
      <c r="E425" s="1">
        <f t="shared" si="37"/>
        <v>0.43902439024390244</v>
      </c>
      <c r="F425" s="2">
        <v>108.2</v>
      </c>
      <c r="G425" s="2">
        <v>108</v>
      </c>
      <c r="H425" s="2">
        <f t="shared" si="38"/>
        <v>0.20000000000000284</v>
      </c>
      <c r="I425" s="1">
        <f t="shared" si="39"/>
        <v>0.50647512549319473</v>
      </c>
      <c r="J425" s="2">
        <v>109</v>
      </c>
      <c r="K425" s="2">
        <v>109</v>
      </c>
      <c r="L425" s="2">
        <f t="shared" si="40"/>
        <v>0</v>
      </c>
      <c r="M425" s="1">
        <f t="shared" si="41"/>
        <v>-6.7450735249292293E-2</v>
      </c>
      <c r="N425" s="2">
        <v>98.8</v>
      </c>
      <c r="O425" s="2">
        <v>99.7</v>
      </c>
      <c r="P425" s="2">
        <f t="shared" si="42"/>
        <v>-0.90000000000000568</v>
      </c>
      <c r="Q425">
        <v>-0.3</v>
      </c>
    </row>
    <row r="426" spans="1:17">
      <c r="A426" t="s">
        <v>36</v>
      </c>
      <c r="B426" t="s">
        <v>26</v>
      </c>
      <c r="C426">
        <v>50</v>
      </c>
      <c r="D426">
        <v>32</v>
      </c>
      <c r="E426" s="1">
        <f t="shared" si="37"/>
        <v>0.6097560975609756</v>
      </c>
      <c r="F426" s="2">
        <v>95.2</v>
      </c>
      <c r="G426" s="2">
        <v>92.5</v>
      </c>
      <c r="H426" s="2">
        <f t="shared" si="38"/>
        <v>2.7000000000000028</v>
      </c>
      <c r="I426" s="1">
        <f t="shared" si="39"/>
        <v>0.59935976254287349</v>
      </c>
      <c r="J426" s="2">
        <v>104.2</v>
      </c>
      <c r="K426" s="2">
        <v>101.5</v>
      </c>
      <c r="L426" s="2">
        <f t="shared" si="40"/>
        <v>2.7000000000000028</v>
      </c>
      <c r="M426" s="1">
        <f t="shared" si="41"/>
        <v>1.039633501810211E-2</v>
      </c>
      <c r="N426" s="2">
        <v>97.3</v>
      </c>
      <c r="O426" s="2">
        <v>98.3</v>
      </c>
      <c r="P426" s="2">
        <f t="shared" si="42"/>
        <v>-1</v>
      </c>
      <c r="Q426">
        <v>-1</v>
      </c>
    </row>
    <row r="427" spans="1:17">
      <c r="A427" t="s">
        <v>49</v>
      </c>
      <c r="B427" t="s">
        <v>16</v>
      </c>
      <c r="C427">
        <v>40</v>
      </c>
      <c r="D427">
        <v>26</v>
      </c>
      <c r="E427" s="1">
        <f t="shared" si="37"/>
        <v>0.60606060606060608</v>
      </c>
      <c r="F427" s="2">
        <v>97.5</v>
      </c>
      <c r="G427" s="2">
        <v>95</v>
      </c>
      <c r="H427" s="2">
        <f t="shared" si="38"/>
        <v>2.5</v>
      </c>
      <c r="I427" s="1">
        <f t="shared" si="39"/>
        <v>0.58992535543589308</v>
      </c>
      <c r="J427" s="2">
        <v>107.5</v>
      </c>
      <c r="K427" s="2">
        <v>104.8</v>
      </c>
      <c r="L427" s="2">
        <f t="shared" si="40"/>
        <v>2.7000000000000028</v>
      </c>
      <c r="M427" s="1">
        <f t="shared" si="41"/>
        <v>1.6135250624712993E-2</v>
      </c>
      <c r="N427" s="2">
        <v>98.4</v>
      </c>
      <c r="O427" s="2">
        <v>99.5</v>
      </c>
      <c r="P427" s="2">
        <f t="shared" si="42"/>
        <v>-1.0999999999999943</v>
      </c>
      <c r="Q427">
        <v>0.9</v>
      </c>
    </row>
    <row r="428" spans="1:17">
      <c r="A428" t="s">
        <v>43</v>
      </c>
      <c r="B428" t="s">
        <v>17</v>
      </c>
      <c r="C428">
        <v>42</v>
      </c>
      <c r="D428">
        <v>40</v>
      </c>
      <c r="E428" s="1">
        <f t="shared" si="37"/>
        <v>0.51219512195121952</v>
      </c>
      <c r="F428" s="2">
        <v>103.3</v>
      </c>
      <c r="G428" s="2">
        <v>103.4</v>
      </c>
      <c r="H428" s="2">
        <f t="shared" si="38"/>
        <v>-0.10000000000000853</v>
      </c>
      <c r="I428" s="1">
        <f t="shared" si="39"/>
        <v>0.49661350096437384</v>
      </c>
      <c r="J428" s="2">
        <v>107.3</v>
      </c>
      <c r="K428" s="2">
        <v>107.5</v>
      </c>
      <c r="L428" s="2">
        <f t="shared" si="40"/>
        <v>-0.20000000000000284</v>
      </c>
      <c r="M428" s="1">
        <f t="shared" si="41"/>
        <v>1.5581620986845679E-2</v>
      </c>
      <c r="N428" s="2">
        <v>105</v>
      </c>
      <c r="O428" s="2">
        <v>106.1</v>
      </c>
      <c r="P428" s="2">
        <f t="shared" si="42"/>
        <v>-1.0999999999999943</v>
      </c>
      <c r="Q428">
        <v>-0.2</v>
      </c>
    </row>
    <row r="429" spans="1:17">
      <c r="A429" t="s">
        <v>59</v>
      </c>
      <c r="B429" t="s">
        <v>27</v>
      </c>
      <c r="C429">
        <v>39</v>
      </c>
      <c r="D429">
        <v>43</v>
      </c>
      <c r="E429" s="1">
        <f t="shared" si="37"/>
        <v>0.47560975609756095</v>
      </c>
      <c r="F429" s="2">
        <v>114.2</v>
      </c>
      <c r="G429" s="2">
        <v>115.3</v>
      </c>
      <c r="H429" s="2">
        <f t="shared" si="38"/>
        <v>-1.0999999999999943</v>
      </c>
      <c r="I429" s="1">
        <f t="shared" si="39"/>
        <v>0.466498812781387</v>
      </c>
      <c r="J429" s="2">
        <v>109.6</v>
      </c>
      <c r="K429" s="2">
        <v>110.8</v>
      </c>
      <c r="L429" s="2">
        <f t="shared" si="40"/>
        <v>-1.2000000000000028</v>
      </c>
      <c r="M429" s="1">
        <f t="shared" si="41"/>
        <v>9.1109433161739584E-3</v>
      </c>
      <c r="N429" s="2">
        <v>106.1</v>
      </c>
      <c r="O429" s="2">
        <v>107.2</v>
      </c>
      <c r="P429" s="2">
        <f t="shared" si="42"/>
        <v>-1.1000000000000085</v>
      </c>
      <c r="Q429">
        <v>-0.2</v>
      </c>
    </row>
    <row r="430" spans="1:17">
      <c r="A430" t="s">
        <v>48</v>
      </c>
      <c r="B430" t="s">
        <v>16</v>
      </c>
      <c r="C430">
        <v>32</v>
      </c>
      <c r="D430">
        <v>50</v>
      </c>
      <c r="E430" s="1">
        <f t="shared" si="37"/>
        <v>0.3902439024390244</v>
      </c>
      <c r="F430" s="2">
        <v>98.6</v>
      </c>
      <c r="G430" s="2">
        <v>101.8</v>
      </c>
      <c r="H430" s="2">
        <f t="shared" si="38"/>
        <v>-3.2000000000000028</v>
      </c>
      <c r="I430" s="1">
        <f t="shared" si="39"/>
        <v>0.39004006855823664</v>
      </c>
      <c r="J430" s="2">
        <v>104.8</v>
      </c>
      <c r="K430" s="2">
        <v>108</v>
      </c>
      <c r="L430" s="2">
        <f t="shared" si="40"/>
        <v>-3.2000000000000028</v>
      </c>
      <c r="M430" s="1">
        <f t="shared" si="41"/>
        <v>2.0383388078776266E-4</v>
      </c>
      <c r="N430" s="2">
        <v>107.1</v>
      </c>
      <c r="O430" s="2">
        <v>108.2</v>
      </c>
      <c r="P430" s="2">
        <f t="shared" si="42"/>
        <v>-1.1000000000000085</v>
      </c>
      <c r="Q430">
        <v>-1.1000000000000001</v>
      </c>
    </row>
    <row r="431" spans="1:17">
      <c r="A431" t="s">
        <v>63</v>
      </c>
      <c r="B431" t="s">
        <v>10</v>
      </c>
      <c r="C431">
        <v>38</v>
      </c>
      <c r="D431">
        <v>44</v>
      </c>
      <c r="E431" s="1">
        <f t="shared" si="37"/>
        <v>0.46341463414634149</v>
      </c>
      <c r="F431" s="2">
        <v>114.2</v>
      </c>
      <c r="G431" s="2">
        <v>114.1</v>
      </c>
      <c r="H431" s="2">
        <f t="shared" si="38"/>
        <v>0.10000000000000853</v>
      </c>
      <c r="I431" s="1">
        <f t="shared" si="39"/>
        <v>0.50306610280519148</v>
      </c>
      <c r="J431" s="2">
        <v>115.9</v>
      </c>
      <c r="K431" s="2">
        <v>116.1</v>
      </c>
      <c r="L431" s="2">
        <f t="shared" si="40"/>
        <v>-0.19999999999998863</v>
      </c>
      <c r="M431" s="1">
        <f t="shared" si="41"/>
        <v>-3.9651468658849998E-2</v>
      </c>
      <c r="N431" s="2">
        <v>105.1</v>
      </c>
      <c r="O431" s="2">
        <v>106.2</v>
      </c>
      <c r="P431" s="2">
        <f t="shared" si="42"/>
        <v>-1.1000000000000085</v>
      </c>
      <c r="Q431">
        <v>-0.7</v>
      </c>
    </row>
    <row r="432" spans="1:17">
      <c r="A432" t="s">
        <v>50</v>
      </c>
      <c r="B432" t="s">
        <v>10</v>
      </c>
      <c r="C432">
        <v>41</v>
      </c>
      <c r="D432">
        <v>41</v>
      </c>
      <c r="E432" s="1">
        <f t="shared" si="37"/>
        <v>0.5</v>
      </c>
      <c r="F432" s="2">
        <v>101.1</v>
      </c>
      <c r="G432" s="2">
        <v>101.7</v>
      </c>
      <c r="H432" s="2">
        <f t="shared" si="38"/>
        <v>-0.60000000000000853</v>
      </c>
      <c r="I432" s="1">
        <f t="shared" si="39"/>
        <v>0.47930171595662069</v>
      </c>
      <c r="J432" s="2">
        <v>104.7</v>
      </c>
      <c r="K432" s="2">
        <v>105.4</v>
      </c>
      <c r="L432" s="2">
        <f t="shared" si="40"/>
        <v>-0.70000000000000284</v>
      </c>
      <c r="M432" s="1">
        <f t="shared" si="41"/>
        <v>2.0698284043379311E-2</v>
      </c>
      <c r="N432" s="2">
        <v>101</v>
      </c>
      <c r="O432" s="2">
        <v>102.2</v>
      </c>
      <c r="P432" s="2">
        <f t="shared" si="42"/>
        <v>-1.2000000000000028</v>
      </c>
      <c r="Q432">
        <v>-0.3</v>
      </c>
    </row>
    <row r="433" spans="1:17">
      <c r="A433" t="s">
        <v>57</v>
      </c>
      <c r="B433" t="s">
        <v>15</v>
      </c>
      <c r="C433">
        <v>42</v>
      </c>
      <c r="D433">
        <v>40</v>
      </c>
      <c r="E433" s="1">
        <f t="shared" si="37"/>
        <v>0.51219512195121952</v>
      </c>
      <c r="F433" s="2">
        <v>105.1</v>
      </c>
      <c r="G433" s="2">
        <v>105.3</v>
      </c>
      <c r="H433" s="2">
        <f t="shared" si="38"/>
        <v>-0.20000000000000284</v>
      </c>
      <c r="I433" s="1">
        <f t="shared" si="39"/>
        <v>0.49334639838574956</v>
      </c>
      <c r="J433" s="2">
        <v>107.9</v>
      </c>
      <c r="K433" s="2">
        <v>108.1</v>
      </c>
      <c r="L433" s="2">
        <f t="shared" si="40"/>
        <v>-0.19999999999998863</v>
      </c>
      <c r="M433" s="1">
        <f t="shared" si="41"/>
        <v>1.884872356546996E-2</v>
      </c>
      <c r="N433" s="2">
        <v>103.1</v>
      </c>
      <c r="O433" s="2">
        <v>104.3</v>
      </c>
      <c r="P433" s="2">
        <f t="shared" si="42"/>
        <v>-1.2000000000000028</v>
      </c>
      <c r="Q433">
        <v>-0.6</v>
      </c>
    </row>
    <row r="434" spans="1:17">
      <c r="A434" t="s">
        <v>36</v>
      </c>
      <c r="B434" t="s">
        <v>33</v>
      </c>
      <c r="C434">
        <v>37</v>
      </c>
      <c r="D434">
        <v>45</v>
      </c>
      <c r="E434" s="1">
        <f t="shared" si="37"/>
        <v>0.45121951219512196</v>
      </c>
      <c r="F434" s="2">
        <v>91.5</v>
      </c>
      <c r="G434" s="2">
        <v>92.5</v>
      </c>
      <c r="H434" s="2">
        <f t="shared" si="38"/>
        <v>-1</v>
      </c>
      <c r="I434" s="1">
        <f t="shared" si="39"/>
        <v>0.4620293938086929</v>
      </c>
      <c r="J434" s="2">
        <v>101.5</v>
      </c>
      <c r="K434" s="2">
        <v>102.6</v>
      </c>
      <c r="L434" s="2">
        <f t="shared" si="40"/>
        <v>-1.0999999999999943</v>
      </c>
      <c r="M434" s="1">
        <f t="shared" si="41"/>
        <v>-1.0809881613570937E-2</v>
      </c>
      <c r="N434" s="2">
        <v>103.1</v>
      </c>
      <c r="O434" s="2">
        <v>104.3</v>
      </c>
      <c r="P434" s="2">
        <f t="shared" si="42"/>
        <v>-1.2000000000000028</v>
      </c>
      <c r="Q434">
        <v>-0.3</v>
      </c>
    </row>
    <row r="435" spans="1:17">
      <c r="A435" t="s">
        <v>58</v>
      </c>
      <c r="B435" t="s">
        <v>8</v>
      </c>
      <c r="C435">
        <v>27</v>
      </c>
      <c r="D435">
        <v>55</v>
      </c>
      <c r="E435" s="1">
        <f t="shared" si="37"/>
        <v>0.32926829268292684</v>
      </c>
      <c r="F435" s="2">
        <v>102.9</v>
      </c>
      <c r="G435" s="2">
        <v>110</v>
      </c>
      <c r="H435" s="2">
        <f t="shared" si="38"/>
        <v>-7.0999999999999943</v>
      </c>
      <c r="I435" s="1">
        <f t="shared" si="39"/>
        <v>0.28208998434784138</v>
      </c>
      <c r="J435" s="2">
        <v>103.4</v>
      </c>
      <c r="K435" s="2">
        <v>110.5</v>
      </c>
      <c r="L435" s="2">
        <f t="shared" si="40"/>
        <v>-7.0999999999999943</v>
      </c>
      <c r="M435" s="1">
        <f t="shared" si="41"/>
        <v>4.7178308335085462E-2</v>
      </c>
      <c r="N435" s="2">
        <v>98.4</v>
      </c>
      <c r="O435" s="2">
        <v>99.7</v>
      </c>
      <c r="P435" s="2">
        <f t="shared" si="42"/>
        <v>-1.2999999999999972</v>
      </c>
      <c r="Q435">
        <v>-0.5</v>
      </c>
    </row>
    <row r="436" spans="1:17">
      <c r="A436" t="s">
        <v>50</v>
      </c>
      <c r="B436" t="s">
        <v>27</v>
      </c>
      <c r="C436">
        <v>28</v>
      </c>
      <c r="D436">
        <v>54</v>
      </c>
      <c r="E436" s="1">
        <f t="shared" si="37"/>
        <v>0.34146341463414637</v>
      </c>
      <c r="F436" s="2">
        <v>100.2</v>
      </c>
      <c r="G436" s="2">
        <v>105.1</v>
      </c>
      <c r="H436" s="2">
        <f t="shared" si="38"/>
        <v>-4.8999999999999915</v>
      </c>
      <c r="I436" s="1">
        <f t="shared" si="39"/>
        <v>0.33885133571043297</v>
      </c>
      <c r="J436" s="2">
        <v>105.3</v>
      </c>
      <c r="K436" s="2">
        <v>110</v>
      </c>
      <c r="L436" s="2">
        <f t="shared" si="40"/>
        <v>-4.7000000000000028</v>
      </c>
      <c r="M436" s="1">
        <f t="shared" si="41"/>
        <v>2.6120789237134012E-3</v>
      </c>
      <c r="N436" s="2">
        <v>101</v>
      </c>
      <c r="O436" s="2">
        <v>102.3</v>
      </c>
      <c r="P436" s="2">
        <f t="shared" si="42"/>
        <v>-1.2999999999999972</v>
      </c>
      <c r="Q436">
        <v>-0.2</v>
      </c>
    </row>
    <row r="437" spans="1:17">
      <c r="A437" t="s">
        <v>54</v>
      </c>
      <c r="B437" t="s">
        <v>46</v>
      </c>
      <c r="C437">
        <v>45</v>
      </c>
      <c r="D437">
        <v>37</v>
      </c>
      <c r="E437" s="1">
        <f t="shared" si="37"/>
        <v>0.54878048780487809</v>
      </c>
      <c r="F437" s="2">
        <v>104</v>
      </c>
      <c r="G437" s="2">
        <v>101.8</v>
      </c>
      <c r="H437" s="2">
        <f t="shared" si="38"/>
        <v>2.2000000000000028</v>
      </c>
      <c r="I437" s="1">
        <f t="shared" si="39"/>
        <v>0.57427899793021731</v>
      </c>
      <c r="J437" s="2">
        <v>106.7</v>
      </c>
      <c r="K437" s="2">
        <v>104.6</v>
      </c>
      <c r="L437" s="2">
        <f t="shared" si="40"/>
        <v>2.1000000000000085</v>
      </c>
      <c r="M437" s="1">
        <f t="shared" si="41"/>
        <v>-2.5498510125339213E-2</v>
      </c>
      <c r="N437" s="2">
        <v>92.7</v>
      </c>
      <c r="O437" s="2">
        <v>94</v>
      </c>
      <c r="P437" s="2">
        <f t="shared" si="42"/>
        <v>-1.2999999999999972</v>
      </c>
      <c r="Q437">
        <v>-0.5</v>
      </c>
    </row>
    <row r="438" spans="1:17">
      <c r="A438" t="s">
        <v>39</v>
      </c>
      <c r="B438" t="s">
        <v>28</v>
      </c>
      <c r="C438">
        <v>59</v>
      </c>
      <c r="D438">
        <v>23</v>
      </c>
      <c r="E438" s="1">
        <f t="shared" si="37"/>
        <v>0.71951219512195119</v>
      </c>
      <c r="F438" s="2">
        <v>96.2</v>
      </c>
      <c r="G438" s="2">
        <v>88.4</v>
      </c>
      <c r="H438" s="2">
        <f t="shared" si="38"/>
        <v>7.7999999999999972</v>
      </c>
      <c r="I438" s="1">
        <f t="shared" si="39"/>
        <v>0.76563098176040723</v>
      </c>
      <c r="J438" s="2">
        <v>106.1</v>
      </c>
      <c r="K438" s="2">
        <v>97.8</v>
      </c>
      <c r="L438" s="2">
        <f t="shared" si="40"/>
        <v>8.2999999999999972</v>
      </c>
      <c r="M438" s="1">
        <f t="shared" si="41"/>
        <v>-4.6118786638456033E-2</v>
      </c>
      <c r="N438" s="2">
        <v>109.4</v>
      </c>
      <c r="O438" s="2">
        <v>110.8</v>
      </c>
      <c r="P438" s="2">
        <f t="shared" si="42"/>
        <v>-1.3999999999999915</v>
      </c>
      <c r="Q438">
        <v>1.7</v>
      </c>
    </row>
    <row r="439" spans="1:17">
      <c r="A439" t="s">
        <v>60</v>
      </c>
      <c r="B439" t="s">
        <v>5</v>
      </c>
      <c r="C439">
        <v>20</v>
      </c>
      <c r="D439">
        <v>47</v>
      </c>
      <c r="E439" s="1">
        <f t="shared" si="37"/>
        <v>0.29850746268656714</v>
      </c>
      <c r="F439" s="2">
        <v>111.8</v>
      </c>
      <c r="G439" s="2">
        <v>119.7</v>
      </c>
      <c r="H439" s="2">
        <f t="shared" si="38"/>
        <v>-7.9000000000000057</v>
      </c>
      <c r="I439" s="1">
        <f t="shared" si="39"/>
        <v>0.27770410092072012</v>
      </c>
      <c r="J439" s="2">
        <v>107</v>
      </c>
      <c r="K439" s="2">
        <v>114.4</v>
      </c>
      <c r="L439" s="2">
        <f t="shared" si="40"/>
        <v>-7.4000000000000057</v>
      </c>
      <c r="M439" s="1">
        <f t="shared" si="41"/>
        <v>2.0803361765847017E-2</v>
      </c>
      <c r="N439" s="2">
        <v>97.4</v>
      </c>
      <c r="O439" s="2">
        <v>98.9</v>
      </c>
      <c r="P439" s="2">
        <f t="shared" si="42"/>
        <v>-1.5</v>
      </c>
      <c r="Q439">
        <v>-1</v>
      </c>
    </row>
    <row r="440" spans="1:17">
      <c r="A440" t="s">
        <v>64</v>
      </c>
      <c r="B440" t="s">
        <v>7</v>
      </c>
      <c r="C440">
        <v>21</v>
      </c>
      <c r="D440">
        <v>61</v>
      </c>
      <c r="E440" s="1">
        <f t="shared" si="37"/>
        <v>0.25609756097560976</v>
      </c>
      <c r="F440" s="2">
        <v>106.6</v>
      </c>
      <c r="G440" s="2">
        <v>116.8</v>
      </c>
      <c r="H440" s="2">
        <f t="shared" si="38"/>
        <v>-10.200000000000003</v>
      </c>
      <c r="I440" s="1">
        <f t="shared" si="39"/>
        <v>0.21766704901451664</v>
      </c>
      <c r="J440" s="2">
        <v>108.6</v>
      </c>
      <c r="K440" s="2">
        <v>119.2</v>
      </c>
      <c r="L440" s="2">
        <f t="shared" si="40"/>
        <v>-10.600000000000009</v>
      </c>
      <c r="M440" s="1">
        <f t="shared" si="41"/>
        <v>3.8430511961093122E-2</v>
      </c>
      <c r="N440" s="2">
        <v>112</v>
      </c>
      <c r="O440" s="2">
        <v>113.6</v>
      </c>
      <c r="P440" s="2">
        <f t="shared" si="42"/>
        <v>-1.5999999999999943</v>
      </c>
      <c r="Q440">
        <v>-0.3</v>
      </c>
    </row>
    <row r="441" spans="1:17">
      <c r="A441" t="s">
        <v>45</v>
      </c>
      <c r="B441" t="s">
        <v>46</v>
      </c>
      <c r="C441">
        <v>23</v>
      </c>
      <c r="D441">
        <v>59</v>
      </c>
      <c r="E441" s="1">
        <f t="shared" si="37"/>
        <v>0.28048780487804881</v>
      </c>
      <c r="F441" s="2">
        <v>97</v>
      </c>
      <c r="G441" s="2">
        <v>103.1</v>
      </c>
      <c r="H441" s="2">
        <f t="shared" si="38"/>
        <v>-6.0999999999999943</v>
      </c>
      <c r="I441" s="1">
        <f t="shared" si="39"/>
        <v>0.29862841677001067</v>
      </c>
      <c r="J441" s="2">
        <v>101.4</v>
      </c>
      <c r="K441" s="2">
        <v>107.6</v>
      </c>
      <c r="L441" s="2">
        <f t="shared" si="40"/>
        <v>-6.1999999999999886</v>
      </c>
      <c r="M441" s="1">
        <f t="shared" si="41"/>
        <v>-1.8140611891961866E-2</v>
      </c>
      <c r="N441" s="2">
        <v>100</v>
      </c>
      <c r="O441" s="2">
        <v>101.6</v>
      </c>
      <c r="P441" s="2">
        <f t="shared" si="42"/>
        <v>-1.5999999999999943</v>
      </c>
      <c r="Q441">
        <v>-2.2000000000000002</v>
      </c>
    </row>
    <row r="442" spans="1:17">
      <c r="A442" t="s">
        <v>54</v>
      </c>
      <c r="B442" t="s">
        <v>28</v>
      </c>
      <c r="C442">
        <v>55</v>
      </c>
      <c r="D442">
        <v>27</v>
      </c>
      <c r="E442" s="1">
        <f t="shared" si="37"/>
        <v>0.67073170731707321</v>
      </c>
      <c r="F442" s="2">
        <v>103.2</v>
      </c>
      <c r="G442" s="2">
        <v>97</v>
      </c>
      <c r="H442" s="2">
        <f t="shared" si="38"/>
        <v>6.2000000000000028</v>
      </c>
      <c r="I442" s="1">
        <f t="shared" si="39"/>
        <v>0.70420653798027644</v>
      </c>
      <c r="J442" s="2">
        <v>107.6</v>
      </c>
      <c r="K442" s="2">
        <v>101.4</v>
      </c>
      <c r="L442" s="2">
        <f t="shared" si="40"/>
        <v>6.1999999999999886</v>
      </c>
      <c r="M442" s="1">
        <f t="shared" si="41"/>
        <v>-3.3474830663203226E-2</v>
      </c>
      <c r="N442" s="2">
        <v>95.5</v>
      </c>
      <c r="O442" s="2">
        <v>97.1</v>
      </c>
      <c r="P442" s="2">
        <f t="shared" si="42"/>
        <v>-1.5999999999999943</v>
      </c>
      <c r="Q442">
        <v>0.9</v>
      </c>
    </row>
    <row r="443" spans="1:17">
      <c r="A443" t="s">
        <v>49</v>
      </c>
      <c r="B443" t="s">
        <v>31</v>
      </c>
      <c r="C443">
        <v>36</v>
      </c>
      <c r="D443">
        <v>30</v>
      </c>
      <c r="E443" s="1">
        <f t="shared" si="37"/>
        <v>0.54545454545454541</v>
      </c>
      <c r="F443" s="2">
        <v>99.7</v>
      </c>
      <c r="G443" s="2">
        <v>99</v>
      </c>
      <c r="H443" s="2">
        <f t="shared" si="38"/>
        <v>0.70000000000000284</v>
      </c>
      <c r="I443" s="1">
        <f t="shared" si="39"/>
        <v>0.52464041755417556</v>
      </c>
      <c r="J443" s="2">
        <v>105.5</v>
      </c>
      <c r="K443" s="2">
        <v>104.9</v>
      </c>
      <c r="L443" s="2">
        <f t="shared" si="40"/>
        <v>0.59999999999999432</v>
      </c>
      <c r="M443" s="1">
        <f t="shared" si="41"/>
        <v>2.081412790036985E-2</v>
      </c>
      <c r="N443" s="2">
        <v>96.6</v>
      </c>
      <c r="O443" s="2">
        <v>98.2</v>
      </c>
      <c r="P443" s="2">
        <f t="shared" si="42"/>
        <v>-1.6000000000000085</v>
      </c>
      <c r="Q443">
        <v>0</v>
      </c>
    </row>
    <row r="444" spans="1:17">
      <c r="A444" t="s">
        <v>50</v>
      </c>
      <c r="B444" t="s">
        <v>26</v>
      </c>
      <c r="C444">
        <v>33</v>
      </c>
      <c r="D444">
        <v>49</v>
      </c>
      <c r="E444" s="1">
        <f t="shared" si="37"/>
        <v>0.40243902439024393</v>
      </c>
      <c r="F444" s="2">
        <v>97.5</v>
      </c>
      <c r="G444" s="2">
        <v>100.7</v>
      </c>
      <c r="H444" s="2">
        <f t="shared" si="38"/>
        <v>-3.2000000000000028</v>
      </c>
      <c r="I444" s="1">
        <f t="shared" si="39"/>
        <v>0.38885971000700537</v>
      </c>
      <c r="J444" s="2">
        <v>104.5</v>
      </c>
      <c r="K444" s="2">
        <v>107.9</v>
      </c>
      <c r="L444" s="2">
        <f t="shared" si="40"/>
        <v>-3.4000000000000057</v>
      </c>
      <c r="M444" s="1">
        <f t="shared" si="41"/>
        <v>1.3579314383238561E-2</v>
      </c>
      <c r="N444" s="2">
        <v>105.1</v>
      </c>
      <c r="O444" s="2">
        <v>106.7</v>
      </c>
      <c r="P444" s="2">
        <f t="shared" si="42"/>
        <v>-1.6000000000000085</v>
      </c>
      <c r="Q444">
        <v>-0.2</v>
      </c>
    </row>
    <row r="445" spans="1:17">
      <c r="A445" t="s">
        <v>59</v>
      </c>
      <c r="B445" t="s">
        <v>14</v>
      </c>
      <c r="C445">
        <v>53</v>
      </c>
      <c r="D445">
        <v>29</v>
      </c>
      <c r="E445" s="1">
        <f t="shared" si="37"/>
        <v>0.64634146341463417</v>
      </c>
      <c r="F445" s="2">
        <v>113.9</v>
      </c>
      <c r="G445" s="2">
        <v>109.1</v>
      </c>
      <c r="H445" s="2">
        <f t="shared" si="38"/>
        <v>4.8000000000000114</v>
      </c>
      <c r="I445" s="1">
        <f t="shared" si="39"/>
        <v>0.64629291131974342</v>
      </c>
      <c r="J445" s="2">
        <v>114.9</v>
      </c>
      <c r="K445" s="2">
        <v>110.1</v>
      </c>
      <c r="L445" s="2">
        <f t="shared" si="40"/>
        <v>4.8000000000000114</v>
      </c>
      <c r="M445" s="1">
        <f t="shared" si="41"/>
        <v>4.8552094890741415E-5</v>
      </c>
      <c r="N445" s="2">
        <v>111.8</v>
      </c>
      <c r="O445" s="2">
        <v>113.4</v>
      </c>
      <c r="P445" s="2">
        <f t="shared" si="42"/>
        <v>-1.6000000000000085</v>
      </c>
      <c r="Q445">
        <v>0.5</v>
      </c>
    </row>
    <row r="446" spans="1:17">
      <c r="A446" t="s">
        <v>66</v>
      </c>
      <c r="B446" t="s">
        <v>33</v>
      </c>
      <c r="C446">
        <v>16</v>
      </c>
      <c r="D446">
        <v>46</v>
      </c>
      <c r="E446" s="1">
        <f t="shared" si="37"/>
        <v>0.25806451612903225</v>
      </c>
      <c r="F446" s="2">
        <v>112.2</v>
      </c>
      <c r="G446" s="2">
        <v>123</v>
      </c>
      <c r="H446" s="2">
        <f t="shared" si="38"/>
        <v>-10.799999999999997</v>
      </c>
      <c r="I446" s="1">
        <f t="shared" si="39"/>
        <v>0.21642561770690236</v>
      </c>
      <c r="J446" s="2">
        <v>109.5</v>
      </c>
      <c r="K446" s="2">
        <v>120.3</v>
      </c>
      <c r="L446" s="2">
        <f t="shared" si="40"/>
        <v>-10.799999999999997</v>
      </c>
      <c r="M446" s="1">
        <f t="shared" si="41"/>
        <v>4.1638898422129894E-2</v>
      </c>
      <c r="N446" s="2">
        <v>112.8</v>
      </c>
      <c r="O446" s="2">
        <v>114.5</v>
      </c>
      <c r="P446" s="2">
        <f t="shared" si="42"/>
        <v>-1.7000000000000028</v>
      </c>
      <c r="Q446" s="2">
        <v>-2.9</v>
      </c>
    </row>
    <row r="447" spans="1:17">
      <c r="A447" t="s">
        <v>54</v>
      </c>
      <c r="B447" t="s">
        <v>31</v>
      </c>
      <c r="C447">
        <v>38</v>
      </c>
      <c r="D447">
        <v>44</v>
      </c>
      <c r="E447" s="1">
        <f t="shared" si="37"/>
        <v>0.46341463414634149</v>
      </c>
      <c r="F447" s="2">
        <v>95.1</v>
      </c>
      <c r="G447" s="2">
        <v>94.9</v>
      </c>
      <c r="H447" s="2">
        <f t="shared" si="38"/>
        <v>0.19999999999998863</v>
      </c>
      <c r="I447" s="1">
        <f t="shared" si="39"/>
        <v>0.50736789040877028</v>
      </c>
      <c r="J447" s="2">
        <v>104.2</v>
      </c>
      <c r="K447" s="2">
        <v>104.1</v>
      </c>
      <c r="L447" s="2">
        <f t="shared" si="40"/>
        <v>0.10000000000000853</v>
      </c>
      <c r="M447" s="1">
        <f t="shared" si="41"/>
        <v>-4.3953256262428797E-2</v>
      </c>
      <c r="N447" s="2">
        <v>95.5</v>
      </c>
      <c r="O447" s="2">
        <v>97.3</v>
      </c>
      <c r="P447" s="2">
        <f t="shared" si="42"/>
        <v>-1.7999999999999972</v>
      </c>
      <c r="Q447">
        <v>-0.2</v>
      </c>
    </row>
    <row r="448" spans="1:17">
      <c r="A448" t="s">
        <v>44</v>
      </c>
      <c r="B448" t="s">
        <v>31</v>
      </c>
      <c r="C448">
        <v>54</v>
      </c>
      <c r="D448">
        <v>28</v>
      </c>
      <c r="E448" s="1">
        <f t="shared" si="37"/>
        <v>0.65853658536585369</v>
      </c>
      <c r="F448" s="2">
        <v>106.2</v>
      </c>
      <c r="G448" s="2">
        <v>99.3</v>
      </c>
      <c r="H448" s="2">
        <f t="shared" si="38"/>
        <v>6.9000000000000057</v>
      </c>
      <c r="I448" s="1">
        <f t="shared" si="39"/>
        <v>0.71920054882030759</v>
      </c>
      <c r="J448" s="2">
        <v>112.1</v>
      </c>
      <c r="K448" s="2">
        <v>104.9</v>
      </c>
      <c r="L448" s="2">
        <f t="shared" si="40"/>
        <v>7.1999999999999886</v>
      </c>
      <c r="M448" s="1">
        <f t="shared" si="41"/>
        <v>-6.0663963454453906E-2</v>
      </c>
      <c r="N448" s="2">
        <v>116.3</v>
      </c>
      <c r="O448" s="2">
        <v>118.1</v>
      </c>
      <c r="P448" s="2">
        <f t="shared" si="42"/>
        <v>-1.7999999999999972</v>
      </c>
      <c r="Q448">
        <v>1.5</v>
      </c>
    </row>
    <row r="449" spans="1:17">
      <c r="A449" t="s">
        <v>4</v>
      </c>
      <c r="B449" t="s">
        <v>6</v>
      </c>
      <c r="C449">
        <v>36</v>
      </c>
      <c r="D449">
        <v>46</v>
      </c>
      <c r="E449" s="1">
        <f t="shared" si="37"/>
        <v>0.43902439024390244</v>
      </c>
      <c r="F449" s="2">
        <v>94.6</v>
      </c>
      <c r="G449" s="2">
        <v>96.8</v>
      </c>
      <c r="H449" s="2">
        <f t="shared" si="38"/>
        <v>-2.2000000000000028</v>
      </c>
      <c r="I449" s="1">
        <f t="shared" si="39"/>
        <v>0.42022416188672446</v>
      </c>
      <c r="J449" s="2">
        <v>100.1</v>
      </c>
      <c r="K449" s="2">
        <v>102.3</v>
      </c>
      <c r="L449" s="2">
        <f t="shared" si="40"/>
        <v>-2.2000000000000028</v>
      </c>
      <c r="M449" s="1">
        <f t="shared" si="41"/>
        <v>1.8800228357177984E-2</v>
      </c>
      <c r="N449" s="2">
        <v>95.1</v>
      </c>
      <c r="O449" s="2">
        <v>96.9</v>
      </c>
      <c r="P449" s="2">
        <f t="shared" si="42"/>
        <v>-1.8000000000000114</v>
      </c>
      <c r="Q449">
        <v>-0.8</v>
      </c>
    </row>
    <row r="450" spans="1:17">
      <c r="A450" t="s">
        <v>52</v>
      </c>
      <c r="B450" t="s">
        <v>53</v>
      </c>
      <c r="C450">
        <v>34</v>
      </c>
      <c r="D450">
        <v>48</v>
      </c>
      <c r="E450" s="1">
        <f t="shared" si="37"/>
        <v>0.41463414634146339</v>
      </c>
      <c r="F450" s="2">
        <v>99.7</v>
      </c>
      <c r="G450" s="2">
        <v>102.4</v>
      </c>
      <c r="H450" s="2">
        <f t="shared" si="38"/>
        <v>-2.7000000000000028</v>
      </c>
      <c r="I450" s="1">
        <f t="shared" si="39"/>
        <v>0.40755201801637742</v>
      </c>
      <c r="J450" s="2">
        <v>106.2</v>
      </c>
      <c r="K450" s="2">
        <v>109.1</v>
      </c>
      <c r="L450" s="2">
        <f t="shared" si="40"/>
        <v>-2.8999999999999915</v>
      </c>
      <c r="M450" s="1">
        <f t="shared" si="41"/>
        <v>7.082128325085979E-3</v>
      </c>
      <c r="N450" s="2">
        <v>103.6</v>
      </c>
      <c r="O450" s="2">
        <v>105.4</v>
      </c>
      <c r="P450" s="2">
        <f t="shared" si="42"/>
        <v>-1.8000000000000114</v>
      </c>
      <c r="Q450">
        <v>-0.2</v>
      </c>
    </row>
    <row r="451" spans="1:17">
      <c r="A451" t="s">
        <v>61</v>
      </c>
      <c r="B451" t="s">
        <v>15</v>
      </c>
      <c r="C451">
        <v>34</v>
      </c>
      <c r="D451">
        <v>38</v>
      </c>
      <c r="E451" s="1">
        <f t="shared" si="37"/>
        <v>0.47222222222222221</v>
      </c>
      <c r="F451" s="2">
        <v>115.3</v>
      </c>
      <c r="G451" s="2">
        <v>115.3</v>
      </c>
      <c r="H451" s="2">
        <f t="shared" si="38"/>
        <v>0</v>
      </c>
      <c r="I451" s="1">
        <f t="shared" si="39"/>
        <v>0.5</v>
      </c>
      <c r="J451" s="2">
        <v>111.9</v>
      </c>
      <c r="K451" s="2">
        <v>111.9</v>
      </c>
      <c r="L451" s="2">
        <f t="shared" si="40"/>
        <v>0</v>
      </c>
      <c r="M451" s="1">
        <f t="shared" si="41"/>
        <v>-2.777777777777779E-2</v>
      </c>
      <c r="N451" s="2">
        <v>101.1</v>
      </c>
      <c r="O451" s="2">
        <v>102.9</v>
      </c>
      <c r="P451" s="2">
        <f t="shared" si="42"/>
        <v>-1.8000000000000114</v>
      </c>
      <c r="Q451">
        <v>-0.2</v>
      </c>
    </row>
    <row r="452" spans="1:17">
      <c r="A452" t="s">
        <v>38</v>
      </c>
      <c r="B452" t="s">
        <v>28</v>
      </c>
      <c r="C452">
        <v>57</v>
      </c>
      <c r="D452">
        <v>25</v>
      </c>
      <c r="E452" s="1">
        <f t="shared" si="37"/>
        <v>0.69512195121951215</v>
      </c>
      <c r="F452" s="2">
        <v>91.5</v>
      </c>
      <c r="G452" s="2">
        <v>84.3</v>
      </c>
      <c r="H452" s="2">
        <f t="shared" si="38"/>
        <v>7.2000000000000028</v>
      </c>
      <c r="I452" s="1">
        <f t="shared" si="39"/>
        <v>0.75903560483804922</v>
      </c>
      <c r="J452" s="2">
        <v>101</v>
      </c>
      <c r="K452" s="2">
        <v>93.1</v>
      </c>
      <c r="L452" s="2">
        <f t="shared" si="40"/>
        <v>7.9000000000000057</v>
      </c>
      <c r="M452" s="1">
        <f t="shared" si="41"/>
        <v>-6.391365361853707E-2</v>
      </c>
      <c r="N452" s="2">
        <v>95.1</v>
      </c>
      <c r="O452" s="2">
        <v>96.9</v>
      </c>
      <c r="P452" s="2">
        <f t="shared" si="42"/>
        <v>-1.8000000000000114</v>
      </c>
      <c r="Q452">
        <v>0.4</v>
      </c>
    </row>
    <row r="453" spans="1:17">
      <c r="A453" t="s">
        <v>54</v>
      </c>
      <c r="B453" t="s">
        <v>14</v>
      </c>
      <c r="C453">
        <v>56</v>
      </c>
      <c r="D453">
        <v>26</v>
      </c>
      <c r="E453" s="1">
        <f t="shared" si="37"/>
        <v>0.68292682926829273</v>
      </c>
      <c r="F453" s="2">
        <v>103.9</v>
      </c>
      <c r="G453" s="2">
        <v>100.5</v>
      </c>
      <c r="H453" s="2">
        <f t="shared" si="38"/>
        <v>3.4000000000000057</v>
      </c>
      <c r="I453" s="1">
        <f t="shared" si="39"/>
        <v>0.61438833657997272</v>
      </c>
      <c r="J453" s="2">
        <v>106</v>
      </c>
      <c r="K453" s="2">
        <v>102.6</v>
      </c>
      <c r="L453" s="2">
        <f t="shared" si="40"/>
        <v>3.4000000000000057</v>
      </c>
      <c r="M453" s="1">
        <f t="shared" si="41"/>
        <v>6.8538492688320019E-2</v>
      </c>
      <c r="N453" s="2">
        <v>98.4</v>
      </c>
      <c r="O453" s="2">
        <v>100.3</v>
      </c>
      <c r="P453" s="2">
        <f t="shared" si="42"/>
        <v>-1.8999999999999915</v>
      </c>
      <c r="Q453">
        <v>-0.8</v>
      </c>
    </row>
    <row r="454" spans="1:17">
      <c r="A454" t="s">
        <v>55</v>
      </c>
      <c r="B454" t="s">
        <v>26</v>
      </c>
      <c r="C454">
        <v>44</v>
      </c>
      <c r="D454">
        <v>38</v>
      </c>
      <c r="E454" s="1">
        <f t="shared" si="37"/>
        <v>0.53658536585365857</v>
      </c>
      <c r="F454" s="2">
        <v>105.1</v>
      </c>
      <c r="G454" s="2">
        <v>104.3</v>
      </c>
      <c r="H454" s="2">
        <f t="shared" si="38"/>
        <v>0.79999999999999716</v>
      </c>
      <c r="I454" s="1">
        <f t="shared" si="39"/>
        <v>0.52671773242887121</v>
      </c>
      <c r="J454" s="2">
        <v>107.6</v>
      </c>
      <c r="K454" s="2">
        <v>106.8</v>
      </c>
      <c r="L454" s="2">
        <f t="shared" si="40"/>
        <v>0.79999999999999716</v>
      </c>
      <c r="M454" s="1">
        <f t="shared" si="41"/>
        <v>9.8676334247873587E-3</v>
      </c>
      <c r="N454" s="2">
        <v>106.2</v>
      </c>
      <c r="O454" s="2">
        <v>108.1</v>
      </c>
      <c r="P454" s="2">
        <f t="shared" si="42"/>
        <v>-1.8999999999999915</v>
      </c>
      <c r="Q454">
        <v>-0.3</v>
      </c>
    </row>
    <row r="455" spans="1:17">
      <c r="A455" t="s">
        <v>59</v>
      </c>
      <c r="B455" t="s">
        <v>7</v>
      </c>
      <c r="C455">
        <v>39</v>
      </c>
      <c r="D455">
        <v>43</v>
      </c>
      <c r="E455" s="1">
        <f t="shared" si="37"/>
        <v>0.47560975609756095</v>
      </c>
      <c r="F455" s="2">
        <v>110.7</v>
      </c>
      <c r="G455" s="2">
        <v>111.8</v>
      </c>
      <c r="H455" s="2">
        <f t="shared" si="38"/>
        <v>-1.0999999999999943</v>
      </c>
      <c r="I455" s="1">
        <f t="shared" si="39"/>
        <v>0.46544813340769592</v>
      </c>
      <c r="J455" s="2">
        <v>110.7</v>
      </c>
      <c r="K455" s="2">
        <v>112</v>
      </c>
      <c r="L455" s="2">
        <f t="shared" si="40"/>
        <v>-1.2999999999999972</v>
      </c>
      <c r="M455" s="1">
        <f t="shared" si="41"/>
        <v>1.0161622689865035E-2</v>
      </c>
      <c r="N455" s="2">
        <v>109.3</v>
      </c>
      <c r="O455" s="2">
        <v>111.2</v>
      </c>
      <c r="P455" s="2">
        <f t="shared" si="42"/>
        <v>-1.9000000000000057</v>
      </c>
      <c r="Q455">
        <v>-1.1000000000000001</v>
      </c>
    </row>
    <row r="456" spans="1:17">
      <c r="A456" t="s">
        <v>34</v>
      </c>
      <c r="B456" t="s">
        <v>15</v>
      </c>
      <c r="C456">
        <v>42</v>
      </c>
      <c r="D456">
        <v>40</v>
      </c>
      <c r="E456" s="1">
        <f t="shared" si="37"/>
        <v>0.51219512195121952</v>
      </c>
      <c r="F456" s="2">
        <v>96.8</v>
      </c>
      <c r="G456" s="2">
        <v>96.5</v>
      </c>
      <c r="H456" s="2">
        <f t="shared" si="38"/>
        <v>0.29999999999999716</v>
      </c>
      <c r="I456" s="1">
        <f t="shared" si="39"/>
        <v>0.51086224147445425</v>
      </c>
      <c r="J456" s="2">
        <v>102.8</v>
      </c>
      <c r="K456" s="2">
        <v>102.4</v>
      </c>
      <c r="L456" s="2">
        <f t="shared" si="40"/>
        <v>0.39999999999999147</v>
      </c>
      <c r="M456" s="1">
        <f t="shared" si="41"/>
        <v>1.3328804767652747E-3</v>
      </c>
      <c r="N456" s="2">
        <v>101.1</v>
      </c>
      <c r="O456" s="2">
        <v>103</v>
      </c>
      <c r="P456" s="2">
        <f t="shared" si="42"/>
        <v>-1.9000000000000057</v>
      </c>
      <c r="Q456">
        <v>-0.1</v>
      </c>
    </row>
    <row r="457" spans="1:17">
      <c r="A457" t="s">
        <v>62</v>
      </c>
      <c r="B457" t="s">
        <v>7</v>
      </c>
      <c r="C457">
        <v>43</v>
      </c>
      <c r="D457">
        <v>39</v>
      </c>
      <c r="E457" s="1">
        <f t="shared" ref="E457:E520" si="43">+C457/(C457+D457)</f>
        <v>0.52439024390243905</v>
      </c>
      <c r="F457" s="2">
        <v>115.3</v>
      </c>
      <c r="G457" s="2">
        <v>114.9</v>
      </c>
      <c r="H457" s="2">
        <f t="shared" ref="H457:H520" si="44">+F457-G457</f>
        <v>0.39999999999999147</v>
      </c>
      <c r="I457" s="1">
        <f t="shared" ref="I457:I520" si="45">+(F457^14)/((F457^14+G457^14))</f>
        <v>0.5121609496635926</v>
      </c>
      <c r="J457" s="2">
        <v>113.6</v>
      </c>
      <c r="K457" s="2">
        <v>113.1</v>
      </c>
      <c r="L457" s="2">
        <f t="shared" ref="L457:L520" si="46">+J457-K457</f>
        <v>0.5</v>
      </c>
      <c r="M457" s="1">
        <f t="shared" ref="M457:M520" si="47">+E457-I457</f>
        <v>1.2229294238846444E-2</v>
      </c>
      <c r="N457" s="2">
        <v>109.6</v>
      </c>
      <c r="O457" s="2">
        <v>111.6</v>
      </c>
      <c r="P457" s="2">
        <f t="shared" ref="P457:P520" si="48">+N457-O457</f>
        <v>-2</v>
      </c>
      <c r="Q457">
        <v>0.8</v>
      </c>
    </row>
    <row r="458" spans="1:17">
      <c r="A458" t="s">
        <v>57</v>
      </c>
      <c r="B458" t="s">
        <v>22</v>
      </c>
      <c r="C458">
        <v>31</v>
      </c>
      <c r="D458">
        <v>51</v>
      </c>
      <c r="E458" s="1">
        <f t="shared" si="43"/>
        <v>0.37804878048780488</v>
      </c>
      <c r="F458" s="2">
        <v>104.3</v>
      </c>
      <c r="G458" s="2">
        <v>108</v>
      </c>
      <c r="H458" s="2">
        <f t="shared" si="44"/>
        <v>-3.7000000000000028</v>
      </c>
      <c r="I458" s="1">
        <f t="shared" si="45"/>
        <v>0.38035584719829063</v>
      </c>
      <c r="J458" s="2">
        <v>107.1</v>
      </c>
      <c r="K458" s="2">
        <v>110.7</v>
      </c>
      <c r="L458" s="2">
        <f t="shared" si="46"/>
        <v>-3.6000000000000085</v>
      </c>
      <c r="M458" s="1">
        <f t="shared" si="47"/>
        <v>-2.3070667104857501E-3</v>
      </c>
      <c r="N458" s="2">
        <v>104.7</v>
      </c>
      <c r="O458" s="2">
        <v>106.7</v>
      </c>
      <c r="P458" s="2">
        <f t="shared" si="48"/>
        <v>-2</v>
      </c>
      <c r="Q458">
        <v>0.6</v>
      </c>
    </row>
    <row r="459" spans="1:17">
      <c r="A459" t="s">
        <v>54</v>
      </c>
      <c r="B459" t="s">
        <v>19</v>
      </c>
      <c r="C459">
        <v>41</v>
      </c>
      <c r="D459">
        <v>41</v>
      </c>
      <c r="E459" s="1">
        <f t="shared" si="43"/>
        <v>0.5</v>
      </c>
      <c r="F459" s="2">
        <v>97.8</v>
      </c>
      <c r="G459" s="2">
        <v>97.4</v>
      </c>
      <c r="H459" s="2">
        <f t="shared" si="44"/>
        <v>0.39999999999999147</v>
      </c>
      <c r="I459" s="1">
        <f t="shared" si="45"/>
        <v>0.51434034839194509</v>
      </c>
      <c r="J459" s="2">
        <v>102</v>
      </c>
      <c r="K459" s="2">
        <v>101.4</v>
      </c>
      <c r="L459" s="2">
        <f t="shared" si="46"/>
        <v>0.59999999999999432</v>
      </c>
      <c r="M459" s="1">
        <f t="shared" si="47"/>
        <v>-1.434034839194509E-2</v>
      </c>
      <c r="N459" s="2">
        <v>94.2</v>
      </c>
      <c r="O459" s="2">
        <v>96.2</v>
      </c>
      <c r="P459" s="2">
        <f t="shared" si="48"/>
        <v>-2</v>
      </c>
      <c r="Q459">
        <v>-1</v>
      </c>
    </row>
    <row r="460" spans="1:17">
      <c r="A460" t="s">
        <v>59</v>
      </c>
      <c r="B460" t="s">
        <v>51</v>
      </c>
      <c r="C460">
        <v>42</v>
      </c>
      <c r="D460">
        <v>40</v>
      </c>
      <c r="E460" s="1">
        <f t="shared" si="43"/>
        <v>0.51219512195121952</v>
      </c>
      <c r="F460" s="2">
        <v>112.2</v>
      </c>
      <c r="G460" s="2">
        <v>112.3</v>
      </c>
      <c r="H460" s="2">
        <f t="shared" si="44"/>
        <v>-9.9999999999994316E-2</v>
      </c>
      <c r="I460" s="1">
        <f t="shared" si="45"/>
        <v>0.49688200012291167</v>
      </c>
      <c r="J460" s="2">
        <v>108.9</v>
      </c>
      <c r="K460" s="2">
        <v>109</v>
      </c>
      <c r="L460" s="2">
        <f t="shared" si="46"/>
        <v>-9.9999999999994316E-2</v>
      </c>
      <c r="M460" s="1">
        <f t="shared" si="47"/>
        <v>1.5313121828307852E-2</v>
      </c>
      <c r="N460" s="2">
        <v>109.7</v>
      </c>
      <c r="O460" s="2">
        <v>111.8</v>
      </c>
      <c r="P460" s="2">
        <f t="shared" si="48"/>
        <v>-2.0999999999999943</v>
      </c>
      <c r="Q460">
        <v>-0.3</v>
      </c>
    </row>
    <row r="461" spans="1:17">
      <c r="A461" t="s">
        <v>59</v>
      </c>
      <c r="B461" t="s">
        <v>12</v>
      </c>
      <c r="C461">
        <v>41</v>
      </c>
      <c r="D461">
        <v>41</v>
      </c>
      <c r="E461" s="1">
        <f t="shared" si="43"/>
        <v>0.5</v>
      </c>
      <c r="F461" s="2">
        <v>107</v>
      </c>
      <c r="G461" s="2">
        <v>107.3</v>
      </c>
      <c r="H461" s="2">
        <f t="shared" si="44"/>
        <v>-0.29999999999999716</v>
      </c>
      <c r="I461" s="1">
        <f t="shared" si="45"/>
        <v>0.4902019013698185</v>
      </c>
      <c r="J461" s="2">
        <v>108.4</v>
      </c>
      <c r="K461" s="2">
        <v>108.7</v>
      </c>
      <c r="L461" s="2">
        <f t="shared" si="46"/>
        <v>-0.29999999999999716</v>
      </c>
      <c r="M461" s="1">
        <f t="shared" si="47"/>
        <v>9.7980986301814954E-3</v>
      </c>
      <c r="N461" s="2">
        <v>111.9</v>
      </c>
      <c r="O461" s="2">
        <v>114</v>
      </c>
      <c r="P461" s="2">
        <f t="shared" si="48"/>
        <v>-2.0999999999999943</v>
      </c>
      <c r="Q461">
        <v>1.1000000000000001</v>
      </c>
    </row>
    <row r="462" spans="1:17">
      <c r="A462" t="s">
        <v>49</v>
      </c>
      <c r="B462" t="s">
        <v>11</v>
      </c>
      <c r="C462">
        <v>38</v>
      </c>
      <c r="D462">
        <v>28</v>
      </c>
      <c r="E462" s="1">
        <f t="shared" si="43"/>
        <v>0.5757575757575758</v>
      </c>
      <c r="F462" s="2">
        <v>104.1</v>
      </c>
      <c r="G462" s="2">
        <v>101.2</v>
      </c>
      <c r="H462" s="2">
        <f t="shared" si="44"/>
        <v>2.8999999999999915</v>
      </c>
      <c r="I462" s="1">
        <f t="shared" si="45"/>
        <v>0.59761684455531594</v>
      </c>
      <c r="J462" s="2">
        <v>108.3</v>
      </c>
      <c r="K462" s="2">
        <v>105.1</v>
      </c>
      <c r="L462" s="2">
        <f t="shared" si="46"/>
        <v>3.2000000000000028</v>
      </c>
      <c r="M462" s="1">
        <f t="shared" si="47"/>
        <v>-2.1859268797740139E-2</v>
      </c>
      <c r="N462" s="2">
        <v>97.9</v>
      </c>
      <c r="O462" s="2">
        <v>100</v>
      </c>
      <c r="P462" s="2">
        <f t="shared" si="48"/>
        <v>-2.0999999999999943</v>
      </c>
      <c r="Q462">
        <v>0.3</v>
      </c>
    </row>
    <row r="463" spans="1:17">
      <c r="A463" t="s">
        <v>44</v>
      </c>
      <c r="B463" t="s">
        <v>19</v>
      </c>
      <c r="C463">
        <v>26</v>
      </c>
      <c r="D463">
        <v>56</v>
      </c>
      <c r="E463" s="1">
        <f t="shared" si="43"/>
        <v>0.31707317073170732</v>
      </c>
      <c r="F463" s="2">
        <v>97</v>
      </c>
      <c r="G463" s="2">
        <v>103.9</v>
      </c>
      <c r="H463" s="2">
        <f t="shared" si="44"/>
        <v>-6.9000000000000057</v>
      </c>
      <c r="I463" s="1">
        <f t="shared" si="45"/>
        <v>0.27646776360303693</v>
      </c>
      <c r="J463" s="2">
        <v>103.9</v>
      </c>
      <c r="K463" s="2">
        <v>111.1</v>
      </c>
      <c r="L463" s="2">
        <f t="shared" si="46"/>
        <v>-7.1999999999999886</v>
      </c>
      <c r="M463" s="1">
        <f t="shared" si="47"/>
        <v>4.060540712867039E-2</v>
      </c>
      <c r="N463" s="2">
        <v>109.3</v>
      </c>
      <c r="O463" s="2">
        <v>111.5</v>
      </c>
      <c r="P463" s="2">
        <f t="shared" si="48"/>
        <v>-2.2000000000000028</v>
      </c>
      <c r="Q463">
        <v>-1.7</v>
      </c>
    </row>
    <row r="464" spans="1:17">
      <c r="A464" t="s">
        <v>43</v>
      </c>
      <c r="B464" t="s">
        <v>16</v>
      </c>
      <c r="C464">
        <v>40</v>
      </c>
      <c r="D464">
        <v>42</v>
      </c>
      <c r="E464" s="1">
        <f t="shared" si="43"/>
        <v>0.48780487804878048</v>
      </c>
      <c r="F464" s="2">
        <v>95.6</v>
      </c>
      <c r="G464" s="2">
        <v>96.1</v>
      </c>
      <c r="H464" s="2">
        <f t="shared" si="44"/>
        <v>-0.5</v>
      </c>
      <c r="I464" s="1">
        <f t="shared" si="45"/>
        <v>0.48175037478926502</v>
      </c>
      <c r="J464" s="2">
        <v>103.8</v>
      </c>
      <c r="K464" s="2">
        <v>104.2</v>
      </c>
      <c r="L464" s="2">
        <f t="shared" si="46"/>
        <v>-0.40000000000000568</v>
      </c>
      <c r="M464" s="1">
        <f t="shared" si="47"/>
        <v>6.0545032595154535E-3</v>
      </c>
      <c r="N464" s="2">
        <v>105.7</v>
      </c>
      <c r="O464" s="2">
        <v>107.9</v>
      </c>
      <c r="P464" s="2">
        <f t="shared" si="48"/>
        <v>-2.2000000000000028</v>
      </c>
      <c r="Q464">
        <v>-0.3</v>
      </c>
    </row>
    <row r="465" spans="1:17">
      <c r="A465" t="s">
        <v>38</v>
      </c>
      <c r="B465" t="s">
        <v>23</v>
      </c>
      <c r="C465">
        <v>21</v>
      </c>
      <c r="D465">
        <v>61</v>
      </c>
      <c r="E465" s="1">
        <f t="shared" si="43"/>
        <v>0.25609756097560976</v>
      </c>
      <c r="F465" s="2">
        <v>94</v>
      </c>
      <c r="G465" s="2">
        <v>101.1</v>
      </c>
      <c r="H465" s="2">
        <f t="shared" si="44"/>
        <v>-7.0999999999999943</v>
      </c>
      <c r="I465" s="1">
        <f t="shared" si="45"/>
        <v>0.26514140361954713</v>
      </c>
      <c r="J465" s="2">
        <v>101.4</v>
      </c>
      <c r="K465" s="2">
        <v>108.8</v>
      </c>
      <c r="L465" s="2">
        <f t="shared" si="46"/>
        <v>-7.3999999999999915</v>
      </c>
      <c r="M465" s="1">
        <f t="shared" si="47"/>
        <v>-9.043842643937372E-3</v>
      </c>
      <c r="N465" s="2">
        <v>97.2</v>
      </c>
      <c r="O465" s="2">
        <v>99.4</v>
      </c>
      <c r="P465" s="2">
        <f t="shared" si="48"/>
        <v>-2.2000000000000028</v>
      </c>
      <c r="Q465">
        <v>-2.4</v>
      </c>
    </row>
    <row r="466" spans="1:17">
      <c r="A466" t="s">
        <v>52</v>
      </c>
      <c r="B466" t="s">
        <v>51</v>
      </c>
      <c r="C466">
        <v>44</v>
      </c>
      <c r="D466">
        <v>38</v>
      </c>
      <c r="E466" s="1">
        <f t="shared" si="43"/>
        <v>0.53658536585365857</v>
      </c>
      <c r="F466" s="2">
        <v>98.5</v>
      </c>
      <c r="G466" s="2">
        <v>99.5</v>
      </c>
      <c r="H466" s="2">
        <f t="shared" si="44"/>
        <v>-1</v>
      </c>
      <c r="I466" s="1">
        <f t="shared" si="45"/>
        <v>0.46470496450899657</v>
      </c>
      <c r="J466" s="2">
        <v>105.4</v>
      </c>
      <c r="K466" s="2">
        <v>106.7</v>
      </c>
      <c r="L466" s="2">
        <f t="shared" si="46"/>
        <v>-1.2999999999999972</v>
      </c>
      <c r="M466" s="1">
        <f t="shared" si="47"/>
        <v>7.1880401344662004E-2</v>
      </c>
      <c r="N466" s="2">
        <v>98.3</v>
      </c>
      <c r="O466" s="2">
        <v>100.6</v>
      </c>
      <c r="P466" s="2">
        <f t="shared" si="48"/>
        <v>-2.2999999999999972</v>
      </c>
      <c r="Q466">
        <v>-1.1000000000000001</v>
      </c>
    </row>
    <row r="467" spans="1:17">
      <c r="A467" t="s">
        <v>62</v>
      </c>
      <c r="B467" t="s">
        <v>23</v>
      </c>
      <c r="C467">
        <v>22</v>
      </c>
      <c r="D467">
        <v>60</v>
      </c>
      <c r="E467" s="1">
        <f t="shared" si="43"/>
        <v>0.26829268292682928</v>
      </c>
      <c r="F467" s="2">
        <v>104.2</v>
      </c>
      <c r="G467" s="2">
        <v>112.2</v>
      </c>
      <c r="H467" s="2">
        <f t="shared" si="44"/>
        <v>-8</v>
      </c>
      <c r="I467" s="1">
        <f t="shared" si="45"/>
        <v>0.26200139759286833</v>
      </c>
      <c r="J467" s="2">
        <v>103.9</v>
      </c>
      <c r="K467" s="2">
        <v>112.1</v>
      </c>
      <c r="L467" s="2">
        <f t="shared" si="46"/>
        <v>-8.1999999999999886</v>
      </c>
      <c r="M467" s="1">
        <f t="shared" si="47"/>
        <v>6.2912853339609498E-3</v>
      </c>
      <c r="N467" s="2">
        <v>98.8</v>
      </c>
      <c r="O467" s="2">
        <v>101.2</v>
      </c>
      <c r="P467" s="2">
        <f t="shared" si="48"/>
        <v>-2.4000000000000057</v>
      </c>
      <c r="Q467">
        <v>-0.2</v>
      </c>
    </row>
    <row r="468" spans="1:17">
      <c r="A468" t="s">
        <v>36</v>
      </c>
      <c r="B468" t="s">
        <v>30</v>
      </c>
      <c r="C468">
        <v>24</v>
      </c>
      <c r="D468">
        <v>58</v>
      </c>
      <c r="E468" s="1">
        <f t="shared" si="43"/>
        <v>0.29268292682926828</v>
      </c>
      <c r="F468" s="2">
        <v>90.9</v>
      </c>
      <c r="G468" s="2">
        <v>96.8</v>
      </c>
      <c r="H468" s="2">
        <f t="shared" si="44"/>
        <v>-5.8999999999999915</v>
      </c>
      <c r="I468" s="1">
        <f t="shared" si="45"/>
        <v>0.29309118654274396</v>
      </c>
      <c r="J468" s="2">
        <v>99.3</v>
      </c>
      <c r="K468" s="2">
        <v>105.6</v>
      </c>
      <c r="L468" s="2">
        <f t="shared" si="46"/>
        <v>-6.2999999999999972</v>
      </c>
      <c r="M468" s="1">
        <f t="shared" si="47"/>
        <v>-4.0825971347568935E-4</v>
      </c>
      <c r="N468" s="2">
        <v>101.2</v>
      </c>
      <c r="O468" s="2">
        <v>103.7</v>
      </c>
      <c r="P468" s="2">
        <f t="shared" si="48"/>
        <v>-2.5</v>
      </c>
      <c r="Q468">
        <v>-1</v>
      </c>
    </row>
    <row r="469" spans="1:17">
      <c r="A469" t="s">
        <v>59</v>
      </c>
      <c r="B469" t="s">
        <v>23</v>
      </c>
      <c r="C469">
        <v>42</v>
      </c>
      <c r="D469">
        <v>40</v>
      </c>
      <c r="E469" s="1">
        <f t="shared" si="43"/>
        <v>0.51219512195121952</v>
      </c>
      <c r="F469" s="2">
        <v>107.3</v>
      </c>
      <c r="G469" s="2">
        <v>106.6</v>
      </c>
      <c r="H469" s="2">
        <f t="shared" si="44"/>
        <v>0.70000000000000284</v>
      </c>
      <c r="I469" s="1">
        <f t="shared" si="45"/>
        <v>0.52289196737820709</v>
      </c>
      <c r="J469" s="2">
        <v>108.2</v>
      </c>
      <c r="K469" s="2">
        <v>107.6</v>
      </c>
      <c r="L469" s="2">
        <f t="shared" si="46"/>
        <v>0.60000000000000853</v>
      </c>
      <c r="M469" s="1">
        <f t="shared" si="47"/>
        <v>-1.0696845426987567E-2</v>
      </c>
      <c r="N469" s="2">
        <v>96</v>
      </c>
      <c r="O469" s="2">
        <v>98.5</v>
      </c>
      <c r="P469" s="2">
        <f t="shared" si="48"/>
        <v>-2.5</v>
      </c>
      <c r="Q469">
        <v>-0.5</v>
      </c>
    </row>
    <row r="470" spans="1:17">
      <c r="A470" t="s">
        <v>50</v>
      </c>
      <c r="B470" t="s">
        <v>6</v>
      </c>
      <c r="C470">
        <v>41</v>
      </c>
      <c r="D470">
        <v>40</v>
      </c>
      <c r="E470" s="1">
        <f t="shared" si="43"/>
        <v>0.50617283950617287</v>
      </c>
      <c r="F470" s="2">
        <v>96.5</v>
      </c>
      <c r="G470" s="2">
        <v>96.7</v>
      </c>
      <c r="H470" s="2">
        <f t="shared" si="44"/>
        <v>-0.20000000000000284</v>
      </c>
      <c r="I470" s="1">
        <f t="shared" si="45"/>
        <v>0.49275412790061462</v>
      </c>
      <c r="J470" s="2">
        <v>102.2</v>
      </c>
      <c r="K470" s="2">
        <v>102.6</v>
      </c>
      <c r="L470" s="2">
        <f t="shared" si="46"/>
        <v>-0.39999999999999147</v>
      </c>
      <c r="M470" s="1">
        <f t="shared" si="47"/>
        <v>1.3418711605558242E-2</v>
      </c>
      <c r="N470" s="2">
        <v>92.5</v>
      </c>
      <c r="O470" s="2">
        <v>95.1</v>
      </c>
      <c r="P470" s="2">
        <f t="shared" si="48"/>
        <v>-2.5999999999999943</v>
      </c>
      <c r="Q470">
        <v>-0.6</v>
      </c>
    </row>
    <row r="471" spans="1:17">
      <c r="A471" t="s">
        <v>60</v>
      </c>
      <c r="B471" t="s">
        <v>27</v>
      </c>
      <c r="C471">
        <v>31</v>
      </c>
      <c r="D471">
        <v>41</v>
      </c>
      <c r="E471" s="1">
        <f t="shared" si="43"/>
        <v>0.43055555555555558</v>
      </c>
      <c r="F471" s="2">
        <v>110.1</v>
      </c>
      <c r="G471" s="2">
        <v>112.1</v>
      </c>
      <c r="H471" s="2">
        <f t="shared" si="44"/>
        <v>-2</v>
      </c>
      <c r="I471" s="1">
        <f t="shared" si="45"/>
        <v>0.43732341582347528</v>
      </c>
      <c r="J471" s="2">
        <v>109.5</v>
      </c>
      <c r="K471" s="2">
        <v>111.4</v>
      </c>
      <c r="L471" s="2">
        <f t="shared" si="46"/>
        <v>-1.9000000000000057</v>
      </c>
      <c r="M471" s="1">
        <f t="shared" si="47"/>
        <v>-6.7678602679197009E-3</v>
      </c>
      <c r="N471" s="2">
        <v>111</v>
      </c>
      <c r="O471" s="2">
        <v>113.7</v>
      </c>
      <c r="P471" s="2">
        <f t="shared" si="48"/>
        <v>-2.7000000000000028</v>
      </c>
      <c r="Q471">
        <v>0.1</v>
      </c>
    </row>
    <row r="472" spans="1:17">
      <c r="A472" t="s">
        <v>58</v>
      </c>
      <c r="B472" t="s">
        <v>46</v>
      </c>
      <c r="C472">
        <v>48</v>
      </c>
      <c r="D472">
        <v>34</v>
      </c>
      <c r="E472" s="1">
        <f t="shared" si="43"/>
        <v>0.58536585365853655</v>
      </c>
      <c r="F472" s="2">
        <v>107.9</v>
      </c>
      <c r="G472" s="2">
        <v>104.4</v>
      </c>
      <c r="H472" s="2">
        <f t="shared" si="44"/>
        <v>3.5</v>
      </c>
      <c r="I472" s="1">
        <f t="shared" si="45"/>
        <v>0.61340618235435873</v>
      </c>
      <c r="J472" s="2">
        <v>110.1</v>
      </c>
      <c r="K472" s="2">
        <v>106.4</v>
      </c>
      <c r="L472" s="2">
        <f t="shared" si="46"/>
        <v>3.6999999999999886</v>
      </c>
      <c r="M472" s="1">
        <f t="shared" si="47"/>
        <v>-2.8040328695822181E-2</v>
      </c>
      <c r="N472" s="2">
        <v>104.5</v>
      </c>
      <c r="O472" s="2">
        <v>107.2</v>
      </c>
      <c r="P472" s="2">
        <f t="shared" si="48"/>
        <v>-2.7000000000000028</v>
      </c>
      <c r="Q472">
        <v>1.5</v>
      </c>
    </row>
    <row r="473" spans="1:17">
      <c r="A473" t="s">
        <v>4</v>
      </c>
      <c r="B473" t="s">
        <v>28</v>
      </c>
      <c r="C473">
        <v>58</v>
      </c>
      <c r="D473">
        <v>24</v>
      </c>
      <c r="E473" s="1">
        <f t="shared" si="43"/>
        <v>0.70731707317073167</v>
      </c>
      <c r="F473" s="2">
        <v>96.2</v>
      </c>
      <c r="G473" s="2">
        <v>88.4</v>
      </c>
      <c r="H473" s="2">
        <f t="shared" si="44"/>
        <v>7.7999999999999972</v>
      </c>
      <c r="I473" s="1">
        <f t="shared" si="45"/>
        <v>0.76563098176040723</v>
      </c>
      <c r="J473" s="2">
        <v>105</v>
      </c>
      <c r="K473" s="2">
        <v>96.6</v>
      </c>
      <c r="L473" s="2">
        <f t="shared" si="46"/>
        <v>8.4000000000000057</v>
      </c>
      <c r="M473" s="1">
        <f t="shared" si="47"/>
        <v>-5.8313908589675556E-2</v>
      </c>
      <c r="N473" s="2">
        <v>97.7</v>
      </c>
      <c r="O473" s="2">
        <v>100.4</v>
      </c>
      <c r="P473" s="2">
        <f t="shared" si="48"/>
        <v>-2.7000000000000028</v>
      </c>
      <c r="Q473">
        <v>0.9</v>
      </c>
    </row>
    <row r="474" spans="1:17">
      <c r="A474" t="s">
        <v>45</v>
      </c>
      <c r="B474" t="s">
        <v>21</v>
      </c>
      <c r="C474">
        <v>34</v>
      </c>
      <c r="D474">
        <v>48</v>
      </c>
      <c r="E474" s="1">
        <f t="shared" si="43"/>
        <v>0.41463414634146339</v>
      </c>
      <c r="F474" s="2">
        <v>98.1</v>
      </c>
      <c r="G474" s="2">
        <v>100.5</v>
      </c>
      <c r="H474" s="2">
        <f t="shared" si="44"/>
        <v>-2.4000000000000057</v>
      </c>
      <c r="I474" s="1">
        <f t="shared" si="45"/>
        <v>0.41620182026051067</v>
      </c>
      <c r="J474" s="2">
        <v>106.8</v>
      </c>
      <c r="K474" s="2">
        <v>109.5</v>
      </c>
      <c r="L474" s="2">
        <f t="shared" si="46"/>
        <v>-2.7000000000000028</v>
      </c>
      <c r="M474" s="1">
        <f t="shared" si="47"/>
        <v>-1.5676739190472744E-3</v>
      </c>
      <c r="N474" s="2">
        <v>105.3</v>
      </c>
      <c r="O474" s="2">
        <v>108.1</v>
      </c>
      <c r="P474" s="2">
        <f t="shared" si="48"/>
        <v>-2.7999999999999972</v>
      </c>
      <c r="Q474">
        <v>1.1000000000000001</v>
      </c>
    </row>
    <row r="475" spans="1:17">
      <c r="A475" t="s">
        <v>38</v>
      </c>
      <c r="B475" t="s">
        <v>19</v>
      </c>
      <c r="C475">
        <v>41</v>
      </c>
      <c r="D475">
        <v>41</v>
      </c>
      <c r="E475" s="1">
        <f t="shared" si="43"/>
        <v>0.5</v>
      </c>
      <c r="F475" s="2">
        <v>98</v>
      </c>
      <c r="G475" s="2">
        <v>97</v>
      </c>
      <c r="H475" s="2">
        <f t="shared" si="44"/>
        <v>1</v>
      </c>
      <c r="I475" s="1">
        <f t="shared" si="45"/>
        <v>0.53583619805025806</v>
      </c>
      <c r="J475" s="2">
        <v>104.6</v>
      </c>
      <c r="K475" s="2">
        <v>103.5</v>
      </c>
      <c r="L475" s="2">
        <f t="shared" si="46"/>
        <v>1.0999999999999943</v>
      </c>
      <c r="M475" s="1">
        <f t="shared" si="47"/>
        <v>-3.5836198050258061E-2</v>
      </c>
      <c r="N475" s="2">
        <v>94.3</v>
      </c>
      <c r="O475" s="2">
        <v>97.1</v>
      </c>
      <c r="P475" s="2">
        <f t="shared" si="48"/>
        <v>-2.7999999999999972</v>
      </c>
      <c r="Q475">
        <v>0.2</v>
      </c>
    </row>
    <row r="476" spans="1:17">
      <c r="A476" t="s">
        <v>49</v>
      </c>
      <c r="B476" t="s">
        <v>9</v>
      </c>
      <c r="C476">
        <v>21</v>
      </c>
      <c r="D476">
        <v>45</v>
      </c>
      <c r="E476" s="1">
        <f t="shared" si="43"/>
        <v>0.31818181818181818</v>
      </c>
      <c r="F476" s="2">
        <v>93</v>
      </c>
      <c r="G476" s="2">
        <v>100.2</v>
      </c>
      <c r="H476" s="2">
        <f t="shared" si="44"/>
        <v>-7.2000000000000028</v>
      </c>
      <c r="I476" s="1">
        <f t="shared" si="45"/>
        <v>0.2603862977504619</v>
      </c>
      <c r="J476" s="2">
        <v>100</v>
      </c>
      <c r="K476" s="2">
        <v>107.6</v>
      </c>
      <c r="L476" s="2">
        <f t="shared" si="46"/>
        <v>-7.5999999999999943</v>
      </c>
      <c r="M476" s="1">
        <f t="shared" si="47"/>
        <v>5.7795520431356273E-2</v>
      </c>
      <c r="N476" s="2">
        <v>103</v>
      </c>
      <c r="O476" s="2">
        <v>106</v>
      </c>
      <c r="P476" s="2">
        <f t="shared" si="48"/>
        <v>-3</v>
      </c>
      <c r="Q476">
        <v>0.3</v>
      </c>
    </row>
    <row r="477" spans="1:17">
      <c r="A477" t="s">
        <v>39</v>
      </c>
      <c r="B477" t="s">
        <v>19</v>
      </c>
      <c r="C477">
        <v>30</v>
      </c>
      <c r="D477">
        <v>52</v>
      </c>
      <c r="E477" s="1">
        <f t="shared" si="43"/>
        <v>0.36585365853658536</v>
      </c>
      <c r="F477" s="2">
        <v>97.2</v>
      </c>
      <c r="G477" s="2">
        <v>100.2</v>
      </c>
      <c r="H477" s="2">
        <f t="shared" si="44"/>
        <v>-3</v>
      </c>
      <c r="I477" s="1">
        <f t="shared" si="45"/>
        <v>0.3951859407291477</v>
      </c>
      <c r="J477" s="2">
        <v>105.1</v>
      </c>
      <c r="K477" s="2">
        <v>108.1</v>
      </c>
      <c r="L477" s="2">
        <f t="shared" si="46"/>
        <v>-3</v>
      </c>
      <c r="M477" s="1">
        <f t="shared" si="47"/>
        <v>-2.9332282192562342E-2</v>
      </c>
      <c r="N477" s="2">
        <v>105.2</v>
      </c>
      <c r="O477" s="2">
        <v>108.2</v>
      </c>
      <c r="P477" s="2">
        <f t="shared" si="48"/>
        <v>-3</v>
      </c>
      <c r="Q477">
        <v>-1.3</v>
      </c>
    </row>
    <row r="478" spans="1:17">
      <c r="A478" t="s">
        <v>55</v>
      </c>
      <c r="B478" t="s">
        <v>33</v>
      </c>
      <c r="C478">
        <v>41</v>
      </c>
      <c r="D478">
        <v>41</v>
      </c>
      <c r="E478" s="1">
        <f t="shared" si="43"/>
        <v>0.5</v>
      </c>
      <c r="F478" s="2">
        <v>104.1</v>
      </c>
      <c r="G478" s="2">
        <v>104.6</v>
      </c>
      <c r="H478" s="2">
        <f t="shared" si="44"/>
        <v>-0.5</v>
      </c>
      <c r="I478" s="1">
        <f t="shared" si="45"/>
        <v>0.48323577008477736</v>
      </c>
      <c r="J478" s="2">
        <v>104.5</v>
      </c>
      <c r="K478" s="2">
        <v>105.1</v>
      </c>
      <c r="L478" s="2">
        <f t="shared" si="46"/>
        <v>-0.59999999999999432</v>
      </c>
      <c r="M478" s="1">
        <f t="shared" si="47"/>
        <v>1.6764229915222639E-2</v>
      </c>
      <c r="N478" s="2">
        <v>101.4</v>
      </c>
      <c r="O478" s="2">
        <v>104.5</v>
      </c>
      <c r="P478" s="2">
        <f t="shared" si="48"/>
        <v>-3.0999999999999943</v>
      </c>
      <c r="Q478">
        <v>-0.3</v>
      </c>
    </row>
    <row r="479" spans="1:17">
      <c r="A479" t="s">
        <v>43</v>
      </c>
      <c r="B479" t="s">
        <v>20</v>
      </c>
      <c r="C479">
        <v>32</v>
      </c>
      <c r="D479">
        <v>50</v>
      </c>
      <c r="E479" s="1">
        <f t="shared" si="43"/>
        <v>0.3902439024390244</v>
      </c>
      <c r="F479" s="2">
        <v>96.1</v>
      </c>
      <c r="G479" s="2">
        <v>99.7</v>
      </c>
      <c r="H479" s="2">
        <f t="shared" si="44"/>
        <v>-3.6000000000000085</v>
      </c>
      <c r="I479" s="1">
        <f t="shared" si="45"/>
        <v>0.37405280109871952</v>
      </c>
      <c r="J479" s="2">
        <v>102.4</v>
      </c>
      <c r="K479" s="2">
        <v>106.5</v>
      </c>
      <c r="L479" s="2">
        <f t="shared" si="46"/>
        <v>-4.0999999999999943</v>
      </c>
      <c r="M479" s="1">
        <f t="shared" si="47"/>
        <v>1.6191101340304881E-2</v>
      </c>
      <c r="N479" s="2">
        <v>98.2</v>
      </c>
      <c r="O479" s="2">
        <v>101.3</v>
      </c>
      <c r="P479" s="2">
        <f t="shared" si="48"/>
        <v>-3.0999999999999943</v>
      </c>
      <c r="Q479">
        <v>0</v>
      </c>
    </row>
    <row r="480" spans="1:17">
      <c r="A480" t="s">
        <v>55</v>
      </c>
      <c r="B480" t="s">
        <v>23</v>
      </c>
      <c r="C480">
        <v>35</v>
      </c>
      <c r="D480">
        <v>47</v>
      </c>
      <c r="E480" s="1">
        <f t="shared" si="43"/>
        <v>0.42682926829268292</v>
      </c>
      <c r="F480" s="2">
        <v>102.1</v>
      </c>
      <c r="G480" s="2">
        <v>103.7</v>
      </c>
      <c r="H480" s="2">
        <f t="shared" si="44"/>
        <v>-1.6000000000000085</v>
      </c>
      <c r="I480" s="1">
        <f t="shared" si="45"/>
        <v>0.44579104414763582</v>
      </c>
      <c r="J480" s="2">
        <v>104.4</v>
      </c>
      <c r="K480" s="2">
        <v>106</v>
      </c>
      <c r="L480" s="2">
        <f t="shared" si="46"/>
        <v>-1.5999999999999943</v>
      </c>
      <c r="M480" s="1">
        <f t="shared" si="47"/>
        <v>-1.89617758549529E-2</v>
      </c>
      <c r="N480" s="2">
        <v>94.2</v>
      </c>
      <c r="O480" s="2">
        <v>97.3</v>
      </c>
      <c r="P480" s="2">
        <f t="shared" si="48"/>
        <v>-3.0999999999999943</v>
      </c>
      <c r="Q480">
        <v>-0.7</v>
      </c>
    </row>
    <row r="481" spans="1:17">
      <c r="A481" t="s">
        <v>41</v>
      </c>
      <c r="B481" t="s">
        <v>23</v>
      </c>
      <c r="C481">
        <v>36</v>
      </c>
      <c r="D481">
        <v>46</v>
      </c>
      <c r="E481" s="1">
        <f t="shared" si="43"/>
        <v>0.43902439024390244</v>
      </c>
      <c r="F481" s="2">
        <v>94.9</v>
      </c>
      <c r="G481" s="2">
        <v>96</v>
      </c>
      <c r="H481" s="2">
        <f t="shared" si="44"/>
        <v>-1.0999999999999943</v>
      </c>
      <c r="I481" s="1">
        <f t="shared" si="45"/>
        <v>0.45975157223924717</v>
      </c>
      <c r="J481" s="2">
        <v>105.3</v>
      </c>
      <c r="K481" s="2">
        <v>106.6</v>
      </c>
      <c r="L481" s="2">
        <f t="shared" si="46"/>
        <v>-1.2999999999999972</v>
      </c>
      <c r="M481" s="1">
        <f t="shared" si="47"/>
        <v>-2.0727181995344734E-2</v>
      </c>
      <c r="N481" s="2">
        <v>100.8</v>
      </c>
      <c r="O481" s="2">
        <v>103.9</v>
      </c>
      <c r="P481" s="2">
        <f t="shared" si="48"/>
        <v>-3.1000000000000085</v>
      </c>
      <c r="Q481">
        <v>0.1</v>
      </c>
    </row>
    <row r="482" spans="1:17">
      <c r="A482" t="s">
        <v>63</v>
      </c>
      <c r="B482" t="s">
        <v>25</v>
      </c>
      <c r="C482">
        <v>45</v>
      </c>
      <c r="D482">
        <v>37</v>
      </c>
      <c r="E482" s="1">
        <f t="shared" si="43"/>
        <v>0.54878048780487809</v>
      </c>
      <c r="F482" s="2">
        <v>113.6</v>
      </c>
      <c r="G482" s="2">
        <v>111.6</v>
      </c>
      <c r="H482" s="2">
        <f t="shared" si="44"/>
        <v>2</v>
      </c>
      <c r="I482" s="1">
        <f t="shared" si="45"/>
        <v>0.56185019593174323</v>
      </c>
      <c r="J482" s="2">
        <v>114.5</v>
      </c>
      <c r="K482" s="2">
        <v>112.3</v>
      </c>
      <c r="L482" s="2">
        <f t="shared" si="46"/>
        <v>2.2000000000000028</v>
      </c>
      <c r="M482" s="1">
        <f t="shared" si="47"/>
        <v>-1.3069708126865143E-2</v>
      </c>
      <c r="N482" s="2">
        <v>109.4</v>
      </c>
      <c r="O482" s="2">
        <v>112.6</v>
      </c>
      <c r="P482" s="2">
        <f t="shared" si="48"/>
        <v>-3.1999999999999886</v>
      </c>
      <c r="Q482">
        <v>-0.2</v>
      </c>
    </row>
    <row r="483" spans="1:17">
      <c r="A483" t="s">
        <v>36</v>
      </c>
      <c r="B483" t="s">
        <v>8</v>
      </c>
      <c r="C483">
        <v>30</v>
      </c>
      <c r="D483">
        <v>52</v>
      </c>
      <c r="E483" s="1">
        <f t="shared" si="43"/>
        <v>0.36585365853658536</v>
      </c>
      <c r="F483" s="2">
        <v>95</v>
      </c>
      <c r="G483" s="2">
        <v>100.1</v>
      </c>
      <c r="H483" s="2">
        <f t="shared" si="44"/>
        <v>-5.0999999999999943</v>
      </c>
      <c r="I483" s="1">
        <f t="shared" si="45"/>
        <v>0.32473425777947651</v>
      </c>
      <c r="J483" s="2">
        <v>99.1</v>
      </c>
      <c r="K483" s="2">
        <v>104.2</v>
      </c>
      <c r="L483" s="2">
        <f t="shared" si="46"/>
        <v>-5.1000000000000085</v>
      </c>
      <c r="M483" s="1">
        <f t="shared" si="47"/>
        <v>4.1119400757108848E-2</v>
      </c>
      <c r="N483" s="2">
        <v>100.6</v>
      </c>
      <c r="O483" s="2">
        <v>103.8</v>
      </c>
      <c r="P483" s="2">
        <f t="shared" si="48"/>
        <v>-3.2000000000000028</v>
      </c>
      <c r="Q483">
        <v>1.6</v>
      </c>
    </row>
    <row r="484" spans="1:17">
      <c r="A484" t="s">
        <v>64</v>
      </c>
      <c r="B484" t="s">
        <v>25</v>
      </c>
      <c r="C484">
        <v>49</v>
      </c>
      <c r="D484">
        <v>33</v>
      </c>
      <c r="E484" s="1">
        <f t="shared" si="43"/>
        <v>0.59756097560975607</v>
      </c>
      <c r="F484" s="2">
        <v>116.2</v>
      </c>
      <c r="G484" s="2">
        <v>113.2</v>
      </c>
      <c r="H484" s="2">
        <f t="shared" si="44"/>
        <v>3</v>
      </c>
      <c r="I484" s="1">
        <f t="shared" si="45"/>
        <v>0.59053887488262369</v>
      </c>
      <c r="J484" s="2">
        <v>116.8</v>
      </c>
      <c r="K484" s="2">
        <v>113.7</v>
      </c>
      <c r="L484" s="2">
        <f t="shared" si="46"/>
        <v>3.0999999999999943</v>
      </c>
      <c r="M484" s="1">
        <f t="shared" si="47"/>
        <v>7.0221007271323854E-3</v>
      </c>
      <c r="N484" s="2">
        <v>102</v>
      </c>
      <c r="O484" s="2">
        <v>105.2</v>
      </c>
      <c r="P484" s="2">
        <f t="shared" si="48"/>
        <v>-3.2000000000000028</v>
      </c>
      <c r="Q484">
        <v>-2.4</v>
      </c>
    </row>
    <row r="485" spans="1:17">
      <c r="A485" t="s">
        <v>49</v>
      </c>
      <c r="B485" t="s">
        <v>20</v>
      </c>
      <c r="C485">
        <v>26</v>
      </c>
      <c r="D485">
        <v>40</v>
      </c>
      <c r="E485" s="1">
        <f t="shared" si="43"/>
        <v>0.39393939393939392</v>
      </c>
      <c r="F485" s="2">
        <v>97.9</v>
      </c>
      <c r="G485" s="2">
        <v>100.1</v>
      </c>
      <c r="H485" s="2">
        <f t="shared" si="44"/>
        <v>-2.1999999999999886</v>
      </c>
      <c r="I485" s="1">
        <f t="shared" si="45"/>
        <v>0.42284042770166808</v>
      </c>
      <c r="J485" s="2">
        <v>103.1</v>
      </c>
      <c r="K485" s="2">
        <v>105.3</v>
      </c>
      <c r="L485" s="2">
        <f t="shared" si="46"/>
        <v>-2.2000000000000028</v>
      </c>
      <c r="M485" s="1">
        <f t="shared" si="47"/>
        <v>-2.8901033762274153E-2</v>
      </c>
      <c r="N485" s="2">
        <v>101</v>
      </c>
      <c r="O485" s="2">
        <v>104.2</v>
      </c>
      <c r="P485" s="2">
        <f t="shared" si="48"/>
        <v>-3.2000000000000028</v>
      </c>
      <c r="Q485">
        <v>0.2</v>
      </c>
    </row>
    <row r="486" spans="1:17">
      <c r="A486" t="s">
        <v>62</v>
      </c>
      <c r="B486" t="s">
        <v>17</v>
      </c>
      <c r="C486">
        <v>33</v>
      </c>
      <c r="D486">
        <v>49</v>
      </c>
      <c r="E486" s="1">
        <f t="shared" si="43"/>
        <v>0.40243902439024393</v>
      </c>
      <c r="F486" s="2">
        <v>112.1</v>
      </c>
      <c r="G486" s="2">
        <v>115.1</v>
      </c>
      <c r="H486" s="2">
        <f t="shared" si="44"/>
        <v>-3</v>
      </c>
      <c r="I486" s="1">
        <f t="shared" si="45"/>
        <v>0.40860389677498032</v>
      </c>
      <c r="J486" s="2">
        <v>110</v>
      </c>
      <c r="K486" s="2">
        <v>112.8</v>
      </c>
      <c r="L486" s="2">
        <f t="shared" si="46"/>
        <v>-2.7999999999999972</v>
      </c>
      <c r="M486" s="1">
        <f t="shared" si="47"/>
        <v>-6.1648723847363973E-3</v>
      </c>
      <c r="N486" s="2">
        <v>103.8</v>
      </c>
      <c r="O486" s="2">
        <v>107.1</v>
      </c>
      <c r="P486" s="2">
        <f t="shared" si="48"/>
        <v>-3.2999999999999972</v>
      </c>
      <c r="Q486">
        <v>0.6</v>
      </c>
    </row>
    <row r="487" spans="1:17">
      <c r="A487" t="s">
        <v>50</v>
      </c>
      <c r="B487" t="s">
        <v>12</v>
      </c>
      <c r="C487">
        <v>29</v>
      </c>
      <c r="D487">
        <v>53</v>
      </c>
      <c r="E487" s="1">
        <f t="shared" si="43"/>
        <v>0.35365853658536583</v>
      </c>
      <c r="F487" s="2">
        <v>94.9</v>
      </c>
      <c r="G487" s="2">
        <v>98.8</v>
      </c>
      <c r="H487" s="2">
        <f t="shared" si="44"/>
        <v>-3.8999999999999915</v>
      </c>
      <c r="I487" s="1">
        <f t="shared" si="45"/>
        <v>0.36266067514952754</v>
      </c>
      <c r="J487" s="2">
        <v>102.7</v>
      </c>
      <c r="K487" s="2">
        <v>107.2</v>
      </c>
      <c r="L487" s="2">
        <f t="shared" si="46"/>
        <v>-4.5</v>
      </c>
      <c r="M487" s="1">
        <f t="shared" si="47"/>
        <v>-9.0021385641617102E-3</v>
      </c>
      <c r="N487" s="2">
        <v>101.4</v>
      </c>
      <c r="O487" s="2">
        <v>104.7</v>
      </c>
      <c r="P487" s="2">
        <f t="shared" si="48"/>
        <v>-3.2999999999999972</v>
      </c>
      <c r="Q487">
        <v>-0.5</v>
      </c>
    </row>
    <row r="488" spans="1:17">
      <c r="A488" t="s">
        <v>41</v>
      </c>
      <c r="B488" t="s">
        <v>14</v>
      </c>
      <c r="C488">
        <v>34</v>
      </c>
      <c r="D488">
        <v>48</v>
      </c>
      <c r="E488" s="1">
        <f t="shared" si="43"/>
        <v>0.41463414634146339</v>
      </c>
      <c r="F488" s="2">
        <v>90.1</v>
      </c>
      <c r="G488" s="2">
        <v>91.7</v>
      </c>
      <c r="H488" s="2">
        <f t="shared" si="44"/>
        <v>-1.6000000000000085</v>
      </c>
      <c r="I488" s="1">
        <f t="shared" si="45"/>
        <v>0.43870214445209316</v>
      </c>
      <c r="J488" s="2">
        <v>100.4</v>
      </c>
      <c r="K488" s="2">
        <v>102.1</v>
      </c>
      <c r="L488" s="2">
        <f t="shared" si="46"/>
        <v>-1.6999999999999886</v>
      </c>
      <c r="M488" s="1">
        <f t="shared" si="47"/>
        <v>-2.4067998110629762E-2</v>
      </c>
      <c r="N488" s="2">
        <v>97.2</v>
      </c>
      <c r="O488" s="2">
        <v>100.5</v>
      </c>
      <c r="P488" s="2">
        <f t="shared" si="48"/>
        <v>-3.2999999999999972</v>
      </c>
      <c r="Q488">
        <v>0.4</v>
      </c>
    </row>
    <row r="489" spans="1:17">
      <c r="A489" t="s">
        <v>66</v>
      </c>
      <c r="B489" t="s">
        <v>14</v>
      </c>
      <c r="C489">
        <v>39</v>
      </c>
      <c r="D489">
        <v>23</v>
      </c>
      <c r="E489" s="1">
        <f t="shared" si="43"/>
        <v>0.62903225806451613</v>
      </c>
      <c r="F489" s="2">
        <v>114.5</v>
      </c>
      <c r="G489" s="2">
        <v>109.3</v>
      </c>
      <c r="H489" s="2">
        <f t="shared" si="44"/>
        <v>5.2000000000000028</v>
      </c>
      <c r="I489" s="1">
        <f t="shared" si="45"/>
        <v>0.65716773573957665</v>
      </c>
      <c r="J489" s="2">
        <v>116.8</v>
      </c>
      <c r="K489" s="2">
        <v>111.6</v>
      </c>
      <c r="L489" s="2">
        <f t="shared" si="46"/>
        <v>5.2000000000000028</v>
      </c>
      <c r="M489" s="1">
        <f t="shared" si="47"/>
        <v>-2.8135477675060527E-2</v>
      </c>
      <c r="N489" s="2">
        <v>114.4</v>
      </c>
      <c r="O489" s="2">
        <v>117.7</v>
      </c>
      <c r="P489" s="2">
        <f t="shared" si="48"/>
        <v>-3.2999999999999972</v>
      </c>
      <c r="Q489" s="2">
        <v>-0.3</v>
      </c>
    </row>
    <row r="490" spans="1:17">
      <c r="A490" t="s">
        <v>66</v>
      </c>
      <c r="B490" t="s">
        <v>26</v>
      </c>
      <c r="C490">
        <v>30</v>
      </c>
      <c r="D490">
        <v>34</v>
      </c>
      <c r="E490" s="1">
        <f t="shared" si="43"/>
        <v>0.46875</v>
      </c>
      <c r="F490" s="2">
        <v>115.1</v>
      </c>
      <c r="G490" s="2">
        <v>118.1</v>
      </c>
      <c r="H490" s="2">
        <f t="shared" si="44"/>
        <v>-3</v>
      </c>
      <c r="I490" s="1">
        <f t="shared" si="45"/>
        <v>0.41090493030680209</v>
      </c>
      <c r="J490" s="2">
        <v>112.4</v>
      </c>
      <c r="K490" s="2">
        <v>115.5</v>
      </c>
      <c r="L490" s="2">
        <f t="shared" si="46"/>
        <v>-3.0999999999999943</v>
      </c>
      <c r="M490" s="1">
        <f t="shared" si="47"/>
        <v>5.7845069693197915E-2</v>
      </c>
      <c r="N490" s="2">
        <v>116.5</v>
      </c>
      <c r="O490" s="2">
        <v>120</v>
      </c>
      <c r="P490" s="2">
        <f t="shared" si="48"/>
        <v>-3.5</v>
      </c>
      <c r="Q490" s="2">
        <v>-1.2</v>
      </c>
    </row>
    <row r="491" spans="1:17">
      <c r="A491" t="s">
        <v>66</v>
      </c>
      <c r="B491" t="s">
        <v>6</v>
      </c>
      <c r="C491">
        <v>42</v>
      </c>
      <c r="D491">
        <v>21</v>
      </c>
      <c r="E491" s="1">
        <f t="shared" si="43"/>
        <v>0.66666666666666663</v>
      </c>
      <c r="F491" s="2">
        <v>114.5</v>
      </c>
      <c r="G491" s="2">
        <v>107</v>
      </c>
      <c r="H491" s="2">
        <f t="shared" si="44"/>
        <v>7.5</v>
      </c>
      <c r="I491" s="1">
        <f t="shared" si="45"/>
        <v>0.72080211390693061</v>
      </c>
      <c r="J491" s="2">
        <v>119.9</v>
      </c>
      <c r="K491" s="2">
        <v>111.7</v>
      </c>
      <c r="L491" s="2">
        <f t="shared" si="46"/>
        <v>8.2000000000000028</v>
      </c>
      <c r="M491" s="1">
        <f t="shared" si="47"/>
        <v>-5.4135447240263979E-2</v>
      </c>
      <c r="N491" s="2">
        <v>113.1</v>
      </c>
      <c r="O491" s="2">
        <v>116.6</v>
      </c>
      <c r="P491" s="2">
        <f t="shared" si="48"/>
        <v>-3.5</v>
      </c>
      <c r="Q491">
        <v>1.2</v>
      </c>
    </row>
    <row r="492" spans="1:17">
      <c r="A492" t="s">
        <v>62</v>
      </c>
      <c r="B492" t="s">
        <v>46</v>
      </c>
      <c r="C492">
        <v>24</v>
      </c>
      <c r="D492">
        <v>58</v>
      </c>
      <c r="E492" s="1">
        <f t="shared" si="43"/>
        <v>0.29268292682926828</v>
      </c>
      <c r="F492" s="2">
        <v>103.7</v>
      </c>
      <c r="G492" s="2">
        <v>111.8</v>
      </c>
      <c r="H492" s="2">
        <f t="shared" si="44"/>
        <v>-8.0999999999999943</v>
      </c>
      <c r="I492" s="1">
        <f t="shared" si="45"/>
        <v>0.25866242852383342</v>
      </c>
      <c r="J492" s="2">
        <v>103.8</v>
      </c>
      <c r="K492" s="2">
        <v>111.7</v>
      </c>
      <c r="L492" s="2">
        <f t="shared" si="46"/>
        <v>-7.9000000000000057</v>
      </c>
      <c r="M492" s="1">
        <f t="shared" si="47"/>
        <v>3.4020498305434854E-2</v>
      </c>
      <c r="N492" s="2">
        <v>105.1</v>
      </c>
      <c r="O492" s="2">
        <v>108.7</v>
      </c>
      <c r="P492" s="2">
        <f t="shared" si="48"/>
        <v>-3.6000000000000085</v>
      </c>
      <c r="Q492">
        <v>-0.7</v>
      </c>
    </row>
    <row r="493" spans="1:17">
      <c r="A493" t="s">
        <v>55</v>
      </c>
      <c r="B493" t="s">
        <v>20</v>
      </c>
      <c r="C493">
        <v>29</v>
      </c>
      <c r="D493">
        <v>53</v>
      </c>
      <c r="E493" s="1">
        <f t="shared" si="43"/>
        <v>0.35365853658536583</v>
      </c>
      <c r="F493" s="2">
        <v>102.4</v>
      </c>
      <c r="G493" s="2">
        <v>106</v>
      </c>
      <c r="H493" s="2">
        <f t="shared" si="44"/>
        <v>-3.5999999999999943</v>
      </c>
      <c r="I493" s="1">
        <f t="shared" si="45"/>
        <v>0.38137093948309719</v>
      </c>
      <c r="J493" s="2">
        <v>105.4</v>
      </c>
      <c r="K493" s="2">
        <v>109</v>
      </c>
      <c r="L493" s="2">
        <f t="shared" si="46"/>
        <v>-3.5999999999999943</v>
      </c>
      <c r="M493" s="1">
        <f t="shared" si="47"/>
        <v>-2.7712402897731359E-2</v>
      </c>
      <c r="N493" s="2">
        <v>98.6</v>
      </c>
      <c r="O493" s="2">
        <v>102.2</v>
      </c>
      <c r="P493" s="2">
        <f t="shared" si="48"/>
        <v>-3.6000000000000085</v>
      </c>
      <c r="Q493">
        <v>0.1</v>
      </c>
    </row>
    <row r="494" spans="1:17">
      <c r="A494" t="s">
        <v>66</v>
      </c>
      <c r="B494" t="s">
        <v>18</v>
      </c>
      <c r="C494">
        <v>35</v>
      </c>
      <c r="D494">
        <v>29</v>
      </c>
      <c r="E494" s="1">
        <f t="shared" si="43"/>
        <v>0.546875</v>
      </c>
      <c r="F494" s="2">
        <v>120.1</v>
      </c>
      <c r="G494" s="2">
        <v>116.6</v>
      </c>
      <c r="H494" s="2">
        <f t="shared" si="44"/>
        <v>3.5</v>
      </c>
      <c r="I494" s="1">
        <f t="shared" si="45"/>
        <v>0.60206012084803828</v>
      </c>
      <c r="J494" s="2">
        <v>114.7</v>
      </c>
      <c r="K494" s="2">
        <v>111.5</v>
      </c>
      <c r="L494" s="2">
        <f t="shared" si="46"/>
        <v>3.2000000000000028</v>
      </c>
      <c r="M494" s="1">
        <f t="shared" si="47"/>
        <v>-5.5185120848038283E-2</v>
      </c>
      <c r="N494" s="2">
        <v>109.9</v>
      </c>
      <c r="O494" s="2">
        <v>113.6</v>
      </c>
      <c r="P494" s="2">
        <f t="shared" si="48"/>
        <v>-3.6999999999999886</v>
      </c>
      <c r="Q494" s="2">
        <v>0.9</v>
      </c>
    </row>
    <row r="495" spans="1:17">
      <c r="A495" t="s">
        <v>34</v>
      </c>
      <c r="B495" t="s">
        <v>31</v>
      </c>
      <c r="C495">
        <v>44</v>
      </c>
      <c r="D495">
        <v>38</v>
      </c>
      <c r="E495" s="1">
        <f t="shared" si="43"/>
        <v>0.53658536585365857</v>
      </c>
      <c r="F495" s="2">
        <v>96</v>
      </c>
      <c r="G495" s="2">
        <v>95.1</v>
      </c>
      <c r="H495" s="2">
        <f t="shared" si="44"/>
        <v>0.90000000000000568</v>
      </c>
      <c r="I495" s="1">
        <f t="shared" si="45"/>
        <v>0.53291958603886924</v>
      </c>
      <c r="J495" s="2">
        <v>103.8</v>
      </c>
      <c r="K495" s="2">
        <v>102.9</v>
      </c>
      <c r="L495" s="2">
        <f t="shared" si="46"/>
        <v>0.89999999999999147</v>
      </c>
      <c r="M495" s="1">
        <f t="shared" si="47"/>
        <v>3.6657798147893272E-3</v>
      </c>
      <c r="N495" s="2">
        <v>102.8</v>
      </c>
      <c r="O495" s="2">
        <v>106.5</v>
      </c>
      <c r="P495" s="2">
        <f t="shared" si="48"/>
        <v>-3.7000000000000028</v>
      </c>
      <c r="Q495">
        <v>0.6</v>
      </c>
    </row>
    <row r="496" spans="1:17">
      <c r="A496" t="s">
        <v>59</v>
      </c>
      <c r="B496" t="s">
        <v>33</v>
      </c>
      <c r="C496">
        <v>32</v>
      </c>
      <c r="D496">
        <v>50</v>
      </c>
      <c r="E496" s="1">
        <f t="shared" si="43"/>
        <v>0.3902439024390244</v>
      </c>
      <c r="F496" s="2">
        <v>114</v>
      </c>
      <c r="G496" s="2">
        <v>116.9</v>
      </c>
      <c r="H496" s="2">
        <f t="shared" si="44"/>
        <v>-2.9000000000000057</v>
      </c>
      <c r="I496" s="1">
        <f t="shared" si="45"/>
        <v>0.41297365907785938</v>
      </c>
      <c r="J496" s="2">
        <v>110.2</v>
      </c>
      <c r="K496" s="2">
        <v>112.9</v>
      </c>
      <c r="L496" s="2">
        <f t="shared" si="46"/>
        <v>-2.7000000000000028</v>
      </c>
      <c r="M496" s="1">
        <f t="shared" si="47"/>
        <v>-2.2729756638834975E-2</v>
      </c>
      <c r="N496" s="2">
        <v>108.1</v>
      </c>
      <c r="O496" s="2">
        <v>111.8</v>
      </c>
      <c r="P496" s="2">
        <f t="shared" si="48"/>
        <v>-3.7000000000000028</v>
      </c>
      <c r="Q496">
        <v>1.1000000000000001</v>
      </c>
    </row>
    <row r="497" spans="1:17">
      <c r="A497" t="s">
        <v>49</v>
      </c>
      <c r="B497" t="s">
        <v>26</v>
      </c>
      <c r="C497">
        <v>28</v>
      </c>
      <c r="D497">
        <v>38</v>
      </c>
      <c r="E497" s="1">
        <f t="shared" si="43"/>
        <v>0.42424242424242425</v>
      </c>
      <c r="F497" s="2">
        <v>97.2</v>
      </c>
      <c r="G497" s="2">
        <v>97.8</v>
      </c>
      <c r="H497" s="2">
        <f t="shared" si="44"/>
        <v>-0.59999999999999432</v>
      </c>
      <c r="I497" s="1">
        <f t="shared" si="45"/>
        <v>0.4784747831438797</v>
      </c>
      <c r="J497" s="2">
        <v>104.4</v>
      </c>
      <c r="K497" s="2">
        <v>105.3</v>
      </c>
      <c r="L497" s="2">
        <f t="shared" si="46"/>
        <v>-0.89999999999999147</v>
      </c>
      <c r="M497" s="1">
        <f t="shared" si="47"/>
        <v>-5.4232358901455446E-2</v>
      </c>
      <c r="N497" s="2">
        <v>91.5</v>
      </c>
      <c r="O497" s="2">
        <v>95.2</v>
      </c>
      <c r="P497" s="2">
        <f t="shared" si="48"/>
        <v>-3.7000000000000028</v>
      </c>
      <c r="Q497">
        <v>0.5</v>
      </c>
    </row>
    <row r="498" spans="1:17">
      <c r="A498" t="s">
        <v>41</v>
      </c>
      <c r="B498" t="s">
        <v>24</v>
      </c>
      <c r="C498">
        <v>38</v>
      </c>
      <c r="D498">
        <v>44</v>
      </c>
      <c r="E498" s="1">
        <f t="shared" si="43"/>
        <v>0.46341463414634149</v>
      </c>
      <c r="F498" s="2">
        <v>99.4</v>
      </c>
      <c r="G498" s="2">
        <v>101.3</v>
      </c>
      <c r="H498" s="2">
        <f t="shared" si="44"/>
        <v>-1.8999999999999915</v>
      </c>
      <c r="I498" s="1">
        <f t="shared" si="45"/>
        <v>0.4341153034134177</v>
      </c>
      <c r="J498" s="2">
        <v>104.7</v>
      </c>
      <c r="K498" s="2">
        <v>106.5</v>
      </c>
      <c r="L498" s="2">
        <f t="shared" si="46"/>
        <v>-1.7999999999999972</v>
      </c>
      <c r="M498" s="1">
        <f t="shared" si="47"/>
        <v>2.929933073292379E-2</v>
      </c>
      <c r="N498" s="2">
        <v>89.7</v>
      </c>
      <c r="O498" s="2">
        <v>93.5</v>
      </c>
      <c r="P498" s="2">
        <f t="shared" si="48"/>
        <v>-3.7999999999999972</v>
      </c>
      <c r="Q498">
        <v>-1</v>
      </c>
    </row>
    <row r="499" spans="1:17">
      <c r="A499" t="s">
        <v>45</v>
      </c>
      <c r="B499" t="s">
        <v>15</v>
      </c>
      <c r="C499">
        <v>36</v>
      </c>
      <c r="D499">
        <v>46</v>
      </c>
      <c r="E499" s="1">
        <f t="shared" si="43"/>
        <v>0.43902439024390244</v>
      </c>
      <c r="F499" s="2">
        <v>105.1</v>
      </c>
      <c r="G499" s="2">
        <v>106.2</v>
      </c>
      <c r="H499" s="2">
        <f t="shared" si="44"/>
        <v>-1.1000000000000085</v>
      </c>
      <c r="I499" s="1">
        <f t="shared" si="45"/>
        <v>0.46362297938992397</v>
      </c>
      <c r="J499" s="2">
        <v>107.2</v>
      </c>
      <c r="K499" s="2">
        <v>108.2</v>
      </c>
      <c r="L499" s="2">
        <f t="shared" si="46"/>
        <v>-1</v>
      </c>
      <c r="M499" s="1">
        <f t="shared" si="47"/>
        <v>-2.4598589146021532E-2</v>
      </c>
      <c r="N499" s="2">
        <v>102.7</v>
      </c>
      <c r="O499" s="2">
        <v>106.5</v>
      </c>
      <c r="P499" s="2">
        <f t="shared" si="48"/>
        <v>-3.7999999999999972</v>
      </c>
      <c r="Q499">
        <v>-0.6</v>
      </c>
    </row>
    <row r="500" spans="1:17">
      <c r="A500" t="s">
        <v>54</v>
      </c>
      <c r="B500" t="s">
        <v>20</v>
      </c>
      <c r="C500">
        <v>16</v>
      </c>
      <c r="D500">
        <v>66</v>
      </c>
      <c r="E500" s="1">
        <f t="shared" si="43"/>
        <v>0.1951219512195122</v>
      </c>
      <c r="F500" s="2">
        <v>97.8</v>
      </c>
      <c r="G500" s="2">
        <v>106.5</v>
      </c>
      <c r="H500" s="2">
        <f t="shared" si="44"/>
        <v>-8.7000000000000028</v>
      </c>
      <c r="I500" s="1">
        <f t="shared" si="45"/>
        <v>0.23270751266872564</v>
      </c>
      <c r="J500" s="2">
        <v>101.8</v>
      </c>
      <c r="K500" s="2">
        <v>110.9</v>
      </c>
      <c r="L500" s="2">
        <f t="shared" si="46"/>
        <v>-9.1000000000000085</v>
      </c>
      <c r="M500" s="1">
        <f t="shared" si="47"/>
        <v>-3.7585561449213434E-2</v>
      </c>
      <c r="N500" s="2">
        <v>103.7</v>
      </c>
      <c r="O500" s="2">
        <v>107.6</v>
      </c>
      <c r="P500" s="2">
        <f t="shared" si="48"/>
        <v>-3.8999999999999915</v>
      </c>
      <c r="Q500">
        <v>-0.1</v>
      </c>
    </row>
    <row r="501" spans="1:17">
      <c r="A501" t="s">
        <v>61</v>
      </c>
      <c r="B501" t="s">
        <v>28</v>
      </c>
      <c r="C501">
        <v>33</v>
      </c>
      <c r="D501">
        <v>39</v>
      </c>
      <c r="E501" s="1">
        <f t="shared" si="43"/>
        <v>0.45833333333333331</v>
      </c>
      <c r="F501" s="2">
        <v>111.1</v>
      </c>
      <c r="G501" s="2">
        <v>112.8</v>
      </c>
      <c r="H501" s="2">
        <f t="shared" si="44"/>
        <v>-1.7000000000000028</v>
      </c>
      <c r="I501" s="1">
        <f t="shared" si="45"/>
        <v>0.44704954082867138</v>
      </c>
      <c r="J501" s="2">
        <v>110.5</v>
      </c>
      <c r="K501" s="2">
        <v>112</v>
      </c>
      <c r="L501" s="2">
        <f t="shared" si="46"/>
        <v>-1.5</v>
      </c>
      <c r="M501" s="1">
        <f t="shared" si="47"/>
        <v>1.1283792504661938E-2</v>
      </c>
      <c r="N501" s="2">
        <v>105</v>
      </c>
      <c r="O501" s="2">
        <v>108.9</v>
      </c>
      <c r="P501" s="2">
        <f t="shared" si="48"/>
        <v>-3.9000000000000057</v>
      </c>
      <c r="Q501">
        <v>-0.3</v>
      </c>
    </row>
    <row r="502" spans="1:17">
      <c r="A502" t="s">
        <v>65</v>
      </c>
      <c r="B502" t="s">
        <v>28</v>
      </c>
      <c r="C502">
        <v>34</v>
      </c>
      <c r="D502">
        <v>48</v>
      </c>
      <c r="E502" s="1">
        <f t="shared" si="43"/>
        <v>0.41463414634146339</v>
      </c>
      <c r="F502" s="2">
        <v>113.9</v>
      </c>
      <c r="G502" s="2">
        <v>116.7</v>
      </c>
      <c r="H502" s="2">
        <f t="shared" si="44"/>
        <v>-2.7999999999999972</v>
      </c>
      <c r="I502" s="1">
        <f t="shared" si="45"/>
        <v>0.41580963161703305</v>
      </c>
      <c r="J502" s="2">
        <v>113.5</v>
      </c>
      <c r="K502" s="2">
        <v>116.3</v>
      </c>
      <c r="L502" s="2">
        <f t="shared" si="46"/>
        <v>-2.7999999999999972</v>
      </c>
      <c r="M502" s="1">
        <f t="shared" si="47"/>
        <v>-1.1754852755696543E-3</v>
      </c>
      <c r="N502" s="2">
        <v>103.5</v>
      </c>
      <c r="O502" s="2">
        <v>107.4</v>
      </c>
      <c r="P502" s="2">
        <f t="shared" si="48"/>
        <v>-3.9000000000000057</v>
      </c>
      <c r="Q502">
        <v>-0.2</v>
      </c>
    </row>
    <row r="503" spans="1:17">
      <c r="A503" t="s">
        <v>4</v>
      </c>
      <c r="B503" t="s">
        <v>29</v>
      </c>
      <c r="C503">
        <v>44</v>
      </c>
      <c r="D503">
        <v>38</v>
      </c>
      <c r="E503" s="1">
        <f t="shared" si="43"/>
        <v>0.53658536585365857</v>
      </c>
      <c r="F503" s="2">
        <v>97.3</v>
      </c>
      <c r="G503" s="2">
        <v>97.3</v>
      </c>
      <c r="H503" s="2">
        <f t="shared" si="44"/>
        <v>0</v>
      </c>
      <c r="I503" s="1">
        <f t="shared" si="45"/>
        <v>0.5</v>
      </c>
      <c r="J503" s="2">
        <v>104.4</v>
      </c>
      <c r="K503" s="2">
        <v>104.2</v>
      </c>
      <c r="L503" s="2">
        <f t="shared" si="46"/>
        <v>0.20000000000000284</v>
      </c>
      <c r="M503" s="1">
        <f t="shared" si="47"/>
        <v>3.6585365853658569E-2</v>
      </c>
      <c r="N503" s="2">
        <v>98.3</v>
      </c>
      <c r="O503" s="2">
        <v>102.3</v>
      </c>
      <c r="P503" s="2">
        <f t="shared" si="48"/>
        <v>-4</v>
      </c>
      <c r="Q503">
        <v>-0.4</v>
      </c>
    </row>
    <row r="504" spans="1:17">
      <c r="A504" t="s">
        <v>38</v>
      </c>
      <c r="B504" t="s">
        <v>9</v>
      </c>
      <c r="C504">
        <v>35</v>
      </c>
      <c r="D504">
        <v>47</v>
      </c>
      <c r="E504" s="1">
        <f t="shared" si="43"/>
        <v>0.42682926829268292</v>
      </c>
      <c r="F504" s="2">
        <v>92.9</v>
      </c>
      <c r="G504" s="2">
        <v>95.5</v>
      </c>
      <c r="H504" s="2">
        <f t="shared" si="44"/>
        <v>-2.5999999999999943</v>
      </c>
      <c r="I504" s="1">
        <f t="shared" si="45"/>
        <v>0.40457545277008533</v>
      </c>
      <c r="J504" s="2">
        <v>100.6</v>
      </c>
      <c r="K504" s="2">
        <v>103.1</v>
      </c>
      <c r="L504" s="2">
        <f t="shared" si="46"/>
        <v>-2.5</v>
      </c>
      <c r="M504" s="1">
        <f t="shared" si="47"/>
        <v>2.2253815522597586E-2</v>
      </c>
      <c r="N504" s="2">
        <v>93.1</v>
      </c>
      <c r="O504" s="2">
        <v>97.1</v>
      </c>
      <c r="P504" s="2">
        <f t="shared" si="48"/>
        <v>-4</v>
      </c>
      <c r="Q504">
        <v>-0.5</v>
      </c>
    </row>
    <row r="505" spans="1:17">
      <c r="A505" t="s">
        <v>45</v>
      </c>
      <c r="B505" t="s">
        <v>30</v>
      </c>
      <c r="C505">
        <v>33</v>
      </c>
      <c r="D505">
        <v>49</v>
      </c>
      <c r="E505" s="1">
        <f t="shared" si="43"/>
        <v>0.40243902439024393</v>
      </c>
      <c r="F505" s="2">
        <v>99</v>
      </c>
      <c r="G505" s="2">
        <v>101.9</v>
      </c>
      <c r="H505" s="2">
        <f t="shared" si="44"/>
        <v>-2.9000000000000057</v>
      </c>
      <c r="I505" s="1">
        <f t="shared" si="45"/>
        <v>0.4003014410465785</v>
      </c>
      <c r="J505" s="2">
        <v>105.5</v>
      </c>
      <c r="K505" s="2">
        <v>108.6</v>
      </c>
      <c r="L505" s="2">
        <f t="shared" si="46"/>
        <v>-3.0999999999999943</v>
      </c>
      <c r="M505" s="1">
        <f t="shared" si="47"/>
        <v>2.1375833436654279E-3</v>
      </c>
      <c r="N505" s="2">
        <v>107</v>
      </c>
      <c r="O505" s="2">
        <v>111</v>
      </c>
      <c r="P505" s="2">
        <f t="shared" si="48"/>
        <v>-4</v>
      </c>
      <c r="Q505">
        <v>-0.5</v>
      </c>
    </row>
    <row r="506" spans="1:17">
      <c r="A506" t="s">
        <v>38</v>
      </c>
      <c r="B506" t="s">
        <v>6</v>
      </c>
      <c r="C506">
        <v>36</v>
      </c>
      <c r="D506">
        <v>46</v>
      </c>
      <c r="E506" s="1">
        <f t="shared" si="43"/>
        <v>0.43902439024390244</v>
      </c>
      <c r="F506" s="2">
        <v>95.3</v>
      </c>
      <c r="G506" s="2">
        <v>96.7</v>
      </c>
      <c r="H506" s="2">
        <f t="shared" si="44"/>
        <v>-1.4000000000000057</v>
      </c>
      <c r="I506" s="1">
        <f t="shared" si="45"/>
        <v>0.44913400395840042</v>
      </c>
      <c r="J506" s="2">
        <v>100.7</v>
      </c>
      <c r="K506" s="2">
        <v>102.2</v>
      </c>
      <c r="L506" s="2">
        <f t="shared" si="46"/>
        <v>-1.5</v>
      </c>
      <c r="M506" s="1">
        <f t="shared" si="47"/>
        <v>-1.0109613714497978E-2</v>
      </c>
      <c r="N506" s="2">
        <v>100.3</v>
      </c>
      <c r="O506" s="2">
        <v>104.3</v>
      </c>
      <c r="P506" s="2">
        <f t="shared" si="48"/>
        <v>-4</v>
      </c>
      <c r="Q506">
        <v>-0.4</v>
      </c>
    </row>
    <row r="507" spans="1:17">
      <c r="A507" t="s">
        <v>48</v>
      </c>
      <c r="B507" t="s">
        <v>22</v>
      </c>
      <c r="C507">
        <v>42</v>
      </c>
      <c r="D507">
        <v>40</v>
      </c>
      <c r="E507" s="1">
        <f t="shared" si="43"/>
        <v>0.51219512195121952</v>
      </c>
      <c r="F507" s="2">
        <v>106.5</v>
      </c>
      <c r="G507" s="2">
        <v>105.7</v>
      </c>
      <c r="H507" s="2">
        <f t="shared" si="44"/>
        <v>0.79999999999999716</v>
      </c>
      <c r="I507" s="1">
        <f t="shared" si="45"/>
        <v>0.52636584420943078</v>
      </c>
      <c r="J507" s="2">
        <v>109.9</v>
      </c>
      <c r="K507" s="2">
        <v>109</v>
      </c>
      <c r="L507" s="2">
        <f t="shared" si="46"/>
        <v>0.90000000000000568</v>
      </c>
      <c r="M507" s="1">
        <f t="shared" si="47"/>
        <v>-1.4170722258211255E-2</v>
      </c>
      <c r="N507" s="2">
        <v>106.4</v>
      </c>
      <c r="O507" s="2">
        <v>110.4</v>
      </c>
      <c r="P507" s="2">
        <f t="shared" si="48"/>
        <v>-4</v>
      </c>
      <c r="Q507">
        <v>-0.4</v>
      </c>
    </row>
    <row r="508" spans="1:17">
      <c r="A508" t="s">
        <v>57</v>
      </c>
      <c r="B508" t="s">
        <v>53</v>
      </c>
      <c r="C508">
        <v>34</v>
      </c>
      <c r="D508">
        <v>48</v>
      </c>
      <c r="E508" s="1">
        <f t="shared" si="43"/>
        <v>0.41463414634146339</v>
      </c>
      <c r="F508" s="2">
        <v>104.3</v>
      </c>
      <c r="G508" s="2">
        <v>106.4</v>
      </c>
      <c r="H508" s="2">
        <f t="shared" si="44"/>
        <v>-2.1000000000000085</v>
      </c>
      <c r="I508" s="1">
        <f t="shared" si="45"/>
        <v>0.4306795838171591</v>
      </c>
      <c r="J508" s="2">
        <v>104.7</v>
      </c>
      <c r="K508" s="2">
        <v>106.8</v>
      </c>
      <c r="L508" s="2">
        <f t="shared" si="46"/>
        <v>-2.0999999999999943</v>
      </c>
      <c r="M508" s="1">
        <f t="shared" si="47"/>
        <v>-1.6045437475695701E-2</v>
      </c>
      <c r="N508" s="2">
        <v>91.6</v>
      </c>
      <c r="O508" s="2">
        <v>95.6</v>
      </c>
      <c r="P508" s="2">
        <f t="shared" si="48"/>
        <v>-4</v>
      </c>
      <c r="Q508">
        <v>-0.8</v>
      </c>
    </row>
    <row r="509" spans="1:17">
      <c r="A509" t="s">
        <v>57</v>
      </c>
      <c r="B509" t="s">
        <v>7</v>
      </c>
      <c r="C509">
        <v>36</v>
      </c>
      <c r="D509">
        <v>46</v>
      </c>
      <c r="E509" s="1">
        <f t="shared" si="43"/>
        <v>0.43902439024390244</v>
      </c>
      <c r="F509" s="2">
        <v>104.9</v>
      </c>
      <c r="G509" s="2">
        <v>104.7</v>
      </c>
      <c r="H509" s="2">
        <f t="shared" si="44"/>
        <v>0.20000000000000284</v>
      </c>
      <c r="I509" s="1">
        <f t="shared" si="45"/>
        <v>0.50667899404030869</v>
      </c>
      <c r="J509" s="2">
        <v>108.4</v>
      </c>
      <c r="K509" s="2">
        <v>108.4</v>
      </c>
      <c r="L509" s="2">
        <f t="shared" si="46"/>
        <v>0</v>
      </c>
      <c r="M509" s="1">
        <f t="shared" si="47"/>
        <v>-6.7654603796406254E-2</v>
      </c>
      <c r="N509" s="2">
        <v>115.5</v>
      </c>
      <c r="O509" s="2">
        <v>119.6</v>
      </c>
      <c r="P509" s="2">
        <f t="shared" si="48"/>
        <v>-4.0999999999999943</v>
      </c>
      <c r="Q509">
        <v>-0.3</v>
      </c>
    </row>
    <row r="510" spans="1:17">
      <c r="A510" t="s">
        <v>4</v>
      </c>
      <c r="B510" t="s">
        <v>20</v>
      </c>
      <c r="C510">
        <v>47</v>
      </c>
      <c r="D510">
        <v>35</v>
      </c>
      <c r="E510" s="1">
        <f t="shared" si="43"/>
        <v>0.57317073170731703</v>
      </c>
      <c r="F510" s="2">
        <v>97.3</v>
      </c>
      <c r="G510" s="2">
        <v>96</v>
      </c>
      <c r="H510" s="2">
        <f t="shared" si="44"/>
        <v>1.2999999999999972</v>
      </c>
      <c r="I510" s="1">
        <f t="shared" si="45"/>
        <v>0.546939164426965</v>
      </c>
      <c r="J510" s="2">
        <v>103.9</v>
      </c>
      <c r="K510" s="2">
        <v>102.4</v>
      </c>
      <c r="L510" s="2">
        <f t="shared" si="46"/>
        <v>1.5</v>
      </c>
      <c r="M510" s="1">
        <f t="shared" si="47"/>
        <v>2.6231567280352031E-2</v>
      </c>
      <c r="N510" s="2">
        <v>102.8</v>
      </c>
      <c r="O510" s="2">
        <v>106.9</v>
      </c>
      <c r="P510" s="2">
        <f t="shared" si="48"/>
        <v>-4.1000000000000085</v>
      </c>
      <c r="Q510">
        <v>-0.5</v>
      </c>
    </row>
    <row r="511" spans="1:17">
      <c r="A511" t="s">
        <v>48</v>
      </c>
      <c r="B511" t="s">
        <v>12</v>
      </c>
      <c r="C511">
        <v>30</v>
      </c>
      <c r="D511">
        <v>52</v>
      </c>
      <c r="E511" s="1">
        <f t="shared" si="43"/>
        <v>0.36585365853658536</v>
      </c>
      <c r="F511" s="2">
        <v>97</v>
      </c>
      <c r="G511" s="2">
        <v>100.6</v>
      </c>
      <c r="H511" s="2">
        <f t="shared" si="44"/>
        <v>-3.5999999999999943</v>
      </c>
      <c r="I511" s="1">
        <f t="shared" si="45"/>
        <v>0.37515182060576369</v>
      </c>
      <c r="J511" s="2">
        <v>107</v>
      </c>
      <c r="K511" s="2">
        <v>110.7</v>
      </c>
      <c r="L511" s="2">
        <f t="shared" si="46"/>
        <v>-3.7000000000000028</v>
      </c>
      <c r="M511" s="1">
        <f t="shared" si="47"/>
        <v>-9.2981620691783284E-3</v>
      </c>
      <c r="N511" s="2">
        <v>99.4</v>
      </c>
      <c r="O511" s="2">
        <v>103.6</v>
      </c>
      <c r="P511" s="2">
        <f t="shared" si="48"/>
        <v>-4.1999999999999886</v>
      </c>
      <c r="Q511">
        <v>-1.1000000000000001</v>
      </c>
    </row>
    <row r="512" spans="1:17">
      <c r="A512" t="s">
        <v>34</v>
      </c>
      <c r="B512" t="s">
        <v>28</v>
      </c>
      <c r="C512">
        <v>58</v>
      </c>
      <c r="D512">
        <v>24</v>
      </c>
      <c r="E512" s="1">
        <f t="shared" si="43"/>
        <v>0.70731707317073167</v>
      </c>
      <c r="F512" s="2">
        <v>96.7</v>
      </c>
      <c r="G512" s="2">
        <v>90.5</v>
      </c>
      <c r="H512" s="2">
        <f t="shared" si="44"/>
        <v>6.2000000000000028</v>
      </c>
      <c r="I512" s="1">
        <f t="shared" si="45"/>
        <v>0.71660634572291726</v>
      </c>
      <c r="J512" s="2">
        <v>105.4</v>
      </c>
      <c r="K512" s="2">
        <v>98.5</v>
      </c>
      <c r="L512" s="2">
        <f t="shared" si="46"/>
        <v>6.9000000000000057</v>
      </c>
      <c r="M512" s="1">
        <f t="shared" si="47"/>
        <v>-9.2892725521855901E-3</v>
      </c>
      <c r="N512" s="2">
        <v>92.5</v>
      </c>
      <c r="O512" s="2">
        <v>96.7</v>
      </c>
      <c r="P512" s="2">
        <f t="shared" si="48"/>
        <v>-4.2000000000000028</v>
      </c>
      <c r="Q512">
        <v>0.2</v>
      </c>
    </row>
    <row r="513" spans="1:17">
      <c r="A513" t="s">
        <v>54</v>
      </c>
      <c r="B513" t="s">
        <v>30</v>
      </c>
      <c r="C513">
        <v>49</v>
      </c>
      <c r="D513">
        <v>33</v>
      </c>
      <c r="E513" s="1">
        <f t="shared" si="43"/>
        <v>0.59756097560975607</v>
      </c>
      <c r="F513" s="2">
        <v>104</v>
      </c>
      <c r="G513" s="2">
        <v>100.9</v>
      </c>
      <c r="H513" s="2">
        <f t="shared" si="44"/>
        <v>3.0999999999999943</v>
      </c>
      <c r="I513" s="1">
        <f t="shared" si="45"/>
        <v>0.60435719403948929</v>
      </c>
      <c r="J513" s="2">
        <v>110.2</v>
      </c>
      <c r="K513" s="2">
        <v>107.1</v>
      </c>
      <c r="L513" s="2">
        <f t="shared" si="46"/>
        <v>3.1000000000000085</v>
      </c>
      <c r="M513" s="1">
        <f t="shared" si="47"/>
        <v>-6.796218429733214E-3</v>
      </c>
      <c r="N513" s="2">
        <v>104.4</v>
      </c>
      <c r="O513" s="2">
        <v>108.7</v>
      </c>
      <c r="P513" s="2">
        <f t="shared" si="48"/>
        <v>-4.2999999999999972</v>
      </c>
      <c r="Q513">
        <v>0.3</v>
      </c>
    </row>
    <row r="514" spans="1:17">
      <c r="A514" t="s">
        <v>59</v>
      </c>
      <c r="B514" t="s">
        <v>18</v>
      </c>
      <c r="C514">
        <v>39</v>
      </c>
      <c r="D514">
        <v>43</v>
      </c>
      <c r="E514" s="1">
        <f t="shared" si="43"/>
        <v>0.47560975609756095</v>
      </c>
      <c r="F514" s="2">
        <v>105.7</v>
      </c>
      <c r="G514" s="2">
        <v>105.9</v>
      </c>
      <c r="H514" s="2">
        <f t="shared" si="44"/>
        <v>-0.20000000000000284</v>
      </c>
      <c r="I514" s="1">
        <f t="shared" si="45"/>
        <v>0.49338412708182683</v>
      </c>
      <c r="J514" s="2">
        <v>106.7</v>
      </c>
      <c r="K514" s="2">
        <v>107.1</v>
      </c>
      <c r="L514" s="2">
        <f t="shared" si="46"/>
        <v>-0.39999999999999147</v>
      </c>
      <c r="M514" s="1">
        <f t="shared" si="47"/>
        <v>-1.7774370984265875E-2</v>
      </c>
      <c r="N514" s="2">
        <v>93.6</v>
      </c>
      <c r="O514" s="2">
        <v>97.9</v>
      </c>
      <c r="P514" s="2">
        <f t="shared" si="48"/>
        <v>-4.3000000000000114</v>
      </c>
      <c r="Q514">
        <v>-0.7</v>
      </c>
    </row>
    <row r="515" spans="1:17">
      <c r="A515" t="s">
        <v>48</v>
      </c>
      <c r="B515" t="s">
        <v>19</v>
      </c>
      <c r="C515">
        <v>35</v>
      </c>
      <c r="D515">
        <v>47</v>
      </c>
      <c r="E515" s="1">
        <f t="shared" si="43"/>
        <v>0.42682926829268292</v>
      </c>
      <c r="F515" s="2">
        <v>91.9</v>
      </c>
      <c r="G515" s="2">
        <v>92.7</v>
      </c>
      <c r="H515" s="2">
        <f t="shared" si="44"/>
        <v>-0.79999999999999716</v>
      </c>
      <c r="I515" s="1">
        <f t="shared" si="45"/>
        <v>0.46970111742339138</v>
      </c>
      <c r="J515" s="2">
        <v>100.8</v>
      </c>
      <c r="K515" s="2">
        <v>101.5</v>
      </c>
      <c r="L515" s="2">
        <f t="shared" si="46"/>
        <v>-0.70000000000000284</v>
      </c>
      <c r="M515" s="1">
        <f t="shared" si="47"/>
        <v>-4.2871849130708461E-2</v>
      </c>
      <c r="N515" s="2">
        <v>90.8</v>
      </c>
      <c r="O515" s="2">
        <v>95.2</v>
      </c>
      <c r="P515" s="2">
        <f t="shared" si="48"/>
        <v>-4.4000000000000057</v>
      </c>
      <c r="Q515">
        <v>0.4</v>
      </c>
    </row>
    <row r="516" spans="1:17">
      <c r="A516" t="s">
        <v>55</v>
      </c>
      <c r="B516" t="s">
        <v>8</v>
      </c>
      <c r="C516">
        <v>42</v>
      </c>
      <c r="D516">
        <v>40</v>
      </c>
      <c r="E516" s="1">
        <f t="shared" si="43"/>
        <v>0.51219512195121952</v>
      </c>
      <c r="F516" s="2">
        <v>101.6</v>
      </c>
      <c r="G516" s="2">
        <v>103.1</v>
      </c>
      <c r="H516" s="2">
        <f t="shared" si="44"/>
        <v>-1.5</v>
      </c>
      <c r="I516" s="1">
        <f t="shared" si="45"/>
        <v>0.44888371019614143</v>
      </c>
      <c r="J516" s="2">
        <v>104.1</v>
      </c>
      <c r="K516" s="2">
        <v>105.5</v>
      </c>
      <c r="L516" s="2">
        <f t="shared" si="46"/>
        <v>-1.4000000000000057</v>
      </c>
      <c r="M516" s="1">
        <f t="shared" si="47"/>
        <v>6.3311411755078095E-2</v>
      </c>
      <c r="N516" s="2">
        <v>95.5</v>
      </c>
      <c r="O516" s="2">
        <v>100</v>
      </c>
      <c r="P516" s="2">
        <f t="shared" si="48"/>
        <v>-4.5</v>
      </c>
      <c r="Q516">
        <v>-0.7</v>
      </c>
    </row>
    <row r="517" spans="1:17">
      <c r="A517" t="s">
        <v>38</v>
      </c>
      <c r="B517" t="s">
        <v>30</v>
      </c>
      <c r="C517">
        <v>33</v>
      </c>
      <c r="D517">
        <v>49</v>
      </c>
      <c r="E517" s="1">
        <f t="shared" si="43"/>
        <v>0.40243902439024393</v>
      </c>
      <c r="F517" s="2">
        <v>85.4</v>
      </c>
      <c r="G517" s="2">
        <v>88.5</v>
      </c>
      <c r="H517" s="2">
        <f t="shared" si="44"/>
        <v>-3.0999999999999943</v>
      </c>
      <c r="I517" s="1">
        <f t="shared" si="45"/>
        <v>0.37773096615035939</v>
      </c>
      <c r="J517" s="2">
        <v>95.3</v>
      </c>
      <c r="K517" s="2">
        <v>98.8</v>
      </c>
      <c r="L517" s="2">
        <f t="shared" si="46"/>
        <v>-3.5</v>
      </c>
      <c r="M517" s="1">
        <f t="shared" si="47"/>
        <v>2.4708058239884534E-2</v>
      </c>
      <c r="N517" s="2">
        <v>92.7</v>
      </c>
      <c r="O517" s="2">
        <v>97.2</v>
      </c>
      <c r="P517" s="2">
        <f t="shared" si="48"/>
        <v>-4.5</v>
      </c>
      <c r="Q517">
        <v>0.3</v>
      </c>
    </row>
    <row r="518" spans="1:17">
      <c r="A518" t="s">
        <v>4</v>
      </c>
      <c r="B518" t="s">
        <v>32</v>
      </c>
      <c r="C518">
        <v>23</v>
      </c>
      <c r="D518">
        <v>59</v>
      </c>
      <c r="E518" s="1">
        <f t="shared" si="43"/>
        <v>0.28048780487804881</v>
      </c>
      <c r="F518" s="2">
        <v>91.7</v>
      </c>
      <c r="G518" s="2">
        <v>97.5</v>
      </c>
      <c r="H518" s="2">
        <f t="shared" si="44"/>
        <v>-5.7999999999999972</v>
      </c>
      <c r="I518" s="1">
        <f t="shared" si="45"/>
        <v>0.29762775150060888</v>
      </c>
      <c r="J518" s="2">
        <v>98.2</v>
      </c>
      <c r="K518" s="2">
        <v>104.2</v>
      </c>
      <c r="L518" s="2">
        <f t="shared" si="46"/>
        <v>-6</v>
      </c>
      <c r="M518" s="1">
        <f t="shared" si="47"/>
        <v>-1.7139946622560076E-2</v>
      </c>
      <c r="N518" s="2">
        <v>102.1</v>
      </c>
      <c r="O518" s="2">
        <v>106.7</v>
      </c>
      <c r="P518" s="2">
        <f t="shared" si="48"/>
        <v>-4.6000000000000085</v>
      </c>
      <c r="Q518">
        <v>-1.3</v>
      </c>
    </row>
    <row r="519" spans="1:17">
      <c r="A519" t="s">
        <v>50</v>
      </c>
      <c r="B519" t="s">
        <v>40</v>
      </c>
      <c r="C519">
        <v>21</v>
      </c>
      <c r="D519">
        <v>61</v>
      </c>
      <c r="E519" s="1">
        <f t="shared" si="43"/>
        <v>0.25609756097560976</v>
      </c>
      <c r="F519" s="2">
        <v>93.4</v>
      </c>
      <c r="G519" s="2">
        <v>102.7</v>
      </c>
      <c r="H519" s="2">
        <f t="shared" si="44"/>
        <v>-9.2999999999999972</v>
      </c>
      <c r="I519" s="1">
        <f t="shared" si="45"/>
        <v>0.20934289845958631</v>
      </c>
      <c r="J519" s="2">
        <v>100.4</v>
      </c>
      <c r="K519" s="2">
        <v>110.3</v>
      </c>
      <c r="L519" s="2">
        <f t="shared" si="46"/>
        <v>-9.8999999999999915</v>
      </c>
      <c r="M519" s="1">
        <f t="shared" si="47"/>
        <v>4.6754662516023449E-2</v>
      </c>
      <c r="N519" s="2">
        <v>95.9</v>
      </c>
      <c r="O519" s="2">
        <v>100.6</v>
      </c>
      <c r="P519" s="2">
        <f t="shared" si="48"/>
        <v>-4.6999999999999886</v>
      </c>
      <c r="Q519">
        <v>-1.8</v>
      </c>
    </row>
    <row r="520" spans="1:17">
      <c r="A520" t="s">
        <v>64</v>
      </c>
      <c r="B520" t="s">
        <v>9</v>
      </c>
      <c r="C520">
        <v>48</v>
      </c>
      <c r="D520">
        <v>34</v>
      </c>
      <c r="E520" s="1">
        <f t="shared" si="43"/>
        <v>0.58536585365853655</v>
      </c>
      <c r="F520" s="2">
        <v>112.6</v>
      </c>
      <c r="G520" s="2">
        <v>110.2</v>
      </c>
      <c r="H520" s="2">
        <f t="shared" si="44"/>
        <v>2.3999999999999915</v>
      </c>
      <c r="I520" s="1">
        <f t="shared" si="45"/>
        <v>0.57484031607485653</v>
      </c>
      <c r="J520" s="2">
        <v>114.7</v>
      </c>
      <c r="K520" s="2">
        <v>112.1</v>
      </c>
      <c r="L520" s="2">
        <f t="shared" si="46"/>
        <v>2.6000000000000085</v>
      </c>
      <c r="M520" s="1">
        <f t="shared" si="47"/>
        <v>1.0525537583680022E-2</v>
      </c>
      <c r="N520" s="2">
        <v>106.4</v>
      </c>
      <c r="O520" s="2">
        <v>111.1</v>
      </c>
      <c r="P520" s="2">
        <f t="shared" si="48"/>
        <v>-4.6999999999999886</v>
      </c>
      <c r="Q520">
        <v>0.3</v>
      </c>
    </row>
    <row r="521" spans="1:17">
      <c r="A521" t="s">
        <v>47</v>
      </c>
      <c r="B521" t="s">
        <v>31</v>
      </c>
      <c r="C521">
        <v>53</v>
      </c>
      <c r="D521">
        <v>29</v>
      </c>
      <c r="E521" s="1">
        <f t="shared" ref="E521:E584" si="49">+C521/(C521+D521)</f>
        <v>0.64634146341463417</v>
      </c>
      <c r="F521" s="2">
        <v>104.2</v>
      </c>
      <c r="G521" s="2">
        <v>98.9</v>
      </c>
      <c r="H521" s="2">
        <f t="shared" ref="H521:H584" si="50">+F521-G521</f>
        <v>5.2999999999999972</v>
      </c>
      <c r="I521" s="1">
        <f t="shared" ref="I521:I584" si="51">+(F521^14)/((F521^14+G521^14))</f>
        <v>0.67498968076198662</v>
      </c>
      <c r="J521" s="2">
        <v>109.7</v>
      </c>
      <c r="K521" s="2">
        <v>104</v>
      </c>
      <c r="L521" s="2">
        <f t="shared" ref="L521:L584" si="52">+J521-K521</f>
        <v>5.7000000000000028</v>
      </c>
      <c r="M521" s="1">
        <f t="shared" ref="M521:M584" si="53">+E521-I521</f>
        <v>-2.8648217347352456E-2</v>
      </c>
      <c r="N521" s="2">
        <v>105.9</v>
      </c>
      <c r="O521" s="2">
        <v>110.6</v>
      </c>
      <c r="P521" s="2">
        <f t="shared" ref="P521:P584" si="54">+N521-O521</f>
        <v>-4.6999999999999886</v>
      </c>
      <c r="Q521">
        <v>1.5</v>
      </c>
    </row>
    <row r="522" spans="1:17">
      <c r="A522" t="s">
        <v>62</v>
      </c>
      <c r="B522" t="s">
        <v>53</v>
      </c>
      <c r="C522">
        <v>36</v>
      </c>
      <c r="D522">
        <v>46</v>
      </c>
      <c r="E522" s="1">
        <f t="shared" si="49"/>
        <v>0.43902439024390244</v>
      </c>
      <c r="F522" s="2">
        <v>109.3</v>
      </c>
      <c r="G522" s="2">
        <v>110.3</v>
      </c>
      <c r="H522" s="2">
        <f t="shared" si="50"/>
        <v>-1</v>
      </c>
      <c r="I522" s="1">
        <f t="shared" si="51"/>
        <v>0.46816675732183283</v>
      </c>
      <c r="J522" s="2">
        <v>111.2</v>
      </c>
      <c r="K522" s="2">
        <v>112</v>
      </c>
      <c r="L522" s="2">
        <f t="shared" si="52"/>
        <v>-0.79999999999999716</v>
      </c>
      <c r="M522" s="1">
        <f t="shared" si="53"/>
        <v>-2.9142367077930387E-2</v>
      </c>
      <c r="N522" s="2">
        <v>115.5</v>
      </c>
      <c r="O522" s="2">
        <v>120.3</v>
      </c>
      <c r="P522" s="2">
        <f t="shared" si="54"/>
        <v>-4.7999999999999972</v>
      </c>
      <c r="Q522">
        <v>0.3</v>
      </c>
    </row>
    <row r="523" spans="1:17">
      <c r="A523" t="s">
        <v>4</v>
      </c>
      <c r="B523" t="s">
        <v>7</v>
      </c>
      <c r="C523">
        <v>46</v>
      </c>
      <c r="D523">
        <v>36</v>
      </c>
      <c r="E523" s="1">
        <f t="shared" si="49"/>
        <v>0.56097560975609762</v>
      </c>
      <c r="F523" s="2">
        <v>91.9</v>
      </c>
      <c r="G523" s="2">
        <v>89.8</v>
      </c>
      <c r="H523" s="2">
        <f t="shared" si="50"/>
        <v>2.1000000000000085</v>
      </c>
      <c r="I523" s="1">
        <f t="shared" si="51"/>
        <v>0.58020737825185043</v>
      </c>
      <c r="J523" s="2">
        <v>99.7</v>
      </c>
      <c r="K523" s="2">
        <v>97.6</v>
      </c>
      <c r="L523" s="2">
        <f t="shared" si="52"/>
        <v>2.1000000000000085</v>
      </c>
      <c r="M523" s="1">
        <f t="shared" si="53"/>
        <v>-1.923176849575281E-2</v>
      </c>
      <c r="N523" s="2">
        <v>91.6</v>
      </c>
      <c r="O523" s="2">
        <v>96.4</v>
      </c>
      <c r="P523" s="2">
        <f t="shared" si="54"/>
        <v>-4.8000000000000114</v>
      </c>
      <c r="Q523">
        <v>-0.2</v>
      </c>
    </row>
    <row r="524" spans="1:17">
      <c r="A524" t="s">
        <v>45</v>
      </c>
      <c r="B524" t="s">
        <v>12</v>
      </c>
      <c r="C524">
        <v>39</v>
      </c>
      <c r="D524">
        <v>43</v>
      </c>
      <c r="E524" s="1">
        <f t="shared" si="49"/>
        <v>0.47560975609756095</v>
      </c>
      <c r="F524" s="2">
        <v>94.2</v>
      </c>
      <c r="G524" s="2">
        <v>94.7</v>
      </c>
      <c r="H524" s="2">
        <f t="shared" si="50"/>
        <v>-0.5</v>
      </c>
      <c r="I524" s="1">
        <f t="shared" si="51"/>
        <v>0.48148011126820961</v>
      </c>
      <c r="J524" s="2">
        <v>105.8</v>
      </c>
      <c r="K524" s="2">
        <v>106.4</v>
      </c>
      <c r="L524" s="2">
        <f t="shared" si="52"/>
        <v>-0.60000000000000853</v>
      </c>
      <c r="M524" s="1">
        <f t="shared" si="53"/>
        <v>-5.8703551706486556E-3</v>
      </c>
      <c r="N524" s="2">
        <v>101.4</v>
      </c>
      <c r="O524" s="2">
        <v>106.3</v>
      </c>
      <c r="P524" s="2">
        <f t="shared" si="54"/>
        <v>-4.8999999999999915</v>
      </c>
      <c r="Q524">
        <v>-0.5</v>
      </c>
    </row>
    <row r="525" spans="1:17">
      <c r="A525" t="s">
        <v>36</v>
      </c>
      <c r="B525" t="s">
        <v>13</v>
      </c>
      <c r="C525">
        <v>38</v>
      </c>
      <c r="D525">
        <v>44</v>
      </c>
      <c r="E525" s="1">
        <f t="shared" si="49"/>
        <v>0.46341463414634149</v>
      </c>
      <c r="F525" s="2">
        <v>102.4</v>
      </c>
      <c r="G525" s="2">
        <v>103.6</v>
      </c>
      <c r="H525" s="2">
        <f t="shared" si="50"/>
        <v>-1.1999999999999886</v>
      </c>
      <c r="I525" s="1">
        <f t="shared" si="51"/>
        <v>0.45931300428144822</v>
      </c>
      <c r="J525" s="2">
        <v>106.4</v>
      </c>
      <c r="K525" s="2">
        <v>107.7</v>
      </c>
      <c r="L525" s="2">
        <f t="shared" si="52"/>
        <v>-1.2999999999999972</v>
      </c>
      <c r="M525" s="1">
        <f t="shared" si="53"/>
        <v>4.1016298648932636E-3</v>
      </c>
      <c r="N525" s="2">
        <v>100.3</v>
      </c>
      <c r="O525" s="2">
        <v>105.2</v>
      </c>
      <c r="P525" s="2">
        <f t="shared" si="54"/>
        <v>-4.9000000000000057</v>
      </c>
      <c r="Q525">
        <v>-0.2</v>
      </c>
    </row>
    <row r="526" spans="1:17">
      <c r="A526" t="s">
        <v>41</v>
      </c>
      <c r="B526" t="s">
        <v>33</v>
      </c>
      <c r="C526">
        <v>42</v>
      </c>
      <c r="D526">
        <v>40</v>
      </c>
      <c r="E526" s="1">
        <f t="shared" si="49"/>
        <v>0.51219512195121952</v>
      </c>
      <c r="F526" s="2">
        <v>101.7</v>
      </c>
      <c r="G526" s="2">
        <v>99.8</v>
      </c>
      <c r="H526" s="2">
        <f t="shared" si="50"/>
        <v>1.9000000000000057</v>
      </c>
      <c r="I526" s="1">
        <f t="shared" si="51"/>
        <v>0.56562612482912078</v>
      </c>
      <c r="J526" s="2">
        <v>107.7</v>
      </c>
      <c r="K526" s="2">
        <v>105.8</v>
      </c>
      <c r="L526" s="2">
        <f t="shared" si="52"/>
        <v>1.9000000000000057</v>
      </c>
      <c r="M526" s="1">
        <f t="shared" si="53"/>
        <v>-5.3431002877901257E-2</v>
      </c>
      <c r="N526" s="2">
        <v>101</v>
      </c>
      <c r="O526" s="2">
        <v>105.9</v>
      </c>
      <c r="P526" s="2">
        <f t="shared" si="54"/>
        <v>-4.9000000000000057</v>
      </c>
      <c r="Q526">
        <v>-0.5</v>
      </c>
    </row>
    <row r="527" spans="1:17">
      <c r="A527" t="s">
        <v>43</v>
      </c>
      <c r="B527" t="s">
        <v>11</v>
      </c>
      <c r="C527">
        <v>45</v>
      </c>
      <c r="D527">
        <v>37</v>
      </c>
      <c r="E527" s="1">
        <f t="shared" si="49"/>
        <v>0.54878048780487809</v>
      </c>
      <c r="F527" s="2">
        <v>105.4</v>
      </c>
      <c r="G527" s="2">
        <v>103.7</v>
      </c>
      <c r="H527" s="2">
        <f t="shared" si="50"/>
        <v>1.7000000000000028</v>
      </c>
      <c r="I527" s="1">
        <f t="shared" si="51"/>
        <v>0.55666731029444283</v>
      </c>
      <c r="J527" s="2">
        <v>106.7</v>
      </c>
      <c r="K527" s="2">
        <v>105.1</v>
      </c>
      <c r="L527" s="2">
        <f t="shared" si="52"/>
        <v>1.6000000000000085</v>
      </c>
      <c r="M527" s="1">
        <f t="shared" si="53"/>
        <v>-7.8868224895647376E-3</v>
      </c>
      <c r="N527" s="2">
        <v>95.3</v>
      </c>
      <c r="O527" s="2">
        <v>100.3</v>
      </c>
      <c r="P527" s="2">
        <f t="shared" si="54"/>
        <v>-5</v>
      </c>
      <c r="Q527">
        <v>-1.4</v>
      </c>
    </row>
    <row r="528" spans="1:17">
      <c r="A528" t="s">
        <v>55</v>
      </c>
      <c r="B528" t="s">
        <v>53</v>
      </c>
      <c r="C528">
        <v>30</v>
      </c>
      <c r="D528">
        <v>52</v>
      </c>
      <c r="E528" s="1">
        <f t="shared" si="49"/>
        <v>0.36585365853658536</v>
      </c>
      <c r="F528" s="2">
        <v>102.7</v>
      </c>
      <c r="G528" s="2">
        <v>106.5</v>
      </c>
      <c r="H528" s="2">
        <f t="shared" si="50"/>
        <v>-3.7999999999999972</v>
      </c>
      <c r="I528" s="1">
        <f t="shared" si="51"/>
        <v>0.37550766895906917</v>
      </c>
      <c r="J528" s="2">
        <v>104.8</v>
      </c>
      <c r="K528" s="2">
        <v>108.4</v>
      </c>
      <c r="L528" s="2">
        <f t="shared" si="52"/>
        <v>-3.6000000000000085</v>
      </c>
      <c r="M528" s="1">
        <f t="shared" si="53"/>
        <v>-9.6540104224838164E-3</v>
      </c>
      <c r="N528" s="2">
        <v>106.8</v>
      </c>
      <c r="O528" s="2">
        <v>111.8</v>
      </c>
      <c r="P528" s="2">
        <f t="shared" si="54"/>
        <v>-5</v>
      </c>
      <c r="Q528">
        <v>-0.6</v>
      </c>
    </row>
    <row r="529" spans="1:17">
      <c r="A529" t="s">
        <v>34</v>
      </c>
      <c r="B529" t="s">
        <v>16</v>
      </c>
      <c r="C529">
        <v>39</v>
      </c>
      <c r="D529">
        <v>43</v>
      </c>
      <c r="E529" s="1">
        <f t="shared" si="49"/>
        <v>0.47560975609756095</v>
      </c>
      <c r="F529" s="2">
        <v>95.7</v>
      </c>
      <c r="G529" s="2">
        <v>96.1</v>
      </c>
      <c r="H529" s="2">
        <f t="shared" si="50"/>
        <v>-0.39999999999999147</v>
      </c>
      <c r="I529" s="1">
        <f t="shared" si="51"/>
        <v>0.48540558556338809</v>
      </c>
      <c r="J529" s="2">
        <v>104.3</v>
      </c>
      <c r="K529" s="2">
        <v>104.7</v>
      </c>
      <c r="L529" s="2">
        <f t="shared" si="52"/>
        <v>-0.40000000000000568</v>
      </c>
      <c r="M529" s="1">
        <f t="shared" si="53"/>
        <v>-9.7958294658271328E-3</v>
      </c>
      <c r="N529" s="2">
        <v>95.3</v>
      </c>
      <c r="O529" s="2">
        <v>100.3</v>
      </c>
      <c r="P529" s="2">
        <f t="shared" si="54"/>
        <v>-5</v>
      </c>
      <c r="Q529">
        <v>-0.5</v>
      </c>
    </row>
    <row r="530" spans="1:17">
      <c r="A530" t="s">
        <v>58</v>
      </c>
      <c r="B530" t="s">
        <v>35</v>
      </c>
      <c r="C530">
        <v>22</v>
      </c>
      <c r="D530">
        <v>60</v>
      </c>
      <c r="E530" s="1">
        <f t="shared" si="49"/>
        <v>0.26829268292682928</v>
      </c>
      <c r="F530" s="2">
        <v>99.3</v>
      </c>
      <c r="G530" s="2">
        <v>105.5</v>
      </c>
      <c r="H530" s="2">
        <f t="shared" si="50"/>
        <v>-6.2000000000000028</v>
      </c>
      <c r="I530" s="1">
        <f t="shared" si="51"/>
        <v>0.2998703440144932</v>
      </c>
      <c r="J530" s="2">
        <v>103.6</v>
      </c>
      <c r="K530" s="2">
        <v>110.4</v>
      </c>
      <c r="L530" s="2">
        <f t="shared" si="52"/>
        <v>-6.8000000000000114</v>
      </c>
      <c r="M530" s="1">
        <f t="shared" si="53"/>
        <v>-3.1577661087663911E-2</v>
      </c>
      <c r="N530" s="2">
        <v>92.4</v>
      </c>
      <c r="O530" s="2">
        <v>97.4</v>
      </c>
      <c r="P530" s="2">
        <f t="shared" si="54"/>
        <v>-5</v>
      </c>
      <c r="Q530">
        <v>-1</v>
      </c>
    </row>
    <row r="531" spans="1:17">
      <c r="A531" t="s">
        <v>44</v>
      </c>
      <c r="B531" t="s">
        <v>30</v>
      </c>
      <c r="C531">
        <v>41</v>
      </c>
      <c r="D531">
        <v>41</v>
      </c>
      <c r="E531" s="1">
        <f t="shared" si="49"/>
        <v>0.5</v>
      </c>
      <c r="F531" s="2">
        <v>100.2</v>
      </c>
      <c r="G531" s="2">
        <v>97.3</v>
      </c>
      <c r="H531" s="2">
        <f t="shared" si="50"/>
        <v>2.9000000000000057</v>
      </c>
      <c r="I531" s="1">
        <f t="shared" si="51"/>
        <v>0.6013681002055381</v>
      </c>
      <c r="J531" s="2">
        <v>108.9</v>
      </c>
      <c r="K531" s="2">
        <v>105.6</v>
      </c>
      <c r="L531" s="2">
        <f t="shared" si="52"/>
        <v>3.3000000000000114</v>
      </c>
      <c r="M531" s="1">
        <f t="shared" si="53"/>
        <v>-0.1013681002055381</v>
      </c>
      <c r="N531" s="2">
        <v>115.5</v>
      </c>
      <c r="O531" s="2">
        <v>120.5</v>
      </c>
      <c r="P531" s="2">
        <f t="shared" si="54"/>
        <v>-5</v>
      </c>
      <c r="Q531">
        <v>0</v>
      </c>
    </row>
    <row r="532" spans="1:17">
      <c r="A532" t="s">
        <v>34</v>
      </c>
      <c r="B532" t="s">
        <v>5</v>
      </c>
      <c r="C532">
        <v>33</v>
      </c>
      <c r="D532">
        <v>49</v>
      </c>
      <c r="E532" s="1">
        <f t="shared" si="49"/>
        <v>0.40243902439024393</v>
      </c>
      <c r="F532" s="2">
        <v>94</v>
      </c>
      <c r="G532" s="2">
        <v>98.3</v>
      </c>
      <c r="H532" s="2">
        <f t="shared" si="50"/>
        <v>-4.2999999999999972</v>
      </c>
      <c r="I532" s="1">
        <f t="shared" si="51"/>
        <v>0.34837053448478683</v>
      </c>
      <c r="J532" s="2">
        <v>100.4</v>
      </c>
      <c r="K532" s="2">
        <v>104.8</v>
      </c>
      <c r="L532" s="2">
        <f t="shared" si="52"/>
        <v>-4.3999999999999915</v>
      </c>
      <c r="M532" s="1">
        <f t="shared" si="53"/>
        <v>5.4068489905457096E-2</v>
      </c>
      <c r="N532" s="2">
        <v>95.5</v>
      </c>
      <c r="O532" s="2">
        <v>100.6</v>
      </c>
      <c r="P532" s="2">
        <f t="shared" si="54"/>
        <v>-5.0999999999999943</v>
      </c>
      <c r="Q532">
        <v>-1.2</v>
      </c>
    </row>
    <row r="533" spans="1:17">
      <c r="A533" t="s">
        <v>43</v>
      </c>
      <c r="B533" t="s">
        <v>35</v>
      </c>
      <c r="C533">
        <v>22</v>
      </c>
      <c r="D533">
        <v>60</v>
      </c>
      <c r="E533" s="1">
        <f t="shared" si="49"/>
        <v>0.26829268292682928</v>
      </c>
      <c r="F533" s="2">
        <v>101.6</v>
      </c>
      <c r="G533" s="2">
        <v>106.7</v>
      </c>
      <c r="H533" s="2">
        <f t="shared" si="50"/>
        <v>-5.1000000000000085</v>
      </c>
      <c r="I533" s="1">
        <f t="shared" si="51"/>
        <v>0.33499326878539809</v>
      </c>
      <c r="J533" s="2">
        <v>105.7</v>
      </c>
      <c r="K533" s="2">
        <v>110.9</v>
      </c>
      <c r="L533" s="2">
        <f t="shared" si="52"/>
        <v>-5.2000000000000028</v>
      </c>
      <c r="M533" s="1">
        <f t="shared" si="53"/>
        <v>-6.6700585858568806E-2</v>
      </c>
      <c r="N533" s="2">
        <v>102.4</v>
      </c>
      <c r="O533" s="2">
        <v>107.5</v>
      </c>
      <c r="P533" s="2">
        <f t="shared" si="54"/>
        <v>-5.0999999999999943</v>
      </c>
      <c r="Q533">
        <v>1.6</v>
      </c>
    </row>
    <row r="534" spans="1:17">
      <c r="A534" t="s">
        <v>66</v>
      </c>
      <c r="B534" t="s">
        <v>13</v>
      </c>
      <c r="C534">
        <v>32</v>
      </c>
      <c r="D534">
        <v>31</v>
      </c>
      <c r="E534" s="1">
        <f t="shared" si="49"/>
        <v>0.50793650793650791</v>
      </c>
      <c r="F534" s="2">
        <v>115</v>
      </c>
      <c r="G534" s="2">
        <v>113.9</v>
      </c>
      <c r="H534" s="2">
        <f t="shared" si="50"/>
        <v>1.0999999999999943</v>
      </c>
      <c r="I534" s="1">
        <f t="shared" si="51"/>
        <v>0.53358873886110747</v>
      </c>
      <c r="J534" s="2">
        <v>114.1</v>
      </c>
      <c r="K534" s="2">
        <v>112.9</v>
      </c>
      <c r="L534" s="2">
        <f t="shared" si="52"/>
        <v>1.1999999999999886</v>
      </c>
      <c r="M534" s="1">
        <f t="shared" si="53"/>
        <v>-2.5652230924599562E-2</v>
      </c>
      <c r="N534" s="2">
        <v>118.2</v>
      </c>
      <c r="O534" s="2">
        <v>123.4</v>
      </c>
      <c r="P534" s="2">
        <f t="shared" si="54"/>
        <v>-5.2000000000000028</v>
      </c>
      <c r="Q534" s="2">
        <v>1</v>
      </c>
    </row>
    <row r="535" spans="1:17">
      <c r="A535" t="s">
        <v>44</v>
      </c>
      <c r="B535" t="s">
        <v>14</v>
      </c>
      <c r="C535">
        <v>55</v>
      </c>
      <c r="D535">
        <v>27</v>
      </c>
      <c r="E535" s="1">
        <f t="shared" si="49"/>
        <v>0.67073170731707321</v>
      </c>
      <c r="F535" s="2">
        <v>96.7</v>
      </c>
      <c r="G535" s="2">
        <v>92</v>
      </c>
      <c r="H535" s="2">
        <f t="shared" si="50"/>
        <v>4.7000000000000028</v>
      </c>
      <c r="I535" s="1">
        <f t="shared" si="51"/>
        <v>0.6676438096091204</v>
      </c>
      <c r="J535" s="2">
        <v>105.4</v>
      </c>
      <c r="K535" s="2">
        <v>100.5</v>
      </c>
      <c r="L535" s="2">
        <f t="shared" si="52"/>
        <v>4.9000000000000057</v>
      </c>
      <c r="M535" s="1">
        <f t="shared" si="53"/>
        <v>3.0878977079528136E-3</v>
      </c>
      <c r="N535" s="2">
        <v>99.2</v>
      </c>
      <c r="O535" s="2">
        <v>104.5</v>
      </c>
      <c r="P535" s="2">
        <f t="shared" si="54"/>
        <v>-5.2999999999999972</v>
      </c>
      <c r="Q535">
        <v>0.1</v>
      </c>
    </row>
    <row r="536" spans="1:17">
      <c r="A536" t="s">
        <v>43</v>
      </c>
      <c r="B536" t="s">
        <v>5</v>
      </c>
      <c r="C536">
        <v>30</v>
      </c>
      <c r="D536">
        <v>52</v>
      </c>
      <c r="E536" s="1">
        <f t="shared" si="49"/>
        <v>0.36585365853658536</v>
      </c>
      <c r="F536" s="2">
        <v>93.7</v>
      </c>
      <c r="G536" s="2">
        <v>98.4</v>
      </c>
      <c r="H536" s="2">
        <f t="shared" si="50"/>
        <v>-4.7000000000000028</v>
      </c>
      <c r="I536" s="1">
        <f t="shared" si="51"/>
        <v>0.33510246231607854</v>
      </c>
      <c r="J536" s="2">
        <v>102</v>
      </c>
      <c r="K536" s="2">
        <v>107</v>
      </c>
      <c r="L536" s="2">
        <f t="shared" si="52"/>
        <v>-5</v>
      </c>
      <c r="M536" s="1">
        <f t="shared" si="53"/>
        <v>3.0751196220506816E-2</v>
      </c>
      <c r="N536" s="2">
        <v>95.5</v>
      </c>
      <c r="O536" s="2">
        <v>100.9</v>
      </c>
      <c r="P536" s="2">
        <f t="shared" si="54"/>
        <v>-5.4000000000000057</v>
      </c>
      <c r="Q536">
        <v>-0.5</v>
      </c>
    </row>
    <row r="537" spans="1:17">
      <c r="A537" t="s">
        <v>50</v>
      </c>
      <c r="B537" t="s">
        <v>25</v>
      </c>
      <c r="C537">
        <v>25</v>
      </c>
      <c r="D537">
        <v>57</v>
      </c>
      <c r="E537" s="1">
        <f t="shared" si="49"/>
        <v>0.3048780487804878</v>
      </c>
      <c r="F537" s="2">
        <v>95.2</v>
      </c>
      <c r="G537" s="2">
        <v>101.6</v>
      </c>
      <c r="H537" s="2">
        <f t="shared" si="50"/>
        <v>-6.3999999999999915</v>
      </c>
      <c r="I537" s="1">
        <f t="shared" si="51"/>
        <v>0.28681768748070391</v>
      </c>
      <c r="J537" s="2">
        <v>100.2</v>
      </c>
      <c r="K537" s="2">
        <v>106.9</v>
      </c>
      <c r="L537" s="2">
        <f t="shared" si="52"/>
        <v>-6.7000000000000028</v>
      </c>
      <c r="M537" s="1">
        <f t="shared" si="53"/>
        <v>1.8060361299783889E-2</v>
      </c>
      <c r="N537" s="2">
        <v>94.8</v>
      </c>
      <c r="O537" s="2">
        <v>100.3</v>
      </c>
      <c r="P537" s="2">
        <f t="shared" si="54"/>
        <v>-5.5</v>
      </c>
      <c r="Q537">
        <v>-1.5</v>
      </c>
    </row>
    <row r="538" spans="1:17">
      <c r="A538" t="s">
        <v>39</v>
      </c>
      <c r="B538" t="s">
        <v>16</v>
      </c>
      <c r="C538">
        <v>37</v>
      </c>
      <c r="D538">
        <v>45</v>
      </c>
      <c r="E538" s="1">
        <f t="shared" si="49"/>
        <v>0.45121951219512196</v>
      </c>
      <c r="F538" s="2">
        <v>95.7</v>
      </c>
      <c r="G538" s="2">
        <v>96.5</v>
      </c>
      <c r="H538" s="2">
        <f t="shared" si="50"/>
        <v>-0.79999999999999716</v>
      </c>
      <c r="I538" s="1">
        <f t="shared" si="51"/>
        <v>0.47089645062894331</v>
      </c>
      <c r="J538" s="2">
        <v>103.8</v>
      </c>
      <c r="K538" s="2">
        <v>104.5</v>
      </c>
      <c r="L538" s="2">
        <f t="shared" si="52"/>
        <v>-0.70000000000000284</v>
      </c>
      <c r="M538" s="1">
        <f t="shared" si="53"/>
        <v>-1.9676938433821345E-2</v>
      </c>
      <c r="N538" s="2">
        <v>101.2</v>
      </c>
      <c r="O538" s="2">
        <v>106.7</v>
      </c>
      <c r="P538" s="2">
        <f t="shared" si="54"/>
        <v>-5.5</v>
      </c>
      <c r="Q538">
        <v>-1.3</v>
      </c>
    </row>
    <row r="539" spans="1:17">
      <c r="A539" t="s">
        <v>34</v>
      </c>
      <c r="B539" t="s">
        <v>29</v>
      </c>
      <c r="C539">
        <v>45</v>
      </c>
      <c r="D539">
        <v>37</v>
      </c>
      <c r="E539" s="1">
        <f t="shared" si="49"/>
        <v>0.54878048780487809</v>
      </c>
      <c r="F539" s="2">
        <v>97.7</v>
      </c>
      <c r="G539" s="2">
        <v>94.7</v>
      </c>
      <c r="H539" s="2">
        <f t="shared" si="50"/>
        <v>3</v>
      </c>
      <c r="I539" s="1">
        <f t="shared" si="51"/>
        <v>0.60745473911501191</v>
      </c>
      <c r="J539" s="2">
        <v>107.3</v>
      </c>
      <c r="K539" s="2">
        <v>104.1</v>
      </c>
      <c r="L539" s="2">
        <f t="shared" si="52"/>
        <v>3.2000000000000028</v>
      </c>
      <c r="M539" s="1">
        <f t="shared" si="53"/>
        <v>-5.8674251310133818E-2</v>
      </c>
      <c r="N539" s="2">
        <v>92.6</v>
      </c>
      <c r="O539" s="2">
        <v>98.2</v>
      </c>
      <c r="P539" s="2">
        <f t="shared" si="54"/>
        <v>-5.6000000000000085</v>
      </c>
      <c r="Q539">
        <v>0.3</v>
      </c>
    </row>
    <row r="540" spans="1:17">
      <c r="A540" t="s">
        <v>34</v>
      </c>
      <c r="B540" t="s">
        <v>11</v>
      </c>
      <c r="C540">
        <v>27</v>
      </c>
      <c r="D540">
        <v>55</v>
      </c>
      <c r="E540" s="1">
        <f t="shared" si="49"/>
        <v>0.32926829268292684</v>
      </c>
      <c r="F540" s="2">
        <v>92.2</v>
      </c>
      <c r="G540" s="2">
        <v>98</v>
      </c>
      <c r="H540" s="2">
        <f t="shared" si="50"/>
        <v>-5.7999999999999972</v>
      </c>
      <c r="I540" s="1">
        <f t="shared" si="51"/>
        <v>0.29857289504453155</v>
      </c>
      <c r="J540" s="2">
        <v>100.3</v>
      </c>
      <c r="K540" s="2">
        <v>106.6</v>
      </c>
      <c r="L540" s="2">
        <f t="shared" si="52"/>
        <v>-6.2999999999999972</v>
      </c>
      <c r="M540" s="1">
        <f t="shared" si="53"/>
        <v>3.0695397638395294E-2</v>
      </c>
      <c r="N540" s="2">
        <v>89.7</v>
      </c>
      <c r="O540" s="2">
        <v>95.4</v>
      </c>
      <c r="P540" s="2">
        <f t="shared" si="54"/>
        <v>-5.7000000000000028</v>
      </c>
      <c r="Q540">
        <v>0.1</v>
      </c>
    </row>
    <row r="541" spans="1:17">
      <c r="A541" t="s">
        <v>61</v>
      </c>
      <c r="B541" t="s">
        <v>10</v>
      </c>
      <c r="C541">
        <v>42</v>
      </c>
      <c r="D541">
        <v>30</v>
      </c>
      <c r="E541" s="1">
        <f t="shared" si="49"/>
        <v>0.58333333333333337</v>
      </c>
      <c r="F541" s="2">
        <v>112.4</v>
      </c>
      <c r="G541" s="2">
        <v>110.2</v>
      </c>
      <c r="H541" s="2">
        <f t="shared" si="50"/>
        <v>2.2000000000000028</v>
      </c>
      <c r="I541" s="1">
        <f t="shared" si="51"/>
        <v>0.56874646032092568</v>
      </c>
      <c r="J541" s="2">
        <v>114.6</v>
      </c>
      <c r="K541" s="2">
        <v>112.3</v>
      </c>
      <c r="L541" s="2">
        <f t="shared" si="52"/>
        <v>2.2999999999999972</v>
      </c>
      <c r="M541" s="1">
        <f t="shared" si="53"/>
        <v>1.4586873012407686E-2</v>
      </c>
      <c r="N541" s="2">
        <v>116.3</v>
      </c>
      <c r="O541" s="2">
        <v>122</v>
      </c>
      <c r="P541" s="2">
        <f t="shared" si="54"/>
        <v>-5.7000000000000028</v>
      </c>
      <c r="Q541">
        <v>-0.3</v>
      </c>
    </row>
    <row r="542" spans="1:17">
      <c r="A542" t="s">
        <v>57</v>
      </c>
      <c r="B542" t="s">
        <v>14</v>
      </c>
      <c r="C542">
        <v>55</v>
      </c>
      <c r="D542">
        <v>27</v>
      </c>
      <c r="E542" s="1">
        <f t="shared" si="49"/>
        <v>0.67073170731707321</v>
      </c>
      <c r="F542" s="2">
        <v>115.3</v>
      </c>
      <c r="G542" s="2">
        <v>109.6</v>
      </c>
      <c r="H542" s="2">
        <f t="shared" si="50"/>
        <v>5.7000000000000028</v>
      </c>
      <c r="I542" s="1">
        <f t="shared" si="51"/>
        <v>0.67035712884085974</v>
      </c>
      <c r="J542" s="2">
        <v>114.1</v>
      </c>
      <c r="K542" s="2">
        <v>108.4</v>
      </c>
      <c r="L542" s="2">
        <f t="shared" si="52"/>
        <v>5.6999999999999886</v>
      </c>
      <c r="M542" s="1">
        <f t="shared" si="53"/>
        <v>3.7457847621347184E-4</v>
      </c>
      <c r="N542" s="2">
        <v>100</v>
      </c>
      <c r="O542" s="2">
        <v>105.7</v>
      </c>
      <c r="P542" s="2">
        <f t="shared" si="54"/>
        <v>-5.7000000000000028</v>
      </c>
      <c r="Q542">
        <v>-1.1000000000000001</v>
      </c>
    </row>
    <row r="543" spans="1:17">
      <c r="A543" t="s">
        <v>47</v>
      </c>
      <c r="B543" t="s">
        <v>46</v>
      </c>
      <c r="C543">
        <v>50</v>
      </c>
      <c r="D543">
        <v>32</v>
      </c>
      <c r="E543" s="1">
        <f t="shared" si="49"/>
        <v>0.6097560975609756</v>
      </c>
      <c r="F543" s="2">
        <v>101.5</v>
      </c>
      <c r="G543" s="2">
        <v>98</v>
      </c>
      <c r="H543" s="2">
        <f t="shared" si="50"/>
        <v>3.5</v>
      </c>
      <c r="I543" s="1">
        <f t="shared" si="51"/>
        <v>0.62040756265639296</v>
      </c>
      <c r="J543" s="2">
        <v>107</v>
      </c>
      <c r="K543" s="2">
        <v>103.5</v>
      </c>
      <c r="L543" s="2">
        <f t="shared" si="52"/>
        <v>3.5</v>
      </c>
      <c r="M543" s="1">
        <f t="shared" si="53"/>
        <v>-1.0651465095417367E-2</v>
      </c>
      <c r="N543" s="2">
        <v>92.3</v>
      </c>
      <c r="O543" s="2">
        <v>98</v>
      </c>
      <c r="P543" s="2">
        <f t="shared" si="54"/>
        <v>-5.7000000000000028</v>
      </c>
      <c r="Q543">
        <v>-0.6</v>
      </c>
    </row>
    <row r="544" spans="1:17">
      <c r="A544" t="s">
        <v>50</v>
      </c>
      <c r="B544" t="s">
        <v>24</v>
      </c>
      <c r="C544">
        <v>34</v>
      </c>
      <c r="D544">
        <v>48</v>
      </c>
      <c r="E544" s="1">
        <f t="shared" si="49"/>
        <v>0.41463414634146339</v>
      </c>
      <c r="F544" s="2">
        <v>93.2</v>
      </c>
      <c r="G544" s="2">
        <v>96.5</v>
      </c>
      <c r="H544" s="2">
        <f t="shared" si="50"/>
        <v>-3.2999999999999972</v>
      </c>
      <c r="I544" s="1">
        <f t="shared" si="51"/>
        <v>0.38056895293996196</v>
      </c>
      <c r="J544" s="2">
        <v>101</v>
      </c>
      <c r="K544" s="2">
        <v>104.7</v>
      </c>
      <c r="L544" s="2">
        <f t="shared" si="52"/>
        <v>-3.7000000000000028</v>
      </c>
      <c r="M544" s="1">
        <f t="shared" si="53"/>
        <v>3.4065193401501437E-2</v>
      </c>
      <c r="N544" s="2">
        <v>94.2</v>
      </c>
      <c r="O544" s="2">
        <v>100</v>
      </c>
      <c r="P544" s="2">
        <f t="shared" si="54"/>
        <v>-5.7999999999999972</v>
      </c>
      <c r="Q544">
        <v>-0.7</v>
      </c>
    </row>
    <row r="545" spans="1:17">
      <c r="A545" t="s">
        <v>63</v>
      </c>
      <c r="B545" t="s">
        <v>7</v>
      </c>
      <c r="C545">
        <v>27</v>
      </c>
      <c r="D545">
        <v>55</v>
      </c>
      <c r="E545" s="1">
        <f t="shared" si="49"/>
        <v>0.32926829268292684</v>
      </c>
      <c r="F545" s="2">
        <v>111</v>
      </c>
      <c r="G545" s="2">
        <v>117.2</v>
      </c>
      <c r="H545" s="2">
        <f t="shared" si="50"/>
        <v>-6.2000000000000028</v>
      </c>
      <c r="I545" s="1">
        <f t="shared" si="51"/>
        <v>0.31844580628258201</v>
      </c>
      <c r="J545" s="2">
        <v>108.4</v>
      </c>
      <c r="K545" s="2">
        <v>114.7</v>
      </c>
      <c r="L545" s="2">
        <f t="shared" si="52"/>
        <v>-6.2999999999999972</v>
      </c>
      <c r="M545" s="1">
        <f t="shared" si="53"/>
        <v>1.0822486400344833E-2</v>
      </c>
      <c r="N545" s="2">
        <v>108.6</v>
      </c>
      <c r="O545" s="2">
        <v>114.4</v>
      </c>
      <c r="P545" s="2">
        <f t="shared" si="54"/>
        <v>-5.8000000000000114</v>
      </c>
      <c r="Q545">
        <v>-0.3</v>
      </c>
    </row>
    <row r="546" spans="1:17">
      <c r="A546" t="s">
        <v>34</v>
      </c>
      <c r="B546" t="s">
        <v>18</v>
      </c>
      <c r="C546">
        <v>36</v>
      </c>
      <c r="D546">
        <v>46</v>
      </c>
      <c r="E546" s="1">
        <f t="shared" si="49"/>
        <v>0.43902439024390244</v>
      </c>
      <c r="F546" s="2">
        <v>87.2</v>
      </c>
      <c r="G546" s="2">
        <v>88.7</v>
      </c>
      <c r="H546" s="2">
        <f t="shared" si="50"/>
        <v>-1.5</v>
      </c>
      <c r="I546" s="1">
        <f t="shared" si="51"/>
        <v>0.44058756031569546</v>
      </c>
      <c r="J546" s="2">
        <v>97.3</v>
      </c>
      <c r="K546" s="2">
        <v>99</v>
      </c>
      <c r="L546" s="2">
        <f t="shared" si="52"/>
        <v>-1.7000000000000028</v>
      </c>
      <c r="M546" s="1">
        <f t="shared" si="53"/>
        <v>-1.5631700717930186E-3</v>
      </c>
      <c r="N546" s="2">
        <v>86.1</v>
      </c>
      <c r="O546" s="2">
        <v>92</v>
      </c>
      <c r="P546" s="2">
        <f t="shared" si="54"/>
        <v>-5.9000000000000057</v>
      </c>
      <c r="Q546">
        <v>-0.4</v>
      </c>
    </row>
    <row r="547" spans="1:17">
      <c r="A547" t="s">
        <v>65</v>
      </c>
      <c r="B547" t="s">
        <v>25</v>
      </c>
      <c r="C547">
        <v>36</v>
      </c>
      <c r="D547">
        <v>46</v>
      </c>
      <c r="E547" s="1">
        <f t="shared" si="49"/>
        <v>0.43902439024390244</v>
      </c>
      <c r="F547" s="2">
        <v>113.6</v>
      </c>
      <c r="G547" s="2">
        <v>116.6</v>
      </c>
      <c r="H547" s="2">
        <f t="shared" si="50"/>
        <v>-3</v>
      </c>
      <c r="I547" s="1">
        <f t="shared" si="51"/>
        <v>0.40976891597843029</v>
      </c>
      <c r="J547" s="2">
        <v>114.7</v>
      </c>
      <c r="K547" s="2">
        <v>117.7</v>
      </c>
      <c r="L547" s="2">
        <f t="shared" si="52"/>
        <v>-3</v>
      </c>
      <c r="M547" s="1">
        <f t="shared" si="53"/>
        <v>2.9255474265472148E-2</v>
      </c>
      <c r="N547" s="2">
        <v>115.5</v>
      </c>
      <c r="O547" s="2">
        <v>121.5</v>
      </c>
      <c r="P547" s="2">
        <f t="shared" si="54"/>
        <v>-6</v>
      </c>
      <c r="Q547">
        <v>-0.5</v>
      </c>
    </row>
    <row r="548" spans="1:17">
      <c r="A548" t="s">
        <v>65</v>
      </c>
      <c r="B548" t="s">
        <v>7</v>
      </c>
      <c r="C548">
        <v>19</v>
      </c>
      <c r="D548">
        <v>63</v>
      </c>
      <c r="E548" s="1">
        <f t="shared" si="49"/>
        <v>0.23170731707317074</v>
      </c>
      <c r="F548" s="2">
        <v>105.1</v>
      </c>
      <c r="G548" s="2">
        <v>114.2</v>
      </c>
      <c r="H548" s="2">
        <f t="shared" si="50"/>
        <v>-9.1000000000000085</v>
      </c>
      <c r="I548" s="1">
        <f t="shared" si="51"/>
        <v>0.23820492240798724</v>
      </c>
      <c r="J548" s="2">
        <v>106.7</v>
      </c>
      <c r="K548" s="2">
        <v>115.7</v>
      </c>
      <c r="L548" s="2">
        <f t="shared" si="52"/>
        <v>-9</v>
      </c>
      <c r="M548" s="1">
        <f t="shared" si="53"/>
        <v>-6.4976053348164975E-3</v>
      </c>
      <c r="N548" s="2">
        <v>105.4</v>
      </c>
      <c r="O548" s="2">
        <v>111.4</v>
      </c>
      <c r="P548" s="2">
        <f t="shared" si="54"/>
        <v>-6</v>
      </c>
      <c r="Q548">
        <v>-0.5</v>
      </c>
    </row>
    <row r="549" spans="1:17">
      <c r="A549" t="s">
        <v>57</v>
      </c>
      <c r="B549" t="s">
        <v>10</v>
      </c>
      <c r="C549">
        <v>33</v>
      </c>
      <c r="D549">
        <v>49</v>
      </c>
      <c r="E549" s="1">
        <f t="shared" si="49"/>
        <v>0.40243902439024393</v>
      </c>
      <c r="F549" s="2">
        <v>97.9</v>
      </c>
      <c r="G549" s="2">
        <v>100.8</v>
      </c>
      <c r="H549" s="2">
        <f t="shared" si="50"/>
        <v>-2.8999999999999915</v>
      </c>
      <c r="I549" s="1">
        <f t="shared" si="51"/>
        <v>0.39922740690355496</v>
      </c>
      <c r="J549" s="2">
        <v>104.7</v>
      </c>
      <c r="K549" s="2">
        <v>107.7</v>
      </c>
      <c r="L549" s="2">
        <f t="shared" si="52"/>
        <v>-3</v>
      </c>
      <c r="M549" s="1">
        <f t="shared" si="53"/>
        <v>3.2116174866889668E-3</v>
      </c>
      <c r="N549" s="2">
        <v>101.7</v>
      </c>
      <c r="O549" s="2">
        <v>107.8</v>
      </c>
      <c r="P549" s="2">
        <f t="shared" si="54"/>
        <v>-6.0999999999999943</v>
      </c>
      <c r="Q549">
        <v>-0.6</v>
      </c>
    </row>
    <row r="550" spans="1:17">
      <c r="A550" t="s">
        <v>48</v>
      </c>
      <c r="B550" t="s">
        <v>21</v>
      </c>
      <c r="C550">
        <v>24</v>
      </c>
      <c r="D550">
        <v>58</v>
      </c>
      <c r="E550" s="1">
        <f t="shared" si="49"/>
        <v>0.29268292682926828</v>
      </c>
      <c r="F550" s="2">
        <v>94.2</v>
      </c>
      <c r="G550" s="2">
        <v>100.4</v>
      </c>
      <c r="H550" s="2">
        <f t="shared" si="50"/>
        <v>-6.2000000000000028</v>
      </c>
      <c r="I550" s="1">
        <f t="shared" si="51"/>
        <v>0.29061719989236251</v>
      </c>
      <c r="J550" s="2">
        <v>102.1</v>
      </c>
      <c r="K550" s="2">
        <v>108.9</v>
      </c>
      <c r="L550" s="2">
        <f t="shared" si="52"/>
        <v>-6.8000000000000114</v>
      </c>
      <c r="M550" s="1">
        <f t="shared" si="53"/>
        <v>2.0657269369057651E-3</v>
      </c>
      <c r="N550" s="2">
        <v>100.5</v>
      </c>
      <c r="O550" s="2">
        <v>106.6</v>
      </c>
      <c r="P550" s="2">
        <f t="shared" si="54"/>
        <v>-6.0999999999999943</v>
      </c>
      <c r="Q550">
        <v>-0.4</v>
      </c>
    </row>
    <row r="551" spans="1:17">
      <c r="A551" t="s">
        <v>58</v>
      </c>
      <c r="B551" t="s">
        <v>17</v>
      </c>
      <c r="C551">
        <v>35</v>
      </c>
      <c r="D551">
        <v>47</v>
      </c>
      <c r="E551" s="1">
        <f t="shared" si="49"/>
        <v>0.42682926829268292</v>
      </c>
      <c r="F551" s="2">
        <v>108.1</v>
      </c>
      <c r="G551" s="2">
        <v>109.6</v>
      </c>
      <c r="H551" s="2">
        <f t="shared" si="50"/>
        <v>-1.5</v>
      </c>
      <c r="I551" s="1">
        <f t="shared" si="51"/>
        <v>0.45191677770464023</v>
      </c>
      <c r="J551" s="2">
        <v>106</v>
      </c>
      <c r="K551" s="2">
        <v>107.3</v>
      </c>
      <c r="L551" s="2">
        <f t="shared" si="52"/>
        <v>-1.2999999999999972</v>
      </c>
      <c r="M551" s="1">
        <f t="shared" si="53"/>
        <v>-2.5087509411957309E-2</v>
      </c>
      <c r="N551" s="2">
        <v>99.7</v>
      </c>
      <c r="O551" s="2">
        <v>105.8</v>
      </c>
      <c r="P551" s="2">
        <f t="shared" si="54"/>
        <v>-6.0999999999999943</v>
      </c>
      <c r="Q551">
        <v>-0.4</v>
      </c>
    </row>
    <row r="552" spans="1:17">
      <c r="A552" t="s">
        <v>58</v>
      </c>
      <c r="B552" t="s">
        <v>5</v>
      </c>
      <c r="C552">
        <v>24</v>
      </c>
      <c r="D552">
        <v>58</v>
      </c>
      <c r="E552" s="1">
        <f t="shared" si="49"/>
        <v>0.29268292682926828</v>
      </c>
      <c r="F552" s="2">
        <v>103.4</v>
      </c>
      <c r="G552" s="2">
        <v>108.8</v>
      </c>
      <c r="H552" s="2">
        <f t="shared" si="50"/>
        <v>-5.3999999999999915</v>
      </c>
      <c r="I552" s="1">
        <f t="shared" si="51"/>
        <v>0.32900489498317276</v>
      </c>
      <c r="J552" s="2">
        <v>104.4</v>
      </c>
      <c r="K552" s="2">
        <v>110.1</v>
      </c>
      <c r="L552" s="2">
        <f t="shared" si="52"/>
        <v>-5.6999999999999886</v>
      </c>
      <c r="M552" s="1">
        <f t="shared" si="53"/>
        <v>-3.6321968153904483E-2</v>
      </c>
      <c r="N552" s="2">
        <v>105.4</v>
      </c>
      <c r="O552" s="2">
        <v>111.5</v>
      </c>
      <c r="P552" s="2">
        <f t="shared" si="54"/>
        <v>-6.0999999999999943</v>
      </c>
      <c r="Q552">
        <v>0.4</v>
      </c>
    </row>
    <row r="553" spans="1:17">
      <c r="A553" t="s">
        <v>47</v>
      </c>
      <c r="B553" t="s">
        <v>20</v>
      </c>
      <c r="C553">
        <v>15</v>
      </c>
      <c r="D553">
        <v>67</v>
      </c>
      <c r="E553" s="1">
        <f t="shared" si="49"/>
        <v>0.18292682926829268</v>
      </c>
      <c r="F553" s="2">
        <v>98.2</v>
      </c>
      <c r="G553" s="2">
        <v>107.8</v>
      </c>
      <c r="H553" s="2">
        <f t="shared" si="50"/>
        <v>-9.5999999999999943</v>
      </c>
      <c r="I553" s="1">
        <f t="shared" si="51"/>
        <v>0.21319047062273172</v>
      </c>
      <c r="J553" s="2">
        <v>100.6</v>
      </c>
      <c r="K553" s="2">
        <v>110.4</v>
      </c>
      <c r="L553" s="2">
        <f t="shared" si="52"/>
        <v>-9.8000000000000114</v>
      </c>
      <c r="M553" s="1">
        <f t="shared" si="53"/>
        <v>-3.0263641354439041E-2</v>
      </c>
      <c r="N553" s="2">
        <v>102.7</v>
      </c>
      <c r="O553" s="2">
        <v>108.9</v>
      </c>
      <c r="P553" s="2">
        <f t="shared" si="54"/>
        <v>-6.2000000000000028</v>
      </c>
      <c r="Q553">
        <v>0.3</v>
      </c>
    </row>
    <row r="554" spans="1:17">
      <c r="A554" t="s">
        <v>55</v>
      </c>
      <c r="B554" t="s">
        <v>11</v>
      </c>
      <c r="C554">
        <v>33</v>
      </c>
      <c r="D554">
        <v>49</v>
      </c>
      <c r="E554" s="1">
        <f t="shared" si="49"/>
        <v>0.40243902439024393</v>
      </c>
      <c r="F554" s="2">
        <v>101.9</v>
      </c>
      <c r="G554" s="2">
        <v>105</v>
      </c>
      <c r="H554" s="2">
        <f t="shared" si="50"/>
        <v>-3.0999999999999943</v>
      </c>
      <c r="I554" s="1">
        <f t="shared" si="51"/>
        <v>0.39662258414921886</v>
      </c>
      <c r="J554" s="2">
        <v>104.9</v>
      </c>
      <c r="K554" s="2">
        <v>108.2</v>
      </c>
      <c r="L554" s="2">
        <f t="shared" si="52"/>
        <v>-3.2999999999999972</v>
      </c>
      <c r="M554" s="1">
        <f t="shared" si="53"/>
        <v>5.8164402410250671E-3</v>
      </c>
      <c r="N554" s="2">
        <v>89.7</v>
      </c>
      <c r="O554" s="2">
        <v>96</v>
      </c>
      <c r="P554" s="2">
        <f t="shared" si="54"/>
        <v>-6.2999999999999972</v>
      </c>
      <c r="Q554">
        <v>-0.2</v>
      </c>
    </row>
    <row r="555" spans="1:17">
      <c r="A555" t="s">
        <v>36</v>
      </c>
      <c r="B555" t="s">
        <v>22</v>
      </c>
      <c r="C555">
        <v>37</v>
      </c>
      <c r="D555">
        <v>45</v>
      </c>
      <c r="E555" s="1">
        <f t="shared" si="49"/>
        <v>0.45121951219512196</v>
      </c>
      <c r="F555" s="2">
        <v>95.9</v>
      </c>
      <c r="G555" s="2">
        <v>97.2</v>
      </c>
      <c r="H555" s="2">
        <f t="shared" si="50"/>
        <v>-1.2999999999999972</v>
      </c>
      <c r="I555" s="1">
        <f t="shared" si="51"/>
        <v>0.45301250427242873</v>
      </c>
      <c r="J555" s="2">
        <v>103.3</v>
      </c>
      <c r="K555" s="2">
        <v>104.6</v>
      </c>
      <c r="L555" s="2">
        <f t="shared" si="52"/>
        <v>-1.2999999999999972</v>
      </c>
      <c r="M555" s="1">
        <f t="shared" si="53"/>
        <v>-1.7929920773067654E-3</v>
      </c>
      <c r="N555" s="2">
        <v>100</v>
      </c>
      <c r="O555" s="2">
        <v>106.3</v>
      </c>
      <c r="P555" s="2">
        <f t="shared" si="54"/>
        <v>-6.2999999999999972</v>
      </c>
      <c r="Q555">
        <v>-0.3</v>
      </c>
    </row>
    <row r="556" spans="1:17">
      <c r="A556" t="s">
        <v>64</v>
      </c>
      <c r="B556" t="s">
        <v>30</v>
      </c>
      <c r="C556">
        <v>25</v>
      </c>
      <c r="D556">
        <v>57</v>
      </c>
      <c r="E556" s="1">
        <f t="shared" si="49"/>
        <v>0.3048780487804878</v>
      </c>
      <c r="F556" s="2">
        <v>112.4</v>
      </c>
      <c r="G556" s="2">
        <v>118.8</v>
      </c>
      <c r="H556" s="2">
        <f t="shared" si="50"/>
        <v>-6.3999999999999915</v>
      </c>
      <c r="I556" s="1">
        <f t="shared" si="51"/>
        <v>0.3153370573458385</v>
      </c>
      <c r="J556" s="2">
        <v>111.8</v>
      </c>
      <c r="K556" s="2">
        <v>118.1</v>
      </c>
      <c r="L556" s="2">
        <f t="shared" si="52"/>
        <v>-6.2999999999999972</v>
      </c>
      <c r="M556" s="1">
        <f t="shared" si="53"/>
        <v>-1.0459008565350703E-2</v>
      </c>
      <c r="N556" s="2">
        <v>109</v>
      </c>
      <c r="O556" s="2">
        <v>115.5</v>
      </c>
      <c r="P556" s="2">
        <f t="shared" si="54"/>
        <v>-6.5</v>
      </c>
      <c r="Q556">
        <v>-1</v>
      </c>
    </row>
    <row r="557" spans="1:17">
      <c r="A557" t="s">
        <v>60</v>
      </c>
      <c r="B557" t="s">
        <v>9</v>
      </c>
      <c r="C557">
        <v>19</v>
      </c>
      <c r="D557">
        <v>46</v>
      </c>
      <c r="E557" s="1">
        <f t="shared" si="49"/>
        <v>0.29230769230769232</v>
      </c>
      <c r="F557" s="2">
        <v>106.9</v>
      </c>
      <c r="G557" s="2">
        <v>114.8</v>
      </c>
      <c r="H557" s="2">
        <f t="shared" si="50"/>
        <v>-7.8999999999999915</v>
      </c>
      <c r="I557" s="1">
        <f t="shared" si="51"/>
        <v>0.26930190028801032</v>
      </c>
      <c r="J557" s="2">
        <v>106.9</v>
      </c>
      <c r="K557" s="2">
        <v>114.8</v>
      </c>
      <c r="L557" s="2">
        <f t="shared" si="52"/>
        <v>-7.8999999999999915</v>
      </c>
      <c r="M557" s="1">
        <f t="shared" si="53"/>
        <v>2.3005792019682003E-2</v>
      </c>
      <c r="N557" s="2">
        <v>103.5</v>
      </c>
      <c r="O557" s="2">
        <v>110.1</v>
      </c>
      <c r="P557" s="2">
        <f t="shared" si="54"/>
        <v>-6.5999999999999943</v>
      </c>
      <c r="Q557">
        <v>0</v>
      </c>
    </row>
    <row r="558" spans="1:17">
      <c r="A558" t="s">
        <v>52</v>
      </c>
      <c r="B558" t="s">
        <v>33</v>
      </c>
      <c r="C558">
        <v>44</v>
      </c>
      <c r="D558">
        <v>38</v>
      </c>
      <c r="E558" s="1">
        <f t="shared" si="49"/>
        <v>0.53658536585365857</v>
      </c>
      <c r="F558" s="2">
        <v>100.7</v>
      </c>
      <c r="G558" s="2">
        <v>99.4</v>
      </c>
      <c r="H558" s="2">
        <f t="shared" si="50"/>
        <v>1.2999999999999972</v>
      </c>
      <c r="I558" s="1">
        <f t="shared" si="51"/>
        <v>0.54535290258851965</v>
      </c>
      <c r="J558" s="2">
        <v>104.9</v>
      </c>
      <c r="K558" s="2">
        <v>103.6</v>
      </c>
      <c r="L558" s="2">
        <f t="shared" si="52"/>
        <v>1.3000000000000114</v>
      </c>
      <c r="M558" s="1">
        <f t="shared" si="53"/>
        <v>-8.7675367348610811E-3</v>
      </c>
      <c r="N558" s="2">
        <v>92.4</v>
      </c>
      <c r="O558" s="2">
        <v>99</v>
      </c>
      <c r="P558" s="2">
        <f t="shared" si="54"/>
        <v>-6.5999999999999943</v>
      </c>
      <c r="Q558">
        <v>0</v>
      </c>
    </row>
    <row r="559" spans="1:17">
      <c r="A559" t="s">
        <v>55</v>
      </c>
      <c r="B559" t="s">
        <v>15</v>
      </c>
      <c r="C559">
        <v>45</v>
      </c>
      <c r="D559">
        <v>37</v>
      </c>
      <c r="E559" s="1">
        <f t="shared" si="49"/>
        <v>0.54878048780487809</v>
      </c>
      <c r="F559" s="2">
        <v>102.2</v>
      </c>
      <c r="G559" s="2">
        <v>100.5</v>
      </c>
      <c r="H559" s="2">
        <f t="shared" si="50"/>
        <v>1.7000000000000028</v>
      </c>
      <c r="I559" s="1">
        <f t="shared" si="51"/>
        <v>0.55844050126148148</v>
      </c>
      <c r="J559" s="2">
        <v>103.8</v>
      </c>
      <c r="K559" s="2">
        <v>102.2</v>
      </c>
      <c r="L559" s="2">
        <f t="shared" si="52"/>
        <v>1.5999999999999943</v>
      </c>
      <c r="M559" s="1">
        <f t="shared" si="53"/>
        <v>-9.6600134566033891E-3</v>
      </c>
      <c r="N559" s="2">
        <v>97.1</v>
      </c>
      <c r="O559" s="2">
        <v>103.7</v>
      </c>
      <c r="P559" s="2">
        <f t="shared" si="54"/>
        <v>-6.6000000000000085</v>
      </c>
      <c r="Q559">
        <v>0.7</v>
      </c>
    </row>
    <row r="560" spans="1:17">
      <c r="A560" t="s">
        <v>36</v>
      </c>
      <c r="B560" t="s">
        <v>35</v>
      </c>
      <c r="C560">
        <v>28</v>
      </c>
      <c r="D560">
        <v>54</v>
      </c>
      <c r="E560" s="1">
        <f t="shared" si="49"/>
        <v>0.34146341463414637</v>
      </c>
      <c r="F560" s="2">
        <v>97.5</v>
      </c>
      <c r="G560" s="2">
        <v>100.7</v>
      </c>
      <c r="H560" s="2">
        <f t="shared" si="50"/>
        <v>-3.2000000000000028</v>
      </c>
      <c r="I560" s="1">
        <f t="shared" si="51"/>
        <v>0.38885971000700537</v>
      </c>
      <c r="J560" s="2">
        <v>102.3</v>
      </c>
      <c r="K560" s="2">
        <v>105.9</v>
      </c>
      <c r="L560" s="2">
        <f t="shared" si="52"/>
        <v>-3.6000000000000085</v>
      </c>
      <c r="M560" s="1">
        <f t="shared" si="53"/>
        <v>-4.7396295372858999E-2</v>
      </c>
      <c r="N560" s="2">
        <v>97.8</v>
      </c>
      <c r="O560" s="2">
        <v>104.4</v>
      </c>
      <c r="P560" s="2">
        <f t="shared" si="54"/>
        <v>-6.6000000000000085</v>
      </c>
      <c r="Q560">
        <v>0.2</v>
      </c>
    </row>
    <row r="561" spans="1:17">
      <c r="A561" t="s">
        <v>61</v>
      </c>
      <c r="B561" t="s">
        <v>13</v>
      </c>
      <c r="C561">
        <v>39</v>
      </c>
      <c r="D561">
        <v>33</v>
      </c>
      <c r="E561" s="1">
        <f t="shared" si="49"/>
        <v>0.54166666666666663</v>
      </c>
      <c r="F561" s="2">
        <v>113.7</v>
      </c>
      <c r="G561" s="2">
        <v>112.7</v>
      </c>
      <c r="H561" s="2">
        <f t="shared" si="50"/>
        <v>1</v>
      </c>
      <c r="I561" s="1">
        <f t="shared" si="51"/>
        <v>0.53087957866492586</v>
      </c>
      <c r="J561" s="2">
        <v>110.5</v>
      </c>
      <c r="K561" s="2">
        <v>109.4</v>
      </c>
      <c r="L561" s="2">
        <f t="shared" si="52"/>
        <v>1.0999999999999943</v>
      </c>
      <c r="M561" s="1">
        <f t="shared" si="53"/>
        <v>1.0787088001740774E-2</v>
      </c>
      <c r="N561" s="2">
        <v>112.6</v>
      </c>
      <c r="O561" s="2">
        <v>119.3</v>
      </c>
      <c r="P561" s="2">
        <f t="shared" si="54"/>
        <v>-6.7000000000000028</v>
      </c>
      <c r="Q561">
        <v>0.2</v>
      </c>
    </row>
    <row r="562" spans="1:17">
      <c r="A562" t="s">
        <v>64</v>
      </c>
      <c r="B562" t="s">
        <v>51</v>
      </c>
      <c r="C562">
        <v>32</v>
      </c>
      <c r="D562">
        <v>50</v>
      </c>
      <c r="E562" s="1">
        <f t="shared" si="49"/>
        <v>0.3902439024390244</v>
      </c>
      <c r="F562" s="2">
        <v>110.4</v>
      </c>
      <c r="G562" s="2">
        <v>113.3</v>
      </c>
      <c r="H562" s="2">
        <f t="shared" si="50"/>
        <v>-2.8999999999999915</v>
      </c>
      <c r="I562" s="1">
        <f t="shared" si="51"/>
        <v>0.41023197755598673</v>
      </c>
      <c r="J562" s="2">
        <v>112.4</v>
      </c>
      <c r="K562" s="2">
        <v>115.4</v>
      </c>
      <c r="L562" s="2">
        <f t="shared" si="52"/>
        <v>-3</v>
      </c>
      <c r="M562" s="1">
        <f t="shared" si="53"/>
        <v>-1.9988075116962323E-2</v>
      </c>
      <c r="N562" s="2">
        <v>107.5</v>
      </c>
      <c r="O562" s="2">
        <v>114.2</v>
      </c>
      <c r="P562" s="2">
        <f t="shared" si="54"/>
        <v>-6.7000000000000028</v>
      </c>
      <c r="Q562">
        <v>-0.1</v>
      </c>
    </row>
    <row r="563" spans="1:17">
      <c r="A563" t="s">
        <v>43</v>
      </c>
      <c r="B563" t="s">
        <v>13</v>
      </c>
      <c r="C563">
        <v>42</v>
      </c>
      <c r="D563">
        <v>40</v>
      </c>
      <c r="E563" s="1">
        <f t="shared" si="49"/>
        <v>0.51219512195121952</v>
      </c>
      <c r="F563" s="2">
        <v>106.5</v>
      </c>
      <c r="G563" s="2">
        <v>106.9</v>
      </c>
      <c r="H563" s="2">
        <f t="shared" si="50"/>
        <v>-0.40000000000000568</v>
      </c>
      <c r="I563" s="1">
        <f t="shared" si="51"/>
        <v>0.48688209591984372</v>
      </c>
      <c r="J563" s="2">
        <v>106.2</v>
      </c>
      <c r="K563" s="2">
        <v>106.5</v>
      </c>
      <c r="L563" s="2">
        <f t="shared" si="52"/>
        <v>-0.29999999999999716</v>
      </c>
      <c r="M563" s="1">
        <f t="shared" si="53"/>
        <v>2.5313026031375807E-2</v>
      </c>
      <c r="N563" s="2">
        <v>98.2</v>
      </c>
      <c r="O563" s="2">
        <v>105</v>
      </c>
      <c r="P563" s="2">
        <f t="shared" si="54"/>
        <v>-6.7999999999999972</v>
      </c>
      <c r="Q563">
        <v>-0.5</v>
      </c>
    </row>
    <row r="564" spans="1:17">
      <c r="A564" t="s">
        <v>52</v>
      </c>
      <c r="B564" t="s">
        <v>9</v>
      </c>
      <c r="C564">
        <v>33</v>
      </c>
      <c r="D564">
        <v>49</v>
      </c>
      <c r="E564" s="1">
        <f t="shared" si="49"/>
        <v>0.40243902439024393</v>
      </c>
      <c r="F564" s="2">
        <v>98.2</v>
      </c>
      <c r="G564" s="2">
        <v>101.5</v>
      </c>
      <c r="H564" s="2">
        <f t="shared" si="50"/>
        <v>-3.2999999999999972</v>
      </c>
      <c r="I564" s="1">
        <f t="shared" si="51"/>
        <v>0.38633693083562831</v>
      </c>
      <c r="J564" s="2">
        <v>103.5</v>
      </c>
      <c r="K564" s="2">
        <v>107</v>
      </c>
      <c r="L564" s="2">
        <f t="shared" si="52"/>
        <v>-3.5</v>
      </c>
      <c r="M564" s="1">
        <f t="shared" si="53"/>
        <v>1.6102093554615615E-2</v>
      </c>
      <c r="N564" s="2">
        <v>95.4</v>
      </c>
      <c r="O564" s="2">
        <v>102.2</v>
      </c>
      <c r="P564" s="2">
        <f t="shared" si="54"/>
        <v>-6.7999999999999972</v>
      </c>
      <c r="Q564">
        <v>0.2</v>
      </c>
    </row>
    <row r="565" spans="1:17">
      <c r="A565" t="s">
        <v>52</v>
      </c>
      <c r="B565" t="s">
        <v>11</v>
      </c>
      <c r="C565">
        <v>36</v>
      </c>
      <c r="D565">
        <v>46</v>
      </c>
      <c r="E565" s="1">
        <f t="shared" si="49"/>
        <v>0.43902439024390244</v>
      </c>
      <c r="F565" s="2">
        <v>104.4</v>
      </c>
      <c r="G565" s="2">
        <v>106.5</v>
      </c>
      <c r="H565" s="2">
        <f t="shared" si="50"/>
        <v>-2.0999999999999943</v>
      </c>
      <c r="I565" s="1">
        <f t="shared" si="51"/>
        <v>0.43074448136951871</v>
      </c>
      <c r="J565" s="2">
        <v>105.1</v>
      </c>
      <c r="K565" s="2">
        <v>107.3</v>
      </c>
      <c r="L565" s="2">
        <f t="shared" si="52"/>
        <v>-2.2000000000000028</v>
      </c>
      <c r="M565" s="1">
        <f t="shared" si="53"/>
        <v>8.2799088743837346E-3</v>
      </c>
      <c r="N565" s="2">
        <v>98.8</v>
      </c>
      <c r="O565" s="2">
        <v>105.6</v>
      </c>
      <c r="P565" s="2">
        <f t="shared" si="54"/>
        <v>-6.7999999999999972</v>
      </c>
      <c r="Q565">
        <v>-0.5</v>
      </c>
    </row>
    <row r="566" spans="1:17">
      <c r="A566" t="s">
        <v>60</v>
      </c>
      <c r="B566" t="s">
        <v>28</v>
      </c>
      <c r="C566">
        <v>32</v>
      </c>
      <c r="D566">
        <v>39</v>
      </c>
      <c r="E566" s="1">
        <f t="shared" si="49"/>
        <v>0.45070422535211269</v>
      </c>
      <c r="F566" s="2">
        <v>114.1</v>
      </c>
      <c r="G566" s="2">
        <v>115.2</v>
      </c>
      <c r="H566" s="2">
        <f t="shared" si="50"/>
        <v>-1.1000000000000085</v>
      </c>
      <c r="I566" s="1">
        <f t="shared" si="51"/>
        <v>0.46646967958188307</v>
      </c>
      <c r="J566" s="2">
        <v>111.7</v>
      </c>
      <c r="K566" s="2">
        <v>112.6</v>
      </c>
      <c r="L566" s="2">
        <f t="shared" si="52"/>
        <v>-0.89999999999999147</v>
      </c>
      <c r="M566" s="1">
        <f t="shared" si="53"/>
        <v>-1.5765454229770381E-2</v>
      </c>
      <c r="N566" s="2">
        <v>105.2</v>
      </c>
      <c r="O566" s="2">
        <v>112</v>
      </c>
      <c r="P566" s="2">
        <f t="shared" si="54"/>
        <v>-6.7999999999999972</v>
      </c>
      <c r="Q566">
        <v>-0.9</v>
      </c>
    </row>
    <row r="567" spans="1:17">
      <c r="A567" t="s">
        <v>48</v>
      </c>
      <c r="B567" t="s">
        <v>35</v>
      </c>
      <c r="C567">
        <v>46</v>
      </c>
      <c r="D567">
        <v>36</v>
      </c>
      <c r="E567" s="1">
        <f t="shared" si="49"/>
        <v>0.56097560975609762</v>
      </c>
      <c r="F567" s="2">
        <v>99.9</v>
      </c>
      <c r="G567" s="2">
        <v>97.6</v>
      </c>
      <c r="H567" s="2">
        <f t="shared" si="50"/>
        <v>2.3000000000000114</v>
      </c>
      <c r="I567" s="1">
        <f t="shared" si="51"/>
        <v>0.58080787890560803</v>
      </c>
      <c r="J567" s="2">
        <v>107</v>
      </c>
      <c r="K567" s="2">
        <v>104.5</v>
      </c>
      <c r="L567" s="2">
        <f t="shared" si="52"/>
        <v>2.5</v>
      </c>
      <c r="M567" s="1">
        <f t="shared" si="53"/>
        <v>-1.9832269149510418E-2</v>
      </c>
      <c r="N567" s="2">
        <v>101.7</v>
      </c>
      <c r="O567" s="2">
        <v>108.5</v>
      </c>
      <c r="P567" s="2">
        <f t="shared" si="54"/>
        <v>-6.7999999999999972</v>
      </c>
      <c r="Q567">
        <v>1</v>
      </c>
    </row>
    <row r="568" spans="1:17">
      <c r="A568" t="s">
        <v>63</v>
      </c>
      <c r="B568" t="s">
        <v>26</v>
      </c>
      <c r="C568">
        <v>33</v>
      </c>
      <c r="D568">
        <v>49</v>
      </c>
      <c r="E568" s="1">
        <f t="shared" si="49"/>
        <v>0.40243902439024393</v>
      </c>
      <c r="F568" s="2">
        <v>113.4</v>
      </c>
      <c r="G568" s="2">
        <v>117.4</v>
      </c>
      <c r="H568" s="2">
        <f t="shared" si="50"/>
        <v>-4</v>
      </c>
      <c r="I568" s="1">
        <f t="shared" si="51"/>
        <v>0.3809973284555101</v>
      </c>
      <c r="J568" s="2">
        <v>114</v>
      </c>
      <c r="K568" s="2">
        <v>118</v>
      </c>
      <c r="L568" s="2">
        <f t="shared" si="52"/>
        <v>-4</v>
      </c>
      <c r="M568" s="1">
        <f t="shared" si="53"/>
        <v>2.1441695934733829E-2</v>
      </c>
      <c r="N568" s="2">
        <v>107.1</v>
      </c>
      <c r="O568" s="2">
        <v>113.9</v>
      </c>
      <c r="P568" s="2">
        <f t="shared" si="54"/>
        <v>-6.8000000000000114</v>
      </c>
      <c r="Q568">
        <v>-1.2</v>
      </c>
    </row>
    <row r="569" spans="1:17">
      <c r="A569" t="s">
        <v>59</v>
      </c>
      <c r="B569" t="s">
        <v>35</v>
      </c>
      <c r="C569">
        <v>33</v>
      </c>
      <c r="D569">
        <v>49</v>
      </c>
      <c r="E569" s="1">
        <f t="shared" si="49"/>
        <v>0.40243902439024393</v>
      </c>
      <c r="F569" s="2">
        <v>103.5</v>
      </c>
      <c r="G569" s="2">
        <v>106.1</v>
      </c>
      <c r="H569" s="2">
        <f t="shared" si="50"/>
        <v>-2.5999999999999943</v>
      </c>
      <c r="I569" s="1">
        <f t="shared" si="51"/>
        <v>0.41402614202375848</v>
      </c>
      <c r="J569" s="2">
        <v>105.6</v>
      </c>
      <c r="K569" s="2">
        <v>108</v>
      </c>
      <c r="L569" s="2">
        <f t="shared" si="52"/>
        <v>-2.4000000000000057</v>
      </c>
      <c r="M569" s="1">
        <f t="shared" si="53"/>
        <v>-1.1587117633514554E-2</v>
      </c>
      <c r="N569" s="2">
        <v>102.9</v>
      </c>
      <c r="O569" s="2">
        <v>109.8</v>
      </c>
      <c r="P569" s="2">
        <f t="shared" si="54"/>
        <v>-6.8999999999999915</v>
      </c>
      <c r="Q569">
        <v>-1.7</v>
      </c>
    </row>
    <row r="570" spans="1:17">
      <c r="A570" t="s">
        <v>45</v>
      </c>
      <c r="B570" t="s">
        <v>19</v>
      </c>
      <c r="C570">
        <v>34</v>
      </c>
      <c r="D570">
        <v>48</v>
      </c>
      <c r="E570" s="1">
        <f t="shared" si="49"/>
        <v>0.41463414634146339</v>
      </c>
      <c r="F570" s="2">
        <v>99.3</v>
      </c>
      <c r="G570" s="2">
        <v>100.4</v>
      </c>
      <c r="H570" s="2">
        <f t="shared" si="50"/>
        <v>-1.1000000000000085</v>
      </c>
      <c r="I570" s="1">
        <f t="shared" si="51"/>
        <v>0.46151802647482632</v>
      </c>
      <c r="J570" s="2">
        <v>105.2</v>
      </c>
      <c r="K570" s="2">
        <v>106.3</v>
      </c>
      <c r="L570" s="2">
        <f t="shared" si="52"/>
        <v>-1.0999999999999943</v>
      </c>
      <c r="M570" s="1">
        <f t="shared" si="53"/>
        <v>-4.6883880133362921E-2</v>
      </c>
      <c r="N570" s="2">
        <v>102</v>
      </c>
      <c r="O570" s="2">
        <v>108.9</v>
      </c>
      <c r="P570" s="2">
        <f t="shared" si="54"/>
        <v>-6.9000000000000057</v>
      </c>
      <c r="Q570">
        <v>-1</v>
      </c>
    </row>
    <row r="571" spans="1:17">
      <c r="A571" t="s">
        <v>61</v>
      </c>
      <c r="B571" t="s">
        <v>18</v>
      </c>
      <c r="C571">
        <v>40</v>
      </c>
      <c r="D571">
        <v>32</v>
      </c>
      <c r="E571" s="1">
        <f t="shared" si="49"/>
        <v>0.55555555555555558</v>
      </c>
      <c r="F571" s="2">
        <v>108.1</v>
      </c>
      <c r="G571" s="2">
        <v>108</v>
      </c>
      <c r="H571" s="2">
        <f t="shared" si="50"/>
        <v>9.9999999999994316E-2</v>
      </c>
      <c r="I571" s="1">
        <f t="shared" si="51"/>
        <v>0.50323919600627853</v>
      </c>
      <c r="J571" s="2">
        <v>110.6</v>
      </c>
      <c r="K571" s="2">
        <v>110.7</v>
      </c>
      <c r="L571" s="2">
        <f t="shared" si="52"/>
        <v>-0.10000000000000853</v>
      </c>
      <c r="M571" s="1">
        <f t="shared" si="53"/>
        <v>5.2316359549277047E-2</v>
      </c>
      <c r="N571" s="2">
        <v>95.1</v>
      </c>
      <c r="O571" s="2">
        <v>102.1</v>
      </c>
      <c r="P571" s="2">
        <f t="shared" si="54"/>
        <v>-7</v>
      </c>
      <c r="Q571">
        <v>-1.1000000000000001</v>
      </c>
    </row>
    <row r="572" spans="1:17">
      <c r="A572" t="s">
        <v>61</v>
      </c>
      <c r="B572" t="s">
        <v>27</v>
      </c>
      <c r="C572">
        <v>31</v>
      </c>
      <c r="D572">
        <v>41</v>
      </c>
      <c r="E572" s="1">
        <f t="shared" si="49"/>
        <v>0.43055555555555558</v>
      </c>
      <c r="F572" s="2">
        <v>113.7</v>
      </c>
      <c r="G572" s="2">
        <v>117.4</v>
      </c>
      <c r="H572" s="2">
        <f t="shared" si="50"/>
        <v>-3.7000000000000028</v>
      </c>
      <c r="I572" s="1">
        <f t="shared" si="51"/>
        <v>0.38975811254317522</v>
      </c>
      <c r="J572" s="2">
        <v>112.7</v>
      </c>
      <c r="K572" s="2">
        <v>116.5</v>
      </c>
      <c r="L572" s="2">
        <f t="shared" si="52"/>
        <v>-3.7999999999999972</v>
      </c>
      <c r="M572" s="1">
        <f t="shared" si="53"/>
        <v>4.0797443012380363E-2</v>
      </c>
      <c r="N572" s="2">
        <v>107.9</v>
      </c>
      <c r="O572" s="2">
        <v>114.9</v>
      </c>
      <c r="P572" s="2">
        <f t="shared" si="54"/>
        <v>-7</v>
      </c>
      <c r="Q572">
        <v>-1</v>
      </c>
    </row>
    <row r="573" spans="1:17">
      <c r="A573" t="s">
        <v>47</v>
      </c>
      <c r="B573" t="s">
        <v>12</v>
      </c>
      <c r="C573">
        <v>27</v>
      </c>
      <c r="D573">
        <v>55</v>
      </c>
      <c r="E573" s="1">
        <f t="shared" si="49"/>
        <v>0.32926829268292684</v>
      </c>
      <c r="F573" s="2">
        <v>94</v>
      </c>
      <c r="G573" s="2">
        <v>99.1</v>
      </c>
      <c r="H573" s="2">
        <f t="shared" si="50"/>
        <v>-5.0999999999999943</v>
      </c>
      <c r="I573" s="1">
        <f t="shared" si="51"/>
        <v>0.32307297980123056</v>
      </c>
      <c r="J573" s="2">
        <v>104.5</v>
      </c>
      <c r="K573" s="2">
        <v>110.3</v>
      </c>
      <c r="L573" s="2">
        <f t="shared" si="52"/>
        <v>-5.7999999999999972</v>
      </c>
      <c r="M573" s="1">
        <f t="shared" si="53"/>
        <v>6.1953128816962799E-3</v>
      </c>
      <c r="N573" s="2">
        <v>98.1</v>
      </c>
      <c r="O573" s="2">
        <v>105.1</v>
      </c>
      <c r="P573" s="2">
        <f t="shared" si="54"/>
        <v>-7</v>
      </c>
      <c r="Q573">
        <v>-1.1000000000000001</v>
      </c>
    </row>
    <row r="574" spans="1:17">
      <c r="A574" t="s">
        <v>44</v>
      </c>
      <c r="B574" t="s">
        <v>22</v>
      </c>
      <c r="C574">
        <v>23</v>
      </c>
      <c r="D574">
        <v>59</v>
      </c>
      <c r="E574" s="1">
        <f t="shared" si="49"/>
        <v>0.28048780487804881</v>
      </c>
      <c r="F574" s="2">
        <v>96.9</v>
      </c>
      <c r="G574" s="2">
        <v>103.5</v>
      </c>
      <c r="H574" s="2">
        <f t="shared" si="50"/>
        <v>-6.5999999999999943</v>
      </c>
      <c r="I574" s="1">
        <f t="shared" si="51"/>
        <v>0.28445095118347524</v>
      </c>
      <c r="J574" s="2">
        <v>103.5</v>
      </c>
      <c r="K574" s="2">
        <v>110.4</v>
      </c>
      <c r="L574" s="2">
        <f t="shared" si="52"/>
        <v>-6.9000000000000057</v>
      </c>
      <c r="M574" s="1">
        <f t="shared" si="53"/>
        <v>-3.9631463054264349E-3</v>
      </c>
      <c r="N574" s="2">
        <v>89.9</v>
      </c>
      <c r="O574" s="2">
        <v>96.9</v>
      </c>
      <c r="P574" s="2">
        <f t="shared" si="54"/>
        <v>-7</v>
      </c>
      <c r="Q574">
        <v>-1.4</v>
      </c>
    </row>
    <row r="575" spans="1:17">
      <c r="A575" t="s">
        <v>55</v>
      </c>
      <c r="B575" t="s">
        <v>51</v>
      </c>
      <c r="C575">
        <v>21</v>
      </c>
      <c r="D575">
        <v>61</v>
      </c>
      <c r="E575" s="1">
        <f t="shared" si="49"/>
        <v>0.25609756097560976</v>
      </c>
      <c r="F575" s="2">
        <v>98.6</v>
      </c>
      <c r="G575" s="2">
        <v>106</v>
      </c>
      <c r="H575" s="2">
        <f t="shared" si="50"/>
        <v>-7.4000000000000057</v>
      </c>
      <c r="I575" s="1">
        <f t="shared" si="51"/>
        <v>0.26636391076495491</v>
      </c>
      <c r="J575" s="2">
        <v>102.4</v>
      </c>
      <c r="K575" s="2">
        <v>109.7</v>
      </c>
      <c r="L575" s="2">
        <f t="shared" si="52"/>
        <v>-7.2999999999999972</v>
      </c>
      <c r="M575" s="1">
        <f t="shared" si="53"/>
        <v>-1.0266349789345153E-2</v>
      </c>
      <c r="N575" s="2">
        <v>96.9</v>
      </c>
      <c r="O575" s="2">
        <v>104</v>
      </c>
      <c r="P575" s="2">
        <f t="shared" si="54"/>
        <v>-7.0999999999999943</v>
      </c>
      <c r="Q575">
        <v>-1.8</v>
      </c>
    </row>
    <row r="576" spans="1:17">
      <c r="A576" t="s">
        <v>36</v>
      </c>
      <c r="B576" t="s">
        <v>15</v>
      </c>
      <c r="C576">
        <v>48</v>
      </c>
      <c r="D576">
        <v>34</v>
      </c>
      <c r="E576" s="1">
        <f t="shared" si="49"/>
        <v>0.58536585365853655</v>
      </c>
      <c r="F576" s="2">
        <v>96.8</v>
      </c>
      <c r="G576" s="2">
        <v>93.3</v>
      </c>
      <c r="H576" s="2">
        <f t="shared" si="50"/>
        <v>3.5</v>
      </c>
      <c r="I576" s="1">
        <f t="shared" si="51"/>
        <v>0.62611280259686619</v>
      </c>
      <c r="J576" s="2">
        <v>103.2</v>
      </c>
      <c r="K576" s="2">
        <v>99.6</v>
      </c>
      <c r="L576" s="2">
        <f t="shared" si="52"/>
        <v>3.6000000000000085</v>
      </c>
      <c r="M576" s="1">
        <f t="shared" si="53"/>
        <v>-4.0746948938329641E-2</v>
      </c>
      <c r="N576" s="2">
        <v>90.7</v>
      </c>
      <c r="O576" s="2">
        <v>97.8</v>
      </c>
      <c r="P576" s="2">
        <f t="shared" si="54"/>
        <v>-7.0999999999999943</v>
      </c>
      <c r="Q576">
        <v>-0.6</v>
      </c>
    </row>
    <row r="577" spans="1:17">
      <c r="A577" t="s">
        <v>50</v>
      </c>
      <c r="B577" t="s">
        <v>9</v>
      </c>
      <c r="C577">
        <v>24</v>
      </c>
      <c r="D577">
        <v>58</v>
      </c>
      <c r="E577" s="1">
        <f t="shared" si="49"/>
        <v>0.29268292682926828</v>
      </c>
      <c r="F577" s="2">
        <v>96.5</v>
      </c>
      <c r="G577" s="2">
        <v>101.2</v>
      </c>
      <c r="H577" s="2">
        <f t="shared" si="50"/>
        <v>-4.7000000000000028</v>
      </c>
      <c r="I577" s="1">
        <f t="shared" si="51"/>
        <v>0.33944230501218881</v>
      </c>
      <c r="J577" s="2">
        <v>103.2</v>
      </c>
      <c r="K577" s="2">
        <v>108.2</v>
      </c>
      <c r="L577" s="2">
        <f t="shared" si="52"/>
        <v>-5</v>
      </c>
      <c r="M577" s="1">
        <f t="shared" si="53"/>
        <v>-4.675937818292053E-2</v>
      </c>
      <c r="N577" s="2">
        <v>102</v>
      </c>
      <c r="O577" s="2">
        <v>109.1</v>
      </c>
      <c r="P577" s="2">
        <f t="shared" si="54"/>
        <v>-7.0999999999999943</v>
      </c>
      <c r="Q577">
        <v>-1.4</v>
      </c>
    </row>
    <row r="578" spans="1:17">
      <c r="A578" t="s">
        <v>54</v>
      </c>
      <c r="B578" t="s">
        <v>24</v>
      </c>
      <c r="C578">
        <v>18</v>
      </c>
      <c r="D578">
        <v>64</v>
      </c>
      <c r="E578" s="1">
        <f t="shared" si="49"/>
        <v>0.21951219512195122</v>
      </c>
      <c r="F578" s="2">
        <v>92</v>
      </c>
      <c r="G578" s="2">
        <v>101</v>
      </c>
      <c r="H578" s="2">
        <f t="shared" si="50"/>
        <v>-9</v>
      </c>
      <c r="I578" s="1">
        <f t="shared" si="51"/>
        <v>0.21304843690621958</v>
      </c>
      <c r="J578" s="2">
        <v>94.9</v>
      </c>
      <c r="K578" s="2">
        <v>103.9</v>
      </c>
      <c r="L578" s="2">
        <f t="shared" si="52"/>
        <v>-9</v>
      </c>
      <c r="M578" s="1">
        <f t="shared" si="53"/>
        <v>6.4637582157316409E-3</v>
      </c>
      <c r="N578" s="2">
        <v>84.7</v>
      </c>
      <c r="O578" s="2">
        <v>91.9</v>
      </c>
      <c r="P578" s="2">
        <f t="shared" si="54"/>
        <v>-7.2000000000000028</v>
      </c>
      <c r="Q578">
        <v>-1</v>
      </c>
    </row>
    <row r="579" spans="1:17">
      <c r="A579" t="s">
        <v>61</v>
      </c>
      <c r="B579" t="s">
        <v>56</v>
      </c>
      <c r="C579">
        <v>47</v>
      </c>
      <c r="D579">
        <v>25</v>
      </c>
      <c r="E579" s="1">
        <f t="shared" si="49"/>
        <v>0.65277777777777779</v>
      </c>
      <c r="F579" s="2">
        <v>114</v>
      </c>
      <c r="G579" s="2">
        <v>107.8</v>
      </c>
      <c r="H579" s="2">
        <f t="shared" si="50"/>
        <v>6.2000000000000028</v>
      </c>
      <c r="I579" s="1">
        <f t="shared" si="51"/>
        <v>0.68630286858129474</v>
      </c>
      <c r="J579" s="2">
        <v>116.7</v>
      </c>
      <c r="K579" s="2">
        <v>110.6</v>
      </c>
      <c r="L579" s="2">
        <f t="shared" si="52"/>
        <v>6.1000000000000085</v>
      </c>
      <c r="M579" s="1">
        <f t="shared" si="53"/>
        <v>-3.3525090803516955E-2</v>
      </c>
      <c r="N579" s="2">
        <v>110.3</v>
      </c>
      <c r="O579" s="2">
        <v>117.5</v>
      </c>
      <c r="P579" s="2">
        <f t="shared" si="54"/>
        <v>-7.2000000000000028</v>
      </c>
      <c r="Q579">
        <v>1.1000000000000001</v>
      </c>
    </row>
    <row r="580" spans="1:17">
      <c r="A580" t="s">
        <v>61</v>
      </c>
      <c r="B580" t="s">
        <v>9</v>
      </c>
      <c r="C580">
        <v>22</v>
      </c>
      <c r="D580">
        <v>50</v>
      </c>
      <c r="E580" s="1">
        <f t="shared" si="49"/>
        <v>0.30555555555555558</v>
      </c>
      <c r="F580" s="2">
        <v>103.8</v>
      </c>
      <c r="G580" s="2">
        <v>112.3</v>
      </c>
      <c r="H580" s="2">
        <f t="shared" si="50"/>
        <v>-8.5</v>
      </c>
      <c r="I580" s="1">
        <f t="shared" si="51"/>
        <v>0.24938210026428717</v>
      </c>
      <c r="J580" s="2">
        <v>105.2</v>
      </c>
      <c r="K580" s="2">
        <v>113.5</v>
      </c>
      <c r="L580" s="2">
        <f t="shared" si="52"/>
        <v>-8.2999999999999972</v>
      </c>
      <c r="M580" s="1">
        <f t="shared" si="53"/>
        <v>5.6173455291268409E-2</v>
      </c>
      <c r="N580" s="2">
        <v>99.1</v>
      </c>
      <c r="O580" s="2">
        <v>106.4</v>
      </c>
      <c r="P580" s="2">
        <f t="shared" si="54"/>
        <v>-7.3000000000000114</v>
      </c>
      <c r="Q580">
        <v>-1.5</v>
      </c>
    </row>
    <row r="581" spans="1:17">
      <c r="A581" t="s">
        <v>58</v>
      </c>
      <c r="B581" t="s">
        <v>20</v>
      </c>
      <c r="C581">
        <v>47</v>
      </c>
      <c r="D581">
        <v>35</v>
      </c>
      <c r="E581" s="1">
        <f t="shared" si="49"/>
        <v>0.57317073170731703</v>
      </c>
      <c r="F581" s="2">
        <v>109.5</v>
      </c>
      <c r="G581" s="2">
        <v>107.3</v>
      </c>
      <c r="H581" s="2">
        <f t="shared" si="50"/>
        <v>2.2000000000000028</v>
      </c>
      <c r="I581" s="1">
        <f t="shared" si="51"/>
        <v>0.57056154224834466</v>
      </c>
      <c r="J581" s="2">
        <v>112.5</v>
      </c>
      <c r="K581" s="2">
        <v>110.2</v>
      </c>
      <c r="L581" s="2">
        <f t="shared" si="52"/>
        <v>2.2999999999999972</v>
      </c>
      <c r="M581" s="1">
        <f t="shared" si="53"/>
        <v>2.6091894589723719E-3</v>
      </c>
      <c r="N581" s="2">
        <v>107.4</v>
      </c>
      <c r="O581" s="2">
        <v>114.8</v>
      </c>
      <c r="P581" s="2">
        <f t="shared" si="54"/>
        <v>-7.3999999999999915</v>
      </c>
      <c r="Q581">
        <v>-0.6</v>
      </c>
    </row>
    <row r="582" spans="1:17">
      <c r="A582" t="s">
        <v>64</v>
      </c>
      <c r="B582" t="s">
        <v>35</v>
      </c>
      <c r="C582">
        <v>27</v>
      </c>
      <c r="D582">
        <v>55</v>
      </c>
      <c r="E582" s="1">
        <f t="shared" si="49"/>
        <v>0.32926829268292684</v>
      </c>
      <c r="F582" s="2">
        <v>105.8</v>
      </c>
      <c r="G582" s="2">
        <v>112.8</v>
      </c>
      <c r="H582" s="2">
        <f t="shared" si="50"/>
        <v>-7</v>
      </c>
      <c r="I582" s="1">
        <f t="shared" si="51"/>
        <v>0.28968354582770361</v>
      </c>
      <c r="J582" s="2">
        <v>106.8</v>
      </c>
      <c r="K582" s="2">
        <v>113.7</v>
      </c>
      <c r="L582" s="2">
        <f t="shared" si="52"/>
        <v>-6.9000000000000057</v>
      </c>
      <c r="M582" s="1">
        <f t="shared" si="53"/>
        <v>3.958474685522323E-2</v>
      </c>
      <c r="N582" s="2">
        <v>98.4</v>
      </c>
      <c r="O582" s="2">
        <v>105.9</v>
      </c>
      <c r="P582" s="2">
        <f t="shared" si="54"/>
        <v>-7.5</v>
      </c>
      <c r="Q582">
        <v>0.4</v>
      </c>
    </row>
    <row r="583" spans="1:17">
      <c r="A583" t="s">
        <v>62</v>
      </c>
      <c r="B583" t="s">
        <v>10</v>
      </c>
      <c r="C583">
        <v>52</v>
      </c>
      <c r="D583">
        <v>30</v>
      </c>
      <c r="E583" s="1">
        <f t="shared" si="49"/>
        <v>0.63414634146341464</v>
      </c>
      <c r="F583" s="2">
        <v>108</v>
      </c>
      <c r="G583" s="2">
        <v>104.7</v>
      </c>
      <c r="H583" s="2">
        <f t="shared" si="50"/>
        <v>3.2999999999999972</v>
      </c>
      <c r="I583" s="1">
        <f t="shared" si="51"/>
        <v>0.60693567293355</v>
      </c>
      <c r="J583" s="2">
        <v>112.5</v>
      </c>
      <c r="K583" s="2">
        <v>109.1</v>
      </c>
      <c r="L583" s="2">
        <f t="shared" si="52"/>
        <v>3.4000000000000057</v>
      </c>
      <c r="M583" s="1">
        <f t="shared" si="53"/>
        <v>2.7210668529864646E-2</v>
      </c>
      <c r="N583" s="2">
        <v>109.5</v>
      </c>
      <c r="O583" s="2">
        <v>117</v>
      </c>
      <c r="P583" s="2">
        <f t="shared" si="54"/>
        <v>-7.5</v>
      </c>
      <c r="Q583">
        <v>-0.1</v>
      </c>
    </row>
    <row r="584" spans="1:17">
      <c r="A584" t="s">
        <v>50</v>
      </c>
      <c r="B584" t="s">
        <v>20</v>
      </c>
      <c r="C584">
        <v>31</v>
      </c>
      <c r="D584">
        <v>51</v>
      </c>
      <c r="E584" s="1">
        <f t="shared" si="49"/>
        <v>0.37804878048780488</v>
      </c>
      <c r="F584" s="2">
        <v>95.7</v>
      </c>
      <c r="G584" s="2">
        <v>98.1</v>
      </c>
      <c r="H584" s="2">
        <f t="shared" si="50"/>
        <v>-2.3999999999999915</v>
      </c>
      <c r="I584" s="1">
        <f t="shared" si="51"/>
        <v>0.41416664534903919</v>
      </c>
      <c r="J584" s="2">
        <v>101.8</v>
      </c>
      <c r="K584" s="2">
        <v>104</v>
      </c>
      <c r="L584" s="2">
        <f t="shared" si="52"/>
        <v>-2.2000000000000028</v>
      </c>
      <c r="M584" s="1">
        <f t="shared" si="53"/>
        <v>-3.6117864861234306E-2</v>
      </c>
      <c r="N584" s="2">
        <v>96.4</v>
      </c>
      <c r="O584" s="2">
        <v>103.9</v>
      </c>
      <c r="P584" s="2">
        <f t="shared" si="54"/>
        <v>-7.5</v>
      </c>
      <c r="Q584">
        <v>-1.1000000000000001</v>
      </c>
    </row>
    <row r="585" spans="1:17">
      <c r="A585" t="s">
        <v>41</v>
      </c>
      <c r="B585" t="s">
        <v>6</v>
      </c>
      <c r="C585">
        <v>33</v>
      </c>
      <c r="D585">
        <v>49</v>
      </c>
      <c r="E585" s="1">
        <f t="shared" ref="E585:E648" si="55">+C585/(C585+D585)</f>
        <v>0.40243902439024393</v>
      </c>
      <c r="F585" s="2">
        <v>98</v>
      </c>
      <c r="G585" s="2">
        <v>99.5</v>
      </c>
      <c r="H585" s="2">
        <f t="shared" ref="H585:H648" si="56">+F585-G585</f>
        <v>-1.5</v>
      </c>
      <c r="I585" s="1">
        <f t="shared" ref="I585:I648" si="57">+(F585^14)/((F585^14+G585^14))</f>
        <v>0.44703388765865459</v>
      </c>
      <c r="J585" s="2">
        <v>104</v>
      </c>
      <c r="K585" s="2">
        <v>105.6</v>
      </c>
      <c r="L585" s="2">
        <f t="shared" ref="L585:L648" si="58">+J585-K585</f>
        <v>-1.5999999999999943</v>
      </c>
      <c r="M585" s="1">
        <f t="shared" ref="M585:M648" si="59">+E585-I585</f>
        <v>-4.4594863268410667E-2</v>
      </c>
      <c r="N585" s="2">
        <v>94.7</v>
      </c>
      <c r="O585" s="2">
        <v>102.2</v>
      </c>
      <c r="P585" s="2">
        <f t="shared" ref="P585:P648" si="60">+N585-O585</f>
        <v>-7.5</v>
      </c>
      <c r="Q585">
        <v>-0.6</v>
      </c>
    </row>
    <row r="586" spans="1:17">
      <c r="A586" t="s">
        <v>66</v>
      </c>
      <c r="B586" t="s">
        <v>7</v>
      </c>
      <c r="C586">
        <v>32</v>
      </c>
      <c r="D586">
        <v>32</v>
      </c>
      <c r="E586" s="1">
        <f t="shared" si="55"/>
        <v>0.5</v>
      </c>
      <c r="F586" s="2">
        <v>116.2</v>
      </c>
      <c r="G586" s="2">
        <v>112.5</v>
      </c>
      <c r="H586" s="2">
        <f t="shared" si="56"/>
        <v>3.7000000000000028</v>
      </c>
      <c r="I586" s="1">
        <f t="shared" si="57"/>
        <v>0.61136052280832021</v>
      </c>
      <c r="J586" s="2">
        <v>117.8</v>
      </c>
      <c r="K586" s="2">
        <v>114.1</v>
      </c>
      <c r="L586" s="2">
        <f t="shared" si="58"/>
        <v>3.7000000000000028</v>
      </c>
      <c r="M586" s="1">
        <f t="shared" si="59"/>
        <v>-0.11136052280832021</v>
      </c>
      <c r="N586" s="2">
        <v>108</v>
      </c>
      <c r="O586" s="2">
        <v>115.5</v>
      </c>
      <c r="P586" s="2">
        <f t="shared" si="60"/>
        <v>-7.5</v>
      </c>
      <c r="Q586">
        <v>-0.9</v>
      </c>
    </row>
    <row r="587" spans="1:17">
      <c r="A587" t="s">
        <v>52</v>
      </c>
      <c r="B587" t="s">
        <v>27</v>
      </c>
      <c r="C587">
        <v>28</v>
      </c>
      <c r="D587">
        <v>54</v>
      </c>
      <c r="E587" s="1">
        <f t="shared" si="55"/>
        <v>0.34146341463414637</v>
      </c>
      <c r="F587" s="2">
        <v>100.5</v>
      </c>
      <c r="G587" s="2">
        <v>103.4</v>
      </c>
      <c r="H587" s="2">
        <f t="shared" si="56"/>
        <v>-2.9000000000000057</v>
      </c>
      <c r="I587" s="1">
        <f t="shared" si="57"/>
        <v>0.40173015666550166</v>
      </c>
      <c r="J587" s="2">
        <v>105.1</v>
      </c>
      <c r="K587" s="2">
        <v>107.8</v>
      </c>
      <c r="L587" s="2">
        <f t="shared" si="58"/>
        <v>-2.7000000000000028</v>
      </c>
      <c r="M587" s="1">
        <f t="shared" si="59"/>
        <v>-6.0266742031355292E-2</v>
      </c>
      <c r="N587" s="2">
        <v>101.2</v>
      </c>
      <c r="O587" s="2">
        <v>108.8</v>
      </c>
      <c r="P587" s="2">
        <f t="shared" si="60"/>
        <v>-7.5999999999999943</v>
      </c>
      <c r="Q587">
        <v>-1</v>
      </c>
    </row>
    <row r="588" spans="1:17">
      <c r="A588" t="s">
        <v>55</v>
      </c>
      <c r="B588" t="s">
        <v>17</v>
      </c>
      <c r="C588">
        <v>17</v>
      </c>
      <c r="D588">
        <v>65</v>
      </c>
      <c r="E588" s="1">
        <f t="shared" si="55"/>
        <v>0.2073170731707317</v>
      </c>
      <c r="F588" s="2">
        <v>97.3</v>
      </c>
      <c r="G588" s="2">
        <v>106.9</v>
      </c>
      <c r="H588" s="2">
        <f t="shared" si="56"/>
        <v>-9.6000000000000085</v>
      </c>
      <c r="I588" s="1">
        <f t="shared" si="57"/>
        <v>0.21126325417773295</v>
      </c>
      <c r="J588" s="2">
        <v>100.7</v>
      </c>
      <c r="K588" s="2">
        <v>110.3</v>
      </c>
      <c r="L588" s="2">
        <f t="shared" si="58"/>
        <v>-9.5999999999999943</v>
      </c>
      <c r="M588" s="1">
        <f t="shared" si="59"/>
        <v>-3.9461810070012537E-3</v>
      </c>
      <c r="N588" s="2">
        <v>108.9</v>
      </c>
      <c r="O588" s="2">
        <v>116.7</v>
      </c>
      <c r="P588" s="2">
        <f t="shared" si="60"/>
        <v>-7.7999999999999972</v>
      </c>
      <c r="Q588">
        <v>-0.1</v>
      </c>
    </row>
    <row r="589" spans="1:17">
      <c r="A589" t="s">
        <v>59</v>
      </c>
      <c r="B589" t="s">
        <v>22</v>
      </c>
      <c r="C589">
        <v>17</v>
      </c>
      <c r="D589">
        <v>65</v>
      </c>
      <c r="E589" s="1">
        <f t="shared" si="55"/>
        <v>0.2073170731707317</v>
      </c>
      <c r="F589" s="2">
        <v>104.6</v>
      </c>
      <c r="G589" s="2">
        <v>113.8</v>
      </c>
      <c r="H589" s="2">
        <f t="shared" si="56"/>
        <v>-9.2000000000000028</v>
      </c>
      <c r="I589" s="1">
        <f t="shared" si="57"/>
        <v>0.23501882994446718</v>
      </c>
      <c r="J589" s="2">
        <v>104</v>
      </c>
      <c r="K589" s="2">
        <v>112.9</v>
      </c>
      <c r="L589" s="2">
        <f t="shared" si="58"/>
        <v>-8.9000000000000057</v>
      </c>
      <c r="M589" s="1">
        <f t="shared" si="59"/>
        <v>-2.7701756773735486E-2</v>
      </c>
      <c r="N589" s="2">
        <v>103</v>
      </c>
      <c r="O589" s="2">
        <v>110.8</v>
      </c>
      <c r="P589" s="2">
        <f t="shared" si="60"/>
        <v>-7.7999999999999972</v>
      </c>
      <c r="Q589">
        <v>-1.1000000000000001</v>
      </c>
    </row>
    <row r="590" spans="1:17">
      <c r="A590" t="s">
        <v>54</v>
      </c>
      <c r="B590" t="s">
        <v>11</v>
      </c>
      <c r="C590">
        <v>30</v>
      </c>
      <c r="D590">
        <v>52</v>
      </c>
      <c r="E590" s="1">
        <f t="shared" si="55"/>
        <v>0.36585365853658536</v>
      </c>
      <c r="F590" s="2">
        <v>101.5</v>
      </c>
      <c r="G590" s="2">
        <v>105</v>
      </c>
      <c r="H590" s="2">
        <f t="shared" si="56"/>
        <v>-3.5</v>
      </c>
      <c r="I590" s="1">
        <f t="shared" si="57"/>
        <v>0.38352292862917464</v>
      </c>
      <c r="J590" s="2">
        <v>103.9</v>
      </c>
      <c r="K590" s="2">
        <v>107.1</v>
      </c>
      <c r="L590" s="2">
        <f t="shared" si="58"/>
        <v>-3.1999999999999886</v>
      </c>
      <c r="M590" s="1">
        <f t="shared" si="59"/>
        <v>-1.7669270092589284E-2</v>
      </c>
      <c r="N590" s="2">
        <v>104.4</v>
      </c>
      <c r="O590" s="2">
        <v>112.3</v>
      </c>
      <c r="P590" s="2">
        <f t="shared" si="60"/>
        <v>-7.8999999999999915</v>
      </c>
      <c r="Q590">
        <v>-0.8</v>
      </c>
    </row>
    <row r="591" spans="1:17">
      <c r="A591" t="s">
        <v>57</v>
      </c>
      <c r="B591" t="s">
        <v>11</v>
      </c>
      <c r="C591">
        <v>40</v>
      </c>
      <c r="D591">
        <v>42</v>
      </c>
      <c r="E591" s="1">
        <f t="shared" si="55"/>
        <v>0.48780487804878048</v>
      </c>
      <c r="F591" s="2">
        <v>111.7</v>
      </c>
      <c r="G591" s="2">
        <v>111.2</v>
      </c>
      <c r="H591" s="2">
        <f t="shared" si="56"/>
        <v>0.5</v>
      </c>
      <c r="I591" s="1">
        <f t="shared" si="57"/>
        <v>0.51569697497834144</v>
      </c>
      <c r="J591" s="2">
        <v>112.2</v>
      </c>
      <c r="K591" s="2">
        <v>111.7</v>
      </c>
      <c r="L591" s="2">
        <f t="shared" si="58"/>
        <v>0.5</v>
      </c>
      <c r="M591" s="1">
        <f t="shared" si="59"/>
        <v>-2.7892096929560961E-2</v>
      </c>
      <c r="N591" s="2">
        <v>97.2</v>
      </c>
      <c r="O591" s="2">
        <v>105.3</v>
      </c>
      <c r="P591" s="2">
        <f t="shared" si="60"/>
        <v>-8.0999999999999943</v>
      </c>
      <c r="Q591">
        <v>-1</v>
      </c>
    </row>
    <row r="592" spans="1:17">
      <c r="A592" t="s">
        <v>60</v>
      </c>
      <c r="B592" t="s">
        <v>10</v>
      </c>
      <c r="C592">
        <v>43</v>
      </c>
      <c r="D592">
        <v>32</v>
      </c>
      <c r="E592" s="1">
        <f t="shared" si="55"/>
        <v>0.57333333333333336</v>
      </c>
      <c r="F592" s="2">
        <v>117</v>
      </c>
      <c r="G592" s="2">
        <v>112.1</v>
      </c>
      <c r="H592" s="2">
        <f t="shared" si="56"/>
        <v>4.9000000000000057</v>
      </c>
      <c r="I592" s="1">
        <f t="shared" si="57"/>
        <v>0.64541752583706569</v>
      </c>
      <c r="J592" s="2">
        <v>115.9</v>
      </c>
      <c r="K592" s="2">
        <v>111.2</v>
      </c>
      <c r="L592" s="2">
        <f t="shared" si="58"/>
        <v>4.7000000000000028</v>
      </c>
      <c r="M592" s="1">
        <f t="shared" si="59"/>
        <v>-7.2084192503732325E-2</v>
      </c>
      <c r="N592" s="2">
        <v>99.4</v>
      </c>
      <c r="O592" s="2">
        <v>107.5</v>
      </c>
      <c r="P592" s="2">
        <f t="shared" si="60"/>
        <v>-8.0999999999999943</v>
      </c>
      <c r="Q592">
        <v>0.5</v>
      </c>
    </row>
    <row r="593" spans="1:17">
      <c r="A593" t="s">
        <v>48</v>
      </c>
      <c r="B593" t="s">
        <v>15</v>
      </c>
      <c r="C593">
        <v>37</v>
      </c>
      <c r="D593">
        <v>45</v>
      </c>
      <c r="E593" s="1">
        <f t="shared" si="55"/>
        <v>0.45121951219512196</v>
      </c>
      <c r="F593" s="2">
        <v>99.8</v>
      </c>
      <c r="G593" s="2">
        <v>100.9</v>
      </c>
      <c r="H593" s="2">
        <f t="shared" si="56"/>
        <v>-1.1000000000000085</v>
      </c>
      <c r="I593" s="1">
        <f t="shared" si="57"/>
        <v>0.4617090166605291</v>
      </c>
      <c r="J593" s="2">
        <v>104.1</v>
      </c>
      <c r="K593" s="2">
        <v>105</v>
      </c>
      <c r="L593" s="2">
        <f t="shared" si="58"/>
        <v>-0.90000000000000568</v>
      </c>
      <c r="M593" s="1">
        <f t="shared" si="59"/>
        <v>-1.048950446540714E-2</v>
      </c>
      <c r="N593" s="2">
        <v>96.3</v>
      </c>
      <c r="O593" s="2">
        <v>104.4</v>
      </c>
      <c r="P593" s="2">
        <f t="shared" si="60"/>
        <v>-8.1000000000000085</v>
      </c>
      <c r="Q593">
        <v>-1.5</v>
      </c>
    </row>
    <row r="594" spans="1:17">
      <c r="A594" t="s">
        <v>61</v>
      </c>
      <c r="B594" t="s">
        <v>8</v>
      </c>
      <c r="C594">
        <v>31</v>
      </c>
      <c r="D594">
        <v>41</v>
      </c>
      <c r="E594" s="1">
        <f t="shared" si="55"/>
        <v>0.43055555555555558</v>
      </c>
      <c r="F594" s="2">
        <v>110.7</v>
      </c>
      <c r="G594" s="2">
        <v>111.6</v>
      </c>
      <c r="H594" s="2">
        <f t="shared" si="56"/>
        <v>-0.89999999999999147</v>
      </c>
      <c r="I594" s="1">
        <f t="shared" si="57"/>
        <v>0.47169007456598405</v>
      </c>
      <c r="J594" s="2">
        <v>110.4</v>
      </c>
      <c r="K594" s="2">
        <v>111.5</v>
      </c>
      <c r="L594" s="2">
        <f t="shared" si="58"/>
        <v>-1.0999999999999943</v>
      </c>
      <c r="M594" s="1">
        <f t="shared" si="59"/>
        <v>-4.1134519010428472E-2</v>
      </c>
      <c r="N594" s="2">
        <v>107.1</v>
      </c>
      <c r="O594" s="2">
        <v>115.2</v>
      </c>
      <c r="P594" s="2">
        <f t="shared" si="60"/>
        <v>-8.1000000000000085</v>
      </c>
      <c r="Q594">
        <v>-1.1000000000000001</v>
      </c>
    </row>
    <row r="595" spans="1:17">
      <c r="A595" t="s">
        <v>58</v>
      </c>
      <c r="B595" t="s">
        <v>12</v>
      </c>
      <c r="C595">
        <v>39</v>
      </c>
      <c r="D595">
        <v>43</v>
      </c>
      <c r="E595" s="1">
        <f t="shared" si="55"/>
        <v>0.47560975609756095</v>
      </c>
      <c r="F595" s="2">
        <v>103.8</v>
      </c>
      <c r="G595" s="2">
        <v>103.9</v>
      </c>
      <c r="H595" s="2">
        <f t="shared" si="56"/>
        <v>-0.10000000000000853</v>
      </c>
      <c r="I595" s="1">
        <f t="shared" si="57"/>
        <v>0.49662980523369954</v>
      </c>
      <c r="J595" s="2">
        <v>106.6</v>
      </c>
      <c r="K595" s="2">
        <v>106.7</v>
      </c>
      <c r="L595" s="2">
        <f t="shared" si="58"/>
        <v>-0.10000000000000853</v>
      </c>
      <c r="M595" s="1">
        <f t="shared" si="59"/>
        <v>-2.1020049136138585E-2</v>
      </c>
      <c r="N595" s="2">
        <v>101.4</v>
      </c>
      <c r="O595" s="2">
        <v>109.6</v>
      </c>
      <c r="P595" s="2">
        <f t="shared" si="60"/>
        <v>-8.1999999999999886</v>
      </c>
      <c r="Q595">
        <v>0.8</v>
      </c>
    </row>
    <row r="596" spans="1:17">
      <c r="A596" t="s">
        <v>59</v>
      </c>
      <c r="B596" t="s">
        <v>8</v>
      </c>
      <c r="C596">
        <v>22</v>
      </c>
      <c r="D596">
        <v>60</v>
      </c>
      <c r="E596" s="1">
        <f t="shared" si="55"/>
        <v>0.26829268292682928</v>
      </c>
      <c r="F596" s="2">
        <v>104.9</v>
      </c>
      <c r="G596" s="2">
        <v>113.4</v>
      </c>
      <c r="H596" s="2">
        <f t="shared" si="56"/>
        <v>-8.5</v>
      </c>
      <c r="I596" s="1">
        <f t="shared" si="57"/>
        <v>0.25146874309736672</v>
      </c>
      <c r="J596" s="2">
        <v>104.5</v>
      </c>
      <c r="K596" s="2">
        <v>112.8</v>
      </c>
      <c r="L596" s="2">
        <f t="shared" si="58"/>
        <v>-8.2999999999999972</v>
      </c>
      <c r="M596" s="1">
        <f t="shared" si="59"/>
        <v>1.6823939829462564E-2</v>
      </c>
      <c r="N596" s="2">
        <v>98.8</v>
      </c>
      <c r="O596" s="2">
        <v>107.1</v>
      </c>
      <c r="P596" s="2">
        <f t="shared" si="60"/>
        <v>-8.2999999999999972</v>
      </c>
      <c r="Q596">
        <v>-1</v>
      </c>
    </row>
    <row r="597" spans="1:17">
      <c r="A597" t="s">
        <v>58</v>
      </c>
      <c r="B597" t="s">
        <v>33</v>
      </c>
      <c r="C597">
        <v>43</v>
      </c>
      <c r="D597">
        <v>39</v>
      </c>
      <c r="E597" s="1">
        <f t="shared" si="55"/>
        <v>0.52439024390243905</v>
      </c>
      <c r="F597" s="2">
        <v>106.6</v>
      </c>
      <c r="G597" s="2">
        <v>106</v>
      </c>
      <c r="H597" s="2">
        <f t="shared" si="56"/>
        <v>0.59999999999999432</v>
      </c>
      <c r="I597" s="1">
        <f t="shared" si="57"/>
        <v>0.51974518791445967</v>
      </c>
      <c r="J597" s="2">
        <v>108.1</v>
      </c>
      <c r="K597" s="2">
        <v>107.7</v>
      </c>
      <c r="L597" s="2">
        <f t="shared" si="58"/>
        <v>0.39999999999999147</v>
      </c>
      <c r="M597" s="1">
        <f t="shared" si="59"/>
        <v>4.645055987979374E-3</v>
      </c>
      <c r="N597" s="2">
        <v>96</v>
      </c>
      <c r="O597" s="2">
        <v>104.3</v>
      </c>
      <c r="P597" s="2">
        <f t="shared" si="60"/>
        <v>-8.2999999999999972</v>
      </c>
      <c r="Q597">
        <v>-0.8</v>
      </c>
    </row>
    <row r="598" spans="1:17">
      <c r="A598" t="s">
        <v>34</v>
      </c>
      <c r="B598" t="s">
        <v>20</v>
      </c>
      <c r="C598">
        <v>50</v>
      </c>
      <c r="D598">
        <v>32</v>
      </c>
      <c r="E598" s="1">
        <f t="shared" si="55"/>
        <v>0.6097560975609756</v>
      </c>
      <c r="F598" s="2">
        <v>99.3</v>
      </c>
      <c r="G598" s="2">
        <v>96</v>
      </c>
      <c r="H598" s="2">
        <f t="shared" si="56"/>
        <v>3.2999999999999972</v>
      </c>
      <c r="I598" s="1">
        <f t="shared" si="57"/>
        <v>0.6161321966292217</v>
      </c>
      <c r="J598" s="2">
        <v>107.5</v>
      </c>
      <c r="K598" s="2">
        <v>104.1</v>
      </c>
      <c r="L598" s="2">
        <f t="shared" si="58"/>
        <v>3.4000000000000057</v>
      </c>
      <c r="M598" s="1">
        <f t="shared" si="59"/>
        <v>-6.3760990682460994E-3</v>
      </c>
      <c r="N598" s="2">
        <v>94.3</v>
      </c>
      <c r="O598" s="2">
        <v>102.6</v>
      </c>
      <c r="P598" s="2">
        <f t="shared" si="60"/>
        <v>-8.2999999999999972</v>
      </c>
      <c r="Q598">
        <v>-0.2</v>
      </c>
    </row>
    <row r="599" spans="1:17">
      <c r="A599" t="s">
        <v>52</v>
      </c>
      <c r="B599" t="s">
        <v>22</v>
      </c>
      <c r="C599">
        <v>37</v>
      </c>
      <c r="D599">
        <v>45</v>
      </c>
      <c r="E599" s="1">
        <f t="shared" si="55"/>
        <v>0.45121951219512196</v>
      </c>
      <c r="F599" s="2">
        <v>98.6</v>
      </c>
      <c r="G599" s="2">
        <v>99.4</v>
      </c>
      <c r="H599" s="2">
        <f t="shared" si="56"/>
        <v>-0.80000000000001137</v>
      </c>
      <c r="I599" s="1">
        <f t="shared" si="57"/>
        <v>0.47174714501702425</v>
      </c>
      <c r="J599" s="2">
        <v>107</v>
      </c>
      <c r="K599" s="2">
        <v>108.1</v>
      </c>
      <c r="L599" s="2">
        <f t="shared" si="58"/>
        <v>-1.0999999999999943</v>
      </c>
      <c r="M599" s="1">
        <f t="shared" si="59"/>
        <v>-2.0527632821902286E-2</v>
      </c>
      <c r="N599" s="2">
        <v>92.3</v>
      </c>
      <c r="O599" s="2">
        <v>100.6</v>
      </c>
      <c r="P599" s="2">
        <f t="shared" si="60"/>
        <v>-8.2999999999999972</v>
      </c>
      <c r="Q599">
        <v>-1.2</v>
      </c>
    </row>
    <row r="600" spans="1:17">
      <c r="A600" t="s">
        <v>65</v>
      </c>
      <c r="B600" t="s">
        <v>26</v>
      </c>
      <c r="C600">
        <v>36</v>
      </c>
      <c r="D600">
        <v>46</v>
      </c>
      <c r="E600" s="1">
        <f t="shared" si="55"/>
        <v>0.43902439024390244</v>
      </c>
      <c r="F600" s="2">
        <v>110.9</v>
      </c>
      <c r="G600" s="2">
        <v>113.9</v>
      </c>
      <c r="H600" s="2">
        <f t="shared" si="56"/>
        <v>-3</v>
      </c>
      <c r="I600" s="1">
        <f t="shared" si="57"/>
        <v>0.40765025304678426</v>
      </c>
      <c r="J600" s="2">
        <v>111</v>
      </c>
      <c r="K600" s="2">
        <v>113.7</v>
      </c>
      <c r="L600" s="2">
        <f t="shared" si="58"/>
        <v>-2.7000000000000028</v>
      </c>
      <c r="M600" s="1">
        <f t="shared" si="59"/>
        <v>3.1374137197118179E-2</v>
      </c>
      <c r="N600" s="2">
        <v>113.6</v>
      </c>
      <c r="O600" s="2">
        <v>121.9</v>
      </c>
      <c r="P600" s="2">
        <f t="shared" si="60"/>
        <v>-8.3000000000000114</v>
      </c>
      <c r="Q600">
        <v>-1.1000000000000001</v>
      </c>
    </row>
    <row r="601" spans="1:17">
      <c r="A601" t="s">
        <v>39</v>
      </c>
      <c r="B601" t="s">
        <v>9</v>
      </c>
      <c r="C601">
        <v>42</v>
      </c>
      <c r="D601">
        <v>40</v>
      </c>
      <c r="E601" s="1">
        <f t="shared" si="55"/>
        <v>0.51219512195121952</v>
      </c>
      <c r="F601" s="2">
        <v>96.5</v>
      </c>
      <c r="G601" s="2">
        <v>95.7</v>
      </c>
      <c r="H601" s="2">
        <f t="shared" si="56"/>
        <v>0.79999999999999716</v>
      </c>
      <c r="I601" s="1">
        <f t="shared" si="57"/>
        <v>0.52910354937105664</v>
      </c>
      <c r="J601" s="2">
        <v>105.3</v>
      </c>
      <c r="K601" s="2">
        <v>104.7</v>
      </c>
      <c r="L601" s="2">
        <f t="shared" si="58"/>
        <v>0.59999999999999432</v>
      </c>
      <c r="M601" s="1">
        <f t="shared" si="59"/>
        <v>-1.6908427419837113E-2</v>
      </c>
      <c r="N601" s="2">
        <v>96.7</v>
      </c>
      <c r="O601" s="2">
        <v>105.1</v>
      </c>
      <c r="P601" s="2">
        <f t="shared" si="60"/>
        <v>-8.3999999999999915</v>
      </c>
      <c r="Q601">
        <v>0.2</v>
      </c>
    </row>
    <row r="602" spans="1:17">
      <c r="A602" t="s">
        <v>38</v>
      </c>
      <c r="B602" t="s">
        <v>24</v>
      </c>
      <c r="C602">
        <v>33</v>
      </c>
      <c r="D602">
        <v>49</v>
      </c>
      <c r="E602" s="1">
        <f t="shared" si="55"/>
        <v>0.40243902439024393</v>
      </c>
      <c r="F602" s="2">
        <v>88</v>
      </c>
      <c r="G602" s="2">
        <v>90.5</v>
      </c>
      <c r="H602" s="2">
        <f t="shared" si="56"/>
        <v>-2.5</v>
      </c>
      <c r="I602" s="1">
        <f t="shared" si="57"/>
        <v>0.4031920171201035</v>
      </c>
      <c r="J602" s="2">
        <v>97.8</v>
      </c>
      <c r="K602" s="2">
        <v>100.4</v>
      </c>
      <c r="L602" s="2">
        <f t="shared" si="58"/>
        <v>-2.6000000000000085</v>
      </c>
      <c r="M602" s="1">
        <f t="shared" si="59"/>
        <v>-7.5299272985956955E-4</v>
      </c>
      <c r="N602" s="2">
        <v>82.5</v>
      </c>
      <c r="O602" s="2">
        <v>90.9</v>
      </c>
      <c r="P602" s="2">
        <f t="shared" si="60"/>
        <v>-8.4000000000000057</v>
      </c>
      <c r="Q602">
        <v>-0.1</v>
      </c>
    </row>
    <row r="603" spans="1:17">
      <c r="A603" t="s">
        <v>62</v>
      </c>
      <c r="B603" t="s">
        <v>31</v>
      </c>
      <c r="C603">
        <v>49</v>
      </c>
      <c r="D603">
        <v>33</v>
      </c>
      <c r="E603" s="1">
        <f t="shared" si="55"/>
        <v>0.59756097560975607</v>
      </c>
      <c r="F603" s="2">
        <v>113.6</v>
      </c>
      <c r="G603" s="2">
        <v>107.6</v>
      </c>
      <c r="H603" s="2">
        <f t="shared" si="56"/>
        <v>6</v>
      </c>
      <c r="I603" s="1">
        <f t="shared" si="57"/>
        <v>0.68128425860011865</v>
      </c>
      <c r="J603" s="2">
        <v>116.2</v>
      </c>
      <c r="K603" s="2">
        <v>110</v>
      </c>
      <c r="L603" s="2">
        <f t="shared" si="58"/>
        <v>6.2000000000000028</v>
      </c>
      <c r="M603" s="1">
        <f t="shared" si="59"/>
        <v>-8.372328299036258E-2</v>
      </c>
      <c r="N603" s="2">
        <v>105.1</v>
      </c>
      <c r="O603" s="2">
        <v>113.5</v>
      </c>
      <c r="P603" s="2">
        <f t="shared" si="60"/>
        <v>-8.4000000000000057</v>
      </c>
      <c r="Q603">
        <v>0.7</v>
      </c>
    </row>
    <row r="604" spans="1:17">
      <c r="A604" t="s">
        <v>55</v>
      </c>
      <c r="B604" t="s">
        <v>46</v>
      </c>
      <c r="C604">
        <v>55</v>
      </c>
      <c r="D604">
        <v>27</v>
      </c>
      <c r="E604" s="1">
        <f t="shared" si="55"/>
        <v>0.67073170731707321</v>
      </c>
      <c r="F604" s="2">
        <v>110.2</v>
      </c>
      <c r="G604" s="2">
        <v>102.9</v>
      </c>
      <c r="H604" s="2">
        <f t="shared" si="56"/>
        <v>7.2999999999999972</v>
      </c>
      <c r="I604" s="1">
        <f t="shared" si="57"/>
        <v>0.72303160932792188</v>
      </c>
      <c r="J604" s="2">
        <v>112.1</v>
      </c>
      <c r="K604" s="2">
        <v>104.8</v>
      </c>
      <c r="L604" s="2">
        <f t="shared" si="58"/>
        <v>7.2999999999999972</v>
      </c>
      <c r="M604" s="1">
        <f t="shared" si="59"/>
        <v>-5.2299902010848665E-2</v>
      </c>
      <c r="N604" s="2">
        <v>102.2</v>
      </c>
      <c r="O604" s="2">
        <v>110.7</v>
      </c>
      <c r="P604" s="2">
        <f t="shared" si="60"/>
        <v>-8.5</v>
      </c>
      <c r="Q604">
        <v>0</v>
      </c>
    </row>
    <row r="605" spans="1:17">
      <c r="A605" t="s">
        <v>58</v>
      </c>
      <c r="B605" t="s">
        <v>56</v>
      </c>
      <c r="C605">
        <v>42</v>
      </c>
      <c r="D605">
        <v>40</v>
      </c>
      <c r="E605" s="1">
        <f t="shared" si="55"/>
        <v>0.51219512195121952</v>
      </c>
      <c r="F605" s="2">
        <v>109</v>
      </c>
      <c r="G605" s="2">
        <v>109</v>
      </c>
      <c r="H605" s="2">
        <f t="shared" si="56"/>
        <v>0</v>
      </c>
      <c r="I605" s="1">
        <f t="shared" si="57"/>
        <v>0.5</v>
      </c>
      <c r="J605" s="2">
        <v>109.4</v>
      </c>
      <c r="K605" s="2">
        <v>109.2</v>
      </c>
      <c r="L605" s="2">
        <f t="shared" si="58"/>
        <v>0.20000000000000284</v>
      </c>
      <c r="M605" s="1">
        <f t="shared" si="59"/>
        <v>1.2195121951219523E-2</v>
      </c>
      <c r="N605" s="2">
        <v>110.5</v>
      </c>
      <c r="O605" s="2">
        <v>119.1</v>
      </c>
      <c r="P605" s="2">
        <f t="shared" si="60"/>
        <v>-8.5999999999999943</v>
      </c>
      <c r="Q605">
        <v>1.5</v>
      </c>
    </row>
    <row r="606" spans="1:17">
      <c r="A606" t="s">
        <v>59</v>
      </c>
      <c r="B606" t="s">
        <v>10</v>
      </c>
      <c r="C606">
        <v>33</v>
      </c>
      <c r="D606">
        <v>49</v>
      </c>
      <c r="E606" s="1">
        <f t="shared" si="55"/>
        <v>0.40243902439024393</v>
      </c>
      <c r="F606" s="2">
        <v>108.9</v>
      </c>
      <c r="G606" s="2">
        <v>110.1</v>
      </c>
      <c r="H606" s="2">
        <f t="shared" si="56"/>
        <v>-1.1999999999999886</v>
      </c>
      <c r="I606" s="1">
        <f t="shared" si="57"/>
        <v>0.46171851651459928</v>
      </c>
      <c r="J606" s="2">
        <v>108.7</v>
      </c>
      <c r="K606" s="2">
        <v>110.1</v>
      </c>
      <c r="L606" s="2">
        <f t="shared" si="58"/>
        <v>-1.3999999999999915</v>
      </c>
      <c r="M606" s="1">
        <f t="shared" si="59"/>
        <v>-5.9279492124355349E-2</v>
      </c>
      <c r="N606" s="2">
        <v>100.3</v>
      </c>
      <c r="O606" s="2">
        <v>108.9</v>
      </c>
      <c r="P606" s="2">
        <f t="shared" si="60"/>
        <v>-8.6000000000000085</v>
      </c>
      <c r="Q606">
        <v>0.4</v>
      </c>
    </row>
    <row r="607" spans="1:17">
      <c r="A607" t="s">
        <v>66</v>
      </c>
      <c r="B607" t="s">
        <v>8</v>
      </c>
      <c r="C607">
        <v>26</v>
      </c>
      <c r="D607">
        <v>37</v>
      </c>
      <c r="E607" s="1">
        <f t="shared" si="55"/>
        <v>0.41269841269841268</v>
      </c>
      <c r="F607" s="2">
        <v>115.5</v>
      </c>
      <c r="G607" s="2">
        <v>119.7</v>
      </c>
      <c r="H607" s="2">
        <f t="shared" si="56"/>
        <v>-4.2000000000000028</v>
      </c>
      <c r="I607" s="1">
        <f t="shared" si="57"/>
        <v>0.37752817692129625</v>
      </c>
      <c r="J607" s="2">
        <v>112.2</v>
      </c>
      <c r="K607" s="2">
        <v>116.6</v>
      </c>
      <c r="L607" s="2">
        <f t="shared" si="58"/>
        <v>-4.3999999999999915</v>
      </c>
      <c r="M607" s="1">
        <f t="shared" si="59"/>
        <v>3.5170235777116421E-2</v>
      </c>
      <c r="N607" s="2">
        <v>108.4</v>
      </c>
      <c r="O607" s="2">
        <v>117.1</v>
      </c>
      <c r="P607" s="2">
        <f t="shared" si="60"/>
        <v>-8.6999999999999886</v>
      </c>
      <c r="Q607">
        <v>-0.6</v>
      </c>
    </row>
    <row r="608" spans="1:17">
      <c r="A608" t="s">
        <v>58</v>
      </c>
      <c r="B608" t="s">
        <v>23</v>
      </c>
      <c r="C608">
        <v>25</v>
      </c>
      <c r="D608">
        <v>57</v>
      </c>
      <c r="E608" s="1">
        <f t="shared" si="55"/>
        <v>0.3048780487804878</v>
      </c>
      <c r="F608" s="2">
        <v>103.4</v>
      </c>
      <c r="G608" s="2">
        <v>108.2</v>
      </c>
      <c r="H608" s="2">
        <f t="shared" si="56"/>
        <v>-4.7999999999999972</v>
      </c>
      <c r="I608" s="1">
        <f t="shared" si="57"/>
        <v>0.34631662039158329</v>
      </c>
      <c r="J608" s="2">
        <v>104.7</v>
      </c>
      <c r="K608" s="2">
        <v>109.4</v>
      </c>
      <c r="L608" s="2">
        <f t="shared" si="58"/>
        <v>-4.7000000000000028</v>
      </c>
      <c r="M608" s="1">
        <f t="shared" si="59"/>
        <v>-4.1438571611095487E-2</v>
      </c>
      <c r="N608" s="2">
        <v>98.4</v>
      </c>
      <c r="O608" s="2">
        <v>107.1</v>
      </c>
      <c r="P608" s="2">
        <f t="shared" si="60"/>
        <v>-8.6999999999999886</v>
      </c>
      <c r="Q608">
        <v>0</v>
      </c>
    </row>
    <row r="609" spans="1:17">
      <c r="A609" t="s">
        <v>43</v>
      </c>
      <c r="B609" t="s">
        <v>21</v>
      </c>
      <c r="C609">
        <v>41</v>
      </c>
      <c r="D609">
        <v>41</v>
      </c>
      <c r="E609" s="1">
        <f t="shared" si="55"/>
        <v>0.5</v>
      </c>
      <c r="F609" s="2">
        <v>97.6</v>
      </c>
      <c r="G609" s="2">
        <v>98.3</v>
      </c>
      <c r="H609" s="2">
        <f t="shared" si="56"/>
        <v>-0.70000000000000284</v>
      </c>
      <c r="I609" s="1">
        <f t="shared" si="57"/>
        <v>0.47500797658493921</v>
      </c>
      <c r="J609" s="2">
        <v>104.2</v>
      </c>
      <c r="K609" s="2">
        <v>105.1</v>
      </c>
      <c r="L609" s="2">
        <f t="shared" si="58"/>
        <v>-0.89999999999999147</v>
      </c>
      <c r="M609" s="1">
        <f t="shared" si="59"/>
        <v>2.4992023415060793E-2</v>
      </c>
      <c r="N609" s="2">
        <v>101.7</v>
      </c>
      <c r="O609" s="2">
        <v>110.4</v>
      </c>
      <c r="P609" s="2">
        <f t="shared" si="60"/>
        <v>-8.7000000000000028</v>
      </c>
      <c r="Q609">
        <v>-0.6</v>
      </c>
    </row>
    <row r="610" spans="1:17">
      <c r="A610" t="s">
        <v>43</v>
      </c>
      <c r="B610" t="s">
        <v>14</v>
      </c>
      <c r="C610">
        <v>52</v>
      </c>
      <c r="D610">
        <v>30</v>
      </c>
      <c r="E610" s="1">
        <f t="shared" si="55"/>
        <v>0.63414634146341464</v>
      </c>
      <c r="F610" s="2">
        <v>97</v>
      </c>
      <c r="G610" s="2">
        <v>92.1</v>
      </c>
      <c r="H610" s="2">
        <f t="shared" si="56"/>
        <v>4.9000000000000057</v>
      </c>
      <c r="I610" s="1">
        <f t="shared" si="57"/>
        <v>0.67386194635235153</v>
      </c>
      <c r="J610" s="2">
        <v>104.7</v>
      </c>
      <c r="K610" s="2">
        <v>99.7</v>
      </c>
      <c r="L610" s="2">
        <f t="shared" si="58"/>
        <v>5</v>
      </c>
      <c r="M610" s="1">
        <f t="shared" si="59"/>
        <v>-3.9715604888936884E-2</v>
      </c>
      <c r="N610" s="2">
        <v>99.7</v>
      </c>
      <c r="O610" s="2">
        <v>108.4</v>
      </c>
      <c r="P610" s="2">
        <f t="shared" si="60"/>
        <v>-8.7000000000000028</v>
      </c>
      <c r="Q610">
        <v>-1.4</v>
      </c>
    </row>
    <row r="611" spans="1:17">
      <c r="A611" t="s">
        <v>49</v>
      </c>
      <c r="B611" t="s">
        <v>12</v>
      </c>
      <c r="C611">
        <v>25</v>
      </c>
      <c r="D611">
        <v>41</v>
      </c>
      <c r="E611" s="1">
        <f t="shared" si="55"/>
        <v>0.37878787878787878</v>
      </c>
      <c r="F611" s="2">
        <v>90.9</v>
      </c>
      <c r="G611" s="2">
        <v>95.7</v>
      </c>
      <c r="H611" s="2">
        <f t="shared" si="56"/>
        <v>-4.7999999999999972</v>
      </c>
      <c r="I611" s="1">
        <f t="shared" si="57"/>
        <v>0.32730134783785092</v>
      </c>
      <c r="J611" s="2">
        <v>100</v>
      </c>
      <c r="K611" s="2">
        <v>105</v>
      </c>
      <c r="L611" s="2">
        <f t="shared" si="58"/>
        <v>-5</v>
      </c>
      <c r="M611" s="1">
        <f t="shared" si="59"/>
        <v>5.1486530950027865E-2</v>
      </c>
      <c r="N611" s="2">
        <v>95.9</v>
      </c>
      <c r="O611" s="2">
        <v>104.7</v>
      </c>
      <c r="P611" s="2">
        <f t="shared" si="60"/>
        <v>-8.7999999999999972</v>
      </c>
      <c r="Q611">
        <v>-2.2999999999999998</v>
      </c>
    </row>
    <row r="612" spans="1:17">
      <c r="A612" t="s">
        <v>47</v>
      </c>
      <c r="B612" t="s">
        <v>33</v>
      </c>
      <c r="C612">
        <v>26</v>
      </c>
      <c r="D612">
        <v>56</v>
      </c>
      <c r="E612" s="1">
        <f t="shared" si="55"/>
        <v>0.31707317073170732</v>
      </c>
      <c r="F612" s="2">
        <v>96.2</v>
      </c>
      <c r="G612" s="2">
        <v>101</v>
      </c>
      <c r="H612" s="2">
        <f t="shared" si="56"/>
        <v>-4.7999999999999972</v>
      </c>
      <c r="I612" s="1">
        <f t="shared" si="57"/>
        <v>0.33588728853069855</v>
      </c>
      <c r="J612" s="2">
        <v>103.1</v>
      </c>
      <c r="K612" s="2">
        <v>108.3</v>
      </c>
      <c r="L612" s="2">
        <f t="shared" si="58"/>
        <v>-5.2000000000000028</v>
      </c>
      <c r="M612" s="1">
        <f t="shared" si="59"/>
        <v>-1.8814117798991226E-2</v>
      </c>
      <c r="N612" s="2">
        <v>94.2</v>
      </c>
      <c r="O612" s="2">
        <v>103.1</v>
      </c>
      <c r="P612" s="2">
        <f t="shared" si="60"/>
        <v>-8.8999999999999915</v>
      </c>
      <c r="Q612">
        <v>-1</v>
      </c>
    </row>
    <row r="613" spans="1:17">
      <c r="A613" t="s">
        <v>63</v>
      </c>
      <c r="B613" t="s">
        <v>33</v>
      </c>
      <c r="C613">
        <v>35</v>
      </c>
      <c r="D613">
        <v>47</v>
      </c>
      <c r="E613" s="1">
        <f t="shared" si="55"/>
        <v>0.42682926829268292</v>
      </c>
      <c r="F613" s="2">
        <v>113.2</v>
      </c>
      <c r="G613" s="2">
        <v>114.4</v>
      </c>
      <c r="H613" s="2">
        <f t="shared" si="56"/>
        <v>-1.2000000000000028</v>
      </c>
      <c r="I613" s="1">
        <f t="shared" si="57"/>
        <v>0.46315968852837397</v>
      </c>
      <c r="J613" s="2">
        <v>113.7</v>
      </c>
      <c r="K613" s="2">
        <v>114.9</v>
      </c>
      <c r="L613" s="2">
        <f t="shared" si="58"/>
        <v>-1.2000000000000028</v>
      </c>
      <c r="M613" s="1">
        <f t="shared" si="59"/>
        <v>-3.6330420235691052E-2</v>
      </c>
      <c r="N613" s="2">
        <v>101.4</v>
      </c>
      <c r="O613" s="2">
        <v>110.3</v>
      </c>
      <c r="P613" s="2">
        <f t="shared" si="60"/>
        <v>-8.8999999999999915</v>
      </c>
      <c r="Q613">
        <v>0</v>
      </c>
    </row>
    <row r="614" spans="1:17">
      <c r="A614" t="s">
        <v>62</v>
      </c>
      <c r="B614" t="s">
        <v>5</v>
      </c>
      <c r="C614">
        <v>43</v>
      </c>
      <c r="D614">
        <v>39</v>
      </c>
      <c r="E614" s="1">
        <f t="shared" si="55"/>
        <v>0.52439024390243905</v>
      </c>
      <c r="F614" s="2">
        <v>113.9</v>
      </c>
      <c r="G614" s="2">
        <v>112.4</v>
      </c>
      <c r="H614" s="2">
        <f t="shared" si="56"/>
        <v>1.5</v>
      </c>
      <c r="I614" s="1">
        <f t="shared" si="57"/>
        <v>0.54626653254094071</v>
      </c>
      <c r="J614" s="2">
        <v>115.4</v>
      </c>
      <c r="K614" s="2">
        <v>113.7</v>
      </c>
      <c r="L614" s="2">
        <f t="shared" si="58"/>
        <v>1.7000000000000028</v>
      </c>
      <c r="M614" s="1">
        <f t="shared" si="59"/>
        <v>-2.1876288638501662E-2</v>
      </c>
      <c r="N614" s="2">
        <v>110.5</v>
      </c>
      <c r="O614" s="2">
        <v>119.4</v>
      </c>
      <c r="P614" s="2">
        <f t="shared" si="60"/>
        <v>-8.9000000000000057</v>
      </c>
      <c r="Q614">
        <v>-1.3</v>
      </c>
    </row>
    <row r="615" spans="1:17">
      <c r="A615" t="s">
        <v>60</v>
      </c>
      <c r="B615" t="s">
        <v>23</v>
      </c>
      <c r="C615">
        <v>33</v>
      </c>
      <c r="D615">
        <v>40</v>
      </c>
      <c r="E615" s="1">
        <f t="shared" si="55"/>
        <v>0.45205479452054792</v>
      </c>
      <c r="F615" s="2">
        <v>107.3</v>
      </c>
      <c r="G615" s="2">
        <v>108.3</v>
      </c>
      <c r="H615" s="2">
        <f t="shared" si="56"/>
        <v>-1</v>
      </c>
      <c r="I615" s="1">
        <f t="shared" si="57"/>
        <v>0.46757779264200222</v>
      </c>
      <c r="J615" s="2">
        <v>107.9</v>
      </c>
      <c r="K615" s="2">
        <v>109.2</v>
      </c>
      <c r="L615" s="2">
        <f t="shared" si="58"/>
        <v>-1.2999999999999972</v>
      </c>
      <c r="M615" s="1">
        <f t="shared" si="59"/>
        <v>-1.5522998121454301E-2</v>
      </c>
      <c r="N615" s="2">
        <v>95.7</v>
      </c>
      <c r="O615" s="2">
        <v>104.7</v>
      </c>
      <c r="P615" s="2">
        <f t="shared" si="60"/>
        <v>-9</v>
      </c>
      <c r="Q615">
        <v>-0.9</v>
      </c>
    </row>
    <row r="616" spans="1:17">
      <c r="A616" t="s">
        <v>54</v>
      </c>
      <c r="B616" t="s">
        <v>27</v>
      </c>
      <c r="C616">
        <v>29</v>
      </c>
      <c r="D616">
        <v>53</v>
      </c>
      <c r="E616" s="1">
        <f t="shared" si="55"/>
        <v>0.35365853658536583</v>
      </c>
      <c r="F616" s="2">
        <v>101.3</v>
      </c>
      <c r="G616" s="2">
        <v>105</v>
      </c>
      <c r="H616" s="2">
        <f t="shared" si="56"/>
        <v>-3.7000000000000028</v>
      </c>
      <c r="I616" s="1">
        <f t="shared" si="57"/>
        <v>0.37701554546274013</v>
      </c>
      <c r="J616" s="2">
        <v>104.5</v>
      </c>
      <c r="K616" s="2">
        <v>108.2</v>
      </c>
      <c r="L616" s="2">
        <f t="shared" si="58"/>
        <v>-3.7000000000000028</v>
      </c>
      <c r="M616" s="1">
        <f t="shared" si="59"/>
        <v>-2.3357008877374297E-2</v>
      </c>
      <c r="N616" s="2">
        <v>99.6</v>
      </c>
      <c r="O616" s="2">
        <v>108.6</v>
      </c>
      <c r="P616" s="2">
        <f t="shared" si="60"/>
        <v>-9</v>
      </c>
      <c r="Q616">
        <v>-1.2</v>
      </c>
    </row>
    <row r="617" spans="1:17">
      <c r="A617" t="s">
        <v>39</v>
      </c>
      <c r="B617" t="s">
        <v>14</v>
      </c>
      <c r="C617">
        <v>51</v>
      </c>
      <c r="D617">
        <v>31</v>
      </c>
      <c r="E617" s="1">
        <f t="shared" si="55"/>
        <v>0.62195121951219512</v>
      </c>
      <c r="F617" s="2">
        <v>95.1</v>
      </c>
      <c r="G617" s="2">
        <v>91</v>
      </c>
      <c r="H617" s="2">
        <f t="shared" si="56"/>
        <v>4.0999999999999943</v>
      </c>
      <c r="I617" s="1">
        <f t="shared" si="57"/>
        <v>0.64952967421468588</v>
      </c>
      <c r="J617" s="2">
        <v>104.4</v>
      </c>
      <c r="K617" s="2">
        <v>100.1</v>
      </c>
      <c r="L617" s="2">
        <f t="shared" si="58"/>
        <v>4.3000000000000114</v>
      </c>
      <c r="M617" s="1">
        <f t="shared" si="59"/>
        <v>-2.7578454702490762E-2</v>
      </c>
      <c r="N617" s="2">
        <v>95.7</v>
      </c>
      <c r="O617" s="2">
        <v>104.7</v>
      </c>
      <c r="P617" s="2">
        <f t="shared" si="60"/>
        <v>-9</v>
      </c>
      <c r="Q617">
        <v>0.4</v>
      </c>
    </row>
    <row r="618" spans="1:17">
      <c r="A618" t="s">
        <v>66</v>
      </c>
      <c r="B618" t="s">
        <v>11</v>
      </c>
      <c r="C618">
        <v>39</v>
      </c>
      <c r="D618">
        <v>25</v>
      </c>
      <c r="E618" s="1">
        <f t="shared" si="55"/>
        <v>0.609375</v>
      </c>
      <c r="F618" s="2">
        <v>120.2</v>
      </c>
      <c r="G618" s="2">
        <v>116.5</v>
      </c>
      <c r="H618" s="2">
        <f t="shared" si="56"/>
        <v>3.7000000000000028</v>
      </c>
      <c r="I618" s="1">
        <f t="shared" si="57"/>
        <v>0.6077157346709432</v>
      </c>
      <c r="J618" s="2">
        <v>120</v>
      </c>
      <c r="K618" s="2">
        <v>116.3</v>
      </c>
      <c r="L618" s="2">
        <f t="shared" si="58"/>
        <v>3.7000000000000028</v>
      </c>
      <c r="M618" s="1">
        <f t="shared" si="59"/>
        <v>1.6592653290568027E-3</v>
      </c>
      <c r="N618" s="2">
        <v>119.4</v>
      </c>
      <c r="O618" s="2">
        <v>128.5</v>
      </c>
      <c r="P618" s="2">
        <f t="shared" si="60"/>
        <v>-9.0999999999999943</v>
      </c>
      <c r="Q618" s="2">
        <v>-0.5</v>
      </c>
    </row>
    <row r="619" spans="1:17">
      <c r="A619" t="s">
        <v>59</v>
      </c>
      <c r="B619" t="s">
        <v>25</v>
      </c>
      <c r="C619">
        <v>19</v>
      </c>
      <c r="D619">
        <v>63</v>
      </c>
      <c r="E619" s="1">
        <f t="shared" si="55"/>
        <v>0.23170731707317074</v>
      </c>
      <c r="F619" s="2">
        <v>107.5</v>
      </c>
      <c r="G619" s="2">
        <v>116.8</v>
      </c>
      <c r="H619" s="2">
        <f t="shared" si="56"/>
        <v>-9.2999999999999972</v>
      </c>
      <c r="I619" s="1">
        <f t="shared" si="57"/>
        <v>0.2383746596037172</v>
      </c>
      <c r="J619" s="2">
        <v>105.3</v>
      </c>
      <c r="K619" s="2">
        <v>114.2</v>
      </c>
      <c r="L619" s="2">
        <f t="shared" si="58"/>
        <v>-8.9000000000000057</v>
      </c>
      <c r="M619" s="1">
        <f t="shared" si="59"/>
        <v>-6.6673425305464606E-3</v>
      </c>
      <c r="N619" s="2">
        <v>107.7</v>
      </c>
      <c r="O619" s="2">
        <v>116.9</v>
      </c>
      <c r="P619" s="2">
        <f t="shared" si="60"/>
        <v>-9.2000000000000028</v>
      </c>
      <c r="Q619">
        <v>-2.1</v>
      </c>
    </row>
    <row r="620" spans="1:17">
      <c r="A620" t="s">
        <v>43</v>
      </c>
      <c r="B620" t="s">
        <v>19</v>
      </c>
      <c r="C620">
        <v>28</v>
      </c>
      <c r="D620">
        <v>54</v>
      </c>
      <c r="E620" s="1">
        <f t="shared" si="55"/>
        <v>0.34146341463414637</v>
      </c>
      <c r="F620" s="2">
        <v>99.7</v>
      </c>
      <c r="G620" s="2">
        <v>104</v>
      </c>
      <c r="H620" s="2">
        <f t="shared" si="56"/>
        <v>-4.2999999999999972</v>
      </c>
      <c r="I620" s="1">
        <f t="shared" si="57"/>
        <v>0.35637032098910626</v>
      </c>
      <c r="J620" s="2">
        <v>106</v>
      </c>
      <c r="K620" s="2">
        <v>110.3</v>
      </c>
      <c r="L620" s="2">
        <f t="shared" si="58"/>
        <v>-4.2999999999999972</v>
      </c>
      <c r="M620" s="1">
        <f t="shared" si="59"/>
        <v>-1.4906906354959892E-2</v>
      </c>
      <c r="N620" s="2">
        <v>99.2</v>
      </c>
      <c r="O620" s="2">
        <v>108.4</v>
      </c>
      <c r="P620" s="2">
        <f t="shared" si="60"/>
        <v>-9.2000000000000028</v>
      </c>
      <c r="Q620">
        <v>-1.1000000000000001</v>
      </c>
    </row>
    <row r="621" spans="1:17">
      <c r="A621" t="s">
        <v>63</v>
      </c>
      <c r="B621" t="s">
        <v>46</v>
      </c>
      <c r="C621">
        <v>40</v>
      </c>
      <c r="D621">
        <v>42</v>
      </c>
      <c r="E621" s="1">
        <f t="shared" si="55"/>
        <v>0.48780487804878048</v>
      </c>
      <c r="F621" s="2">
        <v>117.5</v>
      </c>
      <c r="G621" s="2">
        <v>116.4</v>
      </c>
      <c r="H621" s="2">
        <f t="shared" si="56"/>
        <v>1.0999999999999943</v>
      </c>
      <c r="I621" s="1">
        <f t="shared" si="57"/>
        <v>0.53287280670641013</v>
      </c>
      <c r="J621" s="2">
        <v>114.2</v>
      </c>
      <c r="K621" s="2">
        <v>113.2</v>
      </c>
      <c r="L621" s="2">
        <f t="shared" si="58"/>
        <v>1</v>
      </c>
      <c r="M621" s="1">
        <f t="shared" si="59"/>
        <v>-4.5067928657629652E-2</v>
      </c>
      <c r="N621" s="2">
        <v>97.1</v>
      </c>
      <c r="O621" s="2">
        <v>106.3</v>
      </c>
      <c r="P621" s="2">
        <f t="shared" si="60"/>
        <v>-9.2000000000000028</v>
      </c>
      <c r="Q621">
        <v>-0.7</v>
      </c>
    </row>
    <row r="622" spans="1:17">
      <c r="A622" t="s">
        <v>61</v>
      </c>
      <c r="B622" t="s">
        <v>35</v>
      </c>
      <c r="C622">
        <v>38</v>
      </c>
      <c r="D622">
        <v>34</v>
      </c>
      <c r="E622" s="1">
        <f t="shared" si="55"/>
        <v>0.52777777777777779</v>
      </c>
      <c r="F622" s="2">
        <v>113.3</v>
      </c>
      <c r="G622" s="2">
        <v>112.3</v>
      </c>
      <c r="H622" s="2">
        <f t="shared" si="56"/>
        <v>1</v>
      </c>
      <c r="I622" s="1">
        <f t="shared" si="57"/>
        <v>0.53098880201006593</v>
      </c>
      <c r="J622" s="2">
        <v>111.7</v>
      </c>
      <c r="K622" s="2">
        <v>110.5</v>
      </c>
      <c r="L622" s="2">
        <f t="shared" si="58"/>
        <v>1.2000000000000028</v>
      </c>
      <c r="M622" s="1">
        <f t="shared" si="59"/>
        <v>-3.2110242322881399E-3</v>
      </c>
      <c r="N622" s="2">
        <v>101.6</v>
      </c>
      <c r="O622" s="2">
        <v>110.9</v>
      </c>
      <c r="P622" s="2">
        <f t="shared" si="60"/>
        <v>-9.3000000000000114</v>
      </c>
      <c r="Q622">
        <v>-0.2</v>
      </c>
    </row>
    <row r="623" spans="1:17">
      <c r="A623" t="s">
        <v>43</v>
      </c>
      <c r="B623" t="s">
        <v>40</v>
      </c>
      <c r="C623">
        <v>33</v>
      </c>
      <c r="D623">
        <v>49</v>
      </c>
      <c r="E623" s="1">
        <f t="shared" si="55"/>
        <v>0.40243902439024393</v>
      </c>
      <c r="F623" s="2">
        <v>96.9</v>
      </c>
      <c r="G623" s="2">
        <v>100.6</v>
      </c>
      <c r="H623" s="2">
        <f t="shared" si="56"/>
        <v>-3.6999999999999886</v>
      </c>
      <c r="I623" s="1">
        <f t="shared" si="57"/>
        <v>0.37177294637427477</v>
      </c>
      <c r="J623" s="2">
        <v>102.4</v>
      </c>
      <c r="K623" s="2">
        <v>106.3</v>
      </c>
      <c r="L623" s="2">
        <f t="shared" si="58"/>
        <v>-3.8999999999999915</v>
      </c>
      <c r="M623" s="1">
        <f t="shared" si="59"/>
        <v>3.0666078015969156E-2</v>
      </c>
      <c r="N623" s="2">
        <v>93.9</v>
      </c>
      <c r="O623" s="2">
        <v>103.3</v>
      </c>
      <c r="P623" s="2">
        <f t="shared" si="60"/>
        <v>-9.3999999999999915</v>
      </c>
      <c r="Q623">
        <v>-1.2</v>
      </c>
    </row>
    <row r="624" spans="1:17">
      <c r="A624" t="s">
        <v>34</v>
      </c>
      <c r="B624" t="s">
        <v>35</v>
      </c>
      <c r="C624">
        <v>23</v>
      </c>
      <c r="D624">
        <v>59</v>
      </c>
      <c r="E624" s="1">
        <f t="shared" si="55"/>
        <v>0.28048780487804881</v>
      </c>
      <c r="F624" s="2">
        <v>89.9</v>
      </c>
      <c r="G624" s="2">
        <v>97.3</v>
      </c>
      <c r="H624" s="2">
        <f t="shared" si="56"/>
        <v>-7.3999999999999915</v>
      </c>
      <c r="I624" s="1">
        <f t="shared" si="57"/>
        <v>0.24835318847310597</v>
      </c>
      <c r="J624" s="2">
        <v>96.6</v>
      </c>
      <c r="K624" s="2">
        <v>104.7</v>
      </c>
      <c r="L624" s="2">
        <f t="shared" si="58"/>
        <v>-8.1000000000000085</v>
      </c>
      <c r="M624" s="1">
        <f t="shared" si="59"/>
        <v>3.2134616404942834E-2</v>
      </c>
      <c r="N624" s="2">
        <v>89.1</v>
      </c>
      <c r="O624" s="2">
        <v>98.5</v>
      </c>
      <c r="P624" s="2">
        <f t="shared" si="60"/>
        <v>-9.4000000000000057</v>
      </c>
      <c r="Q624">
        <v>-1.2</v>
      </c>
    </row>
    <row r="625" spans="1:17">
      <c r="A625" t="s">
        <v>66</v>
      </c>
      <c r="B625" t="s">
        <v>15</v>
      </c>
      <c r="C625">
        <v>15</v>
      </c>
      <c r="D625">
        <v>48</v>
      </c>
      <c r="E625" s="1">
        <f t="shared" si="55"/>
        <v>0.23809523809523808</v>
      </c>
      <c r="F625" s="2">
        <v>111.4</v>
      </c>
      <c r="G625" s="2">
        <v>119.9</v>
      </c>
      <c r="H625" s="2">
        <f t="shared" si="56"/>
        <v>-8.5</v>
      </c>
      <c r="I625" s="1">
        <f t="shared" si="57"/>
        <v>0.26319457048820816</v>
      </c>
      <c r="J625" s="2">
        <v>108.7</v>
      </c>
      <c r="K625" s="2">
        <v>117</v>
      </c>
      <c r="L625" s="2">
        <f t="shared" si="58"/>
        <v>-8.2999999999999972</v>
      </c>
      <c r="M625" s="1">
        <f t="shared" si="59"/>
        <v>-2.5099332392970075E-2</v>
      </c>
      <c r="N625" s="2">
        <v>97.6</v>
      </c>
      <c r="O625" s="2">
        <v>107</v>
      </c>
      <c r="P625" s="2">
        <f t="shared" si="60"/>
        <v>-9.4000000000000057</v>
      </c>
      <c r="Q625" s="2">
        <v>-1</v>
      </c>
    </row>
    <row r="626" spans="1:17">
      <c r="A626" t="s">
        <v>62</v>
      </c>
      <c r="B626" t="s">
        <v>6</v>
      </c>
      <c r="C626">
        <v>51</v>
      </c>
      <c r="D626">
        <v>31</v>
      </c>
      <c r="E626" s="1">
        <f t="shared" si="55"/>
        <v>0.62195121951219512</v>
      </c>
      <c r="F626" s="2">
        <v>111.8</v>
      </c>
      <c r="G626" s="2">
        <v>104.5</v>
      </c>
      <c r="H626" s="2">
        <f t="shared" si="56"/>
        <v>7.2999999999999972</v>
      </c>
      <c r="I626" s="1">
        <f t="shared" si="57"/>
        <v>0.72017762385554718</v>
      </c>
      <c r="J626" s="2">
        <v>113.6</v>
      </c>
      <c r="K626" s="2">
        <v>106.2</v>
      </c>
      <c r="L626" s="2">
        <f t="shared" si="58"/>
        <v>7.3999999999999915</v>
      </c>
      <c r="M626" s="1">
        <f t="shared" si="59"/>
        <v>-9.8226404343352058E-2</v>
      </c>
      <c r="N626" s="2">
        <v>96.8</v>
      </c>
      <c r="O626" s="2">
        <v>106.2</v>
      </c>
      <c r="P626" s="2">
        <f t="shared" si="60"/>
        <v>-9.4000000000000057</v>
      </c>
      <c r="Q626">
        <v>0.3</v>
      </c>
    </row>
    <row r="627" spans="1:17">
      <c r="A627" t="s">
        <v>39</v>
      </c>
      <c r="B627" t="s">
        <v>23</v>
      </c>
      <c r="C627">
        <v>36</v>
      </c>
      <c r="D627">
        <v>46</v>
      </c>
      <c r="E627" s="1">
        <f t="shared" si="55"/>
        <v>0.43902439024390244</v>
      </c>
      <c r="F627" s="2">
        <v>99.5</v>
      </c>
      <c r="G627" s="2">
        <v>101.8</v>
      </c>
      <c r="H627" s="2">
        <f t="shared" si="56"/>
        <v>-2.2999999999999972</v>
      </c>
      <c r="I627" s="1">
        <f t="shared" si="57"/>
        <v>0.42069172557292256</v>
      </c>
      <c r="J627" s="2">
        <v>103.4</v>
      </c>
      <c r="K627" s="2">
        <v>105.7</v>
      </c>
      <c r="L627" s="2">
        <f t="shared" si="58"/>
        <v>-2.2999999999999972</v>
      </c>
      <c r="M627" s="1">
        <f t="shared" si="59"/>
        <v>1.8332664670979881E-2</v>
      </c>
      <c r="N627" s="2">
        <v>97.2</v>
      </c>
      <c r="O627" s="2">
        <v>106.7</v>
      </c>
      <c r="P627" s="2">
        <f t="shared" si="60"/>
        <v>-9.5</v>
      </c>
      <c r="Q627">
        <v>-0.4</v>
      </c>
    </row>
    <row r="628" spans="1:17">
      <c r="A628" t="s">
        <v>36</v>
      </c>
      <c r="B628" t="s">
        <v>9</v>
      </c>
      <c r="C628">
        <v>17</v>
      </c>
      <c r="D628">
        <v>65</v>
      </c>
      <c r="E628" s="1">
        <f t="shared" si="55"/>
        <v>0.2073170731707317</v>
      </c>
      <c r="F628" s="2">
        <v>91.4</v>
      </c>
      <c r="G628" s="2">
        <v>101</v>
      </c>
      <c r="H628" s="2">
        <f t="shared" si="56"/>
        <v>-9.5999999999999943</v>
      </c>
      <c r="I628" s="1">
        <f t="shared" si="57"/>
        <v>0.19809387151453933</v>
      </c>
      <c r="J628" s="2">
        <v>95.2</v>
      </c>
      <c r="K628" s="2">
        <v>105.1</v>
      </c>
      <c r="L628" s="2">
        <f t="shared" si="58"/>
        <v>-9.8999999999999915</v>
      </c>
      <c r="M628" s="1">
        <f t="shared" si="59"/>
        <v>9.2232016561923647E-3</v>
      </c>
      <c r="N628" s="2">
        <v>86.6</v>
      </c>
      <c r="O628" s="2">
        <v>96.1</v>
      </c>
      <c r="P628" s="2">
        <f t="shared" si="60"/>
        <v>-9.5</v>
      </c>
      <c r="Q628">
        <v>-0.2</v>
      </c>
    </row>
    <row r="629" spans="1:17">
      <c r="A629" t="s">
        <v>65</v>
      </c>
      <c r="B629" t="s">
        <v>20</v>
      </c>
      <c r="C629">
        <v>49</v>
      </c>
      <c r="D629">
        <v>33</v>
      </c>
      <c r="E629" s="1">
        <f t="shared" si="55"/>
        <v>0.59756097560975607</v>
      </c>
      <c r="F629" s="2">
        <v>114.3</v>
      </c>
      <c r="G629" s="2">
        <v>109.3</v>
      </c>
      <c r="H629" s="2">
        <f t="shared" si="56"/>
        <v>5</v>
      </c>
      <c r="I629" s="1">
        <f t="shared" si="57"/>
        <v>0.65163242349651695</v>
      </c>
      <c r="J629" s="2">
        <v>115.7</v>
      </c>
      <c r="K629" s="2">
        <v>110.8</v>
      </c>
      <c r="L629" s="2">
        <f t="shared" si="58"/>
        <v>4.9000000000000057</v>
      </c>
      <c r="M629" s="1">
        <f t="shared" si="59"/>
        <v>-5.4071447886760882E-2</v>
      </c>
      <c r="N629" s="2">
        <v>105.4</v>
      </c>
      <c r="O629" s="2">
        <v>114.9</v>
      </c>
      <c r="P629" s="2">
        <f t="shared" si="60"/>
        <v>-9.5</v>
      </c>
      <c r="Q629">
        <v>2.2999999999999998</v>
      </c>
    </row>
    <row r="630" spans="1:17">
      <c r="A630" t="s">
        <v>54</v>
      </c>
      <c r="B630" t="s">
        <v>22</v>
      </c>
      <c r="C630">
        <v>17</v>
      </c>
      <c r="D630">
        <v>65</v>
      </c>
      <c r="E630" s="1">
        <f t="shared" si="55"/>
        <v>0.2073170731707317</v>
      </c>
      <c r="F630" s="2">
        <v>91.9</v>
      </c>
      <c r="G630" s="2">
        <v>101.2</v>
      </c>
      <c r="H630" s="2">
        <f t="shared" si="56"/>
        <v>-9.2999999999999972</v>
      </c>
      <c r="I630" s="1">
        <f t="shared" si="57"/>
        <v>0.20594097725423322</v>
      </c>
      <c r="J630" s="2">
        <v>98.9</v>
      </c>
      <c r="K630" s="2">
        <v>109</v>
      </c>
      <c r="L630" s="2">
        <f t="shared" si="58"/>
        <v>-10.099999999999994</v>
      </c>
      <c r="M630" s="1">
        <f t="shared" si="59"/>
        <v>1.3760959164984821E-3</v>
      </c>
      <c r="N630" s="2">
        <v>91.9</v>
      </c>
      <c r="O630" s="2">
        <v>101.5</v>
      </c>
      <c r="P630" s="2">
        <f t="shared" si="60"/>
        <v>-9.5999999999999943</v>
      </c>
      <c r="Q630">
        <v>0.6</v>
      </c>
    </row>
    <row r="631" spans="1:17">
      <c r="A631" t="s">
        <v>63</v>
      </c>
      <c r="B631" t="s">
        <v>14</v>
      </c>
      <c r="C631">
        <v>22</v>
      </c>
      <c r="D631">
        <v>60</v>
      </c>
      <c r="E631" s="1">
        <f t="shared" si="55"/>
        <v>0.26829268292682928</v>
      </c>
      <c r="F631" s="2">
        <v>110.7</v>
      </c>
      <c r="G631" s="2">
        <v>118.6</v>
      </c>
      <c r="H631" s="2">
        <f t="shared" si="56"/>
        <v>-7.8999999999999915</v>
      </c>
      <c r="I631" s="1">
        <f t="shared" si="57"/>
        <v>0.27586683135290885</v>
      </c>
      <c r="J631" s="2">
        <v>110.5</v>
      </c>
      <c r="K631" s="2">
        <v>118.6</v>
      </c>
      <c r="L631" s="2">
        <f t="shared" si="58"/>
        <v>-8.0999999999999943</v>
      </c>
      <c r="M631" s="1">
        <f t="shared" si="59"/>
        <v>-7.5741484260795633E-3</v>
      </c>
      <c r="N631" s="2">
        <v>91.4</v>
      </c>
      <c r="O631" s="2">
        <v>101</v>
      </c>
      <c r="P631" s="2">
        <f t="shared" si="60"/>
        <v>-9.5999999999999943</v>
      </c>
      <c r="Q631">
        <v>-1.9</v>
      </c>
    </row>
    <row r="632" spans="1:17">
      <c r="A632" t="s">
        <v>58</v>
      </c>
      <c r="B632" t="s">
        <v>25</v>
      </c>
      <c r="C632">
        <v>21</v>
      </c>
      <c r="D632">
        <v>61</v>
      </c>
      <c r="E632" s="1">
        <f t="shared" si="55"/>
        <v>0.25609756097560976</v>
      </c>
      <c r="F632" s="2">
        <v>103.9</v>
      </c>
      <c r="G632" s="2">
        <v>113.3</v>
      </c>
      <c r="H632" s="2">
        <f t="shared" si="56"/>
        <v>-9.3999999999999915</v>
      </c>
      <c r="I632" s="1">
        <f t="shared" si="57"/>
        <v>0.22925126807249627</v>
      </c>
      <c r="J632" s="2">
        <v>102.8</v>
      </c>
      <c r="K632" s="2">
        <v>111.7</v>
      </c>
      <c r="L632" s="2">
        <f t="shared" si="58"/>
        <v>-8.9000000000000057</v>
      </c>
      <c r="M632" s="1">
        <f t="shared" si="59"/>
        <v>2.6846292903113494E-2</v>
      </c>
      <c r="N632" s="2">
        <v>95.3</v>
      </c>
      <c r="O632" s="2">
        <v>104.9</v>
      </c>
      <c r="P632" s="2">
        <f t="shared" si="60"/>
        <v>-9.6000000000000085</v>
      </c>
      <c r="Q632">
        <v>-0.4</v>
      </c>
    </row>
    <row r="633" spans="1:17">
      <c r="A633" t="s">
        <v>54</v>
      </c>
      <c r="B633" t="s">
        <v>7</v>
      </c>
      <c r="C633">
        <v>33</v>
      </c>
      <c r="D633">
        <v>49</v>
      </c>
      <c r="E633" s="1">
        <f t="shared" si="55"/>
        <v>0.40243902439024393</v>
      </c>
      <c r="F633" s="2">
        <v>94.2</v>
      </c>
      <c r="G633" s="2">
        <v>97.3</v>
      </c>
      <c r="H633" s="2">
        <f t="shared" si="56"/>
        <v>-3.0999999999999943</v>
      </c>
      <c r="I633" s="1">
        <f t="shared" si="57"/>
        <v>0.38857566297444734</v>
      </c>
      <c r="J633" s="2">
        <v>99.6</v>
      </c>
      <c r="K633" s="2">
        <v>103</v>
      </c>
      <c r="L633" s="2">
        <f t="shared" si="58"/>
        <v>-3.4000000000000057</v>
      </c>
      <c r="M633" s="1">
        <f t="shared" si="59"/>
        <v>1.3863361415796582E-2</v>
      </c>
      <c r="N633" s="2">
        <v>89.8</v>
      </c>
      <c r="O633" s="2">
        <v>99.4</v>
      </c>
      <c r="P633" s="2">
        <f t="shared" si="60"/>
        <v>-9.6000000000000085</v>
      </c>
      <c r="Q633">
        <v>-1.2</v>
      </c>
    </row>
    <row r="634" spans="1:17">
      <c r="A634" t="s">
        <v>65</v>
      </c>
      <c r="B634" t="s">
        <v>12</v>
      </c>
      <c r="C634">
        <v>44</v>
      </c>
      <c r="D634">
        <v>38</v>
      </c>
      <c r="E634" s="1">
        <f t="shared" si="55"/>
        <v>0.53658536585365857</v>
      </c>
      <c r="F634" s="2">
        <v>115.5</v>
      </c>
      <c r="G634" s="2">
        <v>113.6</v>
      </c>
      <c r="H634" s="2">
        <f t="shared" si="56"/>
        <v>1.9000000000000057</v>
      </c>
      <c r="I634" s="1">
        <f t="shared" si="57"/>
        <v>0.55779509756392176</v>
      </c>
      <c r="J634" s="2">
        <v>114.6</v>
      </c>
      <c r="K634" s="2">
        <v>112.5</v>
      </c>
      <c r="L634" s="2">
        <f t="shared" si="58"/>
        <v>2.0999999999999943</v>
      </c>
      <c r="M634" s="1">
        <f t="shared" si="59"/>
        <v>-2.1209731710263191E-2</v>
      </c>
      <c r="N634" s="2">
        <v>107.4</v>
      </c>
      <c r="O634" s="2">
        <v>117.1</v>
      </c>
      <c r="P634" s="2">
        <f t="shared" si="60"/>
        <v>-9.6999999999999886</v>
      </c>
      <c r="Q634">
        <v>0.3</v>
      </c>
    </row>
    <row r="635" spans="1:17">
      <c r="A635" t="s">
        <v>4</v>
      </c>
      <c r="B635" t="s">
        <v>12</v>
      </c>
      <c r="C635">
        <v>32</v>
      </c>
      <c r="D635">
        <v>50</v>
      </c>
      <c r="E635" s="1">
        <f t="shared" si="55"/>
        <v>0.3902439024390244</v>
      </c>
      <c r="F635" s="2">
        <v>95.6</v>
      </c>
      <c r="G635" s="2">
        <v>97.3</v>
      </c>
      <c r="H635" s="2">
        <f t="shared" si="56"/>
        <v>-1.7000000000000028</v>
      </c>
      <c r="I635" s="1">
        <f t="shared" si="57"/>
        <v>0.43861956554908621</v>
      </c>
      <c r="J635" s="2">
        <v>98.5</v>
      </c>
      <c r="K635" s="2">
        <v>100.3</v>
      </c>
      <c r="L635" s="2">
        <f t="shared" si="58"/>
        <v>-1.7999999999999972</v>
      </c>
      <c r="M635" s="1">
        <f t="shared" si="59"/>
        <v>-4.8375663110061806E-2</v>
      </c>
      <c r="N635" s="2">
        <v>91.8</v>
      </c>
      <c r="O635" s="2">
        <v>101.5</v>
      </c>
      <c r="P635" s="2">
        <f t="shared" si="60"/>
        <v>-9.7000000000000028</v>
      </c>
      <c r="Q635">
        <v>-0.7</v>
      </c>
    </row>
    <row r="636" spans="1:17">
      <c r="A636" t="s">
        <v>57</v>
      </c>
      <c r="B636" t="s">
        <v>20</v>
      </c>
      <c r="C636">
        <v>31</v>
      </c>
      <c r="D636">
        <v>51</v>
      </c>
      <c r="E636" s="1">
        <f t="shared" si="55"/>
        <v>0.37804878048780488</v>
      </c>
      <c r="F636" s="2">
        <v>105.6</v>
      </c>
      <c r="G636" s="2">
        <v>106.7</v>
      </c>
      <c r="H636" s="2">
        <f t="shared" si="56"/>
        <v>-1.1000000000000085</v>
      </c>
      <c r="I636" s="1">
        <f t="shared" si="57"/>
        <v>0.46379372867246205</v>
      </c>
      <c r="J636" s="2">
        <v>110</v>
      </c>
      <c r="K636" s="2">
        <v>110.9</v>
      </c>
      <c r="L636" s="2">
        <f t="shared" si="58"/>
        <v>-0.90000000000000568</v>
      </c>
      <c r="M636" s="1">
        <f t="shared" si="59"/>
        <v>-8.5744948184657166E-2</v>
      </c>
      <c r="N636" s="2">
        <v>95</v>
      </c>
      <c r="O636" s="2">
        <v>104.7</v>
      </c>
      <c r="P636" s="2">
        <f t="shared" si="60"/>
        <v>-9.7000000000000028</v>
      </c>
      <c r="Q636">
        <v>-1.1000000000000001</v>
      </c>
    </row>
    <row r="637" spans="1:17">
      <c r="A637" t="s">
        <v>66</v>
      </c>
      <c r="B637" t="s">
        <v>10</v>
      </c>
      <c r="C637">
        <v>21</v>
      </c>
      <c r="D637">
        <v>42</v>
      </c>
      <c r="E637" s="1">
        <f t="shared" si="55"/>
        <v>0.33333333333333331</v>
      </c>
      <c r="F637" s="2">
        <v>113.3</v>
      </c>
      <c r="G637" s="2">
        <v>117.7</v>
      </c>
      <c r="H637" s="2">
        <f t="shared" si="56"/>
        <v>-4.4000000000000057</v>
      </c>
      <c r="I637" s="1">
        <f t="shared" si="57"/>
        <v>0.36972474338344835</v>
      </c>
      <c r="J637" s="2">
        <v>109.8</v>
      </c>
      <c r="K637" s="2">
        <v>114</v>
      </c>
      <c r="L637" s="2">
        <f t="shared" si="58"/>
        <v>-4.2000000000000028</v>
      </c>
      <c r="M637" s="1">
        <f t="shared" si="59"/>
        <v>-3.6391410050115036E-2</v>
      </c>
      <c r="N637" s="2">
        <v>103.6</v>
      </c>
      <c r="O637" s="2">
        <v>113.4</v>
      </c>
      <c r="P637" s="2">
        <f t="shared" si="60"/>
        <v>-9.8000000000000114</v>
      </c>
      <c r="Q637">
        <v>-0.3</v>
      </c>
    </row>
    <row r="638" spans="1:17">
      <c r="A638" t="s">
        <v>62</v>
      </c>
      <c r="B638" t="s">
        <v>14</v>
      </c>
      <c r="C638">
        <v>20</v>
      </c>
      <c r="D638">
        <v>62</v>
      </c>
      <c r="E638" s="1">
        <f t="shared" si="55"/>
        <v>0.24390243902439024</v>
      </c>
      <c r="F638" s="2">
        <v>109.7</v>
      </c>
      <c r="G638" s="2">
        <v>118.2</v>
      </c>
      <c r="H638" s="2">
        <f t="shared" si="56"/>
        <v>-8.5</v>
      </c>
      <c r="I638" s="1">
        <f t="shared" si="57"/>
        <v>0.2602244449686712</v>
      </c>
      <c r="J638" s="2">
        <v>108.1</v>
      </c>
      <c r="K638" s="2">
        <v>116.4</v>
      </c>
      <c r="L638" s="2">
        <f t="shared" si="58"/>
        <v>-8.3000000000000114</v>
      </c>
      <c r="M638" s="1">
        <f t="shared" si="59"/>
        <v>-1.632200594428096E-2</v>
      </c>
      <c r="N638" s="2">
        <v>100.4</v>
      </c>
      <c r="O638" s="2">
        <v>110.3</v>
      </c>
      <c r="P638" s="2">
        <f t="shared" si="60"/>
        <v>-9.8999999999999915</v>
      </c>
      <c r="Q638">
        <v>-0.4</v>
      </c>
    </row>
    <row r="639" spans="1:17">
      <c r="A639" t="s">
        <v>63</v>
      </c>
      <c r="B639" t="s">
        <v>22</v>
      </c>
      <c r="C639">
        <v>47</v>
      </c>
      <c r="D639">
        <v>35</v>
      </c>
      <c r="E639" s="1">
        <f t="shared" si="55"/>
        <v>0.57317073170731703</v>
      </c>
      <c r="F639" s="2">
        <v>116</v>
      </c>
      <c r="G639" s="2">
        <v>113.1</v>
      </c>
      <c r="H639" s="2">
        <f t="shared" si="56"/>
        <v>2.9000000000000057</v>
      </c>
      <c r="I639" s="1">
        <f t="shared" si="57"/>
        <v>0.58769610800156147</v>
      </c>
      <c r="J639" s="2">
        <v>117</v>
      </c>
      <c r="K639" s="2">
        <v>114.2</v>
      </c>
      <c r="L639" s="2">
        <f t="shared" si="58"/>
        <v>2.7999999999999972</v>
      </c>
      <c r="M639" s="1">
        <f t="shared" si="59"/>
        <v>-1.4525376294244441E-2</v>
      </c>
      <c r="N639" s="2">
        <v>109.1</v>
      </c>
      <c r="O639" s="2">
        <v>119</v>
      </c>
      <c r="P639" s="2">
        <f t="shared" si="60"/>
        <v>-9.9000000000000057</v>
      </c>
      <c r="Q639">
        <v>0</v>
      </c>
    </row>
    <row r="640" spans="1:17">
      <c r="A640" t="s">
        <v>58</v>
      </c>
      <c r="B640" t="s">
        <v>51</v>
      </c>
      <c r="C640">
        <v>28</v>
      </c>
      <c r="D640">
        <v>54</v>
      </c>
      <c r="E640" s="1">
        <f t="shared" si="55"/>
        <v>0.34146341463414637</v>
      </c>
      <c r="F640" s="2">
        <v>106.6</v>
      </c>
      <c r="G640" s="2">
        <v>110.3</v>
      </c>
      <c r="H640" s="2">
        <f t="shared" si="56"/>
        <v>-3.7000000000000028</v>
      </c>
      <c r="I640" s="1">
        <f t="shared" si="57"/>
        <v>0.38279873776476753</v>
      </c>
      <c r="J640" s="2">
        <v>106.1</v>
      </c>
      <c r="K640" s="2">
        <v>109.7</v>
      </c>
      <c r="L640" s="2">
        <f t="shared" si="58"/>
        <v>-3.6000000000000085</v>
      </c>
      <c r="M640" s="1">
        <f t="shared" si="59"/>
        <v>-4.133532313062116E-2</v>
      </c>
      <c r="N640" s="2">
        <v>98.5</v>
      </c>
      <c r="O640" s="2">
        <v>108.4</v>
      </c>
      <c r="P640" s="2">
        <f t="shared" si="60"/>
        <v>-9.9000000000000057</v>
      </c>
      <c r="Q640">
        <v>-0.7</v>
      </c>
    </row>
    <row r="641" spans="1:17">
      <c r="A641" t="s">
        <v>54</v>
      </c>
      <c r="B641" t="s">
        <v>12</v>
      </c>
      <c r="C641">
        <v>32</v>
      </c>
      <c r="D641">
        <v>50</v>
      </c>
      <c r="E641" s="1">
        <f t="shared" si="55"/>
        <v>0.3902439024390244</v>
      </c>
      <c r="F641" s="2">
        <v>98.5</v>
      </c>
      <c r="G641" s="2">
        <v>99.5</v>
      </c>
      <c r="H641" s="2">
        <f t="shared" si="56"/>
        <v>-1</v>
      </c>
      <c r="I641" s="1">
        <f t="shared" si="57"/>
        <v>0.46470496450899657</v>
      </c>
      <c r="J641" s="2">
        <v>104.3</v>
      </c>
      <c r="K641" s="2">
        <v>105.4</v>
      </c>
      <c r="L641" s="2">
        <f t="shared" si="58"/>
        <v>-1.1000000000000085</v>
      </c>
      <c r="M641" s="1">
        <f t="shared" si="59"/>
        <v>-7.4461062069972161E-2</v>
      </c>
      <c r="N641" s="2">
        <v>90.2</v>
      </c>
      <c r="O641" s="2">
        <v>100.3</v>
      </c>
      <c r="P641" s="2">
        <f t="shared" si="60"/>
        <v>-10.099999999999994</v>
      </c>
      <c r="Q641">
        <v>0</v>
      </c>
    </row>
    <row r="642" spans="1:17">
      <c r="A642" t="s">
        <v>34</v>
      </c>
      <c r="B642" t="s">
        <v>14</v>
      </c>
      <c r="C642">
        <v>28</v>
      </c>
      <c r="D642">
        <v>54</v>
      </c>
      <c r="E642" s="1">
        <f t="shared" si="55"/>
        <v>0.34146341463414637</v>
      </c>
      <c r="F642" s="2">
        <v>92.3</v>
      </c>
      <c r="G642" s="2">
        <v>97.2</v>
      </c>
      <c r="H642" s="2">
        <f t="shared" si="56"/>
        <v>-4.9000000000000057</v>
      </c>
      <c r="I642" s="1">
        <f t="shared" si="57"/>
        <v>0.3264749470449273</v>
      </c>
      <c r="J642" s="2">
        <v>101.6</v>
      </c>
      <c r="K642" s="2">
        <v>106.9</v>
      </c>
      <c r="L642" s="2">
        <f t="shared" si="58"/>
        <v>-5.3000000000000114</v>
      </c>
      <c r="M642" s="1">
        <f t="shared" si="59"/>
        <v>1.4988467589219068E-2</v>
      </c>
      <c r="N642" s="2">
        <v>96.6</v>
      </c>
      <c r="O642" s="2">
        <v>106.7</v>
      </c>
      <c r="P642" s="2">
        <f t="shared" si="60"/>
        <v>-10.100000000000009</v>
      </c>
      <c r="Q642">
        <v>-1</v>
      </c>
    </row>
    <row r="643" spans="1:17">
      <c r="A643" t="s">
        <v>41</v>
      </c>
      <c r="B643" t="s">
        <v>15</v>
      </c>
      <c r="C643">
        <v>41</v>
      </c>
      <c r="D643">
        <v>41</v>
      </c>
      <c r="E643" s="1">
        <f t="shared" si="55"/>
        <v>0.5</v>
      </c>
      <c r="F643" s="2">
        <v>93.9</v>
      </c>
      <c r="G643" s="2">
        <v>92</v>
      </c>
      <c r="H643" s="2">
        <f t="shared" si="56"/>
        <v>1.9000000000000057</v>
      </c>
      <c r="I643" s="1">
        <f t="shared" si="57"/>
        <v>0.57106198271976594</v>
      </c>
      <c r="J643" s="2">
        <v>103.1</v>
      </c>
      <c r="K643" s="2">
        <v>101</v>
      </c>
      <c r="L643" s="2">
        <f t="shared" si="58"/>
        <v>2.0999999999999943</v>
      </c>
      <c r="M643" s="1">
        <f t="shared" si="59"/>
        <v>-7.1061982719765937E-2</v>
      </c>
      <c r="N643" s="2">
        <v>91.4</v>
      </c>
      <c r="O643" s="2">
        <v>101.6</v>
      </c>
      <c r="P643" s="2">
        <f t="shared" si="60"/>
        <v>-10.199999999999989</v>
      </c>
      <c r="Q643">
        <v>-0.2</v>
      </c>
    </row>
    <row r="644" spans="1:17">
      <c r="A644" t="s">
        <v>48</v>
      </c>
      <c r="B644" t="s">
        <v>24</v>
      </c>
      <c r="C644">
        <v>41</v>
      </c>
      <c r="D644">
        <v>41</v>
      </c>
      <c r="E644" s="1">
        <f t="shared" si="55"/>
        <v>0.5</v>
      </c>
      <c r="F644" s="2">
        <v>99</v>
      </c>
      <c r="G644" s="2">
        <v>97.5</v>
      </c>
      <c r="H644" s="2">
        <f t="shared" si="56"/>
        <v>1.5</v>
      </c>
      <c r="I644" s="1">
        <f t="shared" si="57"/>
        <v>0.55323363393409675</v>
      </c>
      <c r="J644" s="2">
        <v>105.3</v>
      </c>
      <c r="K644" s="2">
        <v>103.8</v>
      </c>
      <c r="L644" s="2">
        <f t="shared" si="58"/>
        <v>1.5</v>
      </c>
      <c r="M644" s="1">
        <f t="shared" si="59"/>
        <v>-5.3233633934096747E-2</v>
      </c>
      <c r="N644" s="2">
        <v>97.2</v>
      </c>
      <c r="O644" s="2">
        <v>107.6</v>
      </c>
      <c r="P644" s="2">
        <f t="shared" si="60"/>
        <v>-10.399999999999991</v>
      </c>
      <c r="Q644">
        <v>0.3</v>
      </c>
    </row>
    <row r="645" spans="1:17">
      <c r="A645" t="s">
        <v>62</v>
      </c>
      <c r="B645" t="s">
        <v>28</v>
      </c>
      <c r="C645">
        <v>34</v>
      </c>
      <c r="D645">
        <v>48</v>
      </c>
      <c r="E645" s="1">
        <f t="shared" si="55"/>
        <v>0.41463414634146339</v>
      </c>
      <c r="F645" s="2">
        <v>113.2</v>
      </c>
      <c r="G645" s="2">
        <v>113</v>
      </c>
      <c r="H645" s="2">
        <f t="shared" si="56"/>
        <v>0.20000000000000284</v>
      </c>
      <c r="I645" s="1">
        <f t="shared" si="57"/>
        <v>0.50618889860276861</v>
      </c>
      <c r="J645" s="2">
        <v>111.9</v>
      </c>
      <c r="K645" s="2">
        <v>111.7</v>
      </c>
      <c r="L645" s="2">
        <f t="shared" si="58"/>
        <v>0.20000000000000284</v>
      </c>
      <c r="M645" s="1">
        <f t="shared" si="59"/>
        <v>-9.1554752261305217E-2</v>
      </c>
      <c r="N645" s="2">
        <v>93.4</v>
      </c>
      <c r="O645" s="2">
        <v>103.8</v>
      </c>
      <c r="P645" s="2">
        <f t="shared" si="60"/>
        <v>-10.399999999999991</v>
      </c>
      <c r="Q645">
        <v>0.7</v>
      </c>
    </row>
    <row r="646" spans="1:17">
      <c r="A646" t="s">
        <v>45</v>
      </c>
      <c r="B646" t="s">
        <v>14</v>
      </c>
      <c r="C646">
        <v>53</v>
      </c>
      <c r="D646">
        <v>29</v>
      </c>
      <c r="E646" s="1">
        <f t="shared" si="55"/>
        <v>0.64634146341463417</v>
      </c>
      <c r="F646" s="2">
        <v>98.4</v>
      </c>
      <c r="G646" s="2">
        <v>94.4</v>
      </c>
      <c r="H646" s="2">
        <f t="shared" si="56"/>
        <v>4</v>
      </c>
      <c r="I646" s="1">
        <f t="shared" si="57"/>
        <v>0.64129660723482429</v>
      </c>
      <c r="J646" s="2">
        <v>107.1</v>
      </c>
      <c r="K646" s="2">
        <v>102.9</v>
      </c>
      <c r="L646" s="2">
        <f t="shared" si="58"/>
        <v>4.1999999999999886</v>
      </c>
      <c r="M646" s="1">
        <f t="shared" si="59"/>
        <v>5.0448561798098757E-3</v>
      </c>
      <c r="N646" s="2">
        <v>93.3</v>
      </c>
      <c r="O646" s="2">
        <v>103.8</v>
      </c>
      <c r="P646" s="2">
        <f t="shared" si="60"/>
        <v>-10.5</v>
      </c>
      <c r="Q646">
        <v>-0.6</v>
      </c>
    </row>
    <row r="647" spans="1:17">
      <c r="A647" t="s">
        <v>54</v>
      </c>
      <c r="B647" t="s">
        <v>51</v>
      </c>
      <c r="C647">
        <v>38</v>
      </c>
      <c r="D647">
        <v>44</v>
      </c>
      <c r="E647" s="1">
        <f t="shared" si="55"/>
        <v>0.46341463414634149</v>
      </c>
      <c r="F647" s="2">
        <v>98</v>
      </c>
      <c r="G647" s="2">
        <v>100.9</v>
      </c>
      <c r="H647" s="2">
        <f t="shared" si="56"/>
        <v>-2.9000000000000057</v>
      </c>
      <c r="I647" s="1">
        <f t="shared" si="57"/>
        <v>0.3993259881358221</v>
      </c>
      <c r="J647" s="2">
        <v>103.4</v>
      </c>
      <c r="K647" s="2">
        <v>106.3</v>
      </c>
      <c r="L647" s="2">
        <f t="shared" si="58"/>
        <v>-2.8999999999999915</v>
      </c>
      <c r="M647" s="1">
        <f t="shared" si="59"/>
        <v>6.408864601051939E-2</v>
      </c>
      <c r="N647" s="2">
        <v>91.9</v>
      </c>
      <c r="O647" s="2">
        <v>102.5</v>
      </c>
      <c r="P647" s="2">
        <f t="shared" si="60"/>
        <v>-10.599999999999994</v>
      </c>
      <c r="Q647">
        <v>-0.2</v>
      </c>
    </row>
    <row r="648" spans="1:17">
      <c r="A648" t="s">
        <v>59</v>
      </c>
      <c r="B648" t="s">
        <v>53</v>
      </c>
      <c r="C648">
        <v>33</v>
      </c>
      <c r="D648">
        <v>49</v>
      </c>
      <c r="E648" s="1">
        <f t="shared" si="55"/>
        <v>0.40243902439024393</v>
      </c>
      <c r="F648" s="2">
        <v>115.4</v>
      </c>
      <c r="G648" s="2">
        <v>116.8</v>
      </c>
      <c r="H648" s="2">
        <f t="shared" si="56"/>
        <v>-1.3999999999999915</v>
      </c>
      <c r="I648" s="1">
        <f t="shared" si="57"/>
        <v>0.45789444917000782</v>
      </c>
      <c r="J648" s="2">
        <v>110.7</v>
      </c>
      <c r="K648" s="2">
        <v>112</v>
      </c>
      <c r="L648" s="2">
        <f t="shared" si="58"/>
        <v>-1.2999999999999972</v>
      </c>
      <c r="M648" s="1">
        <f t="shared" si="59"/>
        <v>-5.5455424779763896E-2</v>
      </c>
      <c r="N648" s="2">
        <v>99.4</v>
      </c>
      <c r="O648" s="2">
        <v>110</v>
      </c>
      <c r="P648" s="2">
        <f t="shared" si="60"/>
        <v>-10.599999999999994</v>
      </c>
      <c r="Q648">
        <v>0.8</v>
      </c>
    </row>
    <row r="649" spans="1:17">
      <c r="A649" t="s">
        <v>34</v>
      </c>
      <c r="B649" t="s">
        <v>22</v>
      </c>
      <c r="C649">
        <v>30</v>
      </c>
      <c r="D649">
        <v>52</v>
      </c>
      <c r="E649" s="1">
        <f t="shared" ref="E649:E712" si="61">+C649/(C649+D649)</f>
        <v>0.36585365853658536</v>
      </c>
      <c r="F649" s="2">
        <v>91.6</v>
      </c>
      <c r="G649" s="2">
        <v>95.6</v>
      </c>
      <c r="H649" s="2">
        <f t="shared" ref="H649:H712" si="62">+F649-G649</f>
        <v>-4</v>
      </c>
      <c r="I649" s="1">
        <f t="shared" ref="I649:I712" si="63">+(F649^14)/((F649^14+G649^14))</f>
        <v>0.35471402772199295</v>
      </c>
      <c r="J649" s="2">
        <v>100.4</v>
      </c>
      <c r="K649" s="2">
        <v>104.6</v>
      </c>
      <c r="L649" s="2">
        <f t="shared" ref="L649:L712" si="64">+J649-K649</f>
        <v>-4.1999999999999886</v>
      </c>
      <c r="M649" s="1">
        <f t="shared" ref="M649:M712" si="65">+E649-I649</f>
        <v>1.1139630814592405E-2</v>
      </c>
      <c r="N649" s="2">
        <v>89.8</v>
      </c>
      <c r="O649" s="2">
        <v>100.5</v>
      </c>
      <c r="P649" s="2">
        <f t="shared" ref="P649:P712" si="66">+N649-O649</f>
        <v>-10.700000000000003</v>
      </c>
      <c r="Q649">
        <v>-1.2</v>
      </c>
    </row>
    <row r="650" spans="1:17">
      <c r="A650" t="s">
        <v>4</v>
      </c>
      <c r="B650" t="s">
        <v>23</v>
      </c>
      <c r="C650">
        <v>43</v>
      </c>
      <c r="D650">
        <v>39</v>
      </c>
      <c r="E650" s="1">
        <f t="shared" si="61"/>
        <v>0.52439024390243905</v>
      </c>
      <c r="F650" s="2">
        <v>97.5</v>
      </c>
      <c r="G650" s="2">
        <v>96.5</v>
      </c>
      <c r="H650" s="2">
        <f t="shared" si="62"/>
        <v>1</v>
      </c>
      <c r="I650" s="1">
        <f t="shared" si="63"/>
        <v>0.5360202858252715</v>
      </c>
      <c r="J650" s="2">
        <v>102.1</v>
      </c>
      <c r="K650" s="2">
        <v>101.1</v>
      </c>
      <c r="L650" s="2">
        <f t="shared" si="64"/>
        <v>1</v>
      </c>
      <c r="M650" s="1">
        <f t="shared" si="65"/>
        <v>-1.1630041922832457E-2</v>
      </c>
      <c r="N650" s="2">
        <v>93.5</v>
      </c>
      <c r="O650" s="2">
        <v>104.3</v>
      </c>
      <c r="P650" s="2">
        <f t="shared" si="66"/>
        <v>-10.799999999999997</v>
      </c>
      <c r="Q650">
        <v>-0.6</v>
      </c>
    </row>
    <row r="651" spans="1:17">
      <c r="A651" t="s">
        <v>44</v>
      </c>
      <c r="B651" t="s">
        <v>35</v>
      </c>
      <c r="C651">
        <v>22</v>
      </c>
      <c r="D651">
        <v>60</v>
      </c>
      <c r="E651" s="1">
        <f t="shared" si="61"/>
        <v>0.26829268292682928</v>
      </c>
      <c r="F651" s="2">
        <v>100.7</v>
      </c>
      <c r="G651" s="2">
        <v>106.9</v>
      </c>
      <c r="H651" s="2">
        <f t="shared" si="62"/>
        <v>-6.2000000000000028</v>
      </c>
      <c r="I651" s="1">
        <f t="shared" si="63"/>
        <v>0.30227828737765194</v>
      </c>
      <c r="J651" s="2">
        <v>103.9</v>
      </c>
      <c r="K651" s="2">
        <v>110.2</v>
      </c>
      <c r="L651" s="2">
        <f t="shared" si="64"/>
        <v>-6.2999999999999972</v>
      </c>
      <c r="M651" s="1">
        <f t="shared" si="65"/>
        <v>-3.398560445082266E-2</v>
      </c>
      <c r="N651" s="2">
        <v>105.8</v>
      </c>
      <c r="O651" s="2">
        <v>116.6</v>
      </c>
      <c r="P651" s="2">
        <f t="shared" si="66"/>
        <v>-10.799999999999997</v>
      </c>
      <c r="Q651">
        <v>0</v>
      </c>
    </row>
    <row r="652" spans="1:17">
      <c r="A652" t="s">
        <v>57</v>
      </c>
      <c r="B652" t="s">
        <v>18</v>
      </c>
      <c r="C652">
        <v>41</v>
      </c>
      <c r="D652">
        <v>41</v>
      </c>
      <c r="E652" s="1">
        <f t="shared" si="61"/>
        <v>0.5</v>
      </c>
      <c r="F652" s="2">
        <v>103.2</v>
      </c>
      <c r="G652" s="2">
        <v>102.1</v>
      </c>
      <c r="H652" s="2">
        <f t="shared" si="62"/>
        <v>1.1000000000000085</v>
      </c>
      <c r="I652" s="1">
        <f t="shared" si="63"/>
        <v>0.53743625677450491</v>
      </c>
      <c r="J652" s="2">
        <v>107.4</v>
      </c>
      <c r="K652" s="2">
        <v>106.4</v>
      </c>
      <c r="L652" s="2">
        <f t="shared" si="64"/>
        <v>1</v>
      </c>
      <c r="M652" s="1">
        <f t="shared" si="65"/>
        <v>-3.7436256774504906E-2</v>
      </c>
      <c r="N652" s="2">
        <v>96.4</v>
      </c>
      <c r="O652" s="2">
        <v>107.3</v>
      </c>
      <c r="P652" s="2">
        <f t="shared" si="66"/>
        <v>-10.899999999999991</v>
      </c>
      <c r="Q652">
        <v>1</v>
      </c>
    </row>
    <row r="653" spans="1:17">
      <c r="A653" t="s">
        <v>44</v>
      </c>
      <c r="B653" t="s">
        <v>5</v>
      </c>
      <c r="C653">
        <v>37</v>
      </c>
      <c r="D653">
        <v>45</v>
      </c>
      <c r="E653" s="1">
        <f t="shared" si="61"/>
        <v>0.45121951219512196</v>
      </c>
      <c r="F653" s="2">
        <v>98.2</v>
      </c>
      <c r="G653" s="2">
        <v>100</v>
      </c>
      <c r="H653" s="2">
        <f t="shared" si="62"/>
        <v>-1.7999999999999972</v>
      </c>
      <c r="I653" s="1">
        <f t="shared" si="63"/>
        <v>0.43676649224387093</v>
      </c>
      <c r="J653" s="2">
        <v>105.5</v>
      </c>
      <c r="K653" s="2">
        <v>107.3</v>
      </c>
      <c r="L653" s="2">
        <f t="shared" si="64"/>
        <v>-1.7999999999999972</v>
      </c>
      <c r="M653" s="1">
        <f t="shared" si="65"/>
        <v>1.4453019951251034E-2</v>
      </c>
      <c r="N653" s="2">
        <v>100.3</v>
      </c>
      <c r="O653" s="2">
        <v>111.2</v>
      </c>
      <c r="P653" s="2">
        <f t="shared" si="66"/>
        <v>-10.900000000000006</v>
      </c>
      <c r="Q653">
        <v>-0.1</v>
      </c>
    </row>
    <row r="654" spans="1:17">
      <c r="A654" t="s">
        <v>61</v>
      </c>
      <c r="B654" t="s">
        <v>6</v>
      </c>
      <c r="C654">
        <v>36</v>
      </c>
      <c r="D654">
        <v>36</v>
      </c>
      <c r="E654" s="1">
        <f t="shared" si="61"/>
        <v>0.5</v>
      </c>
      <c r="F654" s="2">
        <v>112.6</v>
      </c>
      <c r="G654" s="2">
        <v>111.2</v>
      </c>
      <c r="H654" s="2">
        <f t="shared" si="62"/>
        <v>1.3999999999999915</v>
      </c>
      <c r="I654" s="1">
        <f t="shared" si="63"/>
        <v>0.54367805340698128</v>
      </c>
      <c r="J654" s="2">
        <v>113.1</v>
      </c>
      <c r="K654" s="2">
        <v>111.8</v>
      </c>
      <c r="L654" s="2">
        <f t="shared" si="64"/>
        <v>1.2999999999999972</v>
      </c>
      <c r="M654" s="1">
        <f t="shared" si="65"/>
        <v>-4.3678053406981276E-2</v>
      </c>
      <c r="N654" s="2">
        <v>101.5</v>
      </c>
      <c r="O654" s="2">
        <v>112.4</v>
      </c>
      <c r="P654" s="2">
        <f t="shared" si="66"/>
        <v>-10.900000000000006</v>
      </c>
      <c r="Q654">
        <v>0.5</v>
      </c>
    </row>
    <row r="655" spans="1:17">
      <c r="A655" t="s">
        <v>57</v>
      </c>
      <c r="B655" t="s">
        <v>24</v>
      </c>
      <c r="C655">
        <v>28</v>
      </c>
      <c r="D655">
        <v>54</v>
      </c>
      <c r="E655" s="1">
        <f t="shared" si="61"/>
        <v>0.34146341463414637</v>
      </c>
      <c r="F655" s="2">
        <v>102.4</v>
      </c>
      <c r="G655" s="2">
        <v>108.1</v>
      </c>
      <c r="H655" s="2">
        <f t="shared" si="62"/>
        <v>-5.6999999999999886</v>
      </c>
      <c r="I655" s="1">
        <f t="shared" si="63"/>
        <v>0.31899805241383661</v>
      </c>
      <c r="J655" s="2">
        <v>102.7</v>
      </c>
      <c r="K655" s="2">
        <v>108.2</v>
      </c>
      <c r="L655" s="2">
        <f t="shared" si="64"/>
        <v>-5.5</v>
      </c>
      <c r="M655" s="1">
        <f t="shared" si="65"/>
        <v>2.2465362220309759E-2</v>
      </c>
      <c r="N655" s="2">
        <v>98.1</v>
      </c>
      <c r="O655" s="2">
        <v>109.1</v>
      </c>
      <c r="P655" s="2">
        <f t="shared" si="66"/>
        <v>-11</v>
      </c>
      <c r="Q655">
        <v>-1.4</v>
      </c>
    </row>
    <row r="656" spans="1:17">
      <c r="A656" t="s">
        <v>49</v>
      </c>
      <c r="B656" t="s">
        <v>19</v>
      </c>
      <c r="C656">
        <v>31</v>
      </c>
      <c r="D656">
        <v>35</v>
      </c>
      <c r="E656" s="1">
        <f t="shared" si="61"/>
        <v>0.46969696969696972</v>
      </c>
      <c r="F656" s="2">
        <v>99</v>
      </c>
      <c r="G656" s="2">
        <v>98.7</v>
      </c>
      <c r="H656" s="2">
        <f t="shared" si="62"/>
        <v>0.29999999999999716</v>
      </c>
      <c r="I656" s="1">
        <f t="shared" si="63"/>
        <v>0.51062056521838828</v>
      </c>
      <c r="J656" s="2">
        <v>104.5</v>
      </c>
      <c r="K656" s="2">
        <v>104.1</v>
      </c>
      <c r="L656" s="2">
        <f t="shared" si="64"/>
        <v>0.40000000000000568</v>
      </c>
      <c r="M656" s="1">
        <f t="shared" si="65"/>
        <v>-4.0923595521418554E-2</v>
      </c>
      <c r="N656" s="2">
        <v>96.1</v>
      </c>
      <c r="O656" s="2">
        <v>107.1</v>
      </c>
      <c r="P656" s="2">
        <f t="shared" si="66"/>
        <v>-11</v>
      </c>
      <c r="Q656">
        <v>1.1000000000000001</v>
      </c>
    </row>
    <row r="657" spans="1:17">
      <c r="A657" t="s">
        <v>60</v>
      </c>
      <c r="B657" t="s">
        <v>20</v>
      </c>
      <c r="C657">
        <v>19</v>
      </c>
      <c r="D657">
        <v>45</v>
      </c>
      <c r="E657" s="1">
        <f t="shared" si="61"/>
        <v>0.296875</v>
      </c>
      <c r="F657" s="2">
        <v>113.2</v>
      </c>
      <c r="G657" s="2">
        <v>117.5</v>
      </c>
      <c r="H657" s="2">
        <f t="shared" si="62"/>
        <v>-4.2999999999999972</v>
      </c>
      <c r="I657" s="1">
        <f t="shared" si="63"/>
        <v>0.37239628997448704</v>
      </c>
      <c r="J657" s="2">
        <v>107.6</v>
      </c>
      <c r="K657" s="2">
        <v>111.6</v>
      </c>
      <c r="L657" s="2">
        <f t="shared" si="64"/>
        <v>-4</v>
      </c>
      <c r="M657" s="1">
        <f t="shared" si="65"/>
        <v>-7.5521289974487038E-2</v>
      </c>
      <c r="N657" s="2">
        <v>105.6</v>
      </c>
      <c r="O657" s="2">
        <v>116.6</v>
      </c>
      <c r="P657" s="2">
        <f t="shared" si="66"/>
        <v>-11</v>
      </c>
      <c r="Q657">
        <v>-0.4</v>
      </c>
    </row>
    <row r="658" spans="1:17">
      <c r="A658" t="s">
        <v>57</v>
      </c>
      <c r="B658" t="s">
        <v>19</v>
      </c>
      <c r="C658">
        <v>42</v>
      </c>
      <c r="D658">
        <v>40</v>
      </c>
      <c r="E658" s="1">
        <f t="shared" si="61"/>
        <v>0.51219512195121952</v>
      </c>
      <c r="F658" s="2">
        <v>103.6</v>
      </c>
      <c r="G658" s="2">
        <v>103.8</v>
      </c>
      <c r="H658" s="2">
        <f t="shared" si="62"/>
        <v>-0.20000000000000284</v>
      </c>
      <c r="I658" s="1">
        <f t="shared" si="63"/>
        <v>0.49325016690450357</v>
      </c>
      <c r="J658" s="2">
        <v>108.5</v>
      </c>
      <c r="K658" s="2">
        <v>108.7</v>
      </c>
      <c r="L658" s="2">
        <f t="shared" si="64"/>
        <v>-0.20000000000000284</v>
      </c>
      <c r="M658" s="1">
        <f t="shared" si="65"/>
        <v>1.894495504671595E-2</v>
      </c>
      <c r="N658" s="2">
        <v>88.9</v>
      </c>
      <c r="O658" s="2">
        <v>100</v>
      </c>
      <c r="P658" s="2">
        <f t="shared" si="66"/>
        <v>-11.099999999999994</v>
      </c>
      <c r="Q658">
        <v>0.2</v>
      </c>
    </row>
    <row r="659" spans="1:17">
      <c r="A659" t="s">
        <v>55</v>
      </c>
      <c r="B659" t="s">
        <v>22</v>
      </c>
      <c r="C659">
        <v>32</v>
      </c>
      <c r="D659">
        <v>50</v>
      </c>
      <c r="E659" s="1">
        <f t="shared" si="61"/>
        <v>0.3902439024390244</v>
      </c>
      <c r="F659" s="2">
        <v>98.4</v>
      </c>
      <c r="G659" s="2">
        <v>101.1</v>
      </c>
      <c r="H659" s="2">
        <f t="shared" si="62"/>
        <v>-2.6999999999999886</v>
      </c>
      <c r="I659" s="1">
        <f t="shared" si="63"/>
        <v>0.40637522210212157</v>
      </c>
      <c r="J659" s="2">
        <v>103.9</v>
      </c>
      <c r="K659" s="2">
        <v>106.7</v>
      </c>
      <c r="L659" s="2">
        <f t="shared" si="64"/>
        <v>-2.7999999999999972</v>
      </c>
      <c r="M659" s="1">
        <f t="shared" si="65"/>
        <v>-1.6131319663097166E-2</v>
      </c>
      <c r="N659" s="2">
        <v>100.9</v>
      </c>
      <c r="O659" s="2">
        <v>112</v>
      </c>
      <c r="P659" s="2">
        <f t="shared" si="66"/>
        <v>-11.099999999999994</v>
      </c>
      <c r="Q659">
        <v>-2.2000000000000002</v>
      </c>
    </row>
    <row r="660" spans="1:17">
      <c r="A660" t="s">
        <v>39</v>
      </c>
      <c r="B660" t="s">
        <v>31</v>
      </c>
      <c r="C660">
        <v>26</v>
      </c>
      <c r="D660">
        <v>56</v>
      </c>
      <c r="E660" s="1">
        <f t="shared" si="61"/>
        <v>0.31707317073170732</v>
      </c>
      <c r="F660" s="2">
        <v>93</v>
      </c>
      <c r="G660" s="2">
        <v>97.3</v>
      </c>
      <c r="H660" s="2">
        <f t="shared" si="62"/>
        <v>-4.2999999999999972</v>
      </c>
      <c r="I660" s="1">
        <f t="shared" si="63"/>
        <v>0.34687751612401035</v>
      </c>
      <c r="J660" s="2">
        <v>102.9</v>
      </c>
      <c r="K660" s="2">
        <v>107.3</v>
      </c>
      <c r="L660" s="2">
        <f t="shared" si="64"/>
        <v>-4.3999999999999915</v>
      </c>
      <c r="M660" s="1">
        <f t="shared" si="65"/>
        <v>-2.9804345392303033E-2</v>
      </c>
      <c r="N660" s="2">
        <v>98.8</v>
      </c>
      <c r="O660" s="2">
        <v>109.9</v>
      </c>
      <c r="P660" s="2">
        <f t="shared" si="66"/>
        <v>-11.100000000000009</v>
      </c>
      <c r="Q660">
        <v>-1.2</v>
      </c>
    </row>
    <row r="661" spans="1:17">
      <c r="A661" t="s">
        <v>57</v>
      </c>
      <c r="B661" t="s">
        <v>27</v>
      </c>
      <c r="C661">
        <v>32</v>
      </c>
      <c r="D661">
        <v>50</v>
      </c>
      <c r="E661" s="1">
        <f t="shared" si="61"/>
        <v>0.3902439024390244</v>
      </c>
      <c r="F661" s="2">
        <v>102.8</v>
      </c>
      <c r="G661" s="2">
        <v>106.7</v>
      </c>
      <c r="H661" s="2">
        <f t="shared" si="62"/>
        <v>-3.9000000000000057</v>
      </c>
      <c r="I661" s="1">
        <f t="shared" si="63"/>
        <v>0.37254800267996896</v>
      </c>
      <c r="J661" s="2">
        <v>106.6</v>
      </c>
      <c r="K661" s="2">
        <v>110.8</v>
      </c>
      <c r="L661" s="2">
        <f t="shared" si="64"/>
        <v>-4.2000000000000028</v>
      </c>
      <c r="M661" s="1">
        <f t="shared" si="65"/>
        <v>1.7695899759055445E-2</v>
      </c>
      <c r="N661" s="2">
        <v>97.7</v>
      </c>
      <c r="O661" s="2">
        <v>108.9</v>
      </c>
      <c r="P661" s="2">
        <f t="shared" si="66"/>
        <v>-11.200000000000003</v>
      </c>
      <c r="Q661">
        <v>0.4</v>
      </c>
    </row>
    <row r="662" spans="1:17">
      <c r="A662" t="s">
        <v>45</v>
      </c>
      <c r="B662" t="s">
        <v>27</v>
      </c>
      <c r="C662">
        <v>17</v>
      </c>
      <c r="D662">
        <v>65</v>
      </c>
      <c r="E662" s="1">
        <f t="shared" si="61"/>
        <v>0.2073170731707317</v>
      </c>
      <c r="F662" s="2">
        <v>100.6</v>
      </c>
      <c r="G662" s="2">
        <v>109.3</v>
      </c>
      <c r="H662" s="2">
        <f t="shared" si="62"/>
        <v>-8.7000000000000028</v>
      </c>
      <c r="I662" s="1">
        <f t="shared" si="63"/>
        <v>0.23844605223588522</v>
      </c>
      <c r="J662" s="2">
        <v>104.4</v>
      </c>
      <c r="K662" s="2">
        <v>113.4</v>
      </c>
      <c r="L662" s="2">
        <f t="shared" si="64"/>
        <v>-9</v>
      </c>
      <c r="M662" s="1">
        <f t="shared" si="65"/>
        <v>-3.1128979065153523E-2</v>
      </c>
      <c r="N662" s="2">
        <v>93.2</v>
      </c>
      <c r="O662" s="2">
        <v>104.6</v>
      </c>
      <c r="P662" s="2">
        <f t="shared" si="66"/>
        <v>-11.399999999999991</v>
      </c>
      <c r="Q662">
        <v>-1.2</v>
      </c>
    </row>
    <row r="663" spans="1:17">
      <c r="A663" t="s">
        <v>65</v>
      </c>
      <c r="B663" t="s">
        <v>33</v>
      </c>
      <c r="C663">
        <v>18</v>
      </c>
      <c r="D663">
        <v>64</v>
      </c>
      <c r="E663" s="1">
        <f t="shared" si="61"/>
        <v>0.21951219512195122</v>
      </c>
      <c r="F663" s="2">
        <v>108</v>
      </c>
      <c r="G663" s="2">
        <v>120.4</v>
      </c>
      <c r="H663" s="2">
        <f t="shared" si="62"/>
        <v>-12.400000000000006</v>
      </c>
      <c r="I663" s="1">
        <f t="shared" si="63"/>
        <v>0.17922069515019554</v>
      </c>
      <c r="J663" s="2">
        <v>105.8</v>
      </c>
      <c r="K663" s="2">
        <v>118</v>
      </c>
      <c r="L663" s="2">
        <f t="shared" si="64"/>
        <v>-12.200000000000003</v>
      </c>
      <c r="M663" s="1">
        <f t="shared" si="65"/>
        <v>4.0291499971755684E-2</v>
      </c>
      <c r="N663" s="2">
        <v>102.8</v>
      </c>
      <c r="O663" s="2">
        <v>114.2</v>
      </c>
      <c r="P663" s="2">
        <f t="shared" si="66"/>
        <v>-11.400000000000006</v>
      </c>
      <c r="Q663">
        <v>-2</v>
      </c>
    </row>
    <row r="664" spans="1:17">
      <c r="A664" t="s">
        <v>41</v>
      </c>
      <c r="B664" t="s">
        <v>5</v>
      </c>
      <c r="C664">
        <v>26</v>
      </c>
      <c r="D664">
        <v>56</v>
      </c>
      <c r="E664" s="1">
        <f t="shared" si="61"/>
        <v>0.31707317073170732</v>
      </c>
      <c r="F664" s="2">
        <v>97.2</v>
      </c>
      <c r="G664" s="2">
        <v>102</v>
      </c>
      <c r="H664" s="2">
        <f t="shared" si="62"/>
        <v>-4.7999999999999972</v>
      </c>
      <c r="I664" s="1">
        <f t="shared" si="63"/>
        <v>0.33741629653405997</v>
      </c>
      <c r="J664" s="2">
        <v>104.8</v>
      </c>
      <c r="K664" s="2">
        <v>110.1</v>
      </c>
      <c r="L664" s="2">
        <f t="shared" si="64"/>
        <v>-5.2999999999999972</v>
      </c>
      <c r="M664" s="1">
        <f t="shared" si="65"/>
        <v>-2.0343125802352646E-2</v>
      </c>
      <c r="N664" s="2">
        <v>96</v>
      </c>
      <c r="O664" s="2">
        <v>107.4</v>
      </c>
      <c r="P664" s="2">
        <f t="shared" si="66"/>
        <v>-11.400000000000006</v>
      </c>
      <c r="Q664">
        <v>-0.4</v>
      </c>
    </row>
    <row r="665" spans="1:17">
      <c r="A665" t="s">
        <v>59</v>
      </c>
      <c r="B665" t="s">
        <v>9</v>
      </c>
      <c r="C665">
        <v>19</v>
      </c>
      <c r="D665">
        <v>63</v>
      </c>
      <c r="E665" s="1">
        <f t="shared" si="61"/>
        <v>0.23170731707317074</v>
      </c>
      <c r="F665" s="2">
        <v>104.5</v>
      </c>
      <c r="G665" s="2">
        <v>114.1</v>
      </c>
      <c r="H665" s="2">
        <f t="shared" si="62"/>
        <v>-9.5999999999999943</v>
      </c>
      <c r="I665" s="1">
        <f t="shared" si="63"/>
        <v>0.22610537023312996</v>
      </c>
      <c r="J665" s="2">
        <v>106.8</v>
      </c>
      <c r="K665" s="2">
        <v>116.8</v>
      </c>
      <c r="L665" s="2">
        <f t="shared" si="64"/>
        <v>-10</v>
      </c>
      <c r="M665" s="1">
        <f t="shared" si="65"/>
        <v>5.6019468400407835E-3</v>
      </c>
      <c r="N665" s="2">
        <v>99</v>
      </c>
      <c r="O665" s="2">
        <v>110.6</v>
      </c>
      <c r="P665" s="2">
        <f t="shared" si="66"/>
        <v>-11.599999999999994</v>
      </c>
      <c r="Q665">
        <v>-1.7</v>
      </c>
    </row>
    <row r="666" spans="1:17">
      <c r="A666" t="s">
        <v>63</v>
      </c>
      <c r="B666" t="s">
        <v>23</v>
      </c>
      <c r="C666">
        <v>34</v>
      </c>
      <c r="D666">
        <v>48</v>
      </c>
      <c r="E666" s="1">
        <f t="shared" si="61"/>
        <v>0.41463414634146339</v>
      </c>
      <c r="F666" s="2">
        <v>111.4</v>
      </c>
      <c r="G666" s="2">
        <v>114</v>
      </c>
      <c r="H666" s="2">
        <f t="shared" si="62"/>
        <v>-2.5999999999999943</v>
      </c>
      <c r="I666" s="1">
        <f t="shared" si="63"/>
        <v>0.41994584859669859</v>
      </c>
      <c r="J666" s="2">
        <v>111.3</v>
      </c>
      <c r="K666" s="2">
        <v>113.7</v>
      </c>
      <c r="L666" s="2">
        <f t="shared" si="64"/>
        <v>-2.4000000000000057</v>
      </c>
      <c r="M666" s="1">
        <f t="shared" si="65"/>
        <v>-5.3117022552351956E-3</v>
      </c>
      <c r="N666" s="2">
        <v>109.2</v>
      </c>
      <c r="O666" s="2">
        <v>120.8</v>
      </c>
      <c r="P666" s="2">
        <f t="shared" si="66"/>
        <v>-11.599999999999994</v>
      </c>
      <c r="Q666">
        <v>0.5</v>
      </c>
    </row>
    <row r="667" spans="1:17">
      <c r="A667" t="s">
        <v>44</v>
      </c>
      <c r="B667" t="s">
        <v>15</v>
      </c>
      <c r="C667">
        <v>36</v>
      </c>
      <c r="D667">
        <v>46</v>
      </c>
      <c r="E667" s="1">
        <f t="shared" si="61"/>
        <v>0.43902439024390244</v>
      </c>
      <c r="F667" s="2">
        <v>104</v>
      </c>
      <c r="G667" s="2">
        <v>105.4</v>
      </c>
      <c r="H667" s="2">
        <f t="shared" si="62"/>
        <v>-1.4000000000000057</v>
      </c>
      <c r="I667" s="1">
        <f t="shared" si="63"/>
        <v>0.45333512374186213</v>
      </c>
      <c r="J667" s="2">
        <v>105.1</v>
      </c>
      <c r="K667" s="2">
        <v>106.3</v>
      </c>
      <c r="L667" s="2">
        <f t="shared" si="64"/>
        <v>-1.2000000000000028</v>
      </c>
      <c r="M667" s="1">
        <f t="shared" si="65"/>
        <v>-1.4310733497959693E-2</v>
      </c>
      <c r="N667" s="2">
        <v>101.4</v>
      </c>
      <c r="O667" s="2">
        <v>113.1</v>
      </c>
      <c r="P667" s="2">
        <f t="shared" si="66"/>
        <v>-11.699999999999989</v>
      </c>
      <c r="Q667">
        <v>0.4</v>
      </c>
    </row>
    <row r="668" spans="1:17">
      <c r="A668" t="s">
        <v>64</v>
      </c>
      <c r="B668" t="s">
        <v>20</v>
      </c>
      <c r="C668">
        <v>56</v>
      </c>
      <c r="D668">
        <v>26</v>
      </c>
      <c r="E668" s="1">
        <f t="shared" si="61"/>
        <v>0.68292682926829273</v>
      </c>
      <c r="F668" s="2">
        <v>113</v>
      </c>
      <c r="G668" s="2">
        <v>106.5</v>
      </c>
      <c r="H668" s="2">
        <f t="shared" si="62"/>
        <v>6.5</v>
      </c>
      <c r="I668" s="1">
        <f t="shared" si="63"/>
        <v>0.6962279782158256</v>
      </c>
      <c r="J668" s="2">
        <v>114.6</v>
      </c>
      <c r="K668" s="2">
        <v>108.4</v>
      </c>
      <c r="L668" s="2">
        <f t="shared" si="64"/>
        <v>6.1999999999999886</v>
      </c>
      <c r="M668" s="1">
        <f t="shared" si="65"/>
        <v>-1.330114894753287E-2</v>
      </c>
      <c r="N668" s="2">
        <v>104.9</v>
      </c>
      <c r="O668" s="2">
        <v>116.7</v>
      </c>
      <c r="P668" s="2">
        <f t="shared" si="66"/>
        <v>-11.799999999999997</v>
      </c>
      <c r="Q668">
        <v>1.2</v>
      </c>
    </row>
    <row r="669" spans="1:17">
      <c r="A669" t="s">
        <v>61</v>
      </c>
      <c r="B669" t="s">
        <v>20</v>
      </c>
      <c r="C669">
        <v>23</v>
      </c>
      <c r="D669">
        <v>49</v>
      </c>
      <c r="E669" s="1">
        <f t="shared" si="61"/>
        <v>0.31944444444444442</v>
      </c>
      <c r="F669" s="2">
        <v>112.1</v>
      </c>
      <c r="G669" s="2">
        <v>117.7</v>
      </c>
      <c r="H669" s="2">
        <f t="shared" si="62"/>
        <v>-5.6000000000000085</v>
      </c>
      <c r="I669" s="1">
        <f t="shared" si="63"/>
        <v>0.3357107873197604</v>
      </c>
      <c r="J669" s="2">
        <v>109.3</v>
      </c>
      <c r="K669" s="2">
        <v>114.5</v>
      </c>
      <c r="L669" s="2">
        <f t="shared" si="64"/>
        <v>-5.2000000000000028</v>
      </c>
      <c r="M669" s="1">
        <f t="shared" si="65"/>
        <v>-1.6266342875315976E-2</v>
      </c>
      <c r="N669" s="2">
        <v>105.4</v>
      </c>
      <c r="O669" s="2">
        <v>117.2</v>
      </c>
      <c r="P669" s="2">
        <f t="shared" si="66"/>
        <v>-11.799999999999997</v>
      </c>
      <c r="Q669">
        <v>0.4</v>
      </c>
    </row>
    <row r="670" spans="1:17">
      <c r="A670" t="s">
        <v>38</v>
      </c>
      <c r="B670" t="s">
        <v>13</v>
      </c>
      <c r="C670">
        <v>37</v>
      </c>
      <c r="D670">
        <v>45</v>
      </c>
      <c r="E670" s="1">
        <f t="shared" si="61"/>
        <v>0.45121951219512196</v>
      </c>
      <c r="F670" s="2">
        <v>93.3</v>
      </c>
      <c r="G670" s="2">
        <v>94</v>
      </c>
      <c r="H670" s="2">
        <f t="shared" si="62"/>
        <v>-0.70000000000000284</v>
      </c>
      <c r="I670" s="1">
        <f t="shared" si="63"/>
        <v>0.47386248712598766</v>
      </c>
      <c r="J670" s="2">
        <v>101.5</v>
      </c>
      <c r="K670" s="2">
        <v>102.6</v>
      </c>
      <c r="L670" s="2">
        <f t="shared" si="64"/>
        <v>-1.0999999999999943</v>
      </c>
      <c r="M670" s="1">
        <f t="shared" si="65"/>
        <v>-2.26429749308657E-2</v>
      </c>
      <c r="N670" s="2">
        <v>90.8</v>
      </c>
      <c r="O670" s="2">
        <v>102.6</v>
      </c>
      <c r="P670" s="2">
        <f t="shared" si="66"/>
        <v>-11.799999999999997</v>
      </c>
      <c r="Q670">
        <v>-0.3</v>
      </c>
    </row>
    <row r="671" spans="1:17">
      <c r="A671" t="s">
        <v>41</v>
      </c>
      <c r="B671" t="s">
        <v>13</v>
      </c>
      <c r="C671">
        <v>34</v>
      </c>
      <c r="D671">
        <v>48</v>
      </c>
      <c r="E671" s="1">
        <f t="shared" si="61"/>
        <v>0.41463414634146339</v>
      </c>
      <c r="F671" s="2">
        <v>98.5</v>
      </c>
      <c r="G671" s="2">
        <v>99.8</v>
      </c>
      <c r="H671" s="2">
        <f t="shared" si="62"/>
        <v>-1.2999999999999972</v>
      </c>
      <c r="I671" s="1">
        <f t="shared" si="63"/>
        <v>0.45423770290238813</v>
      </c>
      <c r="J671" s="2">
        <v>103.5</v>
      </c>
      <c r="K671" s="2">
        <v>104.9</v>
      </c>
      <c r="L671" s="2">
        <f t="shared" si="64"/>
        <v>-1.4000000000000057</v>
      </c>
      <c r="M671" s="1">
        <f t="shared" si="65"/>
        <v>-3.9603556560924735E-2</v>
      </c>
      <c r="N671" s="2">
        <v>101</v>
      </c>
      <c r="O671" s="2">
        <v>112.8</v>
      </c>
      <c r="P671" s="2">
        <f t="shared" si="66"/>
        <v>-11.799999999999997</v>
      </c>
      <c r="Q671">
        <v>-0.6</v>
      </c>
    </row>
    <row r="672" spans="1:17">
      <c r="A672" t="s">
        <v>49</v>
      </c>
      <c r="B672" t="s">
        <v>37</v>
      </c>
      <c r="C672">
        <v>21</v>
      </c>
      <c r="D672">
        <v>45</v>
      </c>
      <c r="E672" s="1">
        <f t="shared" si="61"/>
        <v>0.31818181818181818</v>
      </c>
      <c r="F672" s="2">
        <v>89.6</v>
      </c>
      <c r="G672" s="2">
        <v>93.4</v>
      </c>
      <c r="H672" s="2">
        <f t="shared" si="62"/>
        <v>-3.8000000000000114</v>
      </c>
      <c r="I672" s="1">
        <f t="shared" si="63"/>
        <v>0.35858651544032732</v>
      </c>
      <c r="J672" s="2">
        <v>99.9</v>
      </c>
      <c r="K672" s="2">
        <v>103.9</v>
      </c>
      <c r="L672" s="2">
        <f t="shared" si="64"/>
        <v>-4</v>
      </c>
      <c r="M672" s="1">
        <f t="shared" si="65"/>
        <v>-4.0404697258509148E-2</v>
      </c>
      <c r="N672" s="2">
        <v>93.5</v>
      </c>
      <c r="O672" s="2">
        <v>105.4</v>
      </c>
      <c r="P672" s="2">
        <f t="shared" si="66"/>
        <v>-11.900000000000006</v>
      </c>
      <c r="Q672">
        <v>-0.9</v>
      </c>
    </row>
    <row r="673" spans="1:17">
      <c r="A673" t="s">
        <v>57</v>
      </c>
      <c r="B673" t="s">
        <v>12</v>
      </c>
      <c r="C673">
        <v>37</v>
      </c>
      <c r="D673">
        <v>45</v>
      </c>
      <c r="E673" s="1">
        <f t="shared" si="61"/>
        <v>0.45121951219512196</v>
      </c>
      <c r="F673" s="2">
        <v>101.3</v>
      </c>
      <c r="G673" s="2">
        <v>102.5</v>
      </c>
      <c r="H673" s="2">
        <f t="shared" si="62"/>
        <v>-1.2000000000000028</v>
      </c>
      <c r="I673" s="1">
        <f t="shared" si="63"/>
        <v>0.45887575520915785</v>
      </c>
      <c r="J673" s="2">
        <v>105.3</v>
      </c>
      <c r="K673" s="2">
        <v>106.7</v>
      </c>
      <c r="L673" s="2">
        <f t="shared" si="64"/>
        <v>-1.4000000000000057</v>
      </c>
      <c r="M673" s="1">
        <f t="shared" si="65"/>
        <v>-7.6562430140358906E-3</v>
      </c>
      <c r="N673" s="2">
        <v>100.3</v>
      </c>
      <c r="O673" s="2">
        <v>112.5</v>
      </c>
      <c r="P673" s="2">
        <f t="shared" si="66"/>
        <v>-12.200000000000003</v>
      </c>
      <c r="Q673">
        <v>1.3</v>
      </c>
    </row>
    <row r="674" spans="1:17">
      <c r="A674" t="s">
        <v>58</v>
      </c>
      <c r="B674" t="s">
        <v>22</v>
      </c>
      <c r="C674">
        <v>29</v>
      </c>
      <c r="D674">
        <v>53</v>
      </c>
      <c r="E674" s="1">
        <f t="shared" si="61"/>
        <v>0.35365853658536583</v>
      </c>
      <c r="F674" s="2">
        <v>104.5</v>
      </c>
      <c r="G674" s="2">
        <v>108</v>
      </c>
      <c r="H674" s="2">
        <f t="shared" si="62"/>
        <v>-3.5</v>
      </c>
      <c r="I674" s="1">
        <f t="shared" si="63"/>
        <v>0.38669687750275528</v>
      </c>
      <c r="J674" s="2">
        <v>106.3</v>
      </c>
      <c r="K674" s="2">
        <v>109.7</v>
      </c>
      <c r="L674" s="2">
        <f t="shared" si="64"/>
        <v>-3.4000000000000057</v>
      </c>
      <c r="M674" s="1">
        <f t="shared" si="65"/>
        <v>-3.3038340917389442E-2</v>
      </c>
      <c r="N674" s="2">
        <v>95.8</v>
      </c>
      <c r="O674" s="2">
        <v>108</v>
      </c>
      <c r="P674" s="2">
        <f t="shared" si="66"/>
        <v>-12.200000000000003</v>
      </c>
      <c r="Q674">
        <v>-1</v>
      </c>
    </row>
    <row r="675" spans="1:17">
      <c r="A675" t="s">
        <v>52</v>
      </c>
      <c r="B675" t="s">
        <v>31</v>
      </c>
      <c r="C675">
        <v>25</v>
      </c>
      <c r="D675">
        <v>57</v>
      </c>
      <c r="E675" s="1">
        <f t="shared" si="61"/>
        <v>0.3048780487804878</v>
      </c>
      <c r="F675" s="2">
        <v>95</v>
      </c>
      <c r="G675" s="2">
        <v>102.2</v>
      </c>
      <c r="H675" s="2">
        <f t="shared" si="62"/>
        <v>-7.2000000000000028</v>
      </c>
      <c r="I675" s="1">
        <f t="shared" si="63"/>
        <v>0.26448877178052832</v>
      </c>
      <c r="J675" s="2">
        <v>102.4</v>
      </c>
      <c r="K675" s="2">
        <v>110.1</v>
      </c>
      <c r="L675" s="2">
        <f t="shared" si="64"/>
        <v>-7.6999999999999886</v>
      </c>
      <c r="M675" s="1">
        <f t="shared" si="65"/>
        <v>4.0389276999959478E-2</v>
      </c>
      <c r="N675" s="2">
        <v>108.8</v>
      </c>
      <c r="O675" s="2">
        <v>121.1</v>
      </c>
      <c r="P675" s="2">
        <f t="shared" si="66"/>
        <v>-12.299999999999997</v>
      </c>
      <c r="Q675">
        <v>-1.8</v>
      </c>
    </row>
    <row r="676" spans="1:17">
      <c r="A676" t="s">
        <v>66</v>
      </c>
      <c r="B676" t="s">
        <v>27</v>
      </c>
      <c r="C676">
        <v>14</v>
      </c>
      <c r="D676">
        <v>50</v>
      </c>
      <c r="E676" s="1">
        <f t="shared" si="61"/>
        <v>0.21875</v>
      </c>
      <c r="F676" s="2">
        <v>110.4</v>
      </c>
      <c r="G676" s="2">
        <v>121.3</v>
      </c>
      <c r="H676" s="2">
        <f t="shared" si="62"/>
        <v>-10.899999999999991</v>
      </c>
      <c r="I676" s="1">
        <f t="shared" si="63"/>
        <v>0.21111899676961832</v>
      </c>
      <c r="J676" s="2">
        <v>109.6</v>
      </c>
      <c r="K676" s="2">
        <v>120.2</v>
      </c>
      <c r="L676" s="2">
        <f t="shared" si="64"/>
        <v>-10.600000000000009</v>
      </c>
      <c r="M676" s="1">
        <f t="shared" si="65"/>
        <v>7.6310032303816833E-3</v>
      </c>
      <c r="N676" s="2">
        <v>103.5</v>
      </c>
      <c r="O676" s="2">
        <v>115.8</v>
      </c>
      <c r="P676" s="2">
        <f t="shared" si="66"/>
        <v>-12.299999999999997</v>
      </c>
      <c r="Q676" s="2">
        <v>-3.1</v>
      </c>
    </row>
    <row r="677" spans="1:17">
      <c r="A677" t="s">
        <v>45</v>
      </c>
      <c r="B677" t="s">
        <v>22</v>
      </c>
      <c r="C677">
        <v>32</v>
      </c>
      <c r="D677">
        <v>50</v>
      </c>
      <c r="E677" s="1">
        <f t="shared" si="61"/>
        <v>0.3902439024390244</v>
      </c>
      <c r="F677" s="2">
        <v>105.2</v>
      </c>
      <c r="G677" s="2">
        <v>107.8</v>
      </c>
      <c r="H677" s="2">
        <f t="shared" si="62"/>
        <v>-2.5999999999999943</v>
      </c>
      <c r="I677" s="1">
        <f t="shared" si="63"/>
        <v>0.41537205557839157</v>
      </c>
      <c r="J677" s="2">
        <v>107</v>
      </c>
      <c r="K677" s="2">
        <v>109.4</v>
      </c>
      <c r="L677" s="2">
        <f t="shared" si="64"/>
        <v>-2.4000000000000057</v>
      </c>
      <c r="M677" s="1">
        <f t="shared" si="65"/>
        <v>-2.5128153139367171E-2</v>
      </c>
      <c r="N677" s="2">
        <v>104.4</v>
      </c>
      <c r="O677" s="2">
        <v>116.8</v>
      </c>
      <c r="P677" s="2">
        <f t="shared" si="66"/>
        <v>-12.399999999999991</v>
      </c>
      <c r="Q677">
        <v>-1.3</v>
      </c>
    </row>
    <row r="678" spans="1:17">
      <c r="A678" t="s">
        <v>43</v>
      </c>
      <c r="B678" t="s">
        <v>33</v>
      </c>
      <c r="C678">
        <v>41</v>
      </c>
      <c r="D678">
        <v>41</v>
      </c>
      <c r="E678" s="1">
        <f t="shared" si="61"/>
        <v>0.5</v>
      </c>
      <c r="F678" s="2">
        <v>104.3</v>
      </c>
      <c r="G678" s="2">
        <v>104.9</v>
      </c>
      <c r="H678" s="2">
        <f t="shared" si="62"/>
        <v>-0.60000000000000853</v>
      </c>
      <c r="I678" s="1">
        <f t="shared" si="63"/>
        <v>0.47993424575681876</v>
      </c>
      <c r="J678" s="2">
        <v>108.7</v>
      </c>
      <c r="K678" s="2">
        <v>109.1</v>
      </c>
      <c r="L678" s="2">
        <f t="shared" si="64"/>
        <v>-0.39999999999999147</v>
      </c>
      <c r="M678" s="1">
        <f t="shared" si="65"/>
        <v>2.0065754243181244E-2</v>
      </c>
      <c r="N678" s="2">
        <v>102.3</v>
      </c>
      <c r="O678" s="2">
        <v>114.7</v>
      </c>
      <c r="P678" s="2">
        <f t="shared" si="66"/>
        <v>-12.400000000000006</v>
      </c>
      <c r="Q678">
        <v>-1.4</v>
      </c>
    </row>
    <row r="679" spans="1:17">
      <c r="A679" t="s">
        <v>38</v>
      </c>
      <c r="B679" t="s">
        <v>16</v>
      </c>
      <c r="C679">
        <v>28</v>
      </c>
      <c r="D679">
        <v>54</v>
      </c>
      <c r="E679" s="1">
        <f t="shared" si="61"/>
        <v>0.34146341463414637</v>
      </c>
      <c r="F679" s="2">
        <v>94.8</v>
      </c>
      <c r="G679" s="2">
        <v>99.4</v>
      </c>
      <c r="H679" s="2">
        <f t="shared" si="62"/>
        <v>-4.6000000000000085</v>
      </c>
      <c r="I679" s="1">
        <f t="shared" si="63"/>
        <v>0.33998571838438196</v>
      </c>
      <c r="J679" s="2">
        <v>101.9</v>
      </c>
      <c r="K679" s="2">
        <v>106.6</v>
      </c>
      <c r="L679" s="2">
        <f t="shared" si="64"/>
        <v>-4.6999999999999886</v>
      </c>
      <c r="M679" s="1">
        <f t="shared" si="65"/>
        <v>1.4776962497644042E-3</v>
      </c>
      <c r="N679" s="2">
        <v>93</v>
      </c>
      <c r="O679" s="2">
        <v>105.5</v>
      </c>
      <c r="P679" s="2">
        <f t="shared" si="66"/>
        <v>-12.5</v>
      </c>
      <c r="Q679">
        <v>-1.3</v>
      </c>
    </row>
    <row r="680" spans="1:17">
      <c r="A680" t="s">
        <v>38</v>
      </c>
      <c r="B680" t="s">
        <v>33</v>
      </c>
      <c r="C680">
        <v>25</v>
      </c>
      <c r="D680">
        <v>57</v>
      </c>
      <c r="E680" s="1">
        <f t="shared" si="61"/>
        <v>0.3048780487804878</v>
      </c>
      <c r="F680" s="2">
        <v>91.8</v>
      </c>
      <c r="G680" s="2">
        <v>97.4</v>
      </c>
      <c r="H680" s="2">
        <f t="shared" si="62"/>
        <v>-5.6000000000000085</v>
      </c>
      <c r="I680" s="1">
        <f t="shared" si="63"/>
        <v>0.30385766011408771</v>
      </c>
      <c r="J680" s="2">
        <v>97.1</v>
      </c>
      <c r="K680" s="2">
        <v>102.9</v>
      </c>
      <c r="L680" s="2">
        <f t="shared" si="64"/>
        <v>-5.8000000000000114</v>
      </c>
      <c r="M680" s="1">
        <f t="shared" si="65"/>
        <v>1.020388666400085E-3</v>
      </c>
      <c r="N680" s="2">
        <v>96.3</v>
      </c>
      <c r="O680" s="2">
        <v>108.8</v>
      </c>
      <c r="P680" s="2">
        <f t="shared" si="66"/>
        <v>-12.5</v>
      </c>
      <c r="Q680">
        <v>-1.1000000000000001</v>
      </c>
    </row>
    <row r="681" spans="1:17">
      <c r="A681" t="s">
        <v>61</v>
      </c>
      <c r="B681" t="s">
        <v>30</v>
      </c>
      <c r="C681">
        <v>27</v>
      </c>
      <c r="D681">
        <v>45</v>
      </c>
      <c r="E681" s="1">
        <f t="shared" si="61"/>
        <v>0.375</v>
      </c>
      <c r="F681" s="2">
        <v>111.3</v>
      </c>
      <c r="G681" s="2">
        <v>111.7</v>
      </c>
      <c r="H681" s="2">
        <f t="shared" si="62"/>
        <v>-0.40000000000000568</v>
      </c>
      <c r="I681" s="1">
        <f t="shared" si="63"/>
        <v>0.48744657142272707</v>
      </c>
      <c r="J681" s="2">
        <v>111.6</v>
      </c>
      <c r="K681" s="2">
        <v>112</v>
      </c>
      <c r="L681" s="2">
        <f t="shared" si="64"/>
        <v>-0.40000000000000568</v>
      </c>
      <c r="M681" s="1">
        <f t="shared" si="65"/>
        <v>-0.11244657142272707</v>
      </c>
      <c r="N681" s="2">
        <v>100.8</v>
      </c>
      <c r="O681" s="2">
        <v>113.3</v>
      </c>
      <c r="P681" s="2">
        <f t="shared" si="66"/>
        <v>-12.5</v>
      </c>
      <c r="Q681">
        <v>0.8</v>
      </c>
    </row>
    <row r="682" spans="1:17">
      <c r="A682" t="s">
        <v>64</v>
      </c>
      <c r="B682" t="s">
        <v>28</v>
      </c>
      <c r="C682">
        <v>22</v>
      </c>
      <c r="D682">
        <v>60</v>
      </c>
      <c r="E682" s="1">
        <f t="shared" si="61"/>
        <v>0.26829268292682928</v>
      </c>
      <c r="F682" s="2">
        <v>112.1</v>
      </c>
      <c r="G682" s="2">
        <v>118.6</v>
      </c>
      <c r="H682" s="2">
        <f t="shared" si="62"/>
        <v>-6.5</v>
      </c>
      <c r="I682" s="1">
        <f t="shared" si="63"/>
        <v>0.31235933105064495</v>
      </c>
      <c r="J682" s="2">
        <v>109.3</v>
      </c>
      <c r="K682" s="2">
        <v>115.6</v>
      </c>
      <c r="L682" s="2">
        <f t="shared" si="64"/>
        <v>-6.2999999999999972</v>
      </c>
      <c r="M682" s="1">
        <f t="shared" si="65"/>
        <v>-4.4066648123815666E-2</v>
      </c>
      <c r="N682" s="2">
        <v>101</v>
      </c>
      <c r="O682" s="2">
        <v>113.6</v>
      </c>
      <c r="P682" s="2">
        <f t="shared" si="66"/>
        <v>-12.599999999999994</v>
      </c>
      <c r="Q682">
        <v>-0.2</v>
      </c>
    </row>
    <row r="683" spans="1:17">
      <c r="A683" t="s">
        <v>48</v>
      </c>
      <c r="B683" t="s">
        <v>14</v>
      </c>
      <c r="C683">
        <v>43</v>
      </c>
      <c r="D683">
        <v>39</v>
      </c>
      <c r="E683" s="1">
        <f t="shared" si="61"/>
        <v>0.52439024390243905</v>
      </c>
      <c r="F683" s="2">
        <v>105.9</v>
      </c>
      <c r="G683" s="2">
        <v>103.7</v>
      </c>
      <c r="H683" s="2">
        <f t="shared" si="62"/>
        <v>2.2000000000000028</v>
      </c>
      <c r="I683" s="1">
        <f t="shared" si="63"/>
        <v>0.57295160820263835</v>
      </c>
      <c r="J683" s="2">
        <v>110.2</v>
      </c>
      <c r="K683" s="2">
        <v>107.9</v>
      </c>
      <c r="L683" s="2">
        <f t="shared" si="64"/>
        <v>2.2999999999999972</v>
      </c>
      <c r="M683" s="1">
        <f t="shared" si="65"/>
        <v>-4.8561364300199306E-2</v>
      </c>
      <c r="N683" s="2">
        <v>99.5</v>
      </c>
      <c r="O683" s="2">
        <v>112.1</v>
      </c>
      <c r="P683" s="2">
        <f t="shared" si="66"/>
        <v>-12.599999999999994</v>
      </c>
      <c r="Q683">
        <v>-0.5</v>
      </c>
    </row>
    <row r="684" spans="1:17">
      <c r="A684" t="s">
        <v>44</v>
      </c>
      <c r="B684" t="s">
        <v>16</v>
      </c>
      <c r="C684">
        <v>23</v>
      </c>
      <c r="D684">
        <v>59</v>
      </c>
      <c r="E684" s="1">
        <f t="shared" si="61"/>
        <v>0.28048780487804881</v>
      </c>
      <c r="F684" s="2">
        <v>93.8</v>
      </c>
      <c r="G684" s="2">
        <v>101.1</v>
      </c>
      <c r="H684" s="2">
        <f t="shared" si="62"/>
        <v>-7.2999999999999972</v>
      </c>
      <c r="I684" s="1">
        <f t="shared" si="63"/>
        <v>0.25937226319296447</v>
      </c>
      <c r="J684" s="2">
        <v>99.9</v>
      </c>
      <c r="K684" s="2">
        <v>107.4</v>
      </c>
      <c r="L684" s="2">
        <f t="shared" si="64"/>
        <v>-7.5</v>
      </c>
      <c r="M684" s="1">
        <f t="shared" si="65"/>
        <v>2.1115541685084338E-2</v>
      </c>
      <c r="N684" s="2">
        <v>110.1</v>
      </c>
      <c r="O684" s="2">
        <v>122.7</v>
      </c>
      <c r="P684" s="2">
        <f t="shared" si="66"/>
        <v>-12.600000000000009</v>
      </c>
      <c r="Q684">
        <v>-1</v>
      </c>
    </row>
    <row r="685" spans="1:17">
      <c r="A685" t="s">
        <v>4</v>
      </c>
      <c r="B685" t="s">
        <v>21</v>
      </c>
      <c r="C685">
        <v>26</v>
      </c>
      <c r="D685">
        <v>56</v>
      </c>
      <c r="E685" s="1">
        <f t="shared" si="61"/>
        <v>0.31707317073170732</v>
      </c>
      <c r="F685" s="2">
        <v>92.1</v>
      </c>
      <c r="G685" s="2">
        <v>97.1</v>
      </c>
      <c r="H685" s="2">
        <f t="shared" si="62"/>
        <v>-5</v>
      </c>
      <c r="I685" s="1">
        <f t="shared" si="63"/>
        <v>0.32297570638885176</v>
      </c>
      <c r="J685" s="2">
        <v>98.4</v>
      </c>
      <c r="K685" s="2">
        <v>103.8</v>
      </c>
      <c r="L685" s="2">
        <f t="shared" si="64"/>
        <v>-5.3999999999999915</v>
      </c>
      <c r="M685" s="1">
        <f t="shared" si="65"/>
        <v>-5.9025356571444365E-3</v>
      </c>
      <c r="N685" s="2">
        <v>93.1</v>
      </c>
      <c r="O685" s="2">
        <v>105.7</v>
      </c>
      <c r="P685" s="2">
        <f t="shared" si="66"/>
        <v>-12.600000000000009</v>
      </c>
      <c r="Q685">
        <v>-1.8</v>
      </c>
    </row>
    <row r="686" spans="1:17">
      <c r="A686" t="s">
        <v>65</v>
      </c>
      <c r="B686" t="s">
        <v>24</v>
      </c>
      <c r="C686">
        <v>24</v>
      </c>
      <c r="D686">
        <v>58</v>
      </c>
      <c r="E686" s="1">
        <f t="shared" si="61"/>
        <v>0.29268292682926828</v>
      </c>
      <c r="F686" s="2">
        <v>109.6</v>
      </c>
      <c r="G686" s="2">
        <v>115.8</v>
      </c>
      <c r="H686" s="2">
        <f t="shared" si="62"/>
        <v>-6.2000000000000028</v>
      </c>
      <c r="I686" s="1">
        <f t="shared" si="63"/>
        <v>0.31639676572205722</v>
      </c>
      <c r="J686" s="2">
        <v>111</v>
      </c>
      <c r="K686" s="2">
        <v>117.3</v>
      </c>
      <c r="L686" s="2">
        <f t="shared" si="64"/>
        <v>-6.2999999999999972</v>
      </c>
      <c r="M686" s="1">
        <f t="shared" si="65"/>
        <v>-2.3713838892788941E-2</v>
      </c>
      <c r="N686" s="2">
        <v>104.2</v>
      </c>
      <c r="O686" s="2">
        <v>117</v>
      </c>
      <c r="P686" s="2">
        <f t="shared" si="66"/>
        <v>-12.799999999999997</v>
      </c>
      <c r="Q686">
        <v>-1.9</v>
      </c>
    </row>
    <row r="687" spans="1:17">
      <c r="A687" t="s">
        <v>41</v>
      </c>
      <c r="B687" t="s">
        <v>30</v>
      </c>
      <c r="C687">
        <v>27</v>
      </c>
      <c r="D687">
        <v>55</v>
      </c>
      <c r="E687" s="1">
        <f t="shared" si="61"/>
        <v>0.32926829268292684</v>
      </c>
      <c r="F687" s="2">
        <v>101.1</v>
      </c>
      <c r="G687" s="2">
        <v>104</v>
      </c>
      <c r="H687" s="2">
        <f t="shared" si="62"/>
        <v>-2.9000000000000057</v>
      </c>
      <c r="I687" s="1">
        <f t="shared" si="63"/>
        <v>0.4022903946569592</v>
      </c>
      <c r="J687" s="2">
        <v>107.9</v>
      </c>
      <c r="K687" s="2">
        <v>111.2</v>
      </c>
      <c r="L687" s="2">
        <f t="shared" si="64"/>
        <v>-3.2999999999999972</v>
      </c>
      <c r="M687" s="1">
        <f t="shared" si="65"/>
        <v>-7.3022101974032361E-2</v>
      </c>
      <c r="N687" s="2">
        <v>101.6</v>
      </c>
      <c r="O687" s="2">
        <v>114.4</v>
      </c>
      <c r="P687" s="2">
        <f t="shared" si="66"/>
        <v>-12.800000000000011</v>
      </c>
      <c r="Q687">
        <v>0.7</v>
      </c>
    </row>
    <row r="688" spans="1:17">
      <c r="A688" t="s">
        <v>57</v>
      </c>
      <c r="B688" t="s">
        <v>23</v>
      </c>
      <c r="C688">
        <v>29</v>
      </c>
      <c r="D688">
        <v>53</v>
      </c>
      <c r="E688" s="1">
        <f t="shared" si="61"/>
        <v>0.35365853658536583</v>
      </c>
      <c r="F688" s="2">
        <v>101.1</v>
      </c>
      <c r="G688" s="2">
        <v>107.6</v>
      </c>
      <c r="H688" s="2">
        <f t="shared" si="62"/>
        <v>-6.5</v>
      </c>
      <c r="I688" s="1">
        <f t="shared" si="63"/>
        <v>0.29476611175193784</v>
      </c>
      <c r="J688" s="2">
        <v>103.7</v>
      </c>
      <c r="K688" s="2">
        <v>110.3</v>
      </c>
      <c r="L688" s="2">
        <f t="shared" si="64"/>
        <v>-6.5999999999999943</v>
      </c>
      <c r="M688" s="1">
        <f t="shared" si="65"/>
        <v>5.8892424833427992E-2</v>
      </c>
      <c r="N688" s="2">
        <v>101.3</v>
      </c>
      <c r="O688" s="2">
        <v>114.2</v>
      </c>
      <c r="P688" s="2">
        <f t="shared" si="66"/>
        <v>-12.900000000000006</v>
      </c>
      <c r="Q688">
        <v>-1.8</v>
      </c>
    </row>
    <row r="689" spans="1:17">
      <c r="A689" t="s">
        <v>41</v>
      </c>
      <c r="B689" t="s">
        <v>22</v>
      </c>
      <c r="C689">
        <v>23</v>
      </c>
      <c r="D689">
        <v>59</v>
      </c>
      <c r="E689" s="1">
        <f t="shared" si="61"/>
        <v>0.28048780487804881</v>
      </c>
      <c r="F689" s="2">
        <v>95.6</v>
      </c>
      <c r="G689" s="2">
        <v>102</v>
      </c>
      <c r="H689" s="2">
        <f t="shared" si="62"/>
        <v>-6.4000000000000057</v>
      </c>
      <c r="I689" s="1">
        <f t="shared" si="63"/>
        <v>0.28757316482715334</v>
      </c>
      <c r="J689" s="2">
        <v>102.7</v>
      </c>
      <c r="K689" s="2">
        <v>109.3</v>
      </c>
      <c r="L689" s="2">
        <f t="shared" si="64"/>
        <v>-6.5999999999999943</v>
      </c>
      <c r="M689" s="1">
        <f t="shared" si="65"/>
        <v>-7.0853599491045305E-3</v>
      </c>
      <c r="N689" s="2">
        <v>100.3</v>
      </c>
      <c r="O689" s="2">
        <v>113.2</v>
      </c>
      <c r="P689" s="2">
        <f t="shared" si="66"/>
        <v>-12.900000000000006</v>
      </c>
      <c r="Q689">
        <v>1.2</v>
      </c>
    </row>
    <row r="690" spans="1:17">
      <c r="A690" t="s">
        <v>47</v>
      </c>
      <c r="B690" t="s">
        <v>28</v>
      </c>
      <c r="C690">
        <v>50</v>
      </c>
      <c r="D690">
        <v>32</v>
      </c>
      <c r="E690" s="1">
        <f t="shared" si="61"/>
        <v>0.6097560975609756</v>
      </c>
      <c r="F690" s="2">
        <v>101.4</v>
      </c>
      <c r="G690" s="2">
        <v>96.3</v>
      </c>
      <c r="H690" s="2">
        <f t="shared" si="62"/>
        <v>5.1000000000000085</v>
      </c>
      <c r="I690" s="1">
        <f t="shared" si="63"/>
        <v>0.67314999462615233</v>
      </c>
      <c r="J690" s="2">
        <v>109.3</v>
      </c>
      <c r="K690" s="2">
        <v>103.9</v>
      </c>
      <c r="L690" s="2">
        <f t="shared" si="64"/>
        <v>5.3999999999999915</v>
      </c>
      <c r="M690" s="1">
        <f t="shared" si="65"/>
        <v>-6.339389706517673E-2</v>
      </c>
      <c r="N690" s="2">
        <v>99.3</v>
      </c>
      <c r="O690" s="2">
        <v>112.2</v>
      </c>
      <c r="P690" s="2">
        <f t="shared" si="66"/>
        <v>-12.900000000000006</v>
      </c>
      <c r="Q690">
        <v>0.9</v>
      </c>
    </row>
    <row r="691" spans="1:17">
      <c r="A691" t="s">
        <v>4</v>
      </c>
      <c r="B691" t="s">
        <v>16</v>
      </c>
      <c r="C691">
        <v>31</v>
      </c>
      <c r="D691">
        <v>51</v>
      </c>
      <c r="E691" s="1">
        <f t="shared" si="61"/>
        <v>0.37804878048780488</v>
      </c>
      <c r="F691" s="2">
        <v>92.5</v>
      </c>
      <c r="G691" s="2">
        <v>95.3</v>
      </c>
      <c r="H691" s="2">
        <f t="shared" si="62"/>
        <v>-2.7999999999999972</v>
      </c>
      <c r="I691" s="1">
        <f t="shared" si="63"/>
        <v>0.39711601228610965</v>
      </c>
      <c r="J691" s="2">
        <v>100.3</v>
      </c>
      <c r="K691" s="2">
        <v>103.2</v>
      </c>
      <c r="L691" s="2">
        <f t="shared" si="64"/>
        <v>-2.9000000000000057</v>
      </c>
      <c r="M691" s="1">
        <f t="shared" si="65"/>
        <v>-1.9067231798304773E-2</v>
      </c>
      <c r="N691" s="2">
        <v>95.7</v>
      </c>
      <c r="O691" s="2">
        <v>108.7</v>
      </c>
      <c r="P691" s="2">
        <f t="shared" si="66"/>
        <v>-13</v>
      </c>
      <c r="Q691">
        <v>0.4</v>
      </c>
    </row>
    <row r="692" spans="1:17">
      <c r="A692" t="s">
        <v>64</v>
      </c>
      <c r="B692" t="s">
        <v>14</v>
      </c>
      <c r="C692">
        <v>41</v>
      </c>
      <c r="D692">
        <v>41</v>
      </c>
      <c r="E692" s="1">
        <f t="shared" si="61"/>
        <v>0.5</v>
      </c>
      <c r="F692" s="2">
        <v>114.3</v>
      </c>
      <c r="G692" s="2">
        <v>113.2</v>
      </c>
      <c r="H692" s="2">
        <f t="shared" si="62"/>
        <v>1.0999999999999943</v>
      </c>
      <c r="I692" s="1">
        <f t="shared" si="63"/>
        <v>0.53379481382340799</v>
      </c>
      <c r="J692" s="2">
        <v>113.7</v>
      </c>
      <c r="K692" s="2">
        <v>112.8</v>
      </c>
      <c r="L692" s="2">
        <f t="shared" si="64"/>
        <v>0.90000000000000568</v>
      </c>
      <c r="M692" s="1">
        <f t="shared" si="65"/>
        <v>-3.3794813823407988E-2</v>
      </c>
      <c r="N692" s="2">
        <v>108.4</v>
      </c>
      <c r="O692" s="2">
        <v>121.6</v>
      </c>
      <c r="P692" s="2">
        <f t="shared" si="66"/>
        <v>-13.199999999999989</v>
      </c>
      <c r="Q692">
        <v>0.3</v>
      </c>
    </row>
    <row r="693" spans="1:17">
      <c r="A693" t="s">
        <v>41</v>
      </c>
      <c r="B693" t="s">
        <v>26</v>
      </c>
      <c r="C693">
        <v>21</v>
      </c>
      <c r="D693">
        <v>61</v>
      </c>
      <c r="E693" s="1">
        <f t="shared" si="61"/>
        <v>0.25609756097560976</v>
      </c>
      <c r="F693" s="2">
        <v>88.8</v>
      </c>
      <c r="G693" s="2">
        <v>98.3</v>
      </c>
      <c r="H693" s="2">
        <f t="shared" si="62"/>
        <v>-9.5</v>
      </c>
      <c r="I693" s="1">
        <f t="shared" si="63"/>
        <v>0.19420371450144952</v>
      </c>
      <c r="J693" s="2">
        <v>99.7</v>
      </c>
      <c r="K693" s="2">
        <v>110.3</v>
      </c>
      <c r="L693" s="2">
        <f t="shared" si="64"/>
        <v>-10.599999999999994</v>
      </c>
      <c r="M693" s="1">
        <f t="shared" si="65"/>
        <v>6.1893846474160241E-2</v>
      </c>
      <c r="N693" s="2">
        <v>89.2</v>
      </c>
      <c r="O693" s="2">
        <v>102.4</v>
      </c>
      <c r="P693" s="2">
        <f t="shared" si="66"/>
        <v>-13.200000000000003</v>
      </c>
      <c r="Q693">
        <v>-1.7</v>
      </c>
    </row>
    <row r="694" spans="1:17">
      <c r="A694" t="s">
        <v>55</v>
      </c>
      <c r="B694" t="s">
        <v>27</v>
      </c>
      <c r="C694">
        <v>33</v>
      </c>
      <c r="D694">
        <v>49</v>
      </c>
      <c r="E694" s="1">
        <f t="shared" si="61"/>
        <v>0.40243902439024393</v>
      </c>
      <c r="F694" s="2">
        <v>106.6</v>
      </c>
      <c r="G694" s="2">
        <v>109.1</v>
      </c>
      <c r="H694" s="2">
        <f t="shared" si="62"/>
        <v>-2.5</v>
      </c>
      <c r="I694" s="1">
        <f t="shared" si="63"/>
        <v>0.41956987710459787</v>
      </c>
      <c r="J694" s="2">
        <v>105.3</v>
      </c>
      <c r="K694" s="2">
        <v>107.6</v>
      </c>
      <c r="L694" s="2">
        <f t="shared" si="64"/>
        <v>-2.2999999999999972</v>
      </c>
      <c r="M694" s="1">
        <f t="shared" si="65"/>
        <v>-1.7130852714353939E-2</v>
      </c>
      <c r="N694" s="2">
        <v>93</v>
      </c>
      <c r="O694" s="2">
        <v>106.2</v>
      </c>
      <c r="P694" s="2">
        <f t="shared" si="66"/>
        <v>-13.200000000000003</v>
      </c>
      <c r="Q694">
        <v>0</v>
      </c>
    </row>
    <row r="695" spans="1:17">
      <c r="A695" t="s">
        <v>64</v>
      </c>
      <c r="B695" t="s">
        <v>18</v>
      </c>
      <c r="C695">
        <v>46</v>
      </c>
      <c r="D695">
        <v>36</v>
      </c>
      <c r="E695" s="1">
        <f t="shared" si="61"/>
        <v>0.56097560975609762</v>
      </c>
      <c r="F695" s="2">
        <v>110.1</v>
      </c>
      <c r="G695" s="2">
        <v>108.4</v>
      </c>
      <c r="H695" s="2">
        <f t="shared" si="62"/>
        <v>1.6999999999999886</v>
      </c>
      <c r="I695" s="1">
        <f t="shared" si="63"/>
        <v>0.55424895602857005</v>
      </c>
      <c r="J695" s="2">
        <v>113.3</v>
      </c>
      <c r="K695" s="2">
        <v>111.5</v>
      </c>
      <c r="L695" s="2">
        <f t="shared" si="64"/>
        <v>1.7999999999999972</v>
      </c>
      <c r="M695" s="1">
        <f t="shared" si="65"/>
        <v>6.7266537275275651E-3</v>
      </c>
      <c r="N695" s="2">
        <v>99.3</v>
      </c>
      <c r="O695" s="2">
        <v>112.6</v>
      </c>
      <c r="P695" s="2">
        <f t="shared" si="66"/>
        <v>-13.299999999999997</v>
      </c>
      <c r="Q695">
        <v>-1.2</v>
      </c>
    </row>
    <row r="696" spans="1:17">
      <c r="A696" t="s">
        <v>44</v>
      </c>
      <c r="B696" t="s">
        <v>20</v>
      </c>
      <c r="C696">
        <v>22</v>
      </c>
      <c r="D696">
        <v>60</v>
      </c>
      <c r="E696" s="1">
        <f t="shared" si="61"/>
        <v>0.26829268292682928</v>
      </c>
      <c r="F696" s="2">
        <v>95.6</v>
      </c>
      <c r="G696" s="2">
        <v>102.4</v>
      </c>
      <c r="H696" s="2">
        <f t="shared" si="62"/>
        <v>-6.8000000000000114</v>
      </c>
      <c r="I696" s="1">
        <f t="shared" si="63"/>
        <v>0.27647904137528079</v>
      </c>
      <c r="J696" s="2">
        <v>102.7</v>
      </c>
      <c r="K696" s="2">
        <v>110</v>
      </c>
      <c r="L696" s="2">
        <f t="shared" si="64"/>
        <v>-7.2999999999999972</v>
      </c>
      <c r="M696" s="1">
        <f t="shared" si="65"/>
        <v>-8.1863584484515028E-3</v>
      </c>
      <c r="N696" s="2">
        <v>105.4</v>
      </c>
      <c r="O696" s="2">
        <v>118.7</v>
      </c>
      <c r="P696" s="2">
        <f t="shared" si="66"/>
        <v>-13.299999999999997</v>
      </c>
      <c r="Q696">
        <v>-1.9</v>
      </c>
    </row>
    <row r="697" spans="1:17">
      <c r="A697" t="s">
        <v>64</v>
      </c>
      <c r="B697" t="s">
        <v>53</v>
      </c>
      <c r="C697">
        <v>49</v>
      </c>
      <c r="D697">
        <v>32</v>
      </c>
      <c r="E697" s="1">
        <f t="shared" si="61"/>
        <v>0.60493827160493829</v>
      </c>
      <c r="F697" s="2">
        <v>115.4</v>
      </c>
      <c r="G697" s="2">
        <v>110.4</v>
      </c>
      <c r="H697" s="2">
        <f t="shared" si="62"/>
        <v>5</v>
      </c>
      <c r="I697" s="1">
        <f t="shared" si="63"/>
        <v>0.65024563171173744</v>
      </c>
      <c r="J697" s="2">
        <v>116.9</v>
      </c>
      <c r="K697" s="2">
        <v>111.7</v>
      </c>
      <c r="L697" s="2">
        <f t="shared" si="64"/>
        <v>5.2000000000000028</v>
      </c>
      <c r="M697" s="1">
        <f t="shared" si="65"/>
        <v>-4.5307360106799144E-2</v>
      </c>
      <c r="N697" s="2">
        <v>99</v>
      </c>
      <c r="O697" s="2">
        <v>112.3</v>
      </c>
      <c r="P697" s="2">
        <f t="shared" si="66"/>
        <v>-13.299999999999997</v>
      </c>
      <c r="Q697">
        <v>-0.3</v>
      </c>
    </row>
    <row r="698" spans="1:17">
      <c r="A698" t="s">
        <v>59</v>
      </c>
      <c r="B698" t="s">
        <v>20</v>
      </c>
      <c r="C698">
        <v>36</v>
      </c>
      <c r="D698">
        <v>46</v>
      </c>
      <c r="E698" s="1">
        <f t="shared" si="61"/>
        <v>0.43902439024390244</v>
      </c>
      <c r="F698" s="2">
        <v>112.5</v>
      </c>
      <c r="G698" s="2">
        <v>114</v>
      </c>
      <c r="H698" s="2">
        <f t="shared" si="62"/>
        <v>-1.5</v>
      </c>
      <c r="I698" s="1">
        <f t="shared" si="63"/>
        <v>0.45377408880323472</v>
      </c>
      <c r="J698" s="2">
        <v>110.6</v>
      </c>
      <c r="K698" s="2">
        <v>112.2</v>
      </c>
      <c r="L698" s="2">
        <f t="shared" si="64"/>
        <v>-1.6000000000000085</v>
      </c>
      <c r="M698" s="1">
        <f t="shared" si="65"/>
        <v>-1.474969855933228E-2</v>
      </c>
      <c r="N698" s="2">
        <v>100</v>
      </c>
      <c r="O698" s="2">
        <v>113.4</v>
      </c>
      <c r="P698" s="2">
        <f t="shared" si="66"/>
        <v>-13.400000000000006</v>
      </c>
      <c r="Q698">
        <v>-1.2</v>
      </c>
    </row>
    <row r="699" spans="1:17">
      <c r="A699" t="s">
        <v>39</v>
      </c>
      <c r="B699" t="s">
        <v>26</v>
      </c>
      <c r="C699">
        <v>27</v>
      </c>
      <c r="D699">
        <v>55</v>
      </c>
      <c r="E699" s="1">
        <f t="shared" si="61"/>
        <v>0.32926829268292684</v>
      </c>
      <c r="F699" s="2">
        <v>92.9</v>
      </c>
      <c r="G699" s="2">
        <v>96.9</v>
      </c>
      <c r="H699" s="2">
        <f t="shared" si="62"/>
        <v>-4</v>
      </c>
      <c r="I699" s="1">
        <f t="shared" si="63"/>
        <v>0.35659304496257005</v>
      </c>
      <c r="J699" s="2">
        <v>101.9</v>
      </c>
      <c r="K699" s="2">
        <v>106.1</v>
      </c>
      <c r="L699" s="2">
        <f t="shared" si="64"/>
        <v>-4.1999999999999886</v>
      </c>
      <c r="M699" s="1">
        <f t="shared" si="65"/>
        <v>-2.7324752279643205E-2</v>
      </c>
      <c r="N699" s="2">
        <v>93.4</v>
      </c>
      <c r="O699" s="2">
        <v>107.3</v>
      </c>
      <c r="P699" s="2">
        <f t="shared" si="66"/>
        <v>-13.899999999999991</v>
      </c>
      <c r="Q699">
        <v>-0.3</v>
      </c>
    </row>
    <row r="700" spans="1:17">
      <c r="A700" t="s">
        <v>4</v>
      </c>
      <c r="B700" t="s">
        <v>8</v>
      </c>
      <c r="C700">
        <v>15</v>
      </c>
      <c r="D700">
        <v>67</v>
      </c>
      <c r="E700" s="1">
        <f t="shared" si="61"/>
        <v>0.18292682926829268</v>
      </c>
      <c r="F700" s="2">
        <v>87.6</v>
      </c>
      <c r="G700" s="2">
        <v>96.7</v>
      </c>
      <c r="H700" s="2">
        <f t="shared" si="62"/>
        <v>-9.1000000000000085</v>
      </c>
      <c r="I700" s="1">
        <f t="shared" si="63"/>
        <v>0.20042284639847754</v>
      </c>
      <c r="J700" s="2">
        <v>95.9</v>
      </c>
      <c r="K700" s="2">
        <v>105.9</v>
      </c>
      <c r="L700" s="2">
        <f t="shared" si="64"/>
        <v>-10</v>
      </c>
      <c r="M700" s="1">
        <f t="shared" si="65"/>
        <v>-1.7496017130184865E-2</v>
      </c>
      <c r="N700" s="2">
        <v>93.5</v>
      </c>
      <c r="O700" s="2">
        <v>107.4</v>
      </c>
      <c r="P700" s="2">
        <f t="shared" si="66"/>
        <v>-13.900000000000006</v>
      </c>
      <c r="Q700">
        <v>-2.8</v>
      </c>
    </row>
    <row r="701" spans="1:17">
      <c r="A701" t="s">
        <v>38</v>
      </c>
      <c r="B701" t="s">
        <v>25</v>
      </c>
      <c r="C701">
        <v>29</v>
      </c>
      <c r="D701">
        <v>53</v>
      </c>
      <c r="E701" s="1">
        <f t="shared" si="61"/>
        <v>0.35365853658536583</v>
      </c>
      <c r="F701" s="2">
        <v>94.2</v>
      </c>
      <c r="G701" s="2">
        <v>97.9</v>
      </c>
      <c r="H701" s="2">
        <f t="shared" si="62"/>
        <v>-3.7000000000000028</v>
      </c>
      <c r="I701" s="1">
        <f t="shared" si="63"/>
        <v>0.36833434593522879</v>
      </c>
      <c r="J701" s="2">
        <v>100.3</v>
      </c>
      <c r="K701" s="2">
        <v>104.2</v>
      </c>
      <c r="L701" s="2">
        <f t="shared" si="64"/>
        <v>-3.9000000000000057</v>
      </c>
      <c r="M701" s="1">
        <f t="shared" si="65"/>
        <v>-1.4675809349862956E-2</v>
      </c>
      <c r="N701" s="2">
        <v>92.8</v>
      </c>
      <c r="O701" s="2">
        <v>106.8</v>
      </c>
      <c r="P701" s="2">
        <f t="shared" si="66"/>
        <v>-14</v>
      </c>
      <c r="Q701">
        <v>-1.6</v>
      </c>
    </row>
    <row r="702" spans="1:17">
      <c r="A702" t="s">
        <v>63</v>
      </c>
      <c r="B702" t="s">
        <v>28</v>
      </c>
      <c r="C702">
        <v>22</v>
      </c>
      <c r="D702">
        <v>60</v>
      </c>
      <c r="E702" s="1">
        <f t="shared" si="61"/>
        <v>0.26829268292682928</v>
      </c>
      <c r="F702" s="2">
        <v>113</v>
      </c>
      <c r="G702" s="2">
        <v>123.1</v>
      </c>
      <c r="H702" s="2">
        <f t="shared" si="62"/>
        <v>-10.099999999999994</v>
      </c>
      <c r="I702" s="1">
        <f t="shared" si="63"/>
        <v>0.23173700210202122</v>
      </c>
      <c r="J702" s="2">
        <v>109.7</v>
      </c>
      <c r="K702" s="2">
        <v>119.6</v>
      </c>
      <c r="L702" s="2">
        <f t="shared" si="64"/>
        <v>-9.8999999999999915</v>
      </c>
      <c r="M702" s="1">
        <f t="shared" si="65"/>
        <v>3.6555680824808062E-2</v>
      </c>
      <c r="N702" s="2">
        <v>98.2</v>
      </c>
      <c r="O702" s="2">
        <v>112.4</v>
      </c>
      <c r="P702" s="2">
        <f t="shared" si="66"/>
        <v>-14.200000000000003</v>
      </c>
      <c r="Q702">
        <v>-3.9</v>
      </c>
    </row>
    <row r="703" spans="1:17">
      <c r="A703" t="s">
        <v>54</v>
      </c>
      <c r="B703" t="s">
        <v>17</v>
      </c>
      <c r="C703">
        <v>21</v>
      </c>
      <c r="D703">
        <v>61</v>
      </c>
      <c r="E703" s="1">
        <f t="shared" si="61"/>
        <v>0.25609756097560976</v>
      </c>
      <c r="F703" s="2">
        <v>98.5</v>
      </c>
      <c r="G703" s="2">
        <v>105.3</v>
      </c>
      <c r="H703" s="2">
        <f t="shared" si="62"/>
        <v>-6.7999999999999972</v>
      </c>
      <c r="I703" s="1">
        <f t="shared" si="63"/>
        <v>0.28199317754915287</v>
      </c>
      <c r="J703" s="2">
        <v>102.3</v>
      </c>
      <c r="K703" s="2">
        <v>109.4</v>
      </c>
      <c r="L703" s="2">
        <f t="shared" si="64"/>
        <v>-7.1000000000000085</v>
      </c>
      <c r="M703" s="1">
        <f t="shared" si="65"/>
        <v>-2.5895616573543112E-2</v>
      </c>
      <c r="N703" s="2">
        <v>95.5</v>
      </c>
      <c r="O703" s="2">
        <v>109.8</v>
      </c>
      <c r="P703" s="2">
        <f t="shared" si="66"/>
        <v>-14.299999999999997</v>
      </c>
      <c r="Q703">
        <v>-0.5</v>
      </c>
    </row>
    <row r="704" spans="1:17">
      <c r="A704" t="s">
        <v>54</v>
      </c>
      <c r="B704" t="s">
        <v>33</v>
      </c>
      <c r="C704">
        <v>46</v>
      </c>
      <c r="D704">
        <v>36</v>
      </c>
      <c r="E704" s="1">
        <f t="shared" si="61"/>
        <v>0.56097560975609762</v>
      </c>
      <c r="F704" s="2">
        <v>98.5</v>
      </c>
      <c r="G704" s="2">
        <v>97.8</v>
      </c>
      <c r="H704" s="2">
        <f t="shared" si="62"/>
        <v>0.70000000000000284</v>
      </c>
      <c r="I704" s="1">
        <f t="shared" si="63"/>
        <v>0.52494118140879675</v>
      </c>
      <c r="J704" s="2">
        <v>103</v>
      </c>
      <c r="K704" s="2">
        <v>102.4</v>
      </c>
      <c r="L704" s="2">
        <f t="shared" si="64"/>
        <v>0.59999999999999432</v>
      </c>
      <c r="M704" s="1">
        <f t="shared" si="65"/>
        <v>3.6034428347300862E-2</v>
      </c>
      <c r="N704" s="2">
        <v>89.6</v>
      </c>
      <c r="O704" s="2">
        <v>104</v>
      </c>
      <c r="P704" s="2">
        <f t="shared" si="66"/>
        <v>-14.400000000000006</v>
      </c>
      <c r="Q704">
        <v>-1.7</v>
      </c>
    </row>
    <row r="705" spans="1:17">
      <c r="A705" t="s">
        <v>49</v>
      </c>
      <c r="B705" t="s">
        <v>25</v>
      </c>
      <c r="C705">
        <v>33</v>
      </c>
      <c r="D705">
        <v>33</v>
      </c>
      <c r="E705" s="1">
        <f t="shared" si="61"/>
        <v>0.5</v>
      </c>
      <c r="F705" s="2">
        <v>98.4</v>
      </c>
      <c r="G705" s="2">
        <v>98.6</v>
      </c>
      <c r="H705" s="2">
        <f t="shared" si="62"/>
        <v>-0.19999999999998863</v>
      </c>
      <c r="I705" s="1">
        <f t="shared" si="63"/>
        <v>0.49289387708201343</v>
      </c>
      <c r="J705" s="2">
        <v>105.2</v>
      </c>
      <c r="K705" s="2">
        <v>105.2</v>
      </c>
      <c r="L705" s="2">
        <f t="shared" si="64"/>
        <v>0</v>
      </c>
      <c r="M705" s="1">
        <f t="shared" si="65"/>
        <v>7.1061229179865681E-3</v>
      </c>
      <c r="N705" s="2">
        <v>100</v>
      </c>
      <c r="O705" s="2">
        <v>114.4</v>
      </c>
      <c r="P705" s="2">
        <f t="shared" si="66"/>
        <v>-14.400000000000006</v>
      </c>
      <c r="Q705">
        <v>0</v>
      </c>
    </row>
    <row r="706" spans="1:17">
      <c r="A706" t="s">
        <v>41</v>
      </c>
      <c r="B706" t="s">
        <v>20</v>
      </c>
      <c r="C706">
        <v>33</v>
      </c>
      <c r="D706">
        <v>49</v>
      </c>
      <c r="E706" s="1">
        <f t="shared" si="61"/>
        <v>0.40243902439024393</v>
      </c>
      <c r="F706" s="2">
        <v>91.7</v>
      </c>
      <c r="G706" s="2">
        <v>93.6</v>
      </c>
      <c r="H706" s="2">
        <f t="shared" si="62"/>
        <v>-1.8999999999999915</v>
      </c>
      <c r="I706" s="1">
        <f t="shared" si="63"/>
        <v>0.42871102935912059</v>
      </c>
      <c r="J706" s="2">
        <v>101.5</v>
      </c>
      <c r="K706" s="2">
        <v>103.5</v>
      </c>
      <c r="L706" s="2">
        <f t="shared" si="64"/>
        <v>-2</v>
      </c>
      <c r="M706" s="1">
        <f t="shared" si="65"/>
        <v>-2.6272004968876661E-2</v>
      </c>
      <c r="N706" s="2">
        <v>95.6</v>
      </c>
      <c r="O706" s="2">
        <v>110.1</v>
      </c>
      <c r="P706" s="2">
        <f t="shared" si="66"/>
        <v>-14.5</v>
      </c>
      <c r="Q706">
        <v>-1</v>
      </c>
    </row>
    <row r="707" spans="1:17">
      <c r="A707" t="s">
        <v>49</v>
      </c>
      <c r="B707" t="s">
        <v>24</v>
      </c>
      <c r="C707">
        <v>35</v>
      </c>
      <c r="D707">
        <v>31</v>
      </c>
      <c r="E707" s="1">
        <f t="shared" si="61"/>
        <v>0.53030303030303028</v>
      </c>
      <c r="F707" s="2">
        <v>93.6</v>
      </c>
      <c r="G707" s="2">
        <v>89.4</v>
      </c>
      <c r="H707" s="2">
        <f t="shared" si="62"/>
        <v>4.1999999999999886</v>
      </c>
      <c r="I707" s="1">
        <f t="shared" si="63"/>
        <v>0.65537163395547915</v>
      </c>
      <c r="J707" s="2">
        <v>102.7</v>
      </c>
      <c r="K707" s="2">
        <v>98.2</v>
      </c>
      <c r="L707" s="2">
        <f t="shared" si="64"/>
        <v>4.5</v>
      </c>
      <c r="M707" s="1">
        <f t="shared" si="65"/>
        <v>-0.12506860365244887</v>
      </c>
      <c r="N707" s="2">
        <v>89.8</v>
      </c>
      <c r="O707" s="2">
        <v>104.4</v>
      </c>
      <c r="P707" s="2">
        <f t="shared" si="66"/>
        <v>-14.600000000000009</v>
      </c>
      <c r="Q707">
        <v>-0.6</v>
      </c>
    </row>
    <row r="708" spans="1:17">
      <c r="A708" t="s">
        <v>64</v>
      </c>
      <c r="B708" t="s">
        <v>5</v>
      </c>
      <c r="C708">
        <v>36</v>
      </c>
      <c r="D708">
        <v>46</v>
      </c>
      <c r="E708" s="1">
        <f t="shared" si="61"/>
        <v>0.43902439024390244</v>
      </c>
      <c r="F708" s="2">
        <v>118.3</v>
      </c>
      <c r="G708" s="2">
        <v>120.5</v>
      </c>
      <c r="H708" s="2">
        <f t="shared" si="62"/>
        <v>-2.2000000000000028</v>
      </c>
      <c r="I708" s="1">
        <f t="shared" si="63"/>
        <v>0.43586432994244823</v>
      </c>
      <c r="J708" s="2">
        <v>116.4</v>
      </c>
      <c r="K708" s="2">
        <v>118.4</v>
      </c>
      <c r="L708" s="2">
        <f t="shared" si="64"/>
        <v>-2</v>
      </c>
      <c r="M708" s="1">
        <f t="shared" si="65"/>
        <v>3.160060301454215E-3</v>
      </c>
      <c r="N708" s="2">
        <v>103.9</v>
      </c>
      <c r="O708" s="2">
        <v>118.7</v>
      </c>
      <c r="P708" s="2">
        <f t="shared" si="66"/>
        <v>-14.799999999999997</v>
      </c>
      <c r="Q708">
        <v>-0.9</v>
      </c>
    </row>
    <row r="709" spans="1:17">
      <c r="A709" t="s">
        <v>38</v>
      </c>
      <c r="B709" t="s">
        <v>10</v>
      </c>
      <c r="C709">
        <v>52</v>
      </c>
      <c r="D709">
        <v>30</v>
      </c>
      <c r="E709" s="1">
        <f t="shared" si="61"/>
        <v>0.63414634146341464</v>
      </c>
      <c r="F709" s="2">
        <v>105.2</v>
      </c>
      <c r="G709" s="2">
        <v>100.8</v>
      </c>
      <c r="H709" s="2">
        <f t="shared" si="62"/>
        <v>4.4000000000000057</v>
      </c>
      <c r="I709" s="1">
        <f t="shared" si="63"/>
        <v>0.64523276409206387</v>
      </c>
      <c r="J709" s="2">
        <v>110.4</v>
      </c>
      <c r="K709" s="2">
        <v>105.9</v>
      </c>
      <c r="L709" s="2">
        <f t="shared" si="64"/>
        <v>4.5</v>
      </c>
      <c r="M709" s="1">
        <f t="shared" si="65"/>
        <v>-1.1086422628649228E-2</v>
      </c>
      <c r="N709" s="2">
        <v>95.7</v>
      </c>
      <c r="O709" s="2">
        <v>110.5</v>
      </c>
      <c r="P709" s="2">
        <f t="shared" si="66"/>
        <v>-14.799999999999997</v>
      </c>
      <c r="Q709">
        <v>0.4</v>
      </c>
    </row>
    <row r="710" spans="1:17">
      <c r="A710" t="s">
        <v>39</v>
      </c>
      <c r="B710" t="s">
        <v>5</v>
      </c>
      <c r="C710">
        <v>13</v>
      </c>
      <c r="D710">
        <v>69</v>
      </c>
      <c r="E710" s="1">
        <f t="shared" si="61"/>
        <v>0.15853658536585366</v>
      </c>
      <c r="F710" s="2">
        <v>92.7</v>
      </c>
      <c r="G710" s="2">
        <v>102.5</v>
      </c>
      <c r="H710" s="2">
        <f t="shared" si="62"/>
        <v>-9.7999999999999972</v>
      </c>
      <c r="I710" s="1">
        <f t="shared" si="63"/>
        <v>0.19672021863355632</v>
      </c>
      <c r="J710" s="2">
        <v>98.8</v>
      </c>
      <c r="K710" s="2">
        <v>109</v>
      </c>
      <c r="L710" s="2">
        <f t="shared" si="64"/>
        <v>-10.200000000000003</v>
      </c>
      <c r="M710" s="1">
        <f t="shared" si="65"/>
        <v>-3.818363326770266E-2</v>
      </c>
      <c r="N710" s="2">
        <v>94.5</v>
      </c>
      <c r="O710" s="2">
        <v>109.5</v>
      </c>
      <c r="P710" s="2">
        <f t="shared" si="66"/>
        <v>-15</v>
      </c>
      <c r="Q710">
        <v>-2.4</v>
      </c>
    </row>
    <row r="711" spans="1:17">
      <c r="A711" t="s">
        <v>39</v>
      </c>
      <c r="B711" t="s">
        <v>22</v>
      </c>
      <c r="C711">
        <v>33</v>
      </c>
      <c r="D711">
        <v>49</v>
      </c>
      <c r="E711" s="1">
        <f t="shared" si="61"/>
        <v>0.40243902439024393</v>
      </c>
      <c r="F711" s="2">
        <v>97.3</v>
      </c>
      <c r="G711" s="2">
        <v>99.7</v>
      </c>
      <c r="H711" s="2">
        <f t="shared" si="62"/>
        <v>-2.4000000000000057</v>
      </c>
      <c r="I711" s="1">
        <f t="shared" si="63"/>
        <v>0.4155341313693024</v>
      </c>
      <c r="J711" s="2">
        <v>104.5</v>
      </c>
      <c r="K711" s="2">
        <v>107.2</v>
      </c>
      <c r="L711" s="2">
        <f t="shared" si="64"/>
        <v>-2.7000000000000028</v>
      </c>
      <c r="M711" s="1">
        <f t="shared" si="65"/>
        <v>-1.3095106979058468E-2</v>
      </c>
      <c r="N711" s="2">
        <v>96.2</v>
      </c>
      <c r="O711" s="2">
        <v>111.3</v>
      </c>
      <c r="P711" s="2">
        <f t="shared" si="66"/>
        <v>-15.099999999999994</v>
      </c>
      <c r="Q711">
        <v>-0.8</v>
      </c>
    </row>
    <row r="712" spans="1:17">
      <c r="A712" t="s">
        <v>60</v>
      </c>
      <c r="B712" t="s">
        <v>33</v>
      </c>
      <c r="C712">
        <v>25</v>
      </c>
      <c r="D712">
        <v>47</v>
      </c>
      <c r="E712" s="1">
        <f t="shared" si="61"/>
        <v>0.34722222222222221</v>
      </c>
      <c r="F712" s="2">
        <v>114.4</v>
      </c>
      <c r="G712" s="2">
        <v>119.1</v>
      </c>
      <c r="H712" s="2">
        <f t="shared" si="62"/>
        <v>-4.6999999999999886</v>
      </c>
      <c r="I712" s="1">
        <f t="shared" si="63"/>
        <v>0.36269789474955427</v>
      </c>
      <c r="J712" s="2">
        <v>110.2</v>
      </c>
      <c r="K712" s="2">
        <v>114.7</v>
      </c>
      <c r="L712" s="2">
        <f t="shared" si="64"/>
        <v>-4.5</v>
      </c>
      <c r="M712" s="1">
        <f t="shared" si="65"/>
        <v>-1.5475672527332063E-2</v>
      </c>
      <c r="N712" s="2">
        <v>104.3</v>
      </c>
      <c r="O712" s="2">
        <v>119.6</v>
      </c>
      <c r="P712" s="2">
        <f t="shared" si="66"/>
        <v>-15.299999999999997</v>
      </c>
      <c r="Q712">
        <v>0.2</v>
      </c>
    </row>
    <row r="713" spans="1:17">
      <c r="A713" t="s">
        <v>43</v>
      </c>
      <c r="B713" t="s">
        <v>27</v>
      </c>
      <c r="C713">
        <v>33</v>
      </c>
      <c r="D713">
        <v>49</v>
      </c>
      <c r="E713" s="1">
        <f t="shared" ref="E713:E776" si="67">+C713/(C713+D713)</f>
        <v>0.40243902439024393</v>
      </c>
      <c r="F713" s="2">
        <v>101.3</v>
      </c>
      <c r="G713" s="2">
        <v>103.1</v>
      </c>
      <c r="H713" s="2">
        <f t="shared" ref="H713:H776" si="68">+F713-G713</f>
        <v>-1.7999999999999972</v>
      </c>
      <c r="I713" s="1">
        <f t="shared" ref="I713:I776" si="69">+(F713^14)/((F713^14+G713^14))</f>
        <v>0.43866503316264344</v>
      </c>
      <c r="J713" s="2">
        <v>105.1</v>
      </c>
      <c r="K713" s="2">
        <v>106.7</v>
      </c>
      <c r="L713" s="2">
        <f t="shared" ref="L713:L776" si="70">+J713-K713</f>
        <v>-1.6000000000000085</v>
      </c>
      <c r="M713" s="1">
        <f t="shared" ref="M713:M776" si="71">+E713-I713</f>
        <v>-3.6226008772399509E-2</v>
      </c>
      <c r="N713" s="2">
        <v>93.7</v>
      </c>
      <c r="O713" s="2">
        <v>109</v>
      </c>
      <c r="P713" s="2">
        <f t="shared" ref="P713:P776" si="72">+N713-O713</f>
        <v>-15.299999999999997</v>
      </c>
      <c r="Q713">
        <v>-0.4</v>
      </c>
    </row>
    <row r="714" spans="1:17">
      <c r="A714" t="s">
        <v>65</v>
      </c>
      <c r="B714" t="s">
        <v>18</v>
      </c>
      <c r="C714">
        <v>37</v>
      </c>
      <c r="D714">
        <v>45</v>
      </c>
      <c r="E714" s="1">
        <f t="shared" si="67"/>
        <v>0.45121951219512196</v>
      </c>
      <c r="F714" s="2">
        <v>110.6</v>
      </c>
      <c r="G714" s="2">
        <v>110</v>
      </c>
      <c r="H714" s="2">
        <f t="shared" si="68"/>
        <v>0.59999999999999432</v>
      </c>
      <c r="I714" s="1">
        <f t="shared" si="69"/>
        <v>0.51902983505832589</v>
      </c>
      <c r="J714" s="2">
        <v>112.4</v>
      </c>
      <c r="K714" s="2">
        <v>112</v>
      </c>
      <c r="L714" s="2">
        <f t="shared" si="70"/>
        <v>0.40000000000000568</v>
      </c>
      <c r="M714" s="1">
        <f t="shared" si="71"/>
        <v>-6.7810322863203931E-2</v>
      </c>
      <c r="N714" s="2">
        <v>93.7</v>
      </c>
      <c r="O714" s="2">
        <v>109.1</v>
      </c>
      <c r="P714" s="2">
        <f t="shared" si="72"/>
        <v>-15.399999999999991</v>
      </c>
      <c r="Q714">
        <v>-0.7</v>
      </c>
    </row>
    <row r="715" spans="1:17">
      <c r="A715" t="s">
        <v>48</v>
      </c>
      <c r="B715" t="s">
        <v>33</v>
      </c>
      <c r="C715">
        <v>23</v>
      </c>
      <c r="D715">
        <v>59</v>
      </c>
      <c r="E715" s="1">
        <f t="shared" si="67"/>
        <v>0.28048780487804881</v>
      </c>
      <c r="F715" s="2">
        <v>97.3</v>
      </c>
      <c r="G715" s="2">
        <v>104.7</v>
      </c>
      <c r="H715" s="2">
        <f t="shared" si="68"/>
        <v>-7.4000000000000057</v>
      </c>
      <c r="I715" s="1">
        <f t="shared" si="69"/>
        <v>0.26382112647972111</v>
      </c>
      <c r="J715" s="2">
        <v>101.3</v>
      </c>
      <c r="K715" s="2">
        <v>109.1</v>
      </c>
      <c r="L715" s="2">
        <f t="shared" si="70"/>
        <v>-7.7999999999999972</v>
      </c>
      <c r="M715" s="1">
        <f t="shared" si="71"/>
        <v>1.6666678398327694E-2</v>
      </c>
      <c r="N715" s="2">
        <v>98.1</v>
      </c>
      <c r="O715" s="2">
        <v>113.7</v>
      </c>
      <c r="P715" s="2">
        <f t="shared" si="72"/>
        <v>-15.600000000000009</v>
      </c>
      <c r="Q715">
        <v>-1</v>
      </c>
    </row>
    <row r="716" spans="1:17">
      <c r="A716" t="s">
        <v>61</v>
      </c>
      <c r="B716" t="s">
        <v>14</v>
      </c>
      <c r="C716">
        <v>17</v>
      </c>
      <c r="D716">
        <v>55</v>
      </c>
      <c r="E716" s="1">
        <f t="shared" si="67"/>
        <v>0.2361111111111111</v>
      </c>
      <c r="F716" s="2">
        <v>108.8</v>
      </c>
      <c r="G716" s="2">
        <v>116.7</v>
      </c>
      <c r="H716" s="2">
        <f t="shared" si="68"/>
        <v>-7.9000000000000057</v>
      </c>
      <c r="I716" s="1">
        <f t="shared" si="69"/>
        <v>0.27262739354761001</v>
      </c>
      <c r="J716" s="2">
        <v>107</v>
      </c>
      <c r="K716" s="2">
        <v>114.4</v>
      </c>
      <c r="L716" s="2">
        <f t="shared" si="70"/>
        <v>-7.4000000000000057</v>
      </c>
      <c r="M716" s="1">
        <f t="shared" si="71"/>
        <v>-3.6516282436498904E-2</v>
      </c>
      <c r="N716" s="2">
        <v>97</v>
      </c>
      <c r="O716" s="2">
        <v>112.9</v>
      </c>
      <c r="P716" s="2">
        <f t="shared" si="72"/>
        <v>-15.900000000000006</v>
      </c>
      <c r="Q716">
        <v>-1.2</v>
      </c>
    </row>
    <row r="717" spans="1:17">
      <c r="A717" t="s">
        <v>60</v>
      </c>
      <c r="B717" t="s">
        <v>35</v>
      </c>
      <c r="C717">
        <v>34</v>
      </c>
      <c r="D717">
        <v>39</v>
      </c>
      <c r="E717" s="1">
        <f t="shared" si="67"/>
        <v>0.46575342465753422</v>
      </c>
      <c r="F717" s="2">
        <v>112.6</v>
      </c>
      <c r="G717" s="2">
        <v>113.7</v>
      </c>
      <c r="H717" s="2">
        <f t="shared" si="68"/>
        <v>-1.1000000000000085</v>
      </c>
      <c r="I717" s="1">
        <f t="shared" si="69"/>
        <v>0.46602653038070502</v>
      </c>
      <c r="J717" s="2">
        <v>108.7</v>
      </c>
      <c r="K717" s="2">
        <v>109.7</v>
      </c>
      <c r="L717" s="2">
        <f t="shared" si="70"/>
        <v>-1</v>
      </c>
      <c r="M717" s="1">
        <f t="shared" si="71"/>
        <v>-2.7310572317079673E-4</v>
      </c>
      <c r="N717" s="2">
        <v>100</v>
      </c>
      <c r="O717" s="2">
        <v>116.1</v>
      </c>
      <c r="P717" s="2">
        <f t="shared" si="72"/>
        <v>-16.099999999999994</v>
      </c>
      <c r="Q717">
        <v>-0.1</v>
      </c>
    </row>
    <row r="718" spans="1:17">
      <c r="A718" t="s">
        <v>39</v>
      </c>
      <c r="B718" t="s">
        <v>40</v>
      </c>
      <c r="C718">
        <v>18</v>
      </c>
      <c r="D718">
        <v>64</v>
      </c>
      <c r="E718" s="1">
        <f t="shared" si="67"/>
        <v>0.21951219512195122</v>
      </c>
      <c r="F718" s="2">
        <v>94.3</v>
      </c>
      <c r="G718" s="2">
        <v>100.2</v>
      </c>
      <c r="H718" s="2">
        <f t="shared" si="68"/>
        <v>-5.9000000000000057</v>
      </c>
      <c r="I718" s="1">
        <f t="shared" si="69"/>
        <v>0.29951299978674456</v>
      </c>
      <c r="J718" s="2">
        <v>99.8</v>
      </c>
      <c r="K718" s="2">
        <v>106</v>
      </c>
      <c r="L718" s="2">
        <f t="shared" si="70"/>
        <v>-6.2000000000000028</v>
      </c>
      <c r="M718" s="1">
        <f t="shared" si="71"/>
        <v>-8.000080466479334E-2</v>
      </c>
      <c r="N718" s="2">
        <v>91.4</v>
      </c>
      <c r="O718" s="2">
        <v>107.5</v>
      </c>
      <c r="P718" s="2">
        <f t="shared" si="72"/>
        <v>-16.099999999999994</v>
      </c>
      <c r="Q718">
        <v>-1.2</v>
      </c>
    </row>
    <row r="719" spans="1:17">
      <c r="A719" t="s">
        <v>62</v>
      </c>
      <c r="B719" t="s">
        <v>12</v>
      </c>
      <c r="C719">
        <v>23</v>
      </c>
      <c r="D719">
        <v>59</v>
      </c>
      <c r="E719" s="1">
        <f t="shared" si="67"/>
        <v>0.28048780487804881</v>
      </c>
      <c r="F719" s="2">
        <v>104.8</v>
      </c>
      <c r="G719" s="2">
        <v>112.5</v>
      </c>
      <c r="H719" s="2">
        <f t="shared" si="68"/>
        <v>-7.7000000000000028</v>
      </c>
      <c r="I719" s="1">
        <f t="shared" si="69"/>
        <v>0.27040035471369911</v>
      </c>
      <c r="J719" s="2">
        <v>105.6</v>
      </c>
      <c r="K719" s="2">
        <v>113.3</v>
      </c>
      <c r="L719" s="2">
        <f t="shared" si="70"/>
        <v>-7.7000000000000028</v>
      </c>
      <c r="M719" s="1">
        <f t="shared" si="71"/>
        <v>1.0087450164349698E-2</v>
      </c>
      <c r="N719" s="2">
        <v>94.1</v>
      </c>
      <c r="O719" s="2">
        <v>110.3</v>
      </c>
      <c r="P719" s="2">
        <f t="shared" si="72"/>
        <v>-16.200000000000003</v>
      </c>
      <c r="Q719">
        <v>-1.3</v>
      </c>
    </row>
    <row r="720" spans="1:17">
      <c r="A720" t="s">
        <v>43</v>
      </c>
      <c r="B720" t="s">
        <v>23</v>
      </c>
      <c r="C720">
        <v>40</v>
      </c>
      <c r="D720">
        <v>42</v>
      </c>
      <c r="E720" s="1">
        <f t="shared" si="67"/>
        <v>0.48780487804878048</v>
      </c>
      <c r="F720" s="2">
        <v>94.8</v>
      </c>
      <c r="G720" s="2">
        <v>94</v>
      </c>
      <c r="H720" s="2">
        <f t="shared" si="68"/>
        <v>0.79999999999999716</v>
      </c>
      <c r="I720" s="1">
        <f t="shared" si="69"/>
        <v>0.52962644935389902</v>
      </c>
      <c r="J720" s="2">
        <v>104.1</v>
      </c>
      <c r="K720" s="2">
        <v>103.3</v>
      </c>
      <c r="L720" s="2">
        <f t="shared" si="70"/>
        <v>0.79999999999999716</v>
      </c>
      <c r="M720" s="1">
        <f t="shared" si="71"/>
        <v>-4.1821571305118543E-2</v>
      </c>
      <c r="N720" s="2">
        <v>84.7</v>
      </c>
      <c r="O720" s="2">
        <v>100.9</v>
      </c>
      <c r="P720" s="2">
        <f t="shared" si="72"/>
        <v>-16.200000000000003</v>
      </c>
      <c r="Q720">
        <v>-0.4</v>
      </c>
    </row>
    <row r="721" spans="1:17">
      <c r="A721" t="s">
        <v>57</v>
      </c>
      <c r="B721" t="s">
        <v>17</v>
      </c>
      <c r="C721">
        <v>26</v>
      </c>
      <c r="D721">
        <v>56</v>
      </c>
      <c r="E721" s="1">
        <f t="shared" si="67"/>
        <v>0.31707317073170732</v>
      </c>
      <c r="F721" s="2">
        <v>104.6</v>
      </c>
      <c r="G721" s="2">
        <v>111.5</v>
      </c>
      <c r="H721" s="2">
        <f t="shared" si="68"/>
        <v>-6.9000000000000057</v>
      </c>
      <c r="I721" s="1">
        <f t="shared" si="69"/>
        <v>0.29021613910677707</v>
      </c>
      <c r="J721" s="2">
        <v>105.3</v>
      </c>
      <c r="K721" s="2">
        <v>112</v>
      </c>
      <c r="L721" s="2">
        <f t="shared" si="70"/>
        <v>-6.7000000000000028</v>
      </c>
      <c r="M721" s="1">
        <f t="shared" si="71"/>
        <v>2.685703162493025E-2</v>
      </c>
      <c r="N721" s="2">
        <v>106.9</v>
      </c>
      <c r="O721" s="2">
        <v>123.2</v>
      </c>
      <c r="P721" s="2">
        <f t="shared" si="72"/>
        <v>-16.299999999999997</v>
      </c>
      <c r="Q721">
        <v>-0.7</v>
      </c>
    </row>
    <row r="722" spans="1:17">
      <c r="A722" t="s">
        <v>57</v>
      </c>
      <c r="B722" t="s">
        <v>51</v>
      </c>
      <c r="C722">
        <v>20</v>
      </c>
      <c r="D722">
        <v>62</v>
      </c>
      <c r="E722" s="1">
        <f t="shared" si="67"/>
        <v>0.24390243902439024</v>
      </c>
      <c r="F722" s="2">
        <v>105.8</v>
      </c>
      <c r="G722" s="2">
        <v>112.5</v>
      </c>
      <c r="H722" s="2">
        <f t="shared" si="68"/>
        <v>-6.7000000000000028</v>
      </c>
      <c r="I722" s="1">
        <f t="shared" si="69"/>
        <v>0.29741501867468906</v>
      </c>
      <c r="J722" s="2">
        <v>103.6</v>
      </c>
      <c r="K722" s="2">
        <v>110.1</v>
      </c>
      <c r="L722" s="2">
        <f t="shared" si="70"/>
        <v>-6.5</v>
      </c>
      <c r="M722" s="1">
        <f t="shared" si="71"/>
        <v>-5.3512579650298819E-2</v>
      </c>
      <c r="N722" s="2">
        <v>99.7</v>
      </c>
      <c r="O722" s="2">
        <v>116.1</v>
      </c>
      <c r="P722" s="2">
        <f t="shared" si="72"/>
        <v>-16.399999999999991</v>
      </c>
      <c r="Q722">
        <v>-0.7</v>
      </c>
    </row>
    <row r="723" spans="1:17">
      <c r="A723" t="s">
        <v>63</v>
      </c>
      <c r="B723" t="s">
        <v>5</v>
      </c>
      <c r="C723">
        <v>41</v>
      </c>
      <c r="D723">
        <v>41</v>
      </c>
      <c r="E723" s="1">
        <f t="shared" si="67"/>
        <v>0.5</v>
      </c>
      <c r="F723" s="2">
        <v>118.4</v>
      </c>
      <c r="G723" s="2">
        <v>118.1</v>
      </c>
      <c r="H723" s="2">
        <f t="shared" si="68"/>
        <v>0.30000000000001137</v>
      </c>
      <c r="I723" s="1">
        <f t="shared" si="69"/>
        <v>0.50887856400324194</v>
      </c>
      <c r="J723" s="2">
        <v>115.5</v>
      </c>
      <c r="K723" s="2">
        <v>115.4</v>
      </c>
      <c r="L723" s="2">
        <f t="shared" si="70"/>
        <v>9.9999999999994316E-2</v>
      </c>
      <c r="M723" s="1">
        <f t="shared" si="71"/>
        <v>-8.87856400324194E-3</v>
      </c>
      <c r="N723" s="2">
        <v>102.1</v>
      </c>
      <c r="O723" s="2">
        <v>118.6</v>
      </c>
      <c r="P723" s="2">
        <f t="shared" si="72"/>
        <v>-16.5</v>
      </c>
      <c r="Q723">
        <v>-0.9</v>
      </c>
    </row>
    <row r="724" spans="1:17">
      <c r="A724" t="s">
        <v>57</v>
      </c>
      <c r="B724" t="s">
        <v>25</v>
      </c>
      <c r="C724">
        <v>24</v>
      </c>
      <c r="D724">
        <v>58</v>
      </c>
      <c r="E724" s="1">
        <f t="shared" si="67"/>
        <v>0.29268292682926828</v>
      </c>
      <c r="F724" s="2">
        <v>107.7</v>
      </c>
      <c r="G724" s="2">
        <v>113.3</v>
      </c>
      <c r="H724" s="2">
        <f t="shared" si="68"/>
        <v>-5.5999999999999943</v>
      </c>
      <c r="I724" s="1">
        <f t="shared" si="69"/>
        <v>0.3296752595531568</v>
      </c>
      <c r="J724" s="2">
        <v>106.1</v>
      </c>
      <c r="K724" s="2">
        <v>111.3</v>
      </c>
      <c r="L724" s="2">
        <f t="shared" si="70"/>
        <v>-5.2000000000000028</v>
      </c>
      <c r="M724" s="1">
        <f t="shared" si="71"/>
        <v>-3.6992332723888521E-2</v>
      </c>
      <c r="N724" s="2">
        <v>103</v>
      </c>
      <c r="O724" s="2">
        <v>119.5</v>
      </c>
      <c r="P724" s="2">
        <f t="shared" si="72"/>
        <v>-16.5</v>
      </c>
      <c r="Q724">
        <v>-1.5</v>
      </c>
    </row>
    <row r="725" spans="1:17">
      <c r="A725" t="s">
        <v>52</v>
      </c>
      <c r="B725" t="s">
        <v>20</v>
      </c>
      <c r="C725">
        <v>40</v>
      </c>
      <c r="D725">
        <v>42</v>
      </c>
      <c r="E725" s="1">
        <f t="shared" si="67"/>
        <v>0.48780487804878048</v>
      </c>
      <c r="F725" s="2">
        <v>106.9</v>
      </c>
      <c r="G725" s="2">
        <v>104.3</v>
      </c>
      <c r="H725" s="2">
        <f t="shared" si="68"/>
        <v>2.6000000000000085</v>
      </c>
      <c r="I725" s="1">
        <f t="shared" si="69"/>
        <v>0.58533524678753013</v>
      </c>
      <c r="J725" s="2">
        <v>107.7</v>
      </c>
      <c r="K725" s="2">
        <v>105.2</v>
      </c>
      <c r="L725" s="2">
        <f t="shared" si="70"/>
        <v>2.5</v>
      </c>
      <c r="M725" s="1">
        <f t="shared" si="71"/>
        <v>-9.7530368738749651E-2</v>
      </c>
      <c r="N725" s="2">
        <v>99.7</v>
      </c>
      <c r="O725" s="2">
        <v>116.3</v>
      </c>
      <c r="P725" s="2">
        <f t="shared" si="72"/>
        <v>-16.599999999999994</v>
      </c>
      <c r="Q725">
        <v>-2.2999999999999998</v>
      </c>
    </row>
    <row r="726" spans="1:17">
      <c r="A726" t="s">
        <v>65</v>
      </c>
      <c r="B726" t="s">
        <v>51</v>
      </c>
      <c r="C726">
        <v>26</v>
      </c>
      <c r="D726">
        <v>56</v>
      </c>
      <c r="E726" s="1">
        <f t="shared" si="67"/>
        <v>0.31707317073170732</v>
      </c>
      <c r="F726" s="2">
        <v>105.1</v>
      </c>
      <c r="G726" s="2">
        <v>112.2</v>
      </c>
      <c r="H726" s="2">
        <f t="shared" si="68"/>
        <v>-7.1000000000000085</v>
      </c>
      <c r="I726" s="1">
        <f t="shared" si="69"/>
        <v>0.28593897521823097</v>
      </c>
      <c r="J726" s="2">
        <v>108.1</v>
      </c>
      <c r="K726" s="2">
        <v>115.4</v>
      </c>
      <c r="L726" s="2">
        <f t="shared" si="70"/>
        <v>-7.3000000000000114</v>
      </c>
      <c r="M726" s="1">
        <f t="shared" si="71"/>
        <v>3.1134195513476348E-2</v>
      </c>
      <c r="N726" s="2">
        <v>100.3</v>
      </c>
      <c r="O726" s="2">
        <v>116.9</v>
      </c>
      <c r="P726" s="2">
        <f t="shared" si="72"/>
        <v>-16.600000000000009</v>
      </c>
      <c r="Q726">
        <v>-1.6</v>
      </c>
    </row>
    <row r="727" spans="1:17">
      <c r="A727" t="s">
        <v>47</v>
      </c>
      <c r="B727" t="s">
        <v>27</v>
      </c>
      <c r="C727">
        <v>25</v>
      </c>
      <c r="D727">
        <v>57</v>
      </c>
      <c r="E727" s="1">
        <f t="shared" si="67"/>
        <v>0.3048780487804878</v>
      </c>
      <c r="F727" s="2">
        <v>100</v>
      </c>
      <c r="G727" s="2">
        <v>104.4</v>
      </c>
      <c r="H727" s="2">
        <f t="shared" si="68"/>
        <v>-4.4000000000000057</v>
      </c>
      <c r="I727" s="1">
        <f t="shared" si="69"/>
        <v>0.35369584952753241</v>
      </c>
      <c r="J727" s="2">
        <v>104.4</v>
      </c>
      <c r="K727" s="2">
        <v>109.1</v>
      </c>
      <c r="L727" s="2">
        <f t="shared" si="70"/>
        <v>-4.6999999999999886</v>
      </c>
      <c r="M727" s="1">
        <f t="shared" si="71"/>
        <v>-4.8817800747044615E-2</v>
      </c>
      <c r="N727" s="2">
        <v>98.1</v>
      </c>
      <c r="O727" s="2">
        <v>114.8</v>
      </c>
      <c r="P727" s="2">
        <f t="shared" si="72"/>
        <v>-16.700000000000003</v>
      </c>
      <c r="Q727">
        <v>-0.9</v>
      </c>
    </row>
    <row r="728" spans="1:17">
      <c r="A728" t="s">
        <v>38</v>
      </c>
      <c r="B728" t="s">
        <v>5</v>
      </c>
      <c r="C728">
        <v>28</v>
      </c>
      <c r="D728">
        <v>54</v>
      </c>
      <c r="E728" s="1">
        <f t="shared" si="67"/>
        <v>0.34146341463414637</v>
      </c>
      <c r="F728" s="2">
        <v>92.8</v>
      </c>
      <c r="G728" s="2">
        <v>97.5</v>
      </c>
      <c r="H728" s="2">
        <f t="shared" si="68"/>
        <v>-4.7000000000000028</v>
      </c>
      <c r="I728" s="1">
        <f t="shared" si="69"/>
        <v>0.33365937867276591</v>
      </c>
      <c r="J728" s="2">
        <v>99.1</v>
      </c>
      <c r="K728" s="2">
        <v>103.9</v>
      </c>
      <c r="L728" s="2">
        <f t="shared" si="70"/>
        <v>-4.8000000000000114</v>
      </c>
      <c r="M728" s="1">
        <f t="shared" si="71"/>
        <v>7.8040359613804622E-3</v>
      </c>
      <c r="N728" s="2">
        <v>89.9</v>
      </c>
      <c r="O728" s="2">
        <v>106.7</v>
      </c>
      <c r="P728" s="2">
        <f t="shared" si="72"/>
        <v>-16.799999999999997</v>
      </c>
      <c r="Q728">
        <v>-1.9</v>
      </c>
    </row>
    <row r="729" spans="1:17">
      <c r="A729" t="s">
        <v>38</v>
      </c>
      <c r="B729" t="s">
        <v>8</v>
      </c>
      <c r="C729">
        <v>23</v>
      </c>
      <c r="D729">
        <v>59</v>
      </c>
      <c r="E729" s="1">
        <f t="shared" si="67"/>
        <v>0.28048780487804881</v>
      </c>
      <c r="F729" s="2">
        <v>89.7</v>
      </c>
      <c r="G729" s="2">
        <v>96</v>
      </c>
      <c r="H729" s="2">
        <f t="shared" si="68"/>
        <v>-6.2999999999999972</v>
      </c>
      <c r="I729" s="1">
        <f t="shared" si="69"/>
        <v>0.27882772823461371</v>
      </c>
      <c r="J729" s="2">
        <v>95.6</v>
      </c>
      <c r="K729" s="2">
        <v>102.1</v>
      </c>
      <c r="L729" s="2">
        <f t="shared" si="70"/>
        <v>-6.5</v>
      </c>
      <c r="M729" s="1">
        <f t="shared" si="71"/>
        <v>1.6600766434350933E-3</v>
      </c>
      <c r="N729" s="2">
        <v>84</v>
      </c>
      <c r="O729" s="2">
        <v>100.8</v>
      </c>
      <c r="P729" s="2">
        <f t="shared" si="72"/>
        <v>-16.799999999999997</v>
      </c>
      <c r="Q729">
        <v>-2.2000000000000002</v>
      </c>
    </row>
    <row r="730" spans="1:17">
      <c r="A730" t="s">
        <v>36</v>
      </c>
      <c r="B730" t="s">
        <v>21</v>
      </c>
      <c r="C730">
        <v>49</v>
      </c>
      <c r="D730">
        <v>33</v>
      </c>
      <c r="E730" s="1">
        <f t="shared" si="67"/>
        <v>0.59756097560975607</v>
      </c>
      <c r="F730" s="2">
        <v>95.4</v>
      </c>
      <c r="G730" s="2">
        <v>90.1</v>
      </c>
      <c r="H730" s="2">
        <f t="shared" si="68"/>
        <v>5.3000000000000114</v>
      </c>
      <c r="I730" s="1">
        <f t="shared" si="69"/>
        <v>0.69002106739686153</v>
      </c>
      <c r="J730" s="2">
        <v>102.1</v>
      </c>
      <c r="K730" s="2">
        <v>96.6</v>
      </c>
      <c r="L730" s="2">
        <f t="shared" si="70"/>
        <v>5.5</v>
      </c>
      <c r="M730" s="1">
        <f t="shared" si="71"/>
        <v>-9.2460091787105458E-2</v>
      </c>
      <c r="N730" s="2">
        <v>83.1</v>
      </c>
      <c r="O730" s="2">
        <v>100</v>
      </c>
      <c r="P730" s="2">
        <f t="shared" si="72"/>
        <v>-16.900000000000006</v>
      </c>
      <c r="Q730">
        <v>-0.7</v>
      </c>
    </row>
    <row r="731" spans="1:17">
      <c r="A731" t="s">
        <v>60</v>
      </c>
      <c r="B731" t="s">
        <v>18</v>
      </c>
      <c r="C731">
        <v>44</v>
      </c>
      <c r="D731">
        <v>29</v>
      </c>
      <c r="E731" s="1">
        <f t="shared" si="67"/>
        <v>0.60273972602739723</v>
      </c>
      <c r="F731" s="2">
        <v>112</v>
      </c>
      <c r="G731" s="2">
        <v>109.1</v>
      </c>
      <c r="H731" s="2">
        <f t="shared" si="68"/>
        <v>2.9000000000000057</v>
      </c>
      <c r="I731" s="1">
        <f t="shared" si="69"/>
        <v>0.5908005274630016</v>
      </c>
      <c r="J731" s="2">
        <v>111.9</v>
      </c>
      <c r="K731" s="2">
        <v>109.3</v>
      </c>
      <c r="L731" s="2">
        <f t="shared" si="70"/>
        <v>2.6000000000000085</v>
      </c>
      <c r="M731" s="1">
        <f t="shared" si="71"/>
        <v>1.1939198564395626E-2</v>
      </c>
      <c r="N731" s="2">
        <v>98.1</v>
      </c>
      <c r="O731" s="2">
        <v>115.1</v>
      </c>
      <c r="P731" s="2">
        <f t="shared" si="72"/>
        <v>-17</v>
      </c>
      <c r="Q731">
        <v>-1.2</v>
      </c>
    </row>
    <row r="732" spans="1:17">
      <c r="A732" t="s">
        <v>47</v>
      </c>
      <c r="B732" t="s">
        <v>24</v>
      </c>
      <c r="C732">
        <v>27</v>
      </c>
      <c r="D732">
        <v>55</v>
      </c>
      <c r="E732" s="1">
        <f t="shared" si="67"/>
        <v>0.32926829268292684</v>
      </c>
      <c r="F732" s="2">
        <v>97.7</v>
      </c>
      <c r="G732" s="2">
        <v>101.6</v>
      </c>
      <c r="H732" s="2">
        <f t="shared" si="68"/>
        <v>-3.8999999999999915</v>
      </c>
      <c r="I732" s="1">
        <f t="shared" si="69"/>
        <v>0.36633141190976742</v>
      </c>
      <c r="J732" s="2">
        <v>104.8</v>
      </c>
      <c r="K732" s="2">
        <v>108.9</v>
      </c>
      <c r="L732" s="2">
        <f t="shared" si="70"/>
        <v>-4.1000000000000085</v>
      </c>
      <c r="M732" s="1">
        <f t="shared" si="71"/>
        <v>-3.706311922684058E-2</v>
      </c>
      <c r="N732" s="2">
        <v>93.9</v>
      </c>
      <c r="O732" s="2">
        <v>111.1</v>
      </c>
      <c r="P732" s="2">
        <f t="shared" si="72"/>
        <v>-17.199999999999989</v>
      </c>
      <c r="Q732">
        <v>-1.4</v>
      </c>
    </row>
    <row r="733" spans="1:17">
      <c r="A733" t="s">
        <v>36</v>
      </c>
      <c r="B733" t="s">
        <v>18</v>
      </c>
      <c r="C733">
        <v>25</v>
      </c>
      <c r="D733">
        <v>57</v>
      </c>
      <c r="E733" s="1">
        <f t="shared" si="67"/>
        <v>0.3048780487804878</v>
      </c>
      <c r="F733" s="2">
        <v>85.6</v>
      </c>
      <c r="G733" s="2">
        <v>90.6</v>
      </c>
      <c r="H733" s="2">
        <f t="shared" si="68"/>
        <v>-5</v>
      </c>
      <c r="I733" s="1">
        <f t="shared" si="69"/>
        <v>0.31114644436616246</v>
      </c>
      <c r="J733" s="2">
        <v>95.4</v>
      </c>
      <c r="K733" s="2">
        <v>101.2</v>
      </c>
      <c r="L733" s="2">
        <f t="shared" si="70"/>
        <v>-5.7999999999999972</v>
      </c>
      <c r="M733" s="1">
        <f t="shared" si="71"/>
        <v>-6.2683955856746576E-3</v>
      </c>
      <c r="N733" s="2">
        <v>85.2</v>
      </c>
      <c r="O733" s="2">
        <v>102.5</v>
      </c>
      <c r="P733" s="2">
        <f t="shared" si="72"/>
        <v>-17.299999999999997</v>
      </c>
      <c r="Q733">
        <v>-0.9</v>
      </c>
    </row>
    <row r="734" spans="1:17">
      <c r="A734" t="s">
        <v>52</v>
      </c>
      <c r="B734" t="s">
        <v>23</v>
      </c>
      <c r="C734">
        <v>23</v>
      </c>
      <c r="D734">
        <v>59</v>
      </c>
      <c r="E734" s="1">
        <f t="shared" si="67"/>
        <v>0.28048780487804881</v>
      </c>
      <c r="F734" s="2">
        <v>96.5</v>
      </c>
      <c r="G734" s="2">
        <v>102</v>
      </c>
      <c r="H734" s="2">
        <f t="shared" si="68"/>
        <v>-5.5</v>
      </c>
      <c r="I734" s="1">
        <f t="shared" si="69"/>
        <v>0.31517888985534531</v>
      </c>
      <c r="J734" s="2">
        <v>101</v>
      </c>
      <c r="K734" s="2">
        <v>106.6</v>
      </c>
      <c r="L734" s="2">
        <f t="shared" si="70"/>
        <v>-5.5999999999999943</v>
      </c>
      <c r="M734" s="1">
        <f t="shared" si="71"/>
        <v>-3.4691084977296505E-2</v>
      </c>
      <c r="N734" s="2">
        <v>87.9</v>
      </c>
      <c r="O734" s="2">
        <v>105.2</v>
      </c>
      <c r="P734" s="2">
        <f t="shared" si="72"/>
        <v>-17.299999999999997</v>
      </c>
      <c r="Q734">
        <v>-0.3</v>
      </c>
    </row>
    <row r="735" spans="1:17">
      <c r="A735" t="s">
        <v>50</v>
      </c>
      <c r="B735" t="s">
        <v>23</v>
      </c>
      <c r="C735">
        <v>20</v>
      </c>
      <c r="D735">
        <v>62</v>
      </c>
      <c r="E735" s="1">
        <f t="shared" si="67"/>
        <v>0.24390243902439024</v>
      </c>
      <c r="F735" s="2">
        <v>94.1</v>
      </c>
      <c r="G735" s="2">
        <v>101.1</v>
      </c>
      <c r="H735" s="2">
        <f t="shared" si="68"/>
        <v>-7</v>
      </c>
      <c r="I735" s="1">
        <f t="shared" si="69"/>
        <v>0.26805187630664556</v>
      </c>
      <c r="J735" s="2">
        <v>100.9</v>
      </c>
      <c r="K735" s="2">
        <v>108.4</v>
      </c>
      <c r="L735" s="2">
        <f t="shared" si="70"/>
        <v>-7.5</v>
      </c>
      <c r="M735" s="1">
        <f t="shared" si="71"/>
        <v>-2.4149437282255326E-2</v>
      </c>
      <c r="N735" s="2">
        <v>92.7</v>
      </c>
      <c r="O735" s="2">
        <v>110.1</v>
      </c>
      <c r="P735" s="2">
        <f t="shared" si="72"/>
        <v>-17.399999999999991</v>
      </c>
      <c r="Q735">
        <v>-1.4</v>
      </c>
    </row>
    <row r="736" spans="1:17">
      <c r="A736" t="s">
        <v>45</v>
      </c>
      <c r="B736" t="s">
        <v>13</v>
      </c>
      <c r="C736">
        <v>29</v>
      </c>
      <c r="D736">
        <v>53</v>
      </c>
      <c r="E736" s="1">
        <f t="shared" si="67"/>
        <v>0.35365853658536583</v>
      </c>
      <c r="F736" s="2">
        <v>108.6</v>
      </c>
      <c r="G736" s="2">
        <v>112.3</v>
      </c>
      <c r="H736" s="2">
        <f t="shared" si="68"/>
        <v>-3.7000000000000028</v>
      </c>
      <c r="I736" s="1">
        <f t="shared" si="69"/>
        <v>0.38484482323315583</v>
      </c>
      <c r="J736" s="2">
        <v>108</v>
      </c>
      <c r="K736" s="2">
        <v>111.7</v>
      </c>
      <c r="L736" s="2">
        <f t="shared" si="70"/>
        <v>-3.7000000000000028</v>
      </c>
      <c r="M736" s="1">
        <f t="shared" si="71"/>
        <v>-3.1186286647789996E-2</v>
      </c>
      <c r="N736" s="2">
        <v>93.7</v>
      </c>
      <c r="O736" s="2">
        <v>111.1</v>
      </c>
      <c r="P736" s="2">
        <f t="shared" si="72"/>
        <v>-17.399999999999991</v>
      </c>
      <c r="Q736">
        <v>-0.7</v>
      </c>
    </row>
    <row r="737" spans="1:17">
      <c r="A737" t="s">
        <v>49</v>
      </c>
      <c r="B737" t="s">
        <v>21</v>
      </c>
      <c r="C737">
        <v>22</v>
      </c>
      <c r="D737">
        <v>44</v>
      </c>
      <c r="E737" s="1">
        <f t="shared" si="67"/>
        <v>0.33333333333333331</v>
      </c>
      <c r="F737" s="2">
        <v>93.1</v>
      </c>
      <c r="G737" s="2">
        <v>99.1</v>
      </c>
      <c r="H737" s="2">
        <f t="shared" si="68"/>
        <v>-6</v>
      </c>
      <c r="I737" s="1">
        <f t="shared" si="69"/>
        <v>0.29434506272936611</v>
      </c>
      <c r="J737" s="2">
        <v>101.8</v>
      </c>
      <c r="K737" s="2">
        <v>108.1</v>
      </c>
      <c r="L737" s="2">
        <f t="shared" si="70"/>
        <v>-6.2999999999999972</v>
      </c>
      <c r="M737" s="1">
        <f t="shared" si="71"/>
        <v>3.8988270603967201E-2</v>
      </c>
      <c r="N737" s="2">
        <v>102.3</v>
      </c>
      <c r="O737" s="2">
        <v>119.7</v>
      </c>
      <c r="P737" s="2">
        <f t="shared" si="72"/>
        <v>-17.400000000000006</v>
      </c>
      <c r="Q737">
        <v>-1.4</v>
      </c>
    </row>
    <row r="738" spans="1:17">
      <c r="A738" t="s">
        <v>4</v>
      </c>
      <c r="B738" t="s">
        <v>5</v>
      </c>
      <c r="C738">
        <v>25</v>
      </c>
      <c r="D738">
        <v>57</v>
      </c>
      <c r="E738" s="1">
        <f t="shared" si="67"/>
        <v>0.3048780487804878</v>
      </c>
      <c r="F738" s="2">
        <v>91</v>
      </c>
      <c r="G738" s="2">
        <v>96.2</v>
      </c>
      <c r="H738" s="2">
        <f t="shared" si="68"/>
        <v>-5.2000000000000028</v>
      </c>
      <c r="I738" s="1">
        <f t="shared" si="69"/>
        <v>0.31475585496453756</v>
      </c>
      <c r="J738" s="2">
        <v>96.9</v>
      </c>
      <c r="K738" s="2">
        <v>102.4</v>
      </c>
      <c r="L738" s="2">
        <f t="shared" si="70"/>
        <v>-5.5</v>
      </c>
      <c r="M738" s="1">
        <f t="shared" si="71"/>
        <v>-9.8778061840497644E-3</v>
      </c>
      <c r="N738" s="2">
        <v>87</v>
      </c>
      <c r="O738" s="2">
        <v>104.5</v>
      </c>
      <c r="P738" s="2">
        <f t="shared" si="72"/>
        <v>-17.5</v>
      </c>
      <c r="Q738">
        <v>-0.9</v>
      </c>
    </row>
    <row r="739" spans="1:17">
      <c r="A739" t="s">
        <v>49</v>
      </c>
      <c r="B739" t="s">
        <v>13</v>
      </c>
      <c r="C739">
        <v>23</v>
      </c>
      <c r="D739">
        <v>43</v>
      </c>
      <c r="E739" s="1">
        <f t="shared" si="67"/>
        <v>0.34848484848484851</v>
      </c>
      <c r="F739" s="2">
        <v>97.8</v>
      </c>
      <c r="G739" s="2">
        <v>101.2</v>
      </c>
      <c r="H739" s="2">
        <f t="shared" si="68"/>
        <v>-3.4000000000000057</v>
      </c>
      <c r="I739" s="1">
        <f t="shared" si="69"/>
        <v>0.38262091434510453</v>
      </c>
      <c r="J739" s="2">
        <v>103.9</v>
      </c>
      <c r="K739" s="2">
        <v>107.3</v>
      </c>
      <c r="L739" s="2">
        <f t="shared" si="70"/>
        <v>-3.3999999999999915</v>
      </c>
      <c r="M739" s="1">
        <f t="shared" si="71"/>
        <v>-3.4136065860256026E-2</v>
      </c>
      <c r="N739" s="2">
        <v>89</v>
      </c>
      <c r="O739" s="2">
        <v>106.6</v>
      </c>
      <c r="P739" s="2">
        <f t="shared" si="72"/>
        <v>-17.599999999999994</v>
      </c>
      <c r="Q739">
        <v>-1</v>
      </c>
    </row>
    <row r="740" spans="1:17">
      <c r="A740" t="s">
        <v>65</v>
      </c>
      <c r="B740" t="s">
        <v>30</v>
      </c>
      <c r="C740">
        <v>30</v>
      </c>
      <c r="D740">
        <v>52</v>
      </c>
      <c r="E740" s="1">
        <f t="shared" si="67"/>
        <v>0.36585365853658536</v>
      </c>
      <c r="F740" s="2">
        <v>110.9</v>
      </c>
      <c r="G740" s="2">
        <v>115.2</v>
      </c>
      <c r="H740" s="2">
        <f t="shared" si="68"/>
        <v>-4.2999999999999972</v>
      </c>
      <c r="I740" s="1">
        <f t="shared" si="69"/>
        <v>0.36991722047205011</v>
      </c>
      <c r="J740" s="2">
        <v>109.6</v>
      </c>
      <c r="K740" s="2">
        <v>113.6</v>
      </c>
      <c r="L740" s="2">
        <f t="shared" si="70"/>
        <v>-4</v>
      </c>
      <c r="M740" s="1">
        <f t="shared" si="71"/>
        <v>-4.0635619354647545E-3</v>
      </c>
      <c r="N740" s="2">
        <v>99.6</v>
      </c>
      <c r="O740" s="2">
        <v>117.6</v>
      </c>
      <c r="P740" s="2">
        <f t="shared" si="72"/>
        <v>-18</v>
      </c>
      <c r="Q740">
        <v>-0.8</v>
      </c>
    </row>
    <row r="741" spans="1:17">
      <c r="A741" t="s">
        <v>66</v>
      </c>
      <c r="B741" t="s">
        <v>53</v>
      </c>
      <c r="C741">
        <v>20</v>
      </c>
      <c r="D741">
        <v>45</v>
      </c>
      <c r="E741" s="1">
        <f t="shared" si="67"/>
        <v>0.30769230769230771</v>
      </c>
      <c r="F741" s="2">
        <v>115.2</v>
      </c>
      <c r="G741" s="2">
        <v>120.2</v>
      </c>
      <c r="H741" s="2">
        <f t="shared" si="68"/>
        <v>-5</v>
      </c>
      <c r="I741" s="1">
        <f t="shared" si="69"/>
        <v>0.35552926815627678</v>
      </c>
      <c r="J741" s="2">
        <v>112.8</v>
      </c>
      <c r="K741" s="2">
        <v>117.8</v>
      </c>
      <c r="L741" s="2">
        <f t="shared" si="70"/>
        <v>-5</v>
      </c>
      <c r="M741" s="1">
        <f t="shared" si="71"/>
        <v>-4.7836960463969069E-2</v>
      </c>
      <c r="N741" s="2">
        <v>105.7</v>
      </c>
      <c r="O741" s="2">
        <v>123.7</v>
      </c>
      <c r="P741" s="2">
        <f t="shared" si="72"/>
        <v>-18</v>
      </c>
      <c r="Q741" s="2">
        <v>-1.1000000000000001</v>
      </c>
    </row>
    <row r="742" spans="1:17">
      <c r="A742" t="s">
        <v>63</v>
      </c>
      <c r="B742" t="s">
        <v>12</v>
      </c>
      <c r="C742">
        <v>17</v>
      </c>
      <c r="D742">
        <v>65</v>
      </c>
      <c r="E742" s="1">
        <f t="shared" si="67"/>
        <v>0.2073170731707317</v>
      </c>
      <c r="F742" s="2">
        <v>110.3</v>
      </c>
      <c r="G742" s="2">
        <v>118.5</v>
      </c>
      <c r="H742" s="2">
        <f t="shared" si="68"/>
        <v>-8.2000000000000028</v>
      </c>
      <c r="I742" s="1">
        <f t="shared" si="69"/>
        <v>0.26817012920716587</v>
      </c>
      <c r="J742" s="2">
        <v>109.9</v>
      </c>
      <c r="K742" s="2">
        <v>117.8</v>
      </c>
      <c r="L742" s="2">
        <f t="shared" si="70"/>
        <v>-7.8999999999999915</v>
      </c>
      <c r="M742" s="1">
        <f t="shared" si="71"/>
        <v>-6.0853056036434178E-2</v>
      </c>
      <c r="N742" s="2">
        <v>104.7</v>
      </c>
      <c r="O742" s="2">
        <v>122.7</v>
      </c>
      <c r="P742" s="2">
        <f t="shared" si="72"/>
        <v>-18</v>
      </c>
      <c r="Q742">
        <v>-2.1</v>
      </c>
    </row>
    <row r="743" spans="1:17">
      <c r="A743" t="s">
        <v>66</v>
      </c>
      <c r="B743" t="s">
        <v>35</v>
      </c>
      <c r="C743">
        <v>23</v>
      </c>
      <c r="D743">
        <v>39</v>
      </c>
      <c r="E743" s="1">
        <f t="shared" si="67"/>
        <v>0.37096774193548387</v>
      </c>
      <c r="F743" s="2">
        <v>115.7</v>
      </c>
      <c r="G743" s="2">
        <v>117.8</v>
      </c>
      <c r="H743" s="2">
        <f t="shared" si="68"/>
        <v>-2.0999999999999943</v>
      </c>
      <c r="I743" s="1">
        <f t="shared" si="69"/>
        <v>0.43737388346402561</v>
      </c>
      <c r="J743" s="2">
        <v>113.5</v>
      </c>
      <c r="K743" s="2">
        <v>115.8</v>
      </c>
      <c r="L743" s="2">
        <f t="shared" si="70"/>
        <v>-2.2999999999999972</v>
      </c>
      <c r="M743" s="1">
        <f t="shared" si="71"/>
        <v>-6.640614152854174E-2</v>
      </c>
      <c r="N743" s="2">
        <v>100.4</v>
      </c>
      <c r="O743" s="2">
        <v>118.6</v>
      </c>
      <c r="P743" s="2">
        <f t="shared" si="72"/>
        <v>-18.199999999999989</v>
      </c>
      <c r="Q743" s="2">
        <v>-1.1000000000000001</v>
      </c>
    </row>
    <row r="744" spans="1:17">
      <c r="A744" t="s">
        <v>48</v>
      </c>
      <c r="B744" t="s">
        <v>27</v>
      </c>
      <c r="C744">
        <v>24</v>
      </c>
      <c r="D744">
        <v>58</v>
      </c>
      <c r="E744" s="1">
        <f t="shared" si="67"/>
        <v>0.29268292682926828</v>
      </c>
      <c r="F744" s="2">
        <v>99.4</v>
      </c>
      <c r="G744" s="2">
        <v>104.7</v>
      </c>
      <c r="H744" s="2">
        <f t="shared" si="68"/>
        <v>-5.2999999999999972</v>
      </c>
      <c r="I744" s="1">
        <f t="shared" si="69"/>
        <v>0.32579671565672774</v>
      </c>
      <c r="J744" s="2">
        <v>102.9</v>
      </c>
      <c r="K744" s="2">
        <v>108.4</v>
      </c>
      <c r="L744" s="2">
        <f t="shared" si="70"/>
        <v>-5.5</v>
      </c>
      <c r="M744" s="1">
        <f t="shared" si="71"/>
        <v>-3.3113788827459467E-2</v>
      </c>
      <c r="N744" s="2">
        <v>88.3</v>
      </c>
      <c r="O744" s="2">
        <v>107</v>
      </c>
      <c r="P744" s="2">
        <f t="shared" si="72"/>
        <v>-18.700000000000003</v>
      </c>
      <c r="Q744">
        <v>-0.3</v>
      </c>
    </row>
    <row r="745" spans="1:17">
      <c r="A745" t="s">
        <v>45</v>
      </c>
      <c r="B745" t="s">
        <v>20</v>
      </c>
      <c r="C745">
        <v>24</v>
      </c>
      <c r="D745">
        <v>58</v>
      </c>
      <c r="E745" s="1">
        <f t="shared" si="67"/>
        <v>0.29268292682926828</v>
      </c>
      <c r="F745" s="2">
        <v>97.8</v>
      </c>
      <c r="G745" s="2">
        <v>102.7</v>
      </c>
      <c r="H745" s="2">
        <f t="shared" si="68"/>
        <v>-4.9000000000000057</v>
      </c>
      <c r="I745" s="1">
        <f t="shared" si="69"/>
        <v>0.33527428063081338</v>
      </c>
      <c r="J745" s="2">
        <v>104.9</v>
      </c>
      <c r="K745" s="2">
        <v>109.9</v>
      </c>
      <c r="L745" s="2">
        <f t="shared" si="70"/>
        <v>-5</v>
      </c>
      <c r="M745" s="1">
        <f t="shared" si="71"/>
        <v>-4.2591353801545107E-2</v>
      </c>
      <c r="N745" s="2">
        <v>100.9</v>
      </c>
      <c r="O745" s="2">
        <v>119.7</v>
      </c>
      <c r="P745" s="2">
        <f t="shared" si="72"/>
        <v>-18.799999999999997</v>
      </c>
      <c r="Q745">
        <v>-1</v>
      </c>
    </row>
    <row r="746" spans="1:17">
      <c r="A746" t="s">
        <v>47</v>
      </c>
      <c r="B746" t="s">
        <v>13</v>
      </c>
      <c r="C746">
        <v>26</v>
      </c>
      <c r="D746">
        <v>56</v>
      </c>
      <c r="E746" s="1">
        <f t="shared" si="67"/>
        <v>0.31707317073170732</v>
      </c>
      <c r="F746" s="2">
        <v>108.8</v>
      </c>
      <c r="G746" s="2">
        <v>112.4</v>
      </c>
      <c r="H746" s="2">
        <f t="shared" si="68"/>
        <v>-3.6000000000000085</v>
      </c>
      <c r="I746" s="1">
        <f t="shared" si="69"/>
        <v>0.38799774425602013</v>
      </c>
      <c r="J746" s="2">
        <v>107</v>
      </c>
      <c r="K746" s="2">
        <v>110.3</v>
      </c>
      <c r="L746" s="2">
        <f t="shared" si="70"/>
        <v>-3.2999999999999972</v>
      </c>
      <c r="M746" s="1">
        <f t="shared" si="71"/>
        <v>-7.0924573524312806E-2</v>
      </c>
      <c r="N746" s="2">
        <v>94.4</v>
      </c>
      <c r="O746" s="2">
        <v>113.4</v>
      </c>
      <c r="P746" s="2">
        <f t="shared" si="72"/>
        <v>-19</v>
      </c>
      <c r="Q746">
        <v>1.4</v>
      </c>
    </row>
    <row r="747" spans="1:17">
      <c r="A747" t="s">
        <v>55</v>
      </c>
      <c r="B747" t="s">
        <v>31</v>
      </c>
      <c r="C747">
        <v>40</v>
      </c>
      <c r="D747">
        <v>42</v>
      </c>
      <c r="E747" s="1">
        <f t="shared" si="67"/>
        <v>0.48780487804878048</v>
      </c>
      <c r="F747" s="2">
        <v>97.7</v>
      </c>
      <c r="G747" s="2">
        <v>95.9</v>
      </c>
      <c r="H747" s="2">
        <f t="shared" si="68"/>
        <v>1.7999999999999972</v>
      </c>
      <c r="I747" s="1">
        <f t="shared" si="69"/>
        <v>0.56471939759532841</v>
      </c>
      <c r="J747" s="2">
        <v>105</v>
      </c>
      <c r="K747" s="2">
        <v>103.2</v>
      </c>
      <c r="L747" s="2">
        <f t="shared" si="70"/>
        <v>1.7999999999999972</v>
      </c>
      <c r="M747" s="1">
        <f t="shared" si="71"/>
        <v>-7.6914519546547933E-2</v>
      </c>
      <c r="N747" s="2">
        <v>99.5</v>
      </c>
      <c r="O747" s="2">
        <v>118.9</v>
      </c>
      <c r="P747" s="2">
        <f t="shared" si="72"/>
        <v>-19.400000000000006</v>
      </c>
      <c r="Q747">
        <v>0.5</v>
      </c>
    </row>
    <row r="748" spans="1:17">
      <c r="A748" t="s">
        <v>39</v>
      </c>
      <c r="B748" t="s">
        <v>37</v>
      </c>
      <c r="C748">
        <v>18</v>
      </c>
      <c r="D748">
        <v>64</v>
      </c>
      <c r="E748" s="1">
        <f t="shared" si="67"/>
        <v>0.21951219512195122</v>
      </c>
      <c r="F748" s="2">
        <v>88.4</v>
      </c>
      <c r="G748" s="2">
        <v>95.5</v>
      </c>
      <c r="H748" s="2">
        <f t="shared" si="68"/>
        <v>-7.0999999999999943</v>
      </c>
      <c r="I748" s="1">
        <f t="shared" si="69"/>
        <v>0.25321093551837054</v>
      </c>
      <c r="J748" s="2">
        <v>98.2</v>
      </c>
      <c r="K748" s="2">
        <v>105.9</v>
      </c>
      <c r="L748" s="2">
        <f t="shared" si="70"/>
        <v>-7.7000000000000028</v>
      </c>
      <c r="M748" s="1">
        <f t="shared" si="71"/>
        <v>-3.3698740396419319E-2</v>
      </c>
      <c r="N748" s="2">
        <v>88</v>
      </c>
      <c r="O748" s="2">
        <v>107.5</v>
      </c>
      <c r="P748" s="2">
        <f t="shared" si="72"/>
        <v>-19.5</v>
      </c>
      <c r="Q748">
        <v>-0.1</v>
      </c>
    </row>
    <row r="749" spans="1:17">
      <c r="A749" t="s">
        <v>34</v>
      </c>
      <c r="B749" t="s">
        <v>13</v>
      </c>
      <c r="C749">
        <v>21</v>
      </c>
      <c r="D749">
        <v>61</v>
      </c>
      <c r="E749" s="1">
        <f t="shared" si="67"/>
        <v>0.25609756097560976</v>
      </c>
      <c r="F749" s="2">
        <v>97.7</v>
      </c>
      <c r="G749" s="2">
        <v>103.1</v>
      </c>
      <c r="H749" s="2">
        <f t="shared" si="68"/>
        <v>-5.3999999999999915</v>
      </c>
      <c r="I749" s="1">
        <f t="shared" si="69"/>
        <v>0.32013104307048473</v>
      </c>
      <c r="J749" s="2">
        <v>101.5</v>
      </c>
      <c r="K749" s="2">
        <v>107.1</v>
      </c>
      <c r="L749" s="2">
        <f t="shared" si="70"/>
        <v>-5.5999999999999943</v>
      </c>
      <c r="M749" s="1">
        <f t="shared" si="71"/>
        <v>-6.4033482094874972E-2</v>
      </c>
      <c r="N749" s="2">
        <v>85.4</v>
      </c>
      <c r="O749" s="2">
        <v>105.3</v>
      </c>
      <c r="P749" s="2">
        <f t="shared" si="72"/>
        <v>-19.899999999999991</v>
      </c>
      <c r="Q749">
        <v>0</v>
      </c>
    </row>
    <row r="750" spans="1:17">
      <c r="A750" t="s">
        <v>47</v>
      </c>
      <c r="B750" t="s">
        <v>15</v>
      </c>
      <c r="C750">
        <v>32</v>
      </c>
      <c r="D750">
        <v>50</v>
      </c>
      <c r="E750" s="1">
        <f t="shared" si="67"/>
        <v>0.3902439024390244</v>
      </c>
      <c r="F750" s="2">
        <v>100.8</v>
      </c>
      <c r="G750" s="2">
        <v>103.8</v>
      </c>
      <c r="H750" s="2">
        <f t="shared" si="68"/>
        <v>-3</v>
      </c>
      <c r="I750" s="1">
        <f t="shared" si="69"/>
        <v>0.39877147110517808</v>
      </c>
      <c r="J750" s="2">
        <v>103</v>
      </c>
      <c r="K750" s="2">
        <v>106</v>
      </c>
      <c r="L750" s="2">
        <f t="shared" si="70"/>
        <v>-3</v>
      </c>
      <c r="M750" s="1">
        <f t="shared" si="71"/>
        <v>-8.5275686661536731E-3</v>
      </c>
      <c r="N750" s="2">
        <v>84</v>
      </c>
      <c r="O750" s="2">
        <v>103.9</v>
      </c>
      <c r="P750" s="2">
        <f t="shared" si="72"/>
        <v>-19.900000000000006</v>
      </c>
      <c r="Q750">
        <v>0.2</v>
      </c>
    </row>
    <row r="751" spans="1:17">
      <c r="A751" t="s">
        <v>48</v>
      </c>
      <c r="B751" t="s">
        <v>30</v>
      </c>
      <c r="C751">
        <v>22</v>
      </c>
      <c r="D751">
        <v>60</v>
      </c>
      <c r="E751" s="1">
        <f t="shared" si="67"/>
        <v>0.26829268292682928</v>
      </c>
      <c r="F751" s="2">
        <v>99.1</v>
      </c>
      <c r="G751" s="2">
        <v>105.4</v>
      </c>
      <c r="H751" s="2">
        <f t="shared" si="68"/>
        <v>-6.3000000000000114</v>
      </c>
      <c r="I751" s="1">
        <f t="shared" si="69"/>
        <v>0.29674116981682536</v>
      </c>
      <c r="J751" s="2">
        <v>105.2</v>
      </c>
      <c r="K751" s="2">
        <v>111.7</v>
      </c>
      <c r="L751" s="2">
        <f t="shared" si="70"/>
        <v>-6.5</v>
      </c>
      <c r="M751" s="1">
        <f t="shared" si="71"/>
        <v>-2.8448486889996072E-2</v>
      </c>
      <c r="N751" s="2">
        <v>93.3</v>
      </c>
      <c r="O751" s="2">
        <v>113.2</v>
      </c>
      <c r="P751" s="2">
        <f t="shared" si="72"/>
        <v>-19.900000000000006</v>
      </c>
      <c r="Q751">
        <v>-1.7</v>
      </c>
    </row>
    <row r="752" spans="1:17">
      <c r="A752" t="s">
        <v>45</v>
      </c>
      <c r="B752" t="s">
        <v>33</v>
      </c>
      <c r="C752">
        <v>19</v>
      </c>
      <c r="D752">
        <v>63</v>
      </c>
      <c r="E752" s="1">
        <f t="shared" si="67"/>
        <v>0.23170731707317074</v>
      </c>
      <c r="F752" s="2">
        <v>96.1</v>
      </c>
      <c r="G752" s="2">
        <v>103.5</v>
      </c>
      <c r="H752" s="2">
        <f t="shared" si="68"/>
        <v>-7.4000000000000057</v>
      </c>
      <c r="I752" s="1">
        <f t="shared" si="69"/>
        <v>0.26142945333120382</v>
      </c>
      <c r="J752" s="2">
        <v>104</v>
      </c>
      <c r="K752" s="2">
        <v>112.1</v>
      </c>
      <c r="L752" s="2">
        <f t="shared" si="70"/>
        <v>-8.0999999999999943</v>
      </c>
      <c r="M752" s="1">
        <f t="shared" si="71"/>
        <v>-2.9722136258033077E-2</v>
      </c>
      <c r="N752" s="2">
        <v>98.5</v>
      </c>
      <c r="O752" s="2">
        <v>118.7</v>
      </c>
      <c r="P752" s="2">
        <f t="shared" si="72"/>
        <v>-20.200000000000003</v>
      </c>
      <c r="Q752">
        <v>-1.6</v>
      </c>
    </row>
    <row r="753" spans="1:17">
      <c r="A753" t="s">
        <v>50</v>
      </c>
      <c r="B753" t="s">
        <v>33</v>
      </c>
      <c r="C753">
        <v>29</v>
      </c>
      <c r="D753">
        <v>53</v>
      </c>
      <c r="E753" s="1">
        <f t="shared" si="67"/>
        <v>0.35365853658536583</v>
      </c>
      <c r="F753" s="2">
        <v>93.2</v>
      </c>
      <c r="G753" s="2">
        <v>95.8</v>
      </c>
      <c r="H753" s="2">
        <f t="shared" si="68"/>
        <v>-2.5999999999999943</v>
      </c>
      <c r="I753" s="1">
        <f t="shared" si="69"/>
        <v>0.4048710493768114</v>
      </c>
      <c r="J753" s="2">
        <v>99.3</v>
      </c>
      <c r="K753" s="2">
        <v>101.6</v>
      </c>
      <c r="L753" s="2">
        <f t="shared" si="70"/>
        <v>-2.2999999999999972</v>
      </c>
      <c r="M753" s="1">
        <f t="shared" si="71"/>
        <v>-5.1212512791445564E-2</v>
      </c>
      <c r="N753" s="2">
        <v>80.5</v>
      </c>
      <c r="O753" s="2">
        <v>100.7</v>
      </c>
      <c r="P753" s="2">
        <f t="shared" si="72"/>
        <v>-20.200000000000003</v>
      </c>
      <c r="Q753">
        <v>0.6</v>
      </c>
    </row>
    <row r="754" spans="1:17">
      <c r="A754" t="s">
        <v>49</v>
      </c>
      <c r="B754" t="s">
        <v>33</v>
      </c>
      <c r="C754">
        <v>20</v>
      </c>
      <c r="D754">
        <v>46</v>
      </c>
      <c r="E754" s="1">
        <f t="shared" si="67"/>
        <v>0.30303030303030304</v>
      </c>
      <c r="F754" s="2">
        <v>93.6</v>
      </c>
      <c r="G754" s="2">
        <v>98.4</v>
      </c>
      <c r="H754" s="2">
        <f t="shared" si="68"/>
        <v>-4.8000000000000114</v>
      </c>
      <c r="I754" s="1">
        <f t="shared" si="69"/>
        <v>0.33177988336782011</v>
      </c>
      <c r="J754" s="2">
        <v>100</v>
      </c>
      <c r="K754" s="2">
        <v>104.9</v>
      </c>
      <c r="L754" s="2">
        <f t="shared" si="70"/>
        <v>-4.9000000000000057</v>
      </c>
      <c r="M754" s="1">
        <f t="shared" si="71"/>
        <v>-2.8749580337517067E-2</v>
      </c>
      <c r="N754" s="2">
        <v>90</v>
      </c>
      <c r="O754" s="2">
        <v>110.3</v>
      </c>
      <c r="P754" s="2">
        <f t="shared" si="72"/>
        <v>-20.299999999999997</v>
      </c>
      <c r="Q754">
        <v>-0.3</v>
      </c>
    </row>
    <row r="755" spans="1:17">
      <c r="A755" t="s">
        <v>65</v>
      </c>
      <c r="B755" t="s">
        <v>31</v>
      </c>
      <c r="C755">
        <v>17</v>
      </c>
      <c r="D755">
        <v>65</v>
      </c>
      <c r="E755" s="1">
        <f t="shared" si="67"/>
        <v>0.2073170731707317</v>
      </c>
      <c r="F755" s="2">
        <v>111.9</v>
      </c>
      <c r="G755" s="2">
        <v>121.2</v>
      </c>
      <c r="H755" s="2">
        <f t="shared" si="68"/>
        <v>-9.2999999999999972</v>
      </c>
      <c r="I755" s="1">
        <f t="shared" si="69"/>
        <v>0.24643622472101792</v>
      </c>
      <c r="J755" s="2">
        <v>110.2</v>
      </c>
      <c r="K755" s="2">
        <v>119.4</v>
      </c>
      <c r="L755" s="2">
        <f t="shared" si="70"/>
        <v>-9.2000000000000028</v>
      </c>
      <c r="M755" s="1">
        <f t="shared" si="71"/>
        <v>-3.9119151550286224E-2</v>
      </c>
      <c r="N755" s="2">
        <v>106.5</v>
      </c>
      <c r="O755" s="2">
        <v>127</v>
      </c>
      <c r="P755" s="2">
        <f t="shared" si="72"/>
        <v>-20.5</v>
      </c>
      <c r="Q755">
        <v>-2</v>
      </c>
    </row>
    <row r="756" spans="1:17">
      <c r="A756" t="s">
        <v>61</v>
      </c>
      <c r="B756" t="s">
        <v>12</v>
      </c>
      <c r="C756">
        <v>20</v>
      </c>
      <c r="D756">
        <v>52</v>
      </c>
      <c r="E756" s="1">
        <f t="shared" si="67"/>
        <v>0.27777777777777779</v>
      </c>
      <c r="F756" s="2">
        <v>106.6</v>
      </c>
      <c r="G756" s="2">
        <v>111.1</v>
      </c>
      <c r="H756" s="2">
        <f t="shared" si="68"/>
        <v>-4.5</v>
      </c>
      <c r="I756" s="1">
        <f t="shared" si="69"/>
        <v>0.35919481428812144</v>
      </c>
      <c r="J756" s="2">
        <v>107.6</v>
      </c>
      <c r="K756" s="2">
        <v>112.2</v>
      </c>
      <c r="L756" s="2">
        <f t="shared" si="70"/>
        <v>-4.6000000000000085</v>
      </c>
      <c r="M756" s="1">
        <f t="shared" si="71"/>
        <v>-8.1417036510343654E-2</v>
      </c>
      <c r="N756" s="2">
        <v>101.2</v>
      </c>
      <c r="O756" s="2">
        <v>121.7</v>
      </c>
      <c r="P756" s="2">
        <f t="shared" si="72"/>
        <v>-20.5</v>
      </c>
      <c r="Q756">
        <v>-0.3</v>
      </c>
    </row>
    <row r="757" spans="1:17">
      <c r="A757" t="s">
        <v>45</v>
      </c>
      <c r="B757" t="s">
        <v>16</v>
      </c>
      <c r="C757">
        <v>19</v>
      </c>
      <c r="D757">
        <v>63</v>
      </c>
      <c r="E757" s="1">
        <f t="shared" si="67"/>
        <v>0.23170731707317074</v>
      </c>
      <c r="F757" s="2">
        <v>95.1</v>
      </c>
      <c r="G757" s="2">
        <v>103.9</v>
      </c>
      <c r="H757" s="2">
        <f t="shared" si="68"/>
        <v>-8.8000000000000114</v>
      </c>
      <c r="I757" s="1">
        <f t="shared" si="69"/>
        <v>0.22461027237292155</v>
      </c>
      <c r="J757" s="2">
        <v>101</v>
      </c>
      <c r="K757" s="2">
        <v>110.1</v>
      </c>
      <c r="L757" s="2">
        <f t="shared" si="70"/>
        <v>-9.0999999999999943</v>
      </c>
      <c r="M757" s="1">
        <f t="shared" si="71"/>
        <v>7.0970447002491888E-3</v>
      </c>
      <c r="N757" s="2">
        <v>92.9</v>
      </c>
      <c r="O757" s="2">
        <v>113.7</v>
      </c>
      <c r="P757" s="2">
        <f t="shared" si="72"/>
        <v>-20.799999999999997</v>
      </c>
      <c r="Q757">
        <v>-2.2000000000000002</v>
      </c>
    </row>
    <row r="758" spans="1:17">
      <c r="A758" t="s">
        <v>60</v>
      </c>
      <c r="B758" t="s">
        <v>8</v>
      </c>
      <c r="C758">
        <v>22</v>
      </c>
      <c r="D758">
        <v>43</v>
      </c>
      <c r="E758" s="1">
        <f t="shared" si="67"/>
        <v>0.33846153846153848</v>
      </c>
      <c r="F758" s="2">
        <v>106.8</v>
      </c>
      <c r="G758" s="2">
        <v>109.9</v>
      </c>
      <c r="H758" s="2">
        <f t="shared" si="68"/>
        <v>-3.1000000000000085</v>
      </c>
      <c r="I758" s="1">
        <f t="shared" si="69"/>
        <v>0.40117273517246865</v>
      </c>
      <c r="J758" s="2">
        <v>105.8</v>
      </c>
      <c r="K758" s="2">
        <v>108.9</v>
      </c>
      <c r="L758" s="2">
        <f t="shared" si="70"/>
        <v>-3.1000000000000085</v>
      </c>
      <c r="M758" s="1">
        <f t="shared" si="71"/>
        <v>-6.2711196710930173E-2</v>
      </c>
      <c r="N758" s="2">
        <v>106.5</v>
      </c>
      <c r="O758" s="2">
        <v>127.3</v>
      </c>
      <c r="P758" s="2">
        <f t="shared" si="72"/>
        <v>-20.799999999999997</v>
      </c>
      <c r="Q758">
        <v>-0.5</v>
      </c>
    </row>
    <row r="759" spans="1:17">
      <c r="A759" t="s">
        <v>36</v>
      </c>
      <c r="B759" t="s">
        <v>11</v>
      </c>
      <c r="C759">
        <v>17</v>
      </c>
      <c r="D759">
        <v>65</v>
      </c>
      <c r="E759" s="1">
        <f t="shared" si="67"/>
        <v>0.2073170731707317</v>
      </c>
      <c r="F759" s="2">
        <v>84.2</v>
      </c>
      <c r="G759" s="2">
        <v>92.4</v>
      </c>
      <c r="H759" s="2">
        <f t="shared" si="68"/>
        <v>-8.2000000000000028</v>
      </c>
      <c r="I759" s="1">
        <f t="shared" si="69"/>
        <v>0.21398855794642072</v>
      </c>
      <c r="J759" s="2">
        <v>91.2</v>
      </c>
      <c r="K759" s="2">
        <v>100.1</v>
      </c>
      <c r="L759" s="2">
        <f t="shared" si="70"/>
        <v>-8.8999999999999915</v>
      </c>
      <c r="M759" s="1">
        <f t="shared" si="71"/>
        <v>-6.6714847756890183E-3</v>
      </c>
      <c r="N759" s="2">
        <v>89.6</v>
      </c>
      <c r="O759" s="2">
        <v>110.9</v>
      </c>
      <c r="P759" s="2">
        <f t="shared" si="72"/>
        <v>-21.300000000000011</v>
      </c>
      <c r="Q759">
        <v>-0.5</v>
      </c>
    </row>
    <row r="760" spans="1:17">
      <c r="A760" t="s">
        <v>52</v>
      </c>
      <c r="B760" t="s">
        <v>19</v>
      </c>
      <c r="C760">
        <v>15</v>
      </c>
      <c r="D760">
        <v>67</v>
      </c>
      <c r="E760" s="1">
        <f t="shared" si="67"/>
        <v>0.18292682926829268</v>
      </c>
      <c r="F760" s="2">
        <v>95.5</v>
      </c>
      <c r="G760" s="2">
        <v>103.7</v>
      </c>
      <c r="H760" s="2">
        <f t="shared" si="68"/>
        <v>-8.2000000000000028</v>
      </c>
      <c r="I760" s="1">
        <f t="shared" si="69"/>
        <v>0.23989374282891526</v>
      </c>
      <c r="J760" s="2">
        <v>101.9</v>
      </c>
      <c r="K760" s="2">
        <v>110.2</v>
      </c>
      <c r="L760" s="2">
        <f t="shared" si="70"/>
        <v>-8.2999999999999972</v>
      </c>
      <c r="M760" s="1">
        <f t="shared" si="71"/>
        <v>-5.6966913560622584E-2</v>
      </c>
      <c r="N760" s="2">
        <v>87.3</v>
      </c>
      <c r="O760" s="2">
        <v>108.7</v>
      </c>
      <c r="P760" s="2">
        <f t="shared" si="72"/>
        <v>-21.400000000000006</v>
      </c>
      <c r="Q760">
        <v>0</v>
      </c>
    </row>
    <row r="761" spans="1:17">
      <c r="A761" t="s">
        <v>60</v>
      </c>
      <c r="B761" t="s">
        <v>13</v>
      </c>
      <c r="C761">
        <v>15</v>
      </c>
      <c r="D761">
        <v>50</v>
      </c>
      <c r="E761" s="1">
        <f t="shared" si="67"/>
        <v>0.23076923076923078</v>
      </c>
      <c r="F761" s="2">
        <v>106.3</v>
      </c>
      <c r="G761" s="2">
        <v>115</v>
      </c>
      <c r="H761" s="2">
        <f t="shared" si="68"/>
        <v>-8.7000000000000028</v>
      </c>
      <c r="I761" s="1">
        <f t="shared" si="69"/>
        <v>0.24948968898515997</v>
      </c>
      <c r="J761" s="2">
        <v>104.4</v>
      </c>
      <c r="K761" s="2">
        <v>113</v>
      </c>
      <c r="L761" s="2">
        <f t="shared" si="70"/>
        <v>-8.5999999999999943</v>
      </c>
      <c r="M761" s="1">
        <f t="shared" si="71"/>
        <v>-1.8720458215929187E-2</v>
      </c>
      <c r="N761" s="2">
        <v>102.9</v>
      </c>
      <c r="O761" s="2">
        <v>124.9</v>
      </c>
      <c r="P761" s="2">
        <f t="shared" si="72"/>
        <v>-22</v>
      </c>
      <c r="Q761">
        <v>-0.5</v>
      </c>
    </row>
    <row r="762" spans="1:17">
      <c r="A762" t="s">
        <v>36</v>
      </c>
      <c r="B762" t="s">
        <v>16</v>
      </c>
      <c r="C762">
        <v>27</v>
      </c>
      <c r="D762">
        <v>55</v>
      </c>
      <c r="E762" s="1">
        <f t="shared" si="67"/>
        <v>0.32926829268292684</v>
      </c>
      <c r="F762" s="2">
        <v>93.8</v>
      </c>
      <c r="G762" s="2">
        <v>97.9</v>
      </c>
      <c r="H762" s="2">
        <f t="shared" si="68"/>
        <v>-4.1000000000000085</v>
      </c>
      <c r="I762" s="1">
        <f t="shared" si="69"/>
        <v>0.3545853935949021</v>
      </c>
      <c r="J762" s="2">
        <v>101.1</v>
      </c>
      <c r="K762" s="2">
        <v>105.1</v>
      </c>
      <c r="L762" s="2">
        <f t="shared" si="70"/>
        <v>-4</v>
      </c>
      <c r="M762" s="1">
        <f t="shared" si="71"/>
        <v>-2.5317100911975254E-2</v>
      </c>
      <c r="N762" s="2">
        <v>94</v>
      </c>
      <c r="O762" s="2">
        <v>116.5</v>
      </c>
      <c r="P762" s="2">
        <f t="shared" si="72"/>
        <v>-22.5</v>
      </c>
      <c r="Q762">
        <v>-0.5</v>
      </c>
    </row>
    <row r="763" spans="1:17">
      <c r="A763" t="s">
        <v>62</v>
      </c>
      <c r="B763" t="s">
        <v>15</v>
      </c>
      <c r="C763">
        <v>25</v>
      </c>
      <c r="D763">
        <v>57</v>
      </c>
      <c r="E763" s="1">
        <f t="shared" si="67"/>
        <v>0.3048780487804878</v>
      </c>
      <c r="F763" s="2">
        <v>111.5</v>
      </c>
      <c r="G763" s="2">
        <v>114.9</v>
      </c>
      <c r="H763" s="2">
        <f t="shared" si="68"/>
        <v>-3.4000000000000057</v>
      </c>
      <c r="I763" s="1">
        <f t="shared" si="69"/>
        <v>0.39639081435339146</v>
      </c>
      <c r="J763" s="2">
        <v>111.9</v>
      </c>
      <c r="K763" s="2">
        <v>115.5</v>
      </c>
      <c r="L763" s="2">
        <f t="shared" si="70"/>
        <v>-3.5999999999999943</v>
      </c>
      <c r="M763" s="1">
        <f t="shared" si="71"/>
        <v>-9.1512765572903665E-2</v>
      </c>
      <c r="N763" s="2">
        <v>92</v>
      </c>
      <c r="O763" s="2">
        <v>114.9</v>
      </c>
      <c r="P763" s="2">
        <f t="shared" si="72"/>
        <v>-22.900000000000006</v>
      </c>
      <c r="Q763">
        <v>-0.4</v>
      </c>
    </row>
    <row r="764" spans="1:17">
      <c r="A764" t="s">
        <v>4</v>
      </c>
      <c r="B764" t="s">
        <v>13</v>
      </c>
      <c r="C764">
        <v>17</v>
      </c>
      <c r="D764">
        <v>65</v>
      </c>
      <c r="E764" s="1">
        <f t="shared" si="67"/>
        <v>0.2073170731707317</v>
      </c>
      <c r="F764" s="2">
        <v>92.5</v>
      </c>
      <c r="G764" s="2">
        <v>101.5</v>
      </c>
      <c r="H764" s="2">
        <f t="shared" si="68"/>
        <v>-9</v>
      </c>
      <c r="I764" s="1">
        <f t="shared" si="69"/>
        <v>0.21418148448904825</v>
      </c>
      <c r="J764" s="2">
        <v>96.3</v>
      </c>
      <c r="K764" s="2">
        <v>105.5</v>
      </c>
      <c r="L764" s="2">
        <f t="shared" si="70"/>
        <v>-9.2000000000000028</v>
      </c>
      <c r="M764" s="1">
        <f t="shared" si="71"/>
        <v>-6.8644113183165545E-3</v>
      </c>
      <c r="N764" s="2">
        <v>84.6</v>
      </c>
      <c r="O764" s="2">
        <v>107.8</v>
      </c>
      <c r="P764" s="2">
        <f t="shared" si="72"/>
        <v>-23.200000000000003</v>
      </c>
      <c r="Q764">
        <v>-1.1000000000000001</v>
      </c>
    </row>
    <row r="765" spans="1:17">
      <c r="A765" t="s">
        <v>62</v>
      </c>
      <c r="B765" t="s">
        <v>22</v>
      </c>
      <c r="C765">
        <v>37</v>
      </c>
      <c r="D765">
        <v>45</v>
      </c>
      <c r="E765" s="1">
        <f t="shared" si="67"/>
        <v>0.45121951219512196</v>
      </c>
      <c r="F765" s="2">
        <v>106.5</v>
      </c>
      <c r="G765" s="2">
        <v>106.6</v>
      </c>
      <c r="H765" s="2">
        <f t="shared" si="68"/>
        <v>-9.9999999999994316E-2</v>
      </c>
      <c r="I765" s="1">
        <f t="shared" si="69"/>
        <v>0.49671520422004956</v>
      </c>
      <c r="J765" s="2">
        <v>109.7</v>
      </c>
      <c r="K765" s="2">
        <v>110.2</v>
      </c>
      <c r="L765" s="2">
        <f t="shared" si="70"/>
        <v>-0.5</v>
      </c>
      <c r="M765" s="1">
        <f t="shared" si="71"/>
        <v>-4.5495692024927592E-2</v>
      </c>
      <c r="N765" s="2">
        <v>93.2</v>
      </c>
      <c r="O765" s="2">
        <v>116.4</v>
      </c>
      <c r="P765" s="2">
        <f t="shared" si="72"/>
        <v>-23.200000000000003</v>
      </c>
      <c r="Q765">
        <v>-0.3</v>
      </c>
    </row>
    <row r="766" spans="1:17">
      <c r="A766" t="s">
        <v>50</v>
      </c>
      <c r="B766" t="s">
        <v>37</v>
      </c>
      <c r="C766">
        <v>27</v>
      </c>
      <c r="D766">
        <v>55</v>
      </c>
      <c r="E766" s="1">
        <f t="shared" si="67"/>
        <v>0.32926829268292684</v>
      </c>
      <c r="F766" s="2">
        <v>94.1</v>
      </c>
      <c r="G766" s="2">
        <v>97.9</v>
      </c>
      <c r="H766" s="2">
        <f t="shared" si="68"/>
        <v>-3.8000000000000114</v>
      </c>
      <c r="I766" s="1">
        <f t="shared" si="69"/>
        <v>0.3648814793953255</v>
      </c>
      <c r="J766" s="2">
        <v>104.5</v>
      </c>
      <c r="K766" s="2">
        <v>108.9</v>
      </c>
      <c r="L766" s="2">
        <f t="shared" si="70"/>
        <v>-4.4000000000000057</v>
      </c>
      <c r="M766" s="1">
        <f t="shared" si="71"/>
        <v>-3.5613186712398659E-2</v>
      </c>
      <c r="N766" s="2">
        <v>93.6</v>
      </c>
      <c r="O766" s="2">
        <v>116.9</v>
      </c>
      <c r="P766" s="2">
        <f t="shared" si="72"/>
        <v>-23.300000000000011</v>
      </c>
      <c r="Q766">
        <v>-0.7</v>
      </c>
    </row>
    <row r="767" spans="1:17">
      <c r="A767" t="s">
        <v>45</v>
      </c>
      <c r="B767" t="s">
        <v>35</v>
      </c>
      <c r="C767">
        <v>24</v>
      </c>
      <c r="D767">
        <v>58</v>
      </c>
      <c r="E767" s="1">
        <f t="shared" si="67"/>
        <v>0.29268292682926828</v>
      </c>
      <c r="F767" s="2">
        <v>93.9</v>
      </c>
      <c r="G767" s="2">
        <v>99.3</v>
      </c>
      <c r="H767" s="2">
        <f t="shared" si="68"/>
        <v>-5.3999999999999915</v>
      </c>
      <c r="I767" s="1">
        <f t="shared" si="69"/>
        <v>0.31371402581860747</v>
      </c>
      <c r="J767" s="2">
        <v>102.3</v>
      </c>
      <c r="K767" s="2">
        <v>108.2</v>
      </c>
      <c r="L767" s="2">
        <f t="shared" si="70"/>
        <v>-5.9000000000000057</v>
      </c>
      <c r="M767" s="1">
        <f t="shared" si="71"/>
        <v>-2.1031098989339192E-2</v>
      </c>
      <c r="N767" s="2">
        <v>90.2</v>
      </c>
      <c r="O767" s="2">
        <v>113.7</v>
      </c>
      <c r="P767" s="2">
        <f t="shared" si="72"/>
        <v>-23.5</v>
      </c>
      <c r="Q767">
        <v>-1.6</v>
      </c>
    </row>
    <row r="768" spans="1:17">
      <c r="A768" t="s">
        <v>52</v>
      </c>
      <c r="B768" t="s">
        <v>6</v>
      </c>
      <c r="C768">
        <v>25</v>
      </c>
      <c r="D768">
        <v>57</v>
      </c>
      <c r="E768" s="1">
        <f t="shared" si="67"/>
        <v>0.3048780487804878</v>
      </c>
      <c r="F768" s="2">
        <v>96.2</v>
      </c>
      <c r="G768" s="2">
        <v>100.7</v>
      </c>
      <c r="H768" s="2">
        <f t="shared" si="68"/>
        <v>-4.5</v>
      </c>
      <c r="I768" s="1">
        <f t="shared" si="69"/>
        <v>0.34523971521963903</v>
      </c>
      <c r="J768" s="2">
        <v>101.9</v>
      </c>
      <c r="K768" s="2">
        <v>106.5</v>
      </c>
      <c r="L768" s="2">
        <f t="shared" si="70"/>
        <v>-4.5999999999999943</v>
      </c>
      <c r="M768" s="1">
        <f t="shared" si="71"/>
        <v>-4.0361666439151234E-2</v>
      </c>
      <c r="N768" s="2">
        <v>88.5</v>
      </c>
      <c r="O768" s="2">
        <v>112.9</v>
      </c>
      <c r="P768" s="2">
        <f t="shared" si="72"/>
        <v>-24.400000000000006</v>
      </c>
      <c r="Q768">
        <v>-2</v>
      </c>
    </row>
    <row r="769" spans="1:17">
      <c r="A769" t="s">
        <v>52</v>
      </c>
      <c r="B769" t="s">
        <v>12</v>
      </c>
      <c r="C769">
        <v>29</v>
      </c>
      <c r="D769">
        <v>53</v>
      </c>
      <c r="E769" s="1">
        <f t="shared" si="67"/>
        <v>0.35365853658536583</v>
      </c>
      <c r="F769" s="2">
        <v>101</v>
      </c>
      <c r="G769" s="2">
        <v>104.7</v>
      </c>
      <c r="H769" s="2">
        <f t="shared" si="68"/>
        <v>-3.7000000000000028</v>
      </c>
      <c r="I769" s="1">
        <f t="shared" si="69"/>
        <v>0.37667145253299883</v>
      </c>
      <c r="J769" s="2">
        <v>105.2</v>
      </c>
      <c r="K769" s="2">
        <v>109</v>
      </c>
      <c r="L769" s="2">
        <f t="shared" si="70"/>
        <v>-3.7999999999999972</v>
      </c>
      <c r="M769" s="1">
        <f t="shared" si="71"/>
        <v>-2.3012915947632995E-2</v>
      </c>
      <c r="N769" s="2">
        <v>85.5</v>
      </c>
      <c r="O769" s="2">
        <v>110</v>
      </c>
      <c r="P769" s="2">
        <f t="shared" si="72"/>
        <v>-24.5</v>
      </c>
      <c r="Q769">
        <v>-2.4</v>
      </c>
    </row>
    <row r="770" spans="1:17">
      <c r="A770" t="s">
        <v>60</v>
      </c>
      <c r="B770" t="s">
        <v>12</v>
      </c>
      <c r="C770">
        <v>20</v>
      </c>
      <c r="D770">
        <v>46</v>
      </c>
      <c r="E770" s="1">
        <f t="shared" si="67"/>
        <v>0.30303030303030304</v>
      </c>
      <c r="F770" s="2">
        <v>107.2</v>
      </c>
      <c r="G770" s="2">
        <v>110.8</v>
      </c>
      <c r="H770" s="2">
        <f t="shared" si="68"/>
        <v>-3.5999999999999943</v>
      </c>
      <c r="I770" s="1">
        <f t="shared" si="69"/>
        <v>0.38641014492971848</v>
      </c>
      <c r="J770" s="2">
        <v>108.8</v>
      </c>
      <c r="K770" s="2">
        <v>112.3</v>
      </c>
      <c r="L770" s="2">
        <f t="shared" si="70"/>
        <v>-3.5</v>
      </c>
      <c r="M770" s="1">
        <f t="shared" si="71"/>
        <v>-8.3379841899415441E-2</v>
      </c>
      <c r="N770" s="2">
        <v>91</v>
      </c>
      <c r="O770" s="2">
        <v>115.5</v>
      </c>
      <c r="P770" s="2">
        <f t="shared" si="72"/>
        <v>-24.5</v>
      </c>
      <c r="Q770">
        <v>0</v>
      </c>
    </row>
    <row r="771" spans="1:17">
      <c r="A771" t="s">
        <v>50</v>
      </c>
      <c r="B771" t="s">
        <v>30</v>
      </c>
      <c r="C771">
        <v>34</v>
      </c>
      <c r="D771">
        <v>48</v>
      </c>
      <c r="E771" s="1">
        <f t="shared" si="67"/>
        <v>0.41463414634146339</v>
      </c>
      <c r="F771" s="2">
        <v>97.2</v>
      </c>
      <c r="G771" s="2">
        <v>98.7</v>
      </c>
      <c r="H771" s="2">
        <f t="shared" si="68"/>
        <v>-1.5</v>
      </c>
      <c r="I771" s="1">
        <f t="shared" si="69"/>
        <v>0.4466045570075422</v>
      </c>
      <c r="J771" s="2">
        <v>105</v>
      </c>
      <c r="K771" s="2">
        <v>106.4</v>
      </c>
      <c r="L771" s="2">
        <f t="shared" si="70"/>
        <v>-1.4000000000000057</v>
      </c>
      <c r="M771" s="1">
        <f t="shared" si="71"/>
        <v>-3.1970410666078808E-2</v>
      </c>
      <c r="N771" s="2">
        <v>87.8</v>
      </c>
      <c r="O771" s="2">
        <v>112.9</v>
      </c>
      <c r="P771" s="2">
        <f t="shared" si="72"/>
        <v>-25.100000000000009</v>
      </c>
      <c r="Q771">
        <v>-1.5</v>
      </c>
    </row>
    <row r="772" spans="1:17">
      <c r="A772" t="s">
        <v>47</v>
      </c>
      <c r="B772" t="s">
        <v>21</v>
      </c>
      <c r="C772">
        <v>12</v>
      </c>
      <c r="D772">
        <v>70</v>
      </c>
      <c r="E772" s="1">
        <f t="shared" si="67"/>
        <v>0.14634146341463414</v>
      </c>
      <c r="F772" s="2">
        <v>92.4</v>
      </c>
      <c r="G772" s="2">
        <v>101.5</v>
      </c>
      <c r="H772" s="2">
        <f t="shared" si="68"/>
        <v>-9.0999999999999943</v>
      </c>
      <c r="I772" s="1">
        <f t="shared" si="69"/>
        <v>0.21164377791033548</v>
      </c>
      <c r="J772" s="2">
        <v>99.3</v>
      </c>
      <c r="K772" s="2">
        <v>108.9</v>
      </c>
      <c r="L772" s="2">
        <f t="shared" si="70"/>
        <v>-9.6000000000000085</v>
      </c>
      <c r="M772" s="1">
        <f t="shared" si="71"/>
        <v>-6.5302314495701341E-2</v>
      </c>
      <c r="N772" s="2">
        <v>84.5</v>
      </c>
      <c r="O772" s="2">
        <v>109.7</v>
      </c>
      <c r="P772" s="2">
        <f t="shared" si="72"/>
        <v>-25.200000000000003</v>
      </c>
      <c r="Q772">
        <v>-1.1000000000000001</v>
      </c>
    </row>
    <row r="773" spans="1:17">
      <c r="A773" t="s">
        <v>44</v>
      </c>
      <c r="B773" t="s">
        <v>8</v>
      </c>
      <c r="C773">
        <v>33</v>
      </c>
      <c r="D773">
        <v>49</v>
      </c>
      <c r="E773" s="1">
        <f t="shared" si="67"/>
        <v>0.40243902439024393</v>
      </c>
      <c r="F773" s="2">
        <v>97.3</v>
      </c>
      <c r="G773" s="2">
        <v>100.4</v>
      </c>
      <c r="H773" s="2">
        <f t="shared" si="68"/>
        <v>-3.1000000000000085</v>
      </c>
      <c r="I773" s="1">
        <f t="shared" si="69"/>
        <v>0.39195900440907944</v>
      </c>
      <c r="J773" s="2">
        <v>102.9</v>
      </c>
      <c r="K773" s="2">
        <v>106</v>
      </c>
      <c r="L773" s="2">
        <f t="shared" si="70"/>
        <v>-3.0999999999999943</v>
      </c>
      <c r="M773" s="1">
        <f t="shared" si="71"/>
        <v>1.048001998116449E-2</v>
      </c>
      <c r="N773" s="2">
        <v>90</v>
      </c>
      <c r="O773" s="2">
        <v>116</v>
      </c>
      <c r="P773" s="2">
        <f t="shared" si="72"/>
        <v>-26</v>
      </c>
      <c r="Q773">
        <v>-1.5</v>
      </c>
    </row>
    <row r="774" spans="1:17">
      <c r="A774" t="s">
        <v>49</v>
      </c>
      <c r="B774" t="s">
        <v>30</v>
      </c>
      <c r="C774">
        <v>23</v>
      </c>
      <c r="D774">
        <v>43</v>
      </c>
      <c r="E774" s="1">
        <f t="shared" si="67"/>
        <v>0.34848484848484851</v>
      </c>
      <c r="F774" s="2">
        <v>90.7</v>
      </c>
      <c r="G774" s="2">
        <v>94</v>
      </c>
      <c r="H774" s="2">
        <f t="shared" si="68"/>
        <v>-3.2999999999999972</v>
      </c>
      <c r="I774" s="1">
        <f t="shared" si="69"/>
        <v>0.37746454187633971</v>
      </c>
      <c r="J774" s="2">
        <v>99.6</v>
      </c>
      <c r="K774" s="2">
        <v>103.6</v>
      </c>
      <c r="L774" s="2">
        <f t="shared" si="70"/>
        <v>-4</v>
      </c>
      <c r="M774" s="1">
        <f t="shared" si="71"/>
        <v>-2.8979693391491201E-2</v>
      </c>
      <c r="N774" s="2">
        <v>88.6</v>
      </c>
      <c r="O774" s="2">
        <v>114.7</v>
      </c>
      <c r="P774" s="2">
        <f t="shared" si="72"/>
        <v>-26.100000000000009</v>
      </c>
      <c r="Q774">
        <v>-1.4</v>
      </c>
    </row>
    <row r="775" spans="1:17">
      <c r="A775" t="s">
        <v>44</v>
      </c>
      <c r="B775" t="s">
        <v>18</v>
      </c>
      <c r="C775">
        <v>15</v>
      </c>
      <c r="D775">
        <v>67</v>
      </c>
      <c r="E775" s="1">
        <f t="shared" si="67"/>
        <v>0.18292682926829268</v>
      </c>
      <c r="F775" s="2">
        <v>91.4</v>
      </c>
      <c r="G775" s="2">
        <v>100</v>
      </c>
      <c r="H775" s="2">
        <f t="shared" si="68"/>
        <v>-8.5999999999999943</v>
      </c>
      <c r="I775" s="1">
        <f t="shared" si="69"/>
        <v>0.2211554021057861</v>
      </c>
      <c r="J775" s="2">
        <v>99.4</v>
      </c>
      <c r="K775" s="2">
        <v>108.8</v>
      </c>
      <c r="L775" s="2">
        <f t="shared" si="70"/>
        <v>-9.3999999999999915</v>
      </c>
      <c r="M775" s="1">
        <f t="shared" si="71"/>
        <v>-3.8228572837493424E-2</v>
      </c>
      <c r="N775" s="2">
        <v>85.2</v>
      </c>
      <c r="O775" s="2">
        <v>111.4</v>
      </c>
      <c r="P775" s="2">
        <f t="shared" si="72"/>
        <v>-26.200000000000003</v>
      </c>
      <c r="Q775">
        <v>-2</v>
      </c>
    </row>
    <row r="776" spans="1:17">
      <c r="A776" t="s">
        <v>60</v>
      </c>
      <c r="B776" t="s">
        <v>53</v>
      </c>
      <c r="C776">
        <v>30</v>
      </c>
      <c r="D776">
        <v>42</v>
      </c>
      <c r="E776" s="1">
        <f t="shared" si="67"/>
        <v>0.41666666666666669</v>
      </c>
      <c r="F776" s="2">
        <v>115.8</v>
      </c>
      <c r="G776" s="2">
        <v>117.1</v>
      </c>
      <c r="H776" s="2">
        <f t="shared" si="68"/>
        <v>-1.2999999999999972</v>
      </c>
      <c r="I776" s="1">
        <f t="shared" si="69"/>
        <v>0.46100637384195686</v>
      </c>
      <c r="J776" s="2">
        <v>110.5</v>
      </c>
      <c r="K776" s="2">
        <v>111.8</v>
      </c>
      <c r="L776" s="2">
        <f t="shared" si="70"/>
        <v>-1.2999999999999972</v>
      </c>
      <c r="M776" s="1">
        <f t="shared" si="71"/>
        <v>-4.4339707175290177E-2</v>
      </c>
      <c r="N776" s="2">
        <v>93.4</v>
      </c>
      <c r="O776" s="2">
        <v>119.8</v>
      </c>
      <c r="P776" s="2">
        <f t="shared" si="72"/>
        <v>-26.399999999999991</v>
      </c>
      <c r="Q776">
        <v>0.1</v>
      </c>
    </row>
    <row r="777" spans="1:17">
      <c r="A777" t="s">
        <v>55</v>
      </c>
      <c r="B777" t="s">
        <v>25</v>
      </c>
      <c r="C777">
        <v>23</v>
      </c>
      <c r="D777">
        <v>59</v>
      </c>
      <c r="E777" s="1">
        <f t="shared" ref="E777:E840" si="73">+C777/(C777+D777)</f>
        <v>0.28048780487804881</v>
      </c>
      <c r="F777" s="2">
        <v>100.9</v>
      </c>
      <c r="G777" s="2">
        <v>107.5</v>
      </c>
      <c r="H777" s="2">
        <f t="shared" ref="H777:H840" si="74">+F777-G777</f>
        <v>-6.5999999999999943</v>
      </c>
      <c r="I777" s="1">
        <f t="shared" ref="I777:I784" si="75">+(F777^14)/((F777^14+G777^14))</f>
        <v>0.29171838314513582</v>
      </c>
      <c r="J777" s="2">
        <v>101.5</v>
      </c>
      <c r="K777" s="2">
        <v>107.9</v>
      </c>
      <c r="L777" s="2">
        <f t="shared" ref="L777:L840" si="76">+J777-K777</f>
        <v>-6.4000000000000057</v>
      </c>
      <c r="M777" s="1">
        <f t="shared" ref="M777:M784" si="77">+E777-I777</f>
        <v>-1.123057826708701E-2</v>
      </c>
      <c r="N777" s="2">
        <v>88.7</v>
      </c>
      <c r="O777" s="2">
        <v>116.2</v>
      </c>
      <c r="P777" s="2">
        <f t="shared" ref="P777:P840" si="78">+N777-O777</f>
        <v>-27.5</v>
      </c>
      <c r="Q777">
        <v>-1.7</v>
      </c>
    </row>
    <row r="778" spans="1:17">
      <c r="A778" t="s">
        <v>58</v>
      </c>
      <c r="B778" t="s">
        <v>10</v>
      </c>
      <c r="C778">
        <v>24</v>
      </c>
      <c r="D778">
        <v>58</v>
      </c>
      <c r="E778" s="1">
        <f t="shared" si="73"/>
        <v>0.29268292682926828</v>
      </c>
      <c r="F778" s="2">
        <v>102.3</v>
      </c>
      <c r="G778" s="2">
        <v>105.4</v>
      </c>
      <c r="H778" s="2">
        <f t="shared" si="74"/>
        <v>-3.1000000000000085</v>
      </c>
      <c r="I778" s="1">
        <f t="shared" si="75"/>
        <v>0.39700943969095354</v>
      </c>
      <c r="J778" s="2">
        <v>105.4</v>
      </c>
      <c r="K778" s="2">
        <v>108.4</v>
      </c>
      <c r="L778" s="2">
        <f t="shared" si="76"/>
        <v>-3</v>
      </c>
      <c r="M778" s="1">
        <f t="shared" si="77"/>
        <v>-0.10432651286168526</v>
      </c>
      <c r="N778" s="2">
        <v>88.3</v>
      </c>
      <c r="O778" s="2">
        <v>116.7</v>
      </c>
      <c r="P778" s="2">
        <f t="shared" si="78"/>
        <v>-28.400000000000006</v>
      </c>
      <c r="Q778">
        <v>-1</v>
      </c>
    </row>
    <row r="779" spans="1:17">
      <c r="A779" t="s">
        <v>66</v>
      </c>
      <c r="B779" t="s">
        <v>51</v>
      </c>
      <c r="C779">
        <v>16</v>
      </c>
      <c r="D779">
        <v>47</v>
      </c>
      <c r="E779" s="1">
        <f t="shared" si="73"/>
        <v>0.25396825396825395</v>
      </c>
      <c r="F779" s="2">
        <v>106.9</v>
      </c>
      <c r="G779" s="2">
        <v>115.6</v>
      </c>
      <c r="H779" s="2">
        <f t="shared" si="74"/>
        <v>-8.6999999999999886</v>
      </c>
      <c r="I779" s="1">
        <f t="shared" si="75"/>
        <v>0.25060467792949209</v>
      </c>
      <c r="J779" s="2">
        <v>109.6</v>
      </c>
      <c r="K779" s="2">
        <v>118.3</v>
      </c>
      <c r="L779" s="2">
        <f t="shared" si="76"/>
        <v>-8.7000000000000028</v>
      </c>
      <c r="M779" s="1">
        <f t="shared" si="77"/>
        <v>3.3635760387618618E-3</v>
      </c>
      <c r="N779" s="2">
        <v>99.4</v>
      </c>
      <c r="O779" s="2">
        <v>132.1</v>
      </c>
      <c r="P779" s="2">
        <f t="shared" si="78"/>
        <v>-32.699999999999989</v>
      </c>
      <c r="Q779">
        <v>-1.3</v>
      </c>
    </row>
    <row r="780" spans="1:17">
      <c r="A780" t="s">
        <v>49</v>
      </c>
      <c r="B780" t="s">
        <v>40</v>
      </c>
      <c r="C780">
        <v>7</v>
      </c>
      <c r="D780">
        <v>59</v>
      </c>
      <c r="E780" s="1">
        <f t="shared" si="73"/>
        <v>0.10606060606060606</v>
      </c>
      <c r="F780" s="2">
        <v>87</v>
      </c>
      <c r="G780" s="2">
        <v>100.9</v>
      </c>
      <c r="H780" s="2">
        <f t="shared" si="74"/>
        <v>-13.900000000000006</v>
      </c>
      <c r="I780" s="1">
        <f t="shared" si="75"/>
        <v>0.11154010247358601</v>
      </c>
      <c r="J780" s="2">
        <v>94.4</v>
      </c>
      <c r="K780" s="2">
        <v>109.4</v>
      </c>
      <c r="L780" s="2">
        <f t="shared" si="76"/>
        <v>-15</v>
      </c>
      <c r="M780" s="1">
        <f t="shared" si="77"/>
        <v>-5.4794964129799423E-3</v>
      </c>
      <c r="N780" s="2">
        <v>82.8</v>
      </c>
      <c r="O780" s="2">
        <v>116.2</v>
      </c>
      <c r="P780" s="2">
        <f t="shared" si="78"/>
        <v>-33.400000000000006</v>
      </c>
      <c r="Q780">
        <v>-2.8</v>
      </c>
    </row>
    <row r="781" spans="1:17">
      <c r="A781" t="s">
        <v>64</v>
      </c>
      <c r="B781" t="s">
        <v>12</v>
      </c>
      <c r="C781">
        <v>14</v>
      </c>
      <c r="D781">
        <v>68</v>
      </c>
      <c r="E781" s="1">
        <f t="shared" si="73"/>
        <v>0.17073170731707318</v>
      </c>
      <c r="F781" s="2">
        <v>109.9</v>
      </c>
      <c r="G781" s="2">
        <v>119</v>
      </c>
      <c r="H781" s="2">
        <f t="shared" si="74"/>
        <v>-9.0999999999999943</v>
      </c>
      <c r="I781" s="1">
        <f t="shared" si="75"/>
        <v>0.24717488192529891</v>
      </c>
      <c r="J781" s="2">
        <v>109</v>
      </c>
      <c r="K781" s="2">
        <v>118</v>
      </c>
      <c r="L781" s="2">
        <f t="shared" si="76"/>
        <v>-9</v>
      </c>
      <c r="M781" s="1">
        <f t="shared" si="77"/>
        <v>-7.6443174608225722E-2</v>
      </c>
      <c r="N781" s="2">
        <v>93.7</v>
      </c>
      <c r="O781" s="2">
        <v>128.1</v>
      </c>
      <c r="P781" s="2">
        <f t="shared" si="78"/>
        <v>-34.399999999999991</v>
      </c>
      <c r="Q781">
        <v>-0.9</v>
      </c>
    </row>
    <row r="782" spans="1:17">
      <c r="A782" t="s">
        <v>64</v>
      </c>
      <c r="B782" t="s">
        <v>33</v>
      </c>
      <c r="C782">
        <v>15</v>
      </c>
      <c r="D782">
        <v>67</v>
      </c>
      <c r="E782" s="1">
        <f t="shared" si="73"/>
        <v>0.18292682926829268</v>
      </c>
      <c r="F782" s="2">
        <v>113.7</v>
      </c>
      <c r="G782" s="2">
        <v>123</v>
      </c>
      <c r="H782" s="2">
        <f t="shared" si="74"/>
        <v>-9.2999999999999972</v>
      </c>
      <c r="I782" s="1">
        <f t="shared" si="75"/>
        <v>0.24961000130344238</v>
      </c>
      <c r="J782" s="2">
        <v>110.2</v>
      </c>
      <c r="K782" s="2">
        <v>118.9</v>
      </c>
      <c r="L782" s="2">
        <f t="shared" si="76"/>
        <v>-8.7000000000000028</v>
      </c>
      <c r="M782" s="1">
        <f t="shared" si="77"/>
        <v>-6.6683172035149701E-2</v>
      </c>
      <c r="N782" s="2">
        <v>85.1</v>
      </c>
      <c r="O782" s="2">
        <v>123</v>
      </c>
      <c r="P782" s="2">
        <f t="shared" si="78"/>
        <v>-37.900000000000006</v>
      </c>
      <c r="Q782">
        <v>-0.3</v>
      </c>
    </row>
    <row r="783" spans="1:17">
      <c r="A783" t="s">
        <v>48</v>
      </c>
      <c r="B783" t="s">
        <v>20</v>
      </c>
      <c r="C783">
        <v>17</v>
      </c>
      <c r="D783">
        <v>65</v>
      </c>
      <c r="E783" s="1">
        <f t="shared" si="73"/>
        <v>0.2073170731707317</v>
      </c>
      <c r="F783" s="2">
        <v>101.1</v>
      </c>
      <c r="G783" s="2">
        <v>107.7</v>
      </c>
      <c r="H783" s="2">
        <f t="shared" si="74"/>
        <v>-6.6000000000000085</v>
      </c>
      <c r="I783" s="1">
        <f t="shared" si="75"/>
        <v>0.2920698563562486</v>
      </c>
      <c r="J783" s="2">
        <v>103.2</v>
      </c>
      <c r="K783" s="2">
        <v>109.9</v>
      </c>
      <c r="L783" s="2">
        <f t="shared" si="76"/>
        <v>-6.7000000000000028</v>
      </c>
      <c r="M783" s="1">
        <f t="shared" si="77"/>
        <v>-8.4752783185516906E-2</v>
      </c>
      <c r="N783" s="2">
        <v>91.1</v>
      </c>
      <c r="O783" s="2">
        <v>129.80000000000001</v>
      </c>
      <c r="P783" s="2">
        <f t="shared" si="78"/>
        <v>-38.700000000000017</v>
      </c>
      <c r="Q783">
        <v>-1.7</v>
      </c>
    </row>
    <row r="784" spans="1:17">
      <c r="A784" t="s">
        <v>55</v>
      </c>
      <c r="B784" t="s">
        <v>24</v>
      </c>
      <c r="C784">
        <v>10</v>
      </c>
      <c r="D784">
        <v>72</v>
      </c>
      <c r="E784" s="1">
        <f t="shared" si="73"/>
        <v>0.12195121951219512</v>
      </c>
      <c r="F784" s="2">
        <v>97.4</v>
      </c>
      <c r="G784" s="2">
        <v>107.6</v>
      </c>
      <c r="H784" s="2">
        <f t="shared" si="74"/>
        <v>-10.199999999999989</v>
      </c>
      <c r="I784" s="1">
        <f t="shared" si="75"/>
        <v>0.1987186515098173</v>
      </c>
      <c r="J784" s="2">
        <v>98.4</v>
      </c>
      <c r="K784" s="2">
        <v>108.6</v>
      </c>
      <c r="L784" s="2">
        <f t="shared" si="76"/>
        <v>-10.199999999999989</v>
      </c>
      <c r="M784" s="1">
        <f t="shared" si="77"/>
        <v>-7.6767431997622176E-2</v>
      </c>
      <c r="N784" s="2">
        <v>78.599999999999994</v>
      </c>
      <c r="O784" s="2">
        <v>123.5</v>
      </c>
      <c r="P784" s="2">
        <f t="shared" si="78"/>
        <v>-44.900000000000006</v>
      </c>
      <c r="Q784">
        <v>-2</v>
      </c>
    </row>
  </sheetData>
  <sortState xmlns:xlrd2="http://schemas.microsoft.com/office/spreadsheetml/2017/richdata2" ref="A9:Q784">
    <sortCondition descending="1" ref="P9:P784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47F6-E177-9342-B053-5384EB8DFAA6}">
  <dimension ref="A2:U784"/>
  <sheetViews>
    <sheetView tabSelected="1" workbookViewId="0">
      <pane xSplit="3" ySplit="8" topLeftCell="D9" activePane="bottomRight" state="frozen"/>
      <selection pane="topRight" activeCell="C1" sqref="C1"/>
      <selection pane="bottomLeft" activeCell="A9" sqref="A9"/>
      <selection pane="bottomRight" activeCell="T5" sqref="T5"/>
    </sheetView>
  </sheetViews>
  <sheetFormatPr baseColWidth="10" defaultRowHeight="18"/>
  <cols>
    <col min="1" max="1" width="10.625" style="6"/>
    <col min="3" max="3" width="20.625" customWidth="1"/>
    <col min="4" max="23" width="12.625" customWidth="1"/>
  </cols>
  <sheetData>
    <row r="2" spans="1:20">
      <c r="F2">
        <v>776</v>
      </c>
      <c r="N2" s="1">
        <v>8.2002597305889102E-2</v>
      </c>
    </row>
    <row r="3" spans="1:20">
      <c r="F3" s="4">
        <f>(F9-MIN(F$9:F$784))/(MAX(F$9:F$784)-MIN(F$9:F$784))</f>
        <v>0.60862393967954764</v>
      </c>
      <c r="J3" s="1">
        <f>+CORREL(J9:J784,F9:F784)</f>
        <v>0.96984726551156575</v>
      </c>
      <c r="N3" s="4">
        <f>(N2-MIN(N$9:N$784))/(MAX(N$9:N$784)-MIN(N$9:N$784))</f>
        <v>0.92185952012573269</v>
      </c>
      <c r="T3">
        <f>+CORREL(T9:T784,N9:N784)</f>
        <v>0.564495547978352</v>
      </c>
    </row>
    <row r="4" spans="1:20">
      <c r="N4">
        <f>(RANK(N9,N$9:N$784,1)-1)/(COUNT($N$9:$N$784)-1)</f>
        <v>0.79096774193548391</v>
      </c>
      <c r="T4">
        <f>+T3^2</f>
        <v>0.31865522368737992</v>
      </c>
    </row>
    <row r="8" spans="1:20">
      <c r="A8" s="6" t="s">
        <v>82</v>
      </c>
      <c r="B8" t="s">
        <v>0</v>
      </c>
      <c r="C8" t="s">
        <v>1</v>
      </c>
      <c r="D8" s="3" t="s">
        <v>2</v>
      </c>
      <c r="E8" s="3" t="s">
        <v>3</v>
      </c>
      <c r="F8" s="3" t="s">
        <v>74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67</v>
      </c>
      <c r="L8" s="3" t="s">
        <v>68</v>
      </c>
      <c r="M8" s="3" t="s">
        <v>69</v>
      </c>
      <c r="N8" s="3" t="s">
        <v>75</v>
      </c>
      <c r="O8" s="3" t="s">
        <v>76</v>
      </c>
      <c r="P8" s="3" t="s">
        <v>77</v>
      </c>
      <c r="Q8" s="3" t="s">
        <v>79</v>
      </c>
      <c r="R8" s="3" t="s">
        <v>78</v>
      </c>
      <c r="S8" s="3" t="s">
        <v>80</v>
      </c>
      <c r="T8" s="3" t="s">
        <v>81</v>
      </c>
    </row>
    <row r="9" spans="1:20">
      <c r="A9" s="6">
        <v>621</v>
      </c>
      <c r="B9" t="s">
        <v>61</v>
      </c>
      <c r="C9" t="s">
        <v>26</v>
      </c>
      <c r="D9">
        <v>42</v>
      </c>
      <c r="E9">
        <v>30</v>
      </c>
      <c r="F9" s="1">
        <f t="shared" ref="F9:F72" si="0">+D9/(D9+E9)</f>
        <v>0.58333333333333337</v>
      </c>
      <c r="G9" s="2">
        <v>116.1</v>
      </c>
      <c r="H9" s="2">
        <v>114.3</v>
      </c>
      <c r="I9" s="2">
        <f t="shared" ref="I9:I72" si="1">+G9-H9</f>
        <v>1.7999999999999972</v>
      </c>
      <c r="J9" s="1">
        <f t="shared" ref="J9:J72" si="2">+(G9^14)/((G9^14+H9^14))</f>
        <v>0.55447156441574497</v>
      </c>
      <c r="K9" s="2">
        <v>117.1</v>
      </c>
      <c r="L9" s="2">
        <v>115.3</v>
      </c>
      <c r="M9" s="2">
        <f t="shared" ref="M9:M72" si="3">+K9-L9</f>
        <v>1.7999999999999972</v>
      </c>
      <c r="N9" s="1">
        <f t="shared" ref="N9:N72" si="4">+F9-J9</f>
        <v>2.8861768917588404E-2</v>
      </c>
      <c r="O9" s="2">
        <v>127.7</v>
      </c>
      <c r="P9" s="2">
        <v>98.6</v>
      </c>
      <c r="Q9" s="2">
        <f t="shared" ref="Q9:Q72" si="5">+O9-P9</f>
        <v>29.100000000000009</v>
      </c>
      <c r="R9" s="2">
        <v>0.7</v>
      </c>
      <c r="S9" s="2">
        <v>2.2999999999999998</v>
      </c>
      <c r="T9" s="2">
        <f t="shared" ref="T9:T72" si="6">+Q9-M9</f>
        <v>27.300000000000011</v>
      </c>
    </row>
    <row r="10" spans="1:20">
      <c r="A10" s="6">
        <v>760</v>
      </c>
      <c r="B10" t="s">
        <v>66</v>
      </c>
      <c r="C10" t="s">
        <v>17</v>
      </c>
      <c r="D10">
        <v>38</v>
      </c>
      <c r="E10">
        <v>25</v>
      </c>
      <c r="F10" s="1">
        <f t="shared" si="0"/>
        <v>0.60317460317460314</v>
      </c>
      <c r="G10" s="2">
        <v>116</v>
      </c>
      <c r="H10" s="2">
        <v>115.3</v>
      </c>
      <c r="I10" s="2">
        <f t="shared" si="1"/>
        <v>0.70000000000000284</v>
      </c>
      <c r="J10" s="1">
        <f t="shared" si="2"/>
        <v>0.52117200586871404</v>
      </c>
      <c r="K10" s="2">
        <v>116.5</v>
      </c>
      <c r="L10" s="2">
        <v>116.1</v>
      </c>
      <c r="M10" s="2">
        <f t="shared" si="3"/>
        <v>0.40000000000000568</v>
      </c>
      <c r="N10" s="1">
        <f t="shared" si="4"/>
        <v>8.2002597305889102E-2</v>
      </c>
      <c r="O10" s="2">
        <v>135.9</v>
      </c>
      <c r="P10" s="2">
        <v>109.1</v>
      </c>
      <c r="Q10" s="2">
        <f t="shared" si="5"/>
        <v>26.800000000000011</v>
      </c>
      <c r="R10" s="2">
        <v>1.6</v>
      </c>
      <c r="S10" s="2">
        <v>7.1</v>
      </c>
      <c r="T10" s="2">
        <f t="shared" si="6"/>
        <v>26.400000000000006</v>
      </c>
    </row>
    <row r="11" spans="1:20">
      <c r="A11" s="6">
        <v>650</v>
      </c>
      <c r="B11" t="s">
        <v>62</v>
      </c>
      <c r="C11" t="s">
        <v>25</v>
      </c>
      <c r="D11">
        <v>64</v>
      </c>
      <c r="E11">
        <v>18</v>
      </c>
      <c r="F11" s="1">
        <f t="shared" si="0"/>
        <v>0.78048780487804881</v>
      </c>
      <c r="G11" s="2">
        <v>114.8</v>
      </c>
      <c r="H11" s="2">
        <v>107.3</v>
      </c>
      <c r="I11" s="2">
        <f t="shared" si="1"/>
        <v>7.5</v>
      </c>
      <c r="J11" s="1">
        <f t="shared" si="2"/>
        <v>0.72028579383295666</v>
      </c>
      <c r="K11" s="2">
        <v>114.2</v>
      </c>
      <c r="L11" s="2">
        <v>106.8</v>
      </c>
      <c r="M11" s="2">
        <f t="shared" si="3"/>
        <v>7.4000000000000057</v>
      </c>
      <c r="N11" s="1">
        <f t="shared" si="4"/>
        <v>6.0202011045092152E-2</v>
      </c>
      <c r="O11" s="2">
        <v>131.5</v>
      </c>
      <c r="P11" s="2">
        <v>98.1</v>
      </c>
      <c r="Q11" s="2">
        <f t="shared" si="5"/>
        <v>33.400000000000006</v>
      </c>
      <c r="R11" s="2">
        <v>2.7</v>
      </c>
      <c r="S11" s="2">
        <v>9.6999999999999993</v>
      </c>
      <c r="T11" s="2">
        <f t="shared" si="6"/>
        <v>26</v>
      </c>
    </row>
    <row r="12" spans="1:20">
      <c r="A12" s="6">
        <v>691</v>
      </c>
      <c r="B12" t="s">
        <v>64</v>
      </c>
      <c r="C12" t="s">
        <v>8</v>
      </c>
      <c r="D12">
        <v>39</v>
      </c>
      <c r="E12">
        <v>43</v>
      </c>
      <c r="F12" s="1">
        <f t="shared" si="0"/>
        <v>0.47560975609756095</v>
      </c>
      <c r="G12" s="2">
        <v>112.3</v>
      </c>
      <c r="H12" s="2">
        <v>113.7</v>
      </c>
      <c r="I12" s="2">
        <f t="shared" si="1"/>
        <v>-1.4000000000000057</v>
      </c>
      <c r="J12" s="1">
        <f t="shared" si="2"/>
        <v>0.45674500707162874</v>
      </c>
      <c r="K12" s="2">
        <v>114</v>
      </c>
      <c r="L12" s="2">
        <v>115.7</v>
      </c>
      <c r="M12" s="2">
        <f t="shared" si="3"/>
        <v>-1.7000000000000028</v>
      </c>
      <c r="N12" s="1">
        <f t="shared" si="4"/>
        <v>1.8864749025932215E-2</v>
      </c>
      <c r="O12" s="2">
        <v>119.5</v>
      </c>
      <c r="P12" s="2">
        <v>95.5</v>
      </c>
      <c r="Q12" s="2">
        <f t="shared" si="5"/>
        <v>24</v>
      </c>
      <c r="R12" s="2">
        <v>0</v>
      </c>
      <c r="S12" s="2">
        <v>2</v>
      </c>
      <c r="T12" s="2">
        <f t="shared" si="6"/>
        <v>25.700000000000003</v>
      </c>
    </row>
    <row r="13" spans="1:20">
      <c r="A13" s="6">
        <v>456</v>
      </c>
      <c r="B13" t="s">
        <v>55</v>
      </c>
      <c r="C13" t="s">
        <v>13</v>
      </c>
      <c r="D13">
        <v>73</v>
      </c>
      <c r="E13">
        <v>9</v>
      </c>
      <c r="F13" s="1">
        <f t="shared" si="0"/>
        <v>0.8902439024390244</v>
      </c>
      <c r="G13" s="2">
        <v>114.9</v>
      </c>
      <c r="H13" s="2">
        <v>104.1</v>
      </c>
      <c r="I13" s="2">
        <f t="shared" si="1"/>
        <v>10.800000000000011</v>
      </c>
      <c r="J13" s="1">
        <f t="shared" si="2"/>
        <v>0.7993028619398963</v>
      </c>
      <c r="K13" s="2">
        <v>113.5</v>
      </c>
      <c r="L13" s="2">
        <v>102.8</v>
      </c>
      <c r="M13" s="2">
        <f t="shared" si="3"/>
        <v>10.700000000000003</v>
      </c>
      <c r="N13" s="1">
        <f t="shared" si="4"/>
        <v>9.0941040499128101E-2</v>
      </c>
      <c r="O13" s="2">
        <v>117</v>
      </c>
      <c r="P13" s="2">
        <v>81.099999999999994</v>
      </c>
      <c r="Q13" s="2">
        <f t="shared" si="5"/>
        <v>35.900000000000006</v>
      </c>
      <c r="R13" s="2">
        <v>0.4</v>
      </c>
      <c r="S13" s="2">
        <v>3.5</v>
      </c>
      <c r="T13" s="2">
        <f t="shared" si="6"/>
        <v>25.200000000000003</v>
      </c>
    </row>
    <row r="14" spans="1:20">
      <c r="A14" s="6">
        <v>302</v>
      </c>
      <c r="B14" t="s">
        <v>48</v>
      </c>
      <c r="C14" t="s">
        <v>10</v>
      </c>
      <c r="D14">
        <v>57</v>
      </c>
      <c r="E14">
        <v>25</v>
      </c>
      <c r="F14" s="1">
        <f t="shared" si="0"/>
        <v>0.69512195121951215</v>
      </c>
      <c r="G14" s="2">
        <v>100.2</v>
      </c>
      <c r="H14" s="2">
        <v>96</v>
      </c>
      <c r="I14" s="2">
        <f t="shared" si="1"/>
        <v>4.2000000000000028</v>
      </c>
      <c r="J14" s="1">
        <f t="shared" si="2"/>
        <v>0.64553732038759359</v>
      </c>
      <c r="K14" s="2">
        <v>108.4</v>
      </c>
      <c r="L14" s="2">
        <v>104.1</v>
      </c>
      <c r="M14" s="2">
        <f t="shared" si="3"/>
        <v>4.3000000000000114</v>
      </c>
      <c r="N14" s="1">
        <f t="shared" si="4"/>
        <v>4.9584630831918552E-2</v>
      </c>
      <c r="O14" s="2">
        <v>118.3</v>
      </c>
      <c r="P14" s="2">
        <v>88.8</v>
      </c>
      <c r="Q14" s="2">
        <f t="shared" si="5"/>
        <v>29.5</v>
      </c>
      <c r="R14" s="2">
        <v>1.5</v>
      </c>
      <c r="S14" s="2">
        <v>8.1999999999999993</v>
      </c>
      <c r="T14" s="2">
        <f t="shared" si="6"/>
        <v>25.199999999999989</v>
      </c>
    </row>
    <row r="15" spans="1:20">
      <c r="A15" s="6">
        <v>401</v>
      </c>
      <c r="B15" t="s">
        <v>52</v>
      </c>
      <c r="C15" t="s">
        <v>35</v>
      </c>
      <c r="D15">
        <v>50</v>
      </c>
      <c r="E15">
        <v>32</v>
      </c>
      <c r="F15" s="1">
        <f t="shared" si="0"/>
        <v>0.6097560975609756</v>
      </c>
      <c r="G15" s="2">
        <v>96.1</v>
      </c>
      <c r="H15" s="2">
        <v>94.6</v>
      </c>
      <c r="I15" s="2">
        <f t="shared" si="1"/>
        <v>1.5</v>
      </c>
      <c r="J15" s="1">
        <f t="shared" si="2"/>
        <v>0.554839936539687</v>
      </c>
      <c r="K15" s="2">
        <v>105.5</v>
      </c>
      <c r="L15" s="2">
        <v>103.8</v>
      </c>
      <c r="M15" s="2">
        <f t="shared" si="3"/>
        <v>1.7000000000000028</v>
      </c>
      <c r="N15" s="1">
        <f t="shared" si="4"/>
        <v>5.4916161021288601E-2</v>
      </c>
      <c r="O15" s="2">
        <v>108.7</v>
      </c>
      <c r="P15" s="2">
        <v>82</v>
      </c>
      <c r="Q15" s="2">
        <f t="shared" si="5"/>
        <v>26.700000000000003</v>
      </c>
      <c r="R15" s="2">
        <v>1.1000000000000001</v>
      </c>
      <c r="S15" s="2">
        <v>4.3</v>
      </c>
      <c r="T15" s="2">
        <f t="shared" si="6"/>
        <v>25</v>
      </c>
    </row>
    <row r="16" spans="1:20">
      <c r="A16" s="6">
        <v>372</v>
      </c>
      <c r="B16" t="s">
        <v>50</v>
      </c>
      <c r="C16" t="s">
        <v>18</v>
      </c>
      <c r="D16">
        <v>66</v>
      </c>
      <c r="E16">
        <v>16</v>
      </c>
      <c r="F16" s="1">
        <f t="shared" si="0"/>
        <v>0.80487804878048785</v>
      </c>
      <c r="G16" s="2">
        <v>102.9</v>
      </c>
      <c r="H16" s="2">
        <v>95</v>
      </c>
      <c r="I16" s="2">
        <f t="shared" si="1"/>
        <v>7.9000000000000057</v>
      </c>
      <c r="J16" s="1">
        <f t="shared" si="2"/>
        <v>0.75367891326640968</v>
      </c>
      <c r="K16" s="2">
        <v>111.4</v>
      </c>
      <c r="L16" s="2">
        <v>103.2</v>
      </c>
      <c r="M16" s="2">
        <f t="shared" si="3"/>
        <v>8.2000000000000028</v>
      </c>
      <c r="N16" s="1">
        <f t="shared" si="4"/>
        <v>5.1199135514078176E-2</v>
      </c>
      <c r="O16" s="2">
        <v>117.7</v>
      </c>
      <c r="P16" s="2">
        <v>84.5</v>
      </c>
      <c r="Q16" s="2">
        <f t="shared" si="5"/>
        <v>33.200000000000003</v>
      </c>
      <c r="R16" s="2">
        <v>2.1</v>
      </c>
      <c r="S16" s="2">
        <v>12.2</v>
      </c>
      <c r="T16" s="2">
        <f t="shared" si="6"/>
        <v>25</v>
      </c>
    </row>
    <row r="17" spans="1:20">
      <c r="A17" s="6">
        <v>587</v>
      </c>
      <c r="B17" t="s">
        <v>60</v>
      </c>
      <c r="C17" t="s">
        <v>46</v>
      </c>
      <c r="D17">
        <v>44</v>
      </c>
      <c r="E17">
        <v>28</v>
      </c>
      <c r="F17" s="1">
        <f t="shared" si="0"/>
        <v>0.61111111111111116</v>
      </c>
      <c r="G17" s="2">
        <v>110.4</v>
      </c>
      <c r="H17" s="2">
        <v>108.4</v>
      </c>
      <c r="I17" s="2">
        <f t="shared" si="1"/>
        <v>2</v>
      </c>
      <c r="J17" s="1">
        <f t="shared" si="2"/>
        <v>0.56364011525876911</v>
      </c>
      <c r="K17" s="2">
        <v>110.1</v>
      </c>
      <c r="L17" s="2">
        <v>108.1</v>
      </c>
      <c r="M17" s="2">
        <f t="shared" si="3"/>
        <v>2</v>
      </c>
      <c r="N17" s="1">
        <f t="shared" si="4"/>
        <v>4.7470995852342046E-2</v>
      </c>
      <c r="O17" s="2">
        <v>120.9</v>
      </c>
      <c r="P17" s="2">
        <v>94.4</v>
      </c>
      <c r="Q17" s="2">
        <f t="shared" si="5"/>
        <v>26.5</v>
      </c>
      <c r="R17" s="2">
        <v>2.2000000000000002</v>
      </c>
      <c r="S17" s="2">
        <v>8.8000000000000007</v>
      </c>
      <c r="T17" s="2">
        <f t="shared" si="6"/>
        <v>24.5</v>
      </c>
    </row>
    <row r="18" spans="1:20">
      <c r="A18" s="6">
        <v>241</v>
      </c>
      <c r="B18" t="s">
        <v>45</v>
      </c>
      <c r="C18" t="s">
        <v>9</v>
      </c>
      <c r="D18">
        <v>66</v>
      </c>
      <c r="E18">
        <v>16</v>
      </c>
      <c r="F18" s="1">
        <f t="shared" si="0"/>
        <v>0.80487804878048785</v>
      </c>
      <c r="G18" s="2">
        <v>100.3</v>
      </c>
      <c r="H18" s="2">
        <v>91.4</v>
      </c>
      <c r="I18" s="2">
        <f t="shared" si="1"/>
        <v>8.8999999999999915</v>
      </c>
      <c r="J18" s="1">
        <f t="shared" si="2"/>
        <v>0.78598355822200683</v>
      </c>
      <c r="K18" s="2">
        <v>111.2</v>
      </c>
      <c r="L18" s="2">
        <v>101.6</v>
      </c>
      <c r="M18" s="2">
        <f t="shared" si="3"/>
        <v>9.6000000000000085</v>
      </c>
      <c r="N18" s="1">
        <f t="shared" si="4"/>
        <v>1.8894490558481025E-2</v>
      </c>
      <c r="O18" s="2">
        <v>127.1</v>
      </c>
      <c r="P18" s="2">
        <v>93.9</v>
      </c>
      <c r="Q18" s="2">
        <f t="shared" si="5"/>
        <v>33.199999999999989</v>
      </c>
      <c r="R18" s="2">
        <v>2</v>
      </c>
      <c r="S18" s="2">
        <v>11.6</v>
      </c>
      <c r="T18" s="2">
        <f t="shared" si="6"/>
        <v>23.59999999999998</v>
      </c>
    </row>
    <row r="19" spans="1:20">
      <c r="A19" s="6">
        <v>211</v>
      </c>
      <c r="B19" t="s">
        <v>44</v>
      </c>
      <c r="C19" t="s">
        <v>9</v>
      </c>
      <c r="D19">
        <v>45</v>
      </c>
      <c r="E19">
        <v>37</v>
      </c>
      <c r="F19" s="1">
        <f t="shared" si="0"/>
        <v>0.54878048780487809</v>
      </c>
      <c r="G19" s="2">
        <v>96.4</v>
      </c>
      <c r="H19" s="2">
        <v>96.7</v>
      </c>
      <c r="I19" s="2">
        <f t="shared" si="1"/>
        <v>-0.29999999999999716</v>
      </c>
      <c r="J19" s="1">
        <f t="shared" si="2"/>
        <v>0.48912651167349064</v>
      </c>
      <c r="K19" s="2">
        <v>104.8</v>
      </c>
      <c r="L19" s="2">
        <v>105.4</v>
      </c>
      <c r="M19" s="2">
        <f t="shared" si="3"/>
        <v>-0.60000000000000853</v>
      </c>
      <c r="N19" s="1">
        <f t="shared" si="4"/>
        <v>5.9653976131387454E-2</v>
      </c>
      <c r="O19" s="2">
        <v>112.8</v>
      </c>
      <c r="P19" s="2">
        <v>90.9</v>
      </c>
      <c r="Q19" s="2">
        <f t="shared" si="5"/>
        <v>21.899999999999991</v>
      </c>
      <c r="R19" s="2">
        <v>1.9</v>
      </c>
      <c r="S19" s="2">
        <v>6.1</v>
      </c>
      <c r="T19" s="2">
        <f t="shared" si="6"/>
        <v>22.5</v>
      </c>
    </row>
    <row r="20" spans="1:20">
      <c r="A20" s="6">
        <v>497</v>
      </c>
      <c r="B20" t="s">
        <v>57</v>
      </c>
      <c r="C20" t="s">
        <v>46</v>
      </c>
      <c r="D20">
        <v>47</v>
      </c>
      <c r="E20">
        <v>35</v>
      </c>
      <c r="F20" s="1">
        <f t="shared" si="0"/>
        <v>0.57317073170731703</v>
      </c>
      <c r="G20" s="2">
        <v>106.6</v>
      </c>
      <c r="H20" s="2">
        <v>105.8</v>
      </c>
      <c r="I20" s="2">
        <f t="shared" si="1"/>
        <v>0.79999999999999716</v>
      </c>
      <c r="J20" s="1">
        <f t="shared" si="2"/>
        <v>0.52634106336275344</v>
      </c>
      <c r="K20" s="2">
        <v>107.9</v>
      </c>
      <c r="L20" s="2">
        <v>107.1</v>
      </c>
      <c r="M20" s="2">
        <f t="shared" si="3"/>
        <v>0.80000000000001137</v>
      </c>
      <c r="N20" s="1">
        <f t="shared" si="4"/>
        <v>4.6829668344563591E-2</v>
      </c>
      <c r="O20" s="2">
        <v>115.5</v>
      </c>
      <c r="P20" s="2">
        <v>92.6</v>
      </c>
      <c r="Q20" s="2">
        <f t="shared" si="5"/>
        <v>22.900000000000006</v>
      </c>
      <c r="R20" s="2">
        <v>0.9</v>
      </c>
      <c r="S20" s="2">
        <v>2.2000000000000002</v>
      </c>
      <c r="T20" s="2">
        <f t="shared" si="6"/>
        <v>22.099999999999994</v>
      </c>
    </row>
    <row r="21" spans="1:20">
      <c r="A21" s="6">
        <v>600</v>
      </c>
      <c r="B21" t="s">
        <v>61</v>
      </c>
      <c r="C21" t="s">
        <v>7</v>
      </c>
      <c r="D21">
        <v>33</v>
      </c>
      <c r="E21">
        <v>39</v>
      </c>
      <c r="F21" s="1">
        <f t="shared" si="0"/>
        <v>0.45833333333333331</v>
      </c>
      <c r="G21" s="2">
        <v>109.5</v>
      </c>
      <c r="H21" s="2">
        <v>111.4</v>
      </c>
      <c r="I21" s="2">
        <f t="shared" si="1"/>
        <v>-1.9000000000000057</v>
      </c>
      <c r="J21" s="1">
        <f t="shared" si="2"/>
        <v>0.4400796285378884</v>
      </c>
      <c r="K21" s="2">
        <v>110.1</v>
      </c>
      <c r="L21" s="2">
        <v>112</v>
      </c>
      <c r="M21" s="2">
        <f t="shared" si="3"/>
        <v>-1.9000000000000057</v>
      </c>
      <c r="N21" s="1">
        <f t="shared" si="4"/>
        <v>1.8253704795444914E-2</v>
      </c>
      <c r="O21" s="2">
        <v>122.2</v>
      </c>
      <c r="P21" s="2">
        <v>102.4</v>
      </c>
      <c r="Q21" s="2">
        <f t="shared" si="5"/>
        <v>19.799999999999997</v>
      </c>
      <c r="R21" s="2">
        <v>0</v>
      </c>
      <c r="S21" s="2">
        <v>0.5</v>
      </c>
      <c r="T21" s="2">
        <f t="shared" si="6"/>
        <v>21.700000000000003</v>
      </c>
    </row>
    <row r="22" spans="1:20">
      <c r="A22" s="6">
        <v>278</v>
      </c>
      <c r="B22" t="s">
        <v>47</v>
      </c>
      <c r="C22" t="s">
        <v>16</v>
      </c>
      <c r="D22">
        <v>29</v>
      </c>
      <c r="E22">
        <v>53</v>
      </c>
      <c r="F22" s="1">
        <f t="shared" si="0"/>
        <v>0.35365853658536583</v>
      </c>
      <c r="G22" s="2">
        <v>95.7</v>
      </c>
      <c r="H22" s="2">
        <v>102.1</v>
      </c>
      <c r="I22" s="2">
        <f t="shared" si="1"/>
        <v>-6.3999999999999915</v>
      </c>
      <c r="J22" s="1">
        <f t="shared" si="2"/>
        <v>0.28776126250180661</v>
      </c>
      <c r="K22" s="2">
        <v>102.3</v>
      </c>
      <c r="L22" s="2">
        <v>109.1</v>
      </c>
      <c r="M22" s="2">
        <f t="shared" si="3"/>
        <v>-6.7999999999999972</v>
      </c>
      <c r="N22" s="1">
        <f t="shared" si="4"/>
        <v>6.5897274083559221E-2</v>
      </c>
      <c r="O22" s="2">
        <v>106</v>
      </c>
      <c r="P22" s="2">
        <v>91.3</v>
      </c>
      <c r="Q22" s="2">
        <f t="shared" si="5"/>
        <v>14.700000000000003</v>
      </c>
      <c r="R22" s="2">
        <v>-2.1</v>
      </c>
      <c r="S22" s="2">
        <v>-10.4</v>
      </c>
      <c r="T22" s="2">
        <f t="shared" si="6"/>
        <v>21.5</v>
      </c>
    </row>
    <row r="23" spans="1:20">
      <c r="A23" s="6">
        <v>769</v>
      </c>
      <c r="B23" t="s">
        <v>66</v>
      </c>
      <c r="C23" t="s">
        <v>24</v>
      </c>
      <c r="D23">
        <v>34</v>
      </c>
      <c r="E23">
        <v>29</v>
      </c>
      <c r="F23" s="1">
        <f t="shared" si="0"/>
        <v>0.53968253968253965</v>
      </c>
      <c r="G23" s="2">
        <v>115.8</v>
      </c>
      <c r="H23" s="2">
        <v>116.1</v>
      </c>
      <c r="I23" s="2">
        <f t="shared" si="1"/>
        <v>-0.29999999999999716</v>
      </c>
      <c r="J23" s="1">
        <f t="shared" si="2"/>
        <v>0.49094535752934715</v>
      </c>
      <c r="K23" s="2">
        <v>114.3</v>
      </c>
      <c r="L23" s="2">
        <v>114.6</v>
      </c>
      <c r="M23" s="2">
        <f t="shared" si="3"/>
        <v>-0.29999999999999716</v>
      </c>
      <c r="N23" s="1">
        <f t="shared" si="4"/>
        <v>4.8737182153192504E-2</v>
      </c>
      <c r="O23" s="2">
        <v>120.5</v>
      </c>
      <c r="P23" s="2">
        <v>99.7</v>
      </c>
      <c r="Q23" s="2">
        <f t="shared" si="5"/>
        <v>20.799999999999997</v>
      </c>
      <c r="R23" s="2">
        <v>1.3</v>
      </c>
      <c r="S23" s="2">
        <v>5.0999999999999996</v>
      </c>
      <c r="T23" s="2">
        <f t="shared" si="6"/>
        <v>21.099999999999994</v>
      </c>
    </row>
    <row r="24" spans="1:20">
      <c r="A24" s="6">
        <v>694</v>
      </c>
      <c r="B24" t="s">
        <v>64</v>
      </c>
      <c r="C24" t="s">
        <v>11</v>
      </c>
      <c r="D24">
        <v>57</v>
      </c>
      <c r="E24">
        <v>25</v>
      </c>
      <c r="F24" s="1">
        <f t="shared" si="0"/>
        <v>0.69512195121951215</v>
      </c>
      <c r="G24" s="2">
        <v>114.9</v>
      </c>
      <c r="H24" s="2">
        <v>109.6</v>
      </c>
      <c r="I24" s="2">
        <f t="shared" si="1"/>
        <v>5.3000000000000114</v>
      </c>
      <c r="J24" s="1">
        <f t="shared" si="2"/>
        <v>0.65951807642431337</v>
      </c>
      <c r="K24" s="2">
        <v>117.8</v>
      </c>
      <c r="L24" s="2">
        <v>112.3</v>
      </c>
      <c r="M24" s="2">
        <f t="shared" si="3"/>
        <v>5.5</v>
      </c>
      <c r="N24" s="1">
        <f t="shared" si="4"/>
        <v>3.5603874795198776E-2</v>
      </c>
      <c r="O24" s="2">
        <v>121.1</v>
      </c>
      <c r="P24" s="2">
        <v>95.6</v>
      </c>
      <c r="Q24" s="2">
        <f t="shared" si="5"/>
        <v>25.5</v>
      </c>
      <c r="R24" s="2">
        <v>1.2</v>
      </c>
      <c r="S24" s="2">
        <v>3.3</v>
      </c>
      <c r="T24" s="2">
        <f t="shared" si="6"/>
        <v>20</v>
      </c>
    </row>
    <row r="25" spans="1:20">
      <c r="A25" s="6">
        <v>512</v>
      </c>
      <c r="B25" t="s">
        <v>58</v>
      </c>
      <c r="C25" t="s">
        <v>9</v>
      </c>
      <c r="D25">
        <v>50</v>
      </c>
      <c r="E25">
        <v>32</v>
      </c>
      <c r="F25" s="1">
        <f t="shared" si="0"/>
        <v>0.6097560975609756</v>
      </c>
      <c r="G25" s="2">
        <v>110.9</v>
      </c>
      <c r="H25" s="2">
        <v>109.9</v>
      </c>
      <c r="I25" s="2">
        <f t="shared" si="1"/>
        <v>1</v>
      </c>
      <c r="J25" s="1">
        <f t="shared" si="2"/>
        <v>0.53166069765175683</v>
      </c>
      <c r="K25" s="2">
        <v>112</v>
      </c>
      <c r="L25" s="2">
        <v>111.1</v>
      </c>
      <c r="M25" s="2">
        <f t="shared" si="3"/>
        <v>0.90000000000000568</v>
      </c>
      <c r="N25" s="1">
        <f t="shared" si="4"/>
        <v>7.8095399909218766E-2</v>
      </c>
      <c r="O25" s="2">
        <v>116.9</v>
      </c>
      <c r="P25" s="2">
        <v>96.1</v>
      </c>
      <c r="Q25" s="2">
        <f t="shared" si="5"/>
        <v>20.800000000000011</v>
      </c>
      <c r="R25" s="2">
        <v>0.6</v>
      </c>
      <c r="S25" s="2">
        <v>4.2</v>
      </c>
      <c r="T25" s="2">
        <f t="shared" si="6"/>
        <v>19.900000000000006</v>
      </c>
    </row>
    <row r="26" spans="1:20">
      <c r="A26" s="6">
        <v>693</v>
      </c>
      <c r="B26" t="s">
        <v>64</v>
      </c>
      <c r="C26" t="s">
        <v>10</v>
      </c>
      <c r="D26">
        <v>50</v>
      </c>
      <c r="E26">
        <v>32</v>
      </c>
      <c r="F26" s="1">
        <f t="shared" si="0"/>
        <v>0.6097560975609756</v>
      </c>
      <c r="G26" s="2">
        <v>117.9</v>
      </c>
      <c r="H26" s="2">
        <v>115.6</v>
      </c>
      <c r="I26" s="2">
        <f t="shared" si="1"/>
        <v>2.3000000000000114</v>
      </c>
      <c r="J26" s="1">
        <f t="shared" si="2"/>
        <v>0.56851916226040555</v>
      </c>
      <c r="K26" s="2">
        <v>117</v>
      </c>
      <c r="L26" s="2">
        <v>114.9</v>
      </c>
      <c r="M26" s="2">
        <f t="shared" si="3"/>
        <v>2.0999999999999943</v>
      </c>
      <c r="N26" s="1">
        <f t="shared" si="4"/>
        <v>4.1236935300570043E-2</v>
      </c>
      <c r="O26" s="2">
        <v>128.19999999999999</v>
      </c>
      <c r="P26" s="2">
        <v>106.4</v>
      </c>
      <c r="Q26" s="2">
        <f t="shared" si="5"/>
        <v>21.799999999999983</v>
      </c>
      <c r="R26" s="2">
        <v>0.5</v>
      </c>
      <c r="S26" s="2">
        <v>3.6</v>
      </c>
      <c r="T26" s="2">
        <f t="shared" si="6"/>
        <v>19.699999999999989</v>
      </c>
    </row>
    <row r="27" spans="1:20">
      <c r="A27" s="6">
        <v>80</v>
      </c>
      <c r="B27" t="s">
        <v>36</v>
      </c>
      <c r="C27" t="s">
        <v>25</v>
      </c>
      <c r="D27">
        <v>44</v>
      </c>
      <c r="E27">
        <v>38</v>
      </c>
      <c r="F27" s="1">
        <f t="shared" si="0"/>
        <v>0.53658536585365857</v>
      </c>
      <c r="G27" s="2">
        <v>95.5</v>
      </c>
      <c r="H27" s="2">
        <v>94.4</v>
      </c>
      <c r="I27" s="2">
        <f t="shared" si="1"/>
        <v>1.0999999999999943</v>
      </c>
      <c r="J27" s="1">
        <f t="shared" si="2"/>
        <v>0.5404594538627715</v>
      </c>
      <c r="K27" s="2">
        <v>102.6</v>
      </c>
      <c r="L27" s="2">
        <v>101.3</v>
      </c>
      <c r="M27" s="2">
        <f t="shared" si="3"/>
        <v>1.2999999999999972</v>
      </c>
      <c r="N27" s="1">
        <f t="shared" si="4"/>
        <v>-3.8740880091129304E-3</v>
      </c>
      <c r="O27" s="2">
        <v>109</v>
      </c>
      <c r="P27" s="2">
        <v>88.1</v>
      </c>
      <c r="Q27" s="2">
        <f t="shared" si="5"/>
        <v>20.900000000000006</v>
      </c>
      <c r="R27" s="2">
        <v>2.7</v>
      </c>
      <c r="S27" s="2">
        <v>14</v>
      </c>
      <c r="T27" s="2">
        <f t="shared" si="6"/>
        <v>19.600000000000009</v>
      </c>
    </row>
    <row r="28" spans="1:20">
      <c r="A28" s="6">
        <v>517</v>
      </c>
      <c r="B28" t="s">
        <v>58</v>
      </c>
      <c r="C28" t="s">
        <v>14</v>
      </c>
      <c r="D28">
        <v>65</v>
      </c>
      <c r="E28">
        <v>17</v>
      </c>
      <c r="F28" s="1">
        <f t="shared" si="0"/>
        <v>0.79268292682926833</v>
      </c>
      <c r="G28" s="2">
        <v>112.4</v>
      </c>
      <c r="H28" s="2">
        <v>103.9</v>
      </c>
      <c r="I28" s="2">
        <f t="shared" si="1"/>
        <v>8.5</v>
      </c>
      <c r="J28" s="1">
        <f t="shared" si="2"/>
        <v>0.75042693083028544</v>
      </c>
      <c r="K28" s="2">
        <v>114.1</v>
      </c>
      <c r="L28" s="2">
        <v>105.7</v>
      </c>
      <c r="M28" s="2">
        <f t="shared" si="3"/>
        <v>8.3999999999999915</v>
      </c>
      <c r="N28" s="1">
        <f t="shared" si="4"/>
        <v>4.2255995998982887E-2</v>
      </c>
      <c r="O28" s="2">
        <v>122.9</v>
      </c>
      <c r="P28" s="2">
        <v>95.9</v>
      </c>
      <c r="Q28" s="2">
        <f t="shared" si="5"/>
        <v>27</v>
      </c>
      <c r="R28" s="2">
        <v>-0.2</v>
      </c>
      <c r="S28" s="2">
        <v>1.3</v>
      </c>
      <c r="T28" s="2">
        <f t="shared" si="6"/>
        <v>18.600000000000009</v>
      </c>
    </row>
    <row r="29" spans="1:20">
      <c r="A29" s="6">
        <v>158</v>
      </c>
      <c r="B29" t="s">
        <v>41</v>
      </c>
      <c r="C29" t="s">
        <v>16</v>
      </c>
      <c r="D29">
        <v>47</v>
      </c>
      <c r="E29">
        <v>35</v>
      </c>
      <c r="F29" s="1">
        <f t="shared" si="0"/>
        <v>0.57317073170731703</v>
      </c>
      <c r="G29" s="2">
        <v>97.2</v>
      </c>
      <c r="H29" s="2">
        <v>95.6</v>
      </c>
      <c r="I29" s="2">
        <f t="shared" si="1"/>
        <v>1.6000000000000085</v>
      </c>
      <c r="J29" s="1">
        <f t="shared" si="2"/>
        <v>0.55783262608685169</v>
      </c>
      <c r="K29" s="2">
        <v>103.8</v>
      </c>
      <c r="L29" s="2">
        <v>102.2</v>
      </c>
      <c r="M29" s="2">
        <f t="shared" si="3"/>
        <v>1.5999999999999943</v>
      </c>
      <c r="N29" s="1">
        <f t="shared" si="4"/>
        <v>1.5338105620465337E-2</v>
      </c>
      <c r="O29" s="2">
        <v>112</v>
      </c>
      <c r="P29" s="2">
        <v>92.3</v>
      </c>
      <c r="Q29" s="2">
        <f t="shared" si="5"/>
        <v>19.700000000000003</v>
      </c>
      <c r="R29" s="2">
        <v>0.7</v>
      </c>
      <c r="S29" s="2">
        <v>4</v>
      </c>
      <c r="T29" s="2">
        <f t="shared" si="6"/>
        <v>18.100000000000009</v>
      </c>
    </row>
    <row r="30" spans="1:20">
      <c r="A30" s="6">
        <v>301</v>
      </c>
      <c r="B30" t="s">
        <v>48</v>
      </c>
      <c r="C30" t="s">
        <v>9</v>
      </c>
      <c r="D30">
        <v>19</v>
      </c>
      <c r="E30">
        <v>63</v>
      </c>
      <c r="F30" s="1">
        <f t="shared" si="0"/>
        <v>0.23170731707317074</v>
      </c>
      <c r="G30" s="2">
        <v>95.5</v>
      </c>
      <c r="H30" s="2">
        <v>104.5</v>
      </c>
      <c r="I30" s="2">
        <f t="shared" si="1"/>
        <v>-9</v>
      </c>
      <c r="J30" s="1">
        <f t="shared" si="2"/>
        <v>0.22082734006674018</v>
      </c>
      <c r="K30" s="2">
        <v>101.5</v>
      </c>
      <c r="L30" s="2">
        <v>110.9</v>
      </c>
      <c r="M30" s="2">
        <f t="shared" si="3"/>
        <v>-9.4000000000000057</v>
      </c>
      <c r="N30" s="1">
        <f t="shared" si="4"/>
        <v>1.0879977006430563E-2</v>
      </c>
      <c r="O30" s="2">
        <v>110.9</v>
      </c>
      <c r="P30" s="2">
        <v>102.2</v>
      </c>
      <c r="Q30" s="2">
        <f t="shared" si="5"/>
        <v>8.7000000000000028</v>
      </c>
      <c r="R30" s="2">
        <v>-0.8</v>
      </c>
      <c r="S30" s="2">
        <v>-3.9</v>
      </c>
      <c r="T30" s="2">
        <f t="shared" si="6"/>
        <v>18.100000000000009</v>
      </c>
    </row>
    <row r="31" spans="1:20">
      <c r="A31" s="6">
        <v>337</v>
      </c>
      <c r="B31" t="s">
        <v>49</v>
      </c>
      <c r="C31" t="s">
        <v>15</v>
      </c>
      <c r="D31">
        <v>42</v>
      </c>
      <c r="E31">
        <v>24</v>
      </c>
      <c r="F31" s="1">
        <f t="shared" si="0"/>
        <v>0.63636363636363635</v>
      </c>
      <c r="G31" s="2">
        <v>97.7</v>
      </c>
      <c r="H31" s="2">
        <v>94.4</v>
      </c>
      <c r="I31" s="2">
        <f t="shared" si="1"/>
        <v>3.2999999999999972</v>
      </c>
      <c r="J31" s="1">
        <f t="shared" si="2"/>
        <v>0.61799503146389967</v>
      </c>
      <c r="K31" s="2">
        <v>105.5</v>
      </c>
      <c r="L31" s="2">
        <v>102.1</v>
      </c>
      <c r="M31" s="2">
        <f t="shared" si="3"/>
        <v>3.4000000000000057</v>
      </c>
      <c r="N31" s="1">
        <f t="shared" si="4"/>
        <v>1.8368604899736685E-2</v>
      </c>
      <c r="O31" s="2">
        <v>106.5</v>
      </c>
      <c r="P31" s="2">
        <v>85.1</v>
      </c>
      <c r="Q31" s="2">
        <f t="shared" si="5"/>
        <v>21.400000000000006</v>
      </c>
      <c r="R31" s="2">
        <v>0.7</v>
      </c>
      <c r="S31" s="2">
        <v>2.5</v>
      </c>
      <c r="T31" s="2">
        <f t="shared" si="6"/>
        <v>18</v>
      </c>
    </row>
    <row r="32" spans="1:20">
      <c r="A32" s="6">
        <v>549</v>
      </c>
      <c r="B32" t="s">
        <v>59</v>
      </c>
      <c r="C32" t="s">
        <v>56</v>
      </c>
      <c r="D32">
        <v>48</v>
      </c>
      <c r="E32">
        <v>34</v>
      </c>
      <c r="F32" s="1">
        <f t="shared" si="0"/>
        <v>0.58536585365853655</v>
      </c>
      <c r="G32" s="2">
        <v>115.1</v>
      </c>
      <c r="H32" s="2">
        <v>114.3</v>
      </c>
      <c r="I32" s="2">
        <f t="shared" si="1"/>
        <v>0.79999999999999716</v>
      </c>
      <c r="J32" s="1">
        <f t="shared" si="2"/>
        <v>0.52439222902089777</v>
      </c>
      <c r="K32" s="2">
        <v>111.4</v>
      </c>
      <c r="L32" s="2">
        <v>110.4</v>
      </c>
      <c r="M32" s="2">
        <f t="shared" si="3"/>
        <v>1</v>
      </c>
      <c r="N32" s="1">
        <f t="shared" si="4"/>
        <v>6.0973624637638779E-2</v>
      </c>
      <c r="O32" s="2">
        <v>117.2</v>
      </c>
      <c r="P32" s="2">
        <v>98.5</v>
      </c>
      <c r="Q32" s="2">
        <f t="shared" si="5"/>
        <v>18.700000000000003</v>
      </c>
      <c r="R32" s="2">
        <v>1.2</v>
      </c>
      <c r="S32" s="2">
        <v>4.5</v>
      </c>
      <c r="T32" s="2">
        <f t="shared" si="6"/>
        <v>17.700000000000003</v>
      </c>
    </row>
    <row r="33" spans="1:20">
      <c r="A33" s="6">
        <v>182</v>
      </c>
      <c r="B33" t="s">
        <v>43</v>
      </c>
      <c r="C33" t="s">
        <v>10</v>
      </c>
      <c r="D33">
        <v>67</v>
      </c>
      <c r="E33">
        <v>15</v>
      </c>
      <c r="F33" s="1">
        <f t="shared" si="0"/>
        <v>0.81707317073170727</v>
      </c>
      <c r="G33" s="2">
        <v>100</v>
      </c>
      <c r="H33" s="2">
        <v>92.8</v>
      </c>
      <c r="I33" s="2">
        <f t="shared" si="1"/>
        <v>7.2000000000000028</v>
      </c>
      <c r="J33" s="1">
        <f t="shared" si="2"/>
        <v>0.74003099281791473</v>
      </c>
      <c r="K33" s="2">
        <v>109.7</v>
      </c>
      <c r="L33" s="2">
        <v>102.1</v>
      </c>
      <c r="M33" s="2">
        <f t="shared" si="3"/>
        <v>7.6000000000000085</v>
      </c>
      <c r="N33" s="1">
        <f t="shared" si="4"/>
        <v>7.7042177913792531E-2</v>
      </c>
      <c r="O33" s="2">
        <v>109.8</v>
      </c>
      <c r="P33" s="2">
        <v>84.5</v>
      </c>
      <c r="Q33" s="2">
        <f t="shared" si="5"/>
        <v>25.299999999999997</v>
      </c>
      <c r="R33" s="2">
        <v>1.1000000000000001</v>
      </c>
      <c r="S33" s="2">
        <v>6</v>
      </c>
      <c r="T33" s="2">
        <f t="shared" si="6"/>
        <v>17.699999999999989</v>
      </c>
    </row>
    <row r="34" spans="1:20">
      <c r="A34" s="6">
        <v>339</v>
      </c>
      <c r="B34" t="s">
        <v>49</v>
      </c>
      <c r="C34" t="s">
        <v>17</v>
      </c>
      <c r="D34">
        <v>41</v>
      </c>
      <c r="E34">
        <v>25</v>
      </c>
      <c r="F34" s="1">
        <f t="shared" si="0"/>
        <v>0.62121212121212122</v>
      </c>
      <c r="G34" s="2">
        <v>97.3</v>
      </c>
      <c r="H34" s="2">
        <v>95.9</v>
      </c>
      <c r="I34" s="2">
        <f t="shared" si="1"/>
        <v>1.3999999999999915</v>
      </c>
      <c r="J34" s="1">
        <f t="shared" si="2"/>
        <v>0.55055221133697552</v>
      </c>
      <c r="K34" s="2">
        <v>104.5</v>
      </c>
      <c r="L34" s="2">
        <v>103.2</v>
      </c>
      <c r="M34" s="2">
        <f t="shared" si="3"/>
        <v>1.2999999999999972</v>
      </c>
      <c r="N34" s="1">
        <f t="shared" si="4"/>
        <v>7.0659909875145699E-2</v>
      </c>
      <c r="O34" s="2">
        <v>111.2</v>
      </c>
      <c r="P34" s="2">
        <v>92.3</v>
      </c>
      <c r="Q34" s="2">
        <f t="shared" si="5"/>
        <v>18.900000000000006</v>
      </c>
      <c r="R34" s="2">
        <v>-0.1</v>
      </c>
      <c r="S34" s="2">
        <v>1.3</v>
      </c>
      <c r="T34" s="2">
        <f t="shared" si="6"/>
        <v>17.600000000000009</v>
      </c>
    </row>
    <row r="35" spans="1:20">
      <c r="A35" s="6">
        <v>672</v>
      </c>
      <c r="B35" t="s">
        <v>63</v>
      </c>
      <c r="C35" t="s">
        <v>18</v>
      </c>
      <c r="D35">
        <v>44</v>
      </c>
      <c r="E35">
        <v>38</v>
      </c>
      <c r="F35" s="1">
        <f t="shared" si="0"/>
        <v>0.53658536585365857</v>
      </c>
      <c r="G35" s="2">
        <v>109.5</v>
      </c>
      <c r="H35" s="2">
        <v>109.8</v>
      </c>
      <c r="I35" s="2">
        <f t="shared" si="1"/>
        <v>-0.29999999999999716</v>
      </c>
      <c r="J35" s="1">
        <f t="shared" si="2"/>
        <v>0.49042524125901932</v>
      </c>
      <c r="K35" s="2">
        <v>112.3</v>
      </c>
      <c r="L35" s="2">
        <v>112.8</v>
      </c>
      <c r="M35" s="2">
        <f t="shared" si="3"/>
        <v>-0.5</v>
      </c>
      <c r="N35" s="1">
        <f t="shared" si="4"/>
        <v>4.6160124594639251E-2</v>
      </c>
      <c r="O35" s="2">
        <v>112.3</v>
      </c>
      <c r="P35" s="2">
        <v>95.4</v>
      </c>
      <c r="Q35" s="2">
        <f t="shared" si="5"/>
        <v>16.899999999999991</v>
      </c>
      <c r="R35" s="2">
        <v>1.3</v>
      </c>
      <c r="S35" s="2">
        <v>6.5</v>
      </c>
      <c r="T35" s="2">
        <f t="shared" si="6"/>
        <v>17.399999999999991</v>
      </c>
    </row>
    <row r="36" spans="1:20">
      <c r="A36" s="6">
        <v>715</v>
      </c>
      <c r="B36" t="s">
        <v>64</v>
      </c>
      <c r="C36" t="s">
        <v>31</v>
      </c>
      <c r="D36">
        <v>31</v>
      </c>
      <c r="E36">
        <v>51</v>
      </c>
      <c r="F36" s="1">
        <f t="shared" si="0"/>
        <v>0.37804878048780488</v>
      </c>
      <c r="G36" s="2">
        <v>115.7</v>
      </c>
      <c r="H36" s="2">
        <v>120.5</v>
      </c>
      <c r="I36" s="2">
        <f t="shared" si="1"/>
        <v>-4.7999999999999972</v>
      </c>
      <c r="J36" s="1">
        <f t="shared" si="2"/>
        <v>0.36144736866912885</v>
      </c>
      <c r="K36" s="2">
        <v>114.5</v>
      </c>
      <c r="L36" s="2">
        <v>119.6</v>
      </c>
      <c r="M36" s="2">
        <f t="shared" si="3"/>
        <v>-5.0999999999999943</v>
      </c>
      <c r="N36" s="1">
        <f t="shared" si="4"/>
        <v>1.6601411818676026E-2</v>
      </c>
      <c r="O36" s="2">
        <v>116.1</v>
      </c>
      <c r="P36" s="2">
        <v>104.3</v>
      </c>
      <c r="Q36" s="2">
        <f t="shared" si="5"/>
        <v>11.799999999999997</v>
      </c>
      <c r="R36" s="2">
        <v>0.2</v>
      </c>
      <c r="S36" s="2">
        <v>1</v>
      </c>
      <c r="T36" s="2">
        <f t="shared" si="6"/>
        <v>16.899999999999991</v>
      </c>
    </row>
    <row r="37" spans="1:20">
      <c r="A37" s="6">
        <v>631</v>
      </c>
      <c r="B37" t="s">
        <v>62</v>
      </c>
      <c r="C37" t="s">
        <v>8</v>
      </c>
      <c r="D37">
        <v>46</v>
      </c>
      <c r="E37">
        <v>36</v>
      </c>
      <c r="F37" s="1">
        <f t="shared" si="0"/>
        <v>0.56097560975609762</v>
      </c>
      <c r="G37" s="2">
        <v>111.6</v>
      </c>
      <c r="H37" s="2">
        <v>112</v>
      </c>
      <c r="I37" s="2">
        <f t="shared" si="1"/>
        <v>-0.40000000000000568</v>
      </c>
      <c r="J37" s="1">
        <f t="shared" si="2"/>
        <v>0.48748024280159491</v>
      </c>
      <c r="K37" s="2">
        <v>112.7</v>
      </c>
      <c r="L37" s="2">
        <v>113.2</v>
      </c>
      <c r="M37" s="2">
        <f t="shared" si="3"/>
        <v>-0.5</v>
      </c>
      <c r="N37" s="1">
        <f t="shared" si="4"/>
        <v>7.3495366954502706E-2</v>
      </c>
      <c r="O37" s="2">
        <v>121</v>
      </c>
      <c r="P37" s="2">
        <v>104.9</v>
      </c>
      <c r="Q37" s="2">
        <f t="shared" si="5"/>
        <v>16.099999999999994</v>
      </c>
      <c r="R37" s="2">
        <v>0.9</v>
      </c>
      <c r="S37" s="2">
        <v>3.7</v>
      </c>
      <c r="T37" s="2">
        <f t="shared" si="6"/>
        <v>16.599999999999994</v>
      </c>
    </row>
    <row r="38" spans="1:20">
      <c r="A38" s="6">
        <v>570</v>
      </c>
      <c r="B38" t="s">
        <v>60</v>
      </c>
      <c r="C38" t="s">
        <v>7</v>
      </c>
      <c r="D38">
        <v>23</v>
      </c>
      <c r="E38">
        <v>42</v>
      </c>
      <c r="F38" s="1">
        <f t="shared" si="0"/>
        <v>0.35384615384615387</v>
      </c>
      <c r="G38" s="2">
        <v>102.9</v>
      </c>
      <c r="H38" s="2">
        <v>109.6</v>
      </c>
      <c r="I38" s="2">
        <f t="shared" si="1"/>
        <v>-6.6999999999999886</v>
      </c>
      <c r="J38" s="1">
        <f t="shared" si="2"/>
        <v>0.29253243315718996</v>
      </c>
      <c r="K38" s="2">
        <v>105.9</v>
      </c>
      <c r="L38" s="2">
        <v>112.8</v>
      </c>
      <c r="M38" s="2">
        <f t="shared" si="3"/>
        <v>-6.8999999999999915</v>
      </c>
      <c r="N38" s="1">
        <f t="shared" si="4"/>
        <v>6.1313720688963902E-2</v>
      </c>
      <c r="O38" s="2">
        <v>120.3</v>
      </c>
      <c r="P38" s="2">
        <v>110.6</v>
      </c>
      <c r="Q38" s="2">
        <f t="shared" si="5"/>
        <v>9.7000000000000028</v>
      </c>
      <c r="R38" s="2">
        <v>-2.1</v>
      </c>
      <c r="S38" s="2">
        <v>-8</v>
      </c>
      <c r="T38" s="2">
        <f t="shared" si="6"/>
        <v>16.599999999999994</v>
      </c>
    </row>
    <row r="39" spans="1:20">
      <c r="A39" s="6">
        <v>721</v>
      </c>
      <c r="B39" t="s">
        <v>65</v>
      </c>
      <c r="C39" t="s">
        <v>8</v>
      </c>
      <c r="D39">
        <v>39</v>
      </c>
      <c r="E39">
        <v>43</v>
      </c>
      <c r="F39" s="1">
        <f t="shared" si="0"/>
        <v>0.47560975609756095</v>
      </c>
      <c r="G39" s="2">
        <v>117.8</v>
      </c>
      <c r="H39" s="2">
        <v>119.4</v>
      </c>
      <c r="I39" s="2">
        <f t="shared" si="1"/>
        <v>-1.6000000000000085</v>
      </c>
      <c r="J39" s="1">
        <f t="shared" si="2"/>
        <v>0.45292161510107215</v>
      </c>
      <c r="K39" s="2">
        <v>113.2</v>
      </c>
      <c r="L39" s="2">
        <v>114.8</v>
      </c>
      <c r="M39" s="2">
        <f t="shared" si="3"/>
        <v>-1.5999999999999943</v>
      </c>
      <c r="N39" s="1">
        <f t="shared" si="4"/>
        <v>2.2688140996488804E-2</v>
      </c>
      <c r="O39" s="2">
        <v>115.4</v>
      </c>
      <c r="P39" s="2">
        <v>100.4</v>
      </c>
      <c r="Q39" s="2">
        <f t="shared" si="5"/>
        <v>15</v>
      </c>
      <c r="R39" s="2">
        <v>0</v>
      </c>
      <c r="S39" s="2">
        <v>1.9</v>
      </c>
      <c r="T39" s="2">
        <f t="shared" si="6"/>
        <v>16.599999999999994</v>
      </c>
    </row>
    <row r="40" spans="1:20">
      <c r="A40" s="6">
        <v>27</v>
      </c>
      <c r="B40" t="s">
        <v>4</v>
      </c>
      <c r="C40" t="s">
        <v>31</v>
      </c>
      <c r="D40">
        <v>53</v>
      </c>
      <c r="E40">
        <v>29</v>
      </c>
      <c r="F40" s="1">
        <f t="shared" si="0"/>
        <v>0.64634146341463417</v>
      </c>
      <c r="G40" s="2">
        <v>97.1</v>
      </c>
      <c r="H40" s="2">
        <v>92.4</v>
      </c>
      <c r="I40" s="2">
        <f t="shared" si="1"/>
        <v>4.6999999999999886</v>
      </c>
      <c r="J40" s="1">
        <f t="shared" si="2"/>
        <v>0.66698978218466165</v>
      </c>
      <c r="K40" s="2">
        <v>106.1</v>
      </c>
      <c r="L40" s="2">
        <v>100.9</v>
      </c>
      <c r="M40" s="2">
        <f t="shared" si="3"/>
        <v>5.1999999999999886</v>
      </c>
      <c r="N40" s="1">
        <f t="shared" si="4"/>
        <v>-2.0648318770027485E-2</v>
      </c>
      <c r="O40" s="2">
        <v>118.4</v>
      </c>
      <c r="P40" s="2">
        <v>96.8</v>
      </c>
      <c r="Q40" s="2">
        <f t="shared" si="5"/>
        <v>21.600000000000009</v>
      </c>
      <c r="R40" s="2">
        <v>2.5</v>
      </c>
      <c r="S40" s="2">
        <v>11.2</v>
      </c>
      <c r="T40" s="2">
        <f t="shared" si="6"/>
        <v>16.40000000000002</v>
      </c>
    </row>
    <row r="41" spans="1:20">
      <c r="A41" s="6">
        <v>656</v>
      </c>
      <c r="B41" t="s">
        <v>62</v>
      </c>
      <c r="C41" t="s">
        <v>33</v>
      </c>
      <c r="D41">
        <v>35</v>
      </c>
      <c r="E41">
        <v>47</v>
      </c>
      <c r="F41" s="1">
        <f t="shared" si="0"/>
        <v>0.42682926829268292</v>
      </c>
      <c r="G41" s="2">
        <v>108.6</v>
      </c>
      <c r="H41" s="2">
        <v>112</v>
      </c>
      <c r="I41" s="2">
        <f t="shared" si="1"/>
        <v>-3.4000000000000057</v>
      </c>
      <c r="J41" s="1">
        <f t="shared" si="2"/>
        <v>0.39374803277968673</v>
      </c>
      <c r="K41" s="2">
        <v>110.2</v>
      </c>
      <c r="L41" s="2">
        <v>113.6</v>
      </c>
      <c r="M41" s="2">
        <f t="shared" si="3"/>
        <v>-3.3999999999999915</v>
      </c>
      <c r="N41" s="1">
        <f t="shared" si="4"/>
        <v>3.3081235512996188E-2</v>
      </c>
      <c r="O41" s="2">
        <v>111.5</v>
      </c>
      <c r="P41" s="2">
        <v>98.8</v>
      </c>
      <c r="Q41" s="2">
        <f t="shared" si="5"/>
        <v>12.700000000000003</v>
      </c>
      <c r="R41" s="2">
        <v>0.5</v>
      </c>
      <c r="S41" s="2">
        <v>4.9000000000000004</v>
      </c>
      <c r="T41" s="2">
        <f t="shared" si="6"/>
        <v>16.099999999999994</v>
      </c>
    </row>
    <row r="42" spans="1:20">
      <c r="A42" s="6">
        <v>272</v>
      </c>
      <c r="B42" t="s">
        <v>47</v>
      </c>
      <c r="C42" t="s">
        <v>10</v>
      </c>
      <c r="D42">
        <v>55</v>
      </c>
      <c r="E42">
        <v>27</v>
      </c>
      <c r="F42" s="1">
        <f t="shared" si="0"/>
        <v>0.67073170731707321</v>
      </c>
      <c r="G42" s="2">
        <v>102</v>
      </c>
      <c r="H42" s="2">
        <v>99.3</v>
      </c>
      <c r="I42" s="2">
        <f t="shared" si="1"/>
        <v>2.7000000000000028</v>
      </c>
      <c r="J42" s="1">
        <f t="shared" si="2"/>
        <v>0.59280694774061193</v>
      </c>
      <c r="K42" s="2">
        <v>107.8</v>
      </c>
      <c r="L42" s="2">
        <v>105</v>
      </c>
      <c r="M42" s="2">
        <f t="shared" si="3"/>
        <v>2.7999999999999972</v>
      </c>
      <c r="N42" s="1">
        <f t="shared" si="4"/>
        <v>7.7924759576461278E-2</v>
      </c>
      <c r="O42" s="2">
        <v>114.1</v>
      </c>
      <c r="P42" s="2">
        <v>95.3</v>
      </c>
      <c r="Q42" s="2">
        <f t="shared" si="5"/>
        <v>18.799999999999997</v>
      </c>
      <c r="R42" s="2">
        <v>0.6</v>
      </c>
      <c r="S42" s="2">
        <v>4</v>
      </c>
      <c r="T42" s="2">
        <f t="shared" si="6"/>
        <v>16</v>
      </c>
    </row>
    <row r="43" spans="1:20">
      <c r="A43" s="6">
        <v>409</v>
      </c>
      <c r="B43" t="s">
        <v>52</v>
      </c>
      <c r="C43" t="s">
        <v>24</v>
      </c>
      <c r="D43">
        <v>19</v>
      </c>
      <c r="E43">
        <v>63</v>
      </c>
      <c r="F43" s="1">
        <f t="shared" si="0"/>
        <v>0.23170731707317074</v>
      </c>
      <c r="G43" s="2">
        <v>99.5</v>
      </c>
      <c r="H43" s="2">
        <v>109.9</v>
      </c>
      <c r="I43" s="2">
        <f t="shared" si="1"/>
        <v>-10.400000000000006</v>
      </c>
      <c r="J43" s="1">
        <f t="shared" si="2"/>
        <v>0.19912293805378545</v>
      </c>
      <c r="K43" s="2">
        <v>99</v>
      </c>
      <c r="L43" s="2">
        <v>109</v>
      </c>
      <c r="M43" s="2">
        <f t="shared" si="3"/>
        <v>-10</v>
      </c>
      <c r="N43" s="1">
        <f t="shared" si="4"/>
        <v>3.2584379019385296E-2</v>
      </c>
      <c r="O43" s="2">
        <v>105</v>
      </c>
      <c r="P43" s="2">
        <v>99</v>
      </c>
      <c r="Q43" s="2">
        <f t="shared" si="5"/>
        <v>6</v>
      </c>
      <c r="R43" s="2">
        <v>-0.8</v>
      </c>
      <c r="S43" s="2">
        <v>-3.4</v>
      </c>
      <c r="T43" s="2">
        <f t="shared" si="6"/>
        <v>16</v>
      </c>
    </row>
    <row r="44" spans="1:20">
      <c r="A44" s="6">
        <v>577</v>
      </c>
      <c r="B44" t="s">
        <v>60</v>
      </c>
      <c r="C44" t="s">
        <v>14</v>
      </c>
      <c r="D44">
        <v>44</v>
      </c>
      <c r="E44">
        <v>28</v>
      </c>
      <c r="F44" s="1">
        <f t="shared" si="0"/>
        <v>0.61111111111111116</v>
      </c>
      <c r="G44" s="2">
        <v>117.8</v>
      </c>
      <c r="H44" s="2">
        <v>114.8</v>
      </c>
      <c r="I44" s="2">
        <f t="shared" si="1"/>
        <v>3</v>
      </c>
      <c r="J44" s="1">
        <f t="shared" si="2"/>
        <v>0.58932000368838899</v>
      </c>
      <c r="K44" s="2">
        <v>112.5</v>
      </c>
      <c r="L44" s="2">
        <v>109.8</v>
      </c>
      <c r="M44" s="2">
        <f t="shared" si="3"/>
        <v>2.7000000000000028</v>
      </c>
      <c r="N44" s="1">
        <f t="shared" si="4"/>
        <v>2.1791107422722167E-2</v>
      </c>
      <c r="O44" s="2">
        <v>115.7</v>
      </c>
      <c r="P44" s="2">
        <v>97</v>
      </c>
      <c r="Q44" s="2">
        <f t="shared" si="5"/>
        <v>18.700000000000003</v>
      </c>
      <c r="R44" s="2">
        <v>-0.5</v>
      </c>
      <c r="S44" s="2">
        <v>-1.3</v>
      </c>
      <c r="T44" s="2">
        <f t="shared" si="6"/>
        <v>16</v>
      </c>
    </row>
    <row r="45" spans="1:20">
      <c r="A45" s="6">
        <v>271</v>
      </c>
      <c r="B45" t="s">
        <v>47</v>
      </c>
      <c r="C45" t="s">
        <v>9</v>
      </c>
      <c r="D45">
        <v>61</v>
      </c>
      <c r="E45">
        <v>21</v>
      </c>
      <c r="F45" s="1">
        <f t="shared" si="0"/>
        <v>0.74390243902439024</v>
      </c>
      <c r="G45" s="2">
        <v>102.1</v>
      </c>
      <c r="H45" s="2">
        <v>95.6</v>
      </c>
      <c r="I45" s="2">
        <f t="shared" si="1"/>
        <v>6.5</v>
      </c>
      <c r="J45" s="1">
        <f t="shared" si="2"/>
        <v>0.71522925438381391</v>
      </c>
      <c r="K45" s="2">
        <v>110.6</v>
      </c>
      <c r="L45" s="2">
        <v>103.8</v>
      </c>
      <c r="M45" s="2">
        <f t="shared" si="3"/>
        <v>6.7999999999999972</v>
      </c>
      <c r="N45" s="1">
        <f t="shared" si="4"/>
        <v>2.8673184640576332E-2</v>
      </c>
      <c r="O45" s="2">
        <v>115.9</v>
      </c>
      <c r="P45" s="2">
        <v>93.2</v>
      </c>
      <c r="Q45" s="2">
        <f t="shared" si="5"/>
        <v>22.700000000000003</v>
      </c>
      <c r="R45" s="2">
        <v>1</v>
      </c>
      <c r="S45" s="2">
        <v>5.7</v>
      </c>
      <c r="T45" s="2">
        <f t="shared" si="6"/>
        <v>15.900000000000006</v>
      </c>
    </row>
    <row r="46" spans="1:20">
      <c r="A46" s="6">
        <v>728</v>
      </c>
      <c r="B46" t="s">
        <v>65</v>
      </c>
      <c r="C46" t="s">
        <v>15</v>
      </c>
      <c r="D46">
        <v>50</v>
      </c>
      <c r="E46">
        <v>32</v>
      </c>
      <c r="F46" s="1">
        <f t="shared" si="0"/>
        <v>0.6097560975609756</v>
      </c>
      <c r="G46" s="2">
        <v>117.4</v>
      </c>
      <c r="H46" s="2">
        <v>115.1</v>
      </c>
      <c r="I46" s="2">
        <f t="shared" si="1"/>
        <v>2.3000000000000114</v>
      </c>
      <c r="J46" s="1">
        <f t="shared" si="2"/>
        <v>0.56881015999897555</v>
      </c>
      <c r="K46" s="2">
        <v>115.4</v>
      </c>
      <c r="L46" s="2">
        <v>113.3</v>
      </c>
      <c r="M46" s="2">
        <f t="shared" si="3"/>
        <v>2.1000000000000085</v>
      </c>
      <c r="N46" s="1">
        <f t="shared" si="4"/>
        <v>4.0945937562000045E-2</v>
      </c>
      <c r="O46" s="2">
        <v>118.3</v>
      </c>
      <c r="P46" s="2">
        <v>100.6</v>
      </c>
      <c r="Q46" s="2">
        <f t="shared" si="5"/>
        <v>17.700000000000003</v>
      </c>
      <c r="R46" s="2">
        <v>2.1</v>
      </c>
      <c r="S46" s="2">
        <v>9.9</v>
      </c>
      <c r="T46" s="2">
        <f t="shared" si="6"/>
        <v>15.599999999999994</v>
      </c>
    </row>
    <row r="47" spans="1:20">
      <c r="A47" s="6">
        <v>518</v>
      </c>
      <c r="B47" t="s">
        <v>58</v>
      </c>
      <c r="C47" t="s">
        <v>15</v>
      </c>
      <c r="D47">
        <v>48</v>
      </c>
      <c r="E47">
        <v>34</v>
      </c>
      <c r="F47" s="1">
        <f t="shared" si="0"/>
        <v>0.58536585365853655</v>
      </c>
      <c r="G47" s="2">
        <v>105.6</v>
      </c>
      <c r="H47" s="2">
        <v>104.2</v>
      </c>
      <c r="I47" s="2">
        <f t="shared" si="1"/>
        <v>1.3999999999999915</v>
      </c>
      <c r="J47" s="1">
        <f t="shared" si="2"/>
        <v>0.54657641949522462</v>
      </c>
      <c r="K47" s="2">
        <v>108.5</v>
      </c>
      <c r="L47" s="2">
        <v>107.3</v>
      </c>
      <c r="M47" s="2">
        <f t="shared" si="3"/>
        <v>1.2000000000000028</v>
      </c>
      <c r="N47" s="1">
        <f t="shared" si="4"/>
        <v>3.8789434163311931E-2</v>
      </c>
      <c r="O47" s="2">
        <v>112.2</v>
      </c>
      <c r="P47" s="2">
        <v>95.5</v>
      </c>
      <c r="Q47" s="2">
        <f t="shared" si="5"/>
        <v>16.700000000000003</v>
      </c>
      <c r="R47" s="2">
        <v>-0.4</v>
      </c>
      <c r="S47" s="2">
        <v>0.3</v>
      </c>
      <c r="T47" s="2">
        <f t="shared" si="6"/>
        <v>15.5</v>
      </c>
    </row>
    <row r="48" spans="1:20">
      <c r="A48" s="6">
        <v>31</v>
      </c>
      <c r="B48" t="s">
        <v>34</v>
      </c>
      <c r="C48" t="s">
        <v>6</v>
      </c>
      <c r="D48">
        <v>49</v>
      </c>
      <c r="E48">
        <v>33</v>
      </c>
      <c r="F48" s="1">
        <f t="shared" si="0"/>
        <v>0.59756097560975607</v>
      </c>
      <c r="G48" s="2">
        <v>96.4</v>
      </c>
      <c r="H48" s="2">
        <v>94.1</v>
      </c>
      <c r="I48" s="2">
        <f t="shared" si="1"/>
        <v>2.3000000000000114</v>
      </c>
      <c r="J48" s="1">
        <f t="shared" si="2"/>
        <v>0.58372264017274567</v>
      </c>
      <c r="K48" s="2">
        <v>102.1</v>
      </c>
      <c r="L48" s="2">
        <v>99.9</v>
      </c>
      <c r="M48" s="2">
        <f t="shared" si="3"/>
        <v>2.1999999999999886</v>
      </c>
      <c r="N48" s="1">
        <f t="shared" si="4"/>
        <v>1.3838335437010407E-2</v>
      </c>
      <c r="O48" s="2">
        <v>107.8</v>
      </c>
      <c r="P48" s="2">
        <v>90.2</v>
      </c>
      <c r="Q48" s="2">
        <f t="shared" si="5"/>
        <v>17.599999999999994</v>
      </c>
      <c r="R48" s="2">
        <v>1</v>
      </c>
      <c r="S48" s="2">
        <v>5.7</v>
      </c>
      <c r="T48" s="2">
        <f t="shared" si="6"/>
        <v>15.400000000000006</v>
      </c>
    </row>
    <row r="49" spans="1:21">
      <c r="A49" s="6">
        <v>724</v>
      </c>
      <c r="B49" t="s">
        <v>65</v>
      </c>
      <c r="C49" t="s">
        <v>11</v>
      </c>
      <c r="D49">
        <v>50</v>
      </c>
      <c r="E49">
        <v>32</v>
      </c>
      <c r="F49" s="1">
        <f t="shared" si="0"/>
        <v>0.6097560975609756</v>
      </c>
      <c r="G49" s="2">
        <v>120.8</v>
      </c>
      <c r="H49" s="2">
        <v>116.9</v>
      </c>
      <c r="I49" s="2">
        <f t="shared" si="1"/>
        <v>3.8999999999999915</v>
      </c>
      <c r="J49" s="1">
        <f t="shared" si="2"/>
        <v>0.61288223083931581</v>
      </c>
      <c r="K49" s="2">
        <v>118.9</v>
      </c>
      <c r="L49" s="2">
        <v>115.1</v>
      </c>
      <c r="M49" s="2">
        <f t="shared" si="3"/>
        <v>3.8000000000000114</v>
      </c>
      <c r="N49" s="1">
        <f t="shared" si="4"/>
        <v>-3.1261332783402151E-3</v>
      </c>
      <c r="O49" s="2">
        <v>126.8</v>
      </c>
      <c r="P49" s="2">
        <v>108</v>
      </c>
      <c r="Q49" s="2">
        <f t="shared" si="5"/>
        <v>18.799999999999997</v>
      </c>
      <c r="R49" s="2">
        <v>0.2</v>
      </c>
      <c r="S49" s="2">
        <v>1.3</v>
      </c>
      <c r="T49" s="2">
        <f t="shared" si="6"/>
        <v>14.999999999999986</v>
      </c>
    </row>
    <row r="50" spans="1:21">
      <c r="A50" s="6">
        <v>417</v>
      </c>
      <c r="B50" t="s">
        <v>54</v>
      </c>
      <c r="C50" t="s">
        <v>5</v>
      </c>
      <c r="D50">
        <v>60</v>
      </c>
      <c r="E50">
        <v>22</v>
      </c>
      <c r="F50" s="1">
        <f t="shared" si="0"/>
        <v>0.73170731707317072</v>
      </c>
      <c r="G50" s="2">
        <v>102.5</v>
      </c>
      <c r="H50" s="2">
        <v>97.1</v>
      </c>
      <c r="I50" s="2">
        <f t="shared" si="1"/>
        <v>5.4000000000000057</v>
      </c>
      <c r="J50" s="1">
        <f t="shared" si="2"/>
        <v>0.68085415464788723</v>
      </c>
      <c r="K50" s="2">
        <v>108.2</v>
      </c>
      <c r="L50" s="2">
        <v>102.3</v>
      </c>
      <c r="M50" s="2">
        <f t="shared" si="3"/>
        <v>5.9000000000000057</v>
      </c>
      <c r="N50" s="1">
        <f t="shared" si="4"/>
        <v>5.0853162425283482E-2</v>
      </c>
      <c r="O50" s="2">
        <v>112.1</v>
      </c>
      <c r="P50" s="2">
        <v>91.3</v>
      </c>
      <c r="Q50" s="2">
        <f t="shared" si="5"/>
        <v>20.799999999999997</v>
      </c>
      <c r="R50" s="2">
        <v>1.2</v>
      </c>
      <c r="S50" s="2">
        <v>7.4</v>
      </c>
      <c r="T50" s="2">
        <f t="shared" si="6"/>
        <v>14.899999999999991</v>
      </c>
    </row>
    <row r="51" spans="1:21">
      <c r="A51" s="6">
        <v>453</v>
      </c>
      <c r="B51" t="s">
        <v>55</v>
      </c>
      <c r="C51" t="s">
        <v>10</v>
      </c>
      <c r="D51">
        <v>42</v>
      </c>
      <c r="E51">
        <v>40</v>
      </c>
      <c r="F51" s="1">
        <f t="shared" si="0"/>
        <v>0.51219512195121952</v>
      </c>
      <c r="G51" s="2">
        <v>102.3</v>
      </c>
      <c r="H51" s="2">
        <v>102.6</v>
      </c>
      <c r="I51" s="2">
        <f t="shared" si="1"/>
        <v>-0.29999999999999716</v>
      </c>
      <c r="J51" s="1">
        <f t="shared" si="2"/>
        <v>0.4897525259278111</v>
      </c>
      <c r="K51" s="2">
        <v>105.5</v>
      </c>
      <c r="L51" s="2">
        <v>105.9</v>
      </c>
      <c r="M51" s="2">
        <f t="shared" si="3"/>
        <v>-0.40000000000000568</v>
      </c>
      <c r="N51" s="1">
        <f t="shared" si="4"/>
        <v>2.2442596023408423E-2</v>
      </c>
      <c r="O51" s="2">
        <v>113.5</v>
      </c>
      <c r="P51" s="2">
        <v>99.1</v>
      </c>
      <c r="Q51" s="2">
        <f t="shared" si="5"/>
        <v>14.400000000000006</v>
      </c>
      <c r="R51" s="2">
        <v>0.3</v>
      </c>
      <c r="S51" s="2">
        <v>3</v>
      </c>
      <c r="T51" s="2">
        <f t="shared" si="6"/>
        <v>14.800000000000011</v>
      </c>
    </row>
    <row r="52" spans="1:21">
      <c r="A52" s="6">
        <v>477</v>
      </c>
      <c r="B52" t="s">
        <v>57</v>
      </c>
      <c r="C52" t="s">
        <v>5</v>
      </c>
      <c r="D52">
        <v>43</v>
      </c>
      <c r="E52">
        <v>39</v>
      </c>
      <c r="F52" s="1">
        <f t="shared" si="0"/>
        <v>0.52439024390243905</v>
      </c>
      <c r="G52" s="2">
        <v>103.2</v>
      </c>
      <c r="H52" s="2">
        <v>104</v>
      </c>
      <c r="I52" s="2">
        <f t="shared" si="1"/>
        <v>-0.79999999999999716</v>
      </c>
      <c r="J52" s="1">
        <f t="shared" si="2"/>
        <v>0.47299913122451137</v>
      </c>
      <c r="K52" s="2">
        <v>104.5</v>
      </c>
      <c r="L52" s="2">
        <v>105.2</v>
      </c>
      <c r="M52" s="2">
        <f t="shared" si="3"/>
        <v>-0.70000000000000284</v>
      </c>
      <c r="N52" s="1">
        <f t="shared" si="4"/>
        <v>5.1391112677927675E-2</v>
      </c>
      <c r="O52" s="2">
        <v>109.8</v>
      </c>
      <c r="P52" s="2">
        <v>95.7</v>
      </c>
      <c r="Q52" s="2">
        <f t="shared" si="5"/>
        <v>14.099999999999994</v>
      </c>
      <c r="R52" s="2">
        <v>0.6</v>
      </c>
      <c r="S52" s="2">
        <v>3</v>
      </c>
      <c r="T52" s="2">
        <f t="shared" si="6"/>
        <v>14.799999999999997</v>
      </c>
    </row>
    <row r="53" spans="1:21">
      <c r="A53" s="6">
        <v>775</v>
      </c>
      <c r="B53" t="s">
        <v>66</v>
      </c>
      <c r="C53" t="s">
        <v>31</v>
      </c>
      <c r="D53">
        <v>19</v>
      </c>
      <c r="E53">
        <v>45</v>
      </c>
      <c r="F53" s="1">
        <f t="shared" si="0"/>
        <v>0.296875</v>
      </c>
      <c r="G53" s="2">
        <v>117.4</v>
      </c>
      <c r="H53" s="2">
        <v>125</v>
      </c>
      <c r="I53" s="2">
        <f t="shared" si="1"/>
        <v>-7.5999999999999943</v>
      </c>
      <c r="J53" s="1">
        <f t="shared" si="2"/>
        <v>0.29355597812960449</v>
      </c>
      <c r="K53" s="2">
        <v>113.2</v>
      </c>
      <c r="L53" s="2">
        <v>120.5</v>
      </c>
      <c r="M53" s="2">
        <f t="shared" si="3"/>
        <v>-7.2999999999999972</v>
      </c>
      <c r="N53" s="1">
        <f t="shared" si="4"/>
        <v>3.319021870395511E-3</v>
      </c>
      <c r="O53" s="2">
        <v>113.6</v>
      </c>
      <c r="P53" s="2">
        <v>106.1</v>
      </c>
      <c r="Q53" s="2">
        <f t="shared" si="5"/>
        <v>7.5</v>
      </c>
      <c r="R53" s="2">
        <v>-0.7</v>
      </c>
      <c r="S53" s="2">
        <v>-4.9000000000000004</v>
      </c>
      <c r="T53" s="2">
        <f t="shared" si="6"/>
        <v>14.799999999999997</v>
      </c>
    </row>
    <row r="54" spans="1:21">
      <c r="A54" s="6">
        <v>398</v>
      </c>
      <c r="B54" t="s">
        <v>52</v>
      </c>
      <c r="C54" t="s">
        <v>15</v>
      </c>
      <c r="D54">
        <v>56</v>
      </c>
      <c r="E54">
        <v>26</v>
      </c>
      <c r="F54" s="1">
        <f t="shared" si="0"/>
        <v>0.68292682926829273</v>
      </c>
      <c r="G54" s="2">
        <v>96.7</v>
      </c>
      <c r="H54" s="2">
        <v>92.3</v>
      </c>
      <c r="I54" s="2">
        <f t="shared" si="1"/>
        <v>4.4000000000000057</v>
      </c>
      <c r="J54" s="1">
        <f t="shared" si="2"/>
        <v>0.65745418217817553</v>
      </c>
      <c r="K54" s="2">
        <v>103.6</v>
      </c>
      <c r="L54" s="2">
        <v>98.9</v>
      </c>
      <c r="M54" s="2">
        <f t="shared" si="3"/>
        <v>4.6999999999999886</v>
      </c>
      <c r="N54" s="1">
        <f t="shared" si="4"/>
        <v>2.5472647090117206E-2</v>
      </c>
      <c r="O54" s="2">
        <v>113.9</v>
      </c>
      <c r="P54" s="2">
        <v>94.6</v>
      </c>
      <c r="Q54" s="2">
        <f t="shared" si="5"/>
        <v>19.300000000000011</v>
      </c>
      <c r="R54" s="2">
        <v>1.4</v>
      </c>
      <c r="S54" s="2">
        <v>6.3</v>
      </c>
      <c r="T54" s="2">
        <f t="shared" si="6"/>
        <v>14.600000000000023</v>
      </c>
    </row>
    <row r="55" spans="1:21">
      <c r="A55" s="6">
        <v>294</v>
      </c>
      <c r="B55" t="s">
        <v>47</v>
      </c>
      <c r="C55" t="s">
        <v>30</v>
      </c>
      <c r="D55">
        <v>40</v>
      </c>
      <c r="E55">
        <v>42</v>
      </c>
      <c r="F55" s="1">
        <f t="shared" si="0"/>
        <v>0.48780487804878048</v>
      </c>
      <c r="G55" s="2">
        <v>104.1</v>
      </c>
      <c r="H55" s="2">
        <v>105.9</v>
      </c>
      <c r="I55" s="2">
        <f t="shared" si="1"/>
        <v>-1.8000000000000114</v>
      </c>
      <c r="J55" s="1">
        <f t="shared" si="2"/>
        <v>0.44028490223940814</v>
      </c>
      <c r="K55" s="2">
        <v>110.2</v>
      </c>
      <c r="L55" s="2">
        <v>112.2</v>
      </c>
      <c r="M55" s="2">
        <f t="shared" si="3"/>
        <v>-2</v>
      </c>
      <c r="N55" s="1">
        <f t="shared" si="4"/>
        <v>4.7519975809372339E-2</v>
      </c>
      <c r="O55" s="2">
        <v>114.5</v>
      </c>
      <c r="P55" s="2">
        <v>101.9</v>
      </c>
      <c r="Q55" s="2">
        <f t="shared" si="5"/>
        <v>12.599999999999994</v>
      </c>
      <c r="R55" s="2">
        <v>-0.5</v>
      </c>
      <c r="S55" s="2">
        <v>-1.9</v>
      </c>
      <c r="T55" s="2">
        <f t="shared" si="6"/>
        <v>14.599999999999994</v>
      </c>
    </row>
    <row r="56" spans="1:21">
      <c r="A56" s="6">
        <v>594</v>
      </c>
      <c r="B56" t="s">
        <v>60</v>
      </c>
      <c r="C56" t="s">
        <v>30</v>
      </c>
      <c r="D56">
        <v>53</v>
      </c>
      <c r="E56">
        <v>19</v>
      </c>
      <c r="F56" s="1">
        <f t="shared" si="0"/>
        <v>0.73611111111111116</v>
      </c>
      <c r="G56" s="2">
        <v>112.8</v>
      </c>
      <c r="H56" s="2">
        <v>106.5</v>
      </c>
      <c r="I56" s="2">
        <f t="shared" si="1"/>
        <v>6.2999999999999972</v>
      </c>
      <c r="J56" s="1">
        <f t="shared" si="2"/>
        <v>0.69095738167684095</v>
      </c>
      <c r="K56" s="2">
        <v>110.8</v>
      </c>
      <c r="L56" s="2">
        <v>104.7</v>
      </c>
      <c r="M56" s="2">
        <f t="shared" si="3"/>
        <v>6.0999999999999943</v>
      </c>
      <c r="N56" s="1">
        <f t="shared" si="4"/>
        <v>4.5153729434270207E-2</v>
      </c>
      <c r="O56" s="2">
        <v>118.1</v>
      </c>
      <c r="P56" s="2">
        <v>97.4</v>
      </c>
      <c r="Q56" s="2">
        <f t="shared" si="5"/>
        <v>20.699999999999989</v>
      </c>
      <c r="R56" s="2">
        <v>1.2</v>
      </c>
      <c r="S56" s="2">
        <v>6.5</v>
      </c>
      <c r="T56" s="2">
        <f t="shared" si="6"/>
        <v>14.599999999999994</v>
      </c>
    </row>
    <row r="57" spans="1:21">
      <c r="A57" s="6">
        <v>432</v>
      </c>
      <c r="B57" t="s">
        <v>54</v>
      </c>
      <c r="C57" t="s">
        <v>18</v>
      </c>
      <c r="D57">
        <v>37</v>
      </c>
      <c r="E57">
        <v>45</v>
      </c>
      <c r="F57" s="1">
        <f t="shared" si="0"/>
        <v>0.45121951219512196</v>
      </c>
      <c r="G57" s="2">
        <v>94.7</v>
      </c>
      <c r="H57" s="2">
        <v>97.3</v>
      </c>
      <c r="I57" s="2">
        <f t="shared" si="1"/>
        <v>-2.5999999999999943</v>
      </c>
      <c r="J57" s="1">
        <f t="shared" si="2"/>
        <v>0.40632231121075763</v>
      </c>
      <c r="K57" s="2">
        <v>103.2</v>
      </c>
      <c r="L57" s="2">
        <v>106.1</v>
      </c>
      <c r="M57" s="2">
        <f t="shared" si="3"/>
        <v>-2.8999999999999915</v>
      </c>
      <c r="N57" s="1">
        <f t="shared" si="4"/>
        <v>4.4897200984364338E-2</v>
      </c>
      <c r="O57" s="2">
        <v>102.9</v>
      </c>
      <c r="P57" s="2">
        <v>91.3</v>
      </c>
      <c r="Q57" s="2">
        <f t="shared" si="5"/>
        <v>11.600000000000009</v>
      </c>
      <c r="R57" s="2">
        <v>-1.1000000000000001</v>
      </c>
      <c r="S57" s="2">
        <v>-4.7</v>
      </c>
      <c r="T57" s="2">
        <f t="shared" si="6"/>
        <v>14.5</v>
      </c>
    </row>
    <row r="58" spans="1:21">
      <c r="A58" s="6">
        <v>423</v>
      </c>
      <c r="B58" t="s">
        <v>54</v>
      </c>
      <c r="C58" t="s">
        <v>10</v>
      </c>
      <c r="D58">
        <v>50</v>
      </c>
      <c r="E58">
        <v>32</v>
      </c>
      <c r="F58" s="1">
        <f t="shared" si="0"/>
        <v>0.6097560975609756</v>
      </c>
      <c r="G58" s="2">
        <v>105.2</v>
      </c>
      <c r="H58" s="2">
        <v>102.3</v>
      </c>
      <c r="I58" s="2">
        <f t="shared" si="1"/>
        <v>2.9000000000000057</v>
      </c>
      <c r="J58" s="1">
        <f t="shared" si="2"/>
        <v>0.59660783043206966</v>
      </c>
      <c r="K58" s="2">
        <v>108.2</v>
      </c>
      <c r="L58" s="2">
        <v>104.9</v>
      </c>
      <c r="M58" s="2">
        <f t="shared" si="3"/>
        <v>3.2999999999999972</v>
      </c>
      <c r="N58" s="1">
        <f t="shared" si="4"/>
        <v>1.3148267128905933E-2</v>
      </c>
      <c r="O58" s="2">
        <v>113.1</v>
      </c>
      <c r="P58" s="2">
        <v>95.3</v>
      </c>
      <c r="Q58" s="2">
        <f t="shared" si="5"/>
        <v>17.799999999999997</v>
      </c>
      <c r="R58" s="2">
        <v>0.8</v>
      </c>
      <c r="S58" s="2">
        <v>4.3</v>
      </c>
      <c r="T58" s="2">
        <f t="shared" si="6"/>
        <v>14.5</v>
      </c>
      <c r="U58" s="2">
        <v>1</v>
      </c>
    </row>
    <row r="59" spans="1:21">
      <c r="A59" s="6">
        <v>503</v>
      </c>
      <c r="B59" t="s">
        <v>57</v>
      </c>
      <c r="C59" t="s">
        <v>28</v>
      </c>
      <c r="D59">
        <v>61</v>
      </c>
      <c r="E59">
        <v>21</v>
      </c>
      <c r="F59" s="1">
        <f t="shared" si="0"/>
        <v>0.74390243902439024</v>
      </c>
      <c r="G59" s="2">
        <v>105.3</v>
      </c>
      <c r="H59" s="2">
        <v>98.1</v>
      </c>
      <c r="I59" s="2">
        <f t="shared" si="1"/>
        <v>7.2000000000000028</v>
      </c>
      <c r="J59" s="1">
        <f t="shared" si="2"/>
        <v>0.72939687618809401</v>
      </c>
      <c r="K59" s="2">
        <v>110.3</v>
      </c>
      <c r="L59" s="2">
        <v>102.9</v>
      </c>
      <c r="M59" s="2">
        <f t="shared" si="3"/>
        <v>7.3999999999999915</v>
      </c>
      <c r="N59" s="1">
        <f t="shared" si="4"/>
        <v>1.4505562836296226E-2</v>
      </c>
      <c r="O59" s="2">
        <v>111.4</v>
      </c>
      <c r="P59" s="2">
        <v>89.6</v>
      </c>
      <c r="Q59" s="2">
        <f t="shared" si="5"/>
        <v>21.800000000000011</v>
      </c>
      <c r="R59" s="2">
        <v>1.2</v>
      </c>
      <c r="S59" s="2">
        <v>4.8</v>
      </c>
      <c r="T59" s="2">
        <f t="shared" si="6"/>
        <v>14.40000000000002</v>
      </c>
    </row>
    <row r="60" spans="1:21">
      <c r="A60" s="6">
        <v>357</v>
      </c>
      <c r="B60" t="s">
        <v>50</v>
      </c>
      <c r="C60" t="s">
        <v>5</v>
      </c>
      <c r="D60">
        <v>44</v>
      </c>
      <c r="E60">
        <v>38</v>
      </c>
      <c r="F60" s="1">
        <f t="shared" si="0"/>
        <v>0.53658536585365857</v>
      </c>
      <c r="G60" s="2">
        <v>98</v>
      </c>
      <c r="H60" s="2">
        <v>97.5</v>
      </c>
      <c r="I60" s="2">
        <f t="shared" si="1"/>
        <v>0.5</v>
      </c>
      <c r="J60" s="1">
        <f t="shared" si="2"/>
        <v>0.51789520548021317</v>
      </c>
      <c r="K60" s="2">
        <v>103.7</v>
      </c>
      <c r="L60" s="2">
        <v>103.4</v>
      </c>
      <c r="M60" s="2">
        <f t="shared" si="3"/>
        <v>0.29999999999999716</v>
      </c>
      <c r="N60" s="1">
        <f t="shared" si="4"/>
        <v>1.8690160373445397E-2</v>
      </c>
      <c r="O60" s="2">
        <v>102.2</v>
      </c>
      <c r="P60" s="2">
        <v>87.5</v>
      </c>
      <c r="Q60" s="2">
        <f t="shared" si="5"/>
        <v>14.700000000000003</v>
      </c>
      <c r="R60" s="2">
        <v>-0.2</v>
      </c>
      <c r="S60" s="2">
        <v>-1.2</v>
      </c>
      <c r="T60" s="2">
        <f t="shared" si="6"/>
        <v>14.400000000000006</v>
      </c>
    </row>
    <row r="61" spans="1:21">
      <c r="A61" s="6">
        <v>348</v>
      </c>
      <c r="B61" t="s">
        <v>49</v>
      </c>
      <c r="C61" t="s">
        <v>23</v>
      </c>
      <c r="D61">
        <v>37</v>
      </c>
      <c r="E61">
        <v>29</v>
      </c>
      <c r="F61" s="1">
        <f t="shared" si="0"/>
        <v>0.56060606060606055</v>
      </c>
      <c r="G61" s="2">
        <v>94.2</v>
      </c>
      <c r="H61" s="2">
        <v>93.4</v>
      </c>
      <c r="I61" s="2">
        <f t="shared" si="1"/>
        <v>0.79999999999999716</v>
      </c>
      <c r="J61" s="1">
        <f t="shared" si="2"/>
        <v>0.52981551170793983</v>
      </c>
      <c r="K61" s="2">
        <v>104</v>
      </c>
      <c r="L61" s="2">
        <v>103.4</v>
      </c>
      <c r="M61" s="2">
        <f t="shared" si="3"/>
        <v>0.59999999999999432</v>
      </c>
      <c r="N61" s="1">
        <f t="shared" si="4"/>
        <v>3.0790548898120718E-2</v>
      </c>
      <c r="O61" s="2">
        <v>110</v>
      </c>
      <c r="P61" s="2">
        <v>95.1</v>
      </c>
      <c r="Q61" s="2">
        <f t="shared" si="5"/>
        <v>14.900000000000006</v>
      </c>
      <c r="R61" s="2">
        <v>-0.5</v>
      </c>
      <c r="S61" s="2">
        <v>-1</v>
      </c>
      <c r="T61" s="2">
        <f t="shared" si="6"/>
        <v>14.300000000000011</v>
      </c>
    </row>
    <row r="62" spans="1:21">
      <c r="A62" s="6">
        <v>327</v>
      </c>
      <c r="B62" t="s">
        <v>49</v>
      </c>
      <c r="C62" t="s">
        <v>5</v>
      </c>
      <c r="D62">
        <v>40</v>
      </c>
      <c r="E62">
        <v>26</v>
      </c>
      <c r="F62" s="1">
        <f t="shared" si="0"/>
        <v>0.60606060606060608</v>
      </c>
      <c r="G62" s="2">
        <v>96.6</v>
      </c>
      <c r="H62" s="2">
        <v>93.2</v>
      </c>
      <c r="I62" s="2">
        <f t="shared" si="1"/>
        <v>3.3999999999999915</v>
      </c>
      <c r="J62" s="1">
        <f t="shared" si="2"/>
        <v>0.62284331457936171</v>
      </c>
      <c r="K62" s="2">
        <v>104.2</v>
      </c>
      <c r="L62" s="2">
        <v>100.4</v>
      </c>
      <c r="M62" s="2">
        <f t="shared" si="3"/>
        <v>3.7999999999999972</v>
      </c>
      <c r="N62" s="1">
        <f t="shared" si="4"/>
        <v>-1.6782708518755629E-2</v>
      </c>
      <c r="O62" s="2">
        <v>107.2</v>
      </c>
      <c r="P62" s="2">
        <v>89.1</v>
      </c>
      <c r="Q62" s="2">
        <f t="shared" si="5"/>
        <v>18.100000000000009</v>
      </c>
      <c r="R62" s="2">
        <v>1.4</v>
      </c>
      <c r="S62" s="2">
        <v>7</v>
      </c>
      <c r="T62" s="2">
        <f t="shared" si="6"/>
        <v>14.300000000000011</v>
      </c>
    </row>
    <row r="63" spans="1:21">
      <c r="A63" s="6">
        <v>462</v>
      </c>
      <c r="B63" t="s">
        <v>55</v>
      </c>
      <c r="C63" t="s">
        <v>18</v>
      </c>
      <c r="D63">
        <v>48</v>
      </c>
      <c r="E63">
        <v>34</v>
      </c>
      <c r="F63" s="1">
        <f t="shared" si="0"/>
        <v>0.58536585365853655</v>
      </c>
      <c r="G63" s="2">
        <v>100</v>
      </c>
      <c r="H63" s="2">
        <v>98.4</v>
      </c>
      <c r="I63" s="2">
        <f t="shared" si="1"/>
        <v>1.5999999999999943</v>
      </c>
      <c r="J63" s="1">
        <f t="shared" si="2"/>
        <v>0.55621417253941718</v>
      </c>
      <c r="K63" s="2">
        <v>105.5</v>
      </c>
      <c r="L63" s="2">
        <v>103.7</v>
      </c>
      <c r="M63" s="2">
        <f t="shared" si="3"/>
        <v>1.7999999999999972</v>
      </c>
      <c r="N63" s="1">
        <f t="shared" si="4"/>
        <v>2.9151681119119366E-2</v>
      </c>
      <c r="O63" s="2">
        <v>111.1</v>
      </c>
      <c r="P63" s="2">
        <v>95.2</v>
      </c>
      <c r="Q63" s="2">
        <f t="shared" si="5"/>
        <v>15.899999999999991</v>
      </c>
      <c r="R63" s="2">
        <v>0.8</v>
      </c>
      <c r="S63" s="2">
        <v>4.3</v>
      </c>
      <c r="T63" s="2">
        <f t="shared" si="6"/>
        <v>14.099999999999994</v>
      </c>
    </row>
    <row r="64" spans="1:21">
      <c r="A64" s="6">
        <v>10</v>
      </c>
      <c r="B64" t="s">
        <v>4</v>
      </c>
      <c r="C64" t="s">
        <v>14</v>
      </c>
      <c r="D64">
        <v>45</v>
      </c>
      <c r="E64">
        <v>37</v>
      </c>
      <c r="F64" s="1">
        <f t="shared" si="0"/>
        <v>0.54878048780487809</v>
      </c>
      <c r="G64" s="2">
        <v>97.2</v>
      </c>
      <c r="H64" s="2">
        <v>94.9</v>
      </c>
      <c r="I64" s="2">
        <f t="shared" si="1"/>
        <v>2.2999999999999972</v>
      </c>
      <c r="J64" s="1">
        <f t="shared" si="2"/>
        <v>0.58303819645921595</v>
      </c>
      <c r="K64" s="2">
        <v>105.2</v>
      </c>
      <c r="L64" s="2">
        <v>102.8</v>
      </c>
      <c r="M64" s="2">
        <f t="shared" si="3"/>
        <v>2.4000000000000057</v>
      </c>
      <c r="N64" s="1">
        <f t="shared" si="4"/>
        <v>-3.4257708654337859E-2</v>
      </c>
      <c r="O64" s="2">
        <v>104.5</v>
      </c>
      <c r="P64" s="2">
        <v>88.1</v>
      </c>
      <c r="Q64" s="2">
        <f t="shared" si="5"/>
        <v>16.400000000000006</v>
      </c>
      <c r="R64" s="2">
        <v>1.4</v>
      </c>
      <c r="S64" s="2">
        <v>6.1</v>
      </c>
      <c r="T64" s="2">
        <f t="shared" si="6"/>
        <v>14</v>
      </c>
    </row>
    <row r="65" spans="1:20">
      <c r="A65" s="6">
        <v>766</v>
      </c>
      <c r="B65" t="s">
        <v>66</v>
      </c>
      <c r="C65" t="s">
        <v>22</v>
      </c>
      <c r="D65">
        <v>40</v>
      </c>
      <c r="E65">
        <v>23</v>
      </c>
      <c r="F65" s="1">
        <f t="shared" si="0"/>
        <v>0.63492063492063489</v>
      </c>
      <c r="G65" s="2">
        <v>117</v>
      </c>
      <c r="H65" s="2">
        <v>110.5</v>
      </c>
      <c r="I65" s="2">
        <f t="shared" si="1"/>
        <v>6.5</v>
      </c>
      <c r="J65" s="1">
        <f t="shared" si="2"/>
        <v>0.6900210673968612</v>
      </c>
      <c r="K65" s="2">
        <v>118.3</v>
      </c>
      <c r="L65" s="2">
        <v>111.7</v>
      </c>
      <c r="M65" s="2">
        <f t="shared" si="3"/>
        <v>6.5999999999999943</v>
      </c>
      <c r="N65" s="1">
        <f t="shared" si="4"/>
        <v>-5.5100432476226313E-2</v>
      </c>
      <c r="O65" s="2">
        <v>120.9</v>
      </c>
      <c r="P65" s="2">
        <v>100.5</v>
      </c>
      <c r="Q65" s="2">
        <f t="shared" si="5"/>
        <v>20.400000000000006</v>
      </c>
      <c r="R65" s="2">
        <v>2.7</v>
      </c>
      <c r="S65" s="2">
        <v>10.199999999999999</v>
      </c>
      <c r="T65" s="2">
        <f t="shared" si="6"/>
        <v>13.800000000000011</v>
      </c>
    </row>
    <row r="66" spans="1:20" s="5" customFormat="1">
      <c r="A66" s="6">
        <v>461</v>
      </c>
      <c r="B66" t="s">
        <v>55</v>
      </c>
      <c r="C66" t="s">
        <v>35</v>
      </c>
      <c r="D66">
        <v>42</v>
      </c>
      <c r="E66">
        <v>40</v>
      </c>
      <c r="F66" s="1">
        <f t="shared" si="0"/>
        <v>0.51219512195121952</v>
      </c>
      <c r="G66" s="2">
        <v>99.1</v>
      </c>
      <c r="H66" s="2">
        <v>101.3</v>
      </c>
      <c r="I66" s="2">
        <f t="shared" si="1"/>
        <v>-2.2000000000000028</v>
      </c>
      <c r="J66" s="1">
        <f t="shared" si="2"/>
        <v>0.42375008711442541</v>
      </c>
      <c r="K66" s="2">
        <v>104.7</v>
      </c>
      <c r="L66" s="2">
        <v>107.1</v>
      </c>
      <c r="M66" s="2">
        <f t="shared" si="3"/>
        <v>-2.3999999999999915</v>
      </c>
      <c r="N66" s="1">
        <f t="shared" si="4"/>
        <v>8.8445034836794112E-2</v>
      </c>
      <c r="O66" s="2">
        <v>105.9</v>
      </c>
      <c r="P66" s="2">
        <v>94.5</v>
      </c>
      <c r="Q66" s="2">
        <f t="shared" si="5"/>
        <v>11.400000000000006</v>
      </c>
      <c r="R66" s="2">
        <v>-0.1</v>
      </c>
      <c r="S66" s="2">
        <v>-0.7</v>
      </c>
      <c r="T66" s="2">
        <f t="shared" si="6"/>
        <v>13.799999999999997</v>
      </c>
    </row>
    <row r="67" spans="1:20">
      <c r="A67" s="6">
        <v>99</v>
      </c>
      <c r="B67" t="s">
        <v>38</v>
      </c>
      <c r="C67" t="s">
        <v>17</v>
      </c>
      <c r="D67">
        <v>56</v>
      </c>
      <c r="E67">
        <v>26</v>
      </c>
      <c r="F67" s="1">
        <f t="shared" si="0"/>
        <v>0.68292682926829273</v>
      </c>
      <c r="G67" s="2">
        <v>98.2</v>
      </c>
      <c r="H67" s="2">
        <v>94.3</v>
      </c>
      <c r="I67" s="2">
        <f t="shared" si="1"/>
        <v>3.9000000000000057</v>
      </c>
      <c r="J67" s="1">
        <f t="shared" si="2"/>
        <v>0.63815156005224649</v>
      </c>
      <c r="K67" s="2">
        <v>104.2</v>
      </c>
      <c r="L67" s="2">
        <v>100.1</v>
      </c>
      <c r="M67" s="2">
        <f t="shared" si="3"/>
        <v>4.1000000000000085</v>
      </c>
      <c r="N67" s="1">
        <f t="shared" si="4"/>
        <v>4.4775269216046243E-2</v>
      </c>
      <c r="O67" s="2">
        <v>102.8</v>
      </c>
      <c r="P67" s="2">
        <v>85.1</v>
      </c>
      <c r="Q67" s="2">
        <f t="shared" si="5"/>
        <v>17.700000000000003</v>
      </c>
      <c r="R67" s="2">
        <v>1.5</v>
      </c>
      <c r="S67" s="2">
        <v>7.5</v>
      </c>
      <c r="T67" s="2">
        <f t="shared" si="6"/>
        <v>13.599999999999994</v>
      </c>
    </row>
    <row r="68" spans="1:20">
      <c r="A68" s="6">
        <v>699</v>
      </c>
      <c r="B68" t="s">
        <v>64</v>
      </c>
      <c r="C68" t="s">
        <v>56</v>
      </c>
      <c r="D68">
        <v>51</v>
      </c>
      <c r="E68">
        <v>31</v>
      </c>
      <c r="F68" s="1">
        <f t="shared" si="0"/>
        <v>0.62195121951219512</v>
      </c>
      <c r="G68" s="2">
        <v>115.6</v>
      </c>
      <c r="H68" s="2">
        <v>112.3</v>
      </c>
      <c r="I68" s="2">
        <f t="shared" si="1"/>
        <v>3.2999999999999972</v>
      </c>
      <c r="J68" s="1">
        <f t="shared" si="2"/>
        <v>0.60000101155304963</v>
      </c>
      <c r="K68" s="2">
        <v>117.9</v>
      </c>
      <c r="L68" s="2">
        <v>114.6</v>
      </c>
      <c r="M68" s="2">
        <f t="shared" si="3"/>
        <v>3.3000000000000114</v>
      </c>
      <c r="N68" s="1">
        <f t="shared" si="4"/>
        <v>2.1950207959145485E-2</v>
      </c>
      <c r="O68" s="2">
        <v>124.6</v>
      </c>
      <c r="P68" s="2">
        <v>107.8</v>
      </c>
      <c r="Q68" s="2">
        <f t="shared" si="5"/>
        <v>16.799999999999997</v>
      </c>
      <c r="R68" s="2">
        <v>-0.5</v>
      </c>
      <c r="S68" s="2">
        <v>0.7</v>
      </c>
      <c r="T68" s="2">
        <f t="shared" si="6"/>
        <v>13.499999999999986</v>
      </c>
    </row>
    <row r="69" spans="1:20">
      <c r="A69" s="6">
        <v>574</v>
      </c>
      <c r="B69" t="s">
        <v>60</v>
      </c>
      <c r="C69" t="s">
        <v>11</v>
      </c>
      <c r="D69">
        <v>46</v>
      </c>
      <c r="E69">
        <v>27</v>
      </c>
      <c r="F69" s="1">
        <f t="shared" si="0"/>
        <v>0.63013698630136983</v>
      </c>
      <c r="G69" s="2">
        <v>111.3</v>
      </c>
      <c r="H69" s="2">
        <v>109.2</v>
      </c>
      <c r="I69" s="2">
        <f t="shared" si="1"/>
        <v>2.0999999999999943</v>
      </c>
      <c r="J69" s="1">
        <f t="shared" si="2"/>
        <v>0.56627637451040547</v>
      </c>
      <c r="K69" s="2">
        <v>112.6</v>
      </c>
      <c r="L69" s="2">
        <v>110.4</v>
      </c>
      <c r="M69" s="2">
        <f t="shared" si="3"/>
        <v>2.1999999999999886</v>
      </c>
      <c r="N69" s="1">
        <f t="shared" si="4"/>
        <v>6.3860611790964361E-2</v>
      </c>
      <c r="O69" s="2">
        <v>118.5</v>
      </c>
      <c r="P69" s="2">
        <v>102.9</v>
      </c>
      <c r="Q69" s="2">
        <f t="shared" si="5"/>
        <v>15.599999999999994</v>
      </c>
      <c r="R69" s="2">
        <v>0.3</v>
      </c>
      <c r="S69" s="2">
        <v>0.6</v>
      </c>
      <c r="T69" s="2">
        <f t="shared" si="6"/>
        <v>13.400000000000006</v>
      </c>
    </row>
    <row r="70" spans="1:20">
      <c r="A70" s="6">
        <v>352</v>
      </c>
      <c r="B70" t="s">
        <v>49</v>
      </c>
      <c r="C70" t="s">
        <v>27</v>
      </c>
      <c r="D70">
        <v>22</v>
      </c>
      <c r="E70">
        <v>44</v>
      </c>
      <c r="F70" s="1">
        <f t="shared" si="0"/>
        <v>0.33333333333333331</v>
      </c>
      <c r="G70" s="2">
        <v>98.8</v>
      </c>
      <c r="H70" s="2">
        <v>104.4</v>
      </c>
      <c r="I70" s="2">
        <f t="shared" si="1"/>
        <v>-5.6000000000000085</v>
      </c>
      <c r="J70" s="1">
        <f t="shared" si="2"/>
        <v>0.31607926844552064</v>
      </c>
      <c r="K70" s="2">
        <v>102.9</v>
      </c>
      <c r="L70" s="2">
        <v>108.7</v>
      </c>
      <c r="M70" s="2">
        <f t="shared" si="3"/>
        <v>-5.7999999999999972</v>
      </c>
      <c r="N70" s="1">
        <f t="shared" si="4"/>
        <v>1.725406488781267E-2</v>
      </c>
      <c r="O70" s="2">
        <v>100</v>
      </c>
      <c r="P70" s="2">
        <v>92.5</v>
      </c>
      <c r="Q70" s="2">
        <f t="shared" si="5"/>
        <v>7.5</v>
      </c>
      <c r="R70" s="2">
        <v>0</v>
      </c>
      <c r="S70" s="2">
        <v>-0.9</v>
      </c>
      <c r="T70" s="2">
        <f t="shared" si="6"/>
        <v>13.299999999999997</v>
      </c>
    </row>
    <row r="71" spans="1:20">
      <c r="A71" s="6">
        <v>767</v>
      </c>
      <c r="B71" t="s">
        <v>66</v>
      </c>
      <c r="C71" t="s">
        <v>46</v>
      </c>
      <c r="D71">
        <v>50</v>
      </c>
      <c r="E71">
        <v>14</v>
      </c>
      <c r="F71" s="1">
        <f t="shared" si="0"/>
        <v>0.78125</v>
      </c>
      <c r="G71" s="2">
        <v>118.8</v>
      </c>
      <c r="H71" s="2">
        <v>107.5</v>
      </c>
      <c r="I71" s="2">
        <f t="shared" si="1"/>
        <v>11.299999999999997</v>
      </c>
      <c r="J71" s="1">
        <f t="shared" si="2"/>
        <v>0.80207402882582313</v>
      </c>
      <c r="K71" s="2">
        <v>117.2</v>
      </c>
      <c r="L71" s="2">
        <v>106</v>
      </c>
      <c r="M71" s="2">
        <f t="shared" si="3"/>
        <v>11.200000000000003</v>
      </c>
      <c r="N71" s="1">
        <f t="shared" si="4"/>
        <v>-2.0824028825823127E-2</v>
      </c>
      <c r="O71" s="2">
        <v>123.7</v>
      </c>
      <c r="P71" s="2">
        <v>99.2</v>
      </c>
      <c r="Q71" s="2">
        <f t="shared" si="5"/>
        <v>24.5</v>
      </c>
      <c r="R71" s="2">
        <v>1.8</v>
      </c>
      <c r="S71" s="2">
        <v>8.8000000000000007</v>
      </c>
      <c r="T71" s="2">
        <f t="shared" si="6"/>
        <v>13.299999999999997</v>
      </c>
    </row>
    <row r="72" spans="1:20">
      <c r="A72" s="6">
        <v>703</v>
      </c>
      <c r="B72" t="s">
        <v>64</v>
      </c>
      <c r="C72" t="s">
        <v>19</v>
      </c>
      <c r="D72">
        <v>49</v>
      </c>
      <c r="E72">
        <v>32</v>
      </c>
      <c r="F72" s="1">
        <f t="shared" si="0"/>
        <v>0.60493827160493829</v>
      </c>
      <c r="G72" s="2">
        <v>119</v>
      </c>
      <c r="H72" s="2">
        <v>116.2</v>
      </c>
      <c r="I72" s="2">
        <f t="shared" si="1"/>
        <v>2.7999999999999972</v>
      </c>
      <c r="J72" s="1">
        <f t="shared" si="2"/>
        <v>0.58257403618210546</v>
      </c>
      <c r="K72" s="2">
        <v>117.7</v>
      </c>
      <c r="L72" s="2">
        <v>114.9</v>
      </c>
      <c r="M72" s="2">
        <f t="shared" si="3"/>
        <v>2.7999999999999972</v>
      </c>
      <c r="N72" s="1">
        <f t="shared" si="4"/>
        <v>2.2364235422832834E-2</v>
      </c>
      <c r="O72" s="2">
        <v>122</v>
      </c>
      <c r="P72" s="2">
        <v>106.2</v>
      </c>
      <c r="Q72" s="2">
        <f t="shared" si="5"/>
        <v>15.799999999999997</v>
      </c>
      <c r="R72" s="2">
        <v>0.1</v>
      </c>
      <c r="S72" s="2">
        <v>0.8</v>
      </c>
      <c r="T72" s="2">
        <f t="shared" si="6"/>
        <v>13</v>
      </c>
    </row>
    <row r="73" spans="1:20">
      <c r="A73" s="6">
        <v>529</v>
      </c>
      <c r="B73" t="s">
        <v>58</v>
      </c>
      <c r="C73" t="s">
        <v>24</v>
      </c>
      <c r="D73">
        <v>52</v>
      </c>
      <c r="E73">
        <v>30</v>
      </c>
      <c r="F73" s="1">
        <f t="shared" ref="F73:F136" si="7">+D73/(D73+E73)</f>
        <v>0.63414634146341464</v>
      </c>
      <c r="G73" s="2">
        <v>109.8</v>
      </c>
      <c r="H73" s="2">
        <v>105.3</v>
      </c>
      <c r="I73" s="2">
        <f t="shared" ref="I73:I136" si="8">+G73-H73</f>
        <v>4.5</v>
      </c>
      <c r="J73" s="1">
        <f t="shared" ref="J73:J136" si="9">+(G73^14)/((G73^14+H73^14))</f>
        <v>0.64241456879862791</v>
      </c>
      <c r="K73" s="2">
        <v>108.5</v>
      </c>
      <c r="L73" s="2">
        <v>103.9</v>
      </c>
      <c r="M73" s="2">
        <f t="shared" ref="M73:M136" si="10">+K73-L73</f>
        <v>4.5999999999999943</v>
      </c>
      <c r="N73" s="1">
        <f t="shared" ref="N73:N136" si="11">+F73-J73</f>
        <v>-8.2682273352132629E-3</v>
      </c>
      <c r="O73" s="2">
        <v>114.5</v>
      </c>
      <c r="P73" s="2">
        <v>97.1</v>
      </c>
      <c r="Q73" s="2">
        <f t="shared" ref="Q73:Q136" si="12">+O73-P73</f>
        <v>17.400000000000006</v>
      </c>
      <c r="R73" s="2">
        <v>-1.1000000000000001</v>
      </c>
      <c r="S73" s="2">
        <v>-4.7</v>
      </c>
      <c r="T73" s="2">
        <f t="shared" ref="T73:T136" si="13">+Q73-M73</f>
        <v>12.800000000000011</v>
      </c>
    </row>
    <row r="74" spans="1:20">
      <c r="A74" s="6">
        <v>255</v>
      </c>
      <c r="B74" t="s">
        <v>45</v>
      </c>
      <c r="C74" t="s">
        <v>37</v>
      </c>
      <c r="D74">
        <v>49</v>
      </c>
      <c r="E74">
        <v>33</v>
      </c>
      <c r="F74" s="1">
        <f t="shared" si="7"/>
        <v>0.59756097560975607</v>
      </c>
      <c r="G74" s="2">
        <v>95.8</v>
      </c>
      <c r="H74" s="2">
        <v>94.3</v>
      </c>
      <c r="I74" s="2">
        <f t="shared" si="8"/>
        <v>1.5</v>
      </c>
      <c r="J74" s="1">
        <f t="shared" si="9"/>
        <v>0.55501163326871295</v>
      </c>
      <c r="K74" s="2">
        <v>107.6</v>
      </c>
      <c r="L74" s="2">
        <v>105.8</v>
      </c>
      <c r="M74" s="2">
        <f t="shared" si="10"/>
        <v>1.7999999999999972</v>
      </c>
      <c r="N74" s="1">
        <f t="shared" si="11"/>
        <v>4.2549342341043128E-2</v>
      </c>
      <c r="O74" s="2">
        <v>124.8</v>
      </c>
      <c r="P74" s="2">
        <v>110.2</v>
      </c>
      <c r="Q74" s="2">
        <f t="shared" si="12"/>
        <v>14.599999999999994</v>
      </c>
      <c r="R74" s="2">
        <v>0.9</v>
      </c>
      <c r="S74" s="2">
        <v>4.5</v>
      </c>
      <c r="T74" s="2">
        <f t="shared" si="13"/>
        <v>12.799999999999997</v>
      </c>
    </row>
    <row r="75" spans="1:20">
      <c r="A75" s="6">
        <v>93</v>
      </c>
      <c r="B75" t="s">
        <v>38</v>
      </c>
      <c r="C75" t="s">
        <v>11</v>
      </c>
      <c r="D75">
        <v>43</v>
      </c>
      <c r="E75">
        <v>39</v>
      </c>
      <c r="F75" s="1">
        <f t="shared" si="7"/>
        <v>0.52439024390243905</v>
      </c>
      <c r="G75" s="2">
        <v>97.2</v>
      </c>
      <c r="H75" s="2">
        <v>96.1</v>
      </c>
      <c r="I75" s="2">
        <f t="shared" si="8"/>
        <v>1.1000000000000085</v>
      </c>
      <c r="J75" s="1">
        <f t="shared" si="9"/>
        <v>0.53975081670039182</v>
      </c>
      <c r="K75" s="2">
        <v>102.4</v>
      </c>
      <c r="L75" s="2">
        <v>101.4</v>
      </c>
      <c r="M75" s="2">
        <f t="shared" si="10"/>
        <v>1</v>
      </c>
      <c r="N75" s="1">
        <f t="shared" si="11"/>
        <v>-1.5360572797952776E-2</v>
      </c>
      <c r="O75" s="2">
        <v>103.3</v>
      </c>
      <c r="P75" s="2">
        <v>89.6</v>
      </c>
      <c r="Q75" s="2">
        <f t="shared" si="12"/>
        <v>13.700000000000003</v>
      </c>
      <c r="R75" s="2">
        <v>0.1</v>
      </c>
      <c r="S75" s="2">
        <v>-1.1000000000000001</v>
      </c>
      <c r="T75" s="2">
        <f t="shared" si="13"/>
        <v>12.700000000000003</v>
      </c>
    </row>
    <row r="76" spans="1:20">
      <c r="A76" s="6">
        <v>679</v>
      </c>
      <c r="B76" t="s">
        <v>63</v>
      </c>
      <c r="C76" t="s">
        <v>24</v>
      </c>
      <c r="D76">
        <v>54</v>
      </c>
      <c r="E76">
        <v>28</v>
      </c>
      <c r="F76" s="1">
        <f t="shared" si="7"/>
        <v>0.65853658536585369</v>
      </c>
      <c r="G76" s="2">
        <v>115.2</v>
      </c>
      <c r="H76" s="2">
        <v>110.9</v>
      </c>
      <c r="I76" s="2">
        <f t="shared" si="8"/>
        <v>4.2999999999999972</v>
      </c>
      <c r="J76" s="1">
        <f t="shared" si="9"/>
        <v>0.63008277952794978</v>
      </c>
      <c r="K76" s="2">
        <v>117</v>
      </c>
      <c r="L76" s="2">
        <v>112.7</v>
      </c>
      <c r="M76" s="2">
        <f t="shared" si="10"/>
        <v>4.2999999999999972</v>
      </c>
      <c r="N76" s="1">
        <f t="shared" si="11"/>
        <v>2.8453805837903912E-2</v>
      </c>
      <c r="O76" s="2">
        <v>110.2</v>
      </c>
      <c r="P76" s="2">
        <v>93.3</v>
      </c>
      <c r="Q76" s="2">
        <f t="shared" si="12"/>
        <v>16.900000000000006</v>
      </c>
      <c r="R76" s="2">
        <v>2</v>
      </c>
      <c r="S76" s="2">
        <v>10.1</v>
      </c>
      <c r="T76" s="2">
        <f t="shared" si="13"/>
        <v>12.600000000000009</v>
      </c>
    </row>
    <row r="77" spans="1:20">
      <c r="A77" s="6">
        <v>115</v>
      </c>
      <c r="B77" t="s">
        <v>38</v>
      </c>
      <c r="C77" t="s">
        <v>31</v>
      </c>
      <c r="D77">
        <v>42</v>
      </c>
      <c r="E77">
        <v>40</v>
      </c>
      <c r="F77" s="1">
        <f t="shared" si="7"/>
        <v>0.51219512195121952</v>
      </c>
      <c r="G77" s="2">
        <v>88.7</v>
      </c>
      <c r="H77" s="2">
        <v>89.9</v>
      </c>
      <c r="I77" s="2">
        <f t="shared" si="8"/>
        <v>-1.2000000000000028</v>
      </c>
      <c r="J77" s="1">
        <f t="shared" si="9"/>
        <v>0.45310505226104381</v>
      </c>
      <c r="K77" s="2">
        <v>100</v>
      </c>
      <c r="L77" s="2">
        <v>101.3</v>
      </c>
      <c r="M77" s="2">
        <f t="shared" si="10"/>
        <v>-1.2999999999999972</v>
      </c>
      <c r="N77" s="1">
        <f t="shared" si="11"/>
        <v>5.9090069690175717E-2</v>
      </c>
      <c r="O77" s="2">
        <v>108.6</v>
      </c>
      <c r="P77" s="2">
        <v>97.3</v>
      </c>
      <c r="Q77" s="2">
        <f t="shared" si="12"/>
        <v>11.299999999999997</v>
      </c>
      <c r="R77" s="2">
        <v>0.3</v>
      </c>
      <c r="S77" s="2">
        <v>-0.6</v>
      </c>
      <c r="T77" s="2">
        <f t="shared" si="13"/>
        <v>12.599999999999994</v>
      </c>
    </row>
    <row r="78" spans="1:20">
      <c r="A78" s="6">
        <v>165</v>
      </c>
      <c r="B78" t="s">
        <v>41</v>
      </c>
      <c r="C78" t="s">
        <v>42</v>
      </c>
      <c r="D78">
        <v>38</v>
      </c>
      <c r="E78">
        <v>44</v>
      </c>
      <c r="F78" s="1">
        <f t="shared" si="7"/>
        <v>0.46341463414634149</v>
      </c>
      <c r="G78" s="2">
        <v>92.8</v>
      </c>
      <c r="H78" s="2">
        <v>95.6</v>
      </c>
      <c r="I78" s="2">
        <f t="shared" si="8"/>
        <v>-2.7999999999999972</v>
      </c>
      <c r="J78" s="1">
        <f t="shared" si="9"/>
        <v>0.3974344302617922</v>
      </c>
      <c r="K78" s="2">
        <v>102.3</v>
      </c>
      <c r="L78" s="2">
        <v>105.1</v>
      </c>
      <c r="M78" s="2">
        <f t="shared" si="10"/>
        <v>-2.7999999999999972</v>
      </c>
      <c r="N78" s="1">
        <f t="shared" si="11"/>
        <v>6.5980203884549282E-2</v>
      </c>
      <c r="O78" s="2">
        <v>111.7</v>
      </c>
      <c r="P78" s="2">
        <v>102</v>
      </c>
      <c r="Q78" s="2">
        <f t="shared" si="12"/>
        <v>9.7000000000000028</v>
      </c>
      <c r="R78" s="2">
        <v>-0.3</v>
      </c>
      <c r="S78" s="2">
        <v>-2.8</v>
      </c>
      <c r="T78" s="2">
        <f t="shared" si="13"/>
        <v>12.5</v>
      </c>
    </row>
    <row r="79" spans="1:20">
      <c r="A79" s="6">
        <v>106</v>
      </c>
      <c r="B79" t="s">
        <v>38</v>
      </c>
      <c r="C79" t="s">
        <v>22</v>
      </c>
      <c r="D79">
        <v>39</v>
      </c>
      <c r="E79">
        <v>43</v>
      </c>
      <c r="F79" s="1">
        <f t="shared" si="7"/>
        <v>0.47560975609756095</v>
      </c>
      <c r="G79" s="2">
        <v>92</v>
      </c>
      <c r="H79" s="2">
        <v>93.5</v>
      </c>
      <c r="I79" s="2">
        <f t="shared" si="8"/>
        <v>-1.5</v>
      </c>
      <c r="J79" s="1">
        <f t="shared" si="9"/>
        <v>0.44363558545762971</v>
      </c>
      <c r="K79" s="2">
        <v>99.7</v>
      </c>
      <c r="L79" s="2">
        <v>101.3</v>
      </c>
      <c r="M79" s="2">
        <f t="shared" si="10"/>
        <v>-1.5999999999999943</v>
      </c>
      <c r="N79" s="1">
        <f t="shared" si="11"/>
        <v>3.1974170639931243E-2</v>
      </c>
      <c r="O79" s="2">
        <v>103.3</v>
      </c>
      <c r="P79" s="2">
        <v>92.4</v>
      </c>
      <c r="Q79" s="2">
        <f t="shared" si="12"/>
        <v>10.899999999999991</v>
      </c>
      <c r="R79" s="2">
        <v>0.1</v>
      </c>
      <c r="S79" s="2">
        <v>-0.7</v>
      </c>
      <c r="T79" s="2">
        <f t="shared" si="13"/>
        <v>12.499999999999986</v>
      </c>
    </row>
    <row r="80" spans="1:20">
      <c r="A80" s="6">
        <v>150</v>
      </c>
      <c r="B80" t="s">
        <v>41</v>
      </c>
      <c r="C80" t="s">
        <v>8</v>
      </c>
      <c r="D80">
        <v>41</v>
      </c>
      <c r="E80">
        <v>41</v>
      </c>
      <c r="F80" s="1">
        <f t="shared" si="7"/>
        <v>0.5</v>
      </c>
      <c r="G80" s="2">
        <v>97.8</v>
      </c>
      <c r="H80" s="2">
        <v>97.2</v>
      </c>
      <c r="I80" s="2">
        <f t="shared" si="8"/>
        <v>0.59999999999999432</v>
      </c>
      <c r="J80" s="1">
        <f t="shared" si="9"/>
        <v>0.52152521685612041</v>
      </c>
      <c r="K80" s="2">
        <v>103.3</v>
      </c>
      <c r="L80" s="2">
        <v>102.7</v>
      </c>
      <c r="M80" s="2">
        <f t="shared" si="10"/>
        <v>0.59999999999999432</v>
      </c>
      <c r="N80" s="1">
        <f t="shared" si="11"/>
        <v>-2.152521685612041E-2</v>
      </c>
      <c r="O80" s="2">
        <v>107.7</v>
      </c>
      <c r="P80" s="2">
        <v>94.8</v>
      </c>
      <c r="Q80" s="2">
        <f t="shared" si="12"/>
        <v>12.900000000000006</v>
      </c>
      <c r="R80" s="2">
        <v>0.7</v>
      </c>
      <c r="S80" s="2">
        <v>3.1</v>
      </c>
      <c r="T80" s="2">
        <f t="shared" si="13"/>
        <v>12.300000000000011</v>
      </c>
    </row>
    <row r="81" spans="1:20">
      <c r="A81" s="6">
        <v>242</v>
      </c>
      <c r="B81" t="s">
        <v>45</v>
      </c>
      <c r="C81" t="s">
        <v>10</v>
      </c>
      <c r="D81">
        <v>50</v>
      </c>
      <c r="E81">
        <v>32</v>
      </c>
      <c r="F81" s="1">
        <f t="shared" si="7"/>
        <v>0.6097560975609756</v>
      </c>
      <c r="G81" s="2">
        <v>101.7</v>
      </c>
      <c r="H81" s="2">
        <v>99.8</v>
      </c>
      <c r="I81" s="2">
        <f t="shared" si="8"/>
        <v>1.9000000000000057</v>
      </c>
      <c r="J81" s="1">
        <f t="shared" si="9"/>
        <v>0.56562612482912078</v>
      </c>
      <c r="K81" s="2">
        <v>109</v>
      </c>
      <c r="L81" s="2">
        <v>107</v>
      </c>
      <c r="M81" s="2">
        <f t="shared" si="10"/>
        <v>2</v>
      </c>
      <c r="N81" s="1">
        <f t="shared" si="11"/>
        <v>4.4129972731854816E-2</v>
      </c>
      <c r="O81" s="2">
        <v>113</v>
      </c>
      <c r="P81" s="2">
        <v>98.7</v>
      </c>
      <c r="Q81" s="2">
        <f t="shared" si="12"/>
        <v>14.299999999999997</v>
      </c>
      <c r="R81" s="2">
        <v>-0.2</v>
      </c>
      <c r="S81" s="2">
        <v>-1.8</v>
      </c>
      <c r="T81" s="2">
        <f t="shared" si="13"/>
        <v>12.299999999999997</v>
      </c>
    </row>
    <row r="82" spans="1:20">
      <c r="A82" s="6">
        <v>97</v>
      </c>
      <c r="B82" t="s">
        <v>38</v>
      </c>
      <c r="C82" t="s">
        <v>15</v>
      </c>
      <c r="D82">
        <v>61</v>
      </c>
      <c r="E82">
        <v>21</v>
      </c>
      <c r="F82" s="1">
        <f t="shared" si="7"/>
        <v>0.74390243902439024</v>
      </c>
      <c r="G82" s="2">
        <v>91.4</v>
      </c>
      <c r="H82" s="2">
        <v>85.6</v>
      </c>
      <c r="I82" s="2">
        <f t="shared" si="8"/>
        <v>5.8000000000000114</v>
      </c>
      <c r="J82" s="1">
        <f t="shared" si="9"/>
        <v>0.71460234412394263</v>
      </c>
      <c r="K82" s="2">
        <v>102.5</v>
      </c>
      <c r="L82" s="2">
        <v>96.2</v>
      </c>
      <c r="M82" s="2">
        <f t="shared" si="10"/>
        <v>6.2999999999999972</v>
      </c>
      <c r="N82" s="1">
        <f t="shared" si="11"/>
        <v>2.9300094900447604E-2</v>
      </c>
      <c r="O82" s="2">
        <v>103.6</v>
      </c>
      <c r="P82" s="2">
        <v>85</v>
      </c>
      <c r="Q82" s="2">
        <f t="shared" si="12"/>
        <v>18.599999999999994</v>
      </c>
      <c r="R82" s="2">
        <v>1.5</v>
      </c>
      <c r="S82" s="2">
        <v>7.7</v>
      </c>
      <c r="T82" s="2">
        <f t="shared" si="13"/>
        <v>12.299999999999997</v>
      </c>
    </row>
    <row r="83" spans="1:20">
      <c r="A83" s="6">
        <v>259</v>
      </c>
      <c r="B83" t="s">
        <v>45</v>
      </c>
      <c r="C83" t="s">
        <v>24</v>
      </c>
      <c r="D83">
        <v>41</v>
      </c>
      <c r="E83">
        <v>41</v>
      </c>
      <c r="F83" s="1">
        <f t="shared" si="7"/>
        <v>0.5</v>
      </c>
      <c r="G83" s="2">
        <v>97.4</v>
      </c>
      <c r="H83" s="2">
        <v>97.3</v>
      </c>
      <c r="I83" s="2">
        <f t="shared" si="8"/>
        <v>0.10000000000000853</v>
      </c>
      <c r="J83" s="1">
        <f t="shared" si="9"/>
        <v>0.50359521313575439</v>
      </c>
      <c r="K83" s="2">
        <v>106.3</v>
      </c>
      <c r="L83" s="2">
        <v>106.1</v>
      </c>
      <c r="M83" s="2">
        <f t="shared" si="10"/>
        <v>0.20000000000000284</v>
      </c>
      <c r="N83" s="1">
        <f t="shared" si="11"/>
        <v>-3.5952131357543937E-3</v>
      </c>
      <c r="O83" s="2">
        <v>109.6</v>
      </c>
      <c r="P83" s="2">
        <v>97.1</v>
      </c>
      <c r="Q83" s="2">
        <f t="shared" si="12"/>
        <v>12.5</v>
      </c>
      <c r="R83" s="2">
        <v>0</v>
      </c>
      <c r="S83" s="2">
        <v>0.2</v>
      </c>
      <c r="T83" s="2">
        <f t="shared" si="13"/>
        <v>12.299999999999997</v>
      </c>
    </row>
    <row r="84" spans="1:20">
      <c r="A84" s="6">
        <v>285</v>
      </c>
      <c r="B84" t="s">
        <v>47</v>
      </c>
      <c r="C84" t="s">
        <v>37</v>
      </c>
      <c r="D84">
        <v>37</v>
      </c>
      <c r="E84">
        <v>45</v>
      </c>
      <c r="F84" s="1">
        <f t="shared" si="7"/>
        <v>0.45121951219512196</v>
      </c>
      <c r="G84" s="2">
        <v>100.2</v>
      </c>
      <c r="H84" s="2">
        <v>102.7</v>
      </c>
      <c r="I84" s="2">
        <f t="shared" si="8"/>
        <v>-2.5</v>
      </c>
      <c r="J84" s="1">
        <f t="shared" si="9"/>
        <v>0.41459179126180778</v>
      </c>
      <c r="K84" s="2">
        <v>106.5</v>
      </c>
      <c r="L84" s="2">
        <v>108.9</v>
      </c>
      <c r="M84" s="2">
        <f t="shared" si="10"/>
        <v>-2.4000000000000057</v>
      </c>
      <c r="N84" s="1">
        <f t="shared" si="11"/>
        <v>3.6627720933314178E-2</v>
      </c>
      <c r="O84" s="2">
        <v>109</v>
      </c>
      <c r="P84" s="2">
        <v>99.2</v>
      </c>
      <c r="Q84" s="2">
        <f t="shared" si="12"/>
        <v>9.7999999999999972</v>
      </c>
      <c r="R84" s="2">
        <v>0.3</v>
      </c>
      <c r="S84" s="2">
        <v>1</v>
      </c>
      <c r="T84" s="2">
        <f t="shared" si="13"/>
        <v>12.200000000000003</v>
      </c>
    </row>
    <row r="85" spans="1:20">
      <c r="A85" s="6">
        <v>763</v>
      </c>
      <c r="B85" t="s">
        <v>66</v>
      </c>
      <c r="C85" t="s">
        <v>19</v>
      </c>
      <c r="D85">
        <v>27</v>
      </c>
      <c r="E85">
        <v>35</v>
      </c>
      <c r="F85" s="1">
        <f t="shared" si="7"/>
        <v>0.43548387096774194</v>
      </c>
      <c r="G85" s="2">
        <v>111.4</v>
      </c>
      <c r="H85" s="2">
        <v>115.5</v>
      </c>
      <c r="I85" s="2">
        <f t="shared" si="8"/>
        <v>-4.0999999999999943</v>
      </c>
      <c r="J85" s="1">
        <f t="shared" si="9"/>
        <v>0.37613055154918495</v>
      </c>
      <c r="K85" s="2">
        <v>112.7</v>
      </c>
      <c r="L85" s="2">
        <v>116.7</v>
      </c>
      <c r="M85" s="2">
        <f t="shared" si="10"/>
        <v>-4</v>
      </c>
      <c r="N85" s="1">
        <f t="shared" si="11"/>
        <v>5.9353319418556982E-2</v>
      </c>
      <c r="O85" s="2">
        <v>119.7</v>
      </c>
      <c r="P85" s="2">
        <v>111.6</v>
      </c>
      <c r="Q85" s="2">
        <f t="shared" si="12"/>
        <v>8.1000000000000085</v>
      </c>
      <c r="R85" s="2">
        <v>-0.3</v>
      </c>
      <c r="S85" s="2">
        <v>-0.7</v>
      </c>
      <c r="T85" s="2">
        <f t="shared" si="13"/>
        <v>12.100000000000009</v>
      </c>
    </row>
    <row r="86" spans="1:20">
      <c r="A86" s="6">
        <v>143</v>
      </c>
      <c r="B86" t="s">
        <v>39</v>
      </c>
      <c r="C86" t="s">
        <v>29</v>
      </c>
      <c r="D86">
        <v>52</v>
      </c>
      <c r="E86">
        <v>30</v>
      </c>
      <c r="F86" s="1">
        <f t="shared" si="7"/>
        <v>0.63414634146341464</v>
      </c>
      <c r="G86" s="2">
        <v>98.9</v>
      </c>
      <c r="H86" s="2">
        <v>96.6</v>
      </c>
      <c r="I86" s="2">
        <f t="shared" si="8"/>
        <v>2.3000000000000114</v>
      </c>
      <c r="J86" s="1">
        <f t="shared" si="9"/>
        <v>0.58161994176434872</v>
      </c>
      <c r="K86" s="2">
        <v>110.3</v>
      </c>
      <c r="L86" s="2">
        <v>108</v>
      </c>
      <c r="M86" s="2">
        <f t="shared" si="10"/>
        <v>2.2999999999999972</v>
      </c>
      <c r="N86" s="1">
        <f t="shared" si="11"/>
        <v>5.2526399699065918E-2</v>
      </c>
      <c r="O86" s="2">
        <v>119.7</v>
      </c>
      <c r="P86" s="2">
        <v>105.3</v>
      </c>
      <c r="Q86" s="2">
        <f t="shared" si="12"/>
        <v>14.400000000000006</v>
      </c>
      <c r="R86" s="2">
        <v>1.5</v>
      </c>
      <c r="S86" s="2">
        <v>7.3</v>
      </c>
      <c r="T86" s="2">
        <f t="shared" si="13"/>
        <v>12.100000000000009</v>
      </c>
    </row>
    <row r="87" spans="1:20">
      <c r="A87" s="6">
        <v>643</v>
      </c>
      <c r="B87" t="s">
        <v>62</v>
      </c>
      <c r="C87" t="s">
        <v>19</v>
      </c>
      <c r="D87">
        <v>51</v>
      </c>
      <c r="E87">
        <v>31</v>
      </c>
      <c r="F87" s="1">
        <f t="shared" si="7"/>
        <v>0.62195121951219512</v>
      </c>
      <c r="G87" s="2">
        <v>115.5</v>
      </c>
      <c r="H87" s="2">
        <v>112.1</v>
      </c>
      <c r="I87" s="2">
        <f t="shared" si="8"/>
        <v>3.4000000000000057</v>
      </c>
      <c r="J87" s="1">
        <f t="shared" si="9"/>
        <v>0.60307848942796871</v>
      </c>
      <c r="K87" s="2">
        <v>114.3</v>
      </c>
      <c r="L87" s="2">
        <v>111.1</v>
      </c>
      <c r="M87" s="2">
        <f t="shared" si="10"/>
        <v>3.2000000000000028</v>
      </c>
      <c r="N87" s="1">
        <f t="shared" si="11"/>
        <v>1.8872730084226408E-2</v>
      </c>
      <c r="O87" s="2">
        <v>118.1</v>
      </c>
      <c r="P87" s="2">
        <v>102.8</v>
      </c>
      <c r="Q87" s="2">
        <f t="shared" si="12"/>
        <v>15.299999999999997</v>
      </c>
      <c r="R87" s="2">
        <v>1</v>
      </c>
      <c r="S87" s="2">
        <v>5</v>
      </c>
      <c r="T87" s="2">
        <f t="shared" si="13"/>
        <v>12.099999999999994</v>
      </c>
    </row>
    <row r="88" spans="1:20">
      <c r="A88" s="6">
        <v>299</v>
      </c>
      <c r="B88" t="s">
        <v>48</v>
      </c>
      <c r="C88" t="s">
        <v>40</v>
      </c>
      <c r="D88">
        <v>34</v>
      </c>
      <c r="E88">
        <v>48</v>
      </c>
      <c r="F88" s="1">
        <f t="shared" si="7"/>
        <v>0.41463414634146339</v>
      </c>
      <c r="G88" s="2">
        <v>93.3</v>
      </c>
      <c r="H88" s="2">
        <v>97.3</v>
      </c>
      <c r="I88" s="2">
        <f t="shared" si="8"/>
        <v>-4</v>
      </c>
      <c r="J88" s="1">
        <f t="shared" si="9"/>
        <v>0.35716175877963002</v>
      </c>
      <c r="K88" s="2">
        <v>102.8</v>
      </c>
      <c r="L88" s="2">
        <v>107</v>
      </c>
      <c r="M88" s="2">
        <f t="shared" si="10"/>
        <v>-4.2000000000000028</v>
      </c>
      <c r="N88" s="1">
        <f t="shared" si="11"/>
        <v>5.7472387561833371E-2</v>
      </c>
      <c r="O88" s="2">
        <v>105.8</v>
      </c>
      <c r="P88" s="2">
        <v>98</v>
      </c>
      <c r="Q88" s="2">
        <f t="shared" si="12"/>
        <v>7.7999999999999972</v>
      </c>
      <c r="R88" s="2">
        <v>0</v>
      </c>
      <c r="S88" s="2">
        <v>1.2</v>
      </c>
      <c r="T88" s="2">
        <f t="shared" si="13"/>
        <v>12</v>
      </c>
    </row>
    <row r="89" spans="1:20">
      <c r="A89" s="6">
        <v>74</v>
      </c>
      <c r="B89" t="s">
        <v>36</v>
      </c>
      <c r="C89" t="s">
        <v>20</v>
      </c>
      <c r="D89">
        <v>51</v>
      </c>
      <c r="E89">
        <v>31</v>
      </c>
      <c r="F89" s="1">
        <f t="shared" si="7"/>
        <v>0.62195121951219512</v>
      </c>
      <c r="G89" s="2">
        <v>98.1</v>
      </c>
      <c r="H89" s="2">
        <v>96</v>
      </c>
      <c r="I89" s="2">
        <f t="shared" si="8"/>
        <v>2.0999999999999943</v>
      </c>
      <c r="J89" s="1">
        <f t="shared" si="9"/>
        <v>0.57516313158502963</v>
      </c>
      <c r="K89" s="2">
        <v>104.8</v>
      </c>
      <c r="L89" s="2">
        <v>102.5</v>
      </c>
      <c r="M89" s="2">
        <f t="shared" si="10"/>
        <v>2.2999999999999972</v>
      </c>
      <c r="N89" s="1">
        <f t="shared" si="11"/>
        <v>4.6788087927165489E-2</v>
      </c>
      <c r="O89" s="2">
        <v>107.7</v>
      </c>
      <c r="P89" s="2">
        <v>93.4</v>
      </c>
      <c r="Q89" s="2">
        <f t="shared" si="12"/>
        <v>14.299999999999997</v>
      </c>
      <c r="R89" s="2">
        <v>0.1</v>
      </c>
      <c r="S89" s="2">
        <v>1.6</v>
      </c>
      <c r="T89" s="2">
        <f t="shared" si="13"/>
        <v>12</v>
      </c>
    </row>
    <row r="90" spans="1:20">
      <c r="A90" s="6">
        <v>67</v>
      </c>
      <c r="B90" t="s">
        <v>36</v>
      </c>
      <c r="C90" t="s">
        <v>14</v>
      </c>
      <c r="D90">
        <v>43</v>
      </c>
      <c r="E90">
        <v>39</v>
      </c>
      <c r="F90" s="1">
        <f t="shared" si="7"/>
        <v>0.52439024390243905</v>
      </c>
      <c r="G90" s="2">
        <v>93.8</v>
      </c>
      <c r="H90" s="2">
        <v>92.3</v>
      </c>
      <c r="I90" s="2">
        <f t="shared" si="8"/>
        <v>1.5</v>
      </c>
      <c r="J90" s="1">
        <f t="shared" si="9"/>
        <v>0.55618421979332688</v>
      </c>
      <c r="K90" s="2">
        <v>102.4</v>
      </c>
      <c r="L90" s="2">
        <v>100.9</v>
      </c>
      <c r="M90" s="2">
        <f t="shared" si="10"/>
        <v>1.5</v>
      </c>
      <c r="N90" s="1">
        <f t="shared" si="11"/>
        <v>-3.1793975890887838E-2</v>
      </c>
      <c r="O90" s="2">
        <v>114.4</v>
      </c>
      <c r="P90" s="2">
        <v>100.9</v>
      </c>
      <c r="Q90" s="2">
        <f t="shared" si="12"/>
        <v>13.5</v>
      </c>
      <c r="R90" s="2">
        <v>0.4</v>
      </c>
      <c r="S90" s="2">
        <v>2.1</v>
      </c>
      <c r="T90" s="2">
        <f t="shared" si="13"/>
        <v>12</v>
      </c>
    </row>
    <row r="91" spans="1:20">
      <c r="A91" s="6">
        <v>537</v>
      </c>
      <c r="B91" t="s">
        <v>59</v>
      </c>
      <c r="C91" t="s">
        <v>5</v>
      </c>
      <c r="D91">
        <v>29</v>
      </c>
      <c r="E91">
        <v>53</v>
      </c>
      <c r="F91" s="1">
        <f t="shared" si="7"/>
        <v>0.35365853658536583</v>
      </c>
      <c r="G91" s="2">
        <v>113.3</v>
      </c>
      <c r="H91" s="2">
        <v>119.4</v>
      </c>
      <c r="I91" s="2">
        <f t="shared" si="8"/>
        <v>-6.1000000000000085</v>
      </c>
      <c r="J91" s="1">
        <f t="shared" si="9"/>
        <v>0.32428240772060213</v>
      </c>
      <c r="K91" s="2">
        <v>107.5</v>
      </c>
      <c r="L91" s="2">
        <v>113.1</v>
      </c>
      <c r="M91" s="2">
        <f t="shared" si="10"/>
        <v>-5.5999999999999943</v>
      </c>
      <c r="N91" s="1">
        <f t="shared" si="11"/>
        <v>2.9376128864763706E-2</v>
      </c>
      <c r="O91" s="2">
        <v>104</v>
      </c>
      <c r="P91" s="2">
        <v>97.8</v>
      </c>
      <c r="Q91" s="2">
        <f t="shared" si="12"/>
        <v>6.2000000000000028</v>
      </c>
      <c r="R91" s="2">
        <v>-0.1</v>
      </c>
      <c r="S91" s="2">
        <v>-1.1000000000000001</v>
      </c>
      <c r="T91" s="2">
        <f t="shared" si="13"/>
        <v>11.799999999999997</v>
      </c>
    </row>
    <row r="92" spans="1:20">
      <c r="A92" s="6">
        <v>198</v>
      </c>
      <c r="B92" t="s">
        <v>43</v>
      </c>
      <c r="C92" t="s">
        <v>24</v>
      </c>
      <c r="D92">
        <v>35</v>
      </c>
      <c r="E92">
        <v>47</v>
      </c>
      <c r="F92" s="1">
        <f t="shared" si="7"/>
        <v>0.42682926829268292</v>
      </c>
      <c r="G92" s="2">
        <v>94.9</v>
      </c>
      <c r="H92" s="2">
        <v>98</v>
      </c>
      <c r="I92" s="2">
        <f t="shared" si="8"/>
        <v>-3.0999999999999943</v>
      </c>
      <c r="J92" s="1">
        <f t="shared" si="9"/>
        <v>0.38935771732767777</v>
      </c>
      <c r="K92" s="2">
        <v>102.4</v>
      </c>
      <c r="L92" s="2">
        <v>105.6</v>
      </c>
      <c r="M92" s="2">
        <f t="shared" si="10"/>
        <v>-3.1999999999999886</v>
      </c>
      <c r="N92" s="1">
        <f t="shared" si="11"/>
        <v>3.7471550965005151E-2</v>
      </c>
      <c r="O92" s="2">
        <v>106.5</v>
      </c>
      <c r="P92" s="2">
        <v>97.9</v>
      </c>
      <c r="Q92" s="2">
        <f t="shared" si="12"/>
        <v>8.5999999999999943</v>
      </c>
      <c r="R92" s="2">
        <v>-0.1</v>
      </c>
      <c r="S92" s="2">
        <v>-1.4</v>
      </c>
      <c r="T92" s="2">
        <f t="shared" si="13"/>
        <v>11.799999999999983</v>
      </c>
    </row>
    <row r="93" spans="1:20">
      <c r="A93" s="6">
        <v>370</v>
      </c>
      <c r="B93" t="s">
        <v>50</v>
      </c>
      <c r="C93" t="s">
        <v>17</v>
      </c>
      <c r="D93">
        <v>45</v>
      </c>
      <c r="E93">
        <v>37</v>
      </c>
      <c r="F93" s="1">
        <f t="shared" si="7"/>
        <v>0.54878048780487809</v>
      </c>
      <c r="G93" s="2">
        <v>102.2</v>
      </c>
      <c r="H93" s="2">
        <v>101</v>
      </c>
      <c r="I93" s="2">
        <f t="shared" si="8"/>
        <v>1.2000000000000028</v>
      </c>
      <c r="J93" s="1">
        <f t="shared" si="9"/>
        <v>0.54124512665476499</v>
      </c>
      <c r="K93" s="2">
        <v>107</v>
      </c>
      <c r="L93" s="2">
        <v>105.9</v>
      </c>
      <c r="M93" s="2">
        <f t="shared" si="10"/>
        <v>1.0999999999999943</v>
      </c>
      <c r="N93" s="1">
        <f t="shared" si="11"/>
        <v>7.5353611501131068E-3</v>
      </c>
      <c r="O93" s="2">
        <v>104.3</v>
      </c>
      <c r="P93" s="2">
        <v>91.6</v>
      </c>
      <c r="Q93" s="2">
        <f t="shared" si="12"/>
        <v>12.700000000000003</v>
      </c>
      <c r="R93" s="2">
        <v>1.4</v>
      </c>
      <c r="S93" s="2">
        <v>7.4</v>
      </c>
      <c r="T93" s="2">
        <f t="shared" si="13"/>
        <v>11.600000000000009</v>
      </c>
    </row>
    <row r="94" spans="1:20">
      <c r="A94" s="6">
        <v>617</v>
      </c>
      <c r="B94" t="s">
        <v>61</v>
      </c>
      <c r="C94" t="s">
        <v>46</v>
      </c>
      <c r="D94">
        <v>22</v>
      </c>
      <c r="E94">
        <v>50</v>
      </c>
      <c r="F94" s="1">
        <f t="shared" si="7"/>
        <v>0.30555555555555558</v>
      </c>
      <c r="G94" s="2">
        <v>105</v>
      </c>
      <c r="H94" s="2">
        <v>115.6</v>
      </c>
      <c r="I94" s="2">
        <f t="shared" si="8"/>
        <v>-10.599999999999994</v>
      </c>
      <c r="J94" s="1">
        <f t="shared" si="9"/>
        <v>0.20644996928068904</v>
      </c>
      <c r="K94" s="2">
        <v>102.8</v>
      </c>
      <c r="L94" s="2">
        <v>113.4</v>
      </c>
      <c r="M94" s="2">
        <f t="shared" si="10"/>
        <v>-10.600000000000009</v>
      </c>
      <c r="N94" s="1">
        <f t="shared" si="11"/>
        <v>9.9105586274866542E-2</v>
      </c>
      <c r="O94" s="2">
        <v>102.7</v>
      </c>
      <c r="P94" s="2">
        <v>101.8</v>
      </c>
      <c r="Q94" s="2">
        <f t="shared" si="12"/>
        <v>0.90000000000000568</v>
      </c>
      <c r="R94" s="2">
        <v>-1.1000000000000001</v>
      </c>
      <c r="S94" s="2">
        <v>-4.9000000000000004</v>
      </c>
      <c r="T94" s="2">
        <f t="shared" si="13"/>
        <v>11.500000000000014</v>
      </c>
    </row>
    <row r="95" spans="1:20">
      <c r="A95" s="6">
        <v>321</v>
      </c>
      <c r="B95" t="s">
        <v>48</v>
      </c>
      <c r="C95" t="s">
        <v>26</v>
      </c>
      <c r="D95">
        <v>48</v>
      </c>
      <c r="E95">
        <v>34</v>
      </c>
      <c r="F95" s="1">
        <f t="shared" si="7"/>
        <v>0.58536585365853655</v>
      </c>
      <c r="G95" s="2">
        <v>96.3</v>
      </c>
      <c r="H95" s="2">
        <v>94.8</v>
      </c>
      <c r="I95" s="2">
        <f t="shared" si="8"/>
        <v>1.5</v>
      </c>
      <c r="J95" s="1">
        <f t="shared" si="9"/>
        <v>0.55472606384506307</v>
      </c>
      <c r="K95" s="2">
        <v>107.3</v>
      </c>
      <c r="L95" s="2">
        <v>105.7</v>
      </c>
      <c r="M95" s="2">
        <f t="shared" si="10"/>
        <v>1.5999999999999943</v>
      </c>
      <c r="N95" s="1">
        <f t="shared" si="11"/>
        <v>3.0639789813473484E-2</v>
      </c>
      <c r="O95" s="2">
        <v>108.5</v>
      </c>
      <c r="P95" s="2">
        <v>95.4</v>
      </c>
      <c r="Q95" s="2">
        <f t="shared" si="12"/>
        <v>13.099999999999994</v>
      </c>
      <c r="R95" s="2">
        <v>-0.1</v>
      </c>
      <c r="S95" s="2">
        <v>-0.9</v>
      </c>
      <c r="T95" s="2">
        <f t="shared" si="13"/>
        <v>11.5</v>
      </c>
    </row>
    <row r="96" spans="1:20">
      <c r="A96" s="6">
        <v>505</v>
      </c>
      <c r="B96" t="s">
        <v>57</v>
      </c>
      <c r="C96" t="s">
        <v>31</v>
      </c>
      <c r="D96">
        <v>51</v>
      </c>
      <c r="E96">
        <v>31</v>
      </c>
      <c r="F96" s="1">
        <f t="shared" si="7"/>
        <v>0.62195121951219512</v>
      </c>
      <c r="G96" s="2">
        <v>100.7</v>
      </c>
      <c r="H96" s="2">
        <v>96.8</v>
      </c>
      <c r="I96" s="2">
        <f t="shared" si="8"/>
        <v>3.9000000000000057</v>
      </c>
      <c r="J96" s="1">
        <f t="shared" si="9"/>
        <v>0.63482745651575567</v>
      </c>
      <c r="K96" s="2">
        <v>109</v>
      </c>
      <c r="L96" s="2">
        <v>104.7</v>
      </c>
      <c r="M96" s="2">
        <f t="shared" si="10"/>
        <v>4.2999999999999972</v>
      </c>
      <c r="N96" s="1">
        <f t="shared" si="11"/>
        <v>-1.2876237003560553E-2</v>
      </c>
      <c r="O96" s="2">
        <v>115</v>
      </c>
      <c r="P96" s="2">
        <v>99.3</v>
      </c>
      <c r="Q96" s="2">
        <f t="shared" si="12"/>
        <v>15.700000000000003</v>
      </c>
      <c r="R96" s="2">
        <v>2.2000000000000002</v>
      </c>
      <c r="S96" s="2">
        <v>11.6</v>
      </c>
      <c r="T96" s="2">
        <f t="shared" si="13"/>
        <v>11.400000000000006</v>
      </c>
    </row>
    <row r="97" spans="1:20">
      <c r="A97" s="6">
        <v>506</v>
      </c>
      <c r="B97" t="s">
        <v>57</v>
      </c>
      <c r="C97" t="s">
        <v>33</v>
      </c>
      <c r="D97">
        <v>49</v>
      </c>
      <c r="E97">
        <v>33</v>
      </c>
      <c r="F97" s="1">
        <f t="shared" si="7"/>
        <v>0.59756097560975607</v>
      </c>
      <c r="G97" s="2">
        <v>109.2</v>
      </c>
      <c r="H97" s="2">
        <v>107.4</v>
      </c>
      <c r="I97" s="2">
        <f t="shared" si="8"/>
        <v>1.7999999999999972</v>
      </c>
      <c r="J97" s="1">
        <f t="shared" si="9"/>
        <v>0.55791201251406242</v>
      </c>
      <c r="K97" s="2">
        <v>110.4</v>
      </c>
      <c r="L97" s="2">
        <v>108.8</v>
      </c>
      <c r="M97" s="2">
        <f t="shared" si="10"/>
        <v>1.6000000000000085</v>
      </c>
      <c r="N97" s="1">
        <f t="shared" si="11"/>
        <v>3.9648963095693657E-2</v>
      </c>
      <c r="O97" s="2">
        <v>116.8</v>
      </c>
      <c r="P97" s="2">
        <v>103.8</v>
      </c>
      <c r="Q97" s="2">
        <f t="shared" si="12"/>
        <v>13</v>
      </c>
      <c r="R97" s="2">
        <v>0.8</v>
      </c>
      <c r="S97" s="2">
        <v>4.2</v>
      </c>
      <c r="T97" s="2">
        <f t="shared" si="13"/>
        <v>11.399999999999991</v>
      </c>
    </row>
    <row r="98" spans="1:20">
      <c r="A98" s="6">
        <v>215</v>
      </c>
      <c r="B98" t="s">
        <v>44</v>
      </c>
      <c r="C98" t="s">
        <v>13</v>
      </c>
      <c r="D98">
        <v>48</v>
      </c>
      <c r="E98">
        <v>34</v>
      </c>
      <c r="F98" s="1">
        <f t="shared" si="7"/>
        <v>0.58536585365853655</v>
      </c>
      <c r="G98" s="2">
        <v>111</v>
      </c>
      <c r="H98" s="2">
        <v>108.8</v>
      </c>
      <c r="I98" s="2">
        <f t="shared" si="8"/>
        <v>2.2000000000000028</v>
      </c>
      <c r="J98" s="1">
        <f t="shared" si="9"/>
        <v>0.56961097932319371</v>
      </c>
      <c r="K98" s="2">
        <v>110.4</v>
      </c>
      <c r="L98" s="2">
        <v>108.5</v>
      </c>
      <c r="M98" s="2">
        <f t="shared" si="10"/>
        <v>1.9000000000000057</v>
      </c>
      <c r="N98" s="1">
        <f t="shared" si="11"/>
        <v>1.5754874335342839E-2</v>
      </c>
      <c r="O98" s="2">
        <v>117.2</v>
      </c>
      <c r="P98" s="2">
        <v>103.9</v>
      </c>
      <c r="Q98" s="2">
        <f t="shared" si="12"/>
        <v>13.299999999999997</v>
      </c>
      <c r="R98" s="2">
        <v>0.5</v>
      </c>
      <c r="S98" s="2">
        <v>3.4</v>
      </c>
      <c r="T98" s="2">
        <f t="shared" si="13"/>
        <v>11.399999999999991</v>
      </c>
    </row>
    <row r="99" spans="1:20">
      <c r="A99" s="6">
        <v>457</v>
      </c>
      <c r="B99" t="s">
        <v>55</v>
      </c>
      <c r="C99" t="s">
        <v>14</v>
      </c>
      <c r="D99">
        <v>41</v>
      </c>
      <c r="E99">
        <v>41</v>
      </c>
      <c r="F99" s="1">
        <f t="shared" si="7"/>
        <v>0.5</v>
      </c>
      <c r="G99" s="2">
        <v>106.5</v>
      </c>
      <c r="H99" s="2">
        <v>106.4</v>
      </c>
      <c r="I99" s="2">
        <f t="shared" si="8"/>
        <v>9.9999999999994316E-2</v>
      </c>
      <c r="J99" s="1">
        <f t="shared" si="9"/>
        <v>0.50328788145549319</v>
      </c>
      <c r="K99" s="2">
        <v>107.3</v>
      </c>
      <c r="L99" s="2">
        <v>107.3</v>
      </c>
      <c r="M99" s="2">
        <f t="shared" si="10"/>
        <v>0</v>
      </c>
      <c r="N99" s="1">
        <f t="shared" si="11"/>
        <v>-3.2878814554931912E-3</v>
      </c>
      <c r="O99" s="2">
        <v>107.3</v>
      </c>
      <c r="P99" s="2">
        <v>96</v>
      </c>
      <c r="Q99" s="2">
        <f t="shared" si="12"/>
        <v>11.299999999999997</v>
      </c>
      <c r="R99" s="2">
        <v>1</v>
      </c>
      <c r="S99" s="2">
        <v>3.4</v>
      </c>
      <c r="T99" s="2">
        <f t="shared" si="13"/>
        <v>11.299999999999997</v>
      </c>
    </row>
    <row r="100" spans="1:20">
      <c r="A100" s="6">
        <v>237</v>
      </c>
      <c r="B100" t="s">
        <v>45</v>
      </c>
      <c r="C100" t="s">
        <v>5</v>
      </c>
      <c r="D100">
        <v>47</v>
      </c>
      <c r="E100">
        <v>35</v>
      </c>
      <c r="F100" s="1">
        <f t="shared" si="7"/>
        <v>0.57317073170731703</v>
      </c>
      <c r="G100" s="2">
        <v>98.1</v>
      </c>
      <c r="H100" s="2">
        <v>96.5</v>
      </c>
      <c r="I100" s="2">
        <f t="shared" si="8"/>
        <v>1.5999999999999943</v>
      </c>
      <c r="J100" s="1">
        <f t="shared" si="9"/>
        <v>0.55730238336398075</v>
      </c>
      <c r="K100" s="2">
        <v>108.3</v>
      </c>
      <c r="L100" s="2">
        <v>106.7</v>
      </c>
      <c r="M100" s="2">
        <f t="shared" si="10"/>
        <v>1.5999999999999943</v>
      </c>
      <c r="N100" s="1">
        <f t="shared" si="11"/>
        <v>1.586834834333628E-2</v>
      </c>
      <c r="O100" s="2">
        <v>106.7</v>
      </c>
      <c r="P100" s="2">
        <v>93.9</v>
      </c>
      <c r="Q100" s="2">
        <f t="shared" si="12"/>
        <v>12.799999999999997</v>
      </c>
      <c r="R100" s="2">
        <v>2.1</v>
      </c>
      <c r="S100" s="2">
        <v>10.3</v>
      </c>
      <c r="T100" s="2">
        <f t="shared" si="13"/>
        <v>11.200000000000003</v>
      </c>
    </row>
    <row r="101" spans="1:20">
      <c r="A101" s="6">
        <v>711</v>
      </c>
      <c r="B101" t="s">
        <v>64</v>
      </c>
      <c r="C101" t="s">
        <v>26</v>
      </c>
      <c r="D101">
        <v>21</v>
      </c>
      <c r="E101">
        <v>61</v>
      </c>
      <c r="F101" s="1">
        <f t="shared" si="7"/>
        <v>0.25609756097560976</v>
      </c>
      <c r="G101" s="2">
        <v>106.4</v>
      </c>
      <c r="H101" s="2">
        <v>115.4</v>
      </c>
      <c r="I101" s="2">
        <f t="shared" si="8"/>
        <v>-9</v>
      </c>
      <c r="J101" s="1">
        <f t="shared" si="9"/>
        <v>0.24291151759071603</v>
      </c>
      <c r="K101" s="2">
        <v>107.6</v>
      </c>
      <c r="L101" s="2">
        <v>116.6</v>
      </c>
      <c r="M101" s="2">
        <f t="shared" si="10"/>
        <v>-9</v>
      </c>
      <c r="N101" s="1">
        <f t="shared" si="11"/>
        <v>1.3186043384893736E-2</v>
      </c>
      <c r="O101" s="2">
        <v>104.8</v>
      </c>
      <c r="P101" s="2">
        <v>102.6</v>
      </c>
      <c r="Q101" s="2">
        <f t="shared" si="12"/>
        <v>2.2000000000000028</v>
      </c>
      <c r="R101" s="2">
        <v>-0.6</v>
      </c>
      <c r="S101" s="2">
        <v>-3.2</v>
      </c>
      <c r="T101" s="2">
        <f t="shared" si="13"/>
        <v>11.200000000000003</v>
      </c>
    </row>
    <row r="102" spans="1:20">
      <c r="A102" s="6">
        <v>224</v>
      </c>
      <c r="B102" t="s">
        <v>44</v>
      </c>
      <c r="C102" t="s">
        <v>21</v>
      </c>
      <c r="D102">
        <v>34</v>
      </c>
      <c r="E102">
        <v>48</v>
      </c>
      <c r="F102" s="1">
        <f t="shared" si="7"/>
        <v>0.41463414634146339</v>
      </c>
      <c r="G102" s="2">
        <v>95.8</v>
      </c>
      <c r="H102" s="2">
        <v>100.9</v>
      </c>
      <c r="I102" s="2">
        <f t="shared" si="8"/>
        <v>-5.1000000000000085</v>
      </c>
      <c r="J102" s="1">
        <f t="shared" si="9"/>
        <v>0.32604204255195213</v>
      </c>
      <c r="K102" s="2">
        <v>102.3</v>
      </c>
      <c r="L102" s="2">
        <v>107.7</v>
      </c>
      <c r="M102" s="2">
        <f t="shared" si="10"/>
        <v>-5.4000000000000057</v>
      </c>
      <c r="N102" s="1">
        <f t="shared" si="11"/>
        <v>8.8592103789511267E-2</v>
      </c>
      <c r="O102" s="2">
        <v>112.8</v>
      </c>
      <c r="P102" s="2">
        <v>107.1</v>
      </c>
      <c r="Q102" s="2">
        <f t="shared" si="12"/>
        <v>5.7000000000000028</v>
      </c>
      <c r="R102" s="2">
        <v>-1.8</v>
      </c>
      <c r="S102" s="2">
        <v>-7.5</v>
      </c>
      <c r="T102" s="2">
        <f t="shared" si="13"/>
        <v>11.100000000000009</v>
      </c>
    </row>
    <row r="103" spans="1:20">
      <c r="A103" s="6">
        <v>33</v>
      </c>
      <c r="B103" t="s">
        <v>34</v>
      </c>
      <c r="C103" t="s">
        <v>8</v>
      </c>
      <c r="D103">
        <v>21</v>
      </c>
      <c r="E103">
        <v>61</v>
      </c>
      <c r="F103" s="1">
        <f t="shared" si="7"/>
        <v>0.25609756097560976</v>
      </c>
      <c r="G103" s="2">
        <v>89.5</v>
      </c>
      <c r="H103" s="2">
        <v>98</v>
      </c>
      <c r="I103" s="2">
        <f t="shared" si="8"/>
        <v>-8.5</v>
      </c>
      <c r="J103" s="1">
        <f t="shared" si="9"/>
        <v>0.21922234164546633</v>
      </c>
      <c r="K103" s="2">
        <v>97.2</v>
      </c>
      <c r="L103" s="2">
        <v>106.2</v>
      </c>
      <c r="M103" s="2">
        <f t="shared" si="10"/>
        <v>-9</v>
      </c>
      <c r="N103" s="1">
        <f t="shared" si="11"/>
        <v>3.6875219330143427E-2</v>
      </c>
      <c r="O103" s="2">
        <v>99.7</v>
      </c>
      <c r="P103" s="2">
        <v>97.6</v>
      </c>
      <c r="Q103" s="2">
        <f t="shared" si="12"/>
        <v>2.1000000000000085</v>
      </c>
      <c r="R103" s="2">
        <v>0</v>
      </c>
      <c r="S103" s="2">
        <v>-0.5</v>
      </c>
      <c r="T103" s="2">
        <f t="shared" si="13"/>
        <v>11.100000000000009</v>
      </c>
    </row>
    <row r="104" spans="1:20">
      <c r="A104" s="6">
        <v>34</v>
      </c>
      <c r="B104" t="s">
        <v>34</v>
      </c>
      <c r="C104" t="s">
        <v>9</v>
      </c>
      <c r="D104">
        <v>29</v>
      </c>
      <c r="E104">
        <v>53</v>
      </c>
      <c r="F104" s="1">
        <f t="shared" si="7"/>
        <v>0.35365853658536583</v>
      </c>
      <c r="G104" s="2">
        <v>95.3</v>
      </c>
      <c r="H104" s="2">
        <v>98.6</v>
      </c>
      <c r="I104" s="2">
        <f t="shared" si="8"/>
        <v>-3.2999999999999972</v>
      </c>
      <c r="J104" s="1">
        <f t="shared" si="9"/>
        <v>0.38305995894836997</v>
      </c>
      <c r="K104" s="2">
        <v>103.4</v>
      </c>
      <c r="L104" s="2">
        <v>107</v>
      </c>
      <c r="M104" s="2">
        <f t="shared" si="10"/>
        <v>-3.5999999999999943</v>
      </c>
      <c r="N104" s="1">
        <f t="shared" si="11"/>
        <v>-2.9401422363004137E-2</v>
      </c>
      <c r="O104" s="2">
        <v>107.2</v>
      </c>
      <c r="P104" s="2">
        <v>99.7</v>
      </c>
      <c r="Q104" s="2">
        <f t="shared" si="12"/>
        <v>7.5</v>
      </c>
      <c r="R104" s="2">
        <v>-0.7</v>
      </c>
      <c r="S104" s="2">
        <v>-3.8</v>
      </c>
      <c r="T104" s="2">
        <f t="shared" si="13"/>
        <v>11.099999999999994</v>
      </c>
    </row>
    <row r="105" spans="1:20">
      <c r="A105" s="6">
        <v>717</v>
      </c>
      <c r="B105" t="s">
        <v>65</v>
      </c>
      <c r="C105" t="s">
        <v>5</v>
      </c>
      <c r="D105">
        <v>40</v>
      </c>
      <c r="E105">
        <v>41</v>
      </c>
      <c r="F105" s="1">
        <f t="shared" si="7"/>
        <v>0.49382716049382713</v>
      </c>
      <c r="G105" s="2">
        <v>118.4</v>
      </c>
      <c r="H105" s="2">
        <v>119.4</v>
      </c>
      <c r="I105" s="2">
        <f t="shared" si="8"/>
        <v>-1</v>
      </c>
      <c r="J105" s="1">
        <f t="shared" si="9"/>
        <v>0.47059728800481032</v>
      </c>
      <c r="K105" s="2">
        <v>113.9</v>
      </c>
      <c r="L105" s="2">
        <v>114.9</v>
      </c>
      <c r="M105" s="2">
        <f t="shared" si="10"/>
        <v>-1</v>
      </c>
      <c r="N105" s="1">
        <f t="shared" si="11"/>
        <v>2.3229872489016812E-2</v>
      </c>
      <c r="O105" s="2">
        <v>119.4</v>
      </c>
      <c r="P105" s="2">
        <v>109.6</v>
      </c>
      <c r="Q105" s="2">
        <f t="shared" si="12"/>
        <v>9.8000000000000114</v>
      </c>
      <c r="R105" s="2">
        <v>1.1000000000000001</v>
      </c>
      <c r="S105" s="2">
        <v>5.3</v>
      </c>
      <c r="T105" s="2">
        <f t="shared" si="13"/>
        <v>10.800000000000011</v>
      </c>
    </row>
    <row r="106" spans="1:20">
      <c r="A106" s="6">
        <v>340</v>
      </c>
      <c r="B106" t="s">
        <v>49</v>
      </c>
      <c r="C106" t="s">
        <v>35</v>
      </c>
      <c r="D106">
        <v>41</v>
      </c>
      <c r="E106">
        <v>25</v>
      </c>
      <c r="F106" s="1">
        <f t="shared" si="7"/>
        <v>0.62121212121212122</v>
      </c>
      <c r="G106" s="2">
        <v>95</v>
      </c>
      <c r="H106" s="2">
        <v>93</v>
      </c>
      <c r="I106" s="2">
        <f t="shared" si="8"/>
        <v>2</v>
      </c>
      <c r="J106" s="1">
        <f t="shared" si="9"/>
        <v>0.57392505859345744</v>
      </c>
      <c r="K106" s="2">
        <v>102.8</v>
      </c>
      <c r="L106" s="2">
        <v>100.6</v>
      </c>
      <c r="M106" s="2">
        <f t="shared" si="10"/>
        <v>2.2000000000000028</v>
      </c>
      <c r="N106" s="1">
        <f t="shared" si="11"/>
        <v>4.7287062618663778E-2</v>
      </c>
      <c r="O106" s="2">
        <v>106.8</v>
      </c>
      <c r="P106" s="2">
        <v>93.8</v>
      </c>
      <c r="Q106" s="2">
        <f t="shared" si="12"/>
        <v>13</v>
      </c>
      <c r="R106" s="2">
        <v>0.3</v>
      </c>
      <c r="S106" s="2">
        <v>-1.3</v>
      </c>
      <c r="T106" s="2">
        <f t="shared" si="13"/>
        <v>10.799999999999997</v>
      </c>
    </row>
    <row r="107" spans="1:20">
      <c r="A107" s="6">
        <v>258</v>
      </c>
      <c r="B107" t="s">
        <v>45</v>
      </c>
      <c r="C107" t="s">
        <v>23</v>
      </c>
      <c r="D107">
        <v>59</v>
      </c>
      <c r="E107">
        <v>23</v>
      </c>
      <c r="F107" s="1">
        <f t="shared" si="7"/>
        <v>0.71951219512195119</v>
      </c>
      <c r="G107" s="2">
        <v>101</v>
      </c>
      <c r="H107" s="2">
        <v>94.4</v>
      </c>
      <c r="I107" s="2">
        <f t="shared" si="8"/>
        <v>6.5999999999999943</v>
      </c>
      <c r="J107" s="1">
        <f t="shared" si="9"/>
        <v>0.72033264065959124</v>
      </c>
      <c r="K107" s="2">
        <v>108.3</v>
      </c>
      <c r="L107" s="2">
        <v>101.3</v>
      </c>
      <c r="M107" s="2">
        <f t="shared" si="10"/>
        <v>7</v>
      </c>
      <c r="N107" s="1">
        <f t="shared" si="11"/>
        <v>-8.2044553764004657E-4</v>
      </c>
      <c r="O107" s="2">
        <v>106.3</v>
      </c>
      <c r="P107" s="2">
        <v>88.6</v>
      </c>
      <c r="Q107" s="2">
        <f t="shared" si="12"/>
        <v>17.700000000000003</v>
      </c>
      <c r="R107" s="2">
        <v>1.3</v>
      </c>
      <c r="S107" s="2">
        <v>7.7</v>
      </c>
      <c r="T107" s="2">
        <f t="shared" si="13"/>
        <v>10.700000000000003</v>
      </c>
    </row>
    <row r="108" spans="1:20">
      <c r="A108" s="6">
        <v>101</v>
      </c>
      <c r="B108" t="s">
        <v>38</v>
      </c>
      <c r="C108" t="s">
        <v>18</v>
      </c>
      <c r="D108">
        <v>42</v>
      </c>
      <c r="E108">
        <v>40</v>
      </c>
      <c r="F108" s="1">
        <f t="shared" si="7"/>
        <v>0.51219512195121952</v>
      </c>
      <c r="G108" s="2">
        <v>90.3</v>
      </c>
      <c r="H108" s="2">
        <v>89.7</v>
      </c>
      <c r="I108" s="2">
        <f t="shared" si="8"/>
        <v>0.59999999999999432</v>
      </c>
      <c r="J108" s="1">
        <f t="shared" si="9"/>
        <v>0.52331649603624697</v>
      </c>
      <c r="K108" s="2">
        <v>100.6</v>
      </c>
      <c r="L108" s="2">
        <v>100.3</v>
      </c>
      <c r="M108" s="2">
        <f t="shared" si="10"/>
        <v>0.29999999999999716</v>
      </c>
      <c r="N108" s="1">
        <f t="shared" si="11"/>
        <v>-1.1121374085027447E-2</v>
      </c>
      <c r="O108" s="2">
        <v>100</v>
      </c>
      <c r="P108" s="2">
        <v>89.1</v>
      </c>
      <c r="Q108" s="2">
        <f t="shared" si="12"/>
        <v>10.900000000000006</v>
      </c>
      <c r="R108" s="2">
        <v>0.5</v>
      </c>
      <c r="S108" s="2">
        <v>2.9</v>
      </c>
      <c r="T108" s="2">
        <f t="shared" si="13"/>
        <v>10.600000000000009</v>
      </c>
    </row>
    <row r="109" spans="1:20">
      <c r="A109" s="6">
        <v>133</v>
      </c>
      <c r="B109" t="s">
        <v>39</v>
      </c>
      <c r="C109" t="s">
        <v>20</v>
      </c>
      <c r="D109">
        <v>44</v>
      </c>
      <c r="E109">
        <v>38</v>
      </c>
      <c r="F109" s="1">
        <f t="shared" si="7"/>
        <v>0.53658536585365857</v>
      </c>
      <c r="G109" s="2">
        <v>96.8</v>
      </c>
      <c r="H109" s="2">
        <v>95.3</v>
      </c>
      <c r="I109" s="2">
        <f t="shared" si="8"/>
        <v>1.5</v>
      </c>
      <c r="J109" s="1">
        <f t="shared" si="9"/>
        <v>0.55444343215777947</v>
      </c>
      <c r="K109" s="2">
        <v>106.6</v>
      </c>
      <c r="L109" s="2">
        <v>105</v>
      </c>
      <c r="M109" s="2">
        <f t="shared" si="10"/>
        <v>1.5999999999999943</v>
      </c>
      <c r="N109" s="1">
        <f t="shared" si="11"/>
        <v>-1.7858066304120901E-2</v>
      </c>
      <c r="O109" s="2">
        <v>111.9</v>
      </c>
      <c r="P109" s="2">
        <v>99.7</v>
      </c>
      <c r="Q109" s="2">
        <f t="shared" si="12"/>
        <v>12.200000000000003</v>
      </c>
      <c r="R109" s="2">
        <v>0.5</v>
      </c>
      <c r="S109" s="2">
        <v>3.2</v>
      </c>
      <c r="T109" s="2">
        <f t="shared" si="13"/>
        <v>10.600000000000009</v>
      </c>
    </row>
    <row r="110" spans="1:20">
      <c r="A110" s="6">
        <v>463</v>
      </c>
      <c r="B110" t="s">
        <v>55</v>
      </c>
      <c r="C110" t="s">
        <v>19</v>
      </c>
      <c r="D110">
        <v>33</v>
      </c>
      <c r="E110">
        <v>49</v>
      </c>
      <c r="F110" s="1">
        <f t="shared" si="7"/>
        <v>0.40243902439024393</v>
      </c>
      <c r="G110" s="2">
        <v>99</v>
      </c>
      <c r="H110" s="2">
        <v>103.2</v>
      </c>
      <c r="I110" s="2">
        <f t="shared" si="8"/>
        <v>-4.2000000000000028</v>
      </c>
      <c r="J110" s="1">
        <f t="shared" si="9"/>
        <v>0.35854472804772958</v>
      </c>
      <c r="K110" s="2">
        <v>103.4</v>
      </c>
      <c r="L110" s="2">
        <v>107.8</v>
      </c>
      <c r="M110" s="2">
        <f t="shared" si="10"/>
        <v>-4.3999999999999915</v>
      </c>
      <c r="N110" s="1">
        <f t="shared" si="11"/>
        <v>4.389429634251435E-2</v>
      </c>
      <c r="O110" s="2">
        <v>101.2</v>
      </c>
      <c r="P110" s="2">
        <v>95</v>
      </c>
      <c r="Q110" s="2">
        <f t="shared" si="12"/>
        <v>6.2000000000000028</v>
      </c>
      <c r="R110" s="2">
        <v>-1.5</v>
      </c>
      <c r="S110" s="2">
        <v>-7.1</v>
      </c>
      <c r="T110" s="2">
        <f t="shared" si="13"/>
        <v>10.599999999999994</v>
      </c>
    </row>
    <row r="111" spans="1:20">
      <c r="A111" s="6">
        <v>735</v>
      </c>
      <c r="B111" t="s">
        <v>65</v>
      </c>
      <c r="C111" t="s">
        <v>53</v>
      </c>
      <c r="D111">
        <v>21</v>
      </c>
      <c r="E111">
        <v>61</v>
      </c>
      <c r="F111" s="1">
        <f t="shared" si="7"/>
        <v>0.25609756097560976</v>
      </c>
      <c r="G111" s="2">
        <v>109.8</v>
      </c>
      <c r="H111" s="2">
        <v>119.3</v>
      </c>
      <c r="I111" s="2">
        <f t="shared" si="8"/>
        <v>-9.5</v>
      </c>
      <c r="J111" s="1">
        <f t="shared" si="9"/>
        <v>0.23835285935229417</v>
      </c>
      <c r="K111" s="2">
        <v>109.7</v>
      </c>
      <c r="L111" s="2">
        <v>119.1</v>
      </c>
      <c r="M111" s="2">
        <f t="shared" si="10"/>
        <v>-9.3999999999999915</v>
      </c>
      <c r="N111" s="1">
        <f t="shared" si="11"/>
        <v>1.7744701623315595E-2</v>
      </c>
      <c r="O111" s="2">
        <v>104.5</v>
      </c>
      <c r="P111" s="2">
        <v>103.3</v>
      </c>
      <c r="Q111" s="2">
        <f t="shared" si="12"/>
        <v>1.2000000000000028</v>
      </c>
      <c r="R111" s="2">
        <v>-1</v>
      </c>
      <c r="S111" s="2">
        <v>-4</v>
      </c>
      <c r="T111" s="2">
        <f t="shared" si="13"/>
        <v>10.599999999999994</v>
      </c>
    </row>
    <row r="112" spans="1:20">
      <c r="A112" s="6">
        <v>122</v>
      </c>
      <c r="B112" t="s">
        <v>39</v>
      </c>
      <c r="C112" t="s">
        <v>10</v>
      </c>
      <c r="D112">
        <v>58</v>
      </c>
      <c r="E112">
        <v>24</v>
      </c>
      <c r="F112" s="1">
        <f t="shared" si="7"/>
        <v>0.70731707317073167</v>
      </c>
      <c r="G112" s="2">
        <v>102.5</v>
      </c>
      <c r="H112" s="2">
        <v>96.8</v>
      </c>
      <c r="I112" s="2">
        <f t="shared" si="8"/>
        <v>5.7000000000000028</v>
      </c>
      <c r="J112" s="1">
        <f t="shared" si="9"/>
        <v>0.69019289618045576</v>
      </c>
      <c r="K112" s="2">
        <v>108.5</v>
      </c>
      <c r="L112" s="2">
        <v>102.6</v>
      </c>
      <c r="M112" s="2">
        <f t="shared" si="10"/>
        <v>5.9000000000000057</v>
      </c>
      <c r="N112" s="1">
        <f t="shared" si="11"/>
        <v>1.7124176990275908E-2</v>
      </c>
      <c r="O112" s="2">
        <v>113.3</v>
      </c>
      <c r="P112" s="2">
        <v>96.8</v>
      </c>
      <c r="Q112" s="2">
        <f t="shared" si="12"/>
        <v>16.5</v>
      </c>
      <c r="R112" s="2">
        <v>0.8</v>
      </c>
      <c r="S112" s="2">
        <v>5.2</v>
      </c>
      <c r="T112" s="2">
        <f t="shared" si="13"/>
        <v>10.599999999999994</v>
      </c>
    </row>
    <row r="113" spans="1:20">
      <c r="A113" s="6">
        <v>397</v>
      </c>
      <c r="B113" t="s">
        <v>52</v>
      </c>
      <c r="C113" t="s">
        <v>14</v>
      </c>
      <c r="D113">
        <v>54</v>
      </c>
      <c r="E113">
        <v>28</v>
      </c>
      <c r="F113" s="1">
        <f t="shared" si="7"/>
        <v>0.65853658536585369</v>
      </c>
      <c r="G113" s="2">
        <v>107.7</v>
      </c>
      <c r="H113" s="2">
        <v>103.1</v>
      </c>
      <c r="I113" s="2">
        <f t="shared" si="8"/>
        <v>4.6000000000000085</v>
      </c>
      <c r="J113" s="1">
        <f t="shared" si="9"/>
        <v>0.648192302705629</v>
      </c>
      <c r="K113" s="2">
        <v>109.8</v>
      </c>
      <c r="L113" s="2">
        <v>105.2</v>
      </c>
      <c r="M113" s="2">
        <f t="shared" si="10"/>
        <v>4.5999999999999943</v>
      </c>
      <c r="N113" s="1">
        <f t="shared" si="11"/>
        <v>1.0344282660224691E-2</v>
      </c>
      <c r="O113" s="2">
        <v>111.2</v>
      </c>
      <c r="P113" s="2">
        <v>96.1</v>
      </c>
      <c r="Q113" s="2">
        <f t="shared" si="12"/>
        <v>15.100000000000009</v>
      </c>
      <c r="R113" s="2">
        <v>-0.2</v>
      </c>
      <c r="S113" s="2">
        <v>1.5</v>
      </c>
      <c r="T113" s="2">
        <f t="shared" si="13"/>
        <v>10.500000000000014</v>
      </c>
    </row>
    <row r="114" spans="1:20">
      <c r="A114" s="6">
        <v>191</v>
      </c>
      <c r="B114" t="s">
        <v>43</v>
      </c>
      <c r="C114" t="s">
        <v>18</v>
      </c>
      <c r="D114">
        <v>44</v>
      </c>
      <c r="E114">
        <v>38</v>
      </c>
      <c r="F114" s="1">
        <f t="shared" si="7"/>
        <v>0.53658536585365857</v>
      </c>
      <c r="G114" s="2">
        <v>94.6</v>
      </c>
      <c r="H114" s="2">
        <v>95.5</v>
      </c>
      <c r="I114" s="2">
        <f t="shared" si="8"/>
        <v>-0.90000000000000568</v>
      </c>
      <c r="J114" s="1">
        <f t="shared" si="9"/>
        <v>0.46690774637254517</v>
      </c>
      <c r="K114" s="2">
        <v>103.4</v>
      </c>
      <c r="L114" s="2">
        <v>104.6</v>
      </c>
      <c r="M114" s="2">
        <f t="shared" si="10"/>
        <v>-1.1999999999999886</v>
      </c>
      <c r="N114" s="1">
        <f t="shared" si="11"/>
        <v>6.9677619481113395E-2</v>
      </c>
      <c r="O114" s="2">
        <v>106.9</v>
      </c>
      <c r="P114" s="2">
        <v>97.6</v>
      </c>
      <c r="Q114" s="2">
        <f t="shared" si="12"/>
        <v>9.3000000000000114</v>
      </c>
      <c r="R114" s="2">
        <v>0.5</v>
      </c>
      <c r="S114" s="2">
        <v>3.1</v>
      </c>
      <c r="T114" s="2">
        <f t="shared" si="13"/>
        <v>10.5</v>
      </c>
    </row>
    <row r="115" spans="1:20">
      <c r="A115" s="6">
        <v>482</v>
      </c>
      <c r="B115" t="s">
        <v>57</v>
      </c>
      <c r="C115" t="s">
        <v>9</v>
      </c>
      <c r="D115">
        <v>51</v>
      </c>
      <c r="E115">
        <v>31</v>
      </c>
      <c r="F115" s="1">
        <f t="shared" si="7"/>
        <v>0.62195121951219512</v>
      </c>
      <c r="G115" s="2">
        <v>110.3</v>
      </c>
      <c r="H115" s="2">
        <v>107.2</v>
      </c>
      <c r="I115" s="2">
        <f t="shared" si="8"/>
        <v>3.0999999999999943</v>
      </c>
      <c r="J115" s="1">
        <f t="shared" si="9"/>
        <v>0.59847320533092052</v>
      </c>
      <c r="K115" s="2">
        <v>112.8</v>
      </c>
      <c r="L115" s="2">
        <v>109.7</v>
      </c>
      <c r="M115" s="2">
        <f t="shared" si="10"/>
        <v>3.0999999999999943</v>
      </c>
      <c r="N115" s="1">
        <f t="shared" si="11"/>
        <v>2.3478014181274598E-2</v>
      </c>
      <c r="O115" s="2">
        <v>117.1</v>
      </c>
      <c r="P115" s="2">
        <v>103.5</v>
      </c>
      <c r="Q115" s="2">
        <f t="shared" si="12"/>
        <v>13.599999999999994</v>
      </c>
      <c r="R115" s="2">
        <v>-1.2</v>
      </c>
      <c r="S115" s="2">
        <v>-2.9</v>
      </c>
      <c r="T115" s="2">
        <f t="shared" si="13"/>
        <v>10.5</v>
      </c>
    </row>
    <row r="116" spans="1:20">
      <c r="A116" s="6">
        <v>249</v>
      </c>
      <c r="B116" t="s">
        <v>45</v>
      </c>
      <c r="C116" t="s">
        <v>17</v>
      </c>
      <c r="D116">
        <v>65</v>
      </c>
      <c r="E116">
        <v>17</v>
      </c>
      <c r="F116" s="1">
        <f t="shared" si="7"/>
        <v>0.79268292682926833</v>
      </c>
      <c r="G116" s="2">
        <v>106.9</v>
      </c>
      <c r="H116" s="2">
        <v>99.3</v>
      </c>
      <c r="I116" s="2">
        <f t="shared" si="8"/>
        <v>7.6000000000000085</v>
      </c>
      <c r="J116" s="1">
        <f t="shared" si="9"/>
        <v>0.73739553340542874</v>
      </c>
      <c r="K116" s="2">
        <v>111.4</v>
      </c>
      <c r="L116" s="2">
        <v>103.5</v>
      </c>
      <c r="M116" s="2">
        <f t="shared" si="10"/>
        <v>7.9000000000000057</v>
      </c>
      <c r="N116" s="1">
        <f t="shared" si="11"/>
        <v>5.5287393423839593E-2</v>
      </c>
      <c r="O116" s="2">
        <v>122.7</v>
      </c>
      <c r="P116" s="2">
        <v>104.4</v>
      </c>
      <c r="Q116" s="2">
        <f t="shared" si="12"/>
        <v>18.299999999999997</v>
      </c>
      <c r="R116" s="2">
        <v>1.2</v>
      </c>
      <c r="S116" s="2">
        <v>5.0999999999999996</v>
      </c>
      <c r="T116" s="2">
        <f t="shared" si="13"/>
        <v>10.399999999999991</v>
      </c>
    </row>
    <row r="117" spans="1:20">
      <c r="A117" s="6">
        <v>325</v>
      </c>
      <c r="B117" t="s">
        <v>48</v>
      </c>
      <c r="C117" t="s">
        <v>31</v>
      </c>
      <c r="D117">
        <v>39</v>
      </c>
      <c r="E117">
        <v>43</v>
      </c>
      <c r="F117" s="1">
        <f t="shared" si="7"/>
        <v>0.47560975609756095</v>
      </c>
      <c r="G117" s="2">
        <v>99.4</v>
      </c>
      <c r="H117" s="2">
        <v>101.3</v>
      </c>
      <c r="I117" s="2">
        <f t="shared" si="8"/>
        <v>-1.8999999999999915</v>
      </c>
      <c r="J117" s="1">
        <f t="shared" si="9"/>
        <v>0.4341153034134177</v>
      </c>
      <c r="K117" s="2">
        <v>107</v>
      </c>
      <c r="L117" s="2">
        <v>108.8</v>
      </c>
      <c r="M117" s="2">
        <f t="shared" si="10"/>
        <v>-1.7999999999999972</v>
      </c>
      <c r="N117" s="1">
        <f t="shared" si="11"/>
        <v>4.1494452684143257E-2</v>
      </c>
      <c r="O117" s="2">
        <v>111.8</v>
      </c>
      <c r="P117" s="2">
        <v>103.3</v>
      </c>
      <c r="Q117" s="2">
        <f t="shared" si="12"/>
        <v>8.5</v>
      </c>
      <c r="R117" s="2">
        <v>1.3</v>
      </c>
      <c r="S117" s="2">
        <v>4.9000000000000004</v>
      </c>
      <c r="T117" s="2">
        <f t="shared" si="13"/>
        <v>10.299999999999997</v>
      </c>
    </row>
    <row r="118" spans="1:20">
      <c r="A118" s="6">
        <v>586</v>
      </c>
      <c r="B118" t="s">
        <v>60</v>
      </c>
      <c r="C118" t="s">
        <v>22</v>
      </c>
      <c r="D118">
        <v>21</v>
      </c>
      <c r="E118">
        <v>45</v>
      </c>
      <c r="F118" s="1">
        <f t="shared" si="7"/>
        <v>0.31818181818181818</v>
      </c>
      <c r="G118" s="2">
        <v>105.8</v>
      </c>
      <c r="H118" s="2">
        <v>112.3</v>
      </c>
      <c r="I118" s="2">
        <f t="shared" si="8"/>
        <v>-6.5</v>
      </c>
      <c r="J118" s="1">
        <f t="shared" si="9"/>
        <v>0.30264654338217839</v>
      </c>
      <c r="K118" s="2">
        <v>105.9</v>
      </c>
      <c r="L118" s="2">
        <v>112.4</v>
      </c>
      <c r="M118" s="2">
        <f t="shared" si="10"/>
        <v>-6.5</v>
      </c>
      <c r="N118" s="1">
        <f t="shared" si="11"/>
        <v>1.5535274799639787E-2</v>
      </c>
      <c r="O118" s="2">
        <v>106.3</v>
      </c>
      <c r="P118" s="2">
        <v>102.5</v>
      </c>
      <c r="Q118" s="2">
        <f t="shared" si="12"/>
        <v>3.7999999999999972</v>
      </c>
      <c r="R118" s="2">
        <v>-0.8</v>
      </c>
      <c r="S118" s="2">
        <v>-3.3</v>
      </c>
      <c r="T118" s="2">
        <f t="shared" si="13"/>
        <v>10.299999999999997</v>
      </c>
    </row>
    <row r="119" spans="1:20">
      <c r="A119" s="6">
        <v>651</v>
      </c>
      <c r="B119" t="s">
        <v>62</v>
      </c>
      <c r="C119" t="s">
        <v>26</v>
      </c>
      <c r="D119">
        <v>27</v>
      </c>
      <c r="E119">
        <v>55</v>
      </c>
      <c r="F119" s="1">
        <f t="shared" si="7"/>
        <v>0.32926829268292684</v>
      </c>
      <c r="G119" s="2">
        <v>106.2</v>
      </c>
      <c r="H119" s="2">
        <v>115.1</v>
      </c>
      <c r="I119" s="2">
        <f t="shared" si="8"/>
        <v>-8.8999999999999915</v>
      </c>
      <c r="J119" s="1">
        <f t="shared" si="9"/>
        <v>0.24477414963979585</v>
      </c>
      <c r="K119" s="2">
        <v>107.3</v>
      </c>
      <c r="L119" s="2">
        <v>116.3</v>
      </c>
      <c r="M119" s="2">
        <f t="shared" si="10"/>
        <v>-9</v>
      </c>
      <c r="N119" s="1">
        <f t="shared" si="11"/>
        <v>8.4494143043130993E-2</v>
      </c>
      <c r="O119" s="2">
        <v>107</v>
      </c>
      <c r="P119" s="2">
        <v>105.8</v>
      </c>
      <c r="Q119" s="2">
        <f t="shared" si="12"/>
        <v>1.2000000000000028</v>
      </c>
      <c r="R119" s="2">
        <v>-3.6</v>
      </c>
      <c r="S119" s="2">
        <v>-14.9</v>
      </c>
      <c r="T119" s="2">
        <f t="shared" si="13"/>
        <v>10.200000000000003</v>
      </c>
    </row>
    <row r="120" spans="1:20">
      <c r="A120" s="6">
        <v>393</v>
      </c>
      <c r="B120" t="s">
        <v>52</v>
      </c>
      <c r="C120" t="s">
        <v>10</v>
      </c>
      <c r="D120">
        <v>49</v>
      </c>
      <c r="E120">
        <v>33</v>
      </c>
      <c r="F120" s="1">
        <f t="shared" si="7"/>
        <v>0.59756097560975607</v>
      </c>
      <c r="G120" s="2">
        <v>104.8</v>
      </c>
      <c r="H120" s="2">
        <v>102.4</v>
      </c>
      <c r="I120" s="2">
        <f t="shared" si="8"/>
        <v>2.3999999999999915</v>
      </c>
      <c r="J120" s="1">
        <f t="shared" si="9"/>
        <v>0.58038129278939099</v>
      </c>
      <c r="K120" s="2">
        <v>109.5</v>
      </c>
      <c r="L120" s="2">
        <v>107.2</v>
      </c>
      <c r="M120" s="2">
        <f t="shared" si="10"/>
        <v>2.2999999999999972</v>
      </c>
      <c r="N120" s="1">
        <f t="shared" si="11"/>
        <v>1.7179682820365083E-2</v>
      </c>
      <c r="O120" s="2">
        <v>110.6</v>
      </c>
      <c r="P120" s="2">
        <v>98.1</v>
      </c>
      <c r="Q120" s="2">
        <f t="shared" si="12"/>
        <v>12.5</v>
      </c>
      <c r="R120" s="2">
        <v>0.7</v>
      </c>
      <c r="S120" s="2">
        <v>1.3</v>
      </c>
      <c r="T120" s="2">
        <f t="shared" si="13"/>
        <v>10.200000000000003</v>
      </c>
    </row>
    <row r="121" spans="1:20">
      <c r="A121" s="6">
        <v>504</v>
      </c>
      <c r="B121" t="s">
        <v>57</v>
      </c>
      <c r="C121" t="s">
        <v>30</v>
      </c>
      <c r="D121">
        <v>51</v>
      </c>
      <c r="E121">
        <v>31</v>
      </c>
      <c r="F121" s="1">
        <f t="shared" si="7"/>
        <v>0.62195121951219512</v>
      </c>
      <c r="G121" s="2">
        <v>106.9</v>
      </c>
      <c r="H121" s="2">
        <v>102.6</v>
      </c>
      <c r="I121" s="2">
        <f t="shared" si="8"/>
        <v>4.3000000000000114</v>
      </c>
      <c r="J121" s="1">
        <f t="shared" si="9"/>
        <v>0.6398659537059771</v>
      </c>
      <c r="K121" s="2">
        <v>111.4</v>
      </c>
      <c r="L121" s="2">
        <v>107.1</v>
      </c>
      <c r="M121" s="2">
        <f t="shared" si="10"/>
        <v>4.3000000000000114</v>
      </c>
      <c r="N121" s="1">
        <f t="shared" si="11"/>
        <v>-1.7914734193781978E-2</v>
      </c>
      <c r="O121" s="2">
        <v>109.9</v>
      </c>
      <c r="P121" s="2">
        <v>95.4</v>
      </c>
      <c r="Q121" s="2">
        <f t="shared" si="12"/>
        <v>14.5</v>
      </c>
      <c r="R121" s="2">
        <v>2.8</v>
      </c>
      <c r="S121" s="2">
        <v>13.4</v>
      </c>
      <c r="T121" s="2">
        <f t="shared" si="13"/>
        <v>10.199999999999989</v>
      </c>
    </row>
    <row r="122" spans="1:20">
      <c r="A122" s="6">
        <v>618</v>
      </c>
      <c r="B122" t="s">
        <v>61</v>
      </c>
      <c r="C122" t="s">
        <v>23</v>
      </c>
      <c r="D122">
        <v>21</v>
      </c>
      <c r="E122">
        <v>51</v>
      </c>
      <c r="F122" s="1">
        <f t="shared" si="7"/>
        <v>0.29166666666666669</v>
      </c>
      <c r="G122" s="2">
        <v>104</v>
      </c>
      <c r="H122" s="2">
        <v>113.3</v>
      </c>
      <c r="I122" s="2">
        <f t="shared" si="8"/>
        <v>-9.2999999999999972</v>
      </c>
      <c r="J122" s="1">
        <f t="shared" si="9"/>
        <v>0.23163967366224553</v>
      </c>
      <c r="K122" s="2">
        <v>104.6</v>
      </c>
      <c r="L122" s="2">
        <v>113.9</v>
      </c>
      <c r="M122" s="2">
        <f t="shared" si="10"/>
        <v>-9.3000000000000114</v>
      </c>
      <c r="N122" s="1">
        <f t="shared" si="11"/>
        <v>6.0026993004421159E-2</v>
      </c>
      <c r="O122" s="2">
        <v>106.5</v>
      </c>
      <c r="P122" s="2">
        <v>105.7</v>
      </c>
      <c r="Q122" s="2">
        <f t="shared" si="12"/>
        <v>0.79999999999999716</v>
      </c>
      <c r="R122" s="2">
        <v>-1.8</v>
      </c>
      <c r="S122" s="2">
        <v>-7.2</v>
      </c>
      <c r="T122" s="2">
        <f t="shared" si="13"/>
        <v>10.100000000000009</v>
      </c>
    </row>
    <row r="123" spans="1:20">
      <c r="A123" s="6">
        <v>455</v>
      </c>
      <c r="B123" t="s">
        <v>55</v>
      </c>
      <c r="C123" t="s">
        <v>12</v>
      </c>
      <c r="D123">
        <v>44</v>
      </c>
      <c r="E123">
        <v>38</v>
      </c>
      <c r="F123" s="1">
        <f t="shared" si="7"/>
        <v>0.53658536585365857</v>
      </c>
      <c r="G123" s="2">
        <v>102</v>
      </c>
      <c r="H123" s="2">
        <v>101.4</v>
      </c>
      <c r="I123" s="2">
        <f t="shared" si="8"/>
        <v>0.59999999999999432</v>
      </c>
      <c r="J123" s="1">
        <f t="shared" si="9"/>
        <v>0.52063729627420186</v>
      </c>
      <c r="K123" s="2">
        <v>105.3</v>
      </c>
      <c r="L123" s="2">
        <v>104.9</v>
      </c>
      <c r="M123" s="2">
        <f t="shared" si="10"/>
        <v>0.39999999999999147</v>
      </c>
      <c r="N123" s="1">
        <f t="shared" si="11"/>
        <v>1.5948069579456714E-2</v>
      </c>
      <c r="O123" s="2">
        <v>104.4</v>
      </c>
      <c r="P123" s="2">
        <v>93.9</v>
      </c>
      <c r="Q123" s="2">
        <f t="shared" si="12"/>
        <v>10.5</v>
      </c>
      <c r="R123" s="2">
        <v>1.5</v>
      </c>
      <c r="S123" s="2">
        <v>5.0999999999999996</v>
      </c>
      <c r="T123" s="2">
        <f t="shared" si="13"/>
        <v>10.100000000000009</v>
      </c>
    </row>
    <row r="124" spans="1:20">
      <c r="A124" s="6">
        <v>228</v>
      </c>
      <c r="B124" t="s">
        <v>44</v>
      </c>
      <c r="C124" t="s">
        <v>24</v>
      </c>
      <c r="D124">
        <v>40</v>
      </c>
      <c r="E124">
        <v>42</v>
      </c>
      <c r="F124" s="1">
        <f t="shared" si="7"/>
        <v>0.48780487804878048</v>
      </c>
      <c r="G124" s="2">
        <v>96.6</v>
      </c>
      <c r="H124" s="2">
        <v>96.2</v>
      </c>
      <c r="I124" s="2">
        <f t="shared" si="8"/>
        <v>0.39999999999999147</v>
      </c>
      <c r="J124" s="1">
        <f t="shared" si="9"/>
        <v>0.51451875971750194</v>
      </c>
      <c r="K124" s="2">
        <v>105.1</v>
      </c>
      <c r="L124" s="2">
        <v>104.7</v>
      </c>
      <c r="M124" s="2">
        <f t="shared" si="10"/>
        <v>0.39999999999999147</v>
      </c>
      <c r="N124" s="1">
        <f t="shared" si="11"/>
        <v>-2.6713881668721462E-2</v>
      </c>
      <c r="O124" s="2">
        <v>102.2</v>
      </c>
      <c r="P124" s="2">
        <v>91.7</v>
      </c>
      <c r="Q124" s="2">
        <f t="shared" si="12"/>
        <v>10.5</v>
      </c>
      <c r="R124" s="2">
        <v>1.4</v>
      </c>
      <c r="S124" s="2">
        <v>7.3</v>
      </c>
      <c r="T124" s="2">
        <f t="shared" si="13"/>
        <v>10.100000000000009</v>
      </c>
    </row>
    <row r="125" spans="1:20">
      <c r="A125" s="6">
        <v>300</v>
      </c>
      <c r="B125" t="s">
        <v>48</v>
      </c>
      <c r="C125" t="s">
        <v>8</v>
      </c>
      <c r="D125">
        <v>62</v>
      </c>
      <c r="E125">
        <v>20</v>
      </c>
      <c r="F125" s="1">
        <f t="shared" si="7"/>
        <v>0.75609756097560976</v>
      </c>
      <c r="G125" s="2">
        <v>98.6</v>
      </c>
      <c r="H125" s="2">
        <v>91.3</v>
      </c>
      <c r="I125" s="2">
        <f t="shared" si="8"/>
        <v>7.2999999999999972</v>
      </c>
      <c r="J125" s="1">
        <f t="shared" si="9"/>
        <v>0.7459043561062102</v>
      </c>
      <c r="K125" s="2">
        <v>107.2</v>
      </c>
      <c r="L125" s="2">
        <v>99.5</v>
      </c>
      <c r="M125" s="2">
        <f t="shared" si="10"/>
        <v>7.7000000000000028</v>
      </c>
      <c r="N125" s="1">
        <f t="shared" si="11"/>
        <v>1.0193204869399564E-2</v>
      </c>
      <c r="O125" s="2">
        <v>106.7</v>
      </c>
      <c r="P125" s="2">
        <v>88.9</v>
      </c>
      <c r="Q125" s="2">
        <f t="shared" si="12"/>
        <v>17.799999999999997</v>
      </c>
      <c r="R125" s="2">
        <v>2.2999999999999998</v>
      </c>
      <c r="S125" s="2">
        <v>13</v>
      </c>
      <c r="T125" s="2">
        <f t="shared" si="13"/>
        <v>10.099999999999994</v>
      </c>
    </row>
    <row r="126" spans="1:20">
      <c r="A126" s="6">
        <v>595</v>
      </c>
      <c r="B126" t="s">
        <v>60</v>
      </c>
      <c r="C126" t="s">
        <v>31</v>
      </c>
      <c r="D126">
        <v>44</v>
      </c>
      <c r="E126">
        <v>28</v>
      </c>
      <c r="F126" s="1">
        <f t="shared" si="7"/>
        <v>0.61111111111111116</v>
      </c>
      <c r="G126" s="2">
        <v>111.3</v>
      </c>
      <c r="H126" s="2">
        <v>108.8</v>
      </c>
      <c r="I126" s="2">
        <f t="shared" si="8"/>
        <v>2.5</v>
      </c>
      <c r="J126" s="1">
        <f t="shared" si="9"/>
        <v>0.57884917653720358</v>
      </c>
      <c r="K126" s="2">
        <v>111.8</v>
      </c>
      <c r="L126" s="2">
        <v>109.3</v>
      </c>
      <c r="M126" s="2">
        <f t="shared" si="10"/>
        <v>2.5</v>
      </c>
      <c r="N126" s="1">
        <f t="shared" si="11"/>
        <v>3.226193457390758E-2</v>
      </c>
      <c r="O126" s="2">
        <v>112.8</v>
      </c>
      <c r="P126" s="2">
        <v>100.3</v>
      </c>
      <c r="Q126" s="2">
        <f t="shared" si="12"/>
        <v>12.5</v>
      </c>
      <c r="R126" s="2">
        <v>0.1</v>
      </c>
      <c r="S126" s="2">
        <v>-0.4</v>
      </c>
      <c r="T126" s="2">
        <f t="shared" si="13"/>
        <v>10</v>
      </c>
    </row>
    <row r="127" spans="1:20">
      <c r="A127" s="6">
        <v>431</v>
      </c>
      <c r="B127" t="s">
        <v>54</v>
      </c>
      <c r="C127" t="s">
        <v>35</v>
      </c>
      <c r="D127">
        <v>55</v>
      </c>
      <c r="E127">
        <v>27</v>
      </c>
      <c r="F127" s="1">
        <f t="shared" si="7"/>
        <v>0.67073170731707321</v>
      </c>
      <c r="G127" s="2">
        <v>98.3</v>
      </c>
      <c r="H127" s="2">
        <v>95.1</v>
      </c>
      <c r="I127" s="2">
        <f t="shared" si="8"/>
        <v>3.2000000000000028</v>
      </c>
      <c r="J127" s="1">
        <f t="shared" si="9"/>
        <v>0.61380403794976324</v>
      </c>
      <c r="K127" s="2">
        <v>104.8</v>
      </c>
      <c r="L127" s="2">
        <v>101.2</v>
      </c>
      <c r="M127" s="2">
        <f t="shared" si="10"/>
        <v>3.5999999999999943</v>
      </c>
      <c r="N127" s="1">
        <f t="shared" si="11"/>
        <v>5.6927669367309974E-2</v>
      </c>
      <c r="O127" s="2">
        <v>108.7</v>
      </c>
      <c r="P127" s="2">
        <v>95.2</v>
      </c>
      <c r="Q127" s="2">
        <f t="shared" si="12"/>
        <v>13.5</v>
      </c>
      <c r="R127" s="2">
        <v>0.3</v>
      </c>
      <c r="S127" s="2">
        <v>0.6</v>
      </c>
      <c r="T127" s="2">
        <f t="shared" si="13"/>
        <v>9.9000000000000057</v>
      </c>
    </row>
    <row r="128" spans="1:20">
      <c r="A128" s="6">
        <v>532</v>
      </c>
      <c r="B128" t="s">
        <v>58</v>
      </c>
      <c r="C128" t="s">
        <v>27</v>
      </c>
      <c r="D128">
        <v>27</v>
      </c>
      <c r="E128">
        <v>55</v>
      </c>
      <c r="F128" s="1">
        <f t="shared" si="7"/>
        <v>0.32926829268292684</v>
      </c>
      <c r="G128" s="2">
        <v>98.8</v>
      </c>
      <c r="H128" s="2">
        <v>105.8</v>
      </c>
      <c r="I128" s="2">
        <f t="shared" si="8"/>
        <v>-7</v>
      </c>
      <c r="J128" s="1">
        <f t="shared" si="9"/>
        <v>0.27721051622974674</v>
      </c>
      <c r="K128" s="2">
        <v>103.1</v>
      </c>
      <c r="L128" s="2">
        <v>110.4</v>
      </c>
      <c r="M128" s="2">
        <f t="shared" si="10"/>
        <v>-7.3000000000000114</v>
      </c>
      <c r="N128" s="1">
        <f t="shared" si="11"/>
        <v>5.2057776453180105E-2</v>
      </c>
      <c r="O128" s="2">
        <v>105.8</v>
      </c>
      <c r="P128" s="2">
        <v>103.2</v>
      </c>
      <c r="Q128" s="2">
        <f t="shared" si="12"/>
        <v>2.5999999999999943</v>
      </c>
      <c r="R128" s="2">
        <v>-0.9</v>
      </c>
      <c r="S128" s="2">
        <v>-4.5999999999999996</v>
      </c>
      <c r="T128" s="2">
        <f t="shared" si="13"/>
        <v>9.9000000000000057</v>
      </c>
    </row>
    <row r="129" spans="1:20">
      <c r="A129" s="6">
        <v>441</v>
      </c>
      <c r="B129" t="s">
        <v>54</v>
      </c>
      <c r="C129" t="s">
        <v>26</v>
      </c>
      <c r="D129">
        <v>51</v>
      </c>
      <c r="E129">
        <v>31</v>
      </c>
      <c r="F129" s="1">
        <f t="shared" si="7"/>
        <v>0.62195121951219512</v>
      </c>
      <c r="G129" s="2">
        <v>102.8</v>
      </c>
      <c r="H129" s="2">
        <v>98.6</v>
      </c>
      <c r="I129" s="2">
        <f t="shared" si="8"/>
        <v>4.2000000000000028</v>
      </c>
      <c r="J129" s="1">
        <f t="shared" si="9"/>
        <v>0.64198666077986288</v>
      </c>
      <c r="K129" s="2">
        <v>107.1</v>
      </c>
      <c r="L129" s="2">
        <v>102.8</v>
      </c>
      <c r="M129" s="2">
        <f t="shared" si="10"/>
        <v>4.2999999999999972</v>
      </c>
      <c r="N129" s="1">
        <f t="shared" si="11"/>
        <v>-2.0035441267667764E-2</v>
      </c>
      <c r="O129" s="2">
        <v>114.2</v>
      </c>
      <c r="P129" s="2">
        <v>100</v>
      </c>
      <c r="Q129" s="2">
        <f t="shared" si="12"/>
        <v>14.200000000000003</v>
      </c>
      <c r="R129" s="2">
        <v>1.7</v>
      </c>
      <c r="S129" s="2">
        <v>6.9</v>
      </c>
      <c r="T129" s="2">
        <f t="shared" si="13"/>
        <v>9.9000000000000057</v>
      </c>
    </row>
    <row r="130" spans="1:20">
      <c r="A130" s="6">
        <v>297</v>
      </c>
      <c r="B130" t="s">
        <v>48</v>
      </c>
      <c r="C130" t="s">
        <v>5</v>
      </c>
      <c r="D130">
        <v>44</v>
      </c>
      <c r="E130">
        <v>38</v>
      </c>
      <c r="F130" s="1">
        <f t="shared" si="7"/>
        <v>0.53658536585365857</v>
      </c>
      <c r="G130" s="2">
        <v>95</v>
      </c>
      <c r="H130" s="2">
        <v>95.8</v>
      </c>
      <c r="I130" s="2">
        <f t="shared" si="8"/>
        <v>-0.79999999999999716</v>
      </c>
      <c r="J130" s="1">
        <f t="shared" si="9"/>
        <v>0.47068338807108751</v>
      </c>
      <c r="K130" s="2">
        <v>105.1</v>
      </c>
      <c r="L130" s="2">
        <v>105.8</v>
      </c>
      <c r="M130" s="2">
        <f t="shared" si="10"/>
        <v>-0.70000000000000284</v>
      </c>
      <c r="N130" s="1">
        <f t="shared" si="11"/>
        <v>6.5901977782571064E-2</v>
      </c>
      <c r="O130" s="2">
        <v>112.6</v>
      </c>
      <c r="P130" s="2">
        <v>103.5</v>
      </c>
      <c r="Q130" s="2">
        <f t="shared" si="12"/>
        <v>9.0999999999999943</v>
      </c>
      <c r="R130" s="2">
        <v>-1.5</v>
      </c>
      <c r="S130" s="2">
        <v>-8.1999999999999993</v>
      </c>
      <c r="T130" s="2">
        <f t="shared" si="13"/>
        <v>9.7999999999999972</v>
      </c>
    </row>
    <row r="131" spans="1:20">
      <c r="A131" s="6">
        <v>317</v>
      </c>
      <c r="B131" t="s">
        <v>48</v>
      </c>
      <c r="C131" t="s">
        <v>46</v>
      </c>
      <c r="D131">
        <v>55</v>
      </c>
      <c r="E131">
        <v>27</v>
      </c>
      <c r="F131" s="1">
        <f t="shared" si="7"/>
        <v>0.67073170731707321</v>
      </c>
      <c r="G131" s="2">
        <v>104.8</v>
      </c>
      <c r="H131" s="2">
        <v>101</v>
      </c>
      <c r="I131" s="2">
        <f t="shared" si="8"/>
        <v>3.7999999999999972</v>
      </c>
      <c r="J131" s="1">
        <f t="shared" si="9"/>
        <v>0.62646134296899791</v>
      </c>
      <c r="K131" s="2">
        <v>109.9</v>
      </c>
      <c r="L131" s="2">
        <v>105.9</v>
      </c>
      <c r="M131" s="2">
        <f t="shared" si="10"/>
        <v>4</v>
      </c>
      <c r="N131" s="1">
        <f t="shared" si="11"/>
        <v>4.4270364348075297E-2</v>
      </c>
      <c r="O131" s="2">
        <v>105.8</v>
      </c>
      <c r="P131" s="2">
        <v>92</v>
      </c>
      <c r="Q131" s="2">
        <f t="shared" si="12"/>
        <v>13.799999999999997</v>
      </c>
      <c r="R131" s="2">
        <v>0.9</v>
      </c>
      <c r="S131" s="2">
        <v>4</v>
      </c>
      <c r="T131" s="2">
        <f t="shared" si="13"/>
        <v>9.7999999999999972</v>
      </c>
    </row>
    <row r="132" spans="1:20">
      <c r="A132" s="6">
        <v>682</v>
      </c>
      <c r="B132" t="s">
        <v>63</v>
      </c>
      <c r="C132" t="s">
        <v>27</v>
      </c>
      <c r="D132">
        <v>48</v>
      </c>
      <c r="E132">
        <v>34</v>
      </c>
      <c r="F132" s="1">
        <f t="shared" si="7"/>
        <v>0.58536585365853655</v>
      </c>
      <c r="G132" s="2">
        <v>120.7</v>
      </c>
      <c r="H132" s="2">
        <v>118.1</v>
      </c>
      <c r="I132" s="2">
        <f t="shared" si="8"/>
        <v>2.6000000000000085</v>
      </c>
      <c r="J132" s="1">
        <f t="shared" si="9"/>
        <v>0.57563251403873306</v>
      </c>
      <c r="K132" s="2">
        <v>118.6</v>
      </c>
      <c r="L132" s="2">
        <v>116</v>
      </c>
      <c r="M132" s="2">
        <f t="shared" si="10"/>
        <v>2.5999999999999943</v>
      </c>
      <c r="N132" s="1">
        <f t="shared" si="11"/>
        <v>9.7333396198034938E-3</v>
      </c>
      <c r="O132" s="2">
        <v>129.19999999999999</v>
      </c>
      <c r="P132" s="2">
        <v>116.8</v>
      </c>
      <c r="Q132" s="2">
        <f t="shared" si="12"/>
        <v>12.399999999999991</v>
      </c>
      <c r="R132" s="2">
        <v>0.9</v>
      </c>
      <c r="S132" s="2">
        <v>7</v>
      </c>
      <c r="T132" s="2">
        <f t="shared" si="13"/>
        <v>9.7999999999999972</v>
      </c>
    </row>
    <row r="133" spans="1:20">
      <c r="A133" s="6">
        <v>722</v>
      </c>
      <c r="B133" t="s">
        <v>65</v>
      </c>
      <c r="C133" t="s">
        <v>9</v>
      </c>
      <c r="D133">
        <v>64</v>
      </c>
      <c r="E133">
        <v>18</v>
      </c>
      <c r="F133" s="1">
        <f t="shared" si="7"/>
        <v>0.78048780487804881</v>
      </c>
      <c r="G133" s="2">
        <v>121.9</v>
      </c>
      <c r="H133" s="2">
        <v>112.4</v>
      </c>
      <c r="I133" s="2">
        <f t="shared" si="8"/>
        <v>9.5</v>
      </c>
      <c r="J133" s="1">
        <f t="shared" si="9"/>
        <v>0.75692964586236922</v>
      </c>
      <c r="K133" s="2">
        <v>121</v>
      </c>
      <c r="L133" s="2">
        <v>111.8</v>
      </c>
      <c r="M133" s="2">
        <f t="shared" si="10"/>
        <v>9.2000000000000028</v>
      </c>
      <c r="N133" s="1">
        <f t="shared" si="11"/>
        <v>2.3558159015679592E-2</v>
      </c>
      <c r="O133" s="2">
        <v>123.8</v>
      </c>
      <c r="P133" s="2">
        <v>104.9</v>
      </c>
      <c r="Q133" s="2">
        <f t="shared" si="12"/>
        <v>18.899999999999991</v>
      </c>
      <c r="R133" s="2">
        <v>2.9</v>
      </c>
      <c r="S133" s="2">
        <v>11.6</v>
      </c>
      <c r="T133" s="2">
        <f t="shared" si="13"/>
        <v>9.6999999999999886</v>
      </c>
    </row>
    <row r="134" spans="1:20">
      <c r="A134" s="6">
        <v>315</v>
      </c>
      <c r="B134" t="s">
        <v>48</v>
      </c>
      <c r="C134" t="s">
        <v>37</v>
      </c>
      <c r="D134">
        <v>46</v>
      </c>
      <c r="E134">
        <v>36</v>
      </c>
      <c r="F134" s="1">
        <f t="shared" si="7"/>
        <v>0.56097560975609762</v>
      </c>
      <c r="G134" s="2">
        <v>94.9</v>
      </c>
      <c r="H134" s="2">
        <v>94</v>
      </c>
      <c r="I134" s="2">
        <f t="shared" si="8"/>
        <v>0.90000000000000568</v>
      </c>
      <c r="J134" s="1">
        <f t="shared" si="9"/>
        <v>0.53330185727266632</v>
      </c>
      <c r="K134" s="2">
        <v>105.4</v>
      </c>
      <c r="L134" s="2">
        <v>104.4</v>
      </c>
      <c r="M134" s="2">
        <f t="shared" si="10"/>
        <v>1</v>
      </c>
      <c r="N134" s="1">
        <f t="shared" si="11"/>
        <v>2.7673752483431291E-2</v>
      </c>
      <c r="O134" s="2">
        <v>101</v>
      </c>
      <c r="P134" s="2">
        <v>90.4</v>
      </c>
      <c r="Q134" s="2">
        <f t="shared" si="12"/>
        <v>10.599999999999994</v>
      </c>
      <c r="R134" s="2">
        <v>-0.4</v>
      </c>
      <c r="S134" s="2">
        <v>0.2</v>
      </c>
      <c r="T134" s="2">
        <f t="shared" si="13"/>
        <v>9.5999999999999943</v>
      </c>
    </row>
    <row r="135" spans="1:20">
      <c r="A135" s="6">
        <v>619</v>
      </c>
      <c r="B135" t="s">
        <v>61</v>
      </c>
      <c r="C135" t="s">
        <v>24</v>
      </c>
      <c r="D135">
        <v>49</v>
      </c>
      <c r="E135">
        <v>23</v>
      </c>
      <c r="F135" s="1">
        <f t="shared" si="7"/>
        <v>0.68055555555555558</v>
      </c>
      <c r="G135" s="2">
        <v>113.6</v>
      </c>
      <c r="H135" s="2">
        <v>108.1</v>
      </c>
      <c r="I135" s="2">
        <f t="shared" si="8"/>
        <v>5.5</v>
      </c>
      <c r="J135" s="1">
        <f t="shared" si="9"/>
        <v>0.66702829346339876</v>
      </c>
      <c r="K135" s="2">
        <v>112.5</v>
      </c>
      <c r="L135" s="2">
        <v>107</v>
      </c>
      <c r="M135" s="2">
        <f t="shared" si="10"/>
        <v>5.5</v>
      </c>
      <c r="N135" s="1">
        <f t="shared" si="11"/>
        <v>1.3527262092156822E-2</v>
      </c>
      <c r="O135" s="2">
        <v>112.5</v>
      </c>
      <c r="P135" s="2">
        <v>97.4</v>
      </c>
      <c r="Q135" s="2">
        <f t="shared" si="12"/>
        <v>15.099999999999994</v>
      </c>
      <c r="R135" s="2">
        <v>1.3</v>
      </c>
      <c r="S135" s="2">
        <v>6.8</v>
      </c>
      <c r="T135" s="2">
        <f t="shared" si="13"/>
        <v>9.5999999999999943</v>
      </c>
    </row>
    <row r="136" spans="1:20">
      <c r="A136" s="6">
        <v>639</v>
      </c>
      <c r="B136" t="s">
        <v>62</v>
      </c>
      <c r="C136" t="s">
        <v>56</v>
      </c>
      <c r="D136">
        <v>42</v>
      </c>
      <c r="E136">
        <v>40</v>
      </c>
      <c r="F136" s="1">
        <f t="shared" si="7"/>
        <v>0.51219512195121952</v>
      </c>
      <c r="G136" s="2">
        <v>108.4</v>
      </c>
      <c r="H136" s="2">
        <v>108.4</v>
      </c>
      <c r="I136" s="2">
        <f t="shared" si="8"/>
        <v>0</v>
      </c>
      <c r="J136" s="1">
        <f t="shared" si="9"/>
        <v>0.5</v>
      </c>
      <c r="K136" s="2">
        <v>109.5</v>
      </c>
      <c r="L136" s="2">
        <v>109.5</v>
      </c>
      <c r="M136" s="2">
        <f t="shared" si="10"/>
        <v>0</v>
      </c>
      <c r="N136" s="1">
        <f t="shared" si="11"/>
        <v>1.2195121951219523E-2</v>
      </c>
      <c r="O136" s="2">
        <v>123.8</v>
      </c>
      <c r="P136" s="2">
        <v>114.3</v>
      </c>
      <c r="Q136" s="2">
        <f t="shared" si="12"/>
        <v>9.5</v>
      </c>
      <c r="R136" s="2">
        <v>1.1000000000000001</v>
      </c>
      <c r="S136" s="2">
        <v>5.8</v>
      </c>
      <c r="T136" s="2">
        <f t="shared" si="13"/>
        <v>9.5</v>
      </c>
    </row>
    <row r="137" spans="1:20">
      <c r="A137" s="6">
        <v>664</v>
      </c>
      <c r="B137" t="s">
        <v>63</v>
      </c>
      <c r="C137" t="s">
        <v>11</v>
      </c>
      <c r="D137">
        <v>53</v>
      </c>
      <c r="E137">
        <v>29</v>
      </c>
      <c r="F137" s="1">
        <f t="shared" ref="F137:F200" si="14">+D137/(D137+E137)</f>
        <v>0.64634146341463417</v>
      </c>
      <c r="G137" s="2">
        <v>115.8</v>
      </c>
      <c r="H137" s="2">
        <v>112.5</v>
      </c>
      <c r="I137" s="2">
        <f t="shared" ref="I137:I200" si="15">+G137-H137</f>
        <v>3.2999999999999972</v>
      </c>
      <c r="J137" s="1">
        <f t="shared" ref="J137:J200" si="16">+(G137^14)/((G137^14+H137^14))</f>
        <v>0.59983047622888896</v>
      </c>
      <c r="K137" s="2">
        <v>116.8</v>
      </c>
      <c r="L137" s="2">
        <v>113.5</v>
      </c>
      <c r="M137" s="2">
        <f t="shared" ref="M137:M200" si="17">+K137-L137</f>
        <v>3.2999999999999972</v>
      </c>
      <c r="N137" s="1">
        <f t="shared" ref="N137:N200" si="18">+F137-J137</f>
        <v>4.6510987185745201E-2</v>
      </c>
      <c r="O137" s="2">
        <v>109.2</v>
      </c>
      <c r="P137" s="2">
        <v>96.5</v>
      </c>
      <c r="Q137" s="2">
        <f t="shared" ref="Q137:Q200" si="19">+O137-P137</f>
        <v>12.700000000000003</v>
      </c>
      <c r="R137" s="2">
        <v>-0.5</v>
      </c>
      <c r="S137" s="2">
        <v>-2.6</v>
      </c>
      <c r="T137" s="2">
        <f t="shared" ref="T137:T200" si="20">+Q137-M137</f>
        <v>9.4000000000000057</v>
      </c>
    </row>
    <row r="138" spans="1:20">
      <c r="A138" s="6">
        <v>162</v>
      </c>
      <c r="B138" t="s">
        <v>41</v>
      </c>
      <c r="C138" t="s">
        <v>19</v>
      </c>
      <c r="D138">
        <v>40</v>
      </c>
      <c r="E138">
        <v>42</v>
      </c>
      <c r="F138" s="1">
        <f t="shared" si="14"/>
        <v>0.48780487804878048</v>
      </c>
      <c r="G138" s="2">
        <v>97.8</v>
      </c>
      <c r="H138" s="2">
        <v>98.8</v>
      </c>
      <c r="I138" s="2">
        <f t="shared" si="15"/>
        <v>-1</v>
      </c>
      <c r="J138" s="1">
        <f t="shared" si="16"/>
        <v>0.46445446690558873</v>
      </c>
      <c r="K138" s="2">
        <v>104.9</v>
      </c>
      <c r="L138" s="2">
        <v>105.9</v>
      </c>
      <c r="M138" s="2">
        <f t="shared" si="17"/>
        <v>-1</v>
      </c>
      <c r="N138" s="1">
        <f t="shared" si="18"/>
        <v>2.3350411143191752E-2</v>
      </c>
      <c r="O138" s="2">
        <v>103.7</v>
      </c>
      <c r="P138" s="2">
        <v>95.3</v>
      </c>
      <c r="Q138" s="2">
        <f t="shared" si="19"/>
        <v>8.4000000000000057</v>
      </c>
      <c r="R138" s="2">
        <v>-1.1000000000000001</v>
      </c>
      <c r="S138" s="2">
        <v>-5.7</v>
      </c>
      <c r="T138" s="2">
        <f t="shared" si="20"/>
        <v>9.4000000000000057</v>
      </c>
    </row>
    <row r="139" spans="1:20">
      <c r="A139" s="6">
        <v>229</v>
      </c>
      <c r="B139" t="s">
        <v>44</v>
      </c>
      <c r="C139" t="s">
        <v>25</v>
      </c>
      <c r="D139">
        <v>55</v>
      </c>
      <c r="E139">
        <v>27</v>
      </c>
      <c r="F139" s="1">
        <f t="shared" si="14"/>
        <v>0.67073170731707321</v>
      </c>
      <c r="G139" s="2">
        <v>110.1</v>
      </c>
      <c r="H139" s="2">
        <v>105</v>
      </c>
      <c r="I139" s="2">
        <f t="shared" si="15"/>
        <v>5.0999999999999943</v>
      </c>
      <c r="J139" s="1">
        <f t="shared" si="16"/>
        <v>0.66015874335995706</v>
      </c>
      <c r="K139" s="2">
        <v>112</v>
      </c>
      <c r="L139" s="2">
        <v>107</v>
      </c>
      <c r="M139" s="2">
        <f t="shared" si="17"/>
        <v>5</v>
      </c>
      <c r="N139" s="1">
        <f t="shared" si="18"/>
        <v>1.0572963957116155E-2</v>
      </c>
      <c r="O139" s="2">
        <v>110.9</v>
      </c>
      <c r="P139" s="2">
        <v>96.8</v>
      </c>
      <c r="Q139" s="2">
        <f t="shared" si="19"/>
        <v>14.100000000000009</v>
      </c>
      <c r="R139" s="2">
        <v>0.6</v>
      </c>
      <c r="S139" s="2">
        <v>4.4000000000000004</v>
      </c>
      <c r="T139" s="2">
        <f t="shared" si="20"/>
        <v>9.1000000000000085</v>
      </c>
    </row>
    <row r="140" spans="1:20">
      <c r="A140" s="6">
        <v>706</v>
      </c>
      <c r="B140" t="s">
        <v>64</v>
      </c>
      <c r="C140" t="s">
        <v>22</v>
      </c>
      <c r="D140">
        <v>50</v>
      </c>
      <c r="E140">
        <v>32</v>
      </c>
      <c r="F140" s="1">
        <f t="shared" si="14"/>
        <v>0.6097560975609756</v>
      </c>
      <c r="G140" s="2">
        <v>112.8</v>
      </c>
      <c r="H140" s="2">
        <v>108.2</v>
      </c>
      <c r="I140" s="2">
        <f t="shared" si="15"/>
        <v>4.5999999999999943</v>
      </c>
      <c r="J140" s="1">
        <f t="shared" si="16"/>
        <v>0.64173203581076255</v>
      </c>
      <c r="K140" s="2">
        <v>117.3</v>
      </c>
      <c r="L140" s="2">
        <v>112.4</v>
      </c>
      <c r="M140" s="2">
        <f t="shared" si="17"/>
        <v>4.8999999999999915</v>
      </c>
      <c r="N140" s="1">
        <f t="shared" si="18"/>
        <v>-3.197593824978695E-2</v>
      </c>
      <c r="O140" s="2">
        <v>114.4</v>
      </c>
      <c r="P140" s="2">
        <v>100.4</v>
      </c>
      <c r="Q140" s="2">
        <f t="shared" si="19"/>
        <v>14</v>
      </c>
      <c r="R140" s="2">
        <v>1</v>
      </c>
      <c r="S140" s="2">
        <v>4.0999999999999996</v>
      </c>
      <c r="T140" s="2">
        <f t="shared" si="20"/>
        <v>9.1000000000000085</v>
      </c>
    </row>
    <row r="141" spans="1:20">
      <c r="A141" s="6">
        <v>700</v>
      </c>
      <c r="B141" t="s">
        <v>64</v>
      </c>
      <c r="C141" t="s">
        <v>17</v>
      </c>
      <c r="D141">
        <v>46</v>
      </c>
      <c r="E141">
        <v>35</v>
      </c>
      <c r="F141" s="1">
        <f t="shared" si="14"/>
        <v>0.5679012345679012</v>
      </c>
      <c r="G141" s="2">
        <v>117.9</v>
      </c>
      <c r="H141" s="2">
        <v>117.8</v>
      </c>
      <c r="I141" s="2">
        <f t="shared" si="15"/>
        <v>0.10000000000000853</v>
      </c>
      <c r="J141" s="1">
        <f t="shared" si="16"/>
        <v>0.50296984221450003</v>
      </c>
      <c r="K141" s="2">
        <v>115.2</v>
      </c>
      <c r="L141" s="2">
        <v>115.2</v>
      </c>
      <c r="M141" s="2">
        <f t="shared" si="17"/>
        <v>0</v>
      </c>
      <c r="N141" s="1">
        <f t="shared" si="18"/>
        <v>6.4931392353401174E-2</v>
      </c>
      <c r="O141" s="2">
        <v>117.6</v>
      </c>
      <c r="P141" s="2">
        <v>108.5</v>
      </c>
      <c r="Q141" s="2">
        <f t="shared" si="19"/>
        <v>9.0999999999999943</v>
      </c>
      <c r="R141" s="2">
        <v>0.1</v>
      </c>
      <c r="S141" s="2">
        <v>1.9</v>
      </c>
      <c r="T141" s="2">
        <f t="shared" si="20"/>
        <v>9.0999999999999943</v>
      </c>
    </row>
    <row r="142" spans="1:20">
      <c r="A142" s="6">
        <v>776</v>
      </c>
      <c r="B142" t="s">
        <v>66</v>
      </c>
      <c r="C142" t="s">
        <v>33</v>
      </c>
      <c r="D142">
        <v>16</v>
      </c>
      <c r="E142">
        <v>46</v>
      </c>
      <c r="F142" s="1">
        <f t="shared" si="14"/>
        <v>0.25806451612903225</v>
      </c>
      <c r="G142" s="2">
        <v>112.2</v>
      </c>
      <c r="H142" s="2">
        <v>123</v>
      </c>
      <c r="I142" s="2">
        <f t="shared" si="15"/>
        <v>-10.799999999999997</v>
      </c>
      <c r="J142" s="1">
        <f t="shared" si="16"/>
        <v>0.21642561770690236</v>
      </c>
      <c r="K142" s="2">
        <v>109.5</v>
      </c>
      <c r="L142" s="2">
        <v>120.3</v>
      </c>
      <c r="M142" s="2">
        <f t="shared" si="17"/>
        <v>-10.799999999999997</v>
      </c>
      <c r="N142" s="1">
        <f t="shared" si="18"/>
        <v>4.1638898422129894E-2</v>
      </c>
      <c r="O142" s="2">
        <v>112.8</v>
      </c>
      <c r="P142" s="2">
        <v>114.5</v>
      </c>
      <c r="Q142" s="2">
        <f t="shared" si="19"/>
        <v>-1.7000000000000028</v>
      </c>
      <c r="R142" s="2">
        <v>-2.9</v>
      </c>
      <c r="S142" s="2">
        <v>-10.7</v>
      </c>
      <c r="T142" s="2">
        <f t="shared" si="20"/>
        <v>9.0999999999999943</v>
      </c>
    </row>
    <row r="143" spans="1:20">
      <c r="A143" s="6">
        <v>616</v>
      </c>
      <c r="B143" t="s">
        <v>61</v>
      </c>
      <c r="C143" t="s">
        <v>22</v>
      </c>
      <c r="D143">
        <v>41</v>
      </c>
      <c r="E143">
        <v>31</v>
      </c>
      <c r="F143" s="1">
        <f t="shared" si="14"/>
        <v>0.56944444444444442</v>
      </c>
      <c r="G143" s="2">
        <v>107</v>
      </c>
      <c r="H143" s="2">
        <v>104.7</v>
      </c>
      <c r="I143" s="2">
        <f t="shared" si="15"/>
        <v>2.2999999999999972</v>
      </c>
      <c r="J143" s="1">
        <f t="shared" si="16"/>
        <v>0.57547283603033039</v>
      </c>
      <c r="K143" s="2">
        <v>110.2</v>
      </c>
      <c r="L143" s="2">
        <v>107.8</v>
      </c>
      <c r="M143" s="2">
        <f t="shared" si="17"/>
        <v>2.4000000000000057</v>
      </c>
      <c r="N143" s="1">
        <f t="shared" si="18"/>
        <v>-6.0283915858859727E-3</v>
      </c>
      <c r="O143" s="2">
        <v>106.3</v>
      </c>
      <c r="P143" s="2">
        <v>94.8</v>
      </c>
      <c r="Q143" s="2">
        <f t="shared" si="19"/>
        <v>11.5</v>
      </c>
      <c r="R143" s="2">
        <v>-0.4</v>
      </c>
      <c r="S143" s="2">
        <v>-1.2</v>
      </c>
      <c r="T143" s="2">
        <f t="shared" si="20"/>
        <v>9.0999999999999943</v>
      </c>
    </row>
    <row r="144" spans="1:20">
      <c r="A144" s="6">
        <v>690</v>
      </c>
      <c r="B144" t="s">
        <v>64</v>
      </c>
      <c r="C144" t="s">
        <v>7</v>
      </c>
      <c r="D144">
        <v>21</v>
      </c>
      <c r="E144">
        <v>61</v>
      </c>
      <c r="F144" s="1">
        <f t="shared" si="14"/>
        <v>0.25609756097560976</v>
      </c>
      <c r="G144" s="2">
        <v>106.6</v>
      </c>
      <c r="H144" s="2">
        <v>116.8</v>
      </c>
      <c r="I144" s="2">
        <f t="shared" si="15"/>
        <v>-10.200000000000003</v>
      </c>
      <c r="J144" s="1">
        <f t="shared" si="16"/>
        <v>0.21766704901451664</v>
      </c>
      <c r="K144" s="2">
        <v>108.6</v>
      </c>
      <c r="L144" s="2">
        <v>119.2</v>
      </c>
      <c r="M144" s="2">
        <f t="shared" si="17"/>
        <v>-10.600000000000009</v>
      </c>
      <c r="N144" s="1">
        <f t="shared" si="18"/>
        <v>3.8430511961093122E-2</v>
      </c>
      <c r="O144" s="2">
        <v>112</v>
      </c>
      <c r="P144" s="2">
        <v>113.6</v>
      </c>
      <c r="Q144" s="2">
        <f t="shared" si="19"/>
        <v>-1.5999999999999943</v>
      </c>
      <c r="R144" s="2">
        <v>-0.3</v>
      </c>
      <c r="S144" s="2">
        <v>-2.7</v>
      </c>
      <c r="T144" s="2">
        <f t="shared" si="20"/>
        <v>9.0000000000000142</v>
      </c>
    </row>
    <row r="145" spans="1:20">
      <c r="A145" s="6">
        <v>125</v>
      </c>
      <c r="B145" t="s">
        <v>39</v>
      </c>
      <c r="C145" t="s">
        <v>13</v>
      </c>
      <c r="D145">
        <v>34</v>
      </c>
      <c r="E145">
        <v>48</v>
      </c>
      <c r="F145" s="1">
        <f t="shared" si="14"/>
        <v>0.41463414634146339</v>
      </c>
      <c r="G145" s="2">
        <v>98.7</v>
      </c>
      <c r="H145" s="2">
        <v>100.9</v>
      </c>
      <c r="I145" s="2">
        <f t="shared" si="15"/>
        <v>-2.2000000000000028</v>
      </c>
      <c r="J145" s="1">
        <f t="shared" si="16"/>
        <v>0.42344924071660006</v>
      </c>
      <c r="K145" s="2">
        <v>103.4</v>
      </c>
      <c r="L145" s="2">
        <v>105.5</v>
      </c>
      <c r="M145" s="2">
        <f t="shared" si="17"/>
        <v>-2.0999999999999943</v>
      </c>
      <c r="N145" s="1">
        <f t="shared" si="18"/>
        <v>-8.8150943751366673E-3</v>
      </c>
      <c r="O145" s="2">
        <v>99.8</v>
      </c>
      <c r="P145" s="2">
        <v>92.9</v>
      </c>
      <c r="Q145" s="2">
        <f t="shared" si="19"/>
        <v>6.8999999999999915</v>
      </c>
      <c r="R145" s="2">
        <v>-0.8</v>
      </c>
      <c r="S145" s="2">
        <v>-5</v>
      </c>
      <c r="T145" s="2">
        <f t="shared" si="20"/>
        <v>8.9999999999999858</v>
      </c>
    </row>
    <row r="146" spans="1:20">
      <c r="A146" s="6">
        <v>426</v>
      </c>
      <c r="B146" t="s">
        <v>54</v>
      </c>
      <c r="C146" t="s">
        <v>13</v>
      </c>
      <c r="D146">
        <v>67</v>
      </c>
      <c r="E146">
        <v>15</v>
      </c>
      <c r="F146" s="1">
        <f t="shared" si="14"/>
        <v>0.81707317073170727</v>
      </c>
      <c r="G146" s="2">
        <v>110</v>
      </c>
      <c r="H146" s="2">
        <v>99.9</v>
      </c>
      <c r="I146" s="2">
        <f t="shared" si="15"/>
        <v>10.099999999999994</v>
      </c>
      <c r="J146" s="1">
        <f t="shared" si="16"/>
        <v>0.79385966423964438</v>
      </c>
      <c r="K146" s="2">
        <v>110.4</v>
      </c>
      <c r="L146" s="2">
        <v>100.4</v>
      </c>
      <c r="M146" s="2">
        <f t="shared" si="17"/>
        <v>10</v>
      </c>
      <c r="N146" s="1">
        <f t="shared" si="18"/>
        <v>2.3213506492062885E-2</v>
      </c>
      <c r="O146" s="2">
        <v>111</v>
      </c>
      <c r="P146" s="2">
        <v>92.1</v>
      </c>
      <c r="Q146" s="2">
        <f t="shared" si="19"/>
        <v>18.900000000000006</v>
      </c>
      <c r="R146" s="2">
        <v>0.4</v>
      </c>
      <c r="S146" s="2">
        <v>3.9</v>
      </c>
      <c r="T146" s="2">
        <f t="shared" si="20"/>
        <v>8.9000000000000057</v>
      </c>
    </row>
    <row r="147" spans="1:20">
      <c r="A147" s="6">
        <v>481</v>
      </c>
      <c r="B147" t="s">
        <v>57</v>
      </c>
      <c r="C147" t="s">
        <v>8</v>
      </c>
      <c r="D147">
        <v>41</v>
      </c>
      <c r="E147">
        <v>41</v>
      </c>
      <c r="F147" s="1">
        <f t="shared" si="14"/>
        <v>0.5</v>
      </c>
      <c r="G147" s="2">
        <v>102.9</v>
      </c>
      <c r="H147" s="2">
        <v>102.4</v>
      </c>
      <c r="I147" s="2">
        <f t="shared" si="15"/>
        <v>0.5</v>
      </c>
      <c r="J147" s="1">
        <f t="shared" si="16"/>
        <v>0.51704165228301435</v>
      </c>
      <c r="K147" s="2">
        <v>106.5</v>
      </c>
      <c r="L147" s="2">
        <v>106.2</v>
      </c>
      <c r="M147" s="2">
        <f t="shared" si="17"/>
        <v>0.29999999999999716</v>
      </c>
      <c r="N147" s="1">
        <f t="shared" si="18"/>
        <v>-1.7041652283014352E-2</v>
      </c>
      <c r="O147" s="2">
        <v>107.3</v>
      </c>
      <c r="P147" s="2">
        <v>98.1</v>
      </c>
      <c r="Q147" s="2">
        <f t="shared" si="19"/>
        <v>9.2000000000000028</v>
      </c>
      <c r="R147" s="2">
        <v>-0.5</v>
      </c>
      <c r="S147" s="2">
        <v>-2.2999999999999998</v>
      </c>
      <c r="T147" s="2">
        <f t="shared" si="20"/>
        <v>8.9000000000000057</v>
      </c>
    </row>
    <row r="148" spans="1:20">
      <c r="A148" s="6">
        <v>583</v>
      </c>
      <c r="B148" t="s">
        <v>60</v>
      </c>
      <c r="C148" t="s">
        <v>19</v>
      </c>
      <c r="D148">
        <v>56</v>
      </c>
      <c r="E148">
        <v>17</v>
      </c>
      <c r="F148" s="1">
        <f t="shared" si="14"/>
        <v>0.76712328767123283</v>
      </c>
      <c r="G148" s="2">
        <v>118.7</v>
      </c>
      <c r="H148" s="2">
        <v>108.6</v>
      </c>
      <c r="I148" s="2">
        <f t="shared" si="15"/>
        <v>10.100000000000009</v>
      </c>
      <c r="J148" s="1">
        <f t="shared" si="16"/>
        <v>0.77643149133297851</v>
      </c>
      <c r="K148" s="2">
        <v>111.9</v>
      </c>
      <c r="L148" s="2">
        <v>102.5</v>
      </c>
      <c r="M148" s="2">
        <f t="shared" si="17"/>
        <v>9.4000000000000057</v>
      </c>
      <c r="N148" s="1">
        <f t="shared" si="18"/>
        <v>-9.3082036617456732E-3</v>
      </c>
      <c r="O148" s="2">
        <v>110.1</v>
      </c>
      <c r="P148" s="2">
        <v>91.9</v>
      </c>
      <c r="Q148" s="2">
        <f t="shared" si="19"/>
        <v>18.199999999999989</v>
      </c>
      <c r="R148" s="2">
        <v>2.5</v>
      </c>
      <c r="S148" s="2">
        <v>9.4</v>
      </c>
      <c r="T148" s="2">
        <f t="shared" si="20"/>
        <v>8.7999999999999829</v>
      </c>
    </row>
    <row r="149" spans="1:20">
      <c r="A149" s="6">
        <v>59</v>
      </c>
      <c r="B149" t="s">
        <v>36</v>
      </c>
      <c r="C149" t="s">
        <v>5</v>
      </c>
      <c r="D149">
        <v>35</v>
      </c>
      <c r="E149">
        <v>47</v>
      </c>
      <c r="F149" s="1">
        <f t="shared" si="14"/>
        <v>0.42682926829268292</v>
      </c>
      <c r="G149" s="2">
        <v>94.1</v>
      </c>
      <c r="H149" s="2">
        <v>97.6</v>
      </c>
      <c r="I149" s="2">
        <f t="shared" si="15"/>
        <v>-3.5</v>
      </c>
      <c r="J149" s="1">
        <f t="shared" si="16"/>
        <v>0.37489532651227531</v>
      </c>
      <c r="K149" s="2">
        <v>100.4</v>
      </c>
      <c r="L149" s="2">
        <v>104.2</v>
      </c>
      <c r="M149" s="2">
        <f t="shared" si="17"/>
        <v>-3.7999999999999972</v>
      </c>
      <c r="N149" s="1">
        <f t="shared" si="18"/>
        <v>5.1933941780407611E-2</v>
      </c>
      <c r="O149" s="2">
        <v>102</v>
      </c>
      <c r="P149" s="2">
        <v>97.1</v>
      </c>
      <c r="Q149" s="2">
        <f t="shared" si="19"/>
        <v>4.9000000000000057</v>
      </c>
      <c r="R149" s="2">
        <v>-2</v>
      </c>
      <c r="S149" s="2">
        <v>-9.6</v>
      </c>
      <c r="T149" s="2">
        <f t="shared" si="20"/>
        <v>8.7000000000000028</v>
      </c>
    </row>
    <row r="150" spans="1:20">
      <c r="A150" s="6">
        <v>164</v>
      </c>
      <c r="B150" t="s">
        <v>41</v>
      </c>
      <c r="C150" t="s">
        <v>21</v>
      </c>
      <c r="D150">
        <v>49</v>
      </c>
      <c r="E150">
        <v>33</v>
      </c>
      <c r="F150" s="1">
        <f t="shared" si="14"/>
        <v>0.59756097560975607</v>
      </c>
      <c r="G150" s="2">
        <v>93.8</v>
      </c>
      <c r="H150" s="2">
        <v>92.4</v>
      </c>
      <c r="I150" s="2">
        <f t="shared" si="15"/>
        <v>1.3999999999999915</v>
      </c>
      <c r="J150" s="1">
        <f t="shared" si="16"/>
        <v>0.55243902579341386</v>
      </c>
      <c r="K150" s="2">
        <v>102.4</v>
      </c>
      <c r="L150" s="2">
        <v>100.9</v>
      </c>
      <c r="M150" s="2">
        <f t="shared" si="17"/>
        <v>1.5</v>
      </c>
      <c r="N150" s="1">
        <f t="shared" si="18"/>
        <v>4.5121949816342211E-2</v>
      </c>
      <c r="O150" s="2">
        <v>109.2</v>
      </c>
      <c r="P150" s="2">
        <v>99</v>
      </c>
      <c r="Q150" s="2">
        <f t="shared" si="19"/>
        <v>10.200000000000003</v>
      </c>
      <c r="R150" s="2">
        <v>-0.7</v>
      </c>
      <c r="S150" s="2">
        <v>-3.1</v>
      </c>
      <c r="T150" s="2">
        <f t="shared" si="20"/>
        <v>8.7000000000000028</v>
      </c>
    </row>
    <row r="151" spans="1:20">
      <c r="A151" s="6">
        <v>5</v>
      </c>
      <c r="B151" t="s">
        <v>4</v>
      </c>
      <c r="C151" t="s">
        <v>9</v>
      </c>
      <c r="D151">
        <v>30</v>
      </c>
      <c r="E151">
        <v>52</v>
      </c>
      <c r="F151" s="1">
        <f t="shared" si="14"/>
        <v>0.36585365853658536</v>
      </c>
      <c r="G151" s="2">
        <v>92.2</v>
      </c>
      <c r="H151" s="2">
        <v>96.5</v>
      </c>
      <c r="I151" s="2">
        <f t="shared" si="15"/>
        <v>-4.2999999999999972</v>
      </c>
      <c r="J151" s="1">
        <f t="shared" si="16"/>
        <v>0.34566252690458571</v>
      </c>
      <c r="K151" s="2">
        <v>99.3</v>
      </c>
      <c r="L151" s="2">
        <v>103.5</v>
      </c>
      <c r="M151" s="2">
        <f t="shared" si="17"/>
        <v>-4.2000000000000028</v>
      </c>
      <c r="N151" s="1">
        <f t="shared" si="18"/>
        <v>2.0191131631999648E-2</v>
      </c>
      <c r="O151" s="2">
        <v>91.3</v>
      </c>
      <c r="P151" s="2">
        <v>86.8</v>
      </c>
      <c r="Q151" s="2">
        <f t="shared" si="19"/>
        <v>4.5</v>
      </c>
      <c r="R151" s="2">
        <v>1</v>
      </c>
      <c r="S151" s="2">
        <v>2.9</v>
      </c>
      <c r="T151" s="2">
        <f t="shared" si="20"/>
        <v>8.7000000000000028</v>
      </c>
    </row>
    <row r="152" spans="1:20">
      <c r="A152" s="6">
        <v>550</v>
      </c>
      <c r="B152" t="s">
        <v>59</v>
      </c>
      <c r="C152" t="s">
        <v>17</v>
      </c>
      <c r="D152">
        <v>37</v>
      </c>
      <c r="E152">
        <v>45</v>
      </c>
      <c r="F152" s="1">
        <f t="shared" si="14"/>
        <v>0.45121951219512196</v>
      </c>
      <c r="G152" s="2">
        <v>111.8</v>
      </c>
      <c r="H152" s="2">
        <v>113.5</v>
      </c>
      <c r="I152" s="2">
        <f t="shared" si="15"/>
        <v>-1.7000000000000028</v>
      </c>
      <c r="J152" s="1">
        <f t="shared" si="16"/>
        <v>0.44737614127951658</v>
      </c>
      <c r="K152" s="2">
        <v>107.4</v>
      </c>
      <c r="L152" s="2">
        <v>108.9</v>
      </c>
      <c r="M152" s="2">
        <f t="shared" si="17"/>
        <v>-1.5</v>
      </c>
      <c r="N152" s="1">
        <f t="shared" si="18"/>
        <v>3.8433709156053819E-3</v>
      </c>
      <c r="O152" s="2">
        <v>114.7</v>
      </c>
      <c r="P152" s="2">
        <v>107.5</v>
      </c>
      <c r="Q152" s="2">
        <f t="shared" si="19"/>
        <v>7.2000000000000028</v>
      </c>
      <c r="R152" s="2">
        <v>-0.8</v>
      </c>
      <c r="S152" s="2">
        <v>-4.5999999999999996</v>
      </c>
      <c r="T152" s="2">
        <f t="shared" si="20"/>
        <v>8.7000000000000028</v>
      </c>
    </row>
    <row r="153" spans="1:20">
      <c r="A153" s="6">
        <v>629</v>
      </c>
      <c r="B153" t="s">
        <v>62</v>
      </c>
      <c r="C153" t="s">
        <v>51</v>
      </c>
      <c r="D153">
        <v>44</v>
      </c>
      <c r="E153">
        <v>38</v>
      </c>
      <c r="F153" s="1">
        <f t="shared" si="14"/>
        <v>0.53658536585365857</v>
      </c>
      <c r="G153" s="2">
        <v>112.9</v>
      </c>
      <c r="H153" s="2">
        <v>112.1</v>
      </c>
      <c r="I153" s="2">
        <f t="shared" si="15"/>
        <v>0.80000000000001137</v>
      </c>
      <c r="J153" s="1">
        <f t="shared" si="16"/>
        <v>0.52486845707756435</v>
      </c>
      <c r="K153" s="2">
        <v>113.2</v>
      </c>
      <c r="L153" s="2">
        <v>112.3</v>
      </c>
      <c r="M153" s="2">
        <f t="shared" si="17"/>
        <v>0.90000000000000568</v>
      </c>
      <c r="N153" s="1">
        <f t="shared" si="18"/>
        <v>1.1716908776094215E-2</v>
      </c>
      <c r="O153" s="2">
        <v>112.6</v>
      </c>
      <c r="P153" s="2">
        <v>103</v>
      </c>
      <c r="Q153" s="2">
        <f t="shared" si="19"/>
        <v>9.5999999999999943</v>
      </c>
      <c r="R153" s="2">
        <v>-0.1</v>
      </c>
      <c r="S153" s="2">
        <v>0.3</v>
      </c>
      <c r="T153" s="2">
        <f t="shared" si="20"/>
        <v>8.6999999999999886</v>
      </c>
    </row>
    <row r="154" spans="1:20">
      <c r="A154" s="6">
        <v>52</v>
      </c>
      <c r="B154" t="s">
        <v>34</v>
      </c>
      <c r="C154" t="s">
        <v>26</v>
      </c>
      <c r="D154">
        <v>49</v>
      </c>
      <c r="E154">
        <v>33</v>
      </c>
      <c r="F154" s="1">
        <f t="shared" si="14"/>
        <v>0.59756097560975607</v>
      </c>
      <c r="G154" s="2">
        <v>96.6</v>
      </c>
      <c r="H154" s="2">
        <v>93.7</v>
      </c>
      <c r="I154" s="2">
        <f t="shared" si="15"/>
        <v>2.8999999999999915</v>
      </c>
      <c r="J154" s="1">
        <f t="shared" si="16"/>
        <v>0.60509200990048839</v>
      </c>
      <c r="K154" s="2">
        <v>105.9</v>
      </c>
      <c r="L154" s="2">
        <v>102.6</v>
      </c>
      <c r="M154" s="2">
        <f t="shared" si="17"/>
        <v>3.3000000000000114</v>
      </c>
      <c r="N154" s="1">
        <f t="shared" si="18"/>
        <v>-7.5310342907323191E-3</v>
      </c>
      <c r="O154" s="2">
        <v>111.7</v>
      </c>
      <c r="P154" s="2">
        <v>99.7</v>
      </c>
      <c r="Q154" s="2">
        <f t="shared" si="19"/>
        <v>12</v>
      </c>
      <c r="R154" s="2">
        <v>-0.2</v>
      </c>
      <c r="S154" s="2">
        <v>0.3</v>
      </c>
      <c r="T154" s="2">
        <f t="shared" si="20"/>
        <v>8.6999999999999886</v>
      </c>
    </row>
    <row r="155" spans="1:20">
      <c r="A155" s="6">
        <v>123</v>
      </c>
      <c r="B155" t="s">
        <v>39</v>
      </c>
      <c r="C155" t="s">
        <v>11</v>
      </c>
      <c r="D155">
        <v>49</v>
      </c>
      <c r="E155">
        <v>33</v>
      </c>
      <c r="F155" s="1">
        <f t="shared" si="14"/>
        <v>0.59756097560975607</v>
      </c>
      <c r="G155" s="2">
        <v>99.5</v>
      </c>
      <c r="H155" s="2">
        <v>97.5</v>
      </c>
      <c r="I155" s="2">
        <f t="shared" si="15"/>
        <v>2</v>
      </c>
      <c r="J155" s="1">
        <f t="shared" si="16"/>
        <v>0.57059367194887745</v>
      </c>
      <c r="K155" s="2">
        <v>104.7</v>
      </c>
      <c r="L155" s="2">
        <v>102.6</v>
      </c>
      <c r="M155" s="2">
        <f t="shared" si="17"/>
        <v>2.1000000000000085</v>
      </c>
      <c r="N155" s="1">
        <f t="shared" si="18"/>
        <v>2.6967303660878628E-2</v>
      </c>
      <c r="O155" s="2">
        <v>107.4</v>
      </c>
      <c r="P155" s="2">
        <v>96.7</v>
      </c>
      <c r="Q155" s="2">
        <f t="shared" si="19"/>
        <v>10.700000000000003</v>
      </c>
      <c r="R155" s="2">
        <v>1.1000000000000001</v>
      </c>
      <c r="S155" s="2">
        <v>5.7</v>
      </c>
      <c r="T155" s="2">
        <f t="shared" si="20"/>
        <v>8.5999999999999943</v>
      </c>
    </row>
    <row r="156" spans="1:20">
      <c r="A156" s="6">
        <v>411</v>
      </c>
      <c r="B156" t="s">
        <v>52</v>
      </c>
      <c r="C156" t="s">
        <v>26</v>
      </c>
      <c r="D156">
        <v>54</v>
      </c>
      <c r="E156">
        <v>28</v>
      </c>
      <c r="F156" s="1">
        <f t="shared" si="14"/>
        <v>0.65853658536585369</v>
      </c>
      <c r="G156" s="2">
        <v>106.7</v>
      </c>
      <c r="H156" s="2">
        <v>102.8</v>
      </c>
      <c r="I156" s="2">
        <f t="shared" si="15"/>
        <v>3.9000000000000057</v>
      </c>
      <c r="J156" s="1">
        <f t="shared" si="16"/>
        <v>0.62745199732003099</v>
      </c>
      <c r="K156" s="2">
        <v>110.4</v>
      </c>
      <c r="L156" s="2">
        <v>106.2</v>
      </c>
      <c r="M156" s="2">
        <f t="shared" si="17"/>
        <v>4.2000000000000028</v>
      </c>
      <c r="N156" s="1">
        <f t="shared" si="18"/>
        <v>3.1084588045822703E-2</v>
      </c>
      <c r="O156" s="2">
        <v>113.7</v>
      </c>
      <c r="P156" s="2">
        <v>101</v>
      </c>
      <c r="Q156" s="2">
        <f t="shared" si="19"/>
        <v>12.700000000000003</v>
      </c>
      <c r="R156" s="2">
        <v>0.6</v>
      </c>
      <c r="S156" s="2">
        <v>4.7</v>
      </c>
      <c r="T156" s="2">
        <f t="shared" si="20"/>
        <v>8.5</v>
      </c>
    </row>
    <row r="157" spans="1:20">
      <c r="A157" s="6">
        <v>233</v>
      </c>
      <c r="B157" t="s">
        <v>44</v>
      </c>
      <c r="C157" t="s">
        <v>29</v>
      </c>
      <c r="D157">
        <v>20</v>
      </c>
      <c r="E157">
        <v>62</v>
      </c>
      <c r="F157" s="1">
        <f t="shared" si="14"/>
        <v>0.24390243902439024</v>
      </c>
      <c r="G157" s="2">
        <v>97.5</v>
      </c>
      <c r="H157" s="2">
        <v>106.3</v>
      </c>
      <c r="I157" s="2">
        <f t="shared" si="15"/>
        <v>-8.7999999999999972</v>
      </c>
      <c r="J157" s="1">
        <f t="shared" si="16"/>
        <v>0.22973985536315381</v>
      </c>
      <c r="K157" s="2">
        <v>99.6</v>
      </c>
      <c r="L157" s="2">
        <v>108.3</v>
      </c>
      <c r="M157" s="2">
        <f t="shared" si="17"/>
        <v>-8.7000000000000028</v>
      </c>
      <c r="N157" s="1">
        <f t="shared" si="18"/>
        <v>1.4162583661236433E-2</v>
      </c>
      <c r="O157" s="2">
        <v>105.6</v>
      </c>
      <c r="P157" s="2">
        <v>105.8</v>
      </c>
      <c r="Q157" s="2">
        <f t="shared" si="19"/>
        <v>-0.20000000000000284</v>
      </c>
      <c r="R157" s="2">
        <v>-2.6</v>
      </c>
      <c r="S157" s="2">
        <v>-12.8</v>
      </c>
      <c r="T157" s="2">
        <f t="shared" si="20"/>
        <v>8.5</v>
      </c>
    </row>
    <row r="158" spans="1:20">
      <c r="A158" s="6">
        <v>21</v>
      </c>
      <c r="B158" t="s">
        <v>4</v>
      </c>
      <c r="C158" t="s">
        <v>25</v>
      </c>
      <c r="D158">
        <v>51</v>
      </c>
      <c r="E158">
        <v>31</v>
      </c>
      <c r="F158" s="1">
        <f t="shared" si="14"/>
        <v>0.62195121951219512</v>
      </c>
      <c r="G158" s="2">
        <v>94</v>
      </c>
      <c r="H158" s="2">
        <v>91.8</v>
      </c>
      <c r="I158" s="2">
        <f t="shared" si="15"/>
        <v>2.2000000000000028</v>
      </c>
      <c r="J158" s="1">
        <f t="shared" si="16"/>
        <v>0.58213763182578848</v>
      </c>
      <c r="K158" s="2">
        <v>98.9</v>
      </c>
      <c r="L158" s="2">
        <v>96.7</v>
      </c>
      <c r="M158" s="2">
        <f t="shared" si="17"/>
        <v>2.2000000000000028</v>
      </c>
      <c r="N158" s="1">
        <f t="shared" si="18"/>
        <v>3.9813587686406637E-2</v>
      </c>
      <c r="O158" s="2">
        <v>97.7</v>
      </c>
      <c r="P158" s="2">
        <v>87.1</v>
      </c>
      <c r="Q158" s="2">
        <f t="shared" si="19"/>
        <v>10.600000000000009</v>
      </c>
      <c r="R158" s="2">
        <v>1.7</v>
      </c>
      <c r="S158" s="2">
        <v>8.1999999999999993</v>
      </c>
      <c r="T158" s="2">
        <f t="shared" si="20"/>
        <v>8.4000000000000057</v>
      </c>
    </row>
    <row r="159" spans="1:20">
      <c r="A159" s="6">
        <v>70</v>
      </c>
      <c r="B159" t="s">
        <v>36</v>
      </c>
      <c r="C159" t="s">
        <v>17</v>
      </c>
      <c r="D159">
        <v>50</v>
      </c>
      <c r="E159">
        <v>32</v>
      </c>
      <c r="F159" s="1">
        <f t="shared" si="14"/>
        <v>0.6097560975609756</v>
      </c>
      <c r="G159" s="2">
        <v>100.4</v>
      </c>
      <c r="H159" s="2">
        <v>98</v>
      </c>
      <c r="I159" s="2">
        <f t="shared" si="15"/>
        <v>2.4000000000000057</v>
      </c>
      <c r="J159" s="1">
        <f t="shared" si="16"/>
        <v>0.58388106859457733</v>
      </c>
      <c r="K159" s="2">
        <v>105.6</v>
      </c>
      <c r="L159" s="2">
        <v>103.4</v>
      </c>
      <c r="M159" s="2">
        <f t="shared" si="17"/>
        <v>2.1999999999999886</v>
      </c>
      <c r="N159" s="1">
        <f t="shared" si="18"/>
        <v>2.5875028966398261E-2</v>
      </c>
      <c r="O159" s="2">
        <v>111.5</v>
      </c>
      <c r="P159" s="2">
        <v>100.9</v>
      </c>
      <c r="Q159" s="2">
        <f t="shared" si="19"/>
        <v>10.599999999999994</v>
      </c>
      <c r="R159" s="2">
        <v>0.5</v>
      </c>
      <c r="S159" s="2">
        <v>1.5</v>
      </c>
      <c r="T159" s="2">
        <f t="shared" si="20"/>
        <v>8.4000000000000057</v>
      </c>
    </row>
    <row r="160" spans="1:20">
      <c r="A160" s="6">
        <v>685</v>
      </c>
      <c r="B160" t="s">
        <v>63</v>
      </c>
      <c r="C160" t="s">
        <v>31</v>
      </c>
      <c r="D160">
        <v>37</v>
      </c>
      <c r="E160">
        <v>45</v>
      </c>
      <c r="F160" s="1">
        <f t="shared" si="14"/>
        <v>0.45121951219512196</v>
      </c>
      <c r="G160" s="2">
        <v>117.1</v>
      </c>
      <c r="H160" s="2">
        <v>118</v>
      </c>
      <c r="I160" s="2">
        <f t="shared" si="15"/>
        <v>-0.90000000000000568</v>
      </c>
      <c r="J160" s="1">
        <f t="shared" si="16"/>
        <v>0.47322838921503652</v>
      </c>
      <c r="K160" s="2">
        <v>115.3</v>
      </c>
      <c r="L160" s="2">
        <v>116</v>
      </c>
      <c r="M160" s="2">
        <f t="shared" si="17"/>
        <v>-0.70000000000000284</v>
      </c>
      <c r="N160" s="1">
        <f t="shared" si="18"/>
        <v>-2.2008877019914552E-2</v>
      </c>
      <c r="O160" s="2">
        <v>117.2</v>
      </c>
      <c r="P160" s="2">
        <v>109.5</v>
      </c>
      <c r="Q160" s="2">
        <f t="shared" si="19"/>
        <v>7.7000000000000028</v>
      </c>
      <c r="R160" s="2">
        <v>-0.1</v>
      </c>
      <c r="S160" s="2">
        <v>-0.9</v>
      </c>
      <c r="T160" s="2">
        <f t="shared" si="20"/>
        <v>8.4000000000000057</v>
      </c>
    </row>
    <row r="161" spans="1:20">
      <c r="A161" s="6">
        <v>654</v>
      </c>
      <c r="B161" t="s">
        <v>62</v>
      </c>
      <c r="C161" t="s">
        <v>30</v>
      </c>
      <c r="D161">
        <v>48</v>
      </c>
      <c r="E161">
        <v>34</v>
      </c>
      <c r="F161" s="1">
        <f t="shared" si="14"/>
        <v>0.58536585365853655</v>
      </c>
      <c r="G161" s="2">
        <v>109.4</v>
      </c>
      <c r="H161" s="2">
        <v>107.1</v>
      </c>
      <c r="I161" s="2">
        <f t="shared" si="15"/>
        <v>2.3000000000000114</v>
      </c>
      <c r="J161" s="1">
        <f t="shared" si="16"/>
        <v>0.57382411075027417</v>
      </c>
      <c r="K161" s="2">
        <v>112.1</v>
      </c>
      <c r="L161" s="2">
        <v>109.9</v>
      </c>
      <c r="M161" s="2">
        <f t="shared" si="17"/>
        <v>2.1999999999999886</v>
      </c>
      <c r="N161" s="1">
        <f t="shared" si="18"/>
        <v>1.1541742908262376E-2</v>
      </c>
      <c r="O161" s="2">
        <v>112.5</v>
      </c>
      <c r="P161" s="2">
        <v>102</v>
      </c>
      <c r="Q161" s="2">
        <f t="shared" si="19"/>
        <v>10.5</v>
      </c>
      <c r="R161" s="2">
        <v>1</v>
      </c>
      <c r="S161" s="2">
        <v>4.5999999999999996</v>
      </c>
      <c r="T161" s="2">
        <f t="shared" si="20"/>
        <v>8.3000000000000114</v>
      </c>
    </row>
    <row r="162" spans="1:20">
      <c r="A162" s="6">
        <v>120</v>
      </c>
      <c r="B162" t="s">
        <v>39</v>
      </c>
      <c r="C162" t="s">
        <v>8</v>
      </c>
      <c r="D162">
        <v>47</v>
      </c>
      <c r="E162">
        <v>35</v>
      </c>
      <c r="F162" s="1">
        <f t="shared" si="14"/>
        <v>0.57317073170731703</v>
      </c>
      <c r="G162" s="2">
        <v>94.5</v>
      </c>
      <c r="H162" s="2">
        <v>93.4</v>
      </c>
      <c r="I162" s="2">
        <f t="shared" si="15"/>
        <v>1.0999999999999943</v>
      </c>
      <c r="J162" s="1">
        <f t="shared" si="16"/>
        <v>0.54088819998710902</v>
      </c>
      <c r="K162" s="2">
        <v>100.5</v>
      </c>
      <c r="L162" s="2">
        <v>99.1</v>
      </c>
      <c r="M162" s="2">
        <f t="shared" si="17"/>
        <v>1.4000000000000057</v>
      </c>
      <c r="N162" s="1">
        <f t="shared" si="18"/>
        <v>3.2282531720208008E-2</v>
      </c>
      <c r="O162" s="2">
        <v>96.7</v>
      </c>
      <c r="P162" s="2">
        <v>87</v>
      </c>
      <c r="Q162" s="2">
        <f t="shared" si="19"/>
        <v>9.7000000000000028</v>
      </c>
      <c r="R162" s="2">
        <v>0.8</v>
      </c>
      <c r="S162" s="2">
        <v>2.9</v>
      </c>
      <c r="T162" s="2">
        <f t="shared" si="20"/>
        <v>8.2999999999999972</v>
      </c>
    </row>
    <row r="163" spans="1:20">
      <c r="A163" s="6">
        <v>29</v>
      </c>
      <c r="B163" t="s">
        <v>4</v>
      </c>
      <c r="C163" t="s">
        <v>33</v>
      </c>
      <c r="D163">
        <v>19</v>
      </c>
      <c r="E163">
        <v>63</v>
      </c>
      <c r="F163" s="1">
        <f t="shared" si="14"/>
        <v>0.23170731707317074</v>
      </c>
      <c r="G163" s="2">
        <v>93.2</v>
      </c>
      <c r="H163" s="2">
        <v>99.9</v>
      </c>
      <c r="I163" s="2">
        <f t="shared" si="15"/>
        <v>-6.7000000000000028</v>
      </c>
      <c r="J163" s="1">
        <f t="shared" si="16"/>
        <v>0.27450046120978927</v>
      </c>
      <c r="K163" s="2">
        <v>99.4</v>
      </c>
      <c r="L163" s="2">
        <v>106.2</v>
      </c>
      <c r="M163" s="2">
        <f t="shared" si="17"/>
        <v>-6.7999999999999972</v>
      </c>
      <c r="N163" s="1">
        <f t="shared" si="18"/>
        <v>-4.2793144136618527E-2</v>
      </c>
      <c r="O163" s="2">
        <v>101.4</v>
      </c>
      <c r="P163" s="2">
        <v>100</v>
      </c>
      <c r="Q163" s="2">
        <f t="shared" si="19"/>
        <v>1.4000000000000057</v>
      </c>
      <c r="R163" s="2">
        <v>-1.1000000000000001</v>
      </c>
      <c r="S163" s="2">
        <v>-5.4</v>
      </c>
      <c r="T163" s="2">
        <f t="shared" si="20"/>
        <v>8.2000000000000028</v>
      </c>
    </row>
    <row r="164" spans="1:20">
      <c r="A164" s="6">
        <v>127</v>
      </c>
      <c r="B164" t="s">
        <v>39</v>
      </c>
      <c r="C164" t="s">
        <v>15</v>
      </c>
      <c r="D164">
        <v>44</v>
      </c>
      <c r="E164">
        <v>38</v>
      </c>
      <c r="F164" s="1">
        <f t="shared" si="14"/>
        <v>0.53658536585365857</v>
      </c>
      <c r="G164" s="2">
        <v>93</v>
      </c>
      <c r="H164" s="2">
        <v>92.2</v>
      </c>
      <c r="I164" s="2">
        <f t="shared" si="15"/>
        <v>0.79999999999999716</v>
      </c>
      <c r="J164" s="1">
        <f t="shared" si="16"/>
        <v>0.53020096014425155</v>
      </c>
      <c r="K164" s="2">
        <v>103.7</v>
      </c>
      <c r="L164" s="2">
        <v>102.7</v>
      </c>
      <c r="M164" s="2">
        <f t="shared" si="17"/>
        <v>1</v>
      </c>
      <c r="N164" s="1">
        <f t="shared" si="18"/>
        <v>6.384405709407015E-3</v>
      </c>
      <c r="O164" s="2">
        <v>102.5</v>
      </c>
      <c r="P164" s="2">
        <v>93.4</v>
      </c>
      <c r="Q164" s="2">
        <f t="shared" si="19"/>
        <v>9.0999999999999943</v>
      </c>
      <c r="R164" s="2">
        <v>0</v>
      </c>
      <c r="S164" s="2">
        <v>0.3</v>
      </c>
      <c r="T164" s="2">
        <f t="shared" si="20"/>
        <v>8.0999999999999943</v>
      </c>
    </row>
    <row r="165" spans="1:20">
      <c r="A165" s="6">
        <v>353</v>
      </c>
      <c r="B165" t="s">
        <v>49</v>
      </c>
      <c r="C165" t="s">
        <v>28</v>
      </c>
      <c r="D165">
        <v>50</v>
      </c>
      <c r="E165">
        <v>16</v>
      </c>
      <c r="F165" s="1">
        <f t="shared" si="14"/>
        <v>0.75757575757575757</v>
      </c>
      <c r="G165" s="2">
        <v>103.7</v>
      </c>
      <c r="H165" s="2">
        <v>96.5</v>
      </c>
      <c r="I165" s="2">
        <f t="shared" si="15"/>
        <v>7.2000000000000028</v>
      </c>
      <c r="J165" s="1">
        <f t="shared" si="16"/>
        <v>0.7325164044661483</v>
      </c>
      <c r="K165" s="2">
        <v>110</v>
      </c>
      <c r="L165" s="2">
        <v>102.3</v>
      </c>
      <c r="M165" s="2">
        <f t="shared" si="17"/>
        <v>7.7000000000000028</v>
      </c>
      <c r="N165" s="1">
        <f t="shared" si="18"/>
        <v>2.5059353109609273E-2</v>
      </c>
      <c r="O165" s="2">
        <v>104.3</v>
      </c>
      <c r="P165" s="2">
        <v>88.6</v>
      </c>
      <c r="Q165" s="2">
        <f t="shared" si="19"/>
        <v>15.700000000000003</v>
      </c>
      <c r="R165" s="2">
        <v>1.1000000000000001</v>
      </c>
      <c r="S165" s="2">
        <v>6</v>
      </c>
      <c r="T165" s="2">
        <f t="shared" si="20"/>
        <v>8</v>
      </c>
    </row>
    <row r="166" spans="1:20">
      <c r="A166" s="6">
        <v>450</v>
      </c>
      <c r="B166" t="s">
        <v>55</v>
      </c>
      <c r="C166" t="s">
        <v>7</v>
      </c>
      <c r="D166">
        <v>48</v>
      </c>
      <c r="E166">
        <v>34</v>
      </c>
      <c r="F166" s="1">
        <f t="shared" si="14"/>
        <v>0.58536585365853655</v>
      </c>
      <c r="G166" s="2">
        <v>103.4</v>
      </c>
      <c r="H166" s="2">
        <v>100.7</v>
      </c>
      <c r="I166" s="2">
        <f t="shared" si="15"/>
        <v>2.7000000000000028</v>
      </c>
      <c r="J166" s="1">
        <f t="shared" si="16"/>
        <v>0.59156246020875802</v>
      </c>
      <c r="K166" s="2">
        <v>106.4</v>
      </c>
      <c r="L166" s="2">
        <v>103.7</v>
      </c>
      <c r="M166" s="2">
        <f t="shared" si="17"/>
        <v>2.7000000000000028</v>
      </c>
      <c r="N166" s="1">
        <f t="shared" si="18"/>
        <v>-6.1966065502214729E-3</v>
      </c>
      <c r="O166" s="2">
        <v>106</v>
      </c>
      <c r="P166" s="2">
        <v>95.3</v>
      </c>
      <c r="Q166" s="2">
        <f t="shared" si="19"/>
        <v>10.700000000000003</v>
      </c>
      <c r="R166" s="2">
        <v>0.6</v>
      </c>
      <c r="S166" s="2">
        <v>5.5</v>
      </c>
      <c r="T166" s="2">
        <f t="shared" si="20"/>
        <v>8</v>
      </c>
    </row>
    <row r="167" spans="1:20">
      <c r="A167" s="6">
        <v>610</v>
      </c>
      <c r="B167" t="s">
        <v>61</v>
      </c>
      <c r="C167" t="s">
        <v>17</v>
      </c>
      <c r="D167">
        <v>42</v>
      </c>
      <c r="E167">
        <v>30</v>
      </c>
      <c r="F167" s="1">
        <f t="shared" si="14"/>
        <v>0.58333333333333337</v>
      </c>
      <c r="G167" s="2">
        <v>109.5</v>
      </c>
      <c r="H167" s="2">
        <v>106.8</v>
      </c>
      <c r="I167" s="2">
        <f t="shared" si="15"/>
        <v>2.7000000000000028</v>
      </c>
      <c r="J167" s="1">
        <f t="shared" si="16"/>
        <v>0.58650425971999209</v>
      </c>
      <c r="K167" s="2">
        <v>109.8</v>
      </c>
      <c r="L167" s="2">
        <v>106.8</v>
      </c>
      <c r="M167" s="2">
        <f t="shared" si="17"/>
        <v>3</v>
      </c>
      <c r="N167" s="1">
        <f t="shared" si="18"/>
        <v>-3.1709263866587234E-3</v>
      </c>
      <c r="O167" s="2">
        <v>110.5</v>
      </c>
      <c r="P167" s="2">
        <v>99.6</v>
      </c>
      <c r="Q167" s="2">
        <f t="shared" si="19"/>
        <v>10.900000000000006</v>
      </c>
      <c r="R167" s="2">
        <v>1.3</v>
      </c>
      <c r="S167" s="2">
        <v>4.7</v>
      </c>
      <c r="T167" s="2">
        <f t="shared" si="20"/>
        <v>7.9000000000000057</v>
      </c>
    </row>
    <row r="168" spans="1:20">
      <c r="A168" s="6">
        <v>130</v>
      </c>
      <c r="B168" t="s">
        <v>39</v>
      </c>
      <c r="C168" t="s">
        <v>35</v>
      </c>
      <c r="D168">
        <v>45</v>
      </c>
      <c r="E168">
        <v>37</v>
      </c>
      <c r="F168" s="1">
        <f t="shared" si="14"/>
        <v>0.54878048780487809</v>
      </c>
      <c r="G168" s="2">
        <v>93.4</v>
      </c>
      <c r="H168" s="2">
        <v>91.1</v>
      </c>
      <c r="I168" s="2">
        <f t="shared" si="15"/>
        <v>2.3000000000000114</v>
      </c>
      <c r="J168" s="1">
        <f t="shared" si="16"/>
        <v>0.58639193476175844</v>
      </c>
      <c r="K168" s="2">
        <v>104.2</v>
      </c>
      <c r="L168" s="2">
        <v>101.5</v>
      </c>
      <c r="M168" s="2">
        <f t="shared" si="17"/>
        <v>2.7000000000000028</v>
      </c>
      <c r="N168" s="1">
        <f t="shared" si="18"/>
        <v>-3.7611446956880346E-2</v>
      </c>
      <c r="O168" s="2">
        <v>103.9</v>
      </c>
      <c r="P168" s="2">
        <v>93.3</v>
      </c>
      <c r="Q168" s="2">
        <f t="shared" si="19"/>
        <v>10.600000000000009</v>
      </c>
      <c r="R168" s="2">
        <v>0</v>
      </c>
      <c r="S168" s="2">
        <v>0.2</v>
      </c>
      <c r="T168" s="2">
        <f t="shared" si="20"/>
        <v>7.9000000000000057</v>
      </c>
    </row>
    <row r="169" spans="1:20">
      <c r="A169" s="6">
        <v>144</v>
      </c>
      <c r="B169" t="s">
        <v>39</v>
      </c>
      <c r="C169" t="s">
        <v>30</v>
      </c>
      <c r="D169">
        <v>33</v>
      </c>
      <c r="E169">
        <v>49</v>
      </c>
      <c r="F169" s="1">
        <f t="shared" si="14"/>
        <v>0.40243902439024393</v>
      </c>
      <c r="G169" s="2">
        <v>99.7</v>
      </c>
      <c r="H169" s="2">
        <v>101.4</v>
      </c>
      <c r="I169" s="2">
        <f t="shared" si="15"/>
        <v>-1.7000000000000028</v>
      </c>
      <c r="J169" s="1">
        <f t="shared" si="16"/>
        <v>0.44109880691820486</v>
      </c>
      <c r="K169" s="2">
        <v>105.4</v>
      </c>
      <c r="L169" s="2">
        <v>107.2</v>
      </c>
      <c r="M169" s="2">
        <f t="shared" si="17"/>
        <v>-1.7999999999999972</v>
      </c>
      <c r="N169" s="1">
        <f t="shared" si="18"/>
        <v>-3.8659782527960929E-2</v>
      </c>
      <c r="O169" s="2">
        <v>110.7</v>
      </c>
      <c r="P169" s="2">
        <v>104.6</v>
      </c>
      <c r="Q169" s="2">
        <f t="shared" si="19"/>
        <v>6.1000000000000085</v>
      </c>
      <c r="R169" s="2">
        <v>2</v>
      </c>
      <c r="S169" s="2">
        <v>9.6999999999999993</v>
      </c>
      <c r="T169" s="2">
        <f t="shared" si="20"/>
        <v>7.9000000000000057</v>
      </c>
    </row>
    <row r="170" spans="1:20">
      <c r="A170" s="6">
        <v>522</v>
      </c>
      <c r="B170" t="s">
        <v>58</v>
      </c>
      <c r="C170" t="s">
        <v>18</v>
      </c>
      <c r="D170">
        <v>44</v>
      </c>
      <c r="E170">
        <v>38</v>
      </c>
      <c r="F170" s="1">
        <f t="shared" si="14"/>
        <v>0.53658536585365857</v>
      </c>
      <c r="G170" s="2">
        <v>103.4</v>
      </c>
      <c r="H170" s="2">
        <v>102.9</v>
      </c>
      <c r="I170" s="2">
        <f t="shared" si="15"/>
        <v>0.5</v>
      </c>
      <c r="J170" s="1">
        <f t="shared" si="16"/>
        <v>0.5169591093166388</v>
      </c>
      <c r="K170" s="2">
        <v>106.2</v>
      </c>
      <c r="L170" s="2">
        <v>105.8</v>
      </c>
      <c r="M170" s="2">
        <f t="shared" si="17"/>
        <v>0.40000000000000568</v>
      </c>
      <c r="N170" s="1">
        <f t="shared" si="18"/>
        <v>1.9626256537019771E-2</v>
      </c>
      <c r="O170" s="2">
        <v>108.7</v>
      </c>
      <c r="P170" s="2">
        <v>100.4</v>
      </c>
      <c r="Q170" s="2">
        <f t="shared" si="19"/>
        <v>8.2999999999999972</v>
      </c>
      <c r="R170" s="2">
        <v>0.7</v>
      </c>
      <c r="S170" s="2">
        <v>2.6</v>
      </c>
      <c r="T170" s="2">
        <f t="shared" si="20"/>
        <v>7.8999999999999915</v>
      </c>
    </row>
    <row r="171" spans="1:20">
      <c r="A171" s="6">
        <v>184</v>
      </c>
      <c r="B171" t="s">
        <v>43</v>
      </c>
      <c r="C171" t="s">
        <v>12</v>
      </c>
      <c r="D171">
        <v>53</v>
      </c>
      <c r="E171">
        <v>29</v>
      </c>
      <c r="F171" s="1">
        <f t="shared" si="14"/>
        <v>0.64634146341463417</v>
      </c>
      <c r="G171" s="2">
        <v>96</v>
      </c>
      <c r="H171" s="2">
        <v>91.8</v>
      </c>
      <c r="I171" s="2">
        <f t="shared" si="15"/>
        <v>4.2000000000000028</v>
      </c>
      <c r="J171" s="1">
        <f t="shared" si="16"/>
        <v>0.65165059639805156</v>
      </c>
      <c r="K171" s="2">
        <v>107.4</v>
      </c>
      <c r="L171" s="2">
        <v>102.6</v>
      </c>
      <c r="M171" s="2">
        <f t="shared" si="17"/>
        <v>4.8000000000000114</v>
      </c>
      <c r="N171" s="1">
        <f t="shared" si="18"/>
        <v>-5.3091329834173973E-3</v>
      </c>
      <c r="O171" s="2">
        <v>113.9</v>
      </c>
      <c r="P171" s="2">
        <v>101.2</v>
      </c>
      <c r="Q171" s="2">
        <f t="shared" si="19"/>
        <v>12.700000000000003</v>
      </c>
      <c r="R171" s="2">
        <v>1.5</v>
      </c>
      <c r="S171" s="2">
        <v>8</v>
      </c>
      <c r="T171" s="2">
        <f t="shared" si="20"/>
        <v>7.8999999999999915</v>
      </c>
    </row>
    <row r="172" spans="1:20">
      <c r="A172" s="6">
        <v>578</v>
      </c>
      <c r="B172" t="s">
        <v>60</v>
      </c>
      <c r="C172" t="s">
        <v>15</v>
      </c>
      <c r="D172">
        <v>45</v>
      </c>
      <c r="E172">
        <v>28</v>
      </c>
      <c r="F172" s="1">
        <f t="shared" si="14"/>
        <v>0.61643835616438358</v>
      </c>
      <c r="G172" s="2">
        <v>109.4</v>
      </c>
      <c r="H172" s="2">
        <v>107.5</v>
      </c>
      <c r="I172" s="2">
        <f t="shared" si="15"/>
        <v>1.9000000000000057</v>
      </c>
      <c r="J172" s="1">
        <f t="shared" si="16"/>
        <v>0.56101455538977274</v>
      </c>
      <c r="K172" s="2">
        <v>109.5</v>
      </c>
      <c r="L172" s="2">
        <v>107.5</v>
      </c>
      <c r="M172" s="2">
        <f t="shared" si="17"/>
        <v>2</v>
      </c>
      <c r="N172" s="1">
        <f t="shared" si="18"/>
        <v>5.5423800774610843E-2</v>
      </c>
      <c r="O172" s="2">
        <v>107</v>
      </c>
      <c r="P172" s="2">
        <v>97.2</v>
      </c>
      <c r="Q172" s="2">
        <f t="shared" si="19"/>
        <v>9.7999999999999972</v>
      </c>
      <c r="R172" s="2">
        <v>-0.8</v>
      </c>
      <c r="S172" s="2">
        <v>-1.4</v>
      </c>
      <c r="T172" s="2">
        <f t="shared" si="20"/>
        <v>7.7999999999999972</v>
      </c>
    </row>
    <row r="173" spans="1:20">
      <c r="A173" s="6">
        <v>544</v>
      </c>
      <c r="B173" t="s">
        <v>59</v>
      </c>
      <c r="C173" t="s">
        <v>11</v>
      </c>
      <c r="D173">
        <v>54</v>
      </c>
      <c r="E173">
        <v>28</v>
      </c>
      <c r="F173" s="1">
        <f t="shared" si="14"/>
        <v>0.65853658536585369</v>
      </c>
      <c r="G173" s="2">
        <v>110.7</v>
      </c>
      <c r="H173" s="2">
        <v>106.7</v>
      </c>
      <c r="I173" s="2">
        <f t="shared" si="15"/>
        <v>4</v>
      </c>
      <c r="J173" s="1">
        <f t="shared" si="16"/>
        <v>0.62603347117131569</v>
      </c>
      <c r="K173" s="2">
        <v>112.1</v>
      </c>
      <c r="L173" s="2">
        <v>108.1</v>
      </c>
      <c r="M173" s="2">
        <f t="shared" si="17"/>
        <v>4</v>
      </c>
      <c r="N173" s="1">
        <f t="shared" si="18"/>
        <v>3.2503114194537996E-2</v>
      </c>
      <c r="O173" s="2">
        <v>106.7</v>
      </c>
      <c r="P173" s="2">
        <v>94.9</v>
      </c>
      <c r="Q173" s="2">
        <f t="shared" si="19"/>
        <v>11.799999999999997</v>
      </c>
      <c r="R173" s="2">
        <v>1.6</v>
      </c>
      <c r="S173" s="2">
        <v>5.0999999999999996</v>
      </c>
      <c r="T173" s="2">
        <f t="shared" si="20"/>
        <v>7.7999999999999972</v>
      </c>
    </row>
    <row r="174" spans="1:20">
      <c r="A174" s="6">
        <v>615</v>
      </c>
      <c r="B174" t="s">
        <v>61</v>
      </c>
      <c r="C174" t="s">
        <v>53</v>
      </c>
      <c r="D174">
        <v>31</v>
      </c>
      <c r="E174">
        <v>41</v>
      </c>
      <c r="F174" s="1">
        <f t="shared" si="14"/>
        <v>0.43055555555555558</v>
      </c>
      <c r="G174" s="2">
        <v>114.6</v>
      </c>
      <c r="H174" s="2">
        <v>114.9</v>
      </c>
      <c r="I174" s="2">
        <f t="shared" si="15"/>
        <v>-0.30000000000001137</v>
      </c>
      <c r="J174" s="1">
        <f t="shared" si="16"/>
        <v>0.49085068937961135</v>
      </c>
      <c r="K174" s="2">
        <v>113</v>
      </c>
      <c r="L174" s="2">
        <v>113.3</v>
      </c>
      <c r="M174" s="2">
        <f t="shared" si="17"/>
        <v>-0.29999999999999716</v>
      </c>
      <c r="N174" s="1">
        <f t="shared" si="18"/>
        <v>-6.0295133824055769E-2</v>
      </c>
      <c r="O174" s="2">
        <v>109</v>
      </c>
      <c r="P174" s="2">
        <v>101.5</v>
      </c>
      <c r="Q174" s="2">
        <f t="shared" si="19"/>
        <v>7.5</v>
      </c>
      <c r="R174" s="2">
        <v>0.5</v>
      </c>
      <c r="S174" s="2">
        <v>2.1</v>
      </c>
      <c r="T174" s="2">
        <f t="shared" si="20"/>
        <v>7.7999999999999972</v>
      </c>
    </row>
    <row r="175" spans="1:20">
      <c r="A175" s="6">
        <v>7</v>
      </c>
      <c r="B175" t="s">
        <v>4</v>
      </c>
      <c r="C175" t="s">
        <v>11</v>
      </c>
      <c r="D175">
        <v>40</v>
      </c>
      <c r="E175">
        <v>42</v>
      </c>
      <c r="F175" s="1">
        <f t="shared" si="14"/>
        <v>0.48780487804878048</v>
      </c>
      <c r="G175" s="2">
        <v>96.6</v>
      </c>
      <c r="H175" s="2">
        <v>99</v>
      </c>
      <c r="I175" s="2">
        <f t="shared" si="15"/>
        <v>-2.4000000000000057</v>
      </c>
      <c r="J175" s="1">
        <f t="shared" si="16"/>
        <v>0.41494120163391823</v>
      </c>
      <c r="K175" s="2">
        <v>102.2</v>
      </c>
      <c r="L175" s="2">
        <v>104.9</v>
      </c>
      <c r="M175" s="2">
        <f t="shared" si="17"/>
        <v>-2.7000000000000028</v>
      </c>
      <c r="N175" s="1">
        <f t="shared" si="18"/>
        <v>7.2863676414862244E-2</v>
      </c>
      <c r="O175" s="2">
        <v>100.5</v>
      </c>
      <c r="P175" s="2">
        <v>95.5</v>
      </c>
      <c r="Q175" s="2">
        <f t="shared" si="19"/>
        <v>5</v>
      </c>
      <c r="R175" s="2">
        <v>0.1</v>
      </c>
      <c r="S175" s="2">
        <v>0.3</v>
      </c>
      <c r="T175" s="2">
        <f t="shared" si="20"/>
        <v>7.7000000000000028</v>
      </c>
    </row>
    <row r="176" spans="1:20">
      <c r="A176" s="6">
        <v>196</v>
      </c>
      <c r="B176" t="s">
        <v>43</v>
      </c>
      <c r="C176" t="s">
        <v>22</v>
      </c>
      <c r="D176">
        <v>33</v>
      </c>
      <c r="E176">
        <v>49</v>
      </c>
      <c r="F176" s="1">
        <f t="shared" si="14"/>
        <v>0.40243902439024393</v>
      </c>
      <c r="G176" s="2">
        <v>97.5</v>
      </c>
      <c r="H176" s="2">
        <v>100.3</v>
      </c>
      <c r="I176" s="2">
        <f t="shared" si="15"/>
        <v>-2.7999999999999972</v>
      </c>
      <c r="J176" s="1">
        <f t="shared" si="16"/>
        <v>0.40218084588560077</v>
      </c>
      <c r="K176" s="2">
        <v>104.3</v>
      </c>
      <c r="L176" s="2">
        <v>107.4</v>
      </c>
      <c r="M176" s="2">
        <f t="shared" si="17"/>
        <v>-3.1000000000000085</v>
      </c>
      <c r="N176" s="1">
        <f t="shared" si="18"/>
        <v>2.5817850464315839E-4</v>
      </c>
      <c r="O176" s="2">
        <v>107.4</v>
      </c>
      <c r="P176" s="2">
        <v>102.9</v>
      </c>
      <c r="Q176" s="2">
        <f t="shared" si="19"/>
        <v>4.5</v>
      </c>
      <c r="R176" s="2">
        <v>-0.2</v>
      </c>
      <c r="S176" s="2">
        <v>-1.3</v>
      </c>
      <c r="T176" s="2">
        <f t="shared" si="20"/>
        <v>7.6000000000000085</v>
      </c>
    </row>
    <row r="177" spans="1:20">
      <c r="A177" s="6">
        <v>45</v>
      </c>
      <c r="B177" t="s">
        <v>34</v>
      </c>
      <c r="C177" t="s">
        <v>19</v>
      </c>
      <c r="D177">
        <v>41</v>
      </c>
      <c r="E177">
        <v>41</v>
      </c>
      <c r="F177" s="1">
        <f t="shared" si="14"/>
        <v>0.5</v>
      </c>
      <c r="G177" s="2">
        <v>97.5</v>
      </c>
      <c r="H177" s="2">
        <v>97.7</v>
      </c>
      <c r="I177" s="2">
        <f t="shared" si="15"/>
        <v>-0.20000000000000284</v>
      </c>
      <c r="J177" s="1">
        <f t="shared" si="16"/>
        <v>0.49282835821021359</v>
      </c>
      <c r="K177" s="2">
        <v>105.3</v>
      </c>
      <c r="L177" s="2">
        <v>105.6</v>
      </c>
      <c r="M177" s="2">
        <f t="shared" si="17"/>
        <v>-0.29999999999999716</v>
      </c>
      <c r="N177" s="1">
        <f t="shared" si="18"/>
        <v>7.1716417897864093E-3</v>
      </c>
      <c r="O177" s="2">
        <v>107.5</v>
      </c>
      <c r="P177" s="2">
        <v>100.2</v>
      </c>
      <c r="Q177" s="2">
        <f t="shared" si="19"/>
        <v>7.2999999999999972</v>
      </c>
      <c r="R177" s="2">
        <v>0.4</v>
      </c>
      <c r="S177" s="2">
        <v>3.5</v>
      </c>
      <c r="T177" s="2">
        <f t="shared" si="20"/>
        <v>7.5999999999999943</v>
      </c>
    </row>
    <row r="178" spans="1:20">
      <c r="A178" s="6">
        <v>473</v>
      </c>
      <c r="B178" t="s">
        <v>55</v>
      </c>
      <c r="C178" t="s">
        <v>28</v>
      </c>
      <c r="D178">
        <v>67</v>
      </c>
      <c r="E178">
        <v>15</v>
      </c>
      <c r="F178" s="1">
        <f t="shared" si="14"/>
        <v>0.81707317073170727</v>
      </c>
      <c r="G178" s="2">
        <v>103.5</v>
      </c>
      <c r="H178" s="2">
        <v>92.9</v>
      </c>
      <c r="I178" s="2">
        <f t="shared" si="15"/>
        <v>10.599999999999994</v>
      </c>
      <c r="J178" s="1">
        <f t="shared" si="16"/>
        <v>0.81945679097395319</v>
      </c>
      <c r="K178" s="2">
        <v>109.3</v>
      </c>
      <c r="L178" s="2">
        <v>98.2</v>
      </c>
      <c r="M178" s="2">
        <f t="shared" si="17"/>
        <v>11.099999999999994</v>
      </c>
      <c r="N178" s="1">
        <f t="shared" si="18"/>
        <v>-2.3836202422459207E-3</v>
      </c>
      <c r="O178" s="2">
        <v>111.1</v>
      </c>
      <c r="P178" s="2">
        <v>92.4</v>
      </c>
      <c r="Q178" s="2">
        <f t="shared" si="19"/>
        <v>18.699999999999989</v>
      </c>
      <c r="R178" s="2">
        <v>2</v>
      </c>
      <c r="S178" s="2">
        <v>10.7</v>
      </c>
      <c r="T178" s="2">
        <f t="shared" si="20"/>
        <v>7.5999999999999943</v>
      </c>
    </row>
    <row r="179" spans="1:20">
      <c r="A179" s="6">
        <v>478</v>
      </c>
      <c r="B179" t="s">
        <v>57</v>
      </c>
      <c r="C179" t="s">
        <v>6</v>
      </c>
      <c r="D179">
        <v>53</v>
      </c>
      <c r="E179">
        <v>29</v>
      </c>
      <c r="F179" s="1">
        <f t="shared" si="14"/>
        <v>0.64634146341463417</v>
      </c>
      <c r="G179" s="2">
        <v>108</v>
      </c>
      <c r="H179" s="2">
        <v>105.4</v>
      </c>
      <c r="I179" s="2">
        <f t="shared" si="15"/>
        <v>2.5999999999999943</v>
      </c>
      <c r="J179" s="1">
        <f t="shared" si="16"/>
        <v>0.58447233985908875</v>
      </c>
      <c r="K179" s="2">
        <v>110.6</v>
      </c>
      <c r="L179" s="2">
        <v>108</v>
      </c>
      <c r="M179" s="2">
        <f t="shared" si="17"/>
        <v>2.5999999999999943</v>
      </c>
      <c r="N179" s="1">
        <f t="shared" si="18"/>
        <v>6.1869123555545413E-2</v>
      </c>
      <c r="O179" s="2">
        <v>117.9</v>
      </c>
      <c r="P179" s="2">
        <v>107.8</v>
      </c>
      <c r="Q179" s="2">
        <f t="shared" si="19"/>
        <v>10.100000000000009</v>
      </c>
      <c r="R179" s="2">
        <v>0.7</v>
      </c>
      <c r="S179" s="2">
        <v>3.9</v>
      </c>
      <c r="T179" s="2">
        <f t="shared" si="20"/>
        <v>7.5000000000000142</v>
      </c>
    </row>
    <row r="180" spans="1:20">
      <c r="A180" s="6">
        <v>100</v>
      </c>
      <c r="B180" t="s">
        <v>38</v>
      </c>
      <c r="C180" t="s">
        <v>35</v>
      </c>
      <c r="D180">
        <v>50</v>
      </c>
      <c r="E180">
        <v>32</v>
      </c>
      <c r="F180" s="1">
        <f t="shared" si="14"/>
        <v>0.6097560975609756</v>
      </c>
      <c r="G180" s="2">
        <v>96.7</v>
      </c>
      <c r="H180" s="2">
        <v>94.3</v>
      </c>
      <c r="I180" s="2">
        <f t="shared" si="15"/>
        <v>2.4000000000000057</v>
      </c>
      <c r="J180" s="1">
        <f t="shared" si="16"/>
        <v>0.58706636453816929</v>
      </c>
      <c r="K180" s="2">
        <v>103.4</v>
      </c>
      <c r="L180" s="2">
        <v>100.8</v>
      </c>
      <c r="M180" s="2">
        <f t="shared" si="17"/>
        <v>2.6000000000000085</v>
      </c>
      <c r="N180" s="1">
        <f t="shared" si="18"/>
        <v>2.2689733022806302E-2</v>
      </c>
      <c r="O180" s="2">
        <v>105.6</v>
      </c>
      <c r="P180" s="2">
        <v>95.5</v>
      </c>
      <c r="Q180" s="2">
        <f t="shared" si="19"/>
        <v>10.099999999999994</v>
      </c>
      <c r="R180" s="2">
        <v>2</v>
      </c>
      <c r="S180" s="2">
        <v>10.8</v>
      </c>
      <c r="T180" s="2">
        <f t="shared" si="20"/>
        <v>7.4999999999999858</v>
      </c>
    </row>
    <row r="181" spans="1:20">
      <c r="A181" s="6">
        <v>675</v>
      </c>
      <c r="B181" t="s">
        <v>63</v>
      </c>
      <c r="C181" t="s">
        <v>53</v>
      </c>
      <c r="D181">
        <v>42</v>
      </c>
      <c r="E181">
        <v>40</v>
      </c>
      <c r="F181" s="1">
        <f t="shared" si="14"/>
        <v>0.51219512195121952</v>
      </c>
      <c r="G181" s="2">
        <v>114.4</v>
      </c>
      <c r="H181" s="2">
        <v>112.5</v>
      </c>
      <c r="I181" s="2">
        <f t="shared" si="15"/>
        <v>1.9000000000000057</v>
      </c>
      <c r="J181" s="1">
        <f t="shared" si="16"/>
        <v>0.55835042155864323</v>
      </c>
      <c r="K181" s="2">
        <v>113.8</v>
      </c>
      <c r="L181" s="2">
        <v>112</v>
      </c>
      <c r="M181" s="2">
        <f t="shared" si="17"/>
        <v>1.7999999999999972</v>
      </c>
      <c r="N181" s="1">
        <f t="shared" si="18"/>
        <v>-4.6155299607423705E-2</v>
      </c>
      <c r="O181" s="2">
        <v>113.1</v>
      </c>
      <c r="P181" s="2">
        <v>104</v>
      </c>
      <c r="Q181" s="2">
        <f t="shared" si="19"/>
        <v>9.0999999999999943</v>
      </c>
      <c r="R181" s="2">
        <v>0.4</v>
      </c>
      <c r="S181" s="2">
        <v>2.6</v>
      </c>
      <c r="T181" s="2">
        <f t="shared" si="20"/>
        <v>7.2999999999999972</v>
      </c>
    </row>
    <row r="182" spans="1:20">
      <c r="A182" s="6">
        <v>53</v>
      </c>
      <c r="B182" t="s">
        <v>34</v>
      </c>
      <c r="C182" t="s">
        <v>27</v>
      </c>
      <c r="D182">
        <v>61</v>
      </c>
      <c r="E182">
        <v>21</v>
      </c>
      <c r="F182" s="1">
        <f t="shared" si="14"/>
        <v>0.74390243902439024</v>
      </c>
      <c r="G182" s="2">
        <v>104.6</v>
      </c>
      <c r="H182" s="2">
        <v>97</v>
      </c>
      <c r="I182" s="2">
        <f t="shared" si="15"/>
        <v>7.5999999999999943</v>
      </c>
      <c r="J182" s="1">
        <f t="shared" si="16"/>
        <v>0.74193612519657792</v>
      </c>
      <c r="K182" s="2">
        <v>107.9</v>
      </c>
      <c r="L182" s="2">
        <v>99.7</v>
      </c>
      <c r="M182" s="2">
        <f t="shared" si="17"/>
        <v>8.2000000000000028</v>
      </c>
      <c r="N182" s="1">
        <f t="shared" si="18"/>
        <v>1.966313827812316E-3</v>
      </c>
      <c r="O182" s="2">
        <v>105</v>
      </c>
      <c r="P182" s="2">
        <v>89.6</v>
      </c>
      <c r="Q182" s="2">
        <f t="shared" si="19"/>
        <v>15.400000000000006</v>
      </c>
      <c r="R182" s="2">
        <v>0.8</v>
      </c>
      <c r="S182" s="2">
        <v>3.7</v>
      </c>
      <c r="T182" s="2">
        <f t="shared" si="20"/>
        <v>7.2000000000000028</v>
      </c>
    </row>
    <row r="183" spans="1:20">
      <c r="A183" s="6">
        <v>738</v>
      </c>
      <c r="B183" t="s">
        <v>65</v>
      </c>
      <c r="C183" t="s">
        <v>23</v>
      </c>
      <c r="D183">
        <v>41</v>
      </c>
      <c r="E183">
        <v>41</v>
      </c>
      <c r="F183" s="1">
        <f t="shared" si="14"/>
        <v>0.5</v>
      </c>
      <c r="G183" s="2">
        <v>105.4</v>
      </c>
      <c r="H183" s="2">
        <v>105.5</v>
      </c>
      <c r="I183" s="2">
        <f t="shared" si="15"/>
        <v>-9.9999999999994316E-2</v>
      </c>
      <c r="J183" s="1">
        <f t="shared" si="16"/>
        <v>0.4966809399213436</v>
      </c>
      <c r="K183" s="2">
        <v>108.9</v>
      </c>
      <c r="L183" s="2">
        <v>109.1</v>
      </c>
      <c r="M183" s="2">
        <f t="shared" si="17"/>
        <v>-0.19999999999998863</v>
      </c>
      <c r="N183" s="1">
        <f t="shared" si="18"/>
        <v>3.3190600786563995E-3</v>
      </c>
      <c r="O183" s="2">
        <v>104.5</v>
      </c>
      <c r="P183" s="2">
        <v>97.5</v>
      </c>
      <c r="Q183" s="2">
        <f t="shared" si="19"/>
        <v>7</v>
      </c>
      <c r="R183" s="2">
        <v>0.8</v>
      </c>
      <c r="S183" s="2">
        <v>3.3</v>
      </c>
      <c r="T183" s="2">
        <f t="shared" si="20"/>
        <v>7.1999999999999886</v>
      </c>
    </row>
    <row r="184" spans="1:20">
      <c r="A184" s="6">
        <v>368</v>
      </c>
      <c r="B184" t="s">
        <v>50</v>
      </c>
      <c r="C184" t="s">
        <v>15</v>
      </c>
      <c r="D184">
        <v>49</v>
      </c>
      <c r="E184">
        <v>32</v>
      </c>
      <c r="F184" s="1">
        <f t="shared" si="14"/>
        <v>0.60493827160493829</v>
      </c>
      <c r="G184" s="2">
        <v>94.7</v>
      </c>
      <c r="H184" s="2">
        <v>90.7</v>
      </c>
      <c r="I184" s="2">
        <f t="shared" si="15"/>
        <v>4</v>
      </c>
      <c r="J184" s="1">
        <f t="shared" si="16"/>
        <v>0.64661501230862617</v>
      </c>
      <c r="K184" s="2">
        <v>103.4</v>
      </c>
      <c r="L184" s="2">
        <v>99</v>
      </c>
      <c r="M184" s="2">
        <f t="shared" si="17"/>
        <v>4.4000000000000057</v>
      </c>
      <c r="N184" s="1">
        <f t="shared" si="18"/>
        <v>-4.1676740703687876E-2</v>
      </c>
      <c r="O184" s="2">
        <v>97.6</v>
      </c>
      <c r="P184" s="2">
        <v>86</v>
      </c>
      <c r="Q184" s="2">
        <f t="shared" si="19"/>
        <v>11.599999999999994</v>
      </c>
      <c r="R184" s="2">
        <v>0.2</v>
      </c>
      <c r="S184" s="2">
        <v>3.1</v>
      </c>
      <c r="T184" s="2">
        <f t="shared" si="20"/>
        <v>7.1999999999999886</v>
      </c>
    </row>
    <row r="185" spans="1:20">
      <c r="A185" s="6">
        <v>366</v>
      </c>
      <c r="B185" t="s">
        <v>50</v>
      </c>
      <c r="C185" t="s">
        <v>13</v>
      </c>
      <c r="D185">
        <v>47</v>
      </c>
      <c r="E185">
        <v>35</v>
      </c>
      <c r="F185" s="1">
        <f t="shared" si="14"/>
        <v>0.57317073170731703</v>
      </c>
      <c r="G185" s="2">
        <v>101.2</v>
      </c>
      <c r="H185" s="2">
        <v>100.3</v>
      </c>
      <c r="I185" s="2">
        <f t="shared" si="15"/>
        <v>0.90000000000000568</v>
      </c>
      <c r="J185" s="1">
        <f t="shared" si="16"/>
        <v>0.53122502870875743</v>
      </c>
      <c r="K185" s="2">
        <v>105.1</v>
      </c>
      <c r="L185" s="2">
        <v>104.2</v>
      </c>
      <c r="M185" s="2">
        <f t="shared" si="17"/>
        <v>0.89999999999999147</v>
      </c>
      <c r="N185" s="1">
        <f t="shared" si="18"/>
        <v>4.1945702998559597E-2</v>
      </c>
      <c r="O185" s="2">
        <v>101.8</v>
      </c>
      <c r="P185" s="2">
        <v>93.8</v>
      </c>
      <c r="Q185" s="2">
        <f t="shared" si="19"/>
        <v>8</v>
      </c>
      <c r="R185" s="2">
        <v>0.8</v>
      </c>
      <c r="S185" s="2">
        <v>4.4000000000000004</v>
      </c>
      <c r="T185" s="2">
        <f t="shared" si="20"/>
        <v>7.1000000000000085</v>
      </c>
    </row>
    <row r="186" spans="1:20">
      <c r="A186" s="6">
        <v>591</v>
      </c>
      <c r="B186" t="s">
        <v>60</v>
      </c>
      <c r="C186" t="s">
        <v>26</v>
      </c>
      <c r="D186">
        <v>35</v>
      </c>
      <c r="E186">
        <v>39</v>
      </c>
      <c r="F186" s="1">
        <f t="shared" si="14"/>
        <v>0.47297297297297297</v>
      </c>
      <c r="G186" s="2">
        <v>115</v>
      </c>
      <c r="H186" s="2">
        <v>116.1</v>
      </c>
      <c r="I186" s="2">
        <f t="shared" si="15"/>
        <v>-1.0999999999999943</v>
      </c>
      <c r="J186" s="1">
        <f t="shared" si="16"/>
        <v>0.46673007111560078</v>
      </c>
      <c r="K186" s="2">
        <v>113.2</v>
      </c>
      <c r="L186" s="2">
        <v>114.3</v>
      </c>
      <c r="M186" s="2">
        <f t="shared" si="17"/>
        <v>-1.0999999999999943</v>
      </c>
      <c r="N186" s="1">
        <f t="shared" si="18"/>
        <v>6.2429018573721962E-3</v>
      </c>
      <c r="O186" s="2">
        <v>117.2</v>
      </c>
      <c r="P186" s="2">
        <v>111.2</v>
      </c>
      <c r="Q186" s="2">
        <f t="shared" si="19"/>
        <v>6</v>
      </c>
      <c r="R186" s="2">
        <v>1</v>
      </c>
      <c r="S186" s="2">
        <v>3.6</v>
      </c>
      <c r="T186" s="2">
        <f t="shared" si="20"/>
        <v>7.0999999999999943</v>
      </c>
    </row>
    <row r="187" spans="1:20">
      <c r="A187" s="6">
        <v>400</v>
      </c>
      <c r="B187" t="s">
        <v>52</v>
      </c>
      <c r="C187" t="s">
        <v>17</v>
      </c>
      <c r="D187">
        <v>27</v>
      </c>
      <c r="E187">
        <v>55</v>
      </c>
      <c r="F187" s="1">
        <f t="shared" si="14"/>
        <v>0.32926829268292684</v>
      </c>
      <c r="G187" s="2">
        <v>103</v>
      </c>
      <c r="H187" s="2">
        <v>109.2</v>
      </c>
      <c r="I187" s="2">
        <f t="shared" si="15"/>
        <v>-6.2000000000000028</v>
      </c>
      <c r="J187" s="1">
        <f t="shared" si="16"/>
        <v>0.30611847103175666</v>
      </c>
      <c r="K187" s="2">
        <v>103.2</v>
      </c>
      <c r="L187" s="2">
        <v>109.3</v>
      </c>
      <c r="M187" s="2">
        <f t="shared" si="17"/>
        <v>-6.0999999999999943</v>
      </c>
      <c r="N187" s="1">
        <f t="shared" si="18"/>
        <v>2.3149821651170188E-2</v>
      </c>
      <c r="O187" s="2">
        <v>100.8</v>
      </c>
      <c r="P187" s="2">
        <v>100</v>
      </c>
      <c r="Q187" s="2">
        <f t="shared" si="19"/>
        <v>0.79999999999999716</v>
      </c>
      <c r="R187" s="2">
        <v>0.5</v>
      </c>
      <c r="S187" s="2">
        <v>2.1</v>
      </c>
      <c r="T187" s="2">
        <f t="shared" si="20"/>
        <v>6.8999999999999915</v>
      </c>
    </row>
    <row r="188" spans="1:20">
      <c r="A188" s="6">
        <v>65</v>
      </c>
      <c r="B188" t="s">
        <v>36</v>
      </c>
      <c r="C188" t="s">
        <v>12</v>
      </c>
      <c r="D188">
        <v>50</v>
      </c>
      <c r="E188">
        <v>32</v>
      </c>
      <c r="F188" s="1">
        <f t="shared" si="14"/>
        <v>0.6097560975609756</v>
      </c>
      <c r="G188" s="2">
        <v>91.4</v>
      </c>
      <c r="H188" s="2">
        <v>87.7</v>
      </c>
      <c r="I188" s="2">
        <f t="shared" si="15"/>
        <v>3.7000000000000028</v>
      </c>
      <c r="J188" s="1">
        <f t="shared" si="16"/>
        <v>0.64072911392339904</v>
      </c>
      <c r="K188" s="2">
        <v>102.4</v>
      </c>
      <c r="L188" s="2">
        <v>98.2</v>
      </c>
      <c r="M188" s="2">
        <f t="shared" si="17"/>
        <v>4.2000000000000028</v>
      </c>
      <c r="N188" s="1">
        <f t="shared" si="18"/>
        <v>-3.0973016362423444E-2</v>
      </c>
      <c r="O188" s="2">
        <v>103.1</v>
      </c>
      <c r="P188" s="2">
        <v>92</v>
      </c>
      <c r="Q188" s="2">
        <f t="shared" si="19"/>
        <v>11.099999999999994</v>
      </c>
      <c r="R188" s="2">
        <v>1.6</v>
      </c>
      <c r="S188" s="2">
        <v>6.6</v>
      </c>
      <c r="T188" s="2">
        <f t="shared" si="20"/>
        <v>6.8999999999999915</v>
      </c>
    </row>
    <row r="189" spans="1:20">
      <c r="A189" s="6">
        <v>652</v>
      </c>
      <c r="B189" t="s">
        <v>62</v>
      </c>
      <c r="C189" t="s">
        <v>27</v>
      </c>
      <c r="D189">
        <v>30</v>
      </c>
      <c r="E189">
        <v>52</v>
      </c>
      <c r="F189" s="1">
        <f t="shared" si="14"/>
        <v>0.36585365853658536</v>
      </c>
      <c r="G189" s="2">
        <v>110.3</v>
      </c>
      <c r="H189" s="2">
        <v>115.8</v>
      </c>
      <c r="I189" s="2">
        <f t="shared" si="15"/>
        <v>-5.5</v>
      </c>
      <c r="J189" s="1">
        <f t="shared" si="16"/>
        <v>0.33598260819490139</v>
      </c>
      <c r="K189" s="2">
        <v>109.6</v>
      </c>
      <c r="L189" s="2">
        <v>114.8</v>
      </c>
      <c r="M189" s="2">
        <f t="shared" si="17"/>
        <v>-5.2000000000000028</v>
      </c>
      <c r="N189" s="1">
        <f t="shared" si="18"/>
        <v>2.9871050341683969E-2</v>
      </c>
      <c r="O189" s="2">
        <v>110.6</v>
      </c>
      <c r="P189" s="2">
        <v>109.2</v>
      </c>
      <c r="Q189" s="2">
        <f t="shared" si="19"/>
        <v>1.3999999999999915</v>
      </c>
      <c r="R189" s="2">
        <v>-1.3</v>
      </c>
      <c r="S189" s="2">
        <v>-5.6</v>
      </c>
      <c r="T189" s="2">
        <f t="shared" si="20"/>
        <v>6.5999999999999943</v>
      </c>
    </row>
    <row r="190" spans="1:20">
      <c r="A190" s="6">
        <v>181</v>
      </c>
      <c r="B190" t="s">
        <v>43</v>
      </c>
      <c r="C190" t="s">
        <v>9</v>
      </c>
      <c r="D190">
        <v>50</v>
      </c>
      <c r="E190">
        <v>32</v>
      </c>
      <c r="F190" s="1">
        <f t="shared" si="14"/>
        <v>0.6097560975609756</v>
      </c>
      <c r="G190" s="2">
        <v>96.8</v>
      </c>
      <c r="H190" s="2">
        <v>92.9</v>
      </c>
      <c r="I190" s="2">
        <f t="shared" si="15"/>
        <v>3.8999999999999915</v>
      </c>
      <c r="J190" s="1">
        <f t="shared" si="16"/>
        <v>0.64008356957082357</v>
      </c>
      <c r="K190" s="2">
        <v>104.4</v>
      </c>
      <c r="L190" s="2">
        <v>100.6</v>
      </c>
      <c r="M190" s="2">
        <f t="shared" si="17"/>
        <v>3.8000000000000114</v>
      </c>
      <c r="N190" s="1">
        <f t="shared" si="18"/>
        <v>-3.0327472009847978E-2</v>
      </c>
      <c r="O190" s="2">
        <v>105.4</v>
      </c>
      <c r="P190" s="2">
        <v>95.1</v>
      </c>
      <c r="Q190" s="2">
        <f t="shared" si="19"/>
        <v>10.300000000000011</v>
      </c>
      <c r="R190" s="2">
        <v>1.4</v>
      </c>
      <c r="S190" s="2">
        <v>5.8</v>
      </c>
      <c r="T190" s="2">
        <f t="shared" si="20"/>
        <v>6.5</v>
      </c>
    </row>
    <row r="191" spans="1:20">
      <c r="A191" s="6">
        <v>160</v>
      </c>
      <c r="B191" t="s">
        <v>41</v>
      </c>
      <c r="C191" t="s">
        <v>35</v>
      </c>
      <c r="D191">
        <v>49</v>
      </c>
      <c r="E191">
        <v>33</v>
      </c>
      <c r="F191" s="1">
        <f t="shared" si="14"/>
        <v>0.59756097560975607</v>
      </c>
      <c r="G191" s="2">
        <v>92.2</v>
      </c>
      <c r="H191" s="2">
        <v>88.5</v>
      </c>
      <c r="I191" s="2">
        <f t="shared" si="15"/>
        <v>3.7000000000000028</v>
      </c>
      <c r="J191" s="1">
        <f t="shared" si="16"/>
        <v>0.63954874282349128</v>
      </c>
      <c r="K191" s="2">
        <v>104.5</v>
      </c>
      <c r="L191" s="2">
        <v>100.4</v>
      </c>
      <c r="M191" s="2">
        <f t="shared" si="17"/>
        <v>4.0999999999999943</v>
      </c>
      <c r="N191" s="1">
        <f t="shared" si="18"/>
        <v>-4.1987767213735205E-2</v>
      </c>
      <c r="O191" s="2">
        <v>106.3</v>
      </c>
      <c r="P191" s="2">
        <v>95.7</v>
      </c>
      <c r="Q191" s="2">
        <f t="shared" si="19"/>
        <v>10.599999999999994</v>
      </c>
      <c r="R191" s="2">
        <v>-0.3</v>
      </c>
      <c r="S191" s="2">
        <v>-3</v>
      </c>
      <c r="T191" s="2">
        <f t="shared" si="20"/>
        <v>6.5</v>
      </c>
    </row>
    <row r="192" spans="1:20">
      <c r="A192" s="6">
        <v>364</v>
      </c>
      <c r="B192" t="s">
        <v>50</v>
      </c>
      <c r="C192" t="s">
        <v>11</v>
      </c>
      <c r="D192">
        <v>57</v>
      </c>
      <c r="E192">
        <v>25</v>
      </c>
      <c r="F192" s="1">
        <f t="shared" si="14"/>
        <v>0.69512195121951215</v>
      </c>
      <c r="G192" s="2">
        <v>106.1</v>
      </c>
      <c r="H192" s="2">
        <v>101.1</v>
      </c>
      <c r="I192" s="2">
        <f t="shared" si="15"/>
        <v>5</v>
      </c>
      <c r="J192" s="1">
        <f t="shared" si="16"/>
        <v>0.66280219358548198</v>
      </c>
      <c r="K192" s="2">
        <v>109.3</v>
      </c>
      <c r="L192" s="2">
        <v>104.2</v>
      </c>
      <c r="M192" s="2">
        <f t="shared" si="17"/>
        <v>5.0999999999999943</v>
      </c>
      <c r="N192" s="1">
        <f t="shared" si="18"/>
        <v>3.2319757634030166E-2</v>
      </c>
      <c r="O192" s="2">
        <v>107.2</v>
      </c>
      <c r="P192" s="2">
        <v>95.7</v>
      </c>
      <c r="Q192" s="2">
        <f t="shared" si="19"/>
        <v>11.5</v>
      </c>
      <c r="R192" s="2">
        <v>1.4</v>
      </c>
      <c r="S192" s="2">
        <v>7.6</v>
      </c>
      <c r="T192" s="2">
        <f t="shared" si="20"/>
        <v>6.4000000000000057</v>
      </c>
    </row>
    <row r="193" spans="1:20">
      <c r="A193" s="6">
        <v>336</v>
      </c>
      <c r="B193" t="s">
        <v>49</v>
      </c>
      <c r="C193" t="s">
        <v>14</v>
      </c>
      <c r="D193">
        <v>34</v>
      </c>
      <c r="E193">
        <v>32</v>
      </c>
      <c r="F193" s="1">
        <f t="shared" si="14"/>
        <v>0.51515151515151514</v>
      </c>
      <c r="G193" s="2">
        <v>98.1</v>
      </c>
      <c r="H193" s="2">
        <v>97.9</v>
      </c>
      <c r="I193" s="2">
        <f t="shared" si="15"/>
        <v>0.19999999999998863</v>
      </c>
      <c r="J193" s="1">
        <f t="shared" si="16"/>
        <v>0.5071423737524916</v>
      </c>
      <c r="K193" s="2">
        <v>104.2</v>
      </c>
      <c r="L193" s="2">
        <v>104</v>
      </c>
      <c r="M193" s="2">
        <f t="shared" si="17"/>
        <v>0.20000000000000284</v>
      </c>
      <c r="N193" s="1">
        <f t="shared" si="18"/>
        <v>8.0091413990235338E-3</v>
      </c>
      <c r="O193" s="2">
        <v>104.5</v>
      </c>
      <c r="P193" s="2">
        <v>97.9</v>
      </c>
      <c r="Q193" s="2">
        <f t="shared" si="19"/>
        <v>6.5999999999999943</v>
      </c>
      <c r="R193" s="2">
        <v>-0.5</v>
      </c>
      <c r="S193" s="2">
        <v>-2.7</v>
      </c>
      <c r="T193" s="2">
        <f t="shared" si="20"/>
        <v>6.3999999999999915</v>
      </c>
    </row>
    <row r="194" spans="1:20">
      <c r="A194" s="6">
        <v>195</v>
      </c>
      <c r="B194" t="s">
        <v>43</v>
      </c>
      <c r="C194" t="s">
        <v>42</v>
      </c>
      <c r="D194">
        <v>39</v>
      </c>
      <c r="E194">
        <v>43</v>
      </c>
      <c r="F194" s="1">
        <f t="shared" si="14"/>
        <v>0.47560975609756095</v>
      </c>
      <c r="G194" s="2">
        <v>95.5</v>
      </c>
      <c r="H194" s="2">
        <v>97.1</v>
      </c>
      <c r="I194" s="2">
        <f t="shared" si="15"/>
        <v>-1.5999999999999943</v>
      </c>
      <c r="J194" s="1">
        <f t="shared" si="16"/>
        <v>0.44210785442582834</v>
      </c>
      <c r="K194" s="2">
        <v>103.7</v>
      </c>
      <c r="L194" s="2">
        <v>105.4</v>
      </c>
      <c r="M194" s="2">
        <f t="shared" si="17"/>
        <v>-1.7000000000000028</v>
      </c>
      <c r="N194" s="1">
        <f t="shared" si="18"/>
        <v>3.3501901671732615E-2</v>
      </c>
      <c r="O194" s="2">
        <v>101.2</v>
      </c>
      <c r="P194" s="2">
        <v>96.6</v>
      </c>
      <c r="Q194" s="2">
        <f t="shared" si="19"/>
        <v>4.6000000000000085</v>
      </c>
      <c r="R194" s="2">
        <v>-0.2</v>
      </c>
      <c r="S194" s="2">
        <v>-2.7</v>
      </c>
      <c r="T194" s="2">
        <f t="shared" si="20"/>
        <v>6.3000000000000114</v>
      </c>
    </row>
    <row r="195" spans="1:20">
      <c r="A195" s="6">
        <v>276</v>
      </c>
      <c r="B195" t="s">
        <v>47</v>
      </c>
      <c r="C195" t="s">
        <v>14</v>
      </c>
      <c r="D195">
        <v>42</v>
      </c>
      <c r="E195">
        <v>40</v>
      </c>
      <c r="F195" s="1">
        <f t="shared" si="14"/>
        <v>0.51219512195121952</v>
      </c>
      <c r="G195" s="2">
        <v>102.4</v>
      </c>
      <c r="H195" s="2">
        <v>102.7</v>
      </c>
      <c r="I195" s="2">
        <f t="shared" si="15"/>
        <v>-0.29999999999999716</v>
      </c>
      <c r="J195" s="1">
        <f t="shared" si="16"/>
        <v>0.48976251580890345</v>
      </c>
      <c r="K195" s="2">
        <v>106.8</v>
      </c>
      <c r="L195" s="2">
        <v>106.8</v>
      </c>
      <c r="M195" s="2">
        <f t="shared" si="17"/>
        <v>0</v>
      </c>
      <c r="N195" s="1">
        <f t="shared" si="18"/>
        <v>2.2432606142316069E-2</v>
      </c>
      <c r="O195" s="2">
        <v>103.5</v>
      </c>
      <c r="P195" s="2">
        <v>97.2</v>
      </c>
      <c r="Q195" s="2">
        <f t="shared" si="19"/>
        <v>6.2999999999999972</v>
      </c>
      <c r="R195" s="2">
        <v>-0.8</v>
      </c>
      <c r="S195" s="2">
        <v>-1.4</v>
      </c>
      <c r="T195" s="2">
        <f t="shared" si="20"/>
        <v>6.2999999999999972</v>
      </c>
    </row>
    <row r="196" spans="1:20">
      <c r="A196" s="6">
        <v>391</v>
      </c>
      <c r="B196" t="s">
        <v>52</v>
      </c>
      <c r="C196" t="s">
        <v>8</v>
      </c>
      <c r="D196">
        <v>48</v>
      </c>
      <c r="E196">
        <v>34</v>
      </c>
      <c r="F196" s="1">
        <f t="shared" si="14"/>
        <v>0.58536585365853655</v>
      </c>
      <c r="G196" s="2">
        <v>93.7</v>
      </c>
      <c r="H196" s="2">
        <v>91.8</v>
      </c>
      <c r="I196" s="2">
        <f t="shared" si="15"/>
        <v>1.9000000000000057</v>
      </c>
      <c r="J196" s="1">
        <f t="shared" si="16"/>
        <v>0.57121314816076207</v>
      </c>
      <c r="K196" s="2">
        <v>101.7</v>
      </c>
      <c r="L196" s="2">
        <v>99.9</v>
      </c>
      <c r="M196" s="2">
        <f t="shared" si="17"/>
        <v>1.7999999999999972</v>
      </c>
      <c r="N196" s="1">
        <f t="shared" si="18"/>
        <v>1.4152705497774476E-2</v>
      </c>
      <c r="O196" s="2">
        <v>91.5</v>
      </c>
      <c r="P196" s="2">
        <v>83.4</v>
      </c>
      <c r="Q196" s="2">
        <f t="shared" si="19"/>
        <v>8.0999999999999943</v>
      </c>
      <c r="R196" s="2">
        <v>1</v>
      </c>
      <c r="S196" s="2">
        <v>4.8</v>
      </c>
      <c r="T196" s="2">
        <f t="shared" si="20"/>
        <v>6.2999999999999972</v>
      </c>
    </row>
    <row r="197" spans="1:20">
      <c r="A197" s="6">
        <v>361</v>
      </c>
      <c r="B197" t="s">
        <v>50</v>
      </c>
      <c r="C197" t="s">
        <v>8</v>
      </c>
      <c r="D197">
        <v>45</v>
      </c>
      <c r="E197">
        <v>37</v>
      </c>
      <c r="F197" s="1">
        <f t="shared" si="14"/>
        <v>0.54878048780487809</v>
      </c>
      <c r="G197" s="2">
        <v>93.2</v>
      </c>
      <c r="H197" s="2">
        <v>92.9</v>
      </c>
      <c r="I197" s="2">
        <f t="shared" si="15"/>
        <v>0.29999999999999716</v>
      </c>
      <c r="J197" s="1">
        <f t="shared" si="16"/>
        <v>0.51128235010405287</v>
      </c>
      <c r="K197" s="2">
        <v>102.4</v>
      </c>
      <c r="L197" s="2">
        <v>101.9</v>
      </c>
      <c r="M197" s="2">
        <f t="shared" si="17"/>
        <v>0.5</v>
      </c>
      <c r="N197" s="1">
        <f t="shared" si="18"/>
        <v>3.7498137700825218E-2</v>
      </c>
      <c r="O197" s="2">
        <v>101.4</v>
      </c>
      <c r="P197" s="2">
        <v>94.7</v>
      </c>
      <c r="Q197" s="2">
        <f t="shared" si="19"/>
        <v>6.7000000000000028</v>
      </c>
      <c r="R197" s="2">
        <v>-0.5</v>
      </c>
      <c r="S197" s="2">
        <v>-3.5</v>
      </c>
      <c r="T197" s="2">
        <f t="shared" si="20"/>
        <v>6.2000000000000028</v>
      </c>
    </row>
    <row r="198" spans="1:20">
      <c r="A198" s="6">
        <v>421</v>
      </c>
      <c r="B198" t="s">
        <v>54</v>
      </c>
      <c r="C198" t="s">
        <v>8</v>
      </c>
      <c r="D198">
        <v>50</v>
      </c>
      <c r="E198">
        <v>32</v>
      </c>
      <c r="F198" s="1">
        <f t="shared" si="14"/>
        <v>0.6097560975609756</v>
      </c>
      <c r="G198" s="2">
        <v>100.8</v>
      </c>
      <c r="H198" s="2">
        <v>97.8</v>
      </c>
      <c r="I198" s="2">
        <f t="shared" si="15"/>
        <v>3</v>
      </c>
      <c r="J198" s="1">
        <f t="shared" si="16"/>
        <v>0.60419920235636659</v>
      </c>
      <c r="K198" s="2">
        <v>106.3</v>
      </c>
      <c r="L198" s="2">
        <v>103.3</v>
      </c>
      <c r="M198" s="2">
        <f t="shared" si="17"/>
        <v>3</v>
      </c>
      <c r="N198" s="1">
        <f t="shared" si="18"/>
        <v>5.5568952046090025E-3</v>
      </c>
      <c r="O198" s="2">
        <v>99.7</v>
      </c>
      <c r="P198" s="2">
        <v>90.5</v>
      </c>
      <c r="Q198" s="2">
        <f t="shared" si="19"/>
        <v>9.2000000000000028</v>
      </c>
      <c r="R198" s="2">
        <v>1.5</v>
      </c>
      <c r="S198" s="2">
        <v>7.8</v>
      </c>
      <c r="T198" s="2">
        <f t="shared" si="20"/>
        <v>6.2000000000000028</v>
      </c>
    </row>
    <row r="199" spans="1:20">
      <c r="A199" s="6">
        <v>387</v>
      </c>
      <c r="B199" t="s">
        <v>52</v>
      </c>
      <c r="C199" t="s">
        <v>5</v>
      </c>
      <c r="D199">
        <v>38</v>
      </c>
      <c r="E199">
        <v>44</v>
      </c>
      <c r="F199" s="1">
        <f t="shared" si="14"/>
        <v>0.46341463414634149</v>
      </c>
      <c r="G199" s="2">
        <v>101</v>
      </c>
      <c r="H199" s="2">
        <v>101.5</v>
      </c>
      <c r="I199" s="2">
        <f t="shared" si="15"/>
        <v>-0.5</v>
      </c>
      <c r="J199" s="1">
        <f t="shared" si="16"/>
        <v>0.48272289543770702</v>
      </c>
      <c r="K199" s="2">
        <v>104.9</v>
      </c>
      <c r="L199" s="2">
        <v>105.7</v>
      </c>
      <c r="M199" s="2">
        <f t="shared" si="17"/>
        <v>-0.79999999999999716</v>
      </c>
      <c r="N199" s="1">
        <f t="shared" si="18"/>
        <v>-1.9308261291365536E-2</v>
      </c>
      <c r="O199" s="2">
        <v>105.6</v>
      </c>
      <c r="P199" s="2">
        <v>100.2</v>
      </c>
      <c r="Q199" s="2">
        <f t="shared" si="19"/>
        <v>5.3999999999999915</v>
      </c>
      <c r="R199" s="2">
        <v>-0.9</v>
      </c>
      <c r="S199" s="2">
        <v>-3.3</v>
      </c>
      <c r="T199" s="2">
        <f t="shared" si="20"/>
        <v>6.1999999999999886</v>
      </c>
    </row>
    <row r="200" spans="1:20">
      <c r="A200" s="6">
        <v>286</v>
      </c>
      <c r="B200" t="s">
        <v>47</v>
      </c>
      <c r="C200" t="s">
        <v>22</v>
      </c>
      <c r="D200">
        <v>29</v>
      </c>
      <c r="E200">
        <v>53</v>
      </c>
      <c r="F200" s="1">
        <f t="shared" si="14"/>
        <v>0.35365853658536583</v>
      </c>
      <c r="G200" s="2">
        <v>102.1</v>
      </c>
      <c r="H200" s="2">
        <v>105.9</v>
      </c>
      <c r="I200" s="2">
        <f t="shared" si="15"/>
        <v>-3.8000000000000114</v>
      </c>
      <c r="J200" s="1">
        <f t="shared" si="16"/>
        <v>0.3748196047848904</v>
      </c>
      <c r="K200" s="2">
        <v>106.4</v>
      </c>
      <c r="L200" s="2">
        <v>110.3</v>
      </c>
      <c r="M200" s="2">
        <f t="shared" si="17"/>
        <v>-3.8999999999999915</v>
      </c>
      <c r="N200" s="1">
        <f t="shared" si="18"/>
        <v>-2.1161068199524569E-2</v>
      </c>
      <c r="O200" s="2">
        <v>99.7</v>
      </c>
      <c r="P200" s="2">
        <v>97.4</v>
      </c>
      <c r="Q200" s="2">
        <f t="shared" si="19"/>
        <v>2.2999999999999972</v>
      </c>
      <c r="R200" s="2">
        <v>1</v>
      </c>
      <c r="S200" s="2">
        <v>5.7</v>
      </c>
      <c r="T200" s="2">
        <f t="shared" si="20"/>
        <v>6.1999999999999886</v>
      </c>
    </row>
    <row r="201" spans="1:20">
      <c r="A201" s="6">
        <v>548</v>
      </c>
      <c r="B201" t="s">
        <v>59</v>
      </c>
      <c r="C201" t="s">
        <v>15</v>
      </c>
      <c r="D201">
        <v>48</v>
      </c>
      <c r="E201">
        <v>34</v>
      </c>
      <c r="F201" s="1">
        <f t="shared" ref="F201:F264" si="21">+D201/(D201+E201)</f>
        <v>0.58536585365853655</v>
      </c>
      <c r="G201" s="2">
        <v>108</v>
      </c>
      <c r="H201" s="2">
        <v>104.7</v>
      </c>
      <c r="I201" s="2">
        <f t="shared" ref="I201:I264" si="22">+G201-H201</f>
        <v>3.2999999999999972</v>
      </c>
      <c r="J201" s="1">
        <f t="shared" ref="J201:J264" si="23">+(G201^14)/((G201^14+H201^14))</f>
        <v>0.60693567293355</v>
      </c>
      <c r="K201" s="2">
        <v>109.4</v>
      </c>
      <c r="L201" s="2">
        <v>106</v>
      </c>
      <c r="M201" s="2">
        <f t="shared" ref="M201:M264" si="24">+K201-L201</f>
        <v>3.4000000000000057</v>
      </c>
      <c r="N201" s="1">
        <f t="shared" ref="N201:N264" si="25">+F201-J201</f>
        <v>-2.1569819275013447E-2</v>
      </c>
      <c r="O201" s="2">
        <v>113.9</v>
      </c>
      <c r="P201" s="2">
        <v>104.5</v>
      </c>
      <c r="Q201" s="2">
        <f t="shared" ref="Q201:Q264" si="26">+O201-P201</f>
        <v>9.4000000000000057</v>
      </c>
      <c r="R201" s="2">
        <v>0.8</v>
      </c>
      <c r="S201" s="2">
        <v>2.2000000000000002</v>
      </c>
      <c r="T201" s="2">
        <f t="shared" ref="T201:T264" si="27">+Q201-M201</f>
        <v>6</v>
      </c>
    </row>
    <row r="202" spans="1:20">
      <c r="A202" s="6">
        <v>175</v>
      </c>
      <c r="B202" t="s">
        <v>41</v>
      </c>
      <c r="C202" t="s">
        <v>31</v>
      </c>
      <c r="D202">
        <v>41</v>
      </c>
      <c r="E202">
        <v>41</v>
      </c>
      <c r="F202" s="1">
        <f t="shared" si="21"/>
        <v>0.5</v>
      </c>
      <c r="G202" s="2">
        <v>92.4</v>
      </c>
      <c r="H202" s="2">
        <v>95</v>
      </c>
      <c r="I202" s="2">
        <f t="shared" si="22"/>
        <v>-2.5999999999999943</v>
      </c>
      <c r="J202" s="1">
        <f t="shared" si="23"/>
        <v>0.40407874070852795</v>
      </c>
      <c r="K202" s="2">
        <v>102.4</v>
      </c>
      <c r="L202" s="2">
        <v>105.1</v>
      </c>
      <c r="M202" s="2">
        <f t="shared" si="24"/>
        <v>-2.6999999999999886</v>
      </c>
      <c r="N202" s="1">
        <f t="shared" si="25"/>
        <v>9.592125929147205E-2</v>
      </c>
      <c r="O202" s="2">
        <v>107.2</v>
      </c>
      <c r="P202" s="2">
        <v>103.9</v>
      </c>
      <c r="Q202" s="2">
        <f t="shared" si="26"/>
        <v>3.2999999999999972</v>
      </c>
      <c r="R202" s="2">
        <v>0.7</v>
      </c>
      <c r="S202" s="2">
        <v>3.5</v>
      </c>
      <c r="T202" s="2">
        <f t="shared" si="27"/>
        <v>5.9999999999999858</v>
      </c>
    </row>
    <row r="203" spans="1:20">
      <c r="A203" s="6">
        <v>129</v>
      </c>
      <c r="B203" t="s">
        <v>39</v>
      </c>
      <c r="C203" t="s">
        <v>17</v>
      </c>
      <c r="D203">
        <v>34</v>
      </c>
      <c r="E203">
        <v>48</v>
      </c>
      <c r="F203" s="1">
        <f t="shared" si="21"/>
        <v>0.41463414634146339</v>
      </c>
      <c r="G203" s="2">
        <v>98.7</v>
      </c>
      <c r="H203" s="2">
        <v>101.7</v>
      </c>
      <c r="I203" s="2">
        <f t="shared" si="22"/>
        <v>-3</v>
      </c>
      <c r="J203" s="1">
        <f t="shared" si="23"/>
        <v>0.39670987603328994</v>
      </c>
      <c r="K203" s="2">
        <v>106.4</v>
      </c>
      <c r="L203" s="2">
        <v>109.6</v>
      </c>
      <c r="M203" s="2">
        <f t="shared" si="24"/>
        <v>-3.1999999999999886</v>
      </c>
      <c r="N203" s="1">
        <f t="shared" si="25"/>
        <v>1.7924270308173451E-2</v>
      </c>
      <c r="O203" s="2">
        <v>104.3</v>
      </c>
      <c r="P203" s="2">
        <v>101.5</v>
      </c>
      <c r="Q203" s="2">
        <f t="shared" si="26"/>
        <v>2.7999999999999972</v>
      </c>
      <c r="R203" s="2">
        <v>0.7</v>
      </c>
      <c r="S203" s="2">
        <v>3.5</v>
      </c>
      <c r="T203" s="2">
        <f t="shared" si="27"/>
        <v>5.9999999999999858</v>
      </c>
    </row>
    <row r="204" spans="1:20">
      <c r="A204" s="6">
        <v>742</v>
      </c>
      <c r="B204" t="s">
        <v>65</v>
      </c>
      <c r="C204" t="s">
        <v>27</v>
      </c>
      <c r="D204">
        <v>40</v>
      </c>
      <c r="E204">
        <v>42</v>
      </c>
      <c r="F204" s="1">
        <f t="shared" si="21"/>
        <v>0.48780487804878048</v>
      </c>
      <c r="G204" s="2">
        <v>115.7</v>
      </c>
      <c r="H204" s="2">
        <v>115.3</v>
      </c>
      <c r="I204" s="2">
        <f t="shared" si="22"/>
        <v>0.40000000000000568</v>
      </c>
      <c r="J204" s="1">
        <f t="shared" si="23"/>
        <v>0.51211885026131998</v>
      </c>
      <c r="K204" s="2">
        <v>115.9</v>
      </c>
      <c r="L204" s="2">
        <v>115.3</v>
      </c>
      <c r="M204" s="2">
        <f t="shared" si="24"/>
        <v>0.60000000000000853</v>
      </c>
      <c r="N204" s="1">
        <f t="shared" si="25"/>
        <v>-2.4313972212539503E-2</v>
      </c>
      <c r="O204" s="2">
        <v>114.8</v>
      </c>
      <c r="P204" s="2">
        <v>108.2</v>
      </c>
      <c r="Q204" s="2">
        <f t="shared" si="26"/>
        <v>6.5999999999999943</v>
      </c>
      <c r="R204" s="2">
        <v>0.2</v>
      </c>
      <c r="S204" s="2">
        <v>0.2</v>
      </c>
      <c r="T204" s="2">
        <f t="shared" si="27"/>
        <v>5.9999999999999858</v>
      </c>
    </row>
    <row r="205" spans="1:20">
      <c r="A205" s="6">
        <v>209</v>
      </c>
      <c r="B205" t="s">
        <v>44</v>
      </c>
      <c r="C205" t="s">
        <v>40</v>
      </c>
      <c r="D205">
        <v>32</v>
      </c>
      <c r="E205">
        <v>50</v>
      </c>
      <c r="F205" s="1">
        <f t="shared" si="21"/>
        <v>0.3902439024390244</v>
      </c>
      <c r="G205" s="2">
        <v>97.1</v>
      </c>
      <c r="H205" s="2">
        <v>101.4</v>
      </c>
      <c r="I205" s="2">
        <f t="shared" si="22"/>
        <v>-4.3000000000000114</v>
      </c>
      <c r="J205" s="1">
        <f t="shared" si="23"/>
        <v>0.35282512141387656</v>
      </c>
      <c r="K205" s="2">
        <v>103.7</v>
      </c>
      <c r="L205" s="2">
        <v>108.2</v>
      </c>
      <c r="M205" s="2">
        <f t="shared" si="24"/>
        <v>-4.5</v>
      </c>
      <c r="N205" s="1">
        <f t="shared" si="25"/>
        <v>3.741878102514784E-2</v>
      </c>
      <c r="O205" s="2">
        <v>101.9</v>
      </c>
      <c r="P205" s="2">
        <v>100.5</v>
      </c>
      <c r="Q205" s="2">
        <f t="shared" si="26"/>
        <v>1.4000000000000057</v>
      </c>
      <c r="R205" s="2">
        <v>-0.5</v>
      </c>
      <c r="S205" s="2">
        <v>-1.6</v>
      </c>
      <c r="T205" s="2">
        <f t="shared" si="27"/>
        <v>5.9000000000000057</v>
      </c>
    </row>
    <row r="206" spans="1:20">
      <c r="A206" s="6">
        <v>567</v>
      </c>
      <c r="B206" t="s">
        <v>60</v>
      </c>
      <c r="C206" t="s">
        <v>5</v>
      </c>
      <c r="D206">
        <v>20</v>
      </c>
      <c r="E206">
        <v>47</v>
      </c>
      <c r="F206" s="1">
        <f t="shared" si="21"/>
        <v>0.29850746268656714</v>
      </c>
      <c r="G206" s="2">
        <v>111.8</v>
      </c>
      <c r="H206" s="2">
        <v>119.7</v>
      </c>
      <c r="I206" s="2">
        <f t="shared" si="22"/>
        <v>-7.9000000000000057</v>
      </c>
      <c r="J206" s="1">
        <f t="shared" si="23"/>
        <v>0.27770410092072012</v>
      </c>
      <c r="K206" s="2">
        <v>107</v>
      </c>
      <c r="L206" s="2">
        <v>114.4</v>
      </c>
      <c r="M206" s="2">
        <f t="shared" si="24"/>
        <v>-7.4000000000000057</v>
      </c>
      <c r="N206" s="1">
        <f t="shared" si="25"/>
        <v>2.0803361765847017E-2</v>
      </c>
      <c r="O206" s="2">
        <v>97.4</v>
      </c>
      <c r="P206" s="2">
        <v>98.9</v>
      </c>
      <c r="Q206" s="2">
        <f t="shared" si="26"/>
        <v>-1.5</v>
      </c>
      <c r="R206" s="2">
        <v>-1</v>
      </c>
      <c r="S206" s="2">
        <v>-6.2</v>
      </c>
      <c r="T206" s="2">
        <f t="shared" si="27"/>
        <v>5.9000000000000057</v>
      </c>
    </row>
    <row r="207" spans="1:20">
      <c r="A207" s="6">
        <v>139</v>
      </c>
      <c r="B207" t="s">
        <v>39</v>
      </c>
      <c r="C207" t="s">
        <v>25</v>
      </c>
      <c r="D207">
        <v>62</v>
      </c>
      <c r="E207">
        <v>20</v>
      </c>
      <c r="F207" s="1">
        <f t="shared" si="21"/>
        <v>0.75609756097560976</v>
      </c>
      <c r="G207" s="2">
        <v>110.4</v>
      </c>
      <c r="H207" s="2">
        <v>103.3</v>
      </c>
      <c r="I207" s="2">
        <f t="shared" si="22"/>
        <v>7.1000000000000085</v>
      </c>
      <c r="J207" s="1">
        <f t="shared" si="23"/>
        <v>0.71720077079913214</v>
      </c>
      <c r="K207" s="2">
        <v>112.7</v>
      </c>
      <c r="L207" s="2">
        <v>105.7</v>
      </c>
      <c r="M207" s="2">
        <f t="shared" si="24"/>
        <v>7</v>
      </c>
      <c r="N207" s="1">
        <f t="shared" si="25"/>
        <v>3.8896790176477625E-2</v>
      </c>
      <c r="O207" s="2">
        <v>111.8</v>
      </c>
      <c r="P207" s="2">
        <v>98.9</v>
      </c>
      <c r="Q207" s="2">
        <f t="shared" si="26"/>
        <v>12.899999999999991</v>
      </c>
      <c r="R207" s="2">
        <v>0.3</v>
      </c>
      <c r="S207" s="2">
        <v>4.7</v>
      </c>
      <c r="T207" s="2">
        <f t="shared" si="27"/>
        <v>5.8999999999999915</v>
      </c>
    </row>
    <row r="208" spans="1:20">
      <c r="A208" s="6">
        <v>755</v>
      </c>
      <c r="B208" t="s">
        <v>66</v>
      </c>
      <c r="C208" t="s">
        <v>12</v>
      </c>
      <c r="D208">
        <v>45</v>
      </c>
      <c r="E208">
        <v>17</v>
      </c>
      <c r="F208" s="1">
        <f t="shared" si="21"/>
        <v>0.72580645161290325</v>
      </c>
      <c r="G208" s="2">
        <v>116.8</v>
      </c>
      <c r="H208" s="2">
        <v>109.6</v>
      </c>
      <c r="I208" s="2">
        <f t="shared" si="22"/>
        <v>7.2000000000000028</v>
      </c>
      <c r="J208" s="1">
        <f t="shared" si="23"/>
        <v>0.70904693182577805</v>
      </c>
      <c r="K208" s="2">
        <v>116.1</v>
      </c>
      <c r="L208" s="2">
        <v>108.7</v>
      </c>
      <c r="M208" s="2">
        <f t="shared" si="24"/>
        <v>7.3999999999999915</v>
      </c>
      <c r="N208" s="1">
        <f t="shared" si="25"/>
        <v>1.6759519787125199E-2</v>
      </c>
      <c r="O208" s="2">
        <v>116.3</v>
      </c>
      <c r="P208" s="2">
        <v>103.1</v>
      </c>
      <c r="Q208" s="2">
        <f t="shared" si="26"/>
        <v>13.200000000000003</v>
      </c>
      <c r="R208" s="2">
        <v>1.1000000000000001</v>
      </c>
      <c r="S208" s="2">
        <v>5.2</v>
      </c>
      <c r="T208" s="2">
        <f t="shared" si="27"/>
        <v>5.8000000000000114</v>
      </c>
    </row>
    <row r="209" spans="1:20">
      <c r="A209" s="6">
        <v>511</v>
      </c>
      <c r="B209" t="s">
        <v>58</v>
      </c>
      <c r="C209" t="s">
        <v>8</v>
      </c>
      <c r="D209">
        <v>27</v>
      </c>
      <c r="E209">
        <v>55</v>
      </c>
      <c r="F209" s="1">
        <f t="shared" si="21"/>
        <v>0.32926829268292684</v>
      </c>
      <c r="G209" s="2">
        <v>102.9</v>
      </c>
      <c r="H209" s="2">
        <v>110</v>
      </c>
      <c r="I209" s="2">
        <f t="shared" si="22"/>
        <v>-7.0999999999999943</v>
      </c>
      <c r="J209" s="1">
        <f t="shared" si="23"/>
        <v>0.28208998434784138</v>
      </c>
      <c r="K209" s="2">
        <v>103.4</v>
      </c>
      <c r="L209" s="2">
        <v>110.5</v>
      </c>
      <c r="M209" s="2">
        <f t="shared" si="24"/>
        <v>-7.0999999999999943</v>
      </c>
      <c r="N209" s="1">
        <f t="shared" si="25"/>
        <v>4.7178308335085462E-2</v>
      </c>
      <c r="O209" s="2">
        <v>98.4</v>
      </c>
      <c r="P209" s="2">
        <v>99.7</v>
      </c>
      <c r="Q209" s="2">
        <f t="shared" si="26"/>
        <v>-1.2999999999999972</v>
      </c>
      <c r="R209" s="2">
        <v>-0.5</v>
      </c>
      <c r="S209" s="2">
        <v>-4.5</v>
      </c>
      <c r="T209" s="2">
        <f t="shared" si="27"/>
        <v>5.7999999999999972</v>
      </c>
    </row>
    <row r="210" spans="1:20">
      <c r="A210" s="6">
        <v>438</v>
      </c>
      <c r="B210" t="s">
        <v>54</v>
      </c>
      <c r="C210" t="s">
        <v>23</v>
      </c>
      <c r="D210">
        <v>25</v>
      </c>
      <c r="E210">
        <v>57</v>
      </c>
      <c r="F210" s="1">
        <f t="shared" si="21"/>
        <v>0.3048780487804878</v>
      </c>
      <c r="G210" s="2">
        <v>95.7</v>
      </c>
      <c r="H210" s="2">
        <v>101.4</v>
      </c>
      <c r="I210" s="2">
        <f t="shared" si="22"/>
        <v>-5.7000000000000028</v>
      </c>
      <c r="J210" s="1">
        <f t="shared" si="23"/>
        <v>0.3078975070073538</v>
      </c>
      <c r="K210" s="2">
        <v>101</v>
      </c>
      <c r="L210" s="2">
        <v>106.8</v>
      </c>
      <c r="M210" s="2">
        <f t="shared" si="24"/>
        <v>-5.7999999999999972</v>
      </c>
      <c r="N210" s="1">
        <f t="shared" si="25"/>
        <v>-3.0194582268660008E-3</v>
      </c>
      <c r="O210" s="2">
        <v>100</v>
      </c>
      <c r="P210" s="2">
        <v>100</v>
      </c>
      <c r="Q210" s="2">
        <f t="shared" si="26"/>
        <v>0</v>
      </c>
      <c r="R210" s="2">
        <v>-0.5</v>
      </c>
      <c r="S210" s="2">
        <v>-2.6</v>
      </c>
      <c r="T210" s="2">
        <f t="shared" si="27"/>
        <v>5.7999999999999972</v>
      </c>
    </row>
    <row r="211" spans="1:20">
      <c r="A211" s="6">
        <v>134</v>
      </c>
      <c r="B211" t="s">
        <v>39</v>
      </c>
      <c r="C211" t="s">
        <v>21</v>
      </c>
      <c r="D211">
        <v>42</v>
      </c>
      <c r="E211">
        <v>40</v>
      </c>
      <c r="F211" s="1">
        <f t="shared" si="21"/>
        <v>0.51219512195121952</v>
      </c>
      <c r="G211" s="2">
        <v>91.4</v>
      </c>
      <c r="H211" s="2">
        <v>92.9</v>
      </c>
      <c r="I211" s="2">
        <f t="shared" si="22"/>
        <v>-1.5</v>
      </c>
      <c r="J211" s="1">
        <f t="shared" si="23"/>
        <v>0.44327172117741881</v>
      </c>
      <c r="K211" s="2">
        <v>99.9</v>
      </c>
      <c r="L211" s="2">
        <v>101.6</v>
      </c>
      <c r="M211" s="2">
        <f t="shared" si="24"/>
        <v>-1.6999999999999886</v>
      </c>
      <c r="N211" s="1">
        <f t="shared" si="25"/>
        <v>6.8923400773800714E-2</v>
      </c>
      <c r="O211" s="2">
        <v>100</v>
      </c>
      <c r="P211" s="2">
        <v>95.9</v>
      </c>
      <c r="Q211" s="2">
        <f t="shared" si="26"/>
        <v>4.0999999999999943</v>
      </c>
      <c r="R211" s="2">
        <v>-2.2000000000000002</v>
      </c>
      <c r="S211" s="2">
        <v>-11</v>
      </c>
      <c r="T211" s="2">
        <f t="shared" si="27"/>
        <v>5.7999999999999829</v>
      </c>
    </row>
    <row r="212" spans="1:20">
      <c r="A212" s="6">
        <v>648</v>
      </c>
      <c r="B212" t="s">
        <v>62</v>
      </c>
      <c r="C212" t="s">
        <v>23</v>
      </c>
      <c r="D212">
        <v>22</v>
      </c>
      <c r="E212">
        <v>60</v>
      </c>
      <c r="F212" s="1">
        <f t="shared" si="21"/>
        <v>0.26829268292682928</v>
      </c>
      <c r="G212" s="2">
        <v>104.2</v>
      </c>
      <c r="H212" s="2">
        <v>112.2</v>
      </c>
      <c r="I212" s="2">
        <f t="shared" si="22"/>
        <v>-8</v>
      </c>
      <c r="J212" s="1">
        <f t="shared" si="23"/>
        <v>0.26200139759286833</v>
      </c>
      <c r="K212" s="2">
        <v>103.9</v>
      </c>
      <c r="L212" s="2">
        <v>112.1</v>
      </c>
      <c r="M212" s="2">
        <f t="shared" si="24"/>
        <v>-8.1999999999999886</v>
      </c>
      <c r="N212" s="1">
        <f t="shared" si="25"/>
        <v>6.2912853339609498E-3</v>
      </c>
      <c r="O212" s="2">
        <v>98.8</v>
      </c>
      <c r="P212" s="2">
        <v>101.2</v>
      </c>
      <c r="Q212" s="2">
        <f t="shared" si="26"/>
        <v>-2.4000000000000057</v>
      </c>
      <c r="R212" s="2">
        <v>-0.2</v>
      </c>
      <c r="S212" s="2">
        <v>-1.6</v>
      </c>
      <c r="T212" s="2">
        <f t="shared" si="27"/>
        <v>5.7999999999999829</v>
      </c>
    </row>
    <row r="213" spans="1:20">
      <c r="A213" s="6">
        <v>200</v>
      </c>
      <c r="B213" t="s">
        <v>43</v>
      </c>
      <c r="C213" t="s">
        <v>26</v>
      </c>
      <c r="D213">
        <v>32</v>
      </c>
      <c r="E213">
        <v>50</v>
      </c>
      <c r="F213" s="1">
        <f t="shared" si="21"/>
        <v>0.3902439024390244</v>
      </c>
      <c r="G213" s="2">
        <v>94.1</v>
      </c>
      <c r="H213" s="2">
        <v>98.4</v>
      </c>
      <c r="I213" s="2">
        <f t="shared" si="22"/>
        <v>-4.3000000000000114</v>
      </c>
      <c r="J213" s="1">
        <f t="shared" si="23"/>
        <v>0.34851829160504433</v>
      </c>
      <c r="K213" s="2">
        <v>103.8</v>
      </c>
      <c r="L213" s="2">
        <v>108.6</v>
      </c>
      <c r="M213" s="2">
        <f t="shared" si="24"/>
        <v>-4.7999999999999972</v>
      </c>
      <c r="N213" s="1">
        <f t="shared" si="25"/>
        <v>4.1725610833980076E-2</v>
      </c>
      <c r="O213" s="2">
        <v>113.4</v>
      </c>
      <c r="P213" s="2">
        <v>112.5</v>
      </c>
      <c r="Q213" s="2">
        <f t="shared" si="26"/>
        <v>0.90000000000000568</v>
      </c>
      <c r="R213" s="2">
        <v>-0.5</v>
      </c>
      <c r="S213" s="2">
        <v>-2.1</v>
      </c>
      <c r="T213" s="2">
        <f t="shared" si="27"/>
        <v>5.7000000000000028</v>
      </c>
    </row>
    <row r="214" spans="1:20">
      <c r="A214" s="6">
        <v>525</v>
      </c>
      <c r="B214" t="s">
        <v>58</v>
      </c>
      <c r="C214" t="s">
        <v>53</v>
      </c>
      <c r="D214">
        <v>48</v>
      </c>
      <c r="E214">
        <v>34</v>
      </c>
      <c r="F214" s="1">
        <f t="shared" si="21"/>
        <v>0.58536585365853655</v>
      </c>
      <c r="G214" s="2">
        <v>111.7</v>
      </c>
      <c r="H214" s="2">
        <v>110.4</v>
      </c>
      <c r="I214" s="2">
        <f t="shared" si="22"/>
        <v>1.2999999999999972</v>
      </c>
      <c r="J214" s="1">
        <f t="shared" si="23"/>
        <v>0.54088153523494542</v>
      </c>
      <c r="K214" s="2">
        <v>108.5</v>
      </c>
      <c r="L214" s="2">
        <v>107.4</v>
      </c>
      <c r="M214" s="2">
        <f t="shared" si="24"/>
        <v>1.0999999999999943</v>
      </c>
      <c r="N214" s="1">
        <f t="shared" si="25"/>
        <v>4.4484318423591129E-2</v>
      </c>
      <c r="O214" s="2">
        <v>106</v>
      </c>
      <c r="P214" s="2">
        <v>99.3</v>
      </c>
      <c r="Q214" s="2">
        <f t="shared" si="26"/>
        <v>6.7000000000000028</v>
      </c>
      <c r="R214" s="2">
        <v>0.2</v>
      </c>
      <c r="S214" s="2">
        <v>1.8</v>
      </c>
      <c r="T214" s="2">
        <f t="shared" si="27"/>
        <v>5.6000000000000085</v>
      </c>
    </row>
    <row r="215" spans="1:20">
      <c r="A215" s="6">
        <v>204</v>
      </c>
      <c r="B215" t="s">
        <v>43</v>
      </c>
      <c r="C215" t="s">
        <v>30</v>
      </c>
      <c r="D215">
        <v>47</v>
      </c>
      <c r="E215">
        <v>35</v>
      </c>
      <c r="F215" s="1">
        <f t="shared" si="21"/>
        <v>0.57317073170731703</v>
      </c>
      <c r="G215" s="2">
        <v>99.5</v>
      </c>
      <c r="H215" s="2">
        <v>98.5</v>
      </c>
      <c r="I215" s="2">
        <f t="shared" si="22"/>
        <v>1</v>
      </c>
      <c r="J215" s="1">
        <f t="shared" si="23"/>
        <v>0.53529503549100332</v>
      </c>
      <c r="K215" s="2">
        <v>105.7</v>
      </c>
      <c r="L215" s="2">
        <v>104.4</v>
      </c>
      <c r="M215" s="2">
        <f t="shared" si="24"/>
        <v>1.2999999999999972</v>
      </c>
      <c r="N215" s="1">
        <f t="shared" si="25"/>
        <v>3.7875696216313703E-2</v>
      </c>
      <c r="O215" s="2">
        <v>106.6</v>
      </c>
      <c r="P215" s="2">
        <v>99.7</v>
      </c>
      <c r="Q215" s="2">
        <f t="shared" si="26"/>
        <v>6.8999999999999915</v>
      </c>
      <c r="R215" s="2">
        <v>0.3</v>
      </c>
      <c r="S215" s="2">
        <v>2.7</v>
      </c>
      <c r="T215" s="2">
        <f t="shared" si="27"/>
        <v>5.5999999999999943</v>
      </c>
    </row>
    <row r="216" spans="1:20">
      <c r="A216" s="6">
        <v>491</v>
      </c>
      <c r="B216" t="s">
        <v>57</v>
      </c>
      <c r="C216" t="s">
        <v>35</v>
      </c>
      <c r="D216">
        <v>43</v>
      </c>
      <c r="E216">
        <v>39</v>
      </c>
      <c r="F216" s="1">
        <f t="shared" si="21"/>
        <v>0.52439024390243905</v>
      </c>
      <c r="G216" s="2">
        <v>100.5</v>
      </c>
      <c r="H216" s="2">
        <v>100</v>
      </c>
      <c r="I216" s="2">
        <f t="shared" si="22"/>
        <v>0.5</v>
      </c>
      <c r="J216" s="1">
        <f t="shared" si="23"/>
        <v>0.51744930619443652</v>
      </c>
      <c r="K216" s="2">
        <v>107</v>
      </c>
      <c r="L216" s="2">
        <v>106.5</v>
      </c>
      <c r="M216" s="2">
        <f t="shared" si="24"/>
        <v>0.5</v>
      </c>
      <c r="N216" s="1">
        <f t="shared" si="25"/>
        <v>6.9409377080025259E-3</v>
      </c>
      <c r="O216" s="2">
        <v>101.1</v>
      </c>
      <c r="P216" s="2">
        <v>95</v>
      </c>
      <c r="Q216" s="2">
        <f t="shared" si="26"/>
        <v>6.0999999999999943</v>
      </c>
      <c r="R216" s="2">
        <v>1.2</v>
      </c>
      <c r="S216" s="2">
        <v>2.6</v>
      </c>
      <c r="T216" s="2">
        <f t="shared" si="27"/>
        <v>5.5999999999999943</v>
      </c>
    </row>
    <row r="217" spans="1:20">
      <c r="A217" s="6">
        <v>599</v>
      </c>
      <c r="B217" t="s">
        <v>61</v>
      </c>
      <c r="C217" t="s">
        <v>51</v>
      </c>
      <c r="D217">
        <v>48</v>
      </c>
      <c r="E217">
        <v>24</v>
      </c>
      <c r="F217" s="1">
        <f t="shared" si="21"/>
        <v>0.66666666666666663</v>
      </c>
      <c r="G217" s="2">
        <v>118.6</v>
      </c>
      <c r="H217" s="2">
        <v>114.1</v>
      </c>
      <c r="I217" s="2">
        <f t="shared" si="22"/>
        <v>4.5</v>
      </c>
      <c r="J217" s="1">
        <f t="shared" si="23"/>
        <v>0.63216994078193656</v>
      </c>
      <c r="K217" s="2">
        <v>117.3</v>
      </c>
      <c r="L217" s="2">
        <v>113.1</v>
      </c>
      <c r="M217" s="2">
        <f t="shared" si="24"/>
        <v>4.2000000000000028</v>
      </c>
      <c r="N217" s="1">
        <f t="shared" si="25"/>
        <v>3.4496725884730073E-2</v>
      </c>
      <c r="O217" s="2">
        <v>113.2</v>
      </c>
      <c r="P217" s="2">
        <v>103.5</v>
      </c>
      <c r="Q217" s="2">
        <f t="shared" si="26"/>
        <v>9.7000000000000028</v>
      </c>
      <c r="R217" s="2">
        <v>0.9</v>
      </c>
      <c r="S217" s="2">
        <v>6.2</v>
      </c>
      <c r="T217" s="2">
        <f t="shared" si="27"/>
        <v>5.5</v>
      </c>
    </row>
    <row r="218" spans="1:20">
      <c r="A218" s="6">
        <v>22</v>
      </c>
      <c r="B218" t="s">
        <v>4</v>
      </c>
      <c r="C218" t="s">
        <v>26</v>
      </c>
      <c r="D218">
        <v>50</v>
      </c>
      <c r="E218">
        <v>32</v>
      </c>
      <c r="F218" s="1">
        <f t="shared" si="21"/>
        <v>0.6097560975609756</v>
      </c>
      <c r="G218" s="2">
        <v>95.4</v>
      </c>
      <c r="H218" s="2">
        <v>91.2</v>
      </c>
      <c r="I218" s="2">
        <f t="shared" si="22"/>
        <v>4.2000000000000028</v>
      </c>
      <c r="J218" s="1">
        <f t="shared" si="23"/>
        <v>0.65256463390669783</v>
      </c>
      <c r="K218" s="2">
        <v>104.7</v>
      </c>
      <c r="L218" s="2">
        <v>100.5</v>
      </c>
      <c r="M218" s="2">
        <f t="shared" si="24"/>
        <v>4.2000000000000028</v>
      </c>
      <c r="N218" s="1">
        <f t="shared" si="25"/>
        <v>-4.2808536345722237E-2</v>
      </c>
      <c r="O218" s="2">
        <v>109.3</v>
      </c>
      <c r="P218" s="2">
        <v>99.6</v>
      </c>
      <c r="Q218" s="2">
        <f t="shared" si="26"/>
        <v>9.7000000000000028</v>
      </c>
      <c r="R218" s="2">
        <v>0.3</v>
      </c>
      <c r="S218" s="2">
        <v>1</v>
      </c>
      <c r="T218" s="2">
        <f t="shared" si="27"/>
        <v>5.5</v>
      </c>
    </row>
    <row r="219" spans="1:20">
      <c r="A219" s="6">
        <v>161</v>
      </c>
      <c r="B219" t="s">
        <v>41</v>
      </c>
      <c r="C219" t="s">
        <v>18</v>
      </c>
      <c r="D219">
        <v>52</v>
      </c>
      <c r="E219">
        <v>30</v>
      </c>
      <c r="F219" s="1">
        <f t="shared" si="21"/>
        <v>0.63414634146341464</v>
      </c>
      <c r="G219" s="2">
        <v>99.9</v>
      </c>
      <c r="H219" s="2">
        <v>96</v>
      </c>
      <c r="I219" s="2">
        <f t="shared" si="22"/>
        <v>3.9000000000000057</v>
      </c>
      <c r="J219" s="1">
        <f t="shared" si="23"/>
        <v>0.63587410412119993</v>
      </c>
      <c r="K219" s="2">
        <v>107.5</v>
      </c>
      <c r="L219" s="2">
        <v>103.4</v>
      </c>
      <c r="M219" s="2">
        <f t="shared" si="24"/>
        <v>4.0999999999999943</v>
      </c>
      <c r="N219" s="1">
        <f t="shared" si="25"/>
        <v>-1.7277626577852923E-3</v>
      </c>
      <c r="O219" s="2">
        <v>115.1</v>
      </c>
      <c r="P219" s="2">
        <v>105.6</v>
      </c>
      <c r="Q219" s="2">
        <f t="shared" si="26"/>
        <v>9.5</v>
      </c>
      <c r="R219" s="2">
        <v>1.5</v>
      </c>
      <c r="S219" s="2">
        <v>5.7</v>
      </c>
      <c r="T219" s="2">
        <f t="shared" si="27"/>
        <v>5.4000000000000057</v>
      </c>
    </row>
    <row r="220" spans="1:20">
      <c r="A220" s="6">
        <v>50</v>
      </c>
      <c r="B220" t="s">
        <v>34</v>
      </c>
      <c r="C220" t="s">
        <v>24</v>
      </c>
      <c r="D220">
        <v>43</v>
      </c>
      <c r="E220">
        <v>39</v>
      </c>
      <c r="F220" s="1">
        <f t="shared" si="21"/>
        <v>0.52439024390243905</v>
      </c>
      <c r="G220" s="2">
        <v>91</v>
      </c>
      <c r="H220" s="2">
        <v>89.4</v>
      </c>
      <c r="I220" s="2">
        <f t="shared" si="22"/>
        <v>1.5999999999999943</v>
      </c>
      <c r="J220" s="1">
        <f t="shared" si="23"/>
        <v>0.56176874789874143</v>
      </c>
      <c r="K220" s="2">
        <v>100.5</v>
      </c>
      <c r="L220" s="2">
        <v>98.7</v>
      </c>
      <c r="M220" s="2">
        <f t="shared" si="24"/>
        <v>1.7999999999999972</v>
      </c>
      <c r="N220" s="1">
        <f t="shared" si="25"/>
        <v>-3.7378503996302381E-2</v>
      </c>
      <c r="O220" s="2">
        <v>90.2</v>
      </c>
      <c r="P220" s="2">
        <v>83</v>
      </c>
      <c r="Q220" s="2">
        <f t="shared" si="26"/>
        <v>7.2000000000000028</v>
      </c>
      <c r="R220" s="2">
        <v>0</v>
      </c>
      <c r="S220" s="2">
        <v>0.1</v>
      </c>
      <c r="T220" s="2">
        <f t="shared" si="27"/>
        <v>5.4000000000000057</v>
      </c>
    </row>
    <row r="221" spans="1:20">
      <c r="A221" s="6">
        <v>385</v>
      </c>
      <c r="B221" t="s">
        <v>50</v>
      </c>
      <c r="C221" t="s">
        <v>31</v>
      </c>
      <c r="D221">
        <v>43</v>
      </c>
      <c r="E221">
        <v>39</v>
      </c>
      <c r="F221" s="1">
        <f t="shared" si="21"/>
        <v>0.52439024390243905</v>
      </c>
      <c r="G221" s="2">
        <v>98</v>
      </c>
      <c r="H221" s="2">
        <v>98.1</v>
      </c>
      <c r="I221" s="2">
        <f t="shared" si="22"/>
        <v>-9.9999999999994316E-2</v>
      </c>
      <c r="J221" s="1">
        <f t="shared" si="23"/>
        <v>0.49643045299187905</v>
      </c>
      <c r="K221" s="2">
        <v>105.4</v>
      </c>
      <c r="L221" s="2">
        <v>105.6</v>
      </c>
      <c r="M221" s="2">
        <f t="shared" si="24"/>
        <v>-0.19999999999998863</v>
      </c>
      <c r="N221" s="1">
        <f t="shared" si="25"/>
        <v>2.7959790910560001E-2</v>
      </c>
      <c r="O221" s="2">
        <v>106.4</v>
      </c>
      <c r="P221" s="2">
        <v>101.2</v>
      </c>
      <c r="Q221" s="2">
        <f t="shared" si="26"/>
        <v>5.2000000000000028</v>
      </c>
      <c r="R221" s="2">
        <v>-0.1</v>
      </c>
      <c r="S221" s="2">
        <v>-0.7</v>
      </c>
      <c r="T221" s="2">
        <f t="shared" si="27"/>
        <v>5.3999999999999915</v>
      </c>
    </row>
    <row r="222" spans="1:20">
      <c r="A222" s="6">
        <v>773</v>
      </c>
      <c r="B222" t="s">
        <v>66</v>
      </c>
      <c r="C222" t="s">
        <v>28</v>
      </c>
      <c r="D222">
        <v>45</v>
      </c>
      <c r="E222">
        <v>17</v>
      </c>
      <c r="F222" s="1">
        <f t="shared" si="21"/>
        <v>0.72580645161290325</v>
      </c>
      <c r="G222" s="2">
        <v>118.3</v>
      </c>
      <c r="H222" s="2">
        <v>111.4</v>
      </c>
      <c r="I222" s="2">
        <f t="shared" si="22"/>
        <v>6.8999999999999915</v>
      </c>
      <c r="J222" s="1">
        <f t="shared" si="23"/>
        <v>0.69874950937248992</v>
      </c>
      <c r="K222" s="2">
        <v>117.3</v>
      </c>
      <c r="L222" s="2">
        <v>110.2</v>
      </c>
      <c r="M222" s="2">
        <f t="shared" si="24"/>
        <v>7.0999999999999943</v>
      </c>
      <c r="N222" s="1">
        <f t="shared" si="25"/>
        <v>2.7056942240413329E-2</v>
      </c>
      <c r="O222" s="2">
        <v>128.19999999999999</v>
      </c>
      <c r="P222" s="2">
        <v>115.8</v>
      </c>
      <c r="Q222" s="2">
        <f t="shared" si="26"/>
        <v>12.399999999999991</v>
      </c>
      <c r="R222" s="2">
        <v>1.3</v>
      </c>
      <c r="S222" s="2">
        <v>4.3</v>
      </c>
      <c r="T222" s="2">
        <f t="shared" si="27"/>
        <v>5.2999999999999972</v>
      </c>
    </row>
    <row r="223" spans="1:20">
      <c r="A223" s="6">
        <v>103</v>
      </c>
      <c r="B223" t="s">
        <v>38</v>
      </c>
      <c r="C223" t="s">
        <v>20</v>
      </c>
      <c r="D223">
        <v>58</v>
      </c>
      <c r="E223">
        <v>24</v>
      </c>
      <c r="F223" s="1">
        <f t="shared" si="21"/>
        <v>0.70731707317073167</v>
      </c>
      <c r="G223" s="2">
        <v>94.5</v>
      </c>
      <c r="H223" s="2">
        <v>89.1</v>
      </c>
      <c r="I223" s="2">
        <f t="shared" si="22"/>
        <v>5.4000000000000057</v>
      </c>
      <c r="J223" s="1">
        <f t="shared" si="23"/>
        <v>0.6950353841239254</v>
      </c>
      <c r="K223" s="2">
        <v>104.2</v>
      </c>
      <c r="L223" s="2">
        <v>98.5</v>
      </c>
      <c r="M223" s="2">
        <f t="shared" si="24"/>
        <v>5.7000000000000028</v>
      </c>
      <c r="N223" s="1">
        <f t="shared" si="25"/>
        <v>1.2281689046806266E-2</v>
      </c>
      <c r="O223" s="2">
        <v>110.4</v>
      </c>
      <c r="P223" s="2">
        <v>99.4</v>
      </c>
      <c r="Q223" s="2">
        <f t="shared" si="26"/>
        <v>11</v>
      </c>
      <c r="R223" s="2">
        <v>1.3</v>
      </c>
      <c r="S223" s="2">
        <v>6.8</v>
      </c>
      <c r="T223" s="2">
        <f t="shared" si="27"/>
        <v>5.2999999999999972</v>
      </c>
    </row>
    <row r="224" spans="1:20">
      <c r="A224" s="6">
        <v>434</v>
      </c>
      <c r="B224" t="s">
        <v>54</v>
      </c>
      <c r="C224" t="s">
        <v>20</v>
      </c>
      <c r="D224">
        <v>16</v>
      </c>
      <c r="E224">
        <v>66</v>
      </c>
      <c r="F224" s="1">
        <f t="shared" si="21"/>
        <v>0.1951219512195122</v>
      </c>
      <c r="G224" s="2">
        <v>97.8</v>
      </c>
      <c r="H224" s="2">
        <v>106.5</v>
      </c>
      <c r="I224" s="2">
        <f t="shared" si="22"/>
        <v>-8.7000000000000028</v>
      </c>
      <c r="J224" s="1">
        <f t="shared" si="23"/>
        <v>0.23270751266872564</v>
      </c>
      <c r="K224" s="2">
        <v>101.8</v>
      </c>
      <c r="L224" s="2">
        <v>110.9</v>
      </c>
      <c r="M224" s="2">
        <f t="shared" si="24"/>
        <v>-9.1000000000000085</v>
      </c>
      <c r="N224" s="1">
        <f t="shared" si="25"/>
        <v>-3.7585561449213434E-2</v>
      </c>
      <c r="O224" s="2">
        <v>103.7</v>
      </c>
      <c r="P224" s="2">
        <v>107.6</v>
      </c>
      <c r="Q224" s="2">
        <f t="shared" si="26"/>
        <v>-3.8999999999999915</v>
      </c>
      <c r="R224" s="2">
        <v>-0.1</v>
      </c>
      <c r="S224" s="2">
        <v>-0.5</v>
      </c>
      <c r="T224" s="2">
        <f t="shared" si="27"/>
        <v>5.2000000000000171</v>
      </c>
    </row>
    <row r="225" spans="1:20">
      <c r="A225" s="6">
        <v>360</v>
      </c>
      <c r="B225" t="s">
        <v>50</v>
      </c>
      <c r="C225" t="s">
        <v>40</v>
      </c>
      <c r="D225">
        <v>21</v>
      </c>
      <c r="E225">
        <v>61</v>
      </c>
      <c r="F225" s="1">
        <f t="shared" si="21"/>
        <v>0.25609756097560976</v>
      </c>
      <c r="G225" s="2">
        <v>93.4</v>
      </c>
      <c r="H225" s="2">
        <v>102.7</v>
      </c>
      <c r="I225" s="2">
        <f t="shared" si="22"/>
        <v>-9.2999999999999972</v>
      </c>
      <c r="J225" s="1">
        <f t="shared" si="23"/>
        <v>0.20934289845958631</v>
      </c>
      <c r="K225" s="2">
        <v>100.4</v>
      </c>
      <c r="L225" s="2">
        <v>110.3</v>
      </c>
      <c r="M225" s="2">
        <f t="shared" si="24"/>
        <v>-9.8999999999999915</v>
      </c>
      <c r="N225" s="1">
        <f t="shared" si="25"/>
        <v>4.6754662516023449E-2</v>
      </c>
      <c r="O225" s="2">
        <v>95.9</v>
      </c>
      <c r="P225" s="2">
        <v>100.6</v>
      </c>
      <c r="Q225" s="2">
        <f t="shared" si="26"/>
        <v>-4.6999999999999886</v>
      </c>
      <c r="R225" s="2">
        <v>-1.8</v>
      </c>
      <c r="S225" s="2">
        <v>-9.1999999999999993</v>
      </c>
      <c r="T225" s="2">
        <f t="shared" si="27"/>
        <v>5.2000000000000028</v>
      </c>
    </row>
    <row r="226" spans="1:20">
      <c r="A226" s="6">
        <v>231</v>
      </c>
      <c r="B226" t="s">
        <v>44</v>
      </c>
      <c r="C226" t="s">
        <v>27</v>
      </c>
      <c r="D226">
        <v>38</v>
      </c>
      <c r="E226">
        <v>44</v>
      </c>
      <c r="F226" s="1">
        <f t="shared" si="21"/>
        <v>0.46341463414634149</v>
      </c>
      <c r="G226" s="2">
        <v>102.5</v>
      </c>
      <c r="H226" s="2">
        <v>104.8</v>
      </c>
      <c r="I226" s="2">
        <f t="shared" si="22"/>
        <v>-2.2999999999999972</v>
      </c>
      <c r="J226" s="1">
        <f t="shared" si="23"/>
        <v>0.42295032284639811</v>
      </c>
      <c r="K226" s="2">
        <v>106.2</v>
      </c>
      <c r="L226" s="2">
        <v>108.6</v>
      </c>
      <c r="M226" s="2">
        <f t="shared" si="24"/>
        <v>-2.3999999999999915</v>
      </c>
      <c r="N226" s="1">
        <f t="shared" si="25"/>
        <v>4.0464311299943378E-2</v>
      </c>
      <c r="O226" s="2">
        <v>109.5</v>
      </c>
      <c r="P226" s="2">
        <v>106.7</v>
      </c>
      <c r="Q226" s="2">
        <f t="shared" si="26"/>
        <v>2.7999999999999972</v>
      </c>
      <c r="R226" s="2">
        <v>-0.6</v>
      </c>
      <c r="S226" s="2">
        <v>-3.2</v>
      </c>
      <c r="T226" s="2">
        <f t="shared" si="27"/>
        <v>5.1999999999999886</v>
      </c>
    </row>
    <row r="227" spans="1:20">
      <c r="A227" s="6">
        <v>107</v>
      </c>
      <c r="B227" t="s">
        <v>38</v>
      </c>
      <c r="C227" t="s">
        <v>23</v>
      </c>
      <c r="D227">
        <v>21</v>
      </c>
      <c r="E227">
        <v>61</v>
      </c>
      <c r="F227" s="1">
        <f t="shared" si="21"/>
        <v>0.25609756097560976</v>
      </c>
      <c r="G227" s="2">
        <v>94</v>
      </c>
      <c r="H227" s="2">
        <v>101.1</v>
      </c>
      <c r="I227" s="2">
        <f t="shared" si="22"/>
        <v>-7.0999999999999943</v>
      </c>
      <c r="J227" s="1">
        <f t="shared" si="23"/>
        <v>0.26514140361954713</v>
      </c>
      <c r="K227" s="2">
        <v>101.4</v>
      </c>
      <c r="L227" s="2">
        <v>108.8</v>
      </c>
      <c r="M227" s="2">
        <f t="shared" si="24"/>
        <v>-7.3999999999999915</v>
      </c>
      <c r="N227" s="1">
        <f t="shared" si="25"/>
        <v>-9.043842643937372E-3</v>
      </c>
      <c r="O227" s="2">
        <v>97.2</v>
      </c>
      <c r="P227" s="2">
        <v>99.4</v>
      </c>
      <c r="Q227" s="2">
        <f t="shared" si="26"/>
        <v>-2.2000000000000028</v>
      </c>
      <c r="R227" s="2">
        <v>-2.4</v>
      </c>
      <c r="S227" s="2">
        <v>-12.2</v>
      </c>
      <c r="T227" s="2">
        <f t="shared" si="27"/>
        <v>5.1999999999999886</v>
      </c>
    </row>
    <row r="228" spans="1:20">
      <c r="A228" s="6">
        <v>149</v>
      </c>
      <c r="B228" t="s">
        <v>41</v>
      </c>
      <c r="C228" t="s">
        <v>40</v>
      </c>
      <c r="D228">
        <v>26</v>
      </c>
      <c r="E228">
        <v>56</v>
      </c>
      <c r="F228" s="1">
        <f t="shared" si="21"/>
        <v>0.31707317073170732</v>
      </c>
      <c r="G228" s="2">
        <v>96.9</v>
      </c>
      <c r="H228" s="2">
        <v>100.9</v>
      </c>
      <c r="I228" s="2">
        <f t="shared" si="22"/>
        <v>-4</v>
      </c>
      <c r="J228" s="1">
        <f t="shared" si="23"/>
        <v>0.36208969727051943</v>
      </c>
      <c r="K228" s="2">
        <v>101.2</v>
      </c>
      <c r="L228" s="2">
        <v>105.6</v>
      </c>
      <c r="M228" s="2">
        <f t="shared" si="24"/>
        <v>-4.3999999999999915</v>
      </c>
      <c r="N228" s="1">
        <f t="shared" si="25"/>
        <v>-4.5016526538812107E-2</v>
      </c>
      <c r="O228" s="2">
        <v>101.7</v>
      </c>
      <c r="P228" s="2">
        <v>100.9</v>
      </c>
      <c r="Q228" s="2">
        <f t="shared" si="26"/>
        <v>0.79999999999999716</v>
      </c>
      <c r="R228" s="2">
        <v>0.4</v>
      </c>
      <c r="S228" s="2">
        <v>1</v>
      </c>
      <c r="T228" s="2">
        <f t="shared" si="27"/>
        <v>5.1999999999999886</v>
      </c>
    </row>
    <row r="229" spans="1:20">
      <c r="A229" s="6">
        <v>413</v>
      </c>
      <c r="B229" t="s">
        <v>52</v>
      </c>
      <c r="C229" t="s">
        <v>28</v>
      </c>
      <c r="D229">
        <v>62</v>
      </c>
      <c r="E229">
        <v>20</v>
      </c>
      <c r="F229" s="1">
        <f t="shared" si="21"/>
        <v>0.75609756097560976</v>
      </c>
      <c r="G229" s="2">
        <v>105.4</v>
      </c>
      <c r="H229" s="2">
        <v>97.6</v>
      </c>
      <c r="I229" s="2">
        <f t="shared" si="22"/>
        <v>7.8000000000000114</v>
      </c>
      <c r="J229" s="1">
        <f t="shared" si="23"/>
        <v>0.74581059535578331</v>
      </c>
      <c r="K229" s="2">
        <v>109.5</v>
      </c>
      <c r="L229" s="2">
        <v>101.4</v>
      </c>
      <c r="M229" s="2">
        <f t="shared" si="24"/>
        <v>8.0999999999999943</v>
      </c>
      <c r="N229" s="1">
        <f t="shared" si="25"/>
        <v>1.0286965619826449E-2</v>
      </c>
      <c r="O229" s="2">
        <v>116.2</v>
      </c>
      <c r="P229" s="2">
        <v>103</v>
      </c>
      <c r="Q229" s="2">
        <f t="shared" si="26"/>
        <v>13.200000000000003</v>
      </c>
      <c r="R229" s="2">
        <v>2</v>
      </c>
      <c r="S229" s="2">
        <v>9.1999999999999993</v>
      </c>
      <c r="T229" s="2">
        <f t="shared" si="27"/>
        <v>5.1000000000000085</v>
      </c>
    </row>
    <row r="230" spans="1:20">
      <c r="A230" s="6">
        <v>733</v>
      </c>
      <c r="B230" t="s">
        <v>65</v>
      </c>
      <c r="C230" t="s">
        <v>19</v>
      </c>
      <c r="D230">
        <v>47</v>
      </c>
      <c r="E230">
        <v>34</v>
      </c>
      <c r="F230" s="1">
        <f t="shared" si="21"/>
        <v>0.58024691358024694</v>
      </c>
      <c r="G230" s="2">
        <v>115.6</v>
      </c>
      <c r="H230" s="2">
        <v>113.2</v>
      </c>
      <c r="I230" s="2">
        <f t="shared" si="22"/>
        <v>2.3999999999999915</v>
      </c>
      <c r="J230" s="1">
        <f t="shared" si="23"/>
        <v>0.57290588785941787</v>
      </c>
      <c r="K230" s="2">
        <v>115.3</v>
      </c>
      <c r="L230" s="2">
        <v>112.9</v>
      </c>
      <c r="M230" s="2">
        <f t="shared" si="24"/>
        <v>2.3999999999999915</v>
      </c>
      <c r="N230" s="1">
        <f t="shared" si="25"/>
        <v>7.3410257208290641E-3</v>
      </c>
      <c r="O230" s="2">
        <v>102.5</v>
      </c>
      <c r="P230" s="2">
        <v>95</v>
      </c>
      <c r="Q230" s="2">
        <f t="shared" si="26"/>
        <v>7.5</v>
      </c>
      <c r="R230" s="2">
        <v>0.2</v>
      </c>
      <c r="S230" s="2">
        <v>1.6</v>
      </c>
      <c r="T230" s="2">
        <f t="shared" si="27"/>
        <v>5.1000000000000085</v>
      </c>
    </row>
    <row r="231" spans="1:20">
      <c r="A231" s="6">
        <v>561</v>
      </c>
      <c r="B231" t="s">
        <v>59</v>
      </c>
      <c r="C231" t="s">
        <v>26</v>
      </c>
      <c r="D231">
        <v>53</v>
      </c>
      <c r="E231">
        <v>29</v>
      </c>
      <c r="F231" s="1">
        <f t="shared" si="21"/>
        <v>0.64634146341463417</v>
      </c>
      <c r="G231" s="2">
        <v>114.7</v>
      </c>
      <c r="H231" s="2">
        <v>110.5</v>
      </c>
      <c r="I231" s="2">
        <f t="shared" si="22"/>
        <v>4.2000000000000028</v>
      </c>
      <c r="J231" s="1">
        <f t="shared" si="23"/>
        <v>0.62767678935512594</v>
      </c>
      <c r="K231" s="2">
        <v>113.7</v>
      </c>
      <c r="L231" s="2">
        <v>109.5</v>
      </c>
      <c r="M231" s="2">
        <f t="shared" si="24"/>
        <v>4.2000000000000028</v>
      </c>
      <c r="N231" s="1">
        <f t="shared" si="25"/>
        <v>1.8664674059508224E-2</v>
      </c>
      <c r="O231" s="2">
        <v>117.2</v>
      </c>
      <c r="P231" s="2">
        <v>108</v>
      </c>
      <c r="Q231" s="2">
        <f t="shared" si="26"/>
        <v>9.2000000000000028</v>
      </c>
      <c r="R231" s="2">
        <v>0.1</v>
      </c>
      <c r="S231" s="2">
        <v>-1.7</v>
      </c>
      <c r="T231" s="2">
        <f t="shared" si="27"/>
        <v>5</v>
      </c>
    </row>
    <row r="232" spans="1:20">
      <c r="A232" s="6">
        <v>222</v>
      </c>
      <c r="B232" t="s">
        <v>44</v>
      </c>
      <c r="C232" t="s">
        <v>19</v>
      </c>
      <c r="D232">
        <v>26</v>
      </c>
      <c r="E232">
        <v>56</v>
      </c>
      <c r="F232" s="1">
        <f t="shared" si="21"/>
        <v>0.31707317073170732</v>
      </c>
      <c r="G232" s="2">
        <v>97</v>
      </c>
      <c r="H232" s="2">
        <v>103.9</v>
      </c>
      <c r="I232" s="2">
        <f t="shared" si="22"/>
        <v>-6.9000000000000057</v>
      </c>
      <c r="J232" s="1">
        <f t="shared" si="23"/>
        <v>0.27646776360303693</v>
      </c>
      <c r="K232" s="2">
        <v>103.9</v>
      </c>
      <c r="L232" s="2">
        <v>111.1</v>
      </c>
      <c r="M232" s="2">
        <f t="shared" si="24"/>
        <v>-7.1999999999999886</v>
      </c>
      <c r="N232" s="1">
        <f t="shared" si="25"/>
        <v>4.060540712867039E-2</v>
      </c>
      <c r="O232" s="2">
        <v>109.3</v>
      </c>
      <c r="P232" s="2">
        <v>111.5</v>
      </c>
      <c r="Q232" s="2">
        <f t="shared" si="26"/>
        <v>-2.2000000000000028</v>
      </c>
      <c r="R232" s="2">
        <v>-1.7</v>
      </c>
      <c r="S232" s="2">
        <v>-9</v>
      </c>
      <c r="T232" s="2">
        <f t="shared" si="27"/>
        <v>4.9999999999999858</v>
      </c>
    </row>
    <row r="233" spans="1:20">
      <c r="A233" s="6">
        <v>422</v>
      </c>
      <c r="B233" t="s">
        <v>54</v>
      </c>
      <c r="C233" t="s">
        <v>9</v>
      </c>
      <c r="D233">
        <v>53</v>
      </c>
      <c r="E233">
        <v>29</v>
      </c>
      <c r="F233" s="1">
        <f t="shared" si="21"/>
        <v>0.64634146341463417</v>
      </c>
      <c r="G233" s="2">
        <v>103.1</v>
      </c>
      <c r="H233" s="2">
        <v>98.7</v>
      </c>
      <c r="I233" s="2">
        <f t="shared" si="22"/>
        <v>4.3999999999999915</v>
      </c>
      <c r="J233" s="1">
        <f t="shared" si="23"/>
        <v>0.64807816531272</v>
      </c>
      <c r="K233" s="2">
        <v>110.1</v>
      </c>
      <c r="L233" s="2">
        <v>105.3</v>
      </c>
      <c r="M233" s="2">
        <f t="shared" si="24"/>
        <v>4.7999999999999972</v>
      </c>
      <c r="N233" s="1">
        <f t="shared" si="25"/>
        <v>-1.7367018980858351E-3</v>
      </c>
      <c r="O233" s="2">
        <v>112.7</v>
      </c>
      <c r="P233" s="2">
        <v>103</v>
      </c>
      <c r="Q233" s="2">
        <f t="shared" si="26"/>
        <v>9.7000000000000028</v>
      </c>
      <c r="R233" s="2">
        <v>0</v>
      </c>
      <c r="S233" s="2">
        <v>-0.5</v>
      </c>
      <c r="T233" s="2">
        <f t="shared" si="27"/>
        <v>4.9000000000000057</v>
      </c>
    </row>
    <row r="234" spans="1:20">
      <c r="A234" s="6">
        <v>232</v>
      </c>
      <c r="B234" t="s">
        <v>44</v>
      </c>
      <c r="C234" t="s">
        <v>28</v>
      </c>
      <c r="D234">
        <v>56</v>
      </c>
      <c r="E234">
        <v>26</v>
      </c>
      <c r="F234" s="1">
        <f t="shared" si="21"/>
        <v>0.68292682926829273</v>
      </c>
      <c r="G234" s="2">
        <v>95.4</v>
      </c>
      <c r="H234" s="2">
        <v>90.6</v>
      </c>
      <c r="I234" s="2">
        <f t="shared" si="22"/>
        <v>4.8000000000000114</v>
      </c>
      <c r="J234" s="1">
        <f t="shared" si="23"/>
        <v>0.6732103435940866</v>
      </c>
      <c r="K234" s="2">
        <v>106</v>
      </c>
      <c r="L234" s="2">
        <v>100.7</v>
      </c>
      <c r="M234" s="2">
        <f t="shared" si="24"/>
        <v>5.2999999999999972</v>
      </c>
      <c r="N234" s="1">
        <f t="shared" si="25"/>
        <v>9.7164856742061323E-3</v>
      </c>
      <c r="O234" s="2">
        <v>110.6</v>
      </c>
      <c r="P234" s="2">
        <v>100.4</v>
      </c>
      <c r="Q234" s="2">
        <f t="shared" si="26"/>
        <v>10.199999999999989</v>
      </c>
      <c r="R234" s="2">
        <v>1</v>
      </c>
      <c r="S234" s="2">
        <v>6</v>
      </c>
      <c r="T234" s="2">
        <f t="shared" si="27"/>
        <v>4.8999999999999915</v>
      </c>
    </row>
    <row r="235" spans="1:20">
      <c r="A235" s="6">
        <v>172</v>
      </c>
      <c r="B235" t="s">
        <v>41</v>
      </c>
      <c r="C235" t="s">
        <v>28</v>
      </c>
      <c r="D235">
        <v>63</v>
      </c>
      <c r="E235">
        <v>19</v>
      </c>
      <c r="F235" s="1">
        <f t="shared" si="21"/>
        <v>0.76829268292682928</v>
      </c>
      <c r="G235" s="2">
        <v>95.6</v>
      </c>
      <c r="H235" s="2">
        <v>88.8</v>
      </c>
      <c r="I235" s="2">
        <f t="shared" si="22"/>
        <v>6.7999999999999972</v>
      </c>
      <c r="J235" s="1">
        <f t="shared" si="23"/>
        <v>0.7374983301821354</v>
      </c>
      <c r="K235" s="2">
        <v>106.2</v>
      </c>
      <c r="L235" s="2">
        <v>98.7</v>
      </c>
      <c r="M235" s="2">
        <f t="shared" si="24"/>
        <v>7.5</v>
      </c>
      <c r="N235" s="1">
        <f t="shared" si="25"/>
        <v>3.0794352744693887E-2</v>
      </c>
      <c r="O235" s="2">
        <v>102.1</v>
      </c>
      <c r="P235" s="2">
        <v>89.8</v>
      </c>
      <c r="Q235" s="2">
        <f t="shared" si="26"/>
        <v>12.299999999999997</v>
      </c>
      <c r="R235" s="2">
        <v>0.2</v>
      </c>
      <c r="S235" s="2">
        <v>2.6</v>
      </c>
      <c r="T235" s="2">
        <f t="shared" si="27"/>
        <v>4.7999999999999972</v>
      </c>
    </row>
    <row r="236" spans="1:20">
      <c r="A236" s="6">
        <v>538</v>
      </c>
      <c r="B236" t="s">
        <v>59</v>
      </c>
      <c r="C236" t="s">
        <v>6</v>
      </c>
      <c r="D236">
        <v>49</v>
      </c>
      <c r="E236">
        <v>33</v>
      </c>
      <c r="F236" s="1">
        <f t="shared" si="21"/>
        <v>0.59756097560975607</v>
      </c>
      <c r="G236" s="2">
        <v>112.4</v>
      </c>
      <c r="H236" s="2">
        <v>108</v>
      </c>
      <c r="I236" s="2">
        <f t="shared" si="22"/>
        <v>4.4000000000000057</v>
      </c>
      <c r="J236" s="1">
        <f t="shared" si="23"/>
        <v>0.63623453885464354</v>
      </c>
      <c r="K236" s="2">
        <v>111.3</v>
      </c>
      <c r="L236" s="2">
        <v>107</v>
      </c>
      <c r="M236" s="2">
        <f t="shared" si="24"/>
        <v>4.2999999999999972</v>
      </c>
      <c r="N236" s="1">
        <f t="shared" si="25"/>
        <v>-3.8673563244887466E-2</v>
      </c>
      <c r="O236" s="2">
        <v>123.8</v>
      </c>
      <c r="P236" s="2">
        <v>114.7</v>
      </c>
      <c r="Q236" s="2">
        <f t="shared" si="26"/>
        <v>9.0999999999999943</v>
      </c>
      <c r="R236" s="2">
        <v>1.4</v>
      </c>
      <c r="S236" s="2">
        <v>6.9</v>
      </c>
      <c r="T236" s="2">
        <f t="shared" si="27"/>
        <v>4.7999999999999972</v>
      </c>
    </row>
    <row r="237" spans="1:20">
      <c r="A237" s="6">
        <v>151</v>
      </c>
      <c r="B237" t="s">
        <v>41</v>
      </c>
      <c r="C237" t="s">
        <v>9</v>
      </c>
      <c r="D237">
        <v>50</v>
      </c>
      <c r="E237">
        <v>32</v>
      </c>
      <c r="F237" s="1">
        <f t="shared" si="21"/>
        <v>0.6097560975609756</v>
      </c>
      <c r="G237" s="2">
        <v>97.6</v>
      </c>
      <c r="H237" s="2">
        <v>95.4</v>
      </c>
      <c r="I237" s="2">
        <f t="shared" si="22"/>
        <v>2.1999999999999886</v>
      </c>
      <c r="J237" s="1">
        <f t="shared" si="23"/>
        <v>0.57912557114227126</v>
      </c>
      <c r="K237" s="2">
        <v>106.6</v>
      </c>
      <c r="L237" s="2">
        <v>104.4</v>
      </c>
      <c r="M237" s="2">
        <f t="shared" si="24"/>
        <v>2.1999999999999886</v>
      </c>
      <c r="N237" s="1">
        <f t="shared" si="25"/>
        <v>3.063052641870434E-2</v>
      </c>
      <c r="O237" s="2">
        <v>113.8</v>
      </c>
      <c r="P237" s="2">
        <v>106.9</v>
      </c>
      <c r="Q237" s="2">
        <f t="shared" si="26"/>
        <v>6.8999999999999915</v>
      </c>
      <c r="R237" s="2">
        <v>0.6</v>
      </c>
      <c r="S237" s="2">
        <v>3</v>
      </c>
      <c r="T237" s="2">
        <f t="shared" si="27"/>
        <v>4.7000000000000028</v>
      </c>
    </row>
    <row r="238" spans="1:20">
      <c r="A238" s="6">
        <v>203</v>
      </c>
      <c r="B238" t="s">
        <v>43</v>
      </c>
      <c r="C238" t="s">
        <v>29</v>
      </c>
      <c r="D238">
        <v>31</v>
      </c>
      <c r="E238">
        <v>51</v>
      </c>
      <c r="F238" s="1">
        <f t="shared" si="21"/>
        <v>0.37804878048780488</v>
      </c>
      <c r="G238" s="2">
        <v>99.1</v>
      </c>
      <c r="H238" s="2">
        <v>102</v>
      </c>
      <c r="I238" s="2">
        <f t="shared" si="22"/>
        <v>-2.9000000000000057</v>
      </c>
      <c r="J238" s="1">
        <f t="shared" si="23"/>
        <v>0.40039796208658779</v>
      </c>
      <c r="K238" s="2">
        <v>105.9</v>
      </c>
      <c r="L238" s="2">
        <v>108.9</v>
      </c>
      <c r="M238" s="2">
        <f t="shared" si="24"/>
        <v>-3</v>
      </c>
      <c r="N238" s="1">
        <f t="shared" si="25"/>
        <v>-2.2349181598782908E-2</v>
      </c>
      <c r="O238" s="2">
        <v>105.5</v>
      </c>
      <c r="P238" s="2">
        <v>103.8</v>
      </c>
      <c r="Q238" s="2">
        <f t="shared" si="26"/>
        <v>1.7000000000000028</v>
      </c>
      <c r="R238" s="2">
        <v>-0.4</v>
      </c>
      <c r="S238" s="2">
        <v>-2.2999999999999998</v>
      </c>
      <c r="T238" s="2">
        <f t="shared" si="27"/>
        <v>4.7000000000000028</v>
      </c>
    </row>
    <row r="239" spans="1:20">
      <c r="A239" s="6">
        <v>14</v>
      </c>
      <c r="B239" t="s">
        <v>4</v>
      </c>
      <c r="C239" t="s">
        <v>18</v>
      </c>
      <c r="D239">
        <v>50</v>
      </c>
      <c r="E239">
        <v>32</v>
      </c>
      <c r="F239" s="1">
        <f t="shared" si="21"/>
        <v>0.6097560975609756</v>
      </c>
      <c r="G239" s="2">
        <v>88.9</v>
      </c>
      <c r="H239" s="2">
        <v>86.6</v>
      </c>
      <c r="I239" s="2">
        <f t="shared" si="22"/>
        <v>2.3000000000000114</v>
      </c>
      <c r="J239" s="1">
        <f t="shared" si="23"/>
        <v>0.59072724433353874</v>
      </c>
      <c r="K239" s="2">
        <v>99.4</v>
      </c>
      <c r="L239" s="2">
        <v>97.1</v>
      </c>
      <c r="M239" s="2">
        <f t="shared" si="24"/>
        <v>2.3000000000000114</v>
      </c>
      <c r="N239" s="1">
        <f t="shared" si="25"/>
        <v>1.9028853227436859E-2</v>
      </c>
      <c r="O239" s="2">
        <v>99.1</v>
      </c>
      <c r="P239" s="2">
        <v>92.1</v>
      </c>
      <c r="Q239" s="2">
        <f t="shared" si="26"/>
        <v>7</v>
      </c>
      <c r="R239" s="2">
        <v>-0.3</v>
      </c>
      <c r="S239" s="2">
        <v>1.6</v>
      </c>
      <c r="T239" s="2">
        <f t="shared" si="27"/>
        <v>4.6999999999999886</v>
      </c>
    </row>
    <row r="240" spans="1:20">
      <c r="A240" s="6">
        <v>659</v>
      </c>
      <c r="B240" t="s">
        <v>63</v>
      </c>
      <c r="C240" t="s">
        <v>51</v>
      </c>
      <c r="D240">
        <v>45</v>
      </c>
      <c r="E240">
        <v>37</v>
      </c>
      <c r="F240" s="1">
        <f t="shared" si="21"/>
        <v>0.54878048780487809</v>
      </c>
      <c r="G240" s="2">
        <v>113.4</v>
      </c>
      <c r="H240" s="2">
        <v>112.5</v>
      </c>
      <c r="I240" s="2">
        <f t="shared" si="22"/>
        <v>0.90000000000000568</v>
      </c>
      <c r="J240" s="1">
        <f t="shared" si="23"/>
        <v>0.52785970836604967</v>
      </c>
      <c r="K240" s="2">
        <v>114.6</v>
      </c>
      <c r="L240" s="2">
        <v>113.5</v>
      </c>
      <c r="M240" s="2">
        <f t="shared" si="24"/>
        <v>1.0999999999999943</v>
      </c>
      <c r="N240" s="1">
        <f t="shared" si="25"/>
        <v>2.0920779438828419E-2</v>
      </c>
      <c r="O240" s="2">
        <v>115.9</v>
      </c>
      <c r="P240" s="2">
        <v>110.2</v>
      </c>
      <c r="Q240" s="2">
        <f t="shared" si="26"/>
        <v>5.7000000000000028</v>
      </c>
      <c r="R240" s="2">
        <v>0.3</v>
      </c>
      <c r="S240" s="2">
        <v>3.4</v>
      </c>
      <c r="T240" s="2">
        <f t="shared" si="27"/>
        <v>4.6000000000000085</v>
      </c>
    </row>
    <row r="241" spans="1:20">
      <c r="A241" s="6">
        <v>330</v>
      </c>
      <c r="B241" t="s">
        <v>49</v>
      </c>
      <c r="C241" t="s">
        <v>8</v>
      </c>
      <c r="D241">
        <v>50</v>
      </c>
      <c r="E241">
        <v>16</v>
      </c>
      <c r="F241" s="1">
        <f t="shared" si="21"/>
        <v>0.75757575757575757</v>
      </c>
      <c r="G241" s="2">
        <v>96.3</v>
      </c>
      <c r="H241" s="2">
        <v>88.2</v>
      </c>
      <c r="I241" s="2">
        <f t="shared" si="22"/>
        <v>8.0999999999999943</v>
      </c>
      <c r="J241" s="1">
        <f t="shared" si="23"/>
        <v>0.77382889717097558</v>
      </c>
      <c r="K241" s="2">
        <v>106.3</v>
      </c>
      <c r="L241" s="2">
        <v>97.5</v>
      </c>
      <c r="M241" s="2">
        <f t="shared" si="24"/>
        <v>8.7999999999999972</v>
      </c>
      <c r="N241" s="1">
        <f t="shared" si="25"/>
        <v>-1.6253139595218014E-2</v>
      </c>
      <c r="O241" s="2">
        <v>107.5</v>
      </c>
      <c r="P241" s="2">
        <v>94.1</v>
      </c>
      <c r="Q241" s="2">
        <f t="shared" si="26"/>
        <v>13.400000000000006</v>
      </c>
      <c r="R241" s="2">
        <v>2.5</v>
      </c>
      <c r="S241" s="2">
        <v>13.5</v>
      </c>
      <c r="T241" s="2">
        <f t="shared" si="27"/>
        <v>4.6000000000000085</v>
      </c>
    </row>
    <row r="242" spans="1:20">
      <c r="A242" s="6">
        <v>331</v>
      </c>
      <c r="B242" t="s">
        <v>49</v>
      </c>
      <c r="C242" t="s">
        <v>9</v>
      </c>
      <c r="D242">
        <v>21</v>
      </c>
      <c r="E242">
        <v>45</v>
      </c>
      <c r="F242" s="1">
        <f t="shared" si="21"/>
        <v>0.31818181818181818</v>
      </c>
      <c r="G242" s="2">
        <v>93</v>
      </c>
      <c r="H242" s="2">
        <v>100.2</v>
      </c>
      <c r="I242" s="2">
        <f t="shared" si="22"/>
        <v>-7.2000000000000028</v>
      </c>
      <c r="J242" s="1">
        <f t="shared" si="23"/>
        <v>0.2603862977504619</v>
      </c>
      <c r="K242" s="2">
        <v>100</v>
      </c>
      <c r="L242" s="2">
        <v>107.6</v>
      </c>
      <c r="M242" s="2">
        <f t="shared" si="24"/>
        <v>-7.5999999999999943</v>
      </c>
      <c r="N242" s="1">
        <f t="shared" si="25"/>
        <v>5.7795520431356273E-2</v>
      </c>
      <c r="O242" s="2">
        <v>103</v>
      </c>
      <c r="P242" s="2">
        <v>106</v>
      </c>
      <c r="Q242" s="2">
        <f t="shared" si="26"/>
        <v>-3</v>
      </c>
      <c r="R242" s="2">
        <v>0.3</v>
      </c>
      <c r="S242" s="2">
        <v>0.8</v>
      </c>
      <c r="T242" s="2">
        <f t="shared" si="27"/>
        <v>4.5999999999999943</v>
      </c>
    </row>
    <row r="243" spans="1:20">
      <c r="A243" s="6">
        <v>173</v>
      </c>
      <c r="B243" t="s">
        <v>41</v>
      </c>
      <c r="C243" t="s">
        <v>29</v>
      </c>
      <c r="D243">
        <v>35</v>
      </c>
      <c r="E243">
        <v>47</v>
      </c>
      <c r="F243" s="1">
        <f t="shared" si="21"/>
        <v>0.42682926829268292</v>
      </c>
      <c r="G243" s="2">
        <v>102.6</v>
      </c>
      <c r="H243" s="2">
        <v>105.6</v>
      </c>
      <c r="I243" s="2">
        <f t="shared" si="22"/>
        <v>-3</v>
      </c>
      <c r="J243" s="1">
        <f t="shared" si="23"/>
        <v>0.40047504632184655</v>
      </c>
      <c r="K243" s="2">
        <v>109.4</v>
      </c>
      <c r="L243" s="2">
        <v>112.7</v>
      </c>
      <c r="M243" s="2">
        <f t="shared" si="24"/>
        <v>-3.2999999999999972</v>
      </c>
      <c r="N243" s="1">
        <f t="shared" si="25"/>
        <v>2.6354221970836367E-2</v>
      </c>
      <c r="O243" s="2">
        <v>112.8</v>
      </c>
      <c r="P243" s="2">
        <v>111.5</v>
      </c>
      <c r="Q243" s="2">
        <f t="shared" si="26"/>
        <v>1.2999999999999972</v>
      </c>
      <c r="R243" s="2">
        <v>-1.2</v>
      </c>
      <c r="S243" s="2">
        <v>-5.5</v>
      </c>
      <c r="T243" s="2">
        <f t="shared" si="27"/>
        <v>4.5999999999999943</v>
      </c>
    </row>
    <row r="244" spans="1:20">
      <c r="A244" s="6">
        <v>257</v>
      </c>
      <c r="B244" t="s">
        <v>45</v>
      </c>
      <c r="C244" t="s">
        <v>46</v>
      </c>
      <c r="D244">
        <v>23</v>
      </c>
      <c r="E244">
        <v>59</v>
      </c>
      <c r="F244" s="1">
        <f t="shared" si="21"/>
        <v>0.28048780487804881</v>
      </c>
      <c r="G244" s="2">
        <v>97</v>
      </c>
      <c r="H244" s="2">
        <v>103.1</v>
      </c>
      <c r="I244" s="2">
        <f t="shared" si="22"/>
        <v>-6.0999999999999943</v>
      </c>
      <c r="J244" s="1">
        <f t="shared" si="23"/>
        <v>0.29862841677001067</v>
      </c>
      <c r="K244" s="2">
        <v>101.4</v>
      </c>
      <c r="L244" s="2">
        <v>107.6</v>
      </c>
      <c r="M244" s="2">
        <f t="shared" si="24"/>
        <v>-6.1999999999999886</v>
      </c>
      <c r="N244" s="1">
        <f t="shared" si="25"/>
        <v>-1.8140611891961866E-2</v>
      </c>
      <c r="O244" s="2">
        <v>100</v>
      </c>
      <c r="P244" s="2">
        <v>101.6</v>
      </c>
      <c r="Q244" s="2">
        <f t="shared" si="26"/>
        <v>-1.5999999999999943</v>
      </c>
      <c r="R244" s="2">
        <v>-2.2000000000000002</v>
      </c>
      <c r="S244" s="2">
        <v>-10.199999999999999</v>
      </c>
      <c r="T244" s="2">
        <f t="shared" si="27"/>
        <v>4.5999999999999943</v>
      </c>
    </row>
    <row r="245" spans="1:20">
      <c r="A245" s="6">
        <v>414</v>
      </c>
      <c r="B245" t="s">
        <v>52</v>
      </c>
      <c r="C245" t="s">
        <v>30</v>
      </c>
      <c r="D245">
        <v>48</v>
      </c>
      <c r="E245">
        <v>34</v>
      </c>
      <c r="F245" s="1">
        <f t="shared" si="21"/>
        <v>0.58536585365853655</v>
      </c>
      <c r="G245" s="2">
        <v>101.3</v>
      </c>
      <c r="H245" s="2">
        <v>98</v>
      </c>
      <c r="I245" s="2">
        <f t="shared" si="22"/>
        <v>3.2999999999999972</v>
      </c>
      <c r="J245" s="1">
        <f t="shared" si="23"/>
        <v>0.6138832683846418</v>
      </c>
      <c r="K245" s="2">
        <v>107.9</v>
      </c>
      <c r="L245" s="2">
        <v>104.6</v>
      </c>
      <c r="M245" s="2">
        <f t="shared" si="24"/>
        <v>3.3000000000000114</v>
      </c>
      <c r="N245" s="1">
        <f t="shared" si="25"/>
        <v>-2.851741472610525E-2</v>
      </c>
      <c r="O245" s="2">
        <v>102.9</v>
      </c>
      <c r="P245" s="2">
        <v>95</v>
      </c>
      <c r="Q245" s="2">
        <f t="shared" si="26"/>
        <v>7.9000000000000057</v>
      </c>
      <c r="R245" s="2">
        <v>2.4</v>
      </c>
      <c r="S245" s="2">
        <v>12.8</v>
      </c>
      <c r="T245" s="2">
        <f t="shared" si="27"/>
        <v>4.5999999999999943</v>
      </c>
    </row>
    <row r="246" spans="1:20">
      <c r="A246" s="6">
        <v>731</v>
      </c>
      <c r="B246" t="s">
        <v>65</v>
      </c>
      <c r="C246" t="s">
        <v>35</v>
      </c>
      <c r="D246">
        <v>48</v>
      </c>
      <c r="E246">
        <v>34</v>
      </c>
      <c r="F246" s="1">
        <f t="shared" si="21"/>
        <v>0.58536585365853655</v>
      </c>
      <c r="G246" s="2">
        <v>121.7</v>
      </c>
      <c r="H246" s="2">
        <v>116.9</v>
      </c>
      <c r="I246" s="2">
        <f t="shared" si="22"/>
        <v>4.7999999999999972</v>
      </c>
      <c r="J246" s="1">
        <f t="shared" si="23"/>
        <v>0.63723004806999306</v>
      </c>
      <c r="K246" s="2">
        <v>117.2</v>
      </c>
      <c r="L246" s="2">
        <v>112.6</v>
      </c>
      <c r="M246" s="2">
        <f t="shared" si="24"/>
        <v>4.6000000000000085</v>
      </c>
      <c r="N246" s="1">
        <f t="shared" si="25"/>
        <v>-5.186419441145651E-2</v>
      </c>
      <c r="O246" s="2">
        <v>109.2</v>
      </c>
      <c r="P246" s="2">
        <v>100</v>
      </c>
      <c r="Q246" s="2">
        <f t="shared" si="26"/>
        <v>9.2000000000000028</v>
      </c>
      <c r="R246" s="2">
        <v>0.2</v>
      </c>
      <c r="S246" s="2">
        <v>0.2</v>
      </c>
      <c r="T246" s="2">
        <f t="shared" si="27"/>
        <v>4.5999999999999943</v>
      </c>
    </row>
    <row r="247" spans="1:20">
      <c r="A247" s="6">
        <v>399</v>
      </c>
      <c r="B247" t="s">
        <v>52</v>
      </c>
      <c r="C247" t="s">
        <v>16</v>
      </c>
      <c r="D247">
        <v>57</v>
      </c>
      <c r="E247">
        <v>25</v>
      </c>
      <c r="F247" s="1">
        <f t="shared" si="21"/>
        <v>0.69512195121951215</v>
      </c>
      <c r="G247" s="2">
        <v>107.9</v>
      </c>
      <c r="H247" s="2">
        <v>101</v>
      </c>
      <c r="I247" s="2">
        <f t="shared" si="22"/>
        <v>6.9000000000000057</v>
      </c>
      <c r="J247" s="1">
        <f t="shared" si="23"/>
        <v>0.71609658806886933</v>
      </c>
      <c r="K247" s="2">
        <v>111.3</v>
      </c>
      <c r="L247" s="2">
        <v>104</v>
      </c>
      <c r="M247" s="2">
        <f t="shared" si="24"/>
        <v>7.2999999999999972</v>
      </c>
      <c r="N247" s="1">
        <f t="shared" si="25"/>
        <v>-2.0974636849357187E-2</v>
      </c>
      <c r="O247" s="2">
        <v>111.8</v>
      </c>
      <c r="P247" s="2">
        <v>100</v>
      </c>
      <c r="Q247" s="2">
        <f t="shared" si="26"/>
        <v>11.799999999999997</v>
      </c>
      <c r="R247" s="2">
        <v>1.6</v>
      </c>
      <c r="S247" s="2">
        <v>6.8</v>
      </c>
      <c r="T247" s="2">
        <f t="shared" si="27"/>
        <v>4.5</v>
      </c>
    </row>
    <row r="248" spans="1:20">
      <c r="A248" s="6">
        <v>626</v>
      </c>
      <c r="B248" t="s">
        <v>61</v>
      </c>
      <c r="C248" t="s">
        <v>33</v>
      </c>
      <c r="D248">
        <v>34</v>
      </c>
      <c r="E248">
        <v>38</v>
      </c>
      <c r="F248" s="1">
        <f t="shared" si="21"/>
        <v>0.47222222222222221</v>
      </c>
      <c r="G248" s="2">
        <v>116.6</v>
      </c>
      <c r="H248" s="2">
        <v>118.5</v>
      </c>
      <c r="I248" s="2">
        <f t="shared" si="22"/>
        <v>-1.9000000000000057</v>
      </c>
      <c r="J248" s="1">
        <f t="shared" si="23"/>
        <v>0.44366728176929326</v>
      </c>
      <c r="K248" s="2">
        <v>110.7</v>
      </c>
      <c r="L248" s="2">
        <v>112.3</v>
      </c>
      <c r="M248" s="2">
        <f t="shared" si="24"/>
        <v>-1.5999999999999943</v>
      </c>
      <c r="N248" s="1">
        <f t="shared" si="25"/>
        <v>2.8554940452928945E-2</v>
      </c>
      <c r="O248" s="2">
        <v>110.5</v>
      </c>
      <c r="P248" s="2">
        <v>107.7</v>
      </c>
      <c r="Q248" s="2">
        <f t="shared" si="26"/>
        <v>2.7999999999999972</v>
      </c>
      <c r="R248" s="2">
        <v>-0.3</v>
      </c>
      <c r="S248" s="2">
        <v>-0.7</v>
      </c>
      <c r="T248" s="2">
        <f t="shared" si="27"/>
        <v>4.3999999999999915</v>
      </c>
    </row>
    <row r="249" spans="1:20">
      <c r="A249" s="6">
        <v>238</v>
      </c>
      <c r="B249" t="s">
        <v>45</v>
      </c>
      <c r="C249" t="s">
        <v>6</v>
      </c>
      <c r="D249">
        <v>62</v>
      </c>
      <c r="E249">
        <v>20</v>
      </c>
      <c r="F249" s="1">
        <f t="shared" si="21"/>
        <v>0.75609756097560976</v>
      </c>
      <c r="G249" s="2">
        <v>100.9</v>
      </c>
      <c r="H249" s="2">
        <v>93.4</v>
      </c>
      <c r="I249" s="2">
        <f t="shared" si="22"/>
        <v>7.5</v>
      </c>
      <c r="J249" s="1">
        <f t="shared" si="23"/>
        <v>0.74674751044772081</v>
      </c>
      <c r="K249" s="2">
        <v>109.5</v>
      </c>
      <c r="L249" s="2">
        <v>101.6</v>
      </c>
      <c r="M249" s="2">
        <f t="shared" si="24"/>
        <v>7.9000000000000057</v>
      </c>
      <c r="N249" s="1">
        <f t="shared" si="25"/>
        <v>9.3500505278889534E-3</v>
      </c>
      <c r="O249" s="2">
        <v>113.7</v>
      </c>
      <c r="P249" s="2">
        <v>101.4</v>
      </c>
      <c r="Q249" s="2">
        <f t="shared" si="26"/>
        <v>12.299999999999997</v>
      </c>
      <c r="R249" s="2">
        <v>0.5</v>
      </c>
      <c r="S249" s="2">
        <v>3</v>
      </c>
      <c r="T249" s="2">
        <f t="shared" si="27"/>
        <v>4.3999999999999915</v>
      </c>
    </row>
    <row r="250" spans="1:20">
      <c r="A250" s="6">
        <v>131</v>
      </c>
      <c r="B250" t="s">
        <v>39</v>
      </c>
      <c r="C250" t="s">
        <v>18</v>
      </c>
      <c r="D250">
        <v>59</v>
      </c>
      <c r="E250">
        <v>23</v>
      </c>
      <c r="F250" s="1">
        <f t="shared" si="21"/>
        <v>0.71951219512195119</v>
      </c>
      <c r="G250" s="2">
        <v>101.5</v>
      </c>
      <c r="H250" s="2">
        <v>95</v>
      </c>
      <c r="I250" s="2">
        <f t="shared" si="22"/>
        <v>6.5</v>
      </c>
      <c r="J250" s="1">
        <f t="shared" si="23"/>
        <v>0.71637416016050837</v>
      </c>
      <c r="K250" s="2">
        <v>108.9</v>
      </c>
      <c r="L250" s="2">
        <v>102.2</v>
      </c>
      <c r="M250" s="2">
        <f t="shared" si="24"/>
        <v>6.7000000000000028</v>
      </c>
      <c r="N250" s="1">
        <f t="shared" si="25"/>
        <v>3.138034961442826E-3</v>
      </c>
      <c r="O250" s="2">
        <v>108.8</v>
      </c>
      <c r="P250" s="2">
        <v>97.7</v>
      </c>
      <c r="Q250" s="2">
        <f t="shared" si="26"/>
        <v>11.099999999999994</v>
      </c>
      <c r="R250" s="2">
        <v>2.4</v>
      </c>
      <c r="S250" s="2">
        <v>15.6</v>
      </c>
      <c r="T250" s="2">
        <f t="shared" si="27"/>
        <v>4.3999999999999915</v>
      </c>
    </row>
    <row r="251" spans="1:20">
      <c r="A251" s="6">
        <v>647</v>
      </c>
      <c r="B251" t="s">
        <v>62</v>
      </c>
      <c r="C251" t="s">
        <v>46</v>
      </c>
      <c r="D251">
        <v>24</v>
      </c>
      <c r="E251">
        <v>58</v>
      </c>
      <c r="F251" s="1">
        <f t="shared" si="21"/>
        <v>0.29268292682926828</v>
      </c>
      <c r="G251" s="2">
        <v>103.7</v>
      </c>
      <c r="H251" s="2">
        <v>111.8</v>
      </c>
      <c r="I251" s="2">
        <f t="shared" si="22"/>
        <v>-8.0999999999999943</v>
      </c>
      <c r="J251" s="1">
        <f t="shared" si="23"/>
        <v>0.25866242852383342</v>
      </c>
      <c r="K251" s="2">
        <v>103.8</v>
      </c>
      <c r="L251" s="2">
        <v>111.7</v>
      </c>
      <c r="M251" s="2">
        <f t="shared" si="24"/>
        <v>-7.9000000000000057</v>
      </c>
      <c r="N251" s="1">
        <f t="shared" si="25"/>
        <v>3.4020498305434854E-2</v>
      </c>
      <c r="O251" s="2">
        <v>105.1</v>
      </c>
      <c r="P251" s="2">
        <v>108.7</v>
      </c>
      <c r="Q251" s="2">
        <f t="shared" si="26"/>
        <v>-3.6000000000000085</v>
      </c>
      <c r="R251" s="2">
        <v>-0.7</v>
      </c>
      <c r="S251" s="2">
        <v>-2.5</v>
      </c>
      <c r="T251" s="2">
        <f t="shared" si="27"/>
        <v>4.2999999999999972</v>
      </c>
    </row>
    <row r="252" spans="1:20">
      <c r="A252" s="6">
        <v>263</v>
      </c>
      <c r="B252" t="s">
        <v>45</v>
      </c>
      <c r="C252" t="s">
        <v>28</v>
      </c>
      <c r="D252">
        <v>54</v>
      </c>
      <c r="E252">
        <v>28</v>
      </c>
      <c r="F252" s="1">
        <f t="shared" si="21"/>
        <v>0.65853658536585369</v>
      </c>
      <c r="G252" s="2">
        <v>97</v>
      </c>
      <c r="H252" s="2">
        <v>93.3</v>
      </c>
      <c r="I252" s="2">
        <f t="shared" si="22"/>
        <v>3.7000000000000028</v>
      </c>
      <c r="J252" s="1">
        <f t="shared" si="23"/>
        <v>0.63285214825789127</v>
      </c>
      <c r="K252" s="2">
        <v>107.6</v>
      </c>
      <c r="L252" s="2">
        <v>103.4</v>
      </c>
      <c r="M252" s="2">
        <f t="shared" si="24"/>
        <v>4.1999999999999886</v>
      </c>
      <c r="N252" s="1">
        <f t="shared" si="25"/>
        <v>2.5684437107962421E-2</v>
      </c>
      <c r="O252" s="2">
        <v>104.3</v>
      </c>
      <c r="P252" s="2">
        <v>95.9</v>
      </c>
      <c r="Q252" s="2">
        <f t="shared" si="26"/>
        <v>8.3999999999999915</v>
      </c>
      <c r="R252" s="2">
        <v>0.7</v>
      </c>
      <c r="S252" s="2">
        <v>4.4000000000000004</v>
      </c>
      <c r="T252" s="2">
        <f t="shared" si="27"/>
        <v>4.2000000000000028</v>
      </c>
    </row>
    <row r="253" spans="1:20">
      <c r="A253" s="6">
        <v>373</v>
      </c>
      <c r="B253" t="s">
        <v>50</v>
      </c>
      <c r="C253" t="s">
        <v>19</v>
      </c>
      <c r="D253">
        <v>38</v>
      </c>
      <c r="E253">
        <v>44</v>
      </c>
      <c r="F253" s="1">
        <f t="shared" si="21"/>
        <v>0.46341463414634149</v>
      </c>
      <c r="G253" s="2">
        <v>98.9</v>
      </c>
      <c r="H253" s="2">
        <v>100.4</v>
      </c>
      <c r="I253" s="2">
        <f t="shared" si="22"/>
        <v>-1.5</v>
      </c>
      <c r="J253" s="1">
        <f t="shared" si="23"/>
        <v>0.44750873634234695</v>
      </c>
      <c r="K253" s="2">
        <v>102.5</v>
      </c>
      <c r="L253" s="2">
        <v>104.2</v>
      </c>
      <c r="M253" s="2">
        <f t="shared" si="24"/>
        <v>-1.7000000000000028</v>
      </c>
      <c r="N253" s="1">
        <f t="shared" si="25"/>
        <v>1.590589780399454E-2</v>
      </c>
      <c r="O253" s="2">
        <v>101.6</v>
      </c>
      <c r="P253" s="2">
        <v>99.1</v>
      </c>
      <c r="Q253" s="2">
        <f t="shared" si="26"/>
        <v>2.5</v>
      </c>
      <c r="R253" s="2">
        <v>-1.2</v>
      </c>
      <c r="S253" s="2">
        <v>-6.5</v>
      </c>
      <c r="T253" s="2">
        <f t="shared" si="27"/>
        <v>4.2000000000000028</v>
      </c>
    </row>
    <row r="254" spans="1:20">
      <c r="A254" s="6">
        <v>187</v>
      </c>
      <c r="B254" t="s">
        <v>43</v>
      </c>
      <c r="C254" t="s">
        <v>15</v>
      </c>
      <c r="D254">
        <v>35</v>
      </c>
      <c r="E254">
        <v>47</v>
      </c>
      <c r="F254" s="1">
        <f t="shared" si="21"/>
        <v>0.42682926829268292</v>
      </c>
      <c r="G254" s="2">
        <v>95.6</v>
      </c>
      <c r="H254" s="2">
        <v>98</v>
      </c>
      <c r="I254" s="2">
        <f t="shared" si="22"/>
        <v>-2.4000000000000057</v>
      </c>
      <c r="J254" s="1">
        <f t="shared" si="23"/>
        <v>0.41407972075394056</v>
      </c>
      <c r="K254" s="2">
        <v>101.9</v>
      </c>
      <c r="L254" s="2">
        <v>104.4</v>
      </c>
      <c r="M254" s="2">
        <f t="shared" si="24"/>
        <v>-2.5</v>
      </c>
      <c r="N254" s="1">
        <f t="shared" si="25"/>
        <v>1.2749547538742356E-2</v>
      </c>
      <c r="O254" s="2">
        <v>102.9</v>
      </c>
      <c r="P254" s="2">
        <v>101.2</v>
      </c>
      <c r="Q254" s="2">
        <f t="shared" si="26"/>
        <v>1.7000000000000028</v>
      </c>
      <c r="R254" s="2">
        <v>-0.4</v>
      </c>
      <c r="S254" s="2">
        <v>-2.9</v>
      </c>
      <c r="T254" s="2">
        <f t="shared" si="27"/>
        <v>4.2000000000000028</v>
      </c>
    </row>
    <row r="255" spans="1:20">
      <c r="A255" s="6">
        <v>459</v>
      </c>
      <c r="B255" t="s">
        <v>55</v>
      </c>
      <c r="C255" t="s">
        <v>56</v>
      </c>
      <c r="D255">
        <v>53</v>
      </c>
      <c r="E255">
        <v>29</v>
      </c>
      <c r="F255" s="1">
        <f t="shared" si="21"/>
        <v>0.64634146341463417</v>
      </c>
      <c r="G255" s="2">
        <v>104.5</v>
      </c>
      <c r="H255" s="2">
        <v>100.2</v>
      </c>
      <c r="I255" s="2">
        <f t="shared" si="22"/>
        <v>4.2999999999999972</v>
      </c>
      <c r="J255" s="1">
        <f t="shared" si="23"/>
        <v>0.64296680993487854</v>
      </c>
      <c r="K255" s="2">
        <v>107.2</v>
      </c>
      <c r="L255" s="2">
        <v>102.7</v>
      </c>
      <c r="M255" s="2">
        <f t="shared" si="24"/>
        <v>4.5</v>
      </c>
      <c r="N255" s="1">
        <f t="shared" si="25"/>
        <v>3.3746534797556293E-3</v>
      </c>
      <c r="O255" s="2">
        <v>111.5</v>
      </c>
      <c r="P255" s="2">
        <v>102.8</v>
      </c>
      <c r="Q255" s="2">
        <f t="shared" si="26"/>
        <v>8.7000000000000028</v>
      </c>
      <c r="R255" s="2">
        <v>-0.2</v>
      </c>
      <c r="S255" s="2">
        <v>0</v>
      </c>
      <c r="T255" s="2">
        <f t="shared" si="27"/>
        <v>4.2000000000000028</v>
      </c>
    </row>
    <row r="256" spans="1:20">
      <c r="A256" s="6">
        <v>15</v>
      </c>
      <c r="B256" t="s">
        <v>4</v>
      </c>
      <c r="C256" t="s">
        <v>19</v>
      </c>
      <c r="D256">
        <v>52</v>
      </c>
      <c r="E256">
        <v>30</v>
      </c>
      <c r="F256" s="1">
        <f t="shared" si="21"/>
        <v>0.63414634146341464</v>
      </c>
      <c r="G256" s="2">
        <v>100.7</v>
      </c>
      <c r="H256" s="2">
        <v>96.9</v>
      </c>
      <c r="I256" s="2">
        <f t="shared" si="22"/>
        <v>3.7999999999999972</v>
      </c>
      <c r="J256" s="1">
        <f t="shared" si="23"/>
        <v>0.63146991070867009</v>
      </c>
      <c r="K256" s="2">
        <v>106.8</v>
      </c>
      <c r="L256" s="2">
        <v>102.6</v>
      </c>
      <c r="M256" s="2">
        <f t="shared" si="24"/>
        <v>4.2000000000000028</v>
      </c>
      <c r="N256" s="1">
        <f t="shared" si="25"/>
        <v>2.6764307547445521E-3</v>
      </c>
      <c r="O256" s="2">
        <v>112.2</v>
      </c>
      <c r="P256" s="2">
        <v>103.8</v>
      </c>
      <c r="Q256" s="2">
        <f t="shared" si="26"/>
        <v>8.4000000000000057</v>
      </c>
      <c r="R256" s="2">
        <v>0.2</v>
      </c>
      <c r="S256" s="2">
        <v>3.7</v>
      </c>
      <c r="T256" s="2">
        <f t="shared" si="27"/>
        <v>4.2000000000000028</v>
      </c>
    </row>
    <row r="257" spans="1:20">
      <c r="A257" s="6">
        <v>707</v>
      </c>
      <c r="B257" t="s">
        <v>64</v>
      </c>
      <c r="C257" t="s">
        <v>46</v>
      </c>
      <c r="D257">
        <v>57</v>
      </c>
      <c r="E257">
        <v>25</v>
      </c>
      <c r="F257" s="1">
        <f t="shared" si="21"/>
        <v>0.69512195121951215</v>
      </c>
      <c r="G257" s="2">
        <v>120.1</v>
      </c>
      <c r="H257" s="2">
        <v>112.7</v>
      </c>
      <c r="I257" s="2">
        <f t="shared" si="22"/>
        <v>7.3999999999999915</v>
      </c>
      <c r="J257" s="1">
        <f t="shared" si="23"/>
        <v>0.70895915812510701</v>
      </c>
      <c r="K257" s="2">
        <v>118.3</v>
      </c>
      <c r="L257" s="2">
        <v>111</v>
      </c>
      <c r="M257" s="2">
        <f t="shared" si="24"/>
        <v>7.2999999999999972</v>
      </c>
      <c r="N257" s="1">
        <f t="shared" si="25"/>
        <v>-1.3837206905594868E-2</v>
      </c>
      <c r="O257" s="2">
        <v>125.5</v>
      </c>
      <c r="P257" s="2">
        <v>114</v>
      </c>
      <c r="Q257" s="2">
        <f t="shared" si="26"/>
        <v>11.5</v>
      </c>
      <c r="R257" s="2">
        <v>0.8</v>
      </c>
      <c r="S257" s="2">
        <v>3.3</v>
      </c>
      <c r="T257" s="2">
        <f t="shared" si="27"/>
        <v>4.2000000000000028</v>
      </c>
    </row>
    <row r="258" spans="1:20">
      <c r="A258" s="6">
        <v>305</v>
      </c>
      <c r="B258" t="s">
        <v>48</v>
      </c>
      <c r="C258" t="s">
        <v>13</v>
      </c>
      <c r="D258">
        <v>36</v>
      </c>
      <c r="E258">
        <v>46</v>
      </c>
      <c r="F258" s="1">
        <f t="shared" si="21"/>
        <v>0.43902439024390244</v>
      </c>
      <c r="G258" s="2">
        <v>103.4</v>
      </c>
      <c r="H258" s="2">
        <v>105.7</v>
      </c>
      <c r="I258" s="2">
        <f t="shared" si="22"/>
        <v>-2.2999999999999972</v>
      </c>
      <c r="J258" s="1">
        <f t="shared" si="23"/>
        <v>0.42360322763648928</v>
      </c>
      <c r="K258" s="2">
        <v>107.1</v>
      </c>
      <c r="L258" s="2">
        <v>109.4</v>
      </c>
      <c r="M258" s="2">
        <f t="shared" si="24"/>
        <v>-2.3000000000000114</v>
      </c>
      <c r="N258" s="1">
        <f t="shared" si="25"/>
        <v>1.5421162607413164E-2</v>
      </c>
      <c r="O258" s="2">
        <v>113</v>
      </c>
      <c r="P258" s="2">
        <v>111.2</v>
      </c>
      <c r="Q258" s="2">
        <f t="shared" si="26"/>
        <v>1.7999999999999972</v>
      </c>
      <c r="R258" s="2">
        <v>-0.1</v>
      </c>
      <c r="S258" s="2">
        <v>-1</v>
      </c>
      <c r="T258" s="2">
        <f t="shared" si="27"/>
        <v>4.1000000000000085</v>
      </c>
    </row>
    <row r="259" spans="1:20">
      <c r="A259" s="6">
        <v>110</v>
      </c>
      <c r="B259" t="s">
        <v>38</v>
      </c>
      <c r="C259" t="s">
        <v>26</v>
      </c>
      <c r="D259">
        <v>41</v>
      </c>
      <c r="E259">
        <v>41</v>
      </c>
      <c r="F259" s="1">
        <f t="shared" si="21"/>
        <v>0.5</v>
      </c>
      <c r="G259" s="2">
        <v>90.7</v>
      </c>
      <c r="H259" s="2">
        <v>92</v>
      </c>
      <c r="I259" s="2">
        <f t="shared" si="22"/>
        <v>-1.2999999999999972</v>
      </c>
      <c r="J259" s="1">
        <f t="shared" si="23"/>
        <v>0.45035484545137711</v>
      </c>
      <c r="K259" s="2">
        <v>102.1</v>
      </c>
      <c r="L259" s="2">
        <v>103.5</v>
      </c>
      <c r="M259" s="2">
        <f t="shared" si="24"/>
        <v>-1.4000000000000057</v>
      </c>
      <c r="N259" s="1">
        <f t="shared" si="25"/>
        <v>4.9645154548622894E-2</v>
      </c>
      <c r="O259" s="2">
        <v>101.4</v>
      </c>
      <c r="P259" s="2">
        <v>98.8</v>
      </c>
      <c r="Q259" s="2">
        <f t="shared" si="26"/>
        <v>2.6000000000000085</v>
      </c>
      <c r="R259" s="2">
        <v>-1.1000000000000001</v>
      </c>
      <c r="S259" s="2">
        <v>-5.4</v>
      </c>
      <c r="T259" s="2">
        <f t="shared" si="27"/>
        <v>4.0000000000000142</v>
      </c>
    </row>
    <row r="260" spans="1:20">
      <c r="A260" s="6">
        <v>35</v>
      </c>
      <c r="B260" t="s">
        <v>34</v>
      </c>
      <c r="C260" t="s">
        <v>10</v>
      </c>
      <c r="D260">
        <v>57</v>
      </c>
      <c r="E260">
        <v>25</v>
      </c>
      <c r="F260" s="1">
        <f t="shared" si="21"/>
        <v>0.69512195121951215</v>
      </c>
      <c r="G260" s="2">
        <v>105.2</v>
      </c>
      <c r="H260" s="2">
        <v>101</v>
      </c>
      <c r="I260" s="2">
        <f t="shared" si="22"/>
        <v>4.2000000000000028</v>
      </c>
      <c r="J260" s="1">
        <f t="shared" si="23"/>
        <v>0.63885522994426547</v>
      </c>
      <c r="K260" s="2">
        <v>110.3</v>
      </c>
      <c r="L260" s="2">
        <v>106</v>
      </c>
      <c r="M260" s="2">
        <f t="shared" si="24"/>
        <v>4.2999999999999972</v>
      </c>
      <c r="N260" s="1">
        <f t="shared" si="25"/>
        <v>5.6266721275246678E-2</v>
      </c>
      <c r="O260" s="2">
        <v>115.5</v>
      </c>
      <c r="P260" s="2">
        <v>107.2</v>
      </c>
      <c r="Q260" s="2">
        <f t="shared" si="26"/>
        <v>8.2999999999999972</v>
      </c>
      <c r="R260" s="2">
        <v>1.5</v>
      </c>
      <c r="S260" s="2">
        <v>8.1999999999999993</v>
      </c>
      <c r="T260" s="2">
        <f t="shared" si="27"/>
        <v>4</v>
      </c>
    </row>
    <row r="261" spans="1:20">
      <c r="A261" s="6">
        <v>341</v>
      </c>
      <c r="B261" t="s">
        <v>49</v>
      </c>
      <c r="C261" t="s">
        <v>18</v>
      </c>
      <c r="D261">
        <v>46</v>
      </c>
      <c r="E261">
        <v>20</v>
      </c>
      <c r="F261" s="1">
        <f t="shared" si="21"/>
        <v>0.69696969696969702</v>
      </c>
      <c r="G261" s="2">
        <v>98.5</v>
      </c>
      <c r="H261" s="2">
        <v>92.5</v>
      </c>
      <c r="I261" s="2">
        <f t="shared" si="22"/>
        <v>6</v>
      </c>
      <c r="J261" s="1">
        <f t="shared" si="23"/>
        <v>0.70679541613451391</v>
      </c>
      <c r="K261" s="2">
        <v>105.6</v>
      </c>
      <c r="L261" s="2">
        <v>99.2</v>
      </c>
      <c r="M261" s="2">
        <f t="shared" si="24"/>
        <v>6.3999999999999915</v>
      </c>
      <c r="N261" s="1">
        <f t="shared" si="25"/>
        <v>-9.8257191648168929E-3</v>
      </c>
      <c r="O261" s="2">
        <v>100.8</v>
      </c>
      <c r="P261" s="2">
        <v>90.4</v>
      </c>
      <c r="Q261" s="2">
        <f t="shared" si="26"/>
        <v>10.399999999999991</v>
      </c>
      <c r="R261" s="2">
        <v>0.6</v>
      </c>
      <c r="S261" s="2">
        <v>4.0999999999999996</v>
      </c>
      <c r="T261" s="2">
        <f t="shared" si="27"/>
        <v>4</v>
      </c>
    </row>
    <row r="262" spans="1:20">
      <c r="A262" s="6">
        <v>85</v>
      </c>
      <c r="B262" t="s">
        <v>36</v>
      </c>
      <c r="C262" t="s">
        <v>30</v>
      </c>
      <c r="D262">
        <v>24</v>
      </c>
      <c r="E262">
        <v>58</v>
      </c>
      <c r="F262" s="1">
        <f t="shared" si="21"/>
        <v>0.29268292682926828</v>
      </c>
      <c r="G262" s="2">
        <v>90.9</v>
      </c>
      <c r="H262" s="2">
        <v>96.8</v>
      </c>
      <c r="I262" s="2">
        <f t="shared" si="22"/>
        <v>-5.8999999999999915</v>
      </c>
      <c r="J262" s="1">
        <f t="shared" si="23"/>
        <v>0.29309118654274396</v>
      </c>
      <c r="K262" s="2">
        <v>99.3</v>
      </c>
      <c r="L262" s="2">
        <v>105.6</v>
      </c>
      <c r="M262" s="2">
        <f t="shared" si="24"/>
        <v>-6.2999999999999972</v>
      </c>
      <c r="N262" s="1">
        <f t="shared" si="25"/>
        <v>-4.0825971347568935E-4</v>
      </c>
      <c r="O262" s="2">
        <v>101.2</v>
      </c>
      <c r="P262" s="2">
        <v>103.7</v>
      </c>
      <c r="Q262" s="2">
        <f t="shared" si="26"/>
        <v>-2.5</v>
      </c>
      <c r="R262" s="2">
        <v>-1</v>
      </c>
      <c r="S262" s="2">
        <v>-6.2</v>
      </c>
      <c r="T262" s="2">
        <f t="shared" si="27"/>
        <v>3.7999999999999972</v>
      </c>
    </row>
    <row r="263" spans="1:20">
      <c r="A263" s="6">
        <v>230</v>
      </c>
      <c r="B263" t="s">
        <v>44</v>
      </c>
      <c r="C263" t="s">
        <v>26</v>
      </c>
      <c r="D263">
        <v>41</v>
      </c>
      <c r="E263">
        <v>41</v>
      </c>
      <c r="F263" s="1">
        <f t="shared" si="21"/>
        <v>0.5</v>
      </c>
      <c r="G263" s="2">
        <v>95.4</v>
      </c>
      <c r="H263" s="2">
        <v>96.3</v>
      </c>
      <c r="I263" s="2">
        <f t="shared" si="22"/>
        <v>-0.89999999999999147</v>
      </c>
      <c r="J263" s="1">
        <f t="shared" si="23"/>
        <v>0.46718315355083007</v>
      </c>
      <c r="K263" s="2">
        <v>105.9</v>
      </c>
      <c r="L263" s="2">
        <v>106.8</v>
      </c>
      <c r="M263" s="2">
        <f t="shared" si="24"/>
        <v>-0.89999999999999147</v>
      </c>
      <c r="N263" s="1">
        <f t="shared" si="25"/>
        <v>3.2816846449169934E-2</v>
      </c>
      <c r="O263" s="2">
        <v>110.6</v>
      </c>
      <c r="P263" s="2">
        <v>107.7</v>
      </c>
      <c r="Q263" s="2">
        <f t="shared" si="26"/>
        <v>2.8999999999999915</v>
      </c>
      <c r="R263" s="2">
        <v>0.1</v>
      </c>
      <c r="S263" s="2">
        <v>0.9</v>
      </c>
      <c r="T263" s="2">
        <f t="shared" si="27"/>
        <v>3.7999999999999829</v>
      </c>
    </row>
    <row r="264" spans="1:20">
      <c r="A264" s="6">
        <v>666</v>
      </c>
      <c r="B264" t="s">
        <v>63</v>
      </c>
      <c r="C264" t="s">
        <v>13</v>
      </c>
      <c r="D264">
        <v>44</v>
      </c>
      <c r="E264">
        <v>38</v>
      </c>
      <c r="F264" s="1">
        <f t="shared" si="21"/>
        <v>0.53658536585365857</v>
      </c>
      <c r="G264" s="2">
        <v>118.9</v>
      </c>
      <c r="H264" s="2">
        <v>117.1</v>
      </c>
      <c r="I264" s="2">
        <f t="shared" si="22"/>
        <v>1.8000000000000114</v>
      </c>
      <c r="J264" s="1">
        <f t="shared" si="23"/>
        <v>0.55318886020704383</v>
      </c>
      <c r="K264" s="2">
        <v>115.1</v>
      </c>
      <c r="L264" s="2">
        <v>113.4</v>
      </c>
      <c r="M264" s="2">
        <f t="shared" si="24"/>
        <v>1.6999999999999886</v>
      </c>
      <c r="N264" s="1">
        <f t="shared" si="25"/>
        <v>-1.6603494353385262E-2</v>
      </c>
      <c r="O264" s="2">
        <v>104</v>
      </c>
      <c r="P264" s="2">
        <v>98.6</v>
      </c>
      <c r="Q264" s="2">
        <f t="shared" si="26"/>
        <v>5.4000000000000057</v>
      </c>
      <c r="R264" s="2">
        <v>0.8</v>
      </c>
      <c r="S264" s="2">
        <v>2.2999999999999998</v>
      </c>
      <c r="T264" s="2">
        <f t="shared" si="27"/>
        <v>3.7000000000000171</v>
      </c>
    </row>
    <row r="265" spans="1:20">
      <c r="A265" s="6">
        <v>474</v>
      </c>
      <c r="B265" t="s">
        <v>55</v>
      </c>
      <c r="C265" t="s">
        <v>30</v>
      </c>
      <c r="D265">
        <v>56</v>
      </c>
      <c r="E265">
        <v>26</v>
      </c>
      <c r="F265" s="1">
        <f t="shared" ref="F265:F328" si="28">+D265/(D265+E265)</f>
        <v>0.68292682926829273</v>
      </c>
      <c r="G265" s="2">
        <v>102.7</v>
      </c>
      <c r="H265" s="2">
        <v>98.2</v>
      </c>
      <c r="I265" s="2">
        <f t="shared" ref="I265:I328" si="29">+G265-H265</f>
        <v>4.5</v>
      </c>
      <c r="J265" s="1">
        <f t="shared" ref="J265:J328" si="30">+(G265^14)/((G265^14+H265^14))</f>
        <v>0.65187304994551343</v>
      </c>
      <c r="K265" s="2">
        <v>109.3</v>
      </c>
      <c r="L265" s="2">
        <v>104.8</v>
      </c>
      <c r="M265" s="2">
        <f t="shared" ref="M265:M328" si="31">+K265-L265</f>
        <v>4.5</v>
      </c>
      <c r="N265" s="1">
        <f t="shared" ref="N265:N328" si="32">+F265-J265</f>
        <v>3.1053779322779307E-2</v>
      </c>
      <c r="O265" s="2">
        <v>108.5</v>
      </c>
      <c r="P265" s="2">
        <v>100.3</v>
      </c>
      <c r="Q265" s="2">
        <f t="shared" ref="Q265:Q328" si="33">+O265-P265</f>
        <v>8.2000000000000028</v>
      </c>
      <c r="R265" s="2">
        <v>1.5</v>
      </c>
      <c r="S265" s="2">
        <v>7.7</v>
      </c>
      <c r="T265" s="2">
        <f t="shared" ref="T265:T328" si="34">+Q265-M265</f>
        <v>3.7000000000000028</v>
      </c>
    </row>
    <row r="266" spans="1:20">
      <c r="A266" s="6">
        <v>670</v>
      </c>
      <c r="B266" t="s">
        <v>63</v>
      </c>
      <c r="C266" t="s">
        <v>17</v>
      </c>
      <c r="D266">
        <v>43</v>
      </c>
      <c r="E266">
        <v>39</v>
      </c>
      <c r="F266" s="1">
        <f t="shared" si="28"/>
        <v>0.52439024390243905</v>
      </c>
      <c r="G266" s="2">
        <v>117.2</v>
      </c>
      <c r="H266" s="2">
        <v>116.6</v>
      </c>
      <c r="I266" s="2">
        <f t="shared" si="29"/>
        <v>0.60000000000000853</v>
      </c>
      <c r="J266" s="1">
        <f t="shared" si="30"/>
        <v>0.5179563857008791</v>
      </c>
      <c r="K266" s="2">
        <v>113.9</v>
      </c>
      <c r="L266" s="2">
        <v>113.2</v>
      </c>
      <c r="M266" s="2">
        <f t="shared" si="31"/>
        <v>0.70000000000000284</v>
      </c>
      <c r="N266" s="1">
        <f t="shared" si="32"/>
        <v>6.4338582015599499E-3</v>
      </c>
      <c r="O266" s="2">
        <v>115.9</v>
      </c>
      <c r="P266" s="2">
        <v>111.5</v>
      </c>
      <c r="Q266" s="2">
        <f t="shared" si="33"/>
        <v>4.4000000000000057</v>
      </c>
      <c r="R266" s="2">
        <v>1.9</v>
      </c>
      <c r="S266" s="2">
        <v>8.6999999999999993</v>
      </c>
      <c r="T266" s="2">
        <f t="shared" si="34"/>
        <v>3.7000000000000028</v>
      </c>
    </row>
    <row r="267" spans="1:20">
      <c r="A267" s="6">
        <v>569</v>
      </c>
      <c r="B267" t="s">
        <v>60</v>
      </c>
      <c r="C267" t="s">
        <v>51</v>
      </c>
      <c r="D267">
        <v>35</v>
      </c>
      <c r="E267">
        <v>37</v>
      </c>
      <c r="F267" s="1">
        <f t="shared" si="28"/>
        <v>0.4861111111111111</v>
      </c>
      <c r="G267" s="2">
        <v>111.8</v>
      </c>
      <c r="H267" s="2">
        <v>112.3</v>
      </c>
      <c r="I267" s="2">
        <f t="shared" si="29"/>
        <v>-0.5</v>
      </c>
      <c r="J267" s="1">
        <f t="shared" si="30"/>
        <v>0.48438702391890293</v>
      </c>
      <c r="K267" s="2">
        <v>108.7</v>
      </c>
      <c r="L267" s="2">
        <v>109.2</v>
      </c>
      <c r="M267" s="2">
        <f t="shared" si="31"/>
        <v>-0.5</v>
      </c>
      <c r="N267" s="1">
        <f t="shared" si="32"/>
        <v>1.7240871922081791E-3</v>
      </c>
      <c r="O267" s="2">
        <v>110.4</v>
      </c>
      <c r="P267" s="2">
        <v>107.2</v>
      </c>
      <c r="Q267" s="2">
        <f t="shared" si="33"/>
        <v>3.2000000000000028</v>
      </c>
      <c r="R267" s="2">
        <v>-1.3</v>
      </c>
      <c r="S267" s="2">
        <v>-5.7</v>
      </c>
      <c r="T267" s="2">
        <f t="shared" si="34"/>
        <v>3.7000000000000028</v>
      </c>
    </row>
    <row r="268" spans="1:20">
      <c r="A268" s="6">
        <v>113</v>
      </c>
      <c r="B268" t="s">
        <v>38</v>
      </c>
      <c r="C268" t="s">
        <v>29</v>
      </c>
      <c r="D268">
        <v>37</v>
      </c>
      <c r="E268">
        <v>45</v>
      </c>
      <c r="F268" s="1">
        <f t="shared" si="28"/>
        <v>0.45121951219512196</v>
      </c>
      <c r="G268" s="2">
        <v>97.1</v>
      </c>
      <c r="H268" s="2">
        <v>97.8</v>
      </c>
      <c r="I268" s="2">
        <f t="shared" si="29"/>
        <v>-0.70000000000000284</v>
      </c>
      <c r="J268" s="1">
        <f t="shared" si="30"/>
        <v>0.4748799608375659</v>
      </c>
      <c r="K268" s="2">
        <v>105.6</v>
      </c>
      <c r="L268" s="2">
        <v>106.4</v>
      </c>
      <c r="M268" s="2">
        <f t="shared" si="31"/>
        <v>-0.80000000000001137</v>
      </c>
      <c r="N268" s="1">
        <f t="shared" si="32"/>
        <v>-2.3660448642443932E-2</v>
      </c>
      <c r="O268" s="2">
        <v>111.3</v>
      </c>
      <c r="P268" s="2">
        <v>108.4</v>
      </c>
      <c r="Q268" s="2">
        <f t="shared" si="33"/>
        <v>2.8999999999999915</v>
      </c>
      <c r="R268" s="2">
        <v>0.3</v>
      </c>
      <c r="S268" s="2">
        <v>-0.3</v>
      </c>
      <c r="T268" s="2">
        <f t="shared" si="34"/>
        <v>3.7000000000000028</v>
      </c>
    </row>
    <row r="269" spans="1:20">
      <c r="A269" s="6">
        <v>23</v>
      </c>
      <c r="B269" t="s">
        <v>4</v>
      </c>
      <c r="C269" t="s">
        <v>27</v>
      </c>
      <c r="D269">
        <v>55</v>
      </c>
      <c r="E269">
        <v>27</v>
      </c>
      <c r="F269" s="1">
        <f t="shared" si="28"/>
        <v>0.67073170731707321</v>
      </c>
      <c r="G269" s="2">
        <v>101.7</v>
      </c>
      <c r="H269" s="2">
        <v>95.9</v>
      </c>
      <c r="I269" s="2">
        <f t="shared" si="29"/>
        <v>5.7999999999999972</v>
      </c>
      <c r="J269" s="1">
        <f t="shared" si="30"/>
        <v>0.69468161097182612</v>
      </c>
      <c r="K269" s="2">
        <v>104.2</v>
      </c>
      <c r="L269" s="2">
        <v>98.5</v>
      </c>
      <c r="M269" s="2">
        <f t="shared" si="31"/>
        <v>5.7000000000000028</v>
      </c>
      <c r="N269" s="1">
        <f t="shared" si="32"/>
        <v>-2.3949903654752913E-2</v>
      </c>
      <c r="O269" s="2">
        <v>94</v>
      </c>
      <c r="P269" s="2">
        <v>84.6</v>
      </c>
      <c r="Q269" s="2">
        <f t="shared" si="33"/>
        <v>9.4000000000000057</v>
      </c>
      <c r="R269" s="2">
        <v>1.4</v>
      </c>
      <c r="S269" s="2">
        <v>6.4</v>
      </c>
      <c r="T269" s="2">
        <f t="shared" si="34"/>
        <v>3.7000000000000028</v>
      </c>
    </row>
    <row r="270" spans="1:20">
      <c r="A270" s="6">
        <v>124</v>
      </c>
      <c r="B270" t="s">
        <v>39</v>
      </c>
      <c r="C270" t="s">
        <v>12</v>
      </c>
      <c r="D270">
        <v>54</v>
      </c>
      <c r="E270">
        <v>28</v>
      </c>
      <c r="F270" s="1">
        <f t="shared" si="28"/>
        <v>0.65853658536585369</v>
      </c>
      <c r="G270" s="2">
        <v>93.3</v>
      </c>
      <c r="H270" s="2">
        <v>89.5</v>
      </c>
      <c r="I270" s="2">
        <f t="shared" si="29"/>
        <v>3.7999999999999972</v>
      </c>
      <c r="J270" s="1">
        <f t="shared" si="30"/>
        <v>0.64155984536555377</v>
      </c>
      <c r="K270" s="2">
        <v>103.9</v>
      </c>
      <c r="L270" s="2">
        <v>99.6</v>
      </c>
      <c r="M270" s="2">
        <f t="shared" si="31"/>
        <v>4.3000000000000114</v>
      </c>
      <c r="N270" s="1">
        <f t="shared" si="32"/>
        <v>1.6976740000299917E-2</v>
      </c>
      <c r="O270" s="2">
        <v>100</v>
      </c>
      <c r="P270" s="2">
        <v>92</v>
      </c>
      <c r="Q270" s="2">
        <f t="shared" si="33"/>
        <v>8</v>
      </c>
      <c r="R270" s="2">
        <v>0.1</v>
      </c>
      <c r="S270" s="2">
        <v>0.3</v>
      </c>
      <c r="T270" s="2">
        <f t="shared" si="34"/>
        <v>3.6999999999999886</v>
      </c>
    </row>
    <row r="271" spans="1:20">
      <c r="A271" s="6">
        <v>154</v>
      </c>
      <c r="B271" t="s">
        <v>41</v>
      </c>
      <c r="C271" t="s">
        <v>12</v>
      </c>
      <c r="D271">
        <v>64</v>
      </c>
      <c r="E271">
        <v>18</v>
      </c>
      <c r="F271" s="1">
        <f t="shared" si="28"/>
        <v>0.78048780487804881</v>
      </c>
      <c r="G271" s="2">
        <v>96.8</v>
      </c>
      <c r="H271" s="2">
        <v>90.2</v>
      </c>
      <c r="I271" s="2">
        <f t="shared" si="29"/>
        <v>6.5999999999999943</v>
      </c>
      <c r="J271" s="1">
        <f t="shared" si="30"/>
        <v>0.72882038739462951</v>
      </c>
      <c r="K271" s="2">
        <v>109.3</v>
      </c>
      <c r="L271" s="2">
        <v>101.7</v>
      </c>
      <c r="M271" s="2">
        <f t="shared" si="31"/>
        <v>7.5999999999999943</v>
      </c>
      <c r="N271" s="1">
        <f t="shared" si="32"/>
        <v>5.1667417483419298E-2</v>
      </c>
      <c r="O271" s="2">
        <v>111.5</v>
      </c>
      <c r="P271" s="2">
        <v>100.3</v>
      </c>
      <c r="Q271" s="2">
        <f t="shared" si="33"/>
        <v>11.200000000000003</v>
      </c>
      <c r="R271" s="2">
        <v>0.2</v>
      </c>
      <c r="S271" s="2">
        <v>1.3</v>
      </c>
      <c r="T271" s="2">
        <f t="shared" si="34"/>
        <v>3.6000000000000085</v>
      </c>
    </row>
    <row r="272" spans="1:20">
      <c r="A272" s="6">
        <v>283</v>
      </c>
      <c r="B272" t="s">
        <v>47</v>
      </c>
      <c r="C272" t="s">
        <v>20</v>
      </c>
      <c r="D272">
        <v>15</v>
      </c>
      <c r="E272">
        <v>67</v>
      </c>
      <c r="F272" s="1">
        <f t="shared" si="28"/>
        <v>0.18292682926829268</v>
      </c>
      <c r="G272" s="2">
        <v>98.2</v>
      </c>
      <c r="H272" s="2">
        <v>107.8</v>
      </c>
      <c r="I272" s="2">
        <f t="shared" si="29"/>
        <v>-9.5999999999999943</v>
      </c>
      <c r="J272" s="1">
        <f t="shared" si="30"/>
        <v>0.21319047062273172</v>
      </c>
      <c r="K272" s="2">
        <v>100.6</v>
      </c>
      <c r="L272" s="2">
        <v>110.4</v>
      </c>
      <c r="M272" s="2">
        <f t="shared" si="31"/>
        <v>-9.8000000000000114</v>
      </c>
      <c r="N272" s="1">
        <f t="shared" si="32"/>
        <v>-3.0263641354439041E-2</v>
      </c>
      <c r="O272" s="2">
        <v>102.7</v>
      </c>
      <c r="P272" s="2">
        <v>108.9</v>
      </c>
      <c r="Q272" s="2">
        <f t="shared" si="33"/>
        <v>-6.2000000000000028</v>
      </c>
      <c r="R272" s="2">
        <v>0.3</v>
      </c>
      <c r="S272" s="2">
        <v>-1.3</v>
      </c>
      <c r="T272" s="2">
        <f t="shared" si="34"/>
        <v>3.6000000000000085</v>
      </c>
    </row>
    <row r="273" spans="1:20">
      <c r="A273" s="6">
        <v>531</v>
      </c>
      <c r="B273" t="s">
        <v>58</v>
      </c>
      <c r="C273" t="s">
        <v>26</v>
      </c>
      <c r="D273">
        <v>49</v>
      </c>
      <c r="E273">
        <v>33</v>
      </c>
      <c r="F273" s="1">
        <f t="shared" si="28"/>
        <v>0.59756097560975607</v>
      </c>
      <c r="G273" s="2">
        <v>105.6</v>
      </c>
      <c r="H273" s="2">
        <v>103</v>
      </c>
      <c r="I273" s="2">
        <f t="shared" si="29"/>
        <v>2.5999999999999943</v>
      </c>
      <c r="J273" s="1">
        <f t="shared" si="30"/>
        <v>0.5863778164099368</v>
      </c>
      <c r="K273" s="2">
        <v>108.4</v>
      </c>
      <c r="L273" s="2">
        <v>105.7</v>
      </c>
      <c r="M273" s="2">
        <f t="shared" si="31"/>
        <v>2.7000000000000028</v>
      </c>
      <c r="N273" s="1">
        <f t="shared" si="32"/>
        <v>1.118315919981927E-2</v>
      </c>
      <c r="O273" s="2">
        <v>103</v>
      </c>
      <c r="P273" s="2">
        <v>96.7</v>
      </c>
      <c r="Q273" s="2">
        <f t="shared" si="33"/>
        <v>6.2999999999999972</v>
      </c>
      <c r="R273" s="2">
        <v>-0.4</v>
      </c>
      <c r="S273" s="2">
        <v>-2.9</v>
      </c>
      <c r="T273" s="2">
        <f t="shared" si="34"/>
        <v>3.5999999999999943</v>
      </c>
    </row>
    <row r="274" spans="1:20">
      <c r="A274" s="6">
        <v>49</v>
      </c>
      <c r="B274" t="s">
        <v>34</v>
      </c>
      <c r="C274" t="s">
        <v>23</v>
      </c>
      <c r="D274">
        <v>44</v>
      </c>
      <c r="E274">
        <v>38</v>
      </c>
      <c r="F274" s="1">
        <f t="shared" si="28"/>
        <v>0.53658536585365857</v>
      </c>
      <c r="G274" s="2">
        <v>100.5</v>
      </c>
      <c r="H274" s="2">
        <v>98.9</v>
      </c>
      <c r="I274" s="2">
        <f t="shared" si="29"/>
        <v>1.5999999999999943</v>
      </c>
      <c r="J274" s="1">
        <f t="shared" si="30"/>
        <v>0.5559346078100218</v>
      </c>
      <c r="K274" s="2">
        <v>105.6</v>
      </c>
      <c r="L274" s="2">
        <v>104.1</v>
      </c>
      <c r="M274" s="2">
        <f t="shared" si="31"/>
        <v>1.5</v>
      </c>
      <c r="N274" s="1">
        <f t="shared" si="32"/>
        <v>-1.9349241956363228E-2</v>
      </c>
      <c r="O274" s="2">
        <v>105.5</v>
      </c>
      <c r="P274" s="2">
        <v>100.4</v>
      </c>
      <c r="Q274" s="2">
        <f t="shared" si="33"/>
        <v>5.0999999999999943</v>
      </c>
      <c r="R274" s="2">
        <v>-1</v>
      </c>
      <c r="S274" s="2">
        <v>-4.7</v>
      </c>
      <c r="T274" s="2">
        <f t="shared" si="34"/>
        <v>3.5999999999999943</v>
      </c>
    </row>
    <row r="275" spans="1:20">
      <c r="A275" s="6">
        <v>673</v>
      </c>
      <c r="B275" t="s">
        <v>63</v>
      </c>
      <c r="C275" t="s">
        <v>19</v>
      </c>
      <c r="D275">
        <v>58</v>
      </c>
      <c r="E275">
        <v>24</v>
      </c>
      <c r="F275" s="1">
        <f t="shared" si="28"/>
        <v>0.70731707317073167</v>
      </c>
      <c r="G275" s="2">
        <v>116.9</v>
      </c>
      <c r="H275" s="2">
        <v>113.3</v>
      </c>
      <c r="I275" s="2">
        <f t="shared" si="29"/>
        <v>3.6000000000000085</v>
      </c>
      <c r="J275" s="1">
        <f t="shared" si="30"/>
        <v>0.607762297189269</v>
      </c>
      <c r="K275" s="2">
        <v>114.3</v>
      </c>
      <c r="L275" s="2">
        <v>110.9</v>
      </c>
      <c r="M275" s="2">
        <f t="shared" si="31"/>
        <v>3.3999999999999915</v>
      </c>
      <c r="N275" s="1">
        <f t="shared" si="32"/>
        <v>9.9554775981462673E-2</v>
      </c>
      <c r="O275" s="2">
        <v>109.7</v>
      </c>
      <c r="P275" s="2">
        <v>102.8</v>
      </c>
      <c r="Q275" s="2">
        <f t="shared" si="33"/>
        <v>6.9000000000000057</v>
      </c>
      <c r="R275" s="2">
        <v>0.7</v>
      </c>
      <c r="S275" s="2">
        <v>3.4</v>
      </c>
      <c r="T275" s="2">
        <f t="shared" si="34"/>
        <v>3.5000000000000142</v>
      </c>
    </row>
    <row r="276" spans="1:20">
      <c r="A276" s="6">
        <v>60</v>
      </c>
      <c r="B276" t="s">
        <v>36</v>
      </c>
      <c r="C276" t="s">
        <v>6</v>
      </c>
      <c r="D276">
        <v>44</v>
      </c>
      <c r="E276">
        <v>38</v>
      </c>
      <c r="F276" s="1">
        <f t="shared" si="28"/>
        <v>0.53658536585365857</v>
      </c>
      <c r="G276" s="2">
        <v>92.7</v>
      </c>
      <c r="H276" s="2">
        <v>93.1</v>
      </c>
      <c r="I276" s="2">
        <f t="shared" si="29"/>
        <v>-0.39999999999999147</v>
      </c>
      <c r="J276" s="1">
        <f t="shared" si="30"/>
        <v>0.48493457063949058</v>
      </c>
      <c r="K276" s="2">
        <v>100</v>
      </c>
      <c r="L276" s="2">
        <v>100.5</v>
      </c>
      <c r="M276" s="2">
        <f t="shared" si="31"/>
        <v>-0.5</v>
      </c>
      <c r="N276" s="1">
        <f t="shared" si="32"/>
        <v>5.1650795214167988E-2</v>
      </c>
      <c r="O276" s="2">
        <v>93.4</v>
      </c>
      <c r="P276" s="2">
        <v>90.4</v>
      </c>
      <c r="Q276" s="2">
        <f t="shared" si="33"/>
        <v>3</v>
      </c>
      <c r="R276" s="2">
        <v>0</v>
      </c>
      <c r="S276" s="2">
        <v>-0.2</v>
      </c>
      <c r="T276" s="2">
        <f t="shared" si="34"/>
        <v>3.5</v>
      </c>
    </row>
    <row r="277" spans="1:20">
      <c r="A277" s="6">
        <v>632</v>
      </c>
      <c r="B277" t="s">
        <v>62</v>
      </c>
      <c r="C277" t="s">
        <v>9</v>
      </c>
      <c r="D277">
        <v>44</v>
      </c>
      <c r="E277">
        <v>38</v>
      </c>
      <c r="F277" s="1">
        <f t="shared" si="28"/>
        <v>0.53658536585365857</v>
      </c>
      <c r="G277" s="2">
        <v>107.8</v>
      </c>
      <c r="H277" s="2">
        <v>105.7</v>
      </c>
      <c r="I277" s="2">
        <f t="shared" si="29"/>
        <v>2.0999999999999943</v>
      </c>
      <c r="J277" s="1">
        <f t="shared" si="30"/>
        <v>0.56842270571530307</v>
      </c>
      <c r="K277" s="2">
        <v>111</v>
      </c>
      <c r="L277" s="2">
        <v>108.9</v>
      </c>
      <c r="M277" s="2">
        <f t="shared" si="31"/>
        <v>2.0999999999999943</v>
      </c>
      <c r="N277" s="1">
        <f t="shared" si="32"/>
        <v>-3.1837339861644498E-2</v>
      </c>
      <c r="O277" s="2">
        <v>110</v>
      </c>
      <c r="P277" s="2">
        <v>104.4</v>
      </c>
      <c r="Q277" s="2">
        <f t="shared" si="33"/>
        <v>5.5999999999999943</v>
      </c>
      <c r="R277" s="2">
        <v>-0.7</v>
      </c>
      <c r="S277" s="2">
        <v>-2.6</v>
      </c>
      <c r="T277" s="2">
        <f t="shared" si="34"/>
        <v>3.5</v>
      </c>
    </row>
    <row r="278" spans="1:20">
      <c r="A278" s="6">
        <v>752</v>
      </c>
      <c r="B278" t="s">
        <v>66</v>
      </c>
      <c r="C278" t="s">
        <v>9</v>
      </c>
      <c r="D278">
        <v>39</v>
      </c>
      <c r="E278">
        <v>24</v>
      </c>
      <c r="F278" s="1">
        <f t="shared" si="28"/>
        <v>0.61904761904761907</v>
      </c>
      <c r="G278" s="2">
        <v>119.1</v>
      </c>
      <c r="H278" s="2">
        <v>114.9</v>
      </c>
      <c r="I278" s="2">
        <f t="shared" si="29"/>
        <v>4.1999999999999886</v>
      </c>
      <c r="J278" s="1">
        <f t="shared" si="30"/>
        <v>0.62307439243207641</v>
      </c>
      <c r="K278" s="2">
        <v>117.4</v>
      </c>
      <c r="L278" s="2">
        <v>113.1</v>
      </c>
      <c r="M278" s="2">
        <f t="shared" si="31"/>
        <v>4.3000000000000114</v>
      </c>
      <c r="N278" s="1">
        <f t="shared" si="32"/>
        <v>-4.0267733844573383E-3</v>
      </c>
      <c r="O278" s="2">
        <v>114.8</v>
      </c>
      <c r="P278" s="2">
        <v>107</v>
      </c>
      <c r="Q278" s="2">
        <f t="shared" si="33"/>
        <v>7.7999999999999972</v>
      </c>
      <c r="R278" s="2">
        <v>1.9</v>
      </c>
      <c r="S278" s="2">
        <v>5.8</v>
      </c>
      <c r="T278" s="2">
        <f t="shared" si="34"/>
        <v>3.4999999999999858</v>
      </c>
    </row>
    <row r="279" spans="1:20">
      <c r="A279" s="6">
        <v>265</v>
      </c>
      <c r="B279" t="s">
        <v>45</v>
      </c>
      <c r="C279" t="s">
        <v>31</v>
      </c>
      <c r="D279">
        <v>48</v>
      </c>
      <c r="E279">
        <v>34</v>
      </c>
      <c r="F279" s="1">
        <f t="shared" si="28"/>
        <v>0.58536585365853655</v>
      </c>
      <c r="G279" s="2">
        <v>103.6</v>
      </c>
      <c r="H279" s="2">
        <v>100.9</v>
      </c>
      <c r="I279" s="2">
        <f t="shared" si="29"/>
        <v>2.6999999999999886</v>
      </c>
      <c r="J279" s="1">
        <f t="shared" si="30"/>
        <v>0.59138736414412263</v>
      </c>
      <c r="K279" s="2">
        <v>108.5</v>
      </c>
      <c r="L279" s="2">
        <v>105.8</v>
      </c>
      <c r="M279" s="2">
        <f t="shared" si="31"/>
        <v>2.7000000000000028</v>
      </c>
      <c r="N279" s="1">
        <f t="shared" si="32"/>
        <v>-6.021510485586079E-3</v>
      </c>
      <c r="O279" s="2">
        <v>109.6</v>
      </c>
      <c r="P279" s="2">
        <v>103.4</v>
      </c>
      <c r="Q279" s="2">
        <f t="shared" si="33"/>
        <v>6.1999999999999886</v>
      </c>
      <c r="R279" s="2">
        <v>1.2</v>
      </c>
      <c r="S279" s="2">
        <v>6.6</v>
      </c>
      <c r="T279" s="2">
        <f t="shared" si="34"/>
        <v>3.4999999999999858</v>
      </c>
    </row>
    <row r="280" spans="1:20">
      <c r="A280" s="6">
        <v>382</v>
      </c>
      <c r="B280" t="s">
        <v>50</v>
      </c>
      <c r="C280" t="s">
        <v>27</v>
      </c>
      <c r="D280">
        <v>28</v>
      </c>
      <c r="E280">
        <v>54</v>
      </c>
      <c r="F280" s="1">
        <f t="shared" si="28"/>
        <v>0.34146341463414637</v>
      </c>
      <c r="G280" s="2">
        <v>100.2</v>
      </c>
      <c r="H280" s="2">
        <v>105.1</v>
      </c>
      <c r="I280" s="2">
        <f t="shared" si="29"/>
        <v>-4.8999999999999915</v>
      </c>
      <c r="J280" s="1">
        <f t="shared" si="30"/>
        <v>0.33885133571043297</v>
      </c>
      <c r="K280" s="2">
        <v>105.3</v>
      </c>
      <c r="L280" s="2">
        <v>110</v>
      </c>
      <c r="M280" s="2">
        <f t="shared" si="31"/>
        <v>-4.7000000000000028</v>
      </c>
      <c r="N280" s="1">
        <f t="shared" si="32"/>
        <v>2.6120789237134012E-3</v>
      </c>
      <c r="O280" s="2">
        <v>101</v>
      </c>
      <c r="P280" s="2">
        <v>102.3</v>
      </c>
      <c r="Q280" s="2">
        <f t="shared" si="33"/>
        <v>-1.2999999999999972</v>
      </c>
      <c r="R280" s="2">
        <v>-0.2</v>
      </c>
      <c r="S280" s="2">
        <v>-2.4</v>
      </c>
      <c r="T280" s="2">
        <f t="shared" si="34"/>
        <v>3.4000000000000057</v>
      </c>
    </row>
    <row r="281" spans="1:20">
      <c r="A281" s="6">
        <v>205</v>
      </c>
      <c r="B281" t="s">
        <v>43</v>
      </c>
      <c r="C281" t="s">
        <v>31</v>
      </c>
      <c r="D281">
        <v>51</v>
      </c>
      <c r="E281">
        <v>31</v>
      </c>
      <c r="F281" s="1">
        <f t="shared" si="28"/>
        <v>0.62195121951219512</v>
      </c>
      <c r="G281" s="2">
        <v>101.5</v>
      </c>
      <c r="H281" s="2">
        <v>98.6</v>
      </c>
      <c r="I281" s="2">
        <f t="shared" si="29"/>
        <v>2.9000000000000057</v>
      </c>
      <c r="J281" s="1">
        <f t="shared" si="30"/>
        <v>0.60008649482988841</v>
      </c>
      <c r="K281" s="2">
        <v>108.6</v>
      </c>
      <c r="L281" s="2">
        <v>105.6</v>
      </c>
      <c r="M281" s="2">
        <f t="shared" si="31"/>
        <v>3</v>
      </c>
      <c r="N281" s="1">
        <f t="shared" si="32"/>
        <v>2.1864724682306713E-2</v>
      </c>
      <c r="O281" s="2">
        <v>116.1</v>
      </c>
      <c r="P281" s="2">
        <v>109.7</v>
      </c>
      <c r="Q281" s="2">
        <f t="shared" si="33"/>
        <v>6.3999999999999915</v>
      </c>
      <c r="R281" s="2">
        <v>1.9</v>
      </c>
      <c r="S281" s="2">
        <v>6.8</v>
      </c>
      <c r="T281" s="2">
        <f t="shared" si="34"/>
        <v>3.3999999999999915</v>
      </c>
    </row>
    <row r="282" spans="1:20">
      <c r="A282" s="6">
        <v>76</v>
      </c>
      <c r="B282" t="s">
        <v>36</v>
      </c>
      <c r="C282" t="s">
        <v>37</v>
      </c>
      <c r="D282">
        <v>47</v>
      </c>
      <c r="E282">
        <v>35</v>
      </c>
      <c r="F282" s="1">
        <f t="shared" si="28"/>
        <v>0.57317073170731703</v>
      </c>
      <c r="G282" s="2">
        <v>93.9</v>
      </c>
      <c r="H282" s="2">
        <v>91.8</v>
      </c>
      <c r="I282" s="2">
        <f t="shared" si="29"/>
        <v>2.1000000000000085</v>
      </c>
      <c r="J282" s="1">
        <f t="shared" si="30"/>
        <v>0.57850840531735526</v>
      </c>
      <c r="K282" s="2">
        <v>102.4</v>
      </c>
      <c r="L282" s="2">
        <v>100</v>
      </c>
      <c r="M282" s="2">
        <f t="shared" si="31"/>
        <v>2.4000000000000057</v>
      </c>
      <c r="N282" s="1">
        <f t="shared" si="32"/>
        <v>-5.3376736100382294E-3</v>
      </c>
      <c r="O282" s="2">
        <v>101.5</v>
      </c>
      <c r="P282" s="2">
        <v>95.7</v>
      </c>
      <c r="Q282" s="2">
        <f t="shared" si="33"/>
        <v>5.7999999999999972</v>
      </c>
      <c r="R282" s="2">
        <v>0.3</v>
      </c>
      <c r="S282" s="2">
        <v>0.9</v>
      </c>
      <c r="T282" s="2">
        <f t="shared" si="34"/>
        <v>3.3999999999999915</v>
      </c>
    </row>
    <row r="283" spans="1:20">
      <c r="A283" s="6">
        <v>56</v>
      </c>
      <c r="B283" t="s">
        <v>34</v>
      </c>
      <c r="C283" t="s">
        <v>30</v>
      </c>
      <c r="D283">
        <v>42</v>
      </c>
      <c r="E283">
        <v>40</v>
      </c>
      <c r="F283" s="1">
        <f t="shared" si="28"/>
        <v>0.51219512195121952</v>
      </c>
      <c r="G283" s="2">
        <v>91.4</v>
      </c>
      <c r="H283" s="2">
        <v>91.8</v>
      </c>
      <c r="I283" s="2">
        <f t="shared" si="29"/>
        <v>-0.39999999999999147</v>
      </c>
      <c r="J283" s="1">
        <f t="shared" si="30"/>
        <v>0.48472089148498448</v>
      </c>
      <c r="K283" s="2">
        <v>101.1</v>
      </c>
      <c r="L283" s="2">
        <v>101.7</v>
      </c>
      <c r="M283" s="2">
        <f t="shared" si="31"/>
        <v>-0.60000000000000853</v>
      </c>
      <c r="N283" s="1">
        <f t="shared" si="32"/>
        <v>2.7474230466235039E-2</v>
      </c>
      <c r="O283" s="2">
        <v>93</v>
      </c>
      <c r="P283" s="2">
        <v>90.4</v>
      </c>
      <c r="Q283" s="2">
        <f t="shared" si="33"/>
        <v>2.5999999999999943</v>
      </c>
      <c r="R283" s="2">
        <v>-0.8</v>
      </c>
      <c r="S283" s="2">
        <v>-3.8</v>
      </c>
      <c r="T283" s="2">
        <f t="shared" si="34"/>
        <v>3.2000000000000028</v>
      </c>
    </row>
    <row r="284" spans="1:20">
      <c r="A284" s="6">
        <v>273</v>
      </c>
      <c r="B284" t="s">
        <v>47</v>
      </c>
      <c r="C284" t="s">
        <v>11</v>
      </c>
      <c r="D284">
        <v>53</v>
      </c>
      <c r="E284">
        <v>29</v>
      </c>
      <c r="F284" s="1">
        <f t="shared" si="28"/>
        <v>0.64634146341463417</v>
      </c>
      <c r="G284" s="2">
        <v>106.5</v>
      </c>
      <c r="H284" s="2">
        <v>102.4</v>
      </c>
      <c r="I284" s="2">
        <f t="shared" si="29"/>
        <v>4.0999999999999943</v>
      </c>
      <c r="J284" s="1">
        <f t="shared" si="30"/>
        <v>0.63404645270509008</v>
      </c>
      <c r="K284" s="2">
        <v>110.8</v>
      </c>
      <c r="L284" s="2">
        <v>106.5</v>
      </c>
      <c r="M284" s="2">
        <f t="shared" si="31"/>
        <v>4.2999999999999972</v>
      </c>
      <c r="N284" s="1">
        <f t="shared" si="32"/>
        <v>1.2295010709544085E-2</v>
      </c>
      <c r="O284" s="2">
        <v>117.7</v>
      </c>
      <c r="P284" s="2">
        <v>110.2</v>
      </c>
      <c r="Q284" s="2">
        <f t="shared" si="33"/>
        <v>7.5</v>
      </c>
      <c r="R284" s="2">
        <v>1.6</v>
      </c>
      <c r="S284" s="2">
        <v>7.6</v>
      </c>
      <c r="T284" s="2">
        <f t="shared" si="34"/>
        <v>3.2000000000000028</v>
      </c>
    </row>
    <row r="285" spans="1:20">
      <c r="A285" s="6">
        <v>180</v>
      </c>
      <c r="B285" t="s">
        <v>43</v>
      </c>
      <c r="C285" t="s">
        <v>8</v>
      </c>
      <c r="D285">
        <v>49</v>
      </c>
      <c r="E285">
        <v>33</v>
      </c>
      <c r="F285" s="1">
        <f t="shared" si="28"/>
        <v>0.59756097560975607</v>
      </c>
      <c r="G285" s="2">
        <v>98.8</v>
      </c>
      <c r="H285" s="2">
        <v>93.8</v>
      </c>
      <c r="I285" s="2">
        <f t="shared" si="29"/>
        <v>5</v>
      </c>
      <c r="J285" s="1">
        <f t="shared" si="30"/>
        <v>0.67415944517455229</v>
      </c>
      <c r="K285" s="2">
        <v>104</v>
      </c>
      <c r="L285" s="2">
        <v>98.8</v>
      </c>
      <c r="M285" s="2">
        <f t="shared" si="31"/>
        <v>5.2000000000000028</v>
      </c>
      <c r="N285" s="1">
        <f t="shared" si="32"/>
        <v>-7.6598469564796212E-2</v>
      </c>
      <c r="O285" s="2">
        <v>98</v>
      </c>
      <c r="P285" s="2">
        <v>89.6</v>
      </c>
      <c r="Q285" s="2">
        <f t="shared" si="33"/>
        <v>8.4000000000000057</v>
      </c>
      <c r="R285" s="2">
        <v>0.6</v>
      </c>
      <c r="S285" s="2">
        <v>2.2999999999999998</v>
      </c>
      <c r="T285" s="2">
        <f t="shared" si="34"/>
        <v>3.2000000000000028</v>
      </c>
    </row>
    <row r="286" spans="1:20">
      <c r="A286" s="6">
        <v>178</v>
      </c>
      <c r="B286" t="s">
        <v>43</v>
      </c>
      <c r="C286" t="s">
        <v>6</v>
      </c>
      <c r="D286">
        <v>24</v>
      </c>
      <c r="E286">
        <v>58</v>
      </c>
      <c r="F286" s="1">
        <f t="shared" si="28"/>
        <v>0.29268292682926828</v>
      </c>
      <c r="G286" s="2">
        <v>95.8</v>
      </c>
      <c r="H286" s="2">
        <v>99.2</v>
      </c>
      <c r="I286" s="2">
        <f t="shared" si="29"/>
        <v>-3.4000000000000057</v>
      </c>
      <c r="J286" s="1">
        <f t="shared" si="30"/>
        <v>0.38030482295206253</v>
      </c>
      <c r="K286" s="2">
        <v>102.3</v>
      </c>
      <c r="L286" s="2">
        <v>105.8</v>
      </c>
      <c r="M286" s="2">
        <f t="shared" si="31"/>
        <v>-3.5</v>
      </c>
      <c r="N286" s="1">
        <f t="shared" si="32"/>
        <v>-8.7621896122794252E-2</v>
      </c>
      <c r="O286" s="2">
        <v>98.7</v>
      </c>
      <c r="P286" s="2">
        <v>99</v>
      </c>
      <c r="Q286" s="2">
        <f t="shared" si="33"/>
        <v>-0.29999999999999716</v>
      </c>
      <c r="R286" s="2">
        <v>0.1</v>
      </c>
      <c r="S286" s="2">
        <v>-0.8</v>
      </c>
      <c r="T286" s="2">
        <f t="shared" si="34"/>
        <v>3.2000000000000028</v>
      </c>
    </row>
    <row r="287" spans="1:20">
      <c r="A287" s="6">
        <v>501</v>
      </c>
      <c r="B287" t="s">
        <v>57</v>
      </c>
      <c r="C287" t="s">
        <v>26</v>
      </c>
      <c r="D287">
        <v>41</v>
      </c>
      <c r="E287">
        <v>41</v>
      </c>
      <c r="F287" s="1">
        <f t="shared" si="28"/>
        <v>0.5</v>
      </c>
      <c r="G287" s="2">
        <v>107.9</v>
      </c>
      <c r="H287" s="2">
        <v>108.5</v>
      </c>
      <c r="I287" s="2">
        <f t="shared" si="29"/>
        <v>-0.59999999999999432</v>
      </c>
      <c r="J287" s="1">
        <f t="shared" si="30"/>
        <v>0.48060118968049892</v>
      </c>
      <c r="K287" s="2">
        <v>109.4</v>
      </c>
      <c r="L287" s="2">
        <v>110</v>
      </c>
      <c r="M287" s="2">
        <f t="shared" si="31"/>
        <v>-0.59999999999999432</v>
      </c>
      <c r="N287" s="1">
        <f t="shared" si="32"/>
        <v>1.9398810319501081E-2</v>
      </c>
      <c r="O287" s="2">
        <v>104.9</v>
      </c>
      <c r="P287" s="2">
        <v>102.4</v>
      </c>
      <c r="Q287" s="2">
        <f t="shared" si="33"/>
        <v>2.5</v>
      </c>
      <c r="R287" s="2">
        <v>-0.1</v>
      </c>
      <c r="S287" s="2">
        <v>2</v>
      </c>
      <c r="T287" s="2">
        <f t="shared" si="34"/>
        <v>3.0999999999999943</v>
      </c>
    </row>
    <row r="288" spans="1:20">
      <c r="A288" s="6">
        <v>589</v>
      </c>
      <c r="B288" t="s">
        <v>60</v>
      </c>
      <c r="C288" t="s">
        <v>24</v>
      </c>
      <c r="D288">
        <v>43</v>
      </c>
      <c r="E288">
        <v>30</v>
      </c>
      <c r="F288" s="1">
        <f t="shared" si="28"/>
        <v>0.58904109589041098</v>
      </c>
      <c r="G288" s="2">
        <v>110.7</v>
      </c>
      <c r="H288" s="2">
        <v>108.4</v>
      </c>
      <c r="I288" s="2">
        <f t="shared" si="29"/>
        <v>2.2999999999999972</v>
      </c>
      <c r="J288" s="1">
        <f t="shared" si="30"/>
        <v>0.57296056014659968</v>
      </c>
      <c r="K288" s="2">
        <v>110.7</v>
      </c>
      <c r="L288" s="2">
        <v>108.4</v>
      </c>
      <c r="M288" s="2">
        <f t="shared" si="31"/>
        <v>2.2999999999999972</v>
      </c>
      <c r="N288" s="1">
        <f t="shared" si="32"/>
        <v>1.6080535743811297E-2</v>
      </c>
      <c r="O288" s="2">
        <v>108.9</v>
      </c>
      <c r="P288" s="2">
        <v>103.6</v>
      </c>
      <c r="Q288" s="2">
        <f t="shared" si="33"/>
        <v>5.3000000000000114</v>
      </c>
      <c r="R288" s="2">
        <v>0</v>
      </c>
      <c r="S288" s="2">
        <v>0</v>
      </c>
      <c r="T288" s="2">
        <f t="shared" si="34"/>
        <v>3.0000000000000142</v>
      </c>
    </row>
    <row r="289" spans="1:20">
      <c r="A289" s="6">
        <v>311</v>
      </c>
      <c r="B289" t="s">
        <v>48</v>
      </c>
      <c r="C289" t="s">
        <v>18</v>
      </c>
      <c r="D289">
        <v>58</v>
      </c>
      <c r="E289">
        <v>24</v>
      </c>
      <c r="F289" s="1">
        <f t="shared" si="28"/>
        <v>0.70731707317073167</v>
      </c>
      <c r="G289" s="2">
        <v>102.1</v>
      </c>
      <c r="H289" s="2">
        <v>94.6</v>
      </c>
      <c r="I289" s="2">
        <f t="shared" si="29"/>
        <v>7.5</v>
      </c>
      <c r="J289" s="1">
        <f t="shared" si="30"/>
        <v>0.7442417947513682</v>
      </c>
      <c r="K289" s="2">
        <v>110.6</v>
      </c>
      <c r="L289" s="2">
        <v>102.9</v>
      </c>
      <c r="M289" s="2">
        <f t="shared" si="31"/>
        <v>7.6999999999999886</v>
      </c>
      <c r="N289" s="1">
        <f t="shared" si="32"/>
        <v>-3.6924721580636533E-2</v>
      </c>
      <c r="O289" s="2">
        <v>113.5</v>
      </c>
      <c r="P289" s="2">
        <v>102.8</v>
      </c>
      <c r="Q289" s="2">
        <f t="shared" si="33"/>
        <v>10.700000000000003</v>
      </c>
      <c r="R289" s="2">
        <v>1.4</v>
      </c>
      <c r="S289" s="2">
        <v>8.9</v>
      </c>
      <c r="T289" s="2">
        <f t="shared" si="34"/>
        <v>3.0000000000000142</v>
      </c>
    </row>
    <row r="290" spans="1:20">
      <c r="A290" s="6">
        <v>371</v>
      </c>
      <c r="B290" t="s">
        <v>50</v>
      </c>
      <c r="C290" t="s">
        <v>35</v>
      </c>
      <c r="D290">
        <v>56</v>
      </c>
      <c r="E290">
        <v>26</v>
      </c>
      <c r="F290" s="1">
        <f t="shared" si="28"/>
        <v>0.68292682926829273</v>
      </c>
      <c r="G290" s="2">
        <v>93.4</v>
      </c>
      <c r="H290" s="2">
        <v>89.3</v>
      </c>
      <c r="I290" s="2">
        <f t="shared" si="29"/>
        <v>4.1000000000000085</v>
      </c>
      <c r="J290" s="1">
        <f t="shared" si="30"/>
        <v>0.65213973687486437</v>
      </c>
      <c r="K290" s="2">
        <v>103.6</v>
      </c>
      <c r="L290" s="2">
        <v>99.1</v>
      </c>
      <c r="M290" s="2">
        <f t="shared" si="31"/>
        <v>4.5</v>
      </c>
      <c r="N290" s="1">
        <f t="shared" si="32"/>
        <v>3.0787092393428361E-2</v>
      </c>
      <c r="O290" s="2">
        <v>97.9</v>
      </c>
      <c r="P290" s="2">
        <v>90.4</v>
      </c>
      <c r="Q290" s="2">
        <f t="shared" si="33"/>
        <v>7.5</v>
      </c>
      <c r="R290" s="2">
        <v>-0.7</v>
      </c>
      <c r="S290" s="2">
        <v>-3.6</v>
      </c>
      <c r="T290" s="2">
        <f t="shared" si="34"/>
        <v>3</v>
      </c>
    </row>
    <row r="291" spans="1:20">
      <c r="A291" s="6">
        <v>240</v>
      </c>
      <c r="B291" t="s">
        <v>45</v>
      </c>
      <c r="C291" t="s">
        <v>8</v>
      </c>
      <c r="D291">
        <v>41</v>
      </c>
      <c r="E291">
        <v>41</v>
      </c>
      <c r="F291" s="1">
        <f t="shared" si="28"/>
        <v>0.5</v>
      </c>
      <c r="G291" s="2">
        <v>102.2</v>
      </c>
      <c r="H291" s="2">
        <v>102.5</v>
      </c>
      <c r="I291" s="2">
        <f t="shared" si="29"/>
        <v>-0.29999999999999716</v>
      </c>
      <c r="J291" s="1">
        <f t="shared" si="30"/>
        <v>0.48974251653386769</v>
      </c>
      <c r="K291" s="2">
        <v>107.2</v>
      </c>
      <c r="L291" s="2">
        <v>107.5</v>
      </c>
      <c r="M291" s="2">
        <f t="shared" si="31"/>
        <v>-0.29999999999999716</v>
      </c>
      <c r="N291" s="1">
        <f t="shared" si="32"/>
        <v>1.0257483466132311E-2</v>
      </c>
      <c r="O291" s="2">
        <v>107.2</v>
      </c>
      <c r="P291" s="2">
        <v>104.5</v>
      </c>
      <c r="Q291" s="2">
        <f t="shared" si="33"/>
        <v>2.7000000000000028</v>
      </c>
      <c r="R291" s="2">
        <v>1.6</v>
      </c>
      <c r="S291" s="2">
        <v>8.3000000000000007</v>
      </c>
      <c r="T291" s="2">
        <f t="shared" si="34"/>
        <v>3</v>
      </c>
    </row>
    <row r="292" spans="1:20">
      <c r="A292" s="6">
        <v>111</v>
      </c>
      <c r="B292" t="s">
        <v>38</v>
      </c>
      <c r="C292" t="s">
        <v>27</v>
      </c>
      <c r="D292">
        <v>55</v>
      </c>
      <c r="E292">
        <v>27</v>
      </c>
      <c r="F292" s="1">
        <f t="shared" si="28"/>
        <v>0.67073170731707321</v>
      </c>
      <c r="G292" s="2">
        <v>102.8</v>
      </c>
      <c r="H292" s="2">
        <v>97.8</v>
      </c>
      <c r="I292" s="2">
        <f t="shared" si="29"/>
        <v>5</v>
      </c>
      <c r="J292" s="1">
        <f t="shared" si="30"/>
        <v>0.66775548198710677</v>
      </c>
      <c r="K292" s="2">
        <v>108.6</v>
      </c>
      <c r="L292" s="2">
        <v>103.2</v>
      </c>
      <c r="M292" s="2">
        <f t="shared" si="31"/>
        <v>5.3999999999999915</v>
      </c>
      <c r="N292" s="1">
        <f t="shared" si="32"/>
        <v>2.9762253299664421E-3</v>
      </c>
      <c r="O292" s="2">
        <v>105.1</v>
      </c>
      <c r="P292" s="2">
        <v>96.7</v>
      </c>
      <c r="Q292" s="2">
        <f t="shared" si="33"/>
        <v>8.3999999999999915</v>
      </c>
      <c r="R292" s="2">
        <v>1.5</v>
      </c>
      <c r="S292" s="2">
        <v>7.3</v>
      </c>
      <c r="T292" s="2">
        <f t="shared" si="34"/>
        <v>3</v>
      </c>
    </row>
    <row r="293" spans="1:20">
      <c r="A293" s="6">
        <v>720</v>
      </c>
      <c r="B293" t="s">
        <v>65</v>
      </c>
      <c r="C293" t="s">
        <v>7</v>
      </c>
      <c r="D293">
        <v>19</v>
      </c>
      <c r="E293">
        <v>63</v>
      </c>
      <c r="F293" s="1">
        <f t="shared" si="28"/>
        <v>0.23170731707317074</v>
      </c>
      <c r="G293" s="2">
        <v>105.1</v>
      </c>
      <c r="H293" s="2">
        <v>114.2</v>
      </c>
      <c r="I293" s="2">
        <f t="shared" si="29"/>
        <v>-9.1000000000000085</v>
      </c>
      <c r="J293" s="1">
        <f t="shared" si="30"/>
        <v>0.23820492240798724</v>
      </c>
      <c r="K293" s="2">
        <v>106.7</v>
      </c>
      <c r="L293" s="2">
        <v>115.7</v>
      </c>
      <c r="M293" s="2">
        <f t="shared" si="31"/>
        <v>-9</v>
      </c>
      <c r="N293" s="1">
        <f t="shared" si="32"/>
        <v>-6.4976053348164975E-3</v>
      </c>
      <c r="O293" s="2">
        <v>105.4</v>
      </c>
      <c r="P293" s="2">
        <v>111.4</v>
      </c>
      <c r="Q293" s="2">
        <f t="shared" si="33"/>
        <v>-6</v>
      </c>
      <c r="R293" s="2">
        <v>-0.5</v>
      </c>
      <c r="S293" s="2">
        <v>-5.8</v>
      </c>
      <c r="T293" s="2">
        <f t="shared" si="34"/>
        <v>3</v>
      </c>
    </row>
    <row r="294" spans="1:20">
      <c r="A294" s="6">
        <v>309</v>
      </c>
      <c r="B294" t="s">
        <v>48</v>
      </c>
      <c r="C294" t="s">
        <v>17</v>
      </c>
      <c r="D294">
        <v>57</v>
      </c>
      <c r="E294">
        <v>25</v>
      </c>
      <c r="F294" s="1">
        <f t="shared" si="28"/>
        <v>0.69512195121951215</v>
      </c>
      <c r="G294" s="2">
        <v>101.5</v>
      </c>
      <c r="H294" s="2">
        <v>95.4</v>
      </c>
      <c r="I294" s="2">
        <f t="shared" si="29"/>
        <v>6.0999999999999943</v>
      </c>
      <c r="J294" s="1">
        <f t="shared" si="30"/>
        <v>0.70427169761914954</v>
      </c>
      <c r="K294" s="2">
        <v>109.6</v>
      </c>
      <c r="L294" s="2">
        <v>103.3</v>
      </c>
      <c r="M294" s="2">
        <f t="shared" si="31"/>
        <v>6.2999999999999972</v>
      </c>
      <c r="N294" s="1">
        <f t="shared" si="32"/>
        <v>-9.1497463996373929E-3</v>
      </c>
      <c r="O294" s="2">
        <v>108</v>
      </c>
      <c r="P294" s="2">
        <v>98.7</v>
      </c>
      <c r="Q294" s="2">
        <f t="shared" si="33"/>
        <v>9.2999999999999972</v>
      </c>
      <c r="R294" s="2">
        <v>0</v>
      </c>
      <c r="S294" s="2">
        <v>0.9</v>
      </c>
      <c r="T294" s="2">
        <f t="shared" si="34"/>
        <v>3</v>
      </c>
    </row>
    <row r="295" spans="1:20">
      <c r="A295" s="6">
        <v>448</v>
      </c>
      <c r="B295" t="s">
        <v>55</v>
      </c>
      <c r="C295" t="s">
        <v>6</v>
      </c>
      <c r="D295">
        <v>48</v>
      </c>
      <c r="E295">
        <v>34</v>
      </c>
      <c r="F295" s="1">
        <f t="shared" si="28"/>
        <v>0.58536585365853655</v>
      </c>
      <c r="G295" s="2">
        <v>105.7</v>
      </c>
      <c r="H295" s="2">
        <v>102.5</v>
      </c>
      <c r="I295" s="2">
        <f t="shared" si="29"/>
        <v>3.2000000000000028</v>
      </c>
      <c r="J295" s="1">
        <f t="shared" si="30"/>
        <v>0.60596663066011414</v>
      </c>
      <c r="K295" s="2">
        <v>105.8</v>
      </c>
      <c r="L295" s="2">
        <v>102.5</v>
      </c>
      <c r="M295" s="2">
        <f t="shared" si="31"/>
        <v>3.2999999999999972</v>
      </c>
      <c r="N295" s="1">
        <f t="shared" si="32"/>
        <v>-2.0600777001577586E-2</v>
      </c>
      <c r="O295" s="2">
        <v>112</v>
      </c>
      <c r="P295" s="2">
        <v>105.7</v>
      </c>
      <c r="Q295" s="2">
        <f t="shared" si="33"/>
        <v>6.2999999999999972</v>
      </c>
      <c r="R295" s="2">
        <v>0.2</v>
      </c>
      <c r="S295" s="2">
        <v>0.2</v>
      </c>
      <c r="T295" s="2">
        <f t="shared" si="34"/>
        <v>3</v>
      </c>
    </row>
    <row r="296" spans="1:20">
      <c r="A296" s="6">
        <v>51</v>
      </c>
      <c r="B296" t="s">
        <v>34</v>
      </c>
      <c r="C296" t="s">
        <v>25</v>
      </c>
      <c r="D296">
        <v>36</v>
      </c>
      <c r="E296">
        <v>46</v>
      </c>
      <c r="F296" s="1">
        <f t="shared" si="28"/>
        <v>0.43902439024390244</v>
      </c>
      <c r="G296" s="2">
        <v>95.1</v>
      </c>
      <c r="H296" s="2">
        <v>95.8</v>
      </c>
      <c r="I296" s="2">
        <f t="shared" si="29"/>
        <v>-0.70000000000000284</v>
      </c>
      <c r="J296" s="1">
        <f t="shared" si="30"/>
        <v>0.47435452063041067</v>
      </c>
      <c r="K296" s="2">
        <v>101.8</v>
      </c>
      <c r="L296" s="2">
        <v>102.6</v>
      </c>
      <c r="M296" s="2">
        <f t="shared" si="31"/>
        <v>-0.79999999999999716</v>
      </c>
      <c r="N296" s="1">
        <f t="shared" si="32"/>
        <v>-3.5330130386508229E-2</v>
      </c>
      <c r="O296" s="2">
        <v>104</v>
      </c>
      <c r="P296" s="2">
        <v>101.8</v>
      </c>
      <c r="Q296" s="2">
        <f t="shared" si="33"/>
        <v>2.2000000000000028</v>
      </c>
      <c r="R296" s="2">
        <v>0.1</v>
      </c>
      <c r="S296" s="2">
        <v>-0.4</v>
      </c>
      <c r="T296" s="2">
        <f t="shared" si="34"/>
        <v>3</v>
      </c>
    </row>
    <row r="297" spans="1:20">
      <c r="A297" s="6">
        <v>747</v>
      </c>
      <c r="B297" t="s">
        <v>66</v>
      </c>
      <c r="C297" t="s">
        <v>5</v>
      </c>
      <c r="D297">
        <v>33</v>
      </c>
      <c r="E297">
        <v>31</v>
      </c>
      <c r="F297" s="1">
        <f t="shared" si="28"/>
        <v>0.515625</v>
      </c>
      <c r="G297" s="2">
        <v>117.7</v>
      </c>
      <c r="H297" s="2">
        <v>117.3</v>
      </c>
      <c r="I297" s="2">
        <f t="shared" si="29"/>
        <v>0.40000000000000568</v>
      </c>
      <c r="J297" s="1">
        <f t="shared" si="30"/>
        <v>0.51191265030386746</v>
      </c>
      <c r="K297" s="2">
        <v>114.1</v>
      </c>
      <c r="L297" s="2">
        <v>113.7</v>
      </c>
      <c r="M297" s="2">
        <f t="shared" si="31"/>
        <v>0.39999999999999147</v>
      </c>
      <c r="N297" s="1">
        <f t="shared" si="32"/>
        <v>3.7123496961325442E-3</v>
      </c>
      <c r="O297" s="2">
        <v>116</v>
      </c>
      <c r="P297" s="2">
        <v>112.7</v>
      </c>
      <c r="Q297" s="2">
        <f t="shared" si="33"/>
        <v>3.2999999999999972</v>
      </c>
      <c r="R297" s="2">
        <v>0.7</v>
      </c>
      <c r="S297" s="2">
        <v>4.5999999999999996</v>
      </c>
      <c r="T297" s="2">
        <f t="shared" si="34"/>
        <v>2.9000000000000057</v>
      </c>
    </row>
    <row r="298" spans="1:20">
      <c r="A298" s="6">
        <v>63</v>
      </c>
      <c r="B298" t="s">
        <v>36</v>
      </c>
      <c r="C298" t="s">
        <v>10</v>
      </c>
      <c r="D298">
        <v>60</v>
      </c>
      <c r="E298">
        <v>22</v>
      </c>
      <c r="F298" s="1">
        <f t="shared" si="28"/>
        <v>0.73170731707317072</v>
      </c>
      <c r="G298" s="2">
        <v>103</v>
      </c>
      <c r="H298" s="2">
        <v>95.2</v>
      </c>
      <c r="I298" s="2">
        <f t="shared" si="29"/>
        <v>7.7999999999999972</v>
      </c>
      <c r="J298" s="1">
        <f t="shared" si="30"/>
        <v>0.75072573890804006</v>
      </c>
      <c r="K298" s="2">
        <v>109.3</v>
      </c>
      <c r="L298" s="2">
        <v>101</v>
      </c>
      <c r="M298" s="2">
        <f t="shared" si="31"/>
        <v>8.2999999999999972</v>
      </c>
      <c r="N298" s="1">
        <f t="shared" si="32"/>
        <v>-1.9018421834869348E-2</v>
      </c>
      <c r="O298" s="2">
        <v>112.2</v>
      </c>
      <c r="P298" s="2">
        <v>101</v>
      </c>
      <c r="Q298" s="2">
        <f t="shared" si="33"/>
        <v>11.200000000000003</v>
      </c>
      <c r="R298" s="2">
        <v>0.5</v>
      </c>
      <c r="S298" s="2">
        <v>1.6</v>
      </c>
      <c r="T298" s="2">
        <f t="shared" si="34"/>
        <v>2.9000000000000057</v>
      </c>
    </row>
    <row r="299" spans="1:20">
      <c r="A299" s="6">
        <v>94</v>
      </c>
      <c r="B299" t="s">
        <v>38</v>
      </c>
      <c r="C299" t="s">
        <v>12</v>
      </c>
      <c r="D299">
        <v>54</v>
      </c>
      <c r="E299">
        <v>28</v>
      </c>
      <c r="F299" s="1">
        <f t="shared" si="28"/>
        <v>0.65853658536585369</v>
      </c>
      <c r="G299" s="2">
        <v>90.1</v>
      </c>
      <c r="H299" s="2">
        <v>84.3</v>
      </c>
      <c r="I299" s="2">
        <f t="shared" si="29"/>
        <v>5.7999999999999972</v>
      </c>
      <c r="J299" s="1">
        <f t="shared" si="30"/>
        <v>0.71738684209510184</v>
      </c>
      <c r="K299" s="2">
        <v>100.3</v>
      </c>
      <c r="L299" s="2">
        <v>93.9</v>
      </c>
      <c r="M299" s="2">
        <f t="shared" si="31"/>
        <v>6.3999999999999915</v>
      </c>
      <c r="N299" s="1">
        <f t="shared" si="32"/>
        <v>-5.8850256729248152E-2</v>
      </c>
      <c r="O299" s="2">
        <v>103.8</v>
      </c>
      <c r="P299" s="2">
        <v>94.5</v>
      </c>
      <c r="Q299" s="2">
        <f t="shared" si="33"/>
        <v>9.2999999999999972</v>
      </c>
      <c r="R299" s="2">
        <v>1.3</v>
      </c>
      <c r="S299" s="2">
        <v>5.7</v>
      </c>
      <c r="T299" s="2">
        <f t="shared" si="34"/>
        <v>2.9000000000000057</v>
      </c>
    </row>
    <row r="300" spans="1:20">
      <c r="A300" s="6">
        <v>346</v>
      </c>
      <c r="B300" t="s">
        <v>49</v>
      </c>
      <c r="C300" t="s">
        <v>22</v>
      </c>
      <c r="D300">
        <v>36</v>
      </c>
      <c r="E300">
        <v>30</v>
      </c>
      <c r="F300" s="1">
        <f t="shared" si="28"/>
        <v>0.54545454545454541</v>
      </c>
      <c r="G300" s="2">
        <v>97.8</v>
      </c>
      <c r="H300" s="2">
        <v>94.7</v>
      </c>
      <c r="I300" s="2">
        <f t="shared" si="29"/>
        <v>3.0999999999999943</v>
      </c>
      <c r="J300" s="1">
        <f t="shared" si="30"/>
        <v>0.61086462382590978</v>
      </c>
      <c r="K300" s="2">
        <v>103.5</v>
      </c>
      <c r="L300" s="2">
        <v>100.2</v>
      </c>
      <c r="M300" s="2">
        <f t="shared" si="31"/>
        <v>3.2999999999999972</v>
      </c>
      <c r="N300" s="1">
        <f t="shared" si="32"/>
        <v>-6.5410078371364366E-2</v>
      </c>
      <c r="O300" s="2">
        <v>104.9</v>
      </c>
      <c r="P300" s="2">
        <v>98.8</v>
      </c>
      <c r="Q300" s="2">
        <f t="shared" si="33"/>
        <v>6.1000000000000085</v>
      </c>
      <c r="R300" s="2">
        <v>2</v>
      </c>
      <c r="S300" s="2">
        <v>7.8</v>
      </c>
      <c r="T300" s="2">
        <f t="shared" si="34"/>
        <v>2.8000000000000114</v>
      </c>
    </row>
    <row r="301" spans="1:20">
      <c r="A301" s="6">
        <v>730</v>
      </c>
      <c r="B301" t="s">
        <v>65</v>
      </c>
      <c r="C301" t="s">
        <v>17</v>
      </c>
      <c r="D301">
        <v>50</v>
      </c>
      <c r="E301">
        <v>32</v>
      </c>
      <c r="F301" s="1">
        <f t="shared" si="28"/>
        <v>0.6097560975609756</v>
      </c>
      <c r="G301" s="2">
        <v>113.4</v>
      </c>
      <c r="H301" s="2">
        <v>112.2</v>
      </c>
      <c r="I301" s="2">
        <f t="shared" si="29"/>
        <v>1.2000000000000028</v>
      </c>
      <c r="J301" s="1">
        <f t="shared" si="30"/>
        <v>0.5371657170333668</v>
      </c>
      <c r="K301" s="2">
        <v>115</v>
      </c>
      <c r="L301" s="2">
        <v>113.8</v>
      </c>
      <c r="M301" s="2">
        <f t="shared" si="31"/>
        <v>1.2000000000000028</v>
      </c>
      <c r="N301" s="1">
        <f t="shared" si="32"/>
        <v>7.25903805276088E-2</v>
      </c>
      <c r="O301" s="2">
        <v>114.6</v>
      </c>
      <c r="P301" s="2">
        <v>110.6</v>
      </c>
      <c r="Q301" s="2">
        <f t="shared" si="33"/>
        <v>4</v>
      </c>
      <c r="R301" s="2">
        <v>-0.7</v>
      </c>
      <c r="S301" s="2">
        <v>-2.2000000000000002</v>
      </c>
      <c r="T301" s="2">
        <f t="shared" si="34"/>
        <v>2.7999999999999972</v>
      </c>
    </row>
    <row r="302" spans="1:20">
      <c r="A302" s="6">
        <v>20</v>
      </c>
      <c r="B302" t="s">
        <v>4</v>
      </c>
      <c r="C302" t="s">
        <v>24</v>
      </c>
      <c r="D302">
        <v>56</v>
      </c>
      <c r="E302">
        <v>26</v>
      </c>
      <c r="F302" s="1">
        <f t="shared" si="28"/>
        <v>0.68292682926829273</v>
      </c>
      <c r="G302" s="2">
        <v>94.7</v>
      </c>
      <c r="H302" s="2">
        <v>90.4</v>
      </c>
      <c r="I302" s="2">
        <f t="shared" si="29"/>
        <v>4.2999999999999972</v>
      </c>
      <c r="J302" s="1">
        <f t="shared" si="30"/>
        <v>0.65714030959602765</v>
      </c>
      <c r="K302" s="2">
        <v>101.9</v>
      </c>
      <c r="L302" s="2">
        <v>97.3</v>
      </c>
      <c r="M302" s="2">
        <f t="shared" si="31"/>
        <v>4.6000000000000085</v>
      </c>
      <c r="N302" s="1">
        <f t="shared" si="32"/>
        <v>2.5786519672265085E-2</v>
      </c>
      <c r="O302" s="2">
        <v>101.9</v>
      </c>
      <c r="P302" s="2">
        <v>94.6</v>
      </c>
      <c r="Q302" s="2">
        <f t="shared" si="33"/>
        <v>7.3000000000000114</v>
      </c>
      <c r="R302" s="2">
        <v>0.4</v>
      </c>
      <c r="S302" s="2">
        <v>3.3</v>
      </c>
      <c r="T302" s="2">
        <f t="shared" si="34"/>
        <v>2.7000000000000028</v>
      </c>
    </row>
    <row r="303" spans="1:20">
      <c r="A303" s="6">
        <v>447</v>
      </c>
      <c r="B303" t="s">
        <v>55</v>
      </c>
      <c r="C303" t="s">
        <v>5</v>
      </c>
      <c r="D303">
        <v>48</v>
      </c>
      <c r="E303">
        <v>34</v>
      </c>
      <c r="F303" s="1">
        <f t="shared" si="28"/>
        <v>0.58536585365853655</v>
      </c>
      <c r="G303" s="2">
        <v>102.8</v>
      </c>
      <c r="H303" s="2">
        <v>99.2</v>
      </c>
      <c r="I303" s="2">
        <f t="shared" si="29"/>
        <v>3.5999999999999943</v>
      </c>
      <c r="J303" s="1">
        <f t="shared" si="30"/>
        <v>0.62223904687782716</v>
      </c>
      <c r="K303" s="2">
        <v>104.6</v>
      </c>
      <c r="L303" s="2">
        <v>100.8</v>
      </c>
      <c r="M303" s="2">
        <f t="shared" si="31"/>
        <v>3.7999999999999972</v>
      </c>
      <c r="N303" s="1">
        <f t="shared" si="32"/>
        <v>-3.6873193219290612E-2</v>
      </c>
      <c r="O303" s="2">
        <v>104.5</v>
      </c>
      <c r="P303" s="2">
        <v>98</v>
      </c>
      <c r="Q303" s="2">
        <f t="shared" si="33"/>
        <v>6.5</v>
      </c>
      <c r="R303" s="2">
        <v>2.4</v>
      </c>
      <c r="S303" s="2">
        <v>10.8</v>
      </c>
      <c r="T303" s="2">
        <f t="shared" si="34"/>
        <v>2.7000000000000028</v>
      </c>
    </row>
    <row r="304" spans="1:20">
      <c r="A304" s="6">
        <v>514</v>
      </c>
      <c r="B304" t="s">
        <v>58</v>
      </c>
      <c r="C304" t="s">
        <v>11</v>
      </c>
      <c r="D304">
        <v>46</v>
      </c>
      <c r="E304">
        <v>36</v>
      </c>
      <c r="F304" s="1">
        <f t="shared" si="28"/>
        <v>0.56097560975609762</v>
      </c>
      <c r="G304" s="2">
        <v>110</v>
      </c>
      <c r="H304" s="2">
        <v>108.5</v>
      </c>
      <c r="I304" s="2">
        <f t="shared" si="29"/>
        <v>1.5</v>
      </c>
      <c r="J304" s="1">
        <f t="shared" si="30"/>
        <v>0.54790824985193565</v>
      </c>
      <c r="K304" s="2">
        <v>111.4</v>
      </c>
      <c r="L304" s="2">
        <v>110</v>
      </c>
      <c r="M304" s="2">
        <f t="shared" si="31"/>
        <v>1.4000000000000057</v>
      </c>
      <c r="N304" s="1">
        <f t="shared" si="32"/>
        <v>1.3067359904161968E-2</v>
      </c>
      <c r="O304" s="2">
        <v>103.6</v>
      </c>
      <c r="P304" s="2">
        <v>99.5</v>
      </c>
      <c r="Q304" s="2">
        <f t="shared" si="33"/>
        <v>4.0999999999999943</v>
      </c>
      <c r="R304" s="2">
        <v>-0.6</v>
      </c>
      <c r="S304" s="2">
        <v>-2.6</v>
      </c>
      <c r="T304" s="2">
        <f t="shared" si="34"/>
        <v>2.6999999999999886</v>
      </c>
    </row>
    <row r="305" spans="1:20">
      <c r="A305" s="6">
        <v>668</v>
      </c>
      <c r="B305" t="s">
        <v>63</v>
      </c>
      <c r="C305" t="s">
        <v>15</v>
      </c>
      <c r="D305">
        <v>35</v>
      </c>
      <c r="E305">
        <v>47</v>
      </c>
      <c r="F305" s="1">
        <f t="shared" si="28"/>
        <v>0.42682926829268292</v>
      </c>
      <c r="G305" s="2">
        <v>116.3</v>
      </c>
      <c r="H305" s="2">
        <v>119.5</v>
      </c>
      <c r="I305" s="2">
        <f t="shared" si="29"/>
        <v>-3.2000000000000028</v>
      </c>
      <c r="J305" s="1">
        <f t="shared" si="30"/>
        <v>0.40612536169941066</v>
      </c>
      <c r="K305" s="2">
        <v>113.8</v>
      </c>
      <c r="L305" s="2">
        <v>117.1</v>
      </c>
      <c r="M305" s="2">
        <f t="shared" si="31"/>
        <v>-3.2999999999999972</v>
      </c>
      <c r="N305" s="1">
        <f t="shared" si="32"/>
        <v>2.0703906593272259E-2</v>
      </c>
      <c r="O305" s="2">
        <v>110</v>
      </c>
      <c r="P305" s="2">
        <v>110.7</v>
      </c>
      <c r="Q305" s="2">
        <f t="shared" si="33"/>
        <v>-0.70000000000000284</v>
      </c>
      <c r="R305" s="2">
        <v>0.7</v>
      </c>
      <c r="S305" s="2">
        <v>0.2</v>
      </c>
      <c r="T305" s="2">
        <f t="shared" si="34"/>
        <v>2.5999999999999943</v>
      </c>
    </row>
    <row r="306" spans="1:20">
      <c r="A306" s="6">
        <v>723</v>
      </c>
      <c r="B306" t="s">
        <v>65</v>
      </c>
      <c r="C306" t="s">
        <v>10</v>
      </c>
      <c r="D306">
        <v>39</v>
      </c>
      <c r="E306">
        <v>43</v>
      </c>
      <c r="F306" s="1">
        <f t="shared" si="28"/>
        <v>0.47560975609756095</v>
      </c>
      <c r="G306" s="2">
        <v>114.2</v>
      </c>
      <c r="H306" s="2">
        <v>115.4</v>
      </c>
      <c r="I306" s="2">
        <f t="shared" si="29"/>
        <v>-1.2000000000000028</v>
      </c>
      <c r="J306" s="1">
        <f t="shared" si="30"/>
        <v>0.46347945541484592</v>
      </c>
      <c r="K306" s="2">
        <v>113.7</v>
      </c>
      <c r="L306" s="2">
        <v>115</v>
      </c>
      <c r="M306" s="2">
        <f t="shared" si="31"/>
        <v>-1.2999999999999972</v>
      </c>
      <c r="N306" s="1">
        <f t="shared" si="32"/>
        <v>1.2130300682715034E-2</v>
      </c>
      <c r="O306" s="2">
        <v>113</v>
      </c>
      <c r="P306" s="2">
        <v>111.7</v>
      </c>
      <c r="Q306" s="2">
        <f t="shared" si="33"/>
        <v>1.2999999999999972</v>
      </c>
      <c r="R306" s="2">
        <v>0.1</v>
      </c>
      <c r="S306" s="2">
        <v>1.5</v>
      </c>
      <c r="T306" s="2">
        <f t="shared" si="34"/>
        <v>2.5999999999999943</v>
      </c>
    </row>
    <row r="307" spans="1:20">
      <c r="A307" s="6">
        <v>440</v>
      </c>
      <c r="B307" t="s">
        <v>54</v>
      </c>
      <c r="C307" t="s">
        <v>25</v>
      </c>
      <c r="D307">
        <v>39</v>
      </c>
      <c r="E307">
        <v>43</v>
      </c>
      <c r="F307" s="1">
        <f t="shared" si="28"/>
        <v>0.47560975609756095</v>
      </c>
      <c r="G307" s="2">
        <v>102.4</v>
      </c>
      <c r="H307" s="2">
        <v>103.3</v>
      </c>
      <c r="I307" s="2">
        <f t="shared" si="29"/>
        <v>-0.89999999999999147</v>
      </c>
      <c r="J307" s="1">
        <f t="shared" si="30"/>
        <v>0.4694109261885151</v>
      </c>
      <c r="K307" s="2">
        <v>104.2</v>
      </c>
      <c r="L307" s="2">
        <v>105.3</v>
      </c>
      <c r="M307" s="2">
        <f t="shared" si="31"/>
        <v>-1.0999999999999943</v>
      </c>
      <c r="N307" s="1">
        <f t="shared" si="32"/>
        <v>6.1988299090458554E-3</v>
      </c>
      <c r="O307" s="2">
        <v>98</v>
      </c>
      <c r="P307" s="2">
        <v>96.5</v>
      </c>
      <c r="Q307" s="2">
        <f t="shared" si="33"/>
        <v>1.5</v>
      </c>
      <c r="R307" s="2">
        <v>0.9</v>
      </c>
      <c r="S307" s="2">
        <v>5</v>
      </c>
      <c r="T307" s="2">
        <f t="shared" si="34"/>
        <v>2.5999999999999943</v>
      </c>
    </row>
    <row r="308" spans="1:20">
      <c r="A308" s="6">
        <v>428</v>
      </c>
      <c r="B308" t="s">
        <v>54</v>
      </c>
      <c r="C308" t="s">
        <v>15</v>
      </c>
      <c r="D308">
        <v>38</v>
      </c>
      <c r="E308">
        <v>44</v>
      </c>
      <c r="F308" s="1">
        <f t="shared" si="28"/>
        <v>0.46341463414634149</v>
      </c>
      <c r="G308" s="2">
        <v>97.3</v>
      </c>
      <c r="H308" s="2">
        <v>97</v>
      </c>
      <c r="I308" s="2">
        <f t="shared" si="29"/>
        <v>0.29999999999999716</v>
      </c>
      <c r="J308" s="1">
        <f t="shared" si="30"/>
        <v>0.51080635435585753</v>
      </c>
      <c r="K308" s="2">
        <v>102.9</v>
      </c>
      <c r="L308" s="2">
        <v>102.7</v>
      </c>
      <c r="M308" s="2">
        <f t="shared" si="31"/>
        <v>0.20000000000000284</v>
      </c>
      <c r="N308" s="1">
        <f t="shared" si="32"/>
        <v>-4.7391720209516042E-2</v>
      </c>
      <c r="O308" s="2">
        <v>97.5</v>
      </c>
      <c r="P308" s="2">
        <v>94.7</v>
      </c>
      <c r="Q308" s="2">
        <f t="shared" si="33"/>
        <v>2.7999999999999972</v>
      </c>
      <c r="R308" s="2">
        <v>0.7</v>
      </c>
      <c r="S308" s="2">
        <v>3.3</v>
      </c>
      <c r="T308" s="2">
        <f t="shared" si="34"/>
        <v>2.5999999999999943</v>
      </c>
    </row>
    <row r="309" spans="1:20">
      <c r="A309" s="6">
        <v>118</v>
      </c>
      <c r="B309" t="s">
        <v>39</v>
      </c>
      <c r="C309" t="s">
        <v>6</v>
      </c>
      <c r="D309">
        <v>45</v>
      </c>
      <c r="E309">
        <v>37</v>
      </c>
      <c r="F309" s="1">
        <f t="shared" si="28"/>
        <v>0.54878048780487809</v>
      </c>
      <c r="G309" s="2">
        <v>101.3</v>
      </c>
      <c r="H309" s="2">
        <v>100.4</v>
      </c>
      <c r="I309" s="2">
        <f t="shared" si="29"/>
        <v>0.89999999999999147</v>
      </c>
      <c r="J309" s="1">
        <f t="shared" si="30"/>
        <v>0.53119414689005995</v>
      </c>
      <c r="K309" s="2">
        <v>105.9</v>
      </c>
      <c r="L309" s="2">
        <v>105.1</v>
      </c>
      <c r="M309" s="2">
        <f t="shared" si="31"/>
        <v>0.80000000000001137</v>
      </c>
      <c r="N309" s="1">
        <f t="shared" si="32"/>
        <v>1.7586340914818144E-2</v>
      </c>
      <c r="O309" s="2">
        <v>98.3</v>
      </c>
      <c r="P309" s="2">
        <v>94.9</v>
      </c>
      <c r="Q309" s="2">
        <f t="shared" si="33"/>
        <v>3.3999999999999915</v>
      </c>
      <c r="R309" s="2">
        <v>0.2</v>
      </c>
      <c r="S309" s="2">
        <v>1</v>
      </c>
      <c r="T309" s="2">
        <f t="shared" si="34"/>
        <v>2.5999999999999801</v>
      </c>
    </row>
    <row r="310" spans="1:20">
      <c r="A310" s="6">
        <v>641</v>
      </c>
      <c r="B310" t="s">
        <v>62</v>
      </c>
      <c r="C310" t="s">
        <v>35</v>
      </c>
      <c r="D310">
        <v>56</v>
      </c>
      <c r="E310">
        <v>26</v>
      </c>
      <c r="F310" s="1">
        <f t="shared" si="28"/>
        <v>0.68292682926829273</v>
      </c>
      <c r="G310" s="2">
        <v>115.6</v>
      </c>
      <c r="H310" s="2">
        <v>109.9</v>
      </c>
      <c r="I310" s="2">
        <f t="shared" si="29"/>
        <v>5.6999999999999886</v>
      </c>
      <c r="J310" s="1">
        <f t="shared" si="30"/>
        <v>0.66993947540957544</v>
      </c>
      <c r="K310" s="2">
        <v>114.3</v>
      </c>
      <c r="L310" s="2">
        <v>108.9</v>
      </c>
      <c r="M310" s="2">
        <f t="shared" si="31"/>
        <v>5.3999999999999915</v>
      </c>
      <c r="N310" s="1">
        <f t="shared" si="32"/>
        <v>1.2987353858717299E-2</v>
      </c>
      <c r="O310" s="2">
        <v>111.6</v>
      </c>
      <c r="P310" s="2">
        <v>103.7</v>
      </c>
      <c r="Q310" s="2">
        <f t="shared" si="33"/>
        <v>7.8999999999999915</v>
      </c>
      <c r="R310" s="2">
        <v>0.1</v>
      </c>
      <c r="S310" s="2">
        <v>0.2</v>
      </c>
      <c r="T310" s="2">
        <f t="shared" si="34"/>
        <v>2.5</v>
      </c>
    </row>
    <row r="311" spans="1:20">
      <c r="A311" s="6">
        <v>268</v>
      </c>
      <c r="B311" t="s">
        <v>47</v>
      </c>
      <c r="C311" t="s">
        <v>6</v>
      </c>
      <c r="D311">
        <v>50</v>
      </c>
      <c r="E311">
        <v>32</v>
      </c>
      <c r="F311" s="1">
        <f t="shared" si="28"/>
        <v>0.6097560975609756</v>
      </c>
      <c r="G311" s="2">
        <v>99.2</v>
      </c>
      <c r="H311" s="2">
        <v>95.6</v>
      </c>
      <c r="I311" s="2">
        <f t="shared" si="29"/>
        <v>3.6000000000000085</v>
      </c>
      <c r="J311" s="1">
        <f t="shared" si="30"/>
        <v>0.62656597319638863</v>
      </c>
      <c r="K311" s="2">
        <v>106.9</v>
      </c>
      <c r="L311" s="2">
        <v>103.2</v>
      </c>
      <c r="M311" s="2">
        <f t="shared" si="31"/>
        <v>3.7000000000000028</v>
      </c>
      <c r="N311" s="1">
        <f t="shared" si="32"/>
        <v>-1.680987563541303E-2</v>
      </c>
      <c r="O311" s="2">
        <v>101.2</v>
      </c>
      <c r="P311" s="2">
        <v>95</v>
      </c>
      <c r="Q311" s="2">
        <f t="shared" si="33"/>
        <v>6.2000000000000028</v>
      </c>
      <c r="R311" s="2">
        <v>0</v>
      </c>
      <c r="S311" s="2">
        <v>0.8</v>
      </c>
      <c r="T311" s="2">
        <f t="shared" si="34"/>
        <v>2.5</v>
      </c>
    </row>
    <row r="312" spans="1:20">
      <c r="A312" s="6">
        <v>282</v>
      </c>
      <c r="B312" t="s">
        <v>47</v>
      </c>
      <c r="C312" t="s">
        <v>19</v>
      </c>
      <c r="D312">
        <v>46</v>
      </c>
      <c r="E312">
        <v>36</v>
      </c>
      <c r="F312" s="1">
        <f t="shared" si="28"/>
        <v>0.56097560975609762</v>
      </c>
      <c r="G312" s="2">
        <v>97.7</v>
      </c>
      <c r="H312" s="2">
        <v>96</v>
      </c>
      <c r="I312" s="2">
        <f t="shared" si="29"/>
        <v>1.7000000000000028</v>
      </c>
      <c r="J312" s="1">
        <f t="shared" si="30"/>
        <v>0.56112945331002462</v>
      </c>
      <c r="K312" s="2">
        <v>104</v>
      </c>
      <c r="L312" s="2">
        <v>101.9</v>
      </c>
      <c r="M312" s="2">
        <f t="shared" si="31"/>
        <v>2.0999999999999943</v>
      </c>
      <c r="N312" s="1">
        <f t="shared" si="32"/>
        <v>-1.5384355392700222E-4</v>
      </c>
      <c r="O312" s="2">
        <v>99.6</v>
      </c>
      <c r="P312" s="2">
        <v>95.1</v>
      </c>
      <c r="Q312" s="2">
        <f t="shared" si="33"/>
        <v>4.5</v>
      </c>
      <c r="R312" s="2">
        <v>0.2</v>
      </c>
      <c r="S312" s="2">
        <v>-1.2</v>
      </c>
      <c r="T312" s="2">
        <f t="shared" si="34"/>
        <v>2.4000000000000057</v>
      </c>
    </row>
    <row r="313" spans="1:20">
      <c r="A313" s="6">
        <v>171</v>
      </c>
      <c r="B313" t="s">
        <v>41</v>
      </c>
      <c r="C313" t="s">
        <v>27</v>
      </c>
      <c r="D313">
        <v>44</v>
      </c>
      <c r="E313">
        <v>38</v>
      </c>
      <c r="F313" s="1">
        <f t="shared" si="28"/>
        <v>0.53658536585365857</v>
      </c>
      <c r="G313" s="2">
        <v>98.9</v>
      </c>
      <c r="H313" s="2">
        <v>97.3</v>
      </c>
      <c r="I313" s="2">
        <f t="shared" si="29"/>
        <v>1.6000000000000085</v>
      </c>
      <c r="J313" s="1">
        <f t="shared" si="30"/>
        <v>0.55683911786058593</v>
      </c>
      <c r="K313" s="2">
        <v>105.3</v>
      </c>
      <c r="L313" s="2">
        <v>103.5</v>
      </c>
      <c r="M313" s="2">
        <f t="shared" si="31"/>
        <v>1.7999999999999972</v>
      </c>
      <c r="N313" s="1">
        <f t="shared" si="32"/>
        <v>-2.0253752006927361E-2</v>
      </c>
      <c r="O313" s="2">
        <v>101.9</v>
      </c>
      <c r="P313" s="2">
        <v>97.8</v>
      </c>
      <c r="Q313" s="2">
        <f t="shared" si="33"/>
        <v>4.1000000000000085</v>
      </c>
      <c r="R313" s="2">
        <v>-0.7</v>
      </c>
      <c r="S313" s="2">
        <v>-1.7</v>
      </c>
      <c r="T313" s="2">
        <f t="shared" si="34"/>
        <v>2.3000000000000114</v>
      </c>
    </row>
    <row r="314" spans="1:20">
      <c r="A314" s="6">
        <v>390</v>
      </c>
      <c r="B314" t="s">
        <v>52</v>
      </c>
      <c r="C314" t="s">
        <v>40</v>
      </c>
      <c r="D314">
        <v>43</v>
      </c>
      <c r="E314">
        <v>39</v>
      </c>
      <c r="F314" s="1">
        <f t="shared" si="28"/>
        <v>0.52439024390243905</v>
      </c>
      <c r="G314" s="2">
        <v>96.9</v>
      </c>
      <c r="H314" s="2">
        <v>97.1</v>
      </c>
      <c r="I314" s="2">
        <f t="shared" si="29"/>
        <v>-0.19999999999998863</v>
      </c>
      <c r="J314" s="1">
        <f t="shared" si="30"/>
        <v>0.49278400364904085</v>
      </c>
      <c r="K314" s="2">
        <v>103</v>
      </c>
      <c r="L314" s="2">
        <v>103.3</v>
      </c>
      <c r="M314" s="2">
        <f t="shared" si="31"/>
        <v>-0.29999999999999716</v>
      </c>
      <c r="N314" s="1">
        <f t="shared" si="32"/>
        <v>3.1606240253398199E-2</v>
      </c>
      <c r="O314" s="2">
        <v>94.6</v>
      </c>
      <c r="P314" s="2">
        <v>92.6</v>
      </c>
      <c r="Q314" s="2">
        <f t="shared" si="33"/>
        <v>2</v>
      </c>
      <c r="R314" s="2">
        <v>-0.4</v>
      </c>
      <c r="S314" s="2">
        <v>-0.3</v>
      </c>
      <c r="T314" s="2">
        <f t="shared" si="34"/>
        <v>2.2999999999999972</v>
      </c>
    </row>
    <row r="315" spans="1:20">
      <c r="A315" s="6">
        <v>26</v>
      </c>
      <c r="B315" t="s">
        <v>4</v>
      </c>
      <c r="C315" t="s">
        <v>30</v>
      </c>
      <c r="D315">
        <v>47</v>
      </c>
      <c r="E315">
        <v>35</v>
      </c>
      <c r="F315" s="1">
        <f t="shared" si="28"/>
        <v>0.57317073170731703</v>
      </c>
      <c r="G315" s="2">
        <v>97.6</v>
      </c>
      <c r="H315" s="2">
        <v>95.4</v>
      </c>
      <c r="I315" s="2">
        <f t="shared" si="29"/>
        <v>2.1999999999999886</v>
      </c>
      <c r="J315" s="1">
        <f t="shared" si="30"/>
        <v>0.57912557114227126</v>
      </c>
      <c r="K315" s="2">
        <v>104.4</v>
      </c>
      <c r="L315" s="2">
        <v>102</v>
      </c>
      <c r="M315" s="2">
        <f t="shared" si="31"/>
        <v>2.4000000000000057</v>
      </c>
      <c r="N315" s="1">
        <f t="shared" si="32"/>
        <v>-5.9548394349542288E-3</v>
      </c>
      <c r="O315" s="2">
        <v>96.8</v>
      </c>
      <c r="P315" s="2">
        <v>92.1</v>
      </c>
      <c r="Q315" s="2">
        <f t="shared" si="33"/>
        <v>4.7000000000000028</v>
      </c>
      <c r="R315" s="2">
        <v>0.7</v>
      </c>
      <c r="S315" s="2">
        <v>2.9</v>
      </c>
      <c r="T315" s="2">
        <f t="shared" si="34"/>
        <v>2.2999999999999972</v>
      </c>
    </row>
    <row r="316" spans="1:20">
      <c r="A316" s="6">
        <v>236</v>
      </c>
      <c r="B316" t="s">
        <v>44</v>
      </c>
      <c r="C316" t="s">
        <v>33</v>
      </c>
      <c r="D316">
        <v>43</v>
      </c>
      <c r="E316">
        <v>39</v>
      </c>
      <c r="F316" s="1">
        <f t="shared" si="28"/>
        <v>0.52439024390243905</v>
      </c>
      <c r="G316" s="2">
        <v>98.8</v>
      </c>
      <c r="H316" s="2">
        <v>99.2</v>
      </c>
      <c r="I316" s="2">
        <f t="shared" si="29"/>
        <v>-0.40000000000000568</v>
      </c>
      <c r="J316" s="1">
        <f t="shared" si="30"/>
        <v>0.48586233608877544</v>
      </c>
      <c r="K316" s="2">
        <v>107.6</v>
      </c>
      <c r="L316" s="2">
        <v>107.9</v>
      </c>
      <c r="M316" s="2">
        <f t="shared" si="31"/>
        <v>-0.30000000000001137</v>
      </c>
      <c r="N316" s="1">
        <f t="shared" si="32"/>
        <v>3.8527907813663609E-2</v>
      </c>
      <c r="O316" s="2">
        <v>110.5</v>
      </c>
      <c r="P316" s="2">
        <v>108.6</v>
      </c>
      <c r="Q316" s="2">
        <f t="shared" si="33"/>
        <v>1.9000000000000057</v>
      </c>
      <c r="R316" s="2">
        <v>-0.1</v>
      </c>
      <c r="S316" s="2">
        <v>-1.7</v>
      </c>
      <c r="T316" s="2">
        <f t="shared" si="34"/>
        <v>2.2000000000000171</v>
      </c>
    </row>
    <row r="317" spans="1:20">
      <c r="A317" s="6">
        <v>239</v>
      </c>
      <c r="B317" t="s">
        <v>45</v>
      </c>
      <c r="C317" t="s">
        <v>40</v>
      </c>
      <c r="D317">
        <v>35</v>
      </c>
      <c r="E317">
        <v>47</v>
      </c>
      <c r="F317" s="1">
        <f t="shared" si="28"/>
        <v>0.42682926829268292</v>
      </c>
      <c r="G317" s="2">
        <v>93.6</v>
      </c>
      <c r="H317" s="2">
        <v>94.9</v>
      </c>
      <c r="I317" s="2">
        <f t="shared" si="29"/>
        <v>-1.3000000000000114</v>
      </c>
      <c r="J317" s="1">
        <f t="shared" si="30"/>
        <v>0.4518728353322306</v>
      </c>
      <c r="K317" s="2">
        <v>103.7</v>
      </c>
      <c r="L317" s="2">
        <v>105</v>
      </c>
      <c r="M317" s="2">
        <f t="shared" si="31"/>
        <v>-1.2999999999999972</v>
      </c>
      <c r="N317" s="1">
        <f t="shared" si="32"/>
        <v>-2.5043567039547687E-2</v>
      </c>
      <c r="O317" s="2">
        <v>97.8</v>
      </c>
      <c r="P317" s="2">
        <v>96.9</v>
      </c>
      <c r="Q317" s="2">
        <f t="shared" si="33"/>
        <v>0.89999999999999147</v>
      </c>
      <c r="R317" s="2">
        <v>-0.3</v>
      </c>
      <c r="S317" s="2">
        <v>-2.4</v>
      </c>
      <c r="T317" s="2">
        <f t="shared" si="34"/>
        <v>2.1999999999999886</v>
      </c>
    </row>
    <row r="318" spans="1:20">
      <c r="A318" s="6">
        <v>669</v>
      </c>
      <c r="B318" t="s">
        <v>63</v>
      </c>
      <c r="C318" t="s">
        <v>56</v>
      </c>
      <c r="D318">
        <v>44</v>
      </c>
      <c r="E318">
        <v>38</v>
      </c>
      <c r="F318" s="1">
        <f t="shared" si="28"/>
        <v>0.53658536585365857</v>
      </c>
      <c r="G318" s="2">
        <v>113.6</v>
      </c>
      <c r="H318" s="2">
        <v>113.1</v>
      </c>
      <c r="I318" s="2">
        <f t="shared" si="29"/>
        <v>0.5</v>
      </c>
      <c r="J318" s="1">
        <f t="shared" si="30"/>
        <v>0.515434026237649</v>
      </c>
      <c r="K318" s="2">
        <v>114</v>
      </c>
      <c r="L318" s="2">
        <v>113.6</v>
      </c>
      <c r="M318" s="2">
        <f t="shared" si="31"/>
        <v>0.40000000000000568</v>
      </c>
      <c r="N318" s="1">
        <f t="shared" si="32"/>
        <v>2.1151339616009568E-2</v>
      </c>
      <c r="O318" s="2">
        <v>112.3</v>
      </c>
      <c r="P318" s="2">
        <v>109.8</v>
      </c>
      <c r="Q318" s="2">
        <f t="shared" si="33"/>
        <v>2.5</v>
      </c>
      <c r="R318" s="2">
        <v>0.7</v>
      </c>
      <c r="S318" s="2">
        <v>2.9</v>
      </c>
      <c r="T318" s="2">
        <f t="shared" si="34"/>
        <v>2.0999999999999943</v>
      </c>
    </row>
    <row r="319" spans="1:20">
      <c r="A319" s="6">
        <v>308</v>
      </c>
      <c r="B319" t="s">
        <v>48</v>
      </c>
      <c r="C319" t="s">
        <v>16</v>
      </c>
      <c r="D319">
        <v>32</v>
      </c>
      <c r="E319">
        <v>50</v>
      </c>
      <c r="F319" s="1">
        <f t="shared" si="28"/>
        <v>0.3902439024390244</v>
      </c>
      <c r="G319" s="2">
        <v>98.6</v>
      </c>
      <c r="H319" s="2">
        <v>101.8</v>
      </c>
      <c r="I319" s="2">
        <f t="shared" si="29"/>
        <v>-3.2000000000000028</v>
      </c>
      <c r="J319" s="1">
        <f t="shared" si="30"/>
        <v>0.39004006855823664</v>
      </c>
      <c r="K319" s="2">
        <v>104.8</v>
      </c>
      <c r="L319" s="2">
        <v>108</v>
      </c>
      <c r="M319" s="2">
        <f t="shared" si="31"/>
        <v>-3.2000000000000028</v>
      </c>
      <c r="N319" s="1">
        <f t="shared" si="32"/>
        <v>2.0383388078776266E-4</v>
      </c>
      <c r="O319" s="2">
        <v>107.1</v>
      </c>
      <c r="P319" s="2">
        <v>108.2</v>
      </c>
      <c r="Q319" s="2">
        <f t="shared" si="33"/>
        <v>-1.1000000000000085</v>
      </c>
      <c r="R319" s="2">
        <v>-1.1000000000000001</v>
      </c>
      <c r="S319" s="2">
        <v>-6.9</v>
      </c>
      <c r="T319" s="2">
        <f t="shared" si="34"/>
        <v>2.0999999999999943</v>
      </c>
    </row>
    <row r="320" spans="1:20">
      <c r="A320" s="6">
        <v>32</v>
      </c>
      <c r="B320" t="s">
        <v>34</v>
      </c>
      <c r="C320" t="s">
        <v>7</v>
      </c>
      <c r="D320">
        <v>44</v>
      </c>
      <c r="E320">
        <v>38</v>
      </c>
      <c r="F320" s="1">
        <f t="shared" si="28"/>
        <v>0.53658536585365857</v>
      </c>
      <c r="G320" s="2">
        <v>93.9</v>
      </c>
      <c r="H320" s="2">
        <v>92.9</v>
      </c>
      <c r="I320" s="2">
        <f t="shared" si="29"/>
        <v>1</v>
      </c>
      <c r="J320" s="1">
        <f t="shared" si="30"/>
        <v>0.5374035846136257</v>
      </c>
      <c r="K320" s="2">
        <v>102.9</v>
      </c>
      <c r="L320" s="2">
        <v>101.8</v>
      </c>
      <c r="M320" s="2">
        <f t="shared" si="31"/>
        <v>1.1000000000000085</v>
      </c>
      <c r="N320" s="1">
        <f t="shared" si="32"/>
        <v>-8.1821875996712645E-4</v>
      </c>
      <c r="O320" s="2">
        <v>101.1</v>
      </c>
      <c r="P320" s="2">
        <v>97.9</v>
      </c>
      <c r="Q320" s="2">
        <f t="shared" si="33"/>
        <v>3.1999999999999886</v>
      </c>
      <c r="R320" s="2">
        <v>-0.5</v>
      </c>
      <c r="S320" s="2">
        <v>-0.9</v>
      </c>
      <c r="T320" s="2">
        <f t="shared" si="34"/>
        <v>2.0999999999999801</v>
      </c>
    </row>
    <row r="321" spans="1:20">
      <c r="A321" s="6">
        <v>84</v>
      </c>
      <c r="B321" t="s">
        <v>36</v>
      </c>
      <c r="C321" t="s">
        <v>29</v>
      </c>
      <c r="D321">
        <v>40</v>
      </c>
      <c r="E321">
        <v>42</v>
      </c>
      <c r="F321" s="1">
        <f t="shared" si="28"/>
        <v>0.48780487804878048</v>
      </c>
      <c r="G321" s="2">
        <v>92.1</v>
      </c>
      <c r="H321" s="2">
        <v>92.3</v>
      </c>
      <c r="I321" s="2">
        <f t="shared" si="29"/>
        <v>-0.20000000000000284</v>
      </c>
      <c r="J321" s="1">
        <f t="shared" si="30"/>
        <v>0.49240838957943855</v>
      </c>
      <c r="K321" s="2">
        <v>102.4</v>
      </c>
      <c r="L321" s="2">
        <v>102.6</v>
      </c>
      <c r="M321" s="2">
        <f t="shared" si="31"/>
        <v>-0.19999999999998863</v>
      </c>
      <c r="N321" s="1">
        <f t="shared" si="32"/>
        <v>-4.6035115306580776E-3</v>
      </c>
      <c r="O321" s="2">
        <v>101.6</v>
      </c>
      <c r="P321" s="2">
        <v>99.7</v>
      </c>
      <c r="Q321" s="2">
        <f t="shared" si="33"/>
        <v>1.8999999999999915</v>
      </c>
      <c r="R321" s="2">
        <v>-0.5</v>
      </c>
      <c r="S321" s="2">
        <v>-1.8</v>
      </c>
      <c r="T321" s="2">
        <f t="shared" si="34"/>
        <v>2.0999999999999801</v>
      </c>
    </row>
    <row r="322" spans="1:20">
      <c r="A322" s="6">
        <v>42</v>
      </c>
      <c r="B322" t="s">
        <v>34</v>
      </c>
      <c r="C322" t="s">
        <v>17</v>
      </c>
      <c r="D322">
        <v>58</v>
      </c>
      <c r="E322">
        <v>24</v>
      </c>
      <c r="F322" s="1">
        <f t="shared" si="28"/>
        <v>0.70731707317073167</v>
      </c>
      <c r="G322" s="2">
        <v>101.3</v>
      </c>
      <c r="H322" s="2">
        <v>94.1</v>
      </c>
      <c r="I322" s="2">
        <f t="shared" si="29"/>
        <v>7.2000000000000028</v>
      </c>
      <c r="J322" s="1">
        <f t="shared" si="30"/>
        <v>0.73734162874338682</v>
      </c>
      <c r="K322" s="2">
        <v>108</v>
      </c>
      <c r="L322" s="2">
        <v>100.4</v>
      </c>
      <c r="M322" s="2">
        <f t="shared" si="31"/>
        <v>7.5999999999999943</v>
      </c>
      <c r="N322" s="1">
        <f t="shared" si="32"/>
        <v>-3.0024555572655154E-2</v>
      </c>
      <c r="O322" s="2">
        <v>104.2</v>
      </c>
      <c r="P322" s="2">
        <v>94.6</v>
      </c>
      <c r="Q322" s="2">
        <f t="shared" si="33"/>
        <v>9.6000000000000085</v>
      </c>
      <c r="R322" s="2">
        <v>2.5</v>
      </c>
      <c r="S322" s="2">
        <v>12.5</v>
      </c>
      <c r="T322" s="2">
        <f t="shared" si="34"/>
        <v>2.0000000000000142</v>
      </c>
    </row>
    <row r="323" spans="1:20">
      <c r="A323" s="6">
        <v>564</v>
      </c>
      <c r="B323" t="s">
        <v>59</v>
      </c>
      <c r="C323" t="s">
        <v>30</v>
      </c>
      <c r="D323">
        <v>58</v>
      </c>
      <c r="E323">
        <v>24</v>
      </c>
      <c r="F323" s="1">
        <f t="shared" si="28"/>
        <v>0.70731707317073167</v>
      </c>
      <c r="G323" s="2">
        <v>114.4</v>
      </c>
      <c r="H323" s="2">
        <v>108.4</v>
      </c>
      <c r="I323" s="2">
        <f t="shared" si="29"/>
        <v>6</v>
      </c>
      <c r="J323" s="1">
        <f t="shared" si="30"/>
        <v>0.68009792442204564</v>
      </c>
      <c r="K323" s="2">
        <v>112.6</v>
      </c>
      <c r="L323" s="2">
        <v>106.8</v>
      </c>
      <c r="M323" s="2">
        <f t="shared" si="31"/>
        <v>5.7999999999999972</v>
      </c>
      <c r="N323" s="1">
        <f t="shared" si="32"/>
        <v>2.7219148748686028E-2</v>
      </c>
      <c r="O323" s="2">
        <v>108.1</v>
      </c>
      <c r="P323" s="2">
        <v>100.3</v>
      </c>
      <c r="Q323" s="2">
        <f t="shared" si="33"/>
        <v>7.7999999999999972</v>
      </c>
      <c r="R323" s="2">
        <v>-0.5</v>
      </c>
      <c r="S323" s="2">
        <v>-1.3</v>
      </c>
      <c r="T323" s="2">
        <f t="shared" si="34"/>
        <v>2</v>
      </c>
    </row>
    <row r="324" spans="1:20">
      <c r="A324" s="6">
        <v>61</v>
      </c>
      <c r="B324" t="s">
        <v>36</v>
      </c>
      <c r="C324" t="s">
        <v>8</v>
      </c>
      <c r="D324">
        <v>30</v>
      </c>
      <c r="E324">
        <v>52</v>
      </c>
      <c r="F324" s="1">
        <f t="shared" si="28"/>
        <v>0.36585365853658536</v>
      </c>
      <c r="G324" s="2">
        <v>95</v>
      </c>
      <c r="H324" s="2">
        <v>100.1</v>
      </c>
      <c r="I324" s="2">
        <f t="shared" si="29"/>
        <v>-5.0999999999999943</v>
      </c>
      <c r="J324" s="1">
        <f t="shared" si="30"/>
        <v>0.32473425777947651</v>
      </c>
      <c r="K324" s="2">
        <v>99.1</v>
      </c>
      <c r="L324" s="2">
        <v>104.2</v>
      </c>
      <c r="M324" s="2">
        <f t="shared" si="31"/>
        <v>-5.1000000000000085</v>
      </c>
      <c r="N324" s="1">
        <f t="shared" si="32"/>
        <v>4.1119400757108848E-2</v>
      </c>
      <c r="O324" s="2">
        <v>100.6</v>
      </c>
      <c r="P324" s="2">
        <v>103.8</v>
      </c>
      <c r="Q324" s="2">
        <f t="shared" si="33"/>
        <v>-3.2000000000000028</v>
      </c>
      <c r="R324" s="2">
        <v>1.6</v>
      </c>
      <c r="S324" s="2">
        <v>4.8</v>
      </c>
      <c r="T324" s="2">
        <f t="shared" si="34"/>
        <v>1.9000000000000057</v>
      </c>
    </row>
    <row r="325" spans="1:20">
      <c r="A325" s="6">
        <v>73</v>
      </c>
      <c r="B325" t="s">
        <v>36</v>
      </c>
      <c r="C325" t="s">
        <v>19</v>
      </c>
      <c r="D325">
        <v>42</v>
      </c>
      <c r="E325">
        <v>40</v>
      </c>
      <c r="F325" s="1">
        <f t="shared" si="28"/>
        <v>0.51219512195121952</v>
      </c>
      <c r="G325" s="2">
        <v>99.5</v>
      </c>
      <c r="H325" s="2">
        <v>99.3</v>
      </c>
      <c r="I325" s="2">
        <f t="shared" si="29"/>
        <v>0.20000000000000284</v>
      </c>
      <c r="J325" s="1">
        <f t="shared" si="30"/>
        <v>0.50704179026833252</v>
      </c>
      <c r="K325" s="2">
        <v>107.2</v>
      </c>
      <c r="L325" s="2">
        <v>106.9</v>
      </c>
      <c r="M325" s="2">
        <f t="shared" si="31"/>
        <v>0.29999999999999716</v>
      </c>
      <c r="N325" s="1">
        <f t="shared" si="32"/>
        <v>5.1533316828870079E-3</v>
      </c>
      <c r="O325" s="2">
        <v>104.2</v>
      </c>
      <c r="P325" s="2">
        <v>102</v>
      </c>
      <c r="Q325" s="2">
        <f t="shared" si="33"/>
        <v>2.2000000000000028</v>
      </c>
      <c r="R325" s="2">
        <v>1.8</v>
      </c>
      <c r="S325" s="2">
        <v>8.8000000000000007</v>
      </c>
      <c r="T325" s="2">
        <f t="shared" si="34"/>
        <v>1.9000000000000057</v>
      </c>
    </row>
    <row r="326" spans="1:20">
      <c r="A326" s="6">
        <v>402</v>
      </c>
      <c r="B326" t="s">
        <v>52</v>
      </c>
      <c r="C326" t="s">
        <v>18</v>
      </c>
      <c r="D326">
        <v>54</v>
      </c>
      <c r="E326">
        <v>28</v>
      </c>
      <c r="F326" s="1">
        <f t="shared" si="28"/>
        <v>0.65853658536585369</v>
      </c>
      <c r="G326" s="2">
        <v>102.2</v>
      </c>
      <c r="H326" s="2">
        <v>97.4</v>
      </c>
      <c r="I326" s="2">
        <f t="shared" si="29"/>
        <v>4.7999999999999972</v>
      </c>
      <c r="J326" s="1">
        <f t="shared" si="30"/>
        <v>0.66228117698287825</v>
      </c>
      <c r="K326" s="2">
        <v>110</v>
      </c>
      <c r="L326" s="2">
        <v>105</v>
      </c>
      <c r="M326" s="2">
        <f t="shared" si="31"/>
        <v>5</v>
      </c>
      <c r="N326" s="1">
        <f t="shared" si="32"/>
        <v>-3.7445916170245619E-3</v>
      </c>
      <c r="O326" s="2">
        <v>104.5</v>
      </c>
      <c r="P326" s="2">
        <v>97.6</v>
      </c>
      <c r="Q326" s="2">
        <f t="shared" si="33"/>
        <v>6.9000000000000057</v>
      </c>
      <c r="R326" s="2">
        <v>1.6</v>
      </c>
      <c r="S326" s="2">
        <v>7.3</v>
      </c>
      <c r="T326" s="2">
        <f t="shared" si="34"/>
        <v>1.9000000000000057</v>
      </c>
    </row>
    <row r="327" spans="1:20">
      <c r="A327" s="6">
        <v>523</v>
      </c>
      <c r="B327" t="s">
        <v>58</v>
      </c>
      <c r="C327" t="s">
        <v>19</v>
      </c>
      <c r="D327">
        <v>44</v>
      </c>
      <c r="E327">
        <v>38</v>
      </c>
      <c r="F327" s="1">
        <f t="shared" si="28"/>
        <v>0.53658536585365857</v>
      </c>
      <c r="G327" s="2">
        <v>106.5</v>
      </c>
      <c r="H327" s="2">
        <v>106.8</v>
      </c>
      <c r="I327" s="2">
        <f t="shared" si="29"/>
        <v>-0.29999999999999716</v>
      </c>
      <c r="J327" s="1">
        <f t="shared" si="30"/>
        <v>0.49015597738821681</v>
      </c>
      <c r="K327" s="2">
        <v>109</v>
      </c>
      <c r="L327" s="2">
        <v>109.1</v>
      </c>
      <c r="M327" s="2">
        <f t="shared" si="31"/>
        <v>-9.9999999999994316E-2</v>
      </c>
      <c r="N327" s="1">
        <f t="shared" si="32"/>
        <v>4.6429388465441757E-2</v>
      </c>
      <c r="O327" s="2">
        <v>102.1</v>
      </c>
      <c r="P327" s="2">
        <v>100.3</v>
      </c>
      <c r="Q327" s="2">
        <f t="shared" si="33"/>
        <v>1.7999999999999972</v>
      </c>
      <c r="R327" s="2">
        <v>-1.2</v>
      </c>
      <c r="S327" s="2">
        <v>-4.5999999999999996</v>
      </c>
      <c r="T327" s="2">
        <f t="shared" si="34"/>
        <v>1.8999999999999915</v>
      </c>
    </row>
    <row r="328" spans="1:20">
      <c r="A328" s="6">
        <v>535</v>
      </c>
      <c r="B328" t="s">
        <v>58</v>
      </c>
      <c r="C328" t="s">
        <v>31</v>
      </c>
      <c r="D328">
        <v>48</v>
      </c>
      <c r="E328">
        <v>34</v>
      </c>
      <c r="F328" s="1">
        <f t="shared" si="28"/>
        <v>0.58536585365853655</v>
      </c>
      <c r="G328" s="2">
        <v>104.1</v>
      </c>
      <c r="H328" s="2">
        <v>99.8</v>
      </c>
      <c r="I328" s="2">
        <f t="shared" si="29"/>
        <v>4.2999999999999972</v>
      </c>
      <c r="J328" s="1">
        <f t="shared" si="30"/>
        <v>0.64349662886143</v>
      </c>
      <c r="K328" s="2">
        <v>107.4</v>
      </c>
      <c r="L328" s="2">
        <v>103</v>
      </c>
      <c r="M328" s="2">
        <f t="shared" si="31"/>
        <v>4.4000000000000057</v>
      </c>
      <c r="N328" s="1">
        <f t="shared" si="32"/>
        <v>-5.8130775202893448E-2</v>
      </c>
      <c r="O328" s="2">
        <v>107.6</v>
      </c>
      <c r="P328" s="2">
        <v>101.3</v>
      </c>
      <c r="Q328" s="2">
        <f t="shared" si="33"/>
        <v>6.2999999999999972</v>
      </c>
      <c r="R328" s="2">
        <v>1.8</v>
      </c>
      <c r="S328" s="2">
        <v>8.4</v>
      </c>
      <c r="T328" s="2">
        <f t="shared" si="34"/>
        <v>1.8999999999999915</v>
      </c>
    </row>
    <row r="329" spans="1:20">
      <c r="A329" s="6">
        <v>521</v>
      </c>
      <c r="B329" t="s">
        <v>58</v>
      </c>
      <c r="C329" t="s">
        <v>35</v>
      </c>
      <c r="D329">
        <v>22</v>
      </c>
      <c r="E329">
        <v>60</v>
      </c>
      <c r="F329" s="1">
        <f t="shared" ref="F329:F392" si="35">+D329/(D329+E329)</f>
        <v>0.26829268292682928</v>
      </c>
      <c r="G329" s="2">
        <v>99.3</v>
      </c>
      <c r="H329" s="2">
        <v>105.5</v>
      </c>
      <c r="I329" s="2">
        <f t="shared" ref="I329:I392" si="36">+G329-H329</f>
        <v>-6.2000000000000028</v>
      </c>
      <c r="J329" s="1">
        <f t="shared" ref="J329:J392" si="37">+(G329^14)/((G329^14+H329^14))</f>
        <v>0.2998703440144932</v>
      </c>
      <c r="K329" s="2">
        <v>103.6</v>
      </c>
      <c r="L329" s="2">
        <v>110.4</v>
      </c>
      <c r="M329" s="2">
        <f t="shared" ref="M329:M392" si="38">+K329-L329</f>
        <v>-6.8000000000000114</v>
      </c>
      <c r="N329" s="1">
        <f t="shared" ref="N329:N392" si="39">+F329-J329</f>
        <v>-3.1577661087663911E-2</v>
      </c>
      <c r="O329" s="2">
        <v>92.4</v>
      </c>
      <c r="P329" s="2">
        <v>97.4</v>
      </c>
      <c r="Q329" s="2">
        <f t="shared" ref="Q329:Q392" si="40">+O329-P329</f>
        <v>-5</v>
      </c>
      <c r="R329" s="2">
        <v>-1</v>
      </c>
      <c r="S329" s="2">
        <v>-6.6</v>
      </c>
      <c r="T329" s="2">
        <f t="shared" ref="T329:T392" si="41">+Q329-M329</f>
        <v>1.8000000000000114</v>
      </c>
    </row>
    <row r="330" spans="1:20">
      <c r="A330" s="6">
        <v>396</v>
      </c>
      <c r="B330" t="s">
        <v>52</v>
      </c>
      <c r="C330" t="s">
        <v>13</v>
      </c>
      <c r="D330">
        <v>51</v>
      </c>
      <c r="E330">
        <v>31</v>
      </c>
      <c r="F330" s="1">
        <f t="shared" si="35"/>
        <v>0.62195121951219512</v>
      </c>
      <c r="G330" s="2">
        <v>104.3</v>
      </c>
      <c r="H330" s="2">
        <v>99.5</v>
      </c>
      <c r="I330" s="2">
        <f t="shared" si="36"/>
        <v>4.7999999999999972</v>
      </c>
      <c r="J330" s="1">
        <f t="shared" si="37"/>
        <v>0.65916874214261856</v>
      </c>
      <c r="K330" s="2">
        <v>106.3</v>
      </c>
      <c r="L330" s="2">
        <v>101.4</v>
      </c>
      <c r="M330" s="2">
        <f t="shared" si="38"/>
        <v>4.8999999999999915</v>
      </c>
      <c r="N330" s="1">
        <f t="shared" si="39"/>
        <v>-3.7217522630423439E-2</v>
      </c>
      <c r="O330" s="2">
        <v>101.2</v>
      </c>
      <c r="P330" s="2">
        <v>94.5</v>
      </c>
      <c r="Q330" s="2">
        <f t="shared" si="40"/>
        <v>6.7000000000000028</v>
      </c>
      <c r="R330" s="2">
        <v>0.5</v>
      </c>
      <c r="S330" s="2">
        <v>3.6</v>
      </c>
      <c r="T330" s="2">
        <f t="shared" si="41"/>
        <v>1.8000000000000114</v>
      </c>
    </row>
    <row r="331" spans="1:20">
      <c r="A331" s="6">
        <v>516</v>
      </c>
      <c r="B331" t="s">
        <v>58</v>
      </c>
      <c r="C331" t="s">
        <v>13</v>
      </c>
      <c r="D331">
        <v>58</v>
      </c>
      <c r="E331">
        <v>24</v>
      </c>
      <c r="F331" s="1">
        <f t="shared" si="35"/>
        <v>0.70731707317073167</v>
      </c>
      <c r="G331" s="2">
        <v>113.5</v>
      </c>
      <c r="H331" s="2">
        <v>107.5</v>
      </c>
      <c r="I331" s="2">
        <f t="shared" si="36"/>
        <v>6</v>
      </c>
      <c r="J331" s="1">
        <f t="shared" si="37"/>
        <v>0.68143359288372995</v>
      </c>
      <c r="K331" s="2">
        <v>112.8</v>
      </c>
      <c r="L331" s="2">
        <v>106.8</v>
      </c>
      <c r="M331" s="2">
        <f t="shared" si="38"/>
        <v>6</v>
      </c>
      <c r="N331" s="1">
        <f t="shared" si="39"/>
        <v>2.5883480287001714E-2</v>
      </c>
      <c r="O331" s="2">
        <v>113.1</v>
      </c>
      <c r="P331" s="2">
        <v>105.3</v>
      </c>
      <c r="Q331" s="2">
        <f t="shared" si="40"/>
        <v>7.7999999999999972</v>
      </c>
      <c r="R331" s="2">
        <v>0</v>
      </c>
      <c r="S331" s="2">
        <v>2.8</v>
      </c>
      <c r="T331" s="2">
        <f t="shared" si="41"/>
        <v>1.7999999999999972</v>
      </c>
    </row>
    <row r="332" spans="1:20">
      <c r="A332" s="6">
        <v>381</v>
      </c>
      <c r="B332" t="s">
        <v>50</v>
      </c>
      <c r="C332" t="s">
        <v>26</v>
      </c>
      <c r="D332">
        <v>33</v>
      </c>
      <c r="E332">
        <v>49</v>
      </c>
      <c r="F332" s="1">
        <f t="shared" si="35"/>
        <v>0.40243902439024393</v>
      </c>
      <c r="G332" s="2">
        <v>97.5</v>
      </c>
      <c r="H332" s="2">
        <v>100.7</v>
      </c>
      <c r="I332" s="2">
        <f t="shared" si="36"/>
        <v>-3.2000000000000028</v>
      </c>
      <c r="J332" s="1">
        <f t="shared" si="37"/>
        <v>0.38885971000700537</v>
      </c>
      <c r="K332" s="2">
        <v>104.5</v>
      </c>
      <c r="L332" s="2">
        <v>107.9</v>
      </c>
      <c r="M332" s="2">
        <f t="shared" si="38"/>
        <v>-3.4000000000000057</v>
      </c>
      <c r="N332" s="1">
        <f t="shared" si="39"/>
        <v>1.3579314383238561E-2</v>
      </c>
      <c r="O332" s="2">
        <v>105.1</v>
      </c>
      <c r="P332" s="2">
        <v>106.7</v>
      </c>
      <c r="Q332" s="2">
        <f t="shared" si="40"/>
        <v>-1.6000000000000085</v>
      </c>
      <c r="R332" s="2">
        <v>-0.2</v>
      </c>
      <c r="S332" s="2">
        <v>-1.2</v>
      </c>
      <c r="T332" s="2">
        <f t="shared" si="41"/>
        <v>1.7999999999999972</v>
      </c>
    </row>
    <row r="333" spans="1:20">
      <c r="A333" s="6">
        <v>439</v>
      </c>
      <c r="B333" t="s">
        <v>54</v>
      </c>
      <c r="C333" t="s">
        <v>24</v>
      </c>
      <c r="D333">
        <v>18</v>
      </c>
      <c r="E333">
        <v>64</v>
      </c>
      <c r="F333" s="1">
        <f t="shared" si="35"/>
        <v>0.21951219512195122</v>
      </c>
      <c r="G333" s="2">
        <v>92</v>
      </c>
      <c r="H333" s="2">
        <v>101</v>
      </c>
      <c r="I333" s="2">
        <f t="shared" si="36"/>
        <v>-9</v>
      </c>
      <c r="J333" s="1">
        <f t="shared" si="37"/>
        <v>0.21304843690621958</v>
      </c>
      <c r="K333" s="2">
        <v>94.9</v>
      </c>
      <c r="L333" s="2">
        <v>103.9</v>
      </c>
      <c r="M333" s="2">
        <f t="shared" si="38"/>
        <v>-9</v>
      </c>
      <c r="N333" s="1">
        <f t="shared" si="39"/>
        <v>6.4637582157316409E-3</v>
      </c>
      <c r="O333" s="2">
        <v>84.7</v>
      </c>
      <c r="P333" s="2">
        <v>91.9</v>
      </c>
      <c r="Q333" s="2">
        <f t="shared" si="40"/>
        <v>-7.2000000000000028</v>
      </c>
      <c r="R333" s="2">
        <v>-1</v>
      </c>
      <c r="S333" s="2">
        <v>-4.5</v>
      </c>
      <c r="T333" s="2">
        <f t="shared" si="41"/>
        <v>1.7999999999999972</v>
      </c>
    </row>
    <row r="334" spans="1:20">
      <c r="A334" s="6">
        <v>460</v>
      </c>
      <c r="B334" t="s">
        <v>55</v>
      </c>
      <c r="C334" t="s">
        <v>17</v>
      </c>
      <c r="D334">
        <v>17</v>
      </c>
      <c r="E334">
        <v>65</v>
      </c>
      <c r="F334" s="1">
        <f t="shared" si="35"/>
        <v>0.2073170731707317</v>
      </c>
      <c r="G334" s="2">
        <v>97.3</v>
      </c>
      <c r="H334" s="2">
        <v>106.9</v>
      </c>
      <c r="I334" s="2">
        <f t="shared" si="36"/>
        <v>-9.6000000000000085</v>
      </c>
      <c r="J334" s="1">
        <f t="shared" si="37"/>
        <v>0.21126325417773295</v>
      </c>
      <c r="K334" s="2">
        <v>100.7</v>
      </c>
      <c r="L334" s="2">
        <v>110.3</v>
      </c>
      <c r="M334" s="2">
        <f t="shared" si="38"/>
        <v>-9.5999999999999943</v>
      </c>
      <c r="N334" s="1">
        <f t="shared" si="39"/>
        <v>-3.9461810070012537E-3</v>
      </c>
      <c r="O334" s="2">
        <v>108.9</v>
      </c>
      <c r="P334" s="2">
        <v>116.7</v>
      </c>
      <c r="Q334" s="2">
        <f t="shared" si="40"/>
        <v>-7.7999999999999972</v>
      </c>
      <c r="R334" s="2">
        <v>-0.1</v>
      </c>
      <c r="S334" s="2">
        <v>-1.8</v>
      </c>
      <c r="T334" s="2">
        <f t="shared" si="41"/>
        <v>1.7999999999999972</v>
      </c>
    </row>
    <row r="335" spans="1:20">
      <c r="A335" s="6">
        <v>105</v>
      </c>
      <c r="B335" t="s">
        <v>38</v>
      </c>
      <c r="C335" t="s">
        <v>37</v>
      </c>
      <c r="D335">
        <v>41</v>
      </c>
      <c r="E335">
        <v>41</v>
      </c>
      <c r="F335" s="1">
        <f t="shared" si="35"/>
        <v>0.5</v>
      </c>
      <c r="G335" s="2">
        <v>91.8</v>
      </c>
      <c r="H335" s="2">
        <v>91.9</v>
      </c>
      <c r="I335" s="2">
        <f t="shared" si="36"/>
        <v>-0.10000000000000853</v>
      </c>
      <c r="J335" s="1">
        <f t="shared" si="37"/>
        <v>0.49618951269946909</v>
      </c>
      <c r="K335" s="2">
        <v>100.7</v>
      </c>
      <c r="L335" s="2">
        <v>100.6</v>
      </c>
      <c r="M335" s="2">
        <f t="shared" si="38"/>
        <v>0.10000000000000853</v>
      </c>
      <c r="N335" s="1">
        <f t="shared" si="39"/>
        <v>3.810487300530907E-3</v>
      </c>
      <c r="O335" s="2">
        <v>94.3</v>
      </c>
      <c r="P335" s="2">
        <v>92.4</v>
      </c>
      <c r="Q335" s="2">
        <f t="shared" si="40"/>
        <v>1.8999999999999915</v>
      </c>
      <c r="R335" s="2">
        <v>1.1000000000000001</v>
      </c>
      <c r="S335" s="2">
        <v>5.3</v>
      </c>
      <c r="T335" s="2">
        <f t="shared" si="41"/>
        <v>1.7999999999999829</v>
      </c>
    </row>
    <row r="336" spans="1:20">
      <c r="A336" s="6">
        <v>212</v>
      </c>
      <c r="B336" t="s">
        <v>44</v>
      </c>
      <c r="C336" t="s">
        <v>10</v>
      </c>
      <c r="D336">
        <v>51</v>
      </c>
      <c r="E336">
        <v>31</v>
      </c>
      <c r="F336" s="1">
        <f t="shared" si="35"/>
        <v>0.62195121951219512</v>
      </c>
      <c r="G336" s="2">
        <v>100.4</v>
      </c>
      <c r="H336" s="2">
        <v>95.9</v>
      </c>
      <c r="I336" s="2">
        <f t="shared" si="36"/>
        <v>4.5</v>
      </c>
      <c r="J336" s="1">
        <f t="shared" si="37"/>
        <v>0.65520252150189628</v>
      </c>
      <c r="K336" s="2">
        <v>109.5</v>
      </c>
      <c r="L336" s="2">
        <v>104.7</v>
      </c>
      <c r="M336" s="2">
        <f t="shared" si="38"/>
        <v>4.7999999999999972</v>
      </c>
      <c r="N336" s="1">
        <f t="shared" si="39"/>
        <v>-3.3251301989701165E-2</v>
      </c>
      <c r="O336" s="2">
        <v>114.4</v>
      </c>
      <c r="P336" s="2">
        <v>107.9</v>
      </c>
      <c r="Q336" s="2">
        <f t="shared" si="40"/>
        <v>6.5</v>
      </c>
      <c r="R336" s="2">
        <v>0.5</v>
      </c>
      <c r="S336" s="2">
        <v>3.2</v>
      </c>
      <c r="T336" s="2">
        <f t="shared" si="41"/>
        <v>1.7000000000000028</v>
      </c>
    </row>
    <row r="337" spans="1:20">
      <c r="A337" s="6">
        <v>496</v>
      </c>
      <c r="B337" t="s">
        <v>57</v>
      </c>
      <c r="C337" t="s">
        <v>22</v>
      </c>
      <c r="D337">
        <v>31</v>
      </c>
      <c r="E337">
        <v>51</v>
      </c>
      <c r="F337" s="1">
        <f t="shared" si="35"/>
        <v>0.37804878048780488</v>
      </c>
      <c r="G337" s="2">
        <v>104.3</v>
      </c>
      <c r="H337" s="2">
        <v>108</v>
      </c>
      <c r="I337" s="2">
        <f t="shared" si="36"/>
        <v>-3.7000000000000028</v>
      </c>
      <c r="J337" s="1">
        <f t="shared" si="37"/>
        <v>0.38035584719829063</v>
      </c>
      <c r="K337" s="2">
        <v>107.1</v>
      </c>
      <c r="L337" s="2">
        <v>110.7</v>
      </c>
      <c r="M337" s="2">
        <f t="shared" si="38"/>
        <v>-3.6000000000000085</v>
      </c>
      <c r="N337" s="1">
        <f t="shared" si="39"/>
        <v>-2.3070667104857501E-3</v>
      </c>
      <c r="O337" s="2">
        <v>104.7</v>
      </c>
      <c r="P337" s="2">
        <v>106.7</v>
      </c>
      <c r="Q337" s="2">
        <f t="shared" si="40"/>
        <v>-2</v>
      </c>
      <c r="R337" s="2">
        <v>0.6</v>
      </c>
      <c r="S337" s="2">
        <v>2.2000000000000002</v>
      </c>
      <c r="T337" s="2">
        <f t="shared" si="41"/>
        <v>1.6000000000000085</v>
      </c>
    </row>
    <row r="338" spans="1:20">
      <c r="A338" s="6">
        <v>138</v>
      </c>
      <c r="B338" t="s">
        <v>39</v>
      </c>
      <c r="C338" t="s">
        <v>24</v>
      </c>
      <c r="D338">
        <v>43</v>
      </c>
      <c r="E338">
        <v>39</v>
      </c>
      <c r="F338" s="1">
        <f t="shared" si="35"/>
        <v>0.52439024390243905</v>
      </c>
      <c r="G338" s="2">
        <v>99.1</v>
      </c>
      <c r="H338" s="2">
        <v>99.9</v>
      </c>
      <c r="I338" s="2">
        <f t="shared" si="36"/>
        <v>-0.80000000000001137</v>
      </c>
      <c r="J338" s="1">
        <f t="shared" si="37"/>
        <v>0.47188882056574427</v>
      </c>
      <c r="K338" s="2">
        <v>101.8</v>
      </c>
      <c r="L338" s="2">
        <v>102.5</v>
      </c>
      <c r="M338" s="2">
        <f t="shared" si="38"/>
        <v>-0.70000000000000284</v>
      </c>
      <c r="N338" s="1">
        <f t="shared" si="39"/>
        <v>5.2501423336694775E-2</v>
      </c>
      <c r="O338" s="2">
        <v>95.8</v>
      </c>
      <c r="P338" s="2">
        <v>94.9</v>
      </c>
      <c r="Q338" s="2">
        <f t="shared" si="40"/>
        <v>0.89999999999999147</v>
      </c>
      <c r="R338" s="2">
        <v>-0.7</v>
      </c>
      <c r="S338" s="2">
        <v>-2.6</v>
      </c>
      <c r="T338" s="2">
        <f t="shared" si="41"/>
        <v>1.5999999999999943</v>
      </c>
    </row>
    <row r="339" spans="1:20">
      <c r="A339" s="6">
        <v>251</v>
      </c>
      <c r="B339" t="s">
        <v>45</v>
      </c>
      <c r="C339" t="s">
        <v>18</v>
      </c>
      <c r="D339">
        <v>43</v>
      </c>
      <c r="E339">
        <v>39</v>
      </c>
      <c r="F339" s="1">
        <f t="shared" si="35"/>
        <v>0.52439024390243905</v>
      </c>
      <c r="G339" s="2">
        <v>98.3</v>
      </c>
      <c r="H339" s="2">
        <v>98</v>
      </c>
      <c r="I339" s="2">
        <f t="shared" si="36"/>
        <v>0.29999999999999716</v>
      </c>
      <c r="J339" s="1">
        <f t="shared" si="37"/>
        <v>0.51069628754963348</v>
      </c>
      <c r="K339" s="2">
        <v>106.8</v>
      </c>
      <c r="L339" s="2">
        <v>106.5</v>
      </c>
      <c r="M339" s="2">
        <f t="shared" si="38"/>
        <v>0.29999999999999716</v>
      </c>
      <c r="N339" s="1">
        <f t="shared" si="39"/>
        <v>1.369395635280557E-2</v>
      </c>
      <c r="O339" s="2">
        <v>114.1</v>
      </c>
      <c r="P339" s="2">
        <v>112.2</v>
      </c>
      <c r="Q339" s="2">
        <f t="shared" si="40"/>
        <v>1.8999999999999915</v>
      </c>
      <c r="R339" s="2">
        <v>-0.7</v>
      </c>
      <c r="S339" s="2">
        <v>-2.9</v>
      </c>
      <c r="T339" s="2">
        <f t="shared" si="41"/>
        <v>1.5999999999999943</v>
      </c>
    </row>
    <row r="340" spans="1:20">
      <c r="A340" s="6">
        <v>323</v>
      </c>
      <c r="B340" t="s">
        <v>48</v>
      </c>
      <c r="C340" t="s">
        <v>28</v>
      </c>
      <c r="D340">
        <v>61</v>
      </c>
      <c r="E340">
        <v>21</v>
      </c>
      <c r="F340" s="1">
        <f t="shared" si="35"/>
        <v>0.74390243902439024</v>
      </c>
      <c r="G340" s="2">
        <v>103.7</v>
      </c>
      <c r="H340" s="2">
        <v>98</v>
      </c>
      <c r="I340" s="2">
        <f t="shared" si="36"/>
        <v>5.7000000000000028</v>
      </c>
      <c r="J340" s="1">
        <f t="shared" si="37"/>
        <v>0.68815008100174779</v>
      </c>
      <c r="K340" s="2">
        <v>110.5</v>
      </c>
      <c r="L340" s="2">
        <v>104.4</v>
      </c>
      <c r="M340" s="2">
        <f t="shared" si="38"/>
        <v>6.0999999999999943</v>
      </c>
      <c r="N340" s="1">
        <f t="shared" si="39"/>
        <v>5.5752358022642445E-2</v>
      </c>
      <c r="O340" s="2">
        <v>100.7</v>
      </c>
      <c r="P340" s="2">
        <v>93.1</v>
      </c>
      <c r="Q340" s="2">
        <f t="shared" si="40"/>
        <v>7.6000000000000085</v>
      </c>
      <c r="R340" s="2">
        <v>0.9</v>
      </c>
      <c r="S340" s="2">
        <v>5.0999999999999996</v>
      </c>
      <c r="T340" s="2">
        <f t="shared" si="41"/>
        <v>1.5000000000000142</v>
      </c>
    </row>
    <row r="341" spans="1:20">
      <c r="A341" s="6">
        <v>376</v>
      </c>
      <c r="B341" t="s">
        <v>50</v>
      </c>
      <c r="C341" t="s">
        <v>22</v>
      </c>
      <c r="D341">
        <v>54</v>
      </c>
      <c r="E341">
        <v>28</v>
      </c>
      <c r="F341" s="1">
        <f t="shared" si="35"/>
        <v>0.65853658536585369</v>
      </c>
      <c r="G341" s="2">
        <v>100</v>
      </c>
      <c r="H341" s="2">
        <v>95.7</v>
      </c>
      <c r="I341" s="2">
        <f t="shared" si="36"/>
        <v>4.2999999999999972</v>
      </c>
      <c r="J341" s="1">
        <f t="shared" si="37"/>
        <v>0.64915487217242029</v>
      </c>
      <c r="K341" s="2">
        <v>109.8</v>
      </c>
      <c r="L341" s="2">
        <v>105.4</v>
      </c>
      <c r="M341" s="2">
        <f t="shared" si="38"/>
        <v>4.3999999999999915</v>
      </c>
      <c r="N341" s="1">
        <f t="shared" si="39"/>
        <v>9.3817131934333942E-3</v>
      </c>
      <c r="O341" s="2">
        <v>94.7</v>
      </c>
      <c r="P341" s="2">
        <v>88.8</v>
      </c>
      <c r="Q341" s="2">
        <f t="shared" si="40"/>
        <v>5.9000000000000057</v>
      </c>
      <c r="R341" s="2">
        <v>2.1</v>
      </c>
      <c r="S341" s="2">
        <v>10.6</v>
      </c>
      <c r="T341" s="2">
        <f t="shared" si="41"/>
        <v>1.5000000000000142</v>
      </c>
    </row>
    <row r="342" spans="1:20">
      <c r="A342" s="6">
        <v>152</v>
      </c>
      <c r="B342" t="s">
        <v>41</v>
      </c>
      <c r="C342" t="s">
        <v>10</v>
      </c>
      <c r="D342">
        <v>60</v>
      </c>
      <c r="E342">
        <v>22</v>
      </c>
      <c r="F342" s="1">
        <f t="shared" si="35"/>
        <v>0.73170731707317072</v>
      </c>
      <c r="G342" s="2">
        <v>99.1</v>
      </c>
      <c r="H342" s="2">
        <v>93.1</v>
      </c>
      <c r="I342" s="2">
        <f t="shared" si="36"/>
        <v>6</v>
      </c>
      <c r="J342" s="1">
        <f t="shared" si="37"/>
        <v>0.70565493727063389</v>
      </c>
      <c r="K342" s="2">
        <v>109.9</v>
      </c>
      <c r="L342" s="2">
        <v>103.2</v>
      </c>
      <c r="M342" s="2">
        <f t="shared" si="38"/>
        <v>6.7000000000000028</v>
      </c>
      <c r="N342" s="1">
        <f t="shared" si="39"/>
        <v>2.6052379802536829E-2</v>
      </c>
      <c r="O342" s="2">
        <v>105.6</v>
      </c>
      <c r="P342" s="2">
        <v>97.4</v>
      </c>
      <c r="Q342" s="2">
        <f t="shared" si="40"/>
        <v>8.1999999999999886</v>
      </c>
      <c r="R342" s="2">
        <v>1.6</v>
      </c>
      <c r="S342" s="2">
        <v>9.6</v>
      </c>
      <c r="T342" s="2">
        <f t="shared" si="41"/>
        <v>1.4999999999999858</v>
      </c>
    </row>
    <row r="343" spans="1:20">
      <c r="A343" s="6">
        <v>634</v>
      </c>
      <c r="B343" t="s">
        <v>62</v>
      </c>
      <c r="C343" t="s">
        <v>11</v>
      </c>
      <c r="D343">
        <v>48</v>
      </c>
      <c r="E343">
        <v>34</v>
      </c>
      <c r="F343" s="1">
        <f t="shared" si="35"/>
        <v>0.58536585365853655</v>
      </c>
      <c r="G343" s="2">
        <v>112.7</v>
      </c>
      <c r="H343" s="2">
        <v>110.4</v>
      </c>
      <c r="I343" s="2">
        <f t="shared" si="36"/>
        <v>2.2999999999999972</v>
      </c>
      <c r="J343" s="1">
        <f t="shared" si="37"/>
        <v>0.57167050088011562</v>
      </c>
      <c r="K343" s="2">
        <v>113.8</v>
      </c>
      <c r="L343" s="2">
        <v>111.5</v>
      </c>
      <c r="M343" s="2">
        <f t="shared" si="38"/>
        <v>2.2999999999999972</v>
      </c>
      <c r="N343" s="1">
        <f t="shared" si="39"/>
        <v>1.3695352778420933E-2</v>
      </c>
      <c r="O343" s="2">
        <v>106.9</v>
      </c>
      <c r="P343" s="2">
        <v>103.2</v>
      </c>
      <c r="Q343" s="2">
        <f t="shared" si="40"/>
        <v>3.7000000000000028</v>
      </c>
      <c r="R343" s="2">
        <v>-1.8</v>
      </c>
      <c r="S343" s="2">
        <v>-8.9</v>
      </c>
      <c r="T343" s="2">
        <f t="shared" si="41"/>
        <v>1.4000000000000057</v>
      </c>
    </row>
    <row r="344" spans="1:20">
      <c r="A344" s="6">
        <v>28</v>
      </c>
      <c r="B344" t="s">
        <v>4</v>
      </c>
      <c r="C344" t="s">
        <v>32</v>
      </c>
      <c r="D344">
        <v>23</v>
      </c>
      <c r="E344">
        <v>59</v>
      </c>
      <c r="F344" s="1">
        <f t="shared" si="35"/>
        <v>0.28048780487804881</v>
      </c>
      <c r="G344" s="2">
        <v>91.7</v>
      </c>
      <c r="H344" s="2">
        <v>97.5</v>
      </c>
      <c r="I344" s="2">
        <f t="shared" si="36"/>
        <v>-5.7999999999999972</v>
      </c>
      <c r="J344" s="1">
        <f t="shared" si="37"/>
        <v>0.29762775150060888</v>
      </c>
      <c r="K344" s="2">
        <v>98.2</v>
      </c>
      <c r="L344" s="2">
        <v>104.2</v>
      </c>
      <c r="M344" s="2">
        <f t="shared" si="38"/>
        <v>-6</v>
      </c>
      <c r="N344" s="1">
        <f t="shared" si="39"/>
        <v>-1.7139946622560076E-2</v>
      </c>
      <c r="O344" s="2">
        <v>102.1</v>
      </c>
      <c r="P344" s="2">
        <v>106.7</v>
      </c>
      <c r="Q344" s="2">
        <f t="shared" si="40"/>
        <v>-4.6000000000000085</v>
      </c>
      <c r="R344" s="2">
        <v>-1.3</v>
      </c>
      <c r="S344" s="2">
        <v>-6.4</v>
      </c>
      <c r="T344" s="2">
        <f t="shared" si="41"/>
        <v>1.3999999999999915</v>
      </c>
    </row>
    <row r="345" spans="1:20">
      <c r="A345" s="6">
        <v>78</v>
      </c>
      <c r="B345" t="s">
        <v>36</v>
      </c>
      <c r="C345" t="s">
        <v>23</v>
      </c>
      <c r="D345">
        <v>42</v>
      </c>
      <c r="E345">
        <v>40</v>
      </c>
      <c r="F345" s="1">
        <f t="shared" si="35"/>
        <v>0.51219512195121952</v>
      </c>
      <c r="G345" s="2">
        <v>98.5</v>
      </c>
      <c r="H345" s="2">
        <v>98.4</v>
      </c>
      <c r="I345" s="2">
        <f t="shared" si="36"/>
        <v>9.9999999999994316E-2</v>
      </c>
      <c r="J345" s="1">
        <f t="shared" si="37"/>
        <v>0.5035550445111181</v>
      </c>
      <c r="K345" s="2">
        <v>103.7</v>
      </c>
      <c r="L345" s="2">
        <v>103.7</v>
      </c>
      <c r="M345" s="2">
        <f t="shared" si="38"/>
        <v>0</v>
      </c>
      <c r="N345" s="1">
        <f t="shared" si="39"/>
        <v>8.6400774401014235E-3</v>
      </c>
      <c r="O345" s="2">
        <v>95.9</v>
      </c>
      <c r="P345" s="2">
        <v>94.6</v>
      </c>
      <c r="Q345" s="2">
        <f t="shared" si="40"/>
        <v>1.3000000000000114</v>
      </c>
      <c r="R345" s="2">
        <v>-1</v>
      </c>
      <c r="S345" s="2">
        <v>-2.8</v>
      </c>
      <c r="T345" s="2">
        <f t="shared" si="41"/>
        <v>1.3000000000000114</v>
      </c>
    </row>
    <row r="346" spans="1:20">
      <c r="A346" s="6">
        <v>579</v>
      </c>
      <c r="B346" t="s">
        <v>60</v>
      </c>
      <c r="C346" t="s">
        <v>56</v>
      </c>
      <c r="D346">
        <v>49</v>
      </c>
      <c r="E346">
        <v>23</v>
      </c>
      <c r="F346" s="1">
        <f t="shared" si="35"/>
        <v>0.68055555555555558</v>
      </c>
      <c r="G346" s="2">
        <v>116.3</v>
      </c>
      <c r="H346" s="2">
        <v>109.9</v>
      </c>
      <c r="I346" s="2">
        <f t="shared" si="36"/>
        <v>6.3999999999999915</v>
      </c>
      <c r="J346" s="1">
        <f t="shared" si="37"/>
        <v>0.68835302636242091</v>
      </c>
      <c r="K346" s="2">
        <v>113.3</v>
      </c>
      <c r="L346" s="2">
        <v>106.9</v>
      </c>
      <c r="M346" s="2">
        <f t="shared" si="38"/>
        <v>6.3999999999999915</v>
      </c>
      <c r="N346" s="1">
        <f t="shared" si="39"/>
        <v>-7.7974708068653253E-3</v>
      </c>
      <c r="O346" s="2">
        <v>116</v>
      </c>
      <c r="P346" s="2">
        <v>108.3</v>
      </c>
      <c r="Q346" s="2">
        <f t="shared" si="40"/>
        <v>7.7000000000000028</v>
      </c>
      <c r="R346" s="2">
        <v>0.7</v>
      </c>
      <c r="S346" s="2">
        <v>3.3</v>
      </c>
      <c r="T346" s="2">
        <f t="shared" si="41"/>
        <v>1.3000000000000114</v>
      </c>
    </row>
    <row r="347" spans="1:20">
      <c r="A347" s="6">
        <v>572</v>
      </c>
      <c r="B347" t="s">
        <v>60</v>
      </c>
      <c r="C347" t="s">
        <v>9</v>
      </c>
      <c r="D347">
        <v>19</v>
      </c>
      <c r="E347">
        <v>46</v>
      </c>
      <c r="F347" s="1">
        <f t="shared" si="35"/>
        <v>0.29230769230769232</v>
      </c>
      <c r="G347" s="2">
        <v>106.9</v>
      </c>
      <c r="H347" s="2">
        <v>114.8</v>
      </c>
      <c r="I347" s="2">
        <f t="shared" si="36"/>
        <v>-7.8999999999999915</v>
      </c>
      <c r="J347" s="1">
        <f t="shared" si="37"/>
        <v>0.26930190028801032</v>
      </c>
      <c r="K347" s="2">
        <v>106.9</v>
      </c>
      <c r="L347" s="2">
        <v>114.8</v>
      </c>
      <c r="M347" s="2">
        <f t="shared" si="38"/>
        <v>-7.8999999999999915</v>
      </c>
      <c r="N347" s="1">
        <f t="shared" si="39"/>
        <v>2.3005792019682003E-2</v>
      </c>
      <c r="O347" s="2">
        <v>103.5</v>
      </c>
      <c r="P347" s="2">
        <v>110.1</v>
      </c>
      <c r="Q347" s="2">
        <f t="shared" si="40"/>
        <v>-6.5999999999999943</v>
      </c>
      <c r="R347" s="2">
        <v>0</v>
      </c>
      <c r="S347" s="2">
        <v>-0.8</v>
      </c>
      <c r="T347" s="2">
        <f t="shared" si="41"/>
        <v>1.2999999999999972</v>
      </c>
    </row>
    <row r="348" spans="1:20">
      <c r="A348" s="6">
        <v>708</v>
      </c>
      <c r="B348" t="s">
        <v>64</v>
      </c>
      <c r="C348" t="s">
        <v>23</v>
      </c>
      <c r="D348">
        <v>47</v>
      </c>
      <c r="E348">
        <v>35</v>
      </c>
      <c r="F348" s="1">
        <f t="shared" si="35"/>
        <v>0.57317073170731703</v>
      </c>
      <c r="G348" s="2">
        <v>110.5</v>
      </c>
      <c r="H348" s="2">
        <v>108.4</v>
      </c>
      <c r="I348" s="2">
        <f t="shared" si="36"/>
        <v>2.0999999999999943</v>
      </c>
      <c r="J348" s="1">
        <f t="shared" si="37"/>
        <v>0.56675507945775017</v>
      </c>
      <c r="K348" s="2">
        <v>112.9</v>
      </c>
      <c r="L348" s="2">
        <v>110.8</v>
      </c>
      <c r="M348" s="2">
        <f t="shared" si="38"/>
        <v>2.1000000000000085</v>
      </c>
      <c r="N348" s="1">
        <f t="shared" si="39"/>
        <v>6.4156522495668611E-3</v>
      </c>
      <c r="O348" s="2">
        <v>104.2</v>
      </c>
      <c r="P348" s="2">
        <v>100.8</v>
      </c>
      <c r="Q348" s="2">
        <f t="shared" si="40"/>
        <v>3.4000000000000057</v>
      </c>
      <c r="R348" s="2">
        <v>0.6</v>
      </c>
      <c r="S348" s="2">
        <v>3.8</v>
      </c>
      <c r="T348" s="2">
        <f t="shared" si="41"/>
        <v>1.2999999999999972</v>
      </c>
    </row>
    <row r="349" spans="1:20">
      <c r="A349" s="6">
        <v>79</v>
      </c>
      <c r="B349" t="s">
        <v>36</v>
      </c>
      <c r="C349" t="s">
        <v>24</v>
      </c>
      <c r="D349">
        <v>48</v>
      </c>
      <c r="E349">
        <v>34</v>
      </c>
      <c r="F349" s="1">
        <f t="shared" si="35"/>
        <v>0.58536585365853655</v>
      </c>
      <c r="G349" s="2">
        <v>96.8</v>
      </c>
      <c r="H349" s="2">
        <v>94.5</v>
      </c>
      <c r="I349" s="2">
        <f t="shared" si="36"/>
        <v>2.2999999999999972</v>
      </c>
      <c r="J349" s="1">
        <f t="shared" si="37"/>
        <v>0.58337902714403844</v>
      </c>
      <c r="K349" s="2">
        <v>103.2</v>
      </c>
      <c r="L349" s="2">
        <v>100.6</v>
      </c>
      <c r="M349" s="2">
        <f t="shared" si="38"/>
        <v>2.6000000000000085</v>
      </c>
      <c r="N349" s="1">
        <f t="shared" si="39"/>
        <v>1.9868265144981079E-3</v>
      </c>
      <c r="O349" s="2">
        <v>102.4</v>
      </c>
      <c r="P349" s="2">
        <v>98.5</v>
      </c>
      <c r="Q349" s="2">
        <f t="shared" si="40"/>
        <v>3.9000000000000057</v>
      </c>
      <c r="R349" s="2">
        <v>1.1000000000000001</v>
      </c>
      <c r="S349" s="2">
        <v>5.3</v>
      </c>
      <c r="T349" s="2">
        <f t="shared" si="41"/>
        <v>1.2999999999999972</v>
      </c>
    </row>
    <row r="350" spans="1:20">
      <c r="A350" s="6">
        <v>718</v>
      </c>
      <c r="B350" t="s">
        <v>65</v>
      </c>
      <c r="C350" t="s">
        <v>6</v>
      </c>
      <c r="D350">
        <v>61</v>
      </c>
      <c r="E350">
        <v>21</v>
      </c>
      <c r="F350" s="1">
        <f t="shared" si="35"/>
        <v>0.74390243902439024</v>
      </c>
      <c r="G350" s="2">
        <v>116.3</v>
      </c>
      <c r="H350" s="2">
        <v>107.2</v>
      </c>
      <c r="I350" s="2">
        <f t="shared" si="36"/>
        <v>9.0999999999999943</v>
      </c>
      <c r="J350" s="1">
        <f t="shared" si="37"/>
        <v>0.75780361294366638</v>
      </c>
      <c r="K350" s="2">
        <v>119.5</v>
      </c>
      <c r="L350" s="2">
        <v>110.1</v>
      </c>
      <c r="M350" s="2">
        <f t="shared" si="38"/>
        <v>9.4000000000000057</v>
      </c>
      <c r="N350" s="1">
        <f t="shared" si="39"/>
        <v>-1.3901173919276144E-2</v>
      </c>
      <c r="O350" s="2">
        <v>120.4</v>
      </c>
      <c r="P350" s="2">
        <v>109.7</v>
      </c>
      <c r="Q350" s="2">
        <f t="shared" si="40"/>
        <v>10.700000000000003</v>
      </c>
      <c r="R350" s="2">
        <v>0.4</v>
      </c>
      <c r="S350" s="2">
        <v>3.8</v>
      </c>
      <c r="T350" s="2">
        <f t="shared" si="41"/>
        <v>1.2999999999999972</v>
      </c>
    </row>
    <row r="351" spans="1:20">
      <c r="A351" s="6">
        <v>688</v>
      </c>
      <c r="B351" t="s">
        <v>64</v>
      </c>
      <c r="C351" t="s">
        <v>6</v>
      </c>
      <c r="D351">
        <v>64</v>
      </c>
      <c r="E351">
        <v>18</v>
      </c>
      <c r="F351" s="1">
        <f t="shared" si="35"/>
        <v>0.78048780487804881</v>
      </c>
      <c r="G351" s="2">
        <v>120.6</v>
      </c>
      <c r="H351" s="2">
        <v>109.2</v>
      </c>
      <c r="I351" s="2">
        <f t="shared" si="36"/>
        <v>11.399999999999991</v>
      </c>
      <c r="J351" s="1">
        <f t="shared" si="37"/>
        <v>0.80062019440018317</v>
      </c>
      <c r="K351" s="2">
        <v>122.2</v>
      </c>
      <c r="L351" s="2">
        <v>110.6</v>
      </c>
      <c r="M351" s="2">
        <f t="shared" si="38"/>
        <v>11.600000000000009</v>
      </c>
      <c r="N351" s="1">
        <f t="shared" si="39"/>
        <v>-2.0132389522134364E-2</v>
      </c>
      <c r="O351" s="2">
        <v>116.8</v>
      </c>
      <c r="P351" s="2">
        <v>103.9</v>
      </c>
      <c r="Q351" s="2">
        <f t="shared" si="40"/>
        <v>12.899999999999991</v>
      </c>
      <c r="R351" s="2">
        <v>1.9</v>
      </c>
      <c r="S351" s="2">
        <v>7.2</v>
      </c>
      <c r="T351" s="2">
        <f t="shared" si="41"/>
        <v>1.2999999999999829</v>
      </c>
    </row>
    <row r="352" spans="1:20">
      <c r="A352" s="6">
        <v>380</v>
      </c>
      <c r="B352" t="s">
        <v>50</v>
      </c>
      <c r="C352" t="s">
        <v>25</v>
      </c>
      <c r="D352">
        <v>25</v>
      </c>
      <c r="E352">
        <v>57</v>
      </c>
      <c r="F352" s="1">
        <f t="shared" si="35"/>
        <v>0.3048780487804878</v>
      </c>
      <c r="G352" s="2">
        <v>95.2</v>
      </c>
      <c r="H352" s="2">
        <v>101.6</v>
      </c>
      <c r="I352" s="2">
        <f t="shared" si="36"/>
        <v>-6.3999999999999915</v>
      </c>
      <c r="J352" s="1">
        <f t="shared" si="37"/>
        <v>0.28681768748070391</v>
      </c>
      <c r="K352" s="2">
        <v>100.2</v>
      </c>
      <c r="L352" s="2">
        <v>106.9</v>
      </c>
      <c r="M352" s="2">
        <f t="shared" si="38"/>
        <v>-6.7000000000000028</v>
      </c>
      <c r="N352" s="1">
        <f t="shared" si="39"/>
        <v>1.8060361299783889E-2</v>
      </c>
      <c r="O352" s="2">
        <v>94.8</v>
      </c>
      <c r="P352" s="2">
        <v>100.3</v>
      </c>
      <c r="Q352" s="2">
        <f t="shared" si="40"/>
        <v>-5.5</v>
      </c>
      <c r="R352" s="2">
        <v>-1.5</v>
      </c>
      <c r="S352" s="2">
        <v>-9.1</v>
      </c>
      <c r="T352" s="2">
        <f t="shared" si="41"/>
        <v>1.2000000000000028</v>
      </c>
    </row>
    <row r="353" spans="1:20">
      <c r="A353" s="6">
        <v>365</v>
      </c>
      <c r="B353" t="s">
        <v>50</v>
      </c>
      <c r="C353" t="s">
        <v>12</v>
      </c>
      <c r="D353">
        <v>29</v>
      </c>
      <c r="E353">
        <v>53</v>
      </c>
      <c r="F353" s="1">
        <f t="shared" si="35"/>
        <v>0.35365853658536583</v>
      </c>
      <c r="G353" s="2">
        <v>94.9</v>
      </c>
      <c r="H353" s="2">
        <v>98.8</v>
      </c>
      <c r="I353" s="2">
        <f t="shared" si="36"/>
        <v>-3.8999999999999915</v>
      </c>
      <c r="J353" s="1">
        <f t="shared" si="37"/>
        <v>0.36266067514952754</v>
      </c>
      <c r="K353" s="2">
        <v>102.7</v>
      </c>
      <c r="L353" s="2">
        <v>107.2</v>
      </c>
      <c r="M353" s="2">
        <f t="shared" si="38"/>
        <v>-4.5</v>
      </c>
      <c r="N353" s="1">
        <f t="shared" si="39"/>
        <v>-9.0021385641617102E-3</v>
      </c>
      <c r="O353" s="2">
        <v>101.4</v>
      </c>
      <c r="P353" s="2">
        <v>104.7</v>
      </c>
      <c r="Q353" s="2">
        <f t="shared" si="40"/>
        <v>-3.2999999999999972</v>
      </c>
      <c r="R353" s="2">
        <v>-0.5</v>
      </c>
      <c r="S353" s="2">
        <v>-3.6</v>
      </c>
      <c r="T353" s="2">
        <f t="shared" si="41"/>
        <v>1.2000000000000028</v>
      </c>
    </row>
    <row r="354" spans="1:20">
      <c r="A354" s="6">
        <v>768</v>
      </c>
      <c r="B354" t="s">
        <v>66</v>
      </c>
      <c r="C354" t="s">
        <v>23</v>
      </c>
      <c r="D354">
        <v>34</v>
      </c>
      <c r="E354">
        <v>27</v>
      </c>
      <c r="F354" s="1">
        <f t="shared" si="35"/>
        <v>0.55737704918032782</v>
      </c>
      <c r="G354" s="2">
        <v>114.8</v>
      </c>
      <c r="H354" s="2">
        <v>113.7</v>
      </c>
      <c r="I354" s="2">
        <f t="shared" si="36"/>
        <v>1.0999999999999943</v>
      </c>
      <c r="J354" s="1">
        <f t="shared" si="37"/>
        <v>0.53364736091127729</v>
      </c>
      <c r="K354" s="2">
        <v>113.7</v>
      </c>
      <c r="L354" s="2">
        <v>112.7</v>
      </c>
      <c r="M354" s="2">
        <f t="shared" si="38"/>
        <v>1</v>
      </c>
      <c r="N354" s="1">
        <f t="shared" si="39"/>
        <v>2.3729688269050531E-2</v>
      </c>
      <c r="O354" s="2">
        <v>109.6</v>
      </c>
      <c r="P354" s="2">
        <v>107.4</v>
      </c>
      <c r="Q354" s="2">
        <f t="shared" si="40"/>
        <v>2.1999999999999886</v>
      </c>
      <c r="R354" s="2">
        <v>0.7</v>
      </c>
      <c r="S354" s="2">
        <v>0.4</v>
      </c>
      <c r="T354" s="2">
        <f t="shared" si="41"/>
        <v>1.1999999999999886</v>
      </c>
    </row>
    <row r="355" spans="1:20">
      <c r="A355" s="6">
        <v>320</v>
      </c>
      <c r="B355" t="s">
        <v>48</v>
      </c>
      <c r="C355" t="s">
        <v>25</v>
      </c>
      <c r="D355">
        <v>40</v>
      </c>
      <c r="E355">
        <v>42</v>
      </c>
      <c r="F355" s="1">
        <f t="shared" si="35"/>
        <v>0.48780487804878048</v>
      </c>
      <c r="G355" s="2">
        <v>105</v>
      </c>
      <c r="H355" s="2">
        <v>105.9</v>
      </c>
      <c r="I355" s="2">
        <f t="shared" si="36"/>
        <v>-0.90000000000000568</v>
      </c>
      <c r="J355" s="1">
        <f t="shared" si="37"/>
        <v>0.47016333248324643</v>
      </c>
      <c r="K355" s="2">
        <v>108.6</v>
      </c>
      <c r="L355" s="2">
        <v>109.4</v>
      </c>
      <c r="M355" s="2">
        <f t="shared" si="38"/>
        <v>-0.80000000000001137</v>
      </c>
      <c r="N355" s="1">
        <f t="shared" si="39"/>
        <v>1.7641545565534045E-2</v>
      </c>
      <c r="O355" s="2">
        <v>106.3</v>
      </c>
      <c r="P355" s="2">
        <v>106</v>
      </c>
      <c r="Q355" s="2">
        <f t="shared" si="40"/>
        <v>0.29999999999999716</v>
      </c>
      <c r="R355" s="2">
        <v>-0.1</v>
      </c>
      <c r="S355" s="2">
        <v>0</v>
      </c>
      <c r="T355" s="2">
        <f t="shared" si="41"/>
        <v>1.1000000000000085</v>
      </c>
    </row>
    <row r="356" spans="1:20">
      <c r="A356" s="6">
        <v>332</v>
      </c>
      <c r="B356" t="s">
        <v>49</v>
      </c>
      <c r="C356" t="s">
        <v>10</v>
      </c>
      <c r="D356">
        <v>36</v>
      </c>
      <c r="E356">
        <v>30</v>
      </c>
      <c r="F356" s="1">
        <f t="shared" si="35"/>
        <v>0.54545454545454541</v>
      </c>
      <c r="G356" s="2">
        <v>95.8</v>
      </c>
      <c r="H356" s="2">
        <v>94.8</v>
      </c>
      <c r="I356" s="2">
        <f t="shared" si="36"/>
        <v>1</v>
      </c>
      <c r="J356" s="1">
        <f t="shared" si="37"/>
        <v>0.53666055673861812</v>
      </c>
      <c r="K356" s="2">
        <v>102.1</v>
      </c>
      <c r="L356" s="2">
        <v>100.9</v>
      </c>
      <c r="M356" s="2">
        <f t="shared" si="38"/>
        <v>1.1999999999999886</v>
      </c>
      <c r="N356" s="1">
        <f t="shared" si="39"/>
        <v>8.7939887159272923E-3</v>
      </c>
      <c r="O356" s="2">
        <v>101</v>
      </c>
      <c r="P356" s="2">
        <v>98.7</v>
      </c>
      <c r="Q356" s="2">
        <f t="shared" si="40"/>
        <v>2.2999999999999972</v>
      </c>
      <c r="R356" s="2">
        <v>-0.6</v>
      </c>
      <c r="S356" s="2">
        <v>-0.8</v>
      </c>
      <c r="T356" s="2">
        <f t="shared" si="41"/>
        <v>1.1000000000000085</v>
      </c>
    </row>
    <row r="357" spans="1:20">
      <c r="A357" s="6">
        <v>225</v>
      </c>
      <c r="B357" t="s">
        <v>44</v>
      </c>
      <c r="C357" t="s">
        <v>37</v>
      </c>
      <c r="D357">
        <v>56</v>
      </c>
      <c r="E357">
        <v>26</v>
      </c>
      <c r="F357" s="1">
        <f t="shared" si="35"/>
        <v>0.68292682926829273</v>
      </c>
      <c r="G357" s="2">
        <v>100.9</v>
      </c>
      <c r="H357" s="2">
        <v>95.6</v>
      </c>
      <c r="I357" s="2">
        <f t="shared" si="36"/>
        <v>5.3000000000000114</v>
      </c>
      <c r="J357" s="1">
        <f t="shared" si="37"/>
        <v>0.68035408366862116</v>
      </c>
      <c r="K357" s="2">
        <v>110</v>
      </c>
      <c r="L357" s="2">
        <v>104.4</v>
      </c>
      <c r="M357" s="2">
        <f t="shared" si="38"/>
        <v>5.5999999999999943</v>
      </c>
      <c r="N357" s="1">
        <f t="shared" si="39"/>
        <v>2.5727455996715776E-3</v>
      </c>
      <c r="O357" s="2">
        <v>105.2</v>
      </c>
      <c r="P357" s="2">
        <v>98.5</v>
      </c>
      <c r="Q357" s="2">
        <f t="shared" si="40"/>
        <v>6.7000000000000028</v>
      </c>
      <c r="R357" s="2">
        <v>1.4</v>
      </c>
      <c r="S357" s="2">
        <v>8.3000000000000007</v>
      </c>
      <c r="T357" s="2">
        <f t="shared" si="41"/>
        <v>1.1000000000000085</v>
      </c>
    </row>
    <row r="358" spans="1:20">
      <c r="A358" s="6">
        <v>556</v>
      </c>
      <c r="B358" t="s">
        <v>59</v>
      </c>
      <c r="C358" t="s">
        <v>22</v>
      </c>
      <c r="D358">
        <v>17</v>
      </c>
      <c r="E358">
        <v>65</v>
      </c>
      <c r="F358" s="1">
        <f t="shared" si="35"/>
        <v>0.2073170731707317</v>
      </c>
      <c r="G358" s="2">
        <v>104.6</v>
      </c>
      <c r="H358" s="2">
        <v>113.8</v>
      </c>
      <c r="I358" s="2">
        <f t="shared" si="36"/>
        <v>-9.2000000000000028</v>
      </c>
      <c r="J358" s="1">
        <f t="shared" si="37"/>
        <v>0.23501882994446718</v>
      </c>
      <c r="K358" s="2">
        <v>104</v>
      </c>
      <c r="L358" s="2">
        <v>112.9</v>
      </c>
      <c r="M358" s="2">
        <f t="shared" si="38"/>
        <v>-8.9000000000000057</v>
      </c>
      <c r="N358" s="1">
        <f t="shared" si="39"/>
        <v>-2.7701756773735486E-2</v>
      </c>
      <c r="O358" s="2">
        <v>103</v>
      </c>
      <c r="P358" s="2">
        <v>110.8</v>
      </c>
      <c r="Q358" s="2">
        <f t="shared" si="40"/>
        <v>-7.7999999999999972</v>
      </c>
      <c r="R358" s="2">
        <v>-1.1000000000000001</v>
      </c>
      <c r="S358" s="2">
        <v>-3.5</v>
      </c>
      <c r="T358" s="2">
        <f t="shared" si="41"/>
        <v>1.1000000000000085</v>
      </c>
    </row>
    <row r="359" spans="1:20">
      <c r="A359" s="6">
        <v>37</v>
      </c>
      <c r="B359" t="s">
        <v>34</v>
      </c>
      <c r="C359" t="s">
        <v>12</v>
      </c>
      <c r="D359">
        <v>50</v>
      </c>
      <c r="E359">
        <v>32</v>
      </c>
      <c r="F359" s="1">
        <f t="shared" si="35"/>
        <v>0.6097560975609756</v>
      </c>
      <c r="G359" s="2">
        <v>94.3</v>
      </c>
      <c r="H359" s="2">
        <v>92.2</v>
      </c>
      <c r="I359" s="2">
        <f t="shared" si="36"/>
        <v>2.0999999999999943</v>
      </c>
      <c r="J359" s="1">
        <f t="shared" si="37"/>
        <v>0.57817713942580595</v>
      </c>
      <c r="K359" s="2">
        <v>103.2</v>
      </c>
      <c r="L359" s="2">
        <v>100.9</v>
      </c>
      <c r="M359" s="2">
        <f t="shared" si="38"/>
        <v>2.2999999999999972</v>
      </c>
      <c r="N359" s="1">
        <f t="shared" si="39"/>
        <v>3.1578958135169644E-2</v>
      </c>
      <c r="O359" s="2">
        <v>96.6</v>
      </c>
      <c r="P359" s="2">
        <v>93.2</v>
      </c>
      <c r="Q359" s="2">
        <f t="shared" si="40"/>
        <v>3.3999999999999915</v>
      </c>
      <c r="R359" s="2">
        <v>1</v>
      </c>
      <c r="S359" s="2">
        <v>6.5</v>
      </c>
      <c r="T359" s="2">
        <f t="shared" si="41"/>
        <v>1.0999999999999943</v>
      </c>
    </row>
    <row r="360" spans="1:20">
      <c r="A360" s="6">
        <v>291</v>
      </c>
      <c r="B360" t="s">
        <v>47</v>
      </c>
      <c r="C360" t="s">
        <v>26</v>
      </c>
      <c r="D360">
        <v>50</v>
      </c>
      <c r="E360">
        <v>32</v>
      </c>
      <c r="F360" s="1">
        <f t="shared" si="35"/>
        <v>0.6097560975609756</v>
      </c>
      <c r="G360" s="2">
        <v>98.1</v>
      </c>
      <c r="H360" s="2">
        <v>94.8</v>
      </c>
      <c r="I360" s="2">
        <f t="shared" si="36"/>
        <v>3.2999999999999972</v>
      </c>
      <c r="J360" s="1">
        <f t="shared" si="37"/>
        <v>0.61752385224098172</v>
      </c>
      <c r="K360" s="2">
        <v>109.6</v>
      </c>
      <c r="L360" s="2">
        <v>106.1</v>
      </c>
      <c r="M360" s="2">
        <f t="shared" si="38"/>
        <v>3.5</v>
      </c>
      <c r="N360" s="1">
        <f t="shared" si="39"/>
        <v>-7.7677546800061226E-3</v>
      </c>
      <c r="O360" s="2">
        <v>100.8</v>
      </c>
      <c r="P360" s="2">
        <v>96.2</v>
      </c>
      <c r="Q360" s="2">
        <f t="shared" si="40"/>
        <v>4.5999999999999943</v>
      </c>
      <c r="R360" s="2">
        <v>0.4</v>
      </c>
      <c r="S360" s="2">
        <v>4.9000000000000004</v>
      </c>
      <c r="T360" s="2">
        <f t="shared" si="41"/>
        <v>1.0999999999999943</v>
      </c>
    </row>
    <row r="361" spans="1:20">
      <c r="A361" s="6">
        <v>405</v>
      </c>
      <c r="B361" t="s">
        <v>52</v>
      </c>
      <c r="C361" t="s">
        <v>53</v>
      </c>
      <c r="D361">
        <v>34</v>
      </c>
      <c r="E361">
        <v>48</v>
      </c>
      <c r="F361" s="1">
        <f t="shared" si="35"/>
        <v>0.41463414634146339</v>
      </c>
      <c r="G361" s="2">
        <v>99.7</v>
      </c>
      <c r="H361" s="2">
        <v>102.4</v>
      </c>
      <c r="I361" s="2">
        <f t="shared" si="36"/>
        <v>-2.7000000000000028</v>
      </c>
      <c r="J361" s="1">
        <f t="shared" si="37"/>
        <v>0.40755201801637742</v>
      </c>
      <c r="K361" s="2">
        <v>106.2</v>
      </c>
      <c r="L361" s="2">
        <v>109.1</v>
      </c>
      <c r="M361" s="2">
        <f t="shared" si="38"/>
        <v>-2.8999999999999915</v>
      </c>
      <c r="N361" s="1">
        <f t="shared" si="39"/>
        <v>7.082128325085979E-3</v>
      </c>
      <c r="O361" s="2">
        <v>103.6</v>
      </c>
      <c r="P361" s="2">
        <v>105.4</v>
      </c>
      <c r="Q361" s="2">
        <f t="shared" si="40"/>
        <v>-1.8000000000000114</v>
      </c>
      <c r="R361" s="2">
        <v>-0.2</v>
      </c>
      <c r="S361" s="2">
        <v>-0.7</v>
      </c>
      <c r="T361" s="2">
        <f t="shared" si="41"/>
        <v>1.0999999999999801</v>
      </c>
    </row>
    <row r="362" spans="1:20">
      <c r="A362" s="6">
        <v>193</v>
      </c>
      <c r="B362" t="s">
        <v>43</v>
      </c>
      <c r="C362" t="s">
        <v>20</v>
      </c>
      <c r="D362">
        <v>32</v>
      </c>
      <c r="E362">
        <v>50</v>
      </c>
      <c r="F362" s="1">
        <f t="shared" si="35"/>
        <v>0.3902439024390244</v>
      </c>
      <c r="G362" s="2">
        <v>96.1</v>
      </c>
      <c r="H362" s="2">
        <v>99.7</v>
      </c>
      <c r="I362" s="2">
        <f t="shared" si="36"/>
        <v>-3.6000000000000085</v>
      </c>
      <c r="J362" s="1">
        <f t="shared" si="37"/>
        <v>0.37405280109871952</v>
      </c>
      <c r="K362" s="2">
        <v>102.4</v>
      </c>
      <c r="L362" s="2">
        <v>106.5</v>
      </c>
      <c r="M362" s="2">
        <f t="shared" si="38"/>
        <v>-4.0999999999999943</v>
      </c>
      <c r="N362" s="1">
        <f t="shared" si="39"/>
        <v>1.6191101340304881E-2</v>
      </c>
      <c r="O362" s="2">
        <v>98.2</v>
      </c>
      <c r="P362" s="2">
        <v>101.3</v>
      </c>
      <c r="Q362" s="2">
        <f t="shared" si="40"/>
        <v>-3.0999999999999943</v>
      </c>
      <c r="R362" s="2">
        <v>0</v>
      </c>
      <c r="S362" s="2">
        <v>-1.3</v>
      </c>
      <c r="T362" s="2">
        <f t="shared" si="41"/>
        <v>1</v>
      </c>
    </row>
    <row r="363" spans="1:20">
      <c r="A363" s="6">
        <v>11</v>
      </c>
      <c r="B363" t="s">
        <v>4</v>
      </c>
      <c r="C363" t="s">
        <v>15</v>
      </c>
      <c r="D363">
        <v>41</v>
      </c>
      <c r="E363">
        <v>41</v>
      </c>
      <c r="F363" s="1">
        <f t="shared" si="35"/>
        <v>0.5</v>
      </c>
      <c r="G363" s="2">
        <v>92.6</v>
      </c>
      <c r="H363" s="2">
        <v>92.8</v>
      </c>
      <c r="I363" s="2">
        <f t="shared" si="36"/>
        <v>-0.20000000000000284</v>
      </c>
      <c r="J363" s="1">
        <f t="shared" si="37"/>
        <v>0.49244933056629364</v>
      </c>
      <c r="K363" s="2">
        <v>100.3</v>
      </c>
      <c r="L363" s="2">
        <v>100.5</v>
      </c>
      <c r="M363" s="2">
        <f t="shared" si="38"/>
        <v>-0.20000000000000284</v>
      </c>
      <c r="N363" s="1">
        <f t="shared" si="39"/>
        <v>7.5506694337063585E-3</v>
      </c>
      <c r="O363" s="2">
        <v>93.1</v>
      </c>
      <c r="P363" s="2">
        <v>92.3</v>
      </c>
      <c r="Q363" s="2">
        <f t="shared" si="40"/>
        <v>0.79999999999999716</v>
      </c>
      <c r="R363" s="2">
        <v>0</v>
      </c>
      <c r="S363" s="2">
        <v>-0.5</v>
      </c>
      <c r="T363" s="2">
        <f t="shared" si="41"/>
        <v>1</v>
      </c>
    </row>
    <row r="364" spans="1:20">
      <c r="A364" s="6">
        <v>602</v>
      </c>
      <c r="B364" t="s">
        <v>61</v>
      </c>
      <c r="C364" t="s">
        <v>9</v>
      </c>
      <c r="D364">
        <v>22</v>
      </c>
      <c r="E364">
        <v>50</v>
      </c>
      <c r="F364" s="1">
        <f t="shared" si="35"/>
        <v>0.30555555555555558</v>
      </c>
      <c r="G364" s="2">
        <v>103.8</v>
      </c>
      <c r="H364" s="2">
        <v>112.3</v>
      </c>
      <c r="I364" s="2">
        <f t="shared" si="36"/>
        <v>-8.5</v>
      </c>
      <c r="J364" s="1">
        <f t="shared" si="37"/>
        <v>0.24938210026428717</v>
      </c>
      <c r="K364" s="2">
        <v>105.2</v>
      </c>
      <c r="L364" s="2">
        <v>113.5</v>
      </c>
      <c r="M364" s="2">
        <f t="shared" si="38"/>
        <v>-8.2999999999999972</v>
      </c>
      <c r="N364" s="1">
        <f t="shared" si="39"/>
        <v>5.6173455291268409E-2</v>
      </c>
      <c r="O364" s="2">
        <v>99.1</v>
      </c>
      <c r="P364" s="2">
        <v>106.4</v>
      </c>
      <c r="Q364" s="2">
        <f t="shared" si="40"/>
        <v>-7.3000000000000114</v>
      </c>
      <c r="R364" s="2">
        <v>-1.5</v>
      </c>
      <c r="S364" s="2">
        <v>-7.7</v>
      </c>
      <c r="T364" s="2">
        <f t="shared" si="41"/>
        <v>0.99999999999998579</v>
      </c>
    </row>
    <row r="365" spans="1:20">
      <c r="A365" s="6">
        <v>290</v>
      </c>
      <c r="B365" t="s">
        <v>47</v>
      </c>
      <c r="C365" t="s">
        <v>25</v>
      </c>
      <c r="D365">
        <v>54</v>
      </c>
      <c r="E365">
        <v>28</v>
      </c>
      <c r="F365" s="1">
        <f t="shared" si="35"/>
        <v>0.65853658536585369</v>
      </c>
      <c r="G365" s="2">
        <v>110.2</v>
      </c>
      <c r="H365" s="2">
        <v>105.3</v>
      </c>
      <c r="I365" s="2">
        <f t="shared" si="36"/>
        <v>4.9000000000000057</v>
      </c>
      <c r="J365" s="1">
        <f t="shared" si="37"/>
        <v>0.654022652875209</v>
      </c>
      <c r="K365" s="2">
        <v>113.9</v>
      </c>
      <c r="L365" s="2">
        <v>109.1</v>
      </c>
      <c r="M365" s="2">
        <f t="shared" si="38"/>
        <v>4.8000000000000114</v>
      </c>
      <c r="N365" s="1">
        <f t="shared" si="39"/>
        <v>4.5139324906446898E-3</v>
      </c>
      <c r="O365" s="2">
        <v>118.3</v>
      </c>
      <c r="P365" s="2">
        <v>112.5</v>
      </c>
      <c r="Q365" s="2">
        <f t="shared" si="40"/>
        <v>5.7999999999999972</v>
      </c>
      <c r="R365" s="2">
        <v>0.8</v>
      </c>
      <c r="S365" s="2">
        <v>4.8</v>
      </c>
      <c r="T365" s="2">
        <f t="shared" si="41"/>
        <v>0.99999999999998579</v>
      </c>
    </row>
    <row r="366" spans="1:20">
      <c r="A366" s="6">
        <v>86</v>
      </c>
      <c r="B366" t="s">
        <v>36</v>
      </c>
      <c r="C366" t="s">
        <v>31</v>
      </c>
      <c r="D366">
        <v>47</v>
      </c>
      <c r="E366">
        <v>35</v>
      </c>
      <c r="F366" s="1">
        <f t="shared" si="35"/>
        <v>0.57317073170731703</v>
      </c>
      <c r="G366" s="2">
        <v>94.7</v>
      </c>
      <c r="H366" s="2">
        <v>92.3</v>
      </c>
      <c r="I366" s="2">
        <f t="shared" si="36"/>
        <v>2.4000000000000057</v>
      </c>
      <c r="J366" s="1">
        <f t="shared" si="37"/>
        <v>0.58888986228470186</v>
      </c>
      <c r="K366" s="2">
        <v>103.7</v>
      </c>
      <c r="L366" s="2">
        <v>101.1</v>
      </c>
      <c r="M366" s="2">
        <f t="shared" si="38"/>
        <v>2.6000000000000085</v>
      </c>
      <c r="N366" s="1">
        <f t="shared" si="39"/>
        <v>-1.5719130577384832E-2</v>
      </c>
      <c r="O366" s="2">
        <v>102.6</v>
      </c>
      <c r="P366" s="2">
        <v>99</v>
      </c>
      <c r="Q366" s="2">
        <f t="shared" si="40"/>
        <v>3.5999999999999943</v>
      </c>
      <c r="R366" s="2">
        <v>0.3</v>
      </c>
      <c r="S366" s="2">
        <v>1.9</v>
      </c>
      <c r="T366" s="2">
        <f t="shared" si="41"/>
        <v>0.99999999999998579</v>
      </c>
    </row>
    <row r="367" spans="1:20">
      <c r="A367" s="6">
        <v>58</v>
      </c>
      <c r="B367" t="s">
        <v>34</v>
      </c>
      <c r="C367" t="s">
        <v>33</v>
      </c>
      <c r="D367">
        <v>37</v>
      </c>
      <c r="E367">
        <v>45</v>
      </c>
      <c r="F367" s="1">
        <f t="shared" si="35"/>
        <v>0.45121951219512196</v>
      </c>
      <c r="G367" s="2">
        <v>92.8</v>
      </c>
      <c r="H367" s="2">
        <v>94.2</v>
      </c>
      <c r="I367" s="2">
        <f t="shared" si="36"/>
        <v>-1.4000000000000057</v>
      </c>
      <c r="J367" s="1">
        <f t="shared" si="37"/>
        <v>0.4477836824349537</v>
      </c>
      <c r="K367" s="2">
        <v>102.9</v>
      </c>
      <c r="L367" s="2">
        <v>104.5</v>
      </c>
      <c r="M367" s="2">
        <f t="shared" si="38"/>
        <v>-1.5999999999999943</v>
      </c>
      <c r="N367" s="1">
        <f t="shared" si="39"/>
        <v>3.435829760168263E-3</v>
      </c>
      <c r="O367" s="2">
        <v>100.3</v>
      </c>
      <c r="P367" s="2">
        <v>101</v>
      </c>
      <c r="Q367" s="2">
        <f t="shared" si="40"/>
        <v>-0.70000000000000284</v>
      </c>
      <c r="R367" s="2">
        <v>-0.4</v>
      </c>
      <c r="S367" s="2">
        <v>-0.7</v>
      </c>
      <c r="T367" s="2">
        <f t="shared" si="41"/>
        <v>0.89999999999999147</v>
      </c>
    </row>
    <row r="368" spans="1:20">
      <c r="A368" s="6">
        <v>270</v>
      </c>
      <c r="B368" t="s">
        <v>47</v>
      </c>
      <c r="C368" t="s">
        <v>8</v>
      </c>
      <c r="D368">
        <v>41</v>
      </c>
      <c r="E368">
        <v>41</v>
      </c>
      <c r="F368" s="1">
        <f t="shared" si="35"/>
        <v>0.5</v>
      </c>
      <c r="G368" s="2">
        <v>97.5</v>
      </c>
      <c r="H368" s="2">
        <v>99.1</v>
      </c>
      <c r="I368" s="2">
        <f t="shared" si="36"/>
        <v>-1.5999999999999943</v>
      </c>
      <c r="J368" s="1">
        <f t="shared" si="37"/>
        <v>0.44327553553702231</v>
      </c>
      <c r="K368" s="2">
        <v>102.6</v>
      </c>
      <c r="L368" s="2">
        <v>104.2</v>
      </c>
      <c r="M368" s="2">
        <f t="shared" si="38"/>
        <v>-1.6000000000000085</v>
      </c>
      <c r="N368" s="1">
        <f t="shared" si="39"/>
        <v>5.6724464462977686E-2</v>
      </c>
      <c r="O368" s="2">
        <v>97.2</v>
      </c>
      <c r="P368" s="2">
        <v>98</v>
      </c>
      <c r="Q368" s="2">
        <f t="shared" si="40"/>
        <v>-0.79999999999999716</v>
      </c>
      <c r="R368" s="2">
        <v>-0.3</v>
      </c>
      <c r="S368" s="2">
        <v>-1.5</v>
      </c>
      <c r="T368" s="2">
        <f t="shared" si="41"/>
        <v>0.80000000000001137</v>
      </c>
    </row>
    <row r="369" spans="1:20">
      <c r="A369" s="6">
        <v>559</v>
      </c>
      <c r="B369" t="s">
        <v>59</v>
      </c>
      <c r="C369" t="s">
        <v>24</v>
      </c>
      <c r="D369">
        <v>51</v>
      </c>
      <c r="E369">
        <v>31</v>
      </c>
      <c r="F369" s="1">
        <f t="shared" si="35"/>
        <v>0.62195121951219512</v>
      </c>
      <c r="G369" s="2">
        <v>115.2</v>
      </c>
      <c r="H369" s="2">
        <v>112.5</v>
      </c>
      <c r="I369" s="2">
        <f t="shared" si="36"/>
        <v>2.7000000000000028</v>
      </c>
      <c r="J369" s="1">
        <f t="shared" si="37"/>
        <v>0.58225355885206587</v>
      </c>
      <c r="K369" s="2">
        <v>111.6</v>
      </c>
      <c r="L369" s="2">
        <v>109</v>
      </c>
      <c r="M369" s="2">
        <f t="shared" si="38"/>
        <v>2.5999999999999943</v>
      </c>
      <c r="N369" s="1">
        <f t="shared" si="39"/>
        <v>3.9697660660129253E-2</v>
      </c>
      <c r="O369" s="2">
        <v>109.5</v>
      </c>
      <c r="P369" s="2">
        <v>106.1</v>
      </c>
      <c r="Q369" s="2">
        <f t="shared" si="40"/>
        <v>3.4000000000000057</v>
      </c>
      <c r="R369" s="2">
        <v>-0.1</v>
      </c>
      <c r="S369" s="2">
        <v>2.5</v>
      </c>
      <c r="T369" s="2">
        <f t="shared" si="41"/>
        <v>0.80000000000001137</v>
      </c>
    </row>
    <row r="370" spans="1:20">
      <c r="A370" s="6">
        <v>746</v>
      </c>
      <c r="B370" t="s">
        <v>65</v>
      </c>
      <c r="C370" t="s">
        <v>33</v>
      </c>
      <c r="D370">
        <v>18</v>
      </c>
      <c r="E370">
        <v>64</v>
      </c>
      <c r="F370" s="1">
        <f t="shared" si="35"/>
        <v>0.21951219512195122</v>
      </c>
      <c r="G370" s="2">
        <v>108</v>
      </c>
      <c r="H370" s="2">
        <v>120.4</v>
      </c>
      <c r="I370" s="2">
        <f t="shared" si="36"/>
        <v>-12.400000000000006</v>
      </c>
      <c r="J370" s="1">
        <f t="shared" si="37"/>
        <v>0.17922069515019554</v>
      </c>
      <c r="K370" s="2">
        <v>105.8</v>
      </c>
      <c r="L370" s="2">
        <v>118</v>
      </c>
      <c r="M370" s="2">
        <f t="shared" si="38"/>
        <v>-12.200000000000003</v>
      </c>
      <c r="N370" s="1">
        <f t="shared" si="39"/>
        <v>4.0291499971755684E-2</v>
      </c>
      <c r="O370" s="2">
        <v>102.8</v>
      </c>
      <c r="P370" s="2">
        <v>114.2</v>
      </c>
      <c r="Q370" s="2">
        <f t="shared" si="40"/>
        <v>-11.400000000000006</v>
      </c>
      <c r="R370" s="2">
        <v>-2</v>
      </c>
      <c r="S370" s="2">
        <v>-10.1</v>
      </c>
      <c r="T370" s="2">
        <f t="shared" si="41"/>
        <v>0.79999999999999716</v>
      </c>
    </row>
    <row r="371" spans="1:20">
      <c r="A371" s="6">
        <v>303</v>
      </c>
      <c r="B371" t="s">
        <v>48</v>
      </c>
      <c r="C371" t="s">
        <v>11</v>
      </c>
      <c r="D371">
        <v>50</v>
      </c>
      <c r="E371">
        <v>32</v>
      </c>
      <c r="F371" s="1">
        <f t="shared" si="35"/>
        <v>0.6097560975609756</v>
      </c>
      <c r="G371" s="2">
        <v>107.5</v>
      </c>
      <c r="H371" s="2">
        <v>102.7</v>
      </c>
      <c r="I371" s="2">
        <f t="shared" si="36"/>
        <v>4.7999999999999972</v>
      </c>
      <c r="J371" s="1">
        <f t="shared" si="37"/>
        <v>0.65464093009494817</v>
      </c>
      <c r="K371" s="2">
        <v>111.7</v>
      </c>
      <c r="L371" s="2">
        <v>106.8</v>
      </c>
      <c r="M371" s="2">
        <f t="shared" si="38"/>
        <v>4.9000000000000057</v>
      </c>
      <c r="N371" s="1">
        <f t="shared" si="39"/>
        <v>-4.4884832533972574E-2</v>
      </c>
      <c r="O371" s="2">
        <v>107.4</v>
      </c>
      <c r="P371" s="2">
        <v>101.7</v>
      </c>
      <c r="Q371" s="2">
        <f t="shared" si="40"/>
        <v>5.7000000000000028</v>
      </c>
      <c r="R371" s="2">
        <v>0.8</v>
      </c>
      <c r="S371" s="2">
        <v>3.3</v>
      </c>
      <c r="T371" s="2">
        <f t="shared" si="41"/>
        <v>0.79999999999999716</v>
      </c>
    </row>
    <row r="372" spans="1:20">
      <c r="A372" s="6">
        <v>227</v>
      </c>
      <c r="B372" t="s">
        <v>44</v>
      </c>
      <c r="C372" t="s">
        <v>23</v>
      </c>
      <c r="D372">
        <v>52</v>
      </c>
      <c r="E372">
        <v>30</v>
      </c>
      <c r="F372" s="1">
        <f t="shared" si="35"/>
        <v>0.63414634146341464</v>
      </c>
      <c r="G372" s="2">
        <v>104.5</v>
      </c>
      <c r="H372" s="2">
        <v>99</v>
      </c>
      <c r="I372" s="2">
        <f t="shared" si="36"/>
        <v>5.5</v>
      </c>
      <c r="J372" s="1">
        <f t="shared" si="37"/>
        <v>0.68068924490801519</v>
      </c>
      <c r="K372" s="2">
        <v>110.4</v>
      </c>
      <c r="L372" s="2">
        <v>104.9</v>
      </c>
      <c r="M372" s="2">
        <f t="shared" si="38"/>
        <v>5.5</v>
      </c>
      <c r="N372" s="1">
        <f t="shared" si="39"/>
        <v>-4.6542903444600547E-2</v>
      </c>
      <c r="O372" s="2">
        <v>109.5</v>
      </c>
      <c r="P372" s="2">
        <v>103.2</v>
      </c>
      <c r="Q372" s="2">
        <f t="shared" si="40"/>
        <v>6.2999999999999972</v>
      </c>
      <c r="R372" s="2">
        <v>1.3</v>
      </c>
      <c r="S372" s="2">
        <v>6.5</v>
      </c>
      <c r="T372" s="2">
        <f t="shared" si="41"/>
        <v>0.79999999999999716</v>
      </c>
    </row>
    <row r="373" spans="1:20">
      <c r="A373" s="6">
        <v>314</v>
      </c>
      <c r="B373" t="s">
        <v>48</v>
      </c>
      <c r="C373" t="s">
        <v>21</v>
      </c>
      <c r="D373">
        <v>24</v>
      </c>
      <c r="E373">
        <v>58</v>
      </c>
      <c r="F373" s="1">
        <f t="shared" si="35"/>
        <v>0.29268292682926828</v>
      </c>
      <c r="G373" s="2">
        <v>94.2</v>
      </c>
      <c r="H373" s="2">
        <v>100.4</v>
      </c>
      <c r="I373" s="2">
        <f t="shared" si="36"/>
        <v>-6.2000000000000028</v>
      </c>
      <c r="J373" s="1">
        <f t="shared" si="37"/>
        <v>0.29061719989236251</v>
      </c>
      <c r="K373" s="2">
        <v>102.1</v>
      </c>
      <c r="L373" s="2">
        <v>108.9</v>
      </c>
      <c r="M373" s="2">
        <f t="shared" si="38"/>
        <v>-6.8000000000000114</v>
      </c>
      <c r="N373" s="1">
        <f t="shared" si="39"/>
        <v>2.0657269369057651E-3</v>
      </c>
      <c r="O373" s="2">
        <v>100.5</v>
      </c>
      <c r="P373" s="2">
        <v>106.6</v>
      </c>
      <c r="Q373" s="2">
        <f t="shared" si="40"/>
        <v>-6.0999999999999943</v>
      </c>
      <c r="R373" s="2">
        <v>-0.4</v>
      </c>
      <c r="S373" s="2">
        <v>-3</v>
      </c>
      <c r="T373" s="2">
        <f t="shared" si="41"/>
        <v>0.70000000000001705</v>
      </c>
    </row>
    <row r="374" spans="1:20">
      <c r="A374" s="6">
        <v>280</v>
      </c>
      <c r="B374" t="s">
        <v>47</v>
      </c>
      <c r="C374" t="s">
        <v>35</v>
      </c>
      <c r="D374">
        <v>40</v>
      </c>
      <c r="E374">
        <v>42</v>
      </c>
      <c r="F374" s="1">
        <f t="shared" si="35"/>
        <v>0.48780487804878048</v>
      </c>
      <c r="G374" s="2">
        <v>102.5</v>
      </c>
      <c r="H374" s="2">
        <v>104</v>
      </c>
      <c r="I374" s="2">
        <f t="shared" si="36"/>
        <v>-1.5</v>
      </c>
      <c r="J374" s="1">
        <f t="shared" si="37"/>
        <v>0.44932622081798346</v>
      </c>
      <c r="K374" s="2">
        <v>107.5</v>
      </c>
      <c r="L374" s="2">
        <v>109</v>
      </c>
      <c r="M374" s="2">
        <f t="shared" si="38"/>
        <v>-1.5</v>
      </c>
      <c r="N374" s="1">
        <f t="shared" si="39"/>
        <v>3.847865723079702E-2</v>
      </c>
      <c r="O374" s="2">
        <v>98.2</v>
      </c>
      <c r="P374" s="2">
        <v>99</v>
      </c>
      <c r="Q374" s="2">
        <f t="shared" si="40"/>
        <v>-0.79999999999999716</v>
      </c>
      <c r="R374" s="2">
        <v>-1.5</v>
      </c>
      <c r="S374" s="2">
        <v>-7</v>
      </c>
      <c r="T374" s="2">
        <f t="shared" si="41"/>
        <v>0.70000000000000284</v>
      </c>
    </row>
    <row r="375" spans="1:20">
      <c r="A375" s="6">
        <v>604</v>
      </c>
      <c r="B375" t="s">
        <v>61</v>
      </c>
      <c r="C375" t="s">
        <v>11</v>
      </c>
      <c r="D375">
        <v>47</v>
      </c>
      <c r="E375">
        <v>25</v>
      </c>
      <c r="F375" s="1">
        <f t="shared" si="35"/>
        <v>0.65277777777777779</v>
      </c>
      <c r="G375" s="2">
        <v>115.1</v>
      </c>
      <c r="H375" s="2">
        <v>110.1</v>
      </c>
      <c r="I375" s="2">
        <f t="shared" si="36"/>
        <v>5</v>
      </c>
      <c r="J375" s="1">
        <f t="shared" si="37"/>
        <v>0.65062141130812434</v>
      </c>
      <c r="K375" s="2">
        <v>116.3</v>
      </c>
      <c r="L375" s="2">
        <v>111.5</v>
      </c>
      <c r="M375" s="2">
        <f t="shared" si="38"/>
        <v>4.7999999999999972</v>
      </c>
      <c r="N375" s="1">
        <f t="shared" si="39"/>
        <v>2.1563664696534479E-3</v>
      </c>
      <c r="O375" s="2">
        <v>114.4</v>
      </c>
      <c r="P375" s="2">
        <v>109</v>
      </c>
      <c r="Q375" s="2">
        <f t="shared" si="40"/>
        <v>5.4000000000000057</v>
      </c>
      <c r="R375" s="2">
        <v>0.7</v>
      </c>
      <c r="S375" s="2">
        <v>1.9</v>
      </c>
      <c r="T375" s="2">
        <f t="shared" si="41"/>
        <v>0.60000000000000853</v>
      </c>
    </row>
    <row r="376" spans="1:20">
      <c r="A376" s="6">
        <v>13</v>
      </c>
      <c r="B376" t="s">
        <v>4</v>
      </c>
      <c r="C376" t="s">
        <v>17</v>
      </c>
      <c r="D376">
        <v>56</v>
      </c>
      <c r="E376">
        <v>26</v>
      </c>
      <c r="F376" s="1">
        <f t="shared" si="35"/>
        <v>0.68292682926829273</v>
      </c>
      <c r="G376" s="2">
        <v>100.6</v>
      </c>
      <c r="H376" s="2">
        <v>97.2</v>
      </c>
      <c r="I376" s="2">
        <f t="shared" si="36"/>
        <v>3.3999999999999915</v>
      </c>
      <c r="J376" s="1">
        <f t="shared" si="37"/>
        <v>0.61806463503344422</v>
      </c>
      <c r="K376" s="2">
        <v>107</v>
      </c>
      <c r="L376" s="2">
        <v>103.6</v>
      </c>
      <c r="M376" s="2">
        <f t="shared" si="38"/>
        <v>3.4000000000000057</v>
      </c>
      <c r="N376" s="1">
        <f t="shared" si="39"/>
        <v>6.4862194234848514E-2</v>
      </c>
      <c r="O376" s="2">
        <v>103.2</v>
      </c>
      <c r="P376" s="2">
        <v>99.2</v>
      </c>
      <c r="Q376" s="2">
        <f t="shared" si="40"/>
        <v>4</v>
      </c>
      <c r="R376" s="2">
        <v>-1</v>
      </c>
      <c r="S376" s="2">
        <v>-3.3</v>
      </c>
      <c r="T376" s="2">
        <f t="shared" si="41"/>
        <v>0.59999999999999432</v>
      </c>
    </row>
    <row r="377" spans="1:20">
      <c r="A377" s="6">
        <v>36</v>
      </c>
      <c r="B377" t="s">
        <v>34</v>
      </c>
      <c r="C377" t="s">
        <v>11</v>
      </c>
      <c r="D377">
        <v>27</v>
      </c>
      <c r="E377">
        <v>55</v>
      </c>
      <c r="F377" s="1">
        <f t="shared" si="35"/>
        <v>0.32926829268292684</v>
      </c>
      <c r="G377" s="2">
        <v>92.2</v>
      </c>
      <c r="H377" s="2">
        <v>98</v>
      </c>
      <c r="I377" s="2">
        <f t="shared" si="36"/>
        <v>-5.7999999999999972</v>
      </c>
      <c r="J377" s="1">
        <f t="shared" si="37"/>
        <v>0.29857289504453155</v>
      </c>
      <c r="K377" s="2">
        <v>100.3</v>
      </c>
      <c r="L377" s="2">
        <v>106.6</v>
      </c>
      <c r="M377" s="2">
        <f t="shared" si="38"/>
        <v>-6.2999999999999972</v>
      </c>
      <c r="N377" s="1">
        <f t="shared" si="39"/>
        <v>3.0695397638395294E-2</v>
      </c>
      <c r="O377" s="2">
        <v>89.7</v>
      </c>
      <c r="P377" s="2">
        <v>95.4</v>
      </c>
      <c r="Q377" s="2">
        <f t="shared" si="40"/>
        <v>-5.7000000000000028</v>
      </c>
      <c r="R377" s="2">
        <v>0.1</v>
      </c>
      <c r="S377" s="2">
        <v>-1.8</v>
      </c>
      <c r="T377" s="2">
        <f t="shared" si="41"/>
        <v>0.59999999999999432</v>
      </c>
    </row>
    <row r="378" spans="1:20">
      <c r="A378" s="6">
        <v>436</v>
      </c>
      <c r="B378" t="s">
        <v>54</v>
      </c>
      <c r="C378" t="s">
        <v>22</v>
      </c>
      <c r="D378">
        <v>17</v>
      </c>
      <c r="E378">
        <v>65</v>
      </c>
      <c r="F378" s="1">
        <f t="shared" si="35"/>
        <v>0.2073170731707317</v>
      </c>
      <c r="G378" s="2">
        <v>91.9</v>
      </c>
      <c r="H378" s="2">
        <v>101.2</v>
      </c>
      <c r="I378" s="2">
        <f t="shared" si="36"/>
        <v>-9.2999999999999972</v>
      </c>
      <c r="J378" s="1">
        <f t="shared" si="37"/>
        <v>0.20594097725423322</v>
      </c>
      <c r="K378" s="2">
        <v>98.9</v>
      </c>
      <c r="L378" s="2">
        <v>109</v>
      </c>
      <c r="M378" s="2">
        <f t="shared" si="38"/>
        <v>-10.099999999999994</v>
      </c>
      <c r="N378" s="1">
        <f t="shared" si="39"/>
        <v>1.3760959164984821E-3</v>
      </c>
      <c r="O378" s="2">
        <v>91.9</v>
      </c>
      <c r="P378" s="2">
        <v>101.5</v>
      </c>
      <c r="Q378" s="2">
        <f t="shared" si="40"/>
        <v>-9.5999999999999943</v>
      </c>
      <c r="R378" s="2">
        <v>0.6</v>
      </c>
      <c r="S378" s="2">
        <v>1.6</v>
      </c>
      <c r="T378" s="2">
        <f t="shared" si="41"/>
        <v>0.5</v>
      </c>
    </row>
    <row r="379" spans="1:20">
      <c r="A379" s="6">
        <v>660</v>
      </c>
      <c r="B379" t="s">
        <v>63</v>
      </c>
      <c r="C379" t="s">
        <v>7</v>
      </c>
      <c r="D379">
        <v>27</v>
      </c>
      <c r="E379">
        <v>55</v>
      </c>
      <c r="F379" s="1">
        <f t="shared" si="35"/>
        <v>0.32926829268292684</v>
      </c>
      <c r="G379" s="2">
        <v>111</v>
      </c>
      <c r="H379" s="2">
        <v>117.2</v>
      </c>
      <c r="I379" s="2">
        <f t="shared" si="36"/>
        <v>-6.2000000000000028</v>
      </c>
      <c r="J379" s="1">
        <f t="shared" si="37"/>
        <v>0.31844580628258201</v>
      </c>
      <c r="K379" s="2">
        <v>108.4</v>
      </c>
      <c r="L379" s="2">
        <v>114.7</v>
      </c>
      <c r="M379" s="2">
        <f t="shared" si="38"/>
        <v>-6.2999999999999972</v>
      </c>
      <c r="N379" s="1">
        <f t="shared" si="39"/>
        <v>1.0822486400344833E-2</v>
      </c>
      <c r="O379" s="2">
        <v>108.6</v>
      </c>
      <c r="P379" s="2">
        <v>114.4</v>
      </c>
      <c r="Q379" s="2">
        <f t="shared" si="40"/>
        <v>-5.8000000000000114</v>
      </c>
      <c r="R379" s="2">
        <v>-0.3</v>
      </c>
      <c r="S379" s="2">
        <v>-3</v>
      </c>
      <c r="T379" s="2">
        <f t="shared" si="41"/>
        <v>0.49999999999998579</v>
      </c>
    </row>
    <row r="380" spans="1:20">
      <c r="A380" s="6">
        <v>2</v>
      </c>
      <c r="B380" t="s">
        <v>4</v>
      </c>
      <c r="C380" t="s">
        <v>6</v>
      </c>
      <c r="D380">
        <v>36</v>
      </c>
      <c r="E380">
        <v>46</v>
      </c>
      <c r="F380" s="1">
        <f t="shared" si="35"/>
        <v>0.43902439024390244</v>
      </c>
      <c r="G380" s="2">
        <v>94.6</v>
      </c>
      <c r="H380" s="2">
        <v>96.8</v>
      </c>
      <c r="I380" s="2">
        <f t="shared" si="36"/>
        <v>-2.2000000000000028</v>
      </c>
      <c r="J380" s="1">
        <f t="shared" si="37"/>
        <v>0.42022416188672446</v>
      </c>
      <c r="K380" s="2">
        <v>100.1</v>
      </c>
      <c r="L380" s="2">
        <v>102.3</v>
      </c>
      <c r="M380" s="2">
        <f t="shared" si="38"/>
        <v>-2.2000000000000028</v>
      </c>
      <c r="N380" s="1">
        <f t="shared" si="39"/>
        <v>1.8800228357177984E-2</v>
      </c>
      <c r="O380" s="2">
        <v>95.1</v>
      </c>
      <c r="P380" s="2">
        <v>96.9</v>
      </c>
      <c r="Q380" s="2">
        <f t="shared" si="40"/>
        <v>-1.8000000000000114</v>
      </c>
      <c r="R380" s="2">
        <v>-0.8</v>
      </c>
      <c r="S380" s="2">
        <v>-3.9</v>
      </c>
      <c r="T380" s="2">
        <f t="shared" si="41"/>
        <v>0.39999999999999147</v>
      </c>
    </row>
    <row r="381" spans="1:20">
      <c r="A381" s="6">
        <v>62</v>
      </c>
      <c r="B381" t="s">
        <v>36</v>
      </c>
      <c r="C381" t="s">
        <v>9</v>
      </c>
      <c r="D381">
        <v>17</v>
      </c>
      <c r="E381">
        <v>65</v>
      </c>
      <c r="F381" s="1">
        <f t="shared" si="35"/>
        <v>0.2073170731707317</v>
      </c>
      <c r="G381" s="2">
        <v>91.4</v>
      </c>
      <c r="H381" s="2">
        <v>101</v>
      </c>
      <c r="I381" s="2">
        <f t="shared" si="36"/>
        <v>-9.5999999999999943</v>
      </c>
      <c r="J381" s="1">
        <f t="shared" si="37"/>
        <v>0.19809387151453933</v>
      </c>
      <c r="K381" s="2">
        <v>95.2</v>
      </c>
      <c r="L381" s="2">
        <v>105.1</v>
      </c>
      <c r="M381" s="2">
        <f t="shared" si="38"/>
        <v>-9.8999999999999915</v>
      </c>
      <c r="N381" s="1">
        <f t="shared" si="39"/>
        <v>9.2232016561923647E-3</v>
      </c>
      <c r="O381" s="2">
        <v>86.6</v>
      </c>
      <c r="P381" s="2">
        <v>96.1</v>
      </c>
      <c r="Q381" s="2">
        <f t="shared" si="40"/>
        <v>-9.5</v>
      </c>
      <c r="R381" s="2">
        <v>-0.2</v>
      </c>
      <c r="S381" s="2">
        <v>-2.7</v>
      </c>
      <c r="T381" s="2">
        <f t="shared" si="41"/>
        <v>0.39999999999999147</v>
      </c>
    </row>
    <row r="382" spans="1:20">
      <c r="A382" s="6">
        <v>377</v>
      </c>
      <c r="B382" t="s">
        <v>50</v>
      </c>
      <c r="C382" t="s">
        <v>46</v>
      </c>
      <c r="D382">
        <v>60</v>
      </c>
      <c r="E382">
        <v>22</v>
      </c>
      <c r="F382" s="1">
        <f t="shared" si="35"/>
        <v>0.73170731707317072</v>
      </c>
      <c r="G382" s="2">
        <v>105.7</v>
      </c>
      <c r="H382" s="2">
        <v>96.5</v>
      </c>
      <c r="I382" s="2">
        <f t="shared" si="36"/>
        <v>9.2000000000000028</v>
      </c>
      <c r="J382" s="1">
        <f t="shared" si="37"/>
        <v>0.78157465431369377</v>
      </c>
      <c r="K382" s="2">
        <v>111</v>
      </c>
      <c r="L382" s="2">
        <v>101.2</v>
      </c>
      <c r="M382" s="2">
        <f t="shared" si="38"/>
        <v>9.7999999999999972</v>
      </c>
      <c r="N382" s="1">
        <f t="shared" si="39"/>
        <v>-4.9867337240523057E-2</v>
      </c>
      <c r="O382" s="2">
        <v>108.7</v>
      </c>
      <c r="P382" s="2">
        <v>98.6</v>
      </c>
      <c r="Q382" s="2">
        <f t="shared" si="40"/>
        <v>10.100000000000009</v>
      </c>
      <c r="R382" s="2">
        <v>1</v>
      </c>
      <c r="S382" s="2">
        <v>7</v>
      </c>
      <c r="T382" s="2">
        <f t="shared" si="41"/>
        <v>0.30000000000001137</v>
      </c>
    </row>
    <row r="383" spans="1:20">
      <c r="A383" s="6">
        <v>449</v>
      </c>
      <c r="B383" t="s">
        <v>55</v>
      </c>
      <c r="C383" t="s">
        <v>51</v>
      </c>
      <c r="D383">
        <v>21</v>
      </c>
      <c r="E383">
        <v>61</v>
      </c>
      <c r="F383" s="1">
        <f t="shared" si="35"/>
        <v>0.25609756097560976</v>
      </c>
      <c r="G383" s="2">
        <v>98.6</v>
      </c>
      <c r="H383" s="2">
        <v>106</v>
      </c>
      <c r="I383" s="2">
        <f t="shared" si="36"/>
        <v>-7.4000000000000057</v>
      </c>
      <c r="J383" s="1">
        <f t="shared" si="37"/>
        <v>0.26636391076495491</v>
      </c>
      <c r="K383" s="2">
        <v>102.4</v>
      </c>
      <c r="L383" s="2">
        <v>109.7</v>
      </c>
      <c r="M383" s="2">
        <f t="shared" si="38"/>
        <v>-7.2999999999999972</v>
      </c>
      <c r="N383" s="1">
        <f t="shared" si="39"/>
        <v>-1.0266349789345153E-2</v>
      </c>
      <c r="O383" s="2">
        <v>96.9</v>
      </c>
      <c r="P383" s="2">
        <v>104</v>
      </c>
      <c r="Q383" s="2">
        <f t="shared" si="40"/>
        <v>-7.0999999999999943</v>
      </c>
      <c r="R383" s="2">
        <v>-1.8</v>
      </c>
      <c r="S383" s="2">
        <v>-8</v>
      </c>
      <c r="T383" s="2">
        <f t="shared" si="41"/>
        <v>0.20000000000000284</v>
      </c>
    </row>
    <row r="384" spans="1:20">
      <c r="A384" s="6">
        <v>261</v>
      </c>
      <c r="B384" t="s">
        <v>45</v>
      </c>
      <c r="C384" t="s">
        <v>26</v>
      </c>
      <c r="D384">
        <v>54</v>
      </c>
      <c r="E384">
        <v>28</v>
      </c>
      <c r="F384" s="1">
        <f t="shared" si="35"/>
        <v>0.65853658536585369</v>
      </c>
      <c r="G384" s="2">
        <v>99.4</v>
      </c>
      <c r="H384" s="2">
        <v>94.1</v>
      </c>
      <c r="I384" s="2">
        <f t="shared" si="36"/>
        <v>5.3000000000000114</v>
      </c>
      <c r="J384" s="1">
        <f t="shared" si="37"/>
        <v>0.68289690002087911</v>
      </c>
      <c r="K384" s="2">
        <v>112.1</v>
      </c>
      <c r="L384" s="2">
        <v>106.1</v>
      </c>
      <c r="M384" s="2">
        <f t="shared" si="38"/>
        <v>6</v>
      </c>
      <c r="N384" s="1">
        <f t="shared" si="39"/>
        <v>-2.4360314655025417E-2</v>
      </c>
      <c r="O384" s="2">
        <v>104</v>
      </c>
      <c r="P384" s="2">
        <v>97.8</v>
      </c>
      <c r="Q384" s="2">
        <f t="shared" si="40"/>
        <v>6.2000000000000028</v>
      </c>
      <c r="R384" s="2">
        <v>2.5</v>
      </c>
      <c r="S384" s="2">
        <v>12.3</v>
      </c>
      <c r="T384" s="2">
        <f t="shared" si="41"/>
        <v>0.20000000000000284</v>
      </c>
    </row>
    <row r="385" spans="1:20">
      <c r="A385" s="6">
        <v>146</v>
      </c>
      <c r="B385" t="s">
        <v>39</v>
      </c>
      <c r="C385" t="s">
        <v>33</v>
      </c>
      <c r="D385">
        <v>45</v>
      </c>
      <c r="E385">
        <v>37</v>
      </c>
      <c r="F385" s="1">
        <f t="shared" si="35"/>
        <v>0.54878048780487809</v>
      </c>
      <c r="G385" s="2">
        <v>100.5</v>
      </c>
      <c r="H385" s="2">
        <v>100.8</v>
      </c>
      <c r="I385" s="2">
        <f t="shared" si="36"/>
        <v>-0.29999999999999716</v>
      </c>
      <c r="J385" s="1">
        <f t="shared" si="37"/>
        <v>0.48956931504516038</v>
      </c>
      <c r="K385" s="2">
        <v>105.4</v>
      </c>
      <c r="L385" s="2">
        <v>105.9</v>
      </c>
      <c r="M385" s="2">
        <f t="shared" si="38"/>
        <v>-0.5</v>
      </c>
      <c r="N385" s="1">
        <f t="shared" si="39"/>
        <v>5.9211172759717712E-2</v>
      </c>
      <c r="O385" s="2">
        <v>109.6</v>
      </c>
      <c r="P385" s="2">
        <v>109.9</v>
      </c>
      <c r="Q385" s="2">
        <f t="shared" si="40"/>
        <v>-0.30000000000001137</v>
      </c>
      <c r="R385" s="2">
        <v>-0.3</v>
      </c>
      <c r="S385" s="2">
        <v>-0.3</v>
      </c>
      <c r="T385" s="2">
        <f t="shared" si="41"/>
        <v>0.19999999999998863</v>
      </c>
    </row>
    <row r="386" spans="1:20">
      <c r="A386" s="6">
        <v>435</v>
      </c>
      <c r="B386" t="s">
        <v>54</v>
      </c>
      <c r="C386" t="s">
        <v>53</v>
      </c>
      <c r="D386">
        <v>45</v>
      </c>
      <c r="E386">
        <v>37</v>
      </c>
      <c r="F386" s="1">
        <f t="shared" si="35"/>
        <v>0.54878048780487809</v>
      </c>
      <c r="G386" s="2">
        <v>99.4</v>
      </c>
      <c r="H386" s="2">
        <v>98.6</v>
      </c>
      <c r="I386" s="2">
        <f t="shared" si="36"/>
        <v>0.80000000000001137</v>
      </c>
      <c r="J386" s="1">
        <f t="shared" si="37"/>
        <v>0.52825285498297569</v>
      </c>
      <c r="K386" s="2">
        <v>107.1</v>
      </c>
      <c r="L386" s="2">
        <v>106.3</v>
      </c>
      <c r="M386" s="2">
        <f t="shared" si="38"/>
        <v>0.79999999999999716</v>
      </c>
      <c r="N386" s="1">
        <f t="shared" si="39"/>
        <v>2.0527632821902397E-2</v>
      </c>
      <c r="O386" s="2">
        <v>106.2</v>
      </c>
      <c r="P386" s="2">
        <v>105.3</v>
      </c>
      <c r="Q386" s="2">
        <f t="shared" si="40"/>
        <v>0.90000000000000568</v>
      </c>
      <c r="R386" s="2">
        <v>-0.2</v>
      </c>
      <c r="S386" s="2">
        <v>0</v>
      </c>
      <c r="T386" s="2">
        <f t="shared" si="41"/>
        <v>0.10000000000000853</v>
      </c>
    </row>
    <row r="387" spans="1:20">
      <c r="A387" s="6">
        <v>260</v>
      </c>
      <c r="B387" t="s">
        <v>45</v>
      </c>
      <c r="C387" t="s">
        <v>25</v>
      </c>
      <c r="D387">
        <v>46</v>
      </c>
      <c r="E387">
        <v>36</v>
      </c>
      <c r="F387" s="1">
        <f t="shared" si="35"/>
        <v>0.56097560975609762</v>
      </c>
      <c r="G387" s="2">
        <v>109.4</v>
      </c>
      <c r="H387" s="2">
        <v>107.5</v>
      </c>
      <c r="I387" s="2">
        <f t="shared" si="36"/>
        <v>1.9000000000000057</v>
      </c>
      <c r="J387" s="1">
        <f t="shared" si="37"/>
        <v>0.56101455538977274</v>
      </c>
      <c r="K387" s="2">
        <v>112.4</v>
      </c>
      <c r="L387" s="2">
        <v>110.4</v>
      </c>
      <c r="M387" s="2">
        <f t="shared" si="38"/>
        <v>2</v>
      </c>
      <c r="N387" s="1">
        <f t="shared" si="39"/>
        <v>-3.8945633675124824E-5</v>
      </c>
      <c r="O387" s="2">
        <v>111.9</v>
      </c>
      <c r="P387" s="2">
        <v>109.8</v>
      </c>
      <c r="Q387" s="2">
        <f t="shared" si="40"/>
        <v>2.1000000000000085</v>
      </c>
      <c r="R387" s="2">
        <v>1.5</v>
      </c>
      <c r="S387" s="2">
        <v>7.8</v>
      </c>
      <c r="T387" s="2">
        <f t="shared" si="41"/>
        <v>0.10000000000000853</v>
      </c>
    </row>
    <row r="388" spans="1:20">
      <c r="A388" s="6">
        <v>214</v>
      </c>
      <c r="B388" t="s">
        <v>44</v>
      </c>
      <c r="C388" t="s">
        <v>12</v>
      </c>
      <c r="D388">
        <v>59</v>
      </c>
      <c r="E388">
        <v>23</v>
      </c>
      <c r="F388" s="1">
        <f t="shared" si="35"/>
        <v>0.71951219512195119</v>
      </c>
      <c r="G388" s="2">
        <v>97.5</v>
      </c>
      <c r="H388" s="2">
        <v>90.1</v>
      </c>
      <c r="I388" s="2">
        <f t="shared" si="36"/>
        <v>7.4000000000000057</v>
      </c>
      <c r="J388" s="1">
        <f t="shared" si="37"/>
        <v>0.75120531169841753</v>
      </c>
      <c r="K388" s="2">
        <v>109.8</v>
      </c>
      <c r="L388" s="2">
        <v>101.5</v>
      </c>
      <c r="M388" s="2">
        <f t="shared" si="38"/>
        <v>8.2999999999999972</v>
      </c>
      <c r="N388" s="1">
        <f t="shared" si="39"/>
        <v>-3.169311657646634E-2</v>
      </c>
      <c r="O388" s="2">
        <v>113.7</v>
      </c>
      <c r="P388" s="2">
        <v>105.3</v>
      </c>
      <c r="Q388" s="2">
        <f t="shared" si="40"/>
        <v>8.4000000000000057</v>
      </c>
      <c r="R388" s="2">
        <v>0.6</v>
      </c>
      <c r="S388" s="2">
        <v>4.7</v>
      </c>
      <c r="T388" s="2">
        <f t="shared" si="41"/>
        <v>0.10000000000000853</v>
      </c>
    </row>
    <row r="389" spans="1:20">
      <c r="A389" s="6">
        <v>190</v>
      </c>
      <c r="B389" t="s">
        <v>43</v>
      </c>
      <c r="C389" t="s">
        <v>35</v>
      </c>
      <c r="D389">
        <v>22</v>
      </c>
      <c r="E389">
        <v>60</v>
      </c>
      <c r="F389" s="1">
        <f t="shared" si="35"/>
        <v>0.26829268292682928</v>
      </c>
      <c r="G389" s="2">
        <v>101.6</v>
      </c>
      <c r="H389" s="2">
        <v>106.7</v>
      </c>
      <c r="I389" s="2">
        <f t="shared" si="36"/>
        <v>-5.1000000000000085</v>
      </c>
      <c r="J389" s="1">
        <f t="shared" si="37"/>
        <v>0.33499326878539809</v>
      </c>
      <c r="K389" s="2">
        <v>105.7</v>
      </c>
      <c r="L389" s="2">
        <v>110.9</v>
      </c>
      <c r="M389" s="2">
        <f t="shared" si="38"/>
        <v>-5.2000000000000028</v>
      </c>
      <c r="N389" s="1">
        <f t="shared" si="39"/>
        <v>-6.6700585858568806E-2</v>
      </c>
      <c r="O389" s="2">
        <v>102.4</v>
      </c>
      <c r="P389" s="2">
        <v>107.5</v>
      </c>
      <c r="Q389" s="2">
        <f t="shared" si="40"/>
        <v>-5.0999999999999943</v>
      </c>
      <c r="R389" s="2">
        <v>1.6</v>
      </c>
      <c r="S389" s="2">
        <v>8.1999999999999993</v>
      </c>
      <c r="T389" s="2">
        <f t="shared" si="41"/>
        <v>0.10000000000000853</v>
      </c>
    </row>
    <row r="390" spans="1:20">
      <c r="A390" s="6">
        <v>580</v>
      </c>
      <c r="B390" t="s">
        <v>60</v>
      </c>
      <c r="C390" t="s">
        <v>17</v>
      </c>
      <c r="D390">
        <v>52</v>
      </c>
      <c r="E390">
        <v>19</v>
      </c>
      <c r="F390" s="1">
        <f t="shared" si="35"/>
        <v>0.73239436619718312</v>
      </c>
      <c r="G390" s="2">
        <v>113.4</v>
      </c>
      <c r="H390" s="2">
        <v>107.6</v>
      </c>
      <c r="I390" s="2">
        <f t="shared" si="36"/>
        <v>5.8000000000000114</v>
      </c>
      <c r="J390" s="1">
        <f t="shared" si="37"/>
        <v>0.6759038081055907</v>
      </c>
      <c r="K390" s="2">
        <v>111.7</v>
      </c>
      <c r="L390" s="2">
        <v>106.1</v>
      </c>
      <c r="M390" s="2">
        <f t="shared" si="38"/>
        <v>5.6000000000000085</v>
      </c>
      <c r="N390" s="1">
        <f t="shared" si="39"/>
        <v>5.6490558091592424E-2</v>
      </c>
      <c r="O390" s="2">
        <v>107.4</v>
      </c>
      <c r="P390" s="2">
        <v>101.7</v>
      </c>
      <c r="Q390" s="2">
        <f t="shared" si="40"/>
        <v>5.7000000000000028</v>
      </c>
      <c r="R390" s="2">
        <v>1.7</v>
      </c>
      <c r="S390" s="2">
        <v>6.7</v>
      </c>
      <c r="T390" s="2">
        <f t="shared" si="41"/>
        <v>9.9999999999994316E-2</v>
      </c>
    </row>
    <row r="391" spans="1:20">
      <c r="A391" s="6">
        <v>562</v>
      </c>
      <c r="B391" t="s">
        <v>59</v>
      </c>
      <c r="C391" t="s">
        <v>27</v>
      </c>
      <c r="D391">
        <v>39</v>
      </c>
      <c r="E391">
        <v>43</v>
      </c>
      <c r="F391" s="1">
        <f t="shared" si="35"/>
        <v>0.47560975609756095</v>
      </c>
      <c r="G391" s="2">
        <v>114.2</v>
      </c>
      <c r="H391" s="2">
        <v>115.3</v>
      </c>
      <c r="I391" s="2">
        <f t="shared" si="36"/>
        <v>-1.0999999999999943</v>
      </c>
      <c r="J391" s="1">
        <f t="shared" si="37"/>
        <v>0.466498812781387</v>
      </c>
      <c r="K391" s="2">
        <v>109.6</v>
      </c>
      <c r="L391" s="2">
        <v>110.8</v>
      </c>
      <c r="M391" s="2">
        <f t="shared" si="38"/>
        <v>-1.2000000000000028</v>
      </c>
      <c r="N391" s="1">
        <f t="shared" si="39"/>
        <v>9.1109433161739584E-3</v>
      </c>
      <c r="O391" s="2">
        <v>106.1</v>
      </c>
      <c r="P391" s="2">
        <v>107.2</v>
      </c>
      <c r="Q391" s="2">
        <f t="shared" si="40"/>
        <v>-1.1000000000000085</v>
      </c>
      <c r="R391" s="2">
        <v>-0.2</v>
      </c>
      <c r="S391" s="2">
        <v>0</v>
      </c>
      <c r="T391" s="2">
        <f t="shared" si="41"/>
        <v>9.9999999999994316E-2</v>
      </c>
    </row>
    <row r="392" spans="1:20">
      <c r="A392" s="6">
        <v>429</v>
      </c>
      <c r="B392" t="s">
        <v>54</v>
      </c>
      <c r="C392" t="s">
        <v>16</v>
      </c>
      <c r="D392">
        <v>56</v>
      </c>
      <c r="E392">
        <v>26</v>
      </c>
      <c r="F392" s="1">
        <f t="shared" si="35"/>
        <v>0.68292682926829273</v>
      </c>
      <c r="G392" s="2">
        <v>106.7</v>
      </c>
      <c r="H392" s="2">
        <v>100.1</v>
      </c>
      <c r="I392" s="2">
        <f t="shared" si="36"/>
        <v>6.6000000000000085</v>
      </c>
      <c r="J392" s="1">
        <f t="shared" si="37"/>
        <v>0.70969858528213514</v>
      </c>
      <c r="K392" s="2">
        <v>111.6</v>
      </c>
      <c r="L392" s="2">
        <v>104.7</v>
      </c>
      <c r="M392" s="2">
        <f t="shared" si="38"/>
        <v>6.8999999999999915</v>
      </c>
      <c r="N392" s="1">
        <f t="shared" si="39"/>
        <v>-2.6771756013842407E-2</v>
      </c>
      <c r="O392" s="2">
        <v>97.9</v>
      </c>
      <c r="P392" s="2">
        <v>91</v>
      </c>
      <c r="Q392" s="2">
        <f t="shared" si="40"/>
        <v>6.9000000000000057</v>
      </c>
      <c r="R392" s="2">
        <v>1.1000000000000001</v>
      </c>
      <c r="S392" s="2">
        <v>6</v>
      </c>
      <c r="T392" s="2">
        <f t="shared" si="41"/>
        <v>1.4210854715202004E-14</v>
      </c>
    </row>
    <row r="393" spans="1:20">
      <c r="A393" s="6">
        <v>541</v>
      </c>
      <c r="B393" t="s">
        <v>59</v>
      </c>
      <c r="C393" t="s">
        <v>8</v>
      </c>
      <c r="D393">
        <v>22</v>
      </c>
      <c r="E393">
        <v>60</v>
      </c>
      <c r="F393" s="1">
        <f t="shared" ref="F393:F456" si="42">+D393/(D393+E393)</f>
        <v>0.26829268292682928</v>
      </c>
      <c r="G393" s="2">
        <v>104.9</v>
      </c>
      <c r="H393" s="2">
        <v>113.4</v>
      </c>
      <c r="I393" s="2">
        <f t="shared" ref="I393:I456" si="43">+G393-H393</f>
        <v>-8.5</v>
      </c>
      <c r="J393" s="1">
        <f t="shared" ref="J393:J456" si="44">+(G393^14)/((G393^14+H393^14))</f>
        <v>0.25146874309736672</v>
      </c>
      <c r="K393" s="2">
        <v>104.5</v>
      </c>
      <c r="L393" s="2">
        <v>112.8</v>
      </c>
      <c r="M393" s="2">
        <f t="shared" ref="M393:M456" si="45">+K393-L393</f>
        <v>-8.2999999999999972</v>
      </c>
      <c r="N393" s="1">
        <f t="shared" ref="N393:N456" si="46">+F393-J393</f>
        <v>1.6823939829462564E-2</v>
      </c>
      <c r="O393" s="2">
        <v>98.8</v>
      </c>
      <c r="P393" s="2">
        <v>107.1</v>
      </c>
      <c r="Q393" s="2">
        <f t="shared" ref="Q393:Q456" si="47">+O393-P393</f>
        <v>-8.2999999999999972</v>
      </c>
      <c r="R393" s="2">
        <v>-1</v>
      </c>
      <c r="S393" s="2">
        <v>-5.6</v>
      </c>
      <c r="T393" s="2">
        <f t="shared" ref="T393:T456" si="48">+Q393-M393</f>
        <v>0</v>
      </c>
    </row>
    <row r="394" spans="1:20">
      <c r="A394" s="6">
        <v>132</v>
      </c>
      <c r="B394" t="s">
        <v>39</v>
      </c>
      <c r="C394" t="s">
        <v>19</v>
      </c>
      <c r="D394">
        <v>30</v>
      </c>
      <c r="E394">
        <v>52</v>
      </c>
      <c r="F394" s="1">
        <f t="shared" si="42"/>
        <v>0.36585365853658536</v>
      </c>
      <c r="G394" s="2">
        <v>97.2</v>
      </c>
      <c r="H394" s="2">
        <v>100.2</v>
      </c>
      <c r="I394" s="2">
        <f t="shared" si="43"/>
        <v>-3</v>
      </c>
      <c r="J394" s="1">
        <f t="shared" si="44"/>
        <v>0.3951859407291477</v>
      </c>
      <c r="K394" s="2">
        <v>105.1</v>
      </c>
      <c r="L394" s="2">
        <v>108.1</v>
      </c>
      <c r="M394" s="2">
        <f t="shared" si="45"/>
        <v>-3</v>
      </c>
      <c r="N394" s="1">
        <f t="shared" si="46"/>
        <v>-2.9332282192562342E-2</v>
      </c>
      <c r="O394" s="2">
        <v>105.2</v>
      </c>
      <c r="P394" s="2">
        <v>108.2</v>
      </c>
      <c r="Q394" s="2">
        <f t="shared" si="47"/>
        <v>-3</v>
      </c>
      <c r="R394" s="2">
        <v>-1.3</v>
      </c>
      <c r="S394" s="2">
        <v>-6.2</v>
      </c>
      <c r="T394" s="2">
        <f t="shared" si="48"/>
        <v>0</v>
      </c>
    </row>
    <row r="395" spans="1:20">
      <c r="A395" s="6">
        <v>153</v>
      </c>
      <c r="B395" t="s">
        <v>41</v>
      </c>
      <c r="C395" t="s">
        <v>11</v>
      </c>
      <c r="D395">
        <v>44</v>
      </c>
      <c r="E395">
        <v>38</v>
      </c>
      <c r="F395" s="1">
        <f t="shared" si="42"/>
        <v>0.53658536585365857</v>
      </c>
      <c r="G395" s="2">
        <v>100.3</v>
      </c>
      <c r="H395" s="2">
        <v>100.1</v>
      </c>
      <c r="I395" s="2">
        <f t="shared" si="43"/>
        <v>0.20000000000000284</v>
      </c>
      <c r="J395" s="1">
        <f t="shared" si="44"/>
        <v>0.50698557569827274</v>
      </c>
      <c r="K395" s="2">
        <v>104.4</v>
      </c>
      <c r="L395" s="2">
        <v>104.1</v>
      </c>
      <c r="M395" s="2">
        <f t="shared" si="45"/>
        <v>0.30000000000001137</v>
      </c>
      <c r="N395" s="1">
        <f t="shared" si="46"/>
        <v>2.959979015538583E-2</v>
      </c>
      <c r="O395" s="2">
        <v>102.1</v>
      </c>
      <c r="P395" s="2">
        <v>101.8</v>
      </c>
      <c r="Q395" s="2">
        <f t="shared" si="47"/>
        <v>0.29999999999999716</v>
      </c>
      <c r="R395" s="2">
        <v>0.1</v>
      </c>
      <c r="S395" s="2">
        <v>-0.3</v>
      </c>
      <c r="T395" s="2">
        <f t="shared" si="48"/>
        <v>-1.4210854715202004E-14</v>
      </c>
    </row>
    <row r="396" spans="1:20">
      <c r="A396" s="6">
        <v>464</v>
      </c>
      <c r="B396" t="s">
        <v>55</v>
      </c>
      <c r="C396" t="s">
        <v>20</v>
      </c>
      <c r="D396">
        <v>29</v>
      </c>
      <c r="E396">
        <v>53</v>
      </c>
      <c r="F396" s="1">
        <f t="shared" si="42"/>
        <v>0.35365853658536583</v>
      </c>
      <c r="G396" s="2">
        <v>102.4</v>
      </c>
      <c r="H396" s="2">
        <v>106</v>
      </c>
      <c r="I396" s="2">
        <f t="shared" si="43"/>
        <v>-3.5999999999999943</v>
      </c>
      <c r="J396" s="1">
        <f t="shared" si="44"/>
        <v>0.38137093948309719</v>
      </c>
      <c r="K396" s="2">
        <v>105.4</v>
      </c>
      <c r="L396" s="2">
        <v>109</v>
      </c>
      <c r="M396" s="2">
        <f t="shared" si="45"/>
        <v>-3.5999999999999943</v>
      </c>
      <c r="N396" s="1">
        <f t="shared" si="46"/>
        <v>-2.7712402897731359E-2</v>
      </c>
      <c r="O396" s="2">
        <v>98.6</v>
      </c>
      <c r="P396" s="2">
        <v>102.2</v>
      </c>
      <c r="Q396" s="2">
        <f t="shared" si="47"/>
        <v>-3.6000000000000085</v>
      </c>
      <c r="R396" s="2">
        <v>0.1</v>
      </c>
      <c r="S396" s="2">
        <v>1.4</v>
      </c>
      <c r="T396" s="2">
        <f t="shared" si="48"/>
        <v>-1.4210854715202004E-14</v>
      </c>
    </row>
    <row r="397" spans="1:20">
      <c r="A397" s="6">
        <v>764</v>
      </c>
      <c r="B397" t="s">
        <v>66</v>
      </c>
      <c r="C397" t="s">
        <v>20</v>
      </c>
      <c r="D397">
        <v>40</v>
      </c>
      <c r="E397">
        <v>24</v>
      </c>
      <c r="F397" s="1">
        <f t="shared" si="42"/>
        <v>0.625</v>
      </c>
      <c r="G397" s="2">
        <v>118.6</v>
      </c>
      <c r="H397" s="2">
        <v>114.5</v>
      </c>
      <c r="I397" s="2">
        <f t="shared" si="43"/>
        <v>4.0999999999999943</v>
      </c>
      <c r="J397" s="1">
        <f t="shared" si="44"/>
        <v>0.62070538318450608</v>
      </c>
      <c r="K397" s="2">
        <v>116.1</v>
      </c>
      <c r="L397" s="2">
        <v>112.2</v>
      </c>
      <c r="M397" s="2">
        <f t="shared" si="45"/>
        <v>3.8999999999999915</v>
      </c>
      <c r="N397" s="1">
        <f t="shared" si="46"/>
        <v>4.2946168154939235E-3</v>
      </c>
      <c r="O397" s="2">
        <v>117.2</v>
      </c>
      <c r="P397" s="2">
        <v>113.4</v>
      </c>
      <c r="Q397" s="2">
        <f t="shared" si="47"/>
        <v>3.7999999999999972</v>
      </c>
      <c r="R397" s="2">
        <v>1.6</v>
      </c>
      <c r="S397" s="2">
        <v>8.1999999999999993</v>
      </c>
      <c r="T397" s="2">
        <f t="shared" si="48"/>
        <v>-9.9999999999994316E-2</v>
      </c>
    </row>
    <row r="398" spans="1:20">
      <c r="A398" s="6">
        <v>254</v>
      </c>
      <c r="B398" t="s">
        <v>45</v>
      </c>
      <c r="C398" t="s">
        <v>21</v>
      </c>
      <c r="D398">
        <v>34</v>
      </c>
      <c r="E398">
        <v>48</v>
      </c>
      <c r="F398" s="1">
        <f t="shared" si="42"/>
        <v>0.41463414634146339</v>
      </c>
      <c r="G398" s="2">
        <v>98.1</v>
      </c>
      <c r="H398" s="2">
        <v>100.5</v>
      </c>
      <c r="I398" s="2">
        <f t="shared" si="43"/>
        <v>-2.4000000000000057</v>
      </c>
      <c r="J398" s="1">
        <f t="shared" si="44"/>
        <v>0.41620182026051067</v>
      </c>
      <c r="K398" s="2">
        <v>106.8</v>
      </c>
      <c r="L398" s="2">
        <v>109.5</v>
      </c>
      <c r="M398" s="2">
        <f t="shared" si="45"/>
        <v>-2.7000000000000028</v>
      </c>
      <c r="N398" s="1">
        <f t="shared" si="46"/>
        <v>-1.5676739190472744E-3</v>
      </c>
      <c r="O398" s="2">
        <v>105.3</v>
      </c>
      <c r="P398" s="2">
        <v>108.1</v>
      </c>
      <c r="Q398" s="2">
        <f t="shared" si="47"/>
        <v>-2.7999999999999972</v>
      </c>
      <c r="R398" s="2">
        <v>1.1000000000000001</v>
      </c>
      <c r="S398" s="2">
        <v>2.8</v>
      </c>
      <c r="T398" s="2">
        <f t="shared" si="48"/>
        <v>-9.9999999999994316E-2</v>
      </c>
    </row>
    <row r="399" spans="1:20">
      <c r="A399" s="6">
        <v>226</v>
      </c>
      <c r="B399" t="s">
        <v>44</v>
      </c>
      <c r="C399" t="s">
        <v>22</v>
      </c>
      <c r="D399">
        <v>23</v>
      </c>
      <c r="E399">
        <v>59</v>
      </c>
      <c r="F399" s="1">
        <f t="shared" si="42"/>
        <v>0.28048780487804881</v>
      </c>
      <c r="G399" s="2">
        <v>96.9</v>
      </c>
      <c r="H399" s="2">
        <v>103.5</v>
      </c>
      <c r="I399" s="2">
        <f t="shared" si="43"/>
        <v>-6.5999999999999943</v>
      </c>
      <c r="J399" s="1">
        <f t="shared" si="44"/>
        <v>0.28445095118347524</v>
      </c>
      <c r="K399" s="2">
        <v>103.5</v>
      </c>
      <c r="L399" s="2">
        <v>110.4</v>
      </c>
      <c r="M399" s="2">
        <f t="shared" si="45"/>
        <v>-6.9000000000000057</v>
      </c>
      <c r="N399" s="1">
        <f t="shared" si="46"/>
        <v>-3.9631463054264349E-3</v>
      </c>
      <c r="O399" s="2">
        <v>89.9</v>
      </c>
      <c r="P399" s="2">
        <v>96.9</v>
      </c>
      <c r="Q399" s="2">
        <f t="shared" si="47"/>
        <v>-7</v>
      </c>
      <c r="R399" s="2">
        <v>-1.4</v>
      </c>
      <c r="S399" s="2">
        <v>-7.5</v>
      </c>
      <c r="T399" s="2">
        <f t="shared" si="48"/>
        <v>-9.9999999999994316E-2</v>
      </c>
    </row>
    <row r="400" spans="1:20">
      <c r="A400" s="6">
        <v>213</v>
      </c>
      <c r="B400" t="s">
        <v>44</v>
      </c>
      <c r="C400" t="s">
        <v>11</v>
      </c>
      <c r="D400">
        <v>50</v>
      </c>
      <c r="E400">
        <v>32</v>
      </c>
      <c r="F400" s="1">
        <f t="shared" si="42"/>
        <v>0.6097560975609756</v>
      </c>
      <c r="G400" s="2">
        <v>110.7</v>
      </c>
      <c r="H400" s="2">
        <v>107</v>
      </c>
      <c r="I400" s="2">
        <f t="shared" si="43"/>
        <v>3.7000000000000028</v>
      </c>
      <c r="J400" s="1">
        <f t="shared" si="44"/>
        <v>0.61678636144729848</v>
      </c>
      <c r="K400" s="2">
        <v>108.9</v>
      </c>
      <c r="L400" s="2">
        <v>105.5</v>
      </c>
      <c r="M400" s="2">
        <f t="shared" si="45"/>
        <v>3.4000000000000057</v>
      </c>
      <c r="N400" s="1">
        <f t="shared" si="46"/>
        <v>-7.030263886322885E-3</v>
      </c>
      <c r="O400" s="2">
        <v>100.3</v>
      </c>
      <c r="P400" s="2">
        <v>97</v>
      </c>
      <c r="Q400" s="2">
        <f t="shared" si="47"/>
        <v>3.2999999999999972</v>
      </c>
      <c r="R400" s="2">
        <v>0.8</v>
      </c>
      <c r="S400" s="2">
        <v>3.1</v>
      </c>
      <c r="T400" s="2">
        <f t="shared" si="48"/>
        <v>-0.10000000000000853</v>
      </c>
    </row>
    <row r="401" spans="1:20">
      <c r="A401" s="6">
        <v>87</v>
      </c>
      <c r="B401" t="s">
        <v>36</v>
      </c>
      <c r="C401" t="s">
        <v>33</v>
      </c>
      <c r="D401">
        <v>37</v>
      </c>
      <c r="E401">
        <v>45</v>
      </c>
      <c r="F401" s="1">
        <f t="shared" si="42"/>
        <v>0.45121951219512196</v>
      </c>
      <c r="G401" s="2">
        <v>91.5</v>
      </c>
      <c r="H401" s="2">
        <v>92.5</v>
      </c>
      <c r="I401" s="2">
        <f t="shared" si="43"/>
        <v>-1</v>
      </c>
      <c r="J401" s="1">
        <f t="shared" si="44"/>
        <v>0.4620293938086929</v>
      </c>
      <c r="K401" s="2">
        <v>101.5</v>
      </c>
      <c r="L401" s="2">
        <v>102.6</v>
      </c>
      <c r="M401" s="2">
        <f t="shared" si="45"/>
        <v>-1.0999999999999943</v>
      </c>
      <c r="N401" s="1">
        <f t="shared" si="46"/>
        <v>-1.0809881613570937E-2</v>
      </c>
      <c r="O401" s="2">
        <v>103.1</v>
      </c>
      <c r="P401" s="2">
        <v>104.3</v>
      </c>
      <c r="Q401" s="2">
        <f t="shared" si="47"/>
        <v>-1.2000000000000028</v>
      </c>
      <c r="R401" s="2">
        <v>-0.3</v>
      </c>
      <c r="S401" s="2">
        <v>0.5</v>
      </c>
      <c r="T401" s="2">
        <f t="shared" si="48"/>
        <v>-0.10000000000000853</v>
      </c>
    </row>
    <row r="402" spans="1:20">
      <c r="A402" s="6">
        <v>714</v>
      </c>
      <c r="B402" t="s">
        <v>64</v>
      </c>
      <c r="C402" t="s">
        <v>30</v>
      </c>
      <c r="D402">
        <v>25</v>
      </c>
      <c r="E402">
        <v>57</v>
      </c>
      <c r="F402" s="1">
        <f t="shared" si="42"/>
        <v>0.3048780487804878</v>
      </c>
      <c r="G402" s="2">
        <v>112.4</v>
      </c>
      <c r="H402" s="2">
        <v>118.8</v>
      </c>
      <c r="I402" s="2">
        <f t="shared" si="43"/>
        <v>-6.3999999999999915</v>
      </c>
      <c r="J402" s="1">
        <f t="shared" si="44"/>
        <v>0.3153370573458385</v>
      </c>
      <c r="K402" s="2">
        <v>111.8</v>
      </c>
      <c r="L402" s="2">
        <v>118.1</v>
      </c>
      <c r="M402" s="2">
        <f t="shared" si="45"/>
        <v>-6.2999999999999972</v>
      </c>
      <c r="N402" s="1">
        <f t="shared" si="46"/>
        <v>-1.0459008565350703E-2</v>
      </c>
      <c r="O402" s="2">
        <v>109</v>
      </c>
      <c r="P402" s="2">
        <v>115.5</v>
      </c>
      <c r="Q402" s="2">
        <f t="shared" si="47"/>
        <v>-6.5</v>
      </c>
      <c r="R402" s="2">
        <v>-1</v>
      </c>
      <c r="S402" s="2">
        <v>-3.8</v>
      </c>
      <c r="T402" s="2">
        <f t="shared" si="48"/>
        <v>-0.20000000000000284</v>
      </c>
    </row>
    <row r="403" spans="1:20">
      <c r="A403" s="6">
        <v>712</v>
      </c>
      <c r="B403" t="s">
        <v>64</v>
      </c>
      <c r="C403" t="s">
        <v>27</v>
      </c>
      <c r="D403">
        <v>46</v>
      </c>
      <c r="E403">
        <v>36</v>
      </c>
      <c r="F403" s="1">
        <f t="shared" si="42"/>
        <v>0.56097560975609762</v>
      </c>
      <c r="G403" s="2">
        <v>116.6</v>
      </c>
      <c r="H403" s="2">
        <v>114.8</v>
      </c>
      <c r="I403" s="2">
        <f t="shared" si="43"/>
        <v>1.7999999999999972</v>
      </c>
      <c r="J403" s="1">
        <f t="shared" si="44"/>
        <v>0.55423800996909134</v>
      </c>
      <c r="K403" s="2">
        <v>116.2</v>
      </c>
      <c r="L403" s="2">
        <v>114.4</v>
      </c>
      <c r="M403" s="2">
        <f t="shared" si="45"/>
        <v>1.7999999999999972</v>
      </c>
      <c r="N403" s="1">
        <f t="shared" si="46"/>
        <v>6.7375997870062765E-3</v>
      </c>
      <c r="O403" s="2">
        <v>105.6</v>
      </c>
      <c r="P403" s="2">
        <v>104.1</v>
      </c>
      <c r="Q403" s="2">
        <f t="shared" si="47"/>
        <v>1.5</v>
      </c>
      <c r="R403" s="2">
        <v>-0.8</v>
      </c>
      <c r="S403" s="2">
        <v>-2.9</v>
      </c>
      <c r="T403" s="2">
        <f t="shared" si="48"/>
        <v>-0.29999999999999716</v>
      </c>
    </row>
    <row r="404" spans="1:20">
      <c r="A404" s="6">
        <v>560</v>
      </c>
      <c r="B404" t="s">
        <v>59</v>
      </c>
      <c r="C404" t="s">
        <v>25</v>
      </c>
      <c r="D404">
        <v>19</v>
      </c>
      <c r="E404">
        <v>63</v>
      </c>
      <c r="F404" s="1">
        <f t="shared" si="42"/>
        <v>0.23170731707317074</v>
      </c>
      <c r="G404" s="2">
        <v>107.5</v>
      </c>
      <c r="H404" s="2">
        <v>116.8</v>
      </c>
      <c r="I404" s="2">
        <f t="shared" si="43"/>
        <v>-9.2999999999999972</v>
      </c>
      <c r="J404" s="1">
        <f t="shared" si="44"/>
        <v>0.2383746596037172</v>
      </c>
      <c r="K404" s="2">
        <v>105.3</v>
      </c>
      <c r="L404" s="2">
        <v>114.2</v>
      </c>
      <c r="M404" s="2">
        <f t="shared" si="45"/>
        <v>-8.9000000000000057</v>
      </c>
      <c r="N404" s="1">
        <f t="shared" si="46"/>
        <v>-6.6673425305464606E-3</v>
      </c>
      <c r="O404" s="2">
        <v>107.7</v>
      </c>
      <c r="P404" s="2">
        <v>116.9</v>
      </c>
      <c r="Q404" s="2">
        <f t="shared" si="47"/>
        <v>-9.2000000000000028</v>
      </c>
      <c r="R404" s="2">
        <v>-2.1</v>
      </c>
      <c r="S404" s="2">
        <v>-8.1</v>
      </c>
      <c r="T404" s="2">
        <f t="shared" si="48"/>
        <v>-0.29999999999999716</v>
      </c>
    </row>
    <row r="405" spans="1:20">
      <c r="A405" s="6">
        <v>288</v>
      </c>
      <c r="B405" t="s">
        <v>47</v>
      </c>
      <c r="C405" t="s">
        <v>23</v>
      </c>
      <c r="D405">
        <v>59</v>
      </c>
      <c r="E405">
        <v>23</v>
      </c>
      <c r="F405" s="1">
        <f t="shared" si="42"/>
        <v>0.71951219512195119</v>
      </c>
      <c r="G405" s="2">
        <v>102.8</v>
      </c>
      <c r="H405" s="2">
        <v>95.3</v>
      </c>
      <c r="I405" s="2">
        <f t="shared" si="43"/>
        <v>7.5</v>
      </c>
      <c r="J405" s="1">
        <f t="shared" si="44"/>
        <v>0.74280090861208392</v>
      </c>
      <c r="K405" s="2">
        <v>110.7</v>
      </c>
      <c r="L405" s="2">
        <v>102.8</v>
      </c>
      <c r="M405" s="2">
        <f t="shared" si="45"/>
        <v>7.9000000000000057</v>
      </c>
      <c r="N405" s="1">
        <f t="shared" si="46"/>
        <v>-2.3288713490132729E-2</v>
      </c>
      <c r="O405" s="2">
        <v>107.6</v>
      </c>
      <c r="P405" s="2">
        <v>100</v>
      </c>
      <c r="Q405" s="2">
        <f t="shared" si="47"/>
        <v>7.5999999999999943</v>
      </c>
      <c r="R405" s="2">
        <v>1.3</v>
      </c>
      <c r="S405" s="2">
        <v>7.7</v>
      </c>
      <c r="T405" s="2">
        <f t="shared" si="48"/>
        <v>-0.30000000000001137</v>
      </c>
    </row>
    <row r="406" spans="1:20">
      <c r="A406" s="6">
        <v>771</v>
      </c>
      <c r="B406" t="s">
        <v>66</v>
      </c>
      <c r="C406" t="s">
        <v>26</v>
      </c>
      <c r="D406">
        <v>30</v>
      </c>
      <c r="E406">
        <v>34</v>
      </c>
      <c r="F406" s="1">
        <f t="shared" si="42"/>
        <v>0.46875</v>
      </c>
      <c r="G406" s="2">
        <v>115.1</v>
      </c>
      <c r="H406" s="2">
        <v>118.1</v>
      </c>
      <c r="I406" s="2">
        <f t="shared" si="43"/>
        <v>-3</v>
      </c>
      <c r="J406" s="1">
        <f t="shared" si="44"/>
        <v>0.41090493030680209</v>
      </c>
      <c r="K406" s="2">
        <v>112.4</v>
      </c>
      <c r="L406" s="2">
        <v>115.5</v>
      </c>
      <c r="M406" s="2">
        <f t="shared" si="45"/>
        <v>-3.0999999999999943</v>
      </c>
      <c r="N406" s="1">
        <f t="shared" si="46"/>
        <v>5.7845069693197915E-2</v>
      </c>
      <c r="O406" s="2">
        <v>116.5</v>
      </c>
      <c r="P406" s="2">
        <v>120</v>
      </c>
      <c r="Q406" s="2">
        <f t="shared" si="47"/>
        <v>-3.5</v>
      </c>
      <c r="R406" s="2">
        <v>-1.2</v>
      </c>
      <c r="S406" s="2">
        <v>-5.9</v>
      </c>
      <c r="T406" s="2">
        <f t="shared" si="48"/>
        <v>-0.40000000000000568</v>
      </c>
    </row>
    <row r="407" spans="1:20">
      <c r="A407" s="6">
        <v>177</v>
      </c>
      <c r="B407" t="s">
        <v>43</v>
      </c>
      <c r="C407" t="s">
        <v>5</v>
      </c>
      <c r="D407">
        <v>30</v>
      </c>
      <c r="E407">
        <v>52</v>
      </c>
      <c r="F407" s="1">
        <f t="shared" si="42"/>
        <v>0.36585365853658536</v>
      </c>
      <c r="G407" s="2">
        <v>93.7</v>
      </c>
      <c r="H407" s="2">
        <v>98.4</v>
      </c>
      <c r="I407" s="2">
        <f t="shared" si="43"/>
        <v>-4.7000000000000028</v>
      </c>
      <c r="J407" s="1">
        <f t="shared" si="44"/>
        <v>0.33510246231607854</v>
      </c>
      <c r="K407" s="2">
        <v>102</v>
      </c>
      <c r="L407" s="2">
        <v>107</v>
      </c>
      <c r="M407" s="2">
        <f t="shared" si="45"/>
        <v>-5</v>
      </c>
      <c r="N407" s="1">
        <f t="shared" si="46"/>
        <v>3.0751196220506816E-2</v>
      </c>
      <c r="O407" s="2">
        <v>95.5</v>
      </c>
      <c r="P407" s="2">
        <v>100.9</v>
      </c>
      <c r="Q407" s="2">
        <f t="shared" si="47"/>
        <v>-5.4000000000000057</v>
      </c>
      <c r="R407" s="2">
        <v>-0.5</v>
      </c>
      <c r="S407" s="2">
        <v>-1.1000000000000001</v>
      </c>
      <c r="T407" s="2">
        <f t="shared" si="48"/>
        <v>-0.40000000000000568</v>
      </c>
    </row>
    <row r="408" spans="1:20">
      <c r="A408" s="6">
        <v>674</v>
      </c>
      <c r="B408" t="s">
        <v>63</v>
      </c>
      <c r="C408" t="s">
        <v>20</v>
      </c>
      <c r="D408">
        <v>42</v>
      </c>
      <c r="E408">
        <v>40</v>
      </c>
      <c r="F408" s="1">
        <f t="shared" si="42"/>
        <v>0.51219512195121952</v>
      </c>
      <c r="G408" s="2">
        <v>115.8</v>
      </c>
      <c r="H408" s="2">
        <v>115.8</v>
      </c>
      <c r="I408" s="2">
        <f t="shared" si="43"/>
        <v>0</v>
      </c>
      <c r="J408" s="1">
        <f t="shared" si="44"/>
        <v>0.5</v>
      </c>
      <c r="K408" s="2">
        <v>113.3</v>
      </c>
      <c r="L408" s="2">
        <v>113.1</v>
      </c>
      <c r="M408" s="2">
        <f t="shared" si="45"/>
        <v>0.20000000000000284</v>
      </c>
      <c r="N408" s="1">
        <f t="shared" si="46"/>
        <v>1.2195121951219523E-2</v>
      </c>
      <c r="O408" s="2">
        <v>100.3</v>
      </c>
      <c r="P408" s="2">
        <v>100.5</v>
      </c>
      <c r="Q408" s="2">
        <f t="shared" si="47"/>
        <v>-0.20000000000000284</v>
      </c>
      <c r="R408" s="2">
        <v>-0.2</v>
      </c>
      <c r="S408" s="2">
        <v>-2.2000000000000002</v>
      </c>
      <c r="T408" s="2">
        <f t="shared" si="48"/>
        <v>-0.40000000000000568</v>
      </c>
    </row>
    <row r="409" spans="1:20">
      <c r="A409" s="6">
        <v>507</v>
      </c>
      <c r="B409" t="s">
        <v>58</v>
      </c>
      <c r="C409" t="s">
        <v>5</v>
      </c>
      <c r="D409">
        <v>24</v>
      </c>
      <c r="E409">
        <v>58</v>
      </c>
      <c r="F409" s="1">
        <f t="shared" si="42"/>
        <v>0.29268292682926828</v>
      </c>
      <c r="G409" s="2">
        <v>103.4</v>
      </c>
      <c r="H409" s="2">
        <v>108.8</v>
      </c>
      <c r="I409" s="2">
        <f t="shared" si="43"/>
        <v>-5.3999999999999915</v>
      </c>
      <c r="J409" s="1">
        <f t="shared" si="44"/>
        <v>0.32900489498317276</v>
      </c>
      <c r="K409" s="2">
        <v>104.4</v>
      </c>
      <c r="L409" s="2">
        <v>110.1</v>
      </c>
      <c r="M409" s="2">
        <f t="shared" si="45"/>
        <v>-5.6999999999999886</v>
      </c>
      <c r="N409" s="1">
        <f t="shared" si="46"/>
        <v>-3.6321968153904483E-2</v>
      </c>
      <c r="O409" s="2">
        <v>105.4</v>
      </c>
      <c r="P409" s="2">
        <v>111.5</v>
      </c>
      <c r="Q409" s="2">
        <f t="shared" si="47"/>
        <v>-6.0999999999999943</v>
      </c>
      <c r="R409" s="2">
        <v>0.4</v>
      </c>
      <c r="S409" s="2">
        <v>0.2</v>
      </c>
      <c r="T409" s="2">
        <f t="shared" si="48"/>
        <v>-0.40000000000000568</v>
      </c>
    </row>
    <row r="410" spans="1:20">
      <c r="A410" s="6">
        <v>649</v>
      </c>
      <c r="B410" t="s">
        <v>62</v>
      </c>
      <c r="C410" t="s">
        <v>24</v>
      </c>
      <c r="D410">
        <v>51</v>
      </c>
      <c r="E410">
        <v>31</v>
      </c>
      <c r="F410" s="1">
        <f t="shared" si="42"/>
        <v>0.62195121951219512</v>
      </c>
      <c r="G410" s="2">
        <v>109.9</v>
      </c>
      <c r="H410" s="2">
        <v>107.3</v>
      </c>
      <c r="I410" s="2">
        <f t="shared" si="43"/>
        <v>2.6000000000000085</v>
      </c>
      <c r="J410" s="1">
        <f t="shared" si="44"/>
        <v>0.58302187989199494</v>
      </c>
      <c r="K410" s="2">
        <v>113</v>
      </c>
      <c r="L410" s="2">
        <v>110.2</v>
      </c>
      <c r="M410" s="2">
        <f t="shared" si="45"/>
        <v>2.7999999999999972</v>
      </c>
      <c r="N410" s="1">
        <f t="shared" si="46"/>
        <v>3.8929339620200176E-2</v>
      </c>
      <c r="O410" s="2">
        <v>105.9</v>
      </c>
      <c r="P410" s="2">
        <v>103.6</v>
      </c>
      <c r="Q410" s="2">
        <f t="shared" si="47"/>
        <v>2.3000000000000114</v>
      </c>
      <c r="R410" s="2">
        <v>0.5</v>
      </c>
      <c r="S410" s="2">
        <v>2.2000000000000002</v>
      </c>
      <c r="T410" s="2">
        <f t="shared" si="48"/>
        <v>-0.49999999999998579</v>
      </c>
    </row>
    <row r="411" spans="1:20">
      <c r="A411" s="6">
        <v>304</v>
      </c>
      <c r="B411" t="s">
        <v>48</v>
      </c>
      <c r="C411" t="s">
        <v>12</v>
      </c>
      <c r="D411">
        <v>30</v>
      </c>
      <c r="E411">
        <v>52</v>
      </c>
      <c r="F411" s="1">
        <f t="shared" si="42"/>
        <v>0.36585365853658536</v>
      </c>
      <c r="G411" s="2">
        <v>97</v>
      </c>
      <c r="H411" s="2">
        <v>100.6</v>
      </c>
      <c r="I411" s="2">
        <f t="shared" si="43"/>
        <v>-3.5999999999999943</v>
      </c>
      <c r="J411" s="1">
        <f t="shared" si="44"/>
        <v>0.37515182060576369</v>
      </c>
      <c r="K411" s="2">
        <v>107</v>
      </c>
      <c r="L411" s="2">
        <v>110.7</v>
      </c>
      <c r="M411" s="2">
        <f t="shared" si="45"/>
        <v>-3.7000000000000028</v>
      </c>
      <c r="N411" s="1">
        <f t="shared" si="46"/>
        <v>-9.2981620691783284E-3</v>
      </c>
      <c r="O411" s="2">
        <v>99.4</v>
      </c>
      <c r="P411" s="2">
        <v>103.6</v>
      </c>
      <c r="Q411" s="2">
        <f t="shared" si="47"/>
        <v>-4.1999999999999886</v>
      </c>
      <c r="R411" s="2">
        <v>-1.1000000000000001</v>
      </c>
      <c r="S411" s="2">
        <v>-6.7</v>
      </c>
      <c r="T411" s="2">
        <f t="shared" si="48"/>
        <v>-0.49999999999998579</v>
      </c>
    </row>
    <row r="412" spans="1:20">
      <c r="A412" s="6">
        <v>363</v>
      </c>
      <c r="B412" t="s">
        <v>50</v>
      </c>
      <c r="C412" t="s">
        <v>10</v>
      </c>
      <c r="D412">
        <v>41</v>
      </c>
      <c r="E412">
        <v>41</v>
      </c>
      <c r="F412" s="1">
        <f t="shared" si="42"/>
        <v>0.5</v>
      </c>
      <c r="G412" s="2">
        <v>101.1</v>
      </c>
      <c r="H412" s="2">
        <v>101.7</v>
      </c>
      <c r="I412" s="2">
        <f t="shared" si="43"/>
        <v>-0.60000000000000853</v>
      </c>
      <c r="J412" s="1">
        <f t="shared" si="44"/>
        <v>0.47930171595662069</v>
      </c>
      <c r="K412" s="2">
        <v>104.7</v>
      </c>
      <c r="L412" s="2">
        <v>105.4</v>
      </c>
      <c r="M412" s="2">
        <f t="shared" si="45"/>
        <v>-0.70000000000000284</v>
      </c>
      <c r="N412" s="1">
        <f t="shared" si="46"/>
        <v>2.0698284043379311E-2</v>
      </c>
      <c r="O412" s="2">
        <v>101</v>
      </c>
      <c r="P412" s="2">
        <v>102.2</v>
      </c>
      <c r="Q412" s="2">
        <f t="shared" si="47"/>
        <v>-1.2000000000000028</v>
      </c>
      <c r="R412" s="2">
        <v>-0.3</v>
      </c>
      <c r="S412" s="2">
        <v>-1.4</v>
      </c>
      <c r="T412" s="2">
        <f t="shared" si="48"/>
        <v>-0.5</v>
      </c>
    </row>
    <row r="413" spans="1:20">
      <c r="A413" s="6">
        <v>546</v>
      </c>
      <c r="B413" t="s">
        <v>59</v>
      </c>
      <c r="C413" t="s">
        <v>13</v>
      </c>
      <c r="D413">
        <v>57</v>
      </c>
      <c r="E413">
        <v>25</v>
      </c>
      <c r="F413" s="1">
        <f t="shared" si="42"/>
        <v>0.69512195121951215</v>
      </c>
      <c r="G413" s="2">
        <v>117.7</v>
      </c>
      <c r="H413" s="2">
        <v>111.2</v>
      </c>
      <c r="I413" s="2">
        <f t="shared" si="43"/>
        <v>6.5</v>
      </c>
      <c r="J413" s="1">
        <f t="shared" si="44"/>
        <v>0.68897267779673199</v>
      </c>
      <c r="K413" s="2">
        <v>115</v>
      </c>
      <c r="L413" s="2">
        <v>108.6</v>
      </c>
      <c r="M413" s="2">
        <f t="shared" si="45"/>
        <v>6.4000000000000057</v>
      </c>
      <c r="N413" s="1">
        <f t="shared" si="46"/>
        <v>6.1492734227801549E-3</v>
      </c>
      <c r="O413" s="2">
        <v>110.5</v>
      </c>
      <c r="P413" s="2">
        <v>104.6</v>
      </c>
      <c r="Q413" s="2">
        <f t="shared" si="47"/>
        <v>5.9000000000000057</v>
      </c>
      <c r="R413" s="2">
        <v>0.2</v>
      </c>
      <c r="S413" s="2">
        <v>1.7</v>
      </c>
      <c r="T413" s="2">
        <f t="shared" si="48"/>
        <v>-0.5</v>
      </c>
    </row>
    <row r="414" spans="1:20">
      <c r="A414" s="6">
        <v>640</v>
      </c>
      <c r="B414" t="s">
        <v>62</v>
      </c>
      <c r="C414" t="s">
        <v>17</v>
      </c>
      <c r="D414">
        <v>33</v>
      </c>
      <c r="E414">
        <v>49</v>
      </c>
      <c r="F414" s="1">
        <f t="shared" si="42"/>
        <v>0.40243902439024393</v>
      </c>
      <c r="G414" s="2">
        <v>112.1</v>
      </c>
      <c r="H414" s="2">
        <v>115.1</v>
      </c>
      <c r="I414" s="2">
        <f t="shared" si="43"/>
        <v>-3</v>
      </c>
      <c r="J414" s="1">
        <f t="shared" si="44"/>
        <v>0.40860389677498032</v>
      </c>
      <c r="K414" s="2">
        <v>110</v>
      </c>
      <c r="L414" s="2">
        <v>112.8</v>
      </c>
      <c r="M414" s="2">
        <f t="shared" si="45"/>
        <v>-2.7999999999999972</v>
      </c>
      <c r="N414" s="1">
        <f t="shared" si="46"/>
        <v>-6.1648723847363973E-3</v>
      </c>
      <c r="O414" s="2">
        <v>103.8</v>
      </c>
      <c r="P414" s="2">
        <v>107.1</v>
      </c>
      <c r="Q414" s="2">
        <f t="shared" si="47"/>
        <v>-3.2999999999999972</v>
      </c>
      <c r="R414" s="2">
        <v>0.6</v>
      </c>
      <c r="S414" s="2">
        <v>0.4</v>
      </c>
      <c r="T414" s="2">
        <f t="shared" si="48"/>
        <v>-0.5</v>
      </c>
    </row>
    <row r="415" spans="1:20">
      <c r="A415" s="6">
        <v>661</v>
      </c>
      <c r="B415" t="s">
        <v>63</v>
      </c>
      <c r="C415" t="s">
        <v>8</v>
      </c>
      <c r="D415">
        <v>40</v>
      </c>
      <c r="E415">
        <v>42</v>
      </c>
      <c r="F415" s="1">
        <f t="shared" si="42"/>
        <v>0.48780487804878048</v>
      </c>
      <c r="G415" s="2">
        <v>113.1</v>
      </c>
      <c r="H415" s="2">
        <v>111.8</v>
      </c>
      <c r="I415" s="2">
        <f t="shared" si="43"/>
        <v>1.2999999999999972</v>
      </c>
      <c r="J415" s="1">
        <f t="shared" si="44"/>
        <v>0.54037477901258768</v>
      </c>
      <c r="K415" s="2">
        <v>112.8</v>
      </c>
      <c r="L415" s="2">
        <v>111.5</v>
      </c>
      <c r="M415" s="2">
        <f t="shared" si="45"/>
        <v>1.2999999999999972</v>
      </c>
      <c r="N415" s="1">
        <f t="shared" si="46"/>
        <v>-5.2569900963807203E-2</v>
      </c>
      <c r="O415" s="2">
        <v>106</v>
      </c>
      <c r="P415" s="2">
        <v>105.2</v>
      </c>
      <c r="Q415" s="2">
        <f t="shared" si="47"/>
        <v>0.79999999999999716</v>
      </c>
      <c r="R415" s="2">
        <v>0.5</v>
      </c>
      <c r="S415" s="2">
        <v>2.7</v>
      </c>
      <c r="T415" s="2">
        <f t="shared" si="48"/>
        <v>-0.5</v>
      </c>
    </row>
    <row r="416" spans="1:20">
      <c r="A416" s="6">
        <v>563</v>
      </c>
      <c r="B416" t="s">
        <v>59</v>
      </c>
      <c r="C416" t="s">
        <v>28</v>
      </c>
      <c r="D416">
        <v>48</v>
      </c>
      <c r="E416">
        <v>34</v>
      </c>
      <c r="F416" s="1">
        <f t="shared" si="42"/>
        <v>0.58536585365853655</v>
      </c>
      <c r="G416" s="2">
        <v>111.7</v>
      </c>
      <c r="H416" s="2">
        <v>110</v>
      </c>
      <c r="I416" s="2">
        <f t="shared" si="43"/>
        <v>1.7000000000000028</v>
      </c>
      <c r="J416" s="1">
        <f t="shared" si="44"/>
        <v>0.55347192797788125</v>
      </c>
      <c r="K416" s="2">
        <v>112.2</v>
      </c>
      <c r="L416" s="2">
        <v>110.6</v>
      </c>
      <c r="M416" s="2">
        <f t="shared" si="45"/>
        <v>1.6000000000000085</v>
      </c>
      <c r="N416" s="1">
        <f t="shared" si="46"/>
        <v>3.18939256806553E-2</v>
      </c>
      <c r="O416" s="2">
        <v>113.6</v>
      </c>
      <c r="P416" s="2">
        <v>112.5</v>
      </c>
      <c r="Q416" s="2">
        <f t="shared" si="47"/>
        <v>1.0999999999999943</v>
      </c>
      <c r="R416" s="2">
        <v>0.4</v>
      </c>
      <c r="S416" s="2">
        <v>2.5</v>
      </c>
      <c r="T416" s="2">
        <f t="shared" si="48"/>
        <v>-0.50000000000001421</v>
      </c>
    </row>
    <row r="417" spans="1:20">
      <c r="A417" s="6">
        <v>701</v>
      </c>
      <c r="B417" t="s">
        <v>64</v>
      </c>
      <c r="C417" t="s">
        <v>35</v>
      </c>
      <c r="D417">
        <v>27</v>
      </c>
      <c r="E417">
        <v>55</v>
      </c>
      <c r="F417" s="1">
        <f t="shared" si="42"/>
        <v>0.32926829268292684</v>
      </c>
      <c r="G417" s="2">
        <v>105.8</v>
      </c>
      <c r="H417" s="2">
        <v>112.8</v>
      </c>
      <c r="I417" s="2">
        <f t="shared" si="43"/>
        <v>-7</v>
      </c>
      <c r="J417" s="1">
        <f t="shared" si="44"/>
        <v>0.28968354582770361</v>
      </c>
      <c r="K417" s="2">
        <v>106.8</v>
      </c>
      <c r="L417" s="2">
        <v>113.7</v>
      </c>
      <c r="M417" s="2">
        <f t="shared" si="45"/>
        <v>-6.9000000000000057</v>
      </c>
      <c r="N417" s="1">
        <f t="shared" si="46"/>
        <v>3.958474685522323E-2</v>
      </c>
      <c r="O417" s="2">
        <v>98.4</v>
      </c>
      <c r="P417" s="2">
        <v>105.9</v>
      </c>
      <c r="Q417" s="2">
        <f t="shared" si="47"/>
        <v>-7.5</v>
      </c>
      <c r="R417" s="2">
        <v>0.4</v>
      </c>
      <c r="S417" s="2">
        <v>1.1000000000000001</v>
      </c>
      <c r="T417" s="2">
        <f t="shared" si="48"/>
        <v>-0.59999999999999432</v>
      </c>
    </row>
    <row r="418" spans="1:20">
      <c r="A418" s="6">
        <v>540</v>
      </c>
      <c r="B418" t="s">
        <v>59</v>
      </c>
      <c r="C418" t="s">
        <v>7</v>
      </c>
      <c r="D418">
        <v>39</v>
      </c>
      <c r="E418">
        <v>43</v>
      </c>
      <c r="F418" s="1">
        <f t="shared" si="42"/>
        <v>0.47560975609756095</v>
      </c>
      <c r="G418" s="2">
        <v>110.7</v>
      </c>
      <c r="H418" s="2">
        <v>111.8</v>
      </c>
      <c r="I418" s="2">
        <f t="shared" si="43"/>
        <v>-1.0999999999999943</v>
      </c>
      <c r="J418" s="1">
        <f t="shared" si="44"/>
        <v>0.46544813340769592</v>
      </c>
      <c r="K418" s="2">
        <v>110.7</v>
      </c>
      <c r="L418" s="2">
        <v>112</v>
      </c>
      <c r="M418" s="2">
        <f t="shared" si="45"/>
        <v>-1.2999999999999972</v>
      </c>
      <c r="N418" s="1">
        <f t="shared" si="46"/>
        <v>1.0161622689865035E-2</v>
      </c>
      <c r="O418" s="2">
        <v>109.3</v>
      </c>
      <c r="P418" s="2">
        <v>111.2</v>
      </c>
      <c r="Q418" s="2">
        <f t="shared" si="47"/>
        <v>-1.9000000000000057</v>
      </c>
      <c r="R418" s="2">
        <v>-1.1000000000000001</v>
      </c>
      <c r="S418" s="2">
        <v>-2.9</v>
      </c>
      <c r="T418" s="2">
        <f t="shared" si="48"/>
        <v>-0.60000000000000853</v>
      </c>
    </row>
    <row r="419" spans="1:20">
      <c r="A419" s="6">
        <v>30</v>
      </c>
      <c r="B419" t="s">
        <v>34</v>
      </c>
      <c r="C419" t="s">
        <v>5</v>
      </c>
      <c r="D419">
        <v>33</v>
      </c>
      <c r="E419">
        <v>49</v>
      </c>
      <c r="F419" s="1">
        <f t="shared" si="42"/>
        <v>0.40243902439024393</v>
      </c>
      <c r="G419" s="2">
        <v>94</v>
      </c>
      <c r="H419" s="2">
        <v>98.3</v>
      </c>
      <c r="I419" s="2">
        <f t="shared" si="43"/>
        <v>-4.2999999999999972</v>
      </c>
      <c r="J419" s="1">
        <f t="shared" si="44"/>
        <v>0.34837053448478683</v>
      </c>
      <c r="K419" s="2">
        <v>100.4</v>
      </c>
      <c r="L419" s="2">
        <v>104.8</v>
      </c>
      <c r="M419" s="2">
        <f t="shared" si="45"/>
        <v>-4.3999999999999915</v>
      </c>
      <c r="N419" s="1">
        <f t="shared" si="46"/>
        <v>5.4068489905457096E-2</v>
      </c>
      <c r="O419" s="2">
        <v>95.5</v>
      </c>
      <c r="P419" s="2">
        <v>100.6</v>
      </c>
      <c r="Q419" s="2">
        <f t="shared" si="47"/>
        <v>-5.0999999999999943</v>
      </c>
      <c r="R419" s="2">
        <v>-1.2</v>
      </c>
      <c r="S419" s="2">
        <v>-4</v>
      </c>
      <c r="T419" s="2">
        <f t="shared" si="48"/>
        <v>-0.70000000000000284</v>
      </c>
    </row>
    <row r="420" spans="1:20">
      <c r="A420" s="6">
        <v>530</v>
      </c>
      <c r="B420" t="s">
        <v>58</v>
      </c>
      <c r="C420" t="s">
        <v>25</v>
      </c>
      <c r="D420">
        <v>21</v>
      </c>
      <c r="E420">
        <v>61</v>
      </c>
      <c r="F420" s="1">
        <f t="shared" si="42"/>
        <v>0.25609756097560976</v>
      </c>
      <c r="G420" s="2">
        <v>103.9</v>
      </c>
      <c r="H420" s="2">
        <v>113.3</v>
      </c>
      <c r="I420" s="2">
        <f t="shared" si="43"/>
        <v>-9.3999999999999915</v>
      </c>
      <c r="J420" s="1">
        <f t="shared" si="44"/>
        <v>0.22925126807249627</v>
      </c>
      <c r="K420" s="2">
        <v>102.8</v>
      </c>
      <c r="L420" s="2">
        <v>111.7</v>
      </c>
      <c r="M420" s="2">
        <f t="shared" si="45"/>
        <v>-8.9000000000000057</v>
      </c>
      <c r="N420" s="1">
        <f t="shared" si="46"/>
        <v>2.6846292903113494E-2</v>
      </c>
      <c r="O420" s="2">
        <v>95.3</v>
      </c>
      <c r="P420" s="2">
        <v>104.9</v>
      </c>
      <c r="Q420" s="2">
        <f t="shared" si="47"/>
        <v>-9.6000000000000085</v>
      </c>
      <c r="R420" s="2">
        <v>-0.4</v>
      </c>
      <c r="S420" s="2">
        <v>-2.6</v>
      </c>
      <c r="T420" s="2">
        <f t="shared" si="48"/>
        <v>-0.70000000000000284</v>
      </c>
    </row>
    <row r="421" spans="1:20">
      <c r="A421" s="6">
        <v>199</v>
      </c>
      <c r="B421" t="s">
        <v>43</v>
      </c>
      <c r="C421" t="s">
        <v>25</v>
      </c>
      <c r="D421">
        <v>61</v>
      </c>
      <c r="E421">
        <v>21</v>
      </c>
      <c r="F421" s="1">
        <f t="shared" si="42"/>
        <v>0.74390243902439024</v>
      </c>
      <c r="G421" s="2">
        <v>110.2</v>
      </c>
      <c r="H421" s="2">
        <v>102.9</v>
      </c>
      <c r="I421" s="2">
        <f t="shared" si="43"/>
        <v>7.2999999999999972</v>
      </c>
      <c r="J421" s="1">
        <f t="shared" si="44"/>
        <v>0.72303160932792188</v>
      </c>
      <c r="K421" s="2">
        <v>112.9</v>
      </c>
      <c r="L421" s="2">
        <v>105.5</v>
      </c>
      <c r="M421" s="2">
        <f t="shared" si="45"/>
        <v>7.4000000000000057</v>
      </c>
      <c r="N421" s="1">
        <f t="shared" si="46"/>
        <v>2.0870829696468363E-2</v>
      </c>
      <c r="O421" s="2">
        <v>108.6</v>
      </c>
      <c r="P421" s="2">
        <v>101.9</v>
      </c>
      <c r="Q421" s="2">
        <f t="shared" si="47"/>
        <v>6.6999999999999886</v>
      </c>
      <c r="R421" s="2">
        <v>0.9</v>
      </c>
      <c r="S421" s="2">
        <v>4.2</v>
      </c>
      <c r="T421" s="2">
        <f t="shared" si="48"/>
        <v>-0.70000000000001705</v>
      </c>
    </row>
    <row r="422" spans="1:20">
      <c r="A422" s="6">
        <v>592</v>
      </c>
      <c r="B422" t="s">
        <v>60</v>
      </c>
      <c r="C422" t="s">
        <v>27</v>
      </c>
      <c r="D422">
        <v>31</v>
      </c>
      <c r="E422">
        <v>41</v>
      </c>
      <c r="F422" s="1">
        <f t="shared" si="42"/>
        <v>0.43055555555555558</v>
      </c>
      <c r="G422" s="2">
        <v>110.1</v>
      </c>
      <c r="H422" s="2">
        <v>112.1</v>
      </c>
      <c r="I422" s="2">
        <f t="shared" si="43"/>
        <v>-2</v>
      </c>
      <c r="J422" s="1">
        <f t="shared" si="44"/>
        <v>0.43732341582347528</v>
      </c>
      <c r="K422" s="2">
        <v>109.5</v>
      </c>
      <c r="L422" s="2">
        <v>111.4</v>
      </c>
      <c r="M422" s="2">
        <f t="shared" si="45"/>
        <v>-1.9000000000000057</v>
      </c>
      <c r="N422" s="1">
        <f t="shared" si="46"/>
        <v>-6.7678602679197009E-3</v>
      </c>
      <c r="O422" s="2">
        <v>111</v>
      </c>
      <c r="P422" s="2">
        <v>113.7</v>
      </c>
      <c r="Q422" s="2">
        <f t="shared" si="47"/>
        <v>-2.7000000000000028</v>
      </c>
      <c r="R422" s="2">
        <v>0.1</v>
      </c>
      <c r="S422" s="2">
        <v>-1</v>
      </c>
      <c r="T422" s="2">
        <f t="shared" si="48"/>
        <v>-0.79999999999999716</v>
      </c>
    </row>
    <row r="423" spans="1:20">
      <c r="A423" s="6">
        <v>533</v>
      </c>
      <c r="B423" t="s">
        <v>58</v>
      </c>
      <c r="C423" t="s">
        <v>28</v>
      </c>
      <c r="D423">
        <v>47</v>
      </c>
      <c r="E423">
        <v>35</v>
      </c>
      <c r="F423" s="1">
        <f t="shared" si="42"/>
        <v>0.57317073170731703</v>
      </c>
      <c r="G423" s="2">
        <v>102.7</v>
      </c>
      <c r="H423" s="2">
        <v>99.8</v>
      </c>
      <c r="I423" s="2">
        <f t="shared" si="43"/>
        <v>2.9000000000000057</v>
      </c>
      <c r="J423" s="1">
        <f t="shared" si="44"/>
        <v>0.59893151729191718</v>
      </c>
      <c r="K423" s="2">
        <v>107.1</v>
      </c>
      <c r="L423" s="2">
        <v>104.1</v>
      </c>
      <c r="M423" s="2">
        <f t="shared" si="45"/>
        <v>3</v>
      </c>
      <c r="N423" s="1">
        <f t="shared" si="46"/>
        <v>-2.5760785584600154E-2</v>
      </c>
      <c r="O423" s="2">
        <v>106.8</v>
      </c>
      <c r="P423" s="2">
        <v>104.6</v>
      </c>
      <c r="Q423" s="2">
        <f t="shared" si="47"/>
        <v>2.2000000000000028</v>
      </c>
      <c r="R423" s="2">
        <v>1.3</v>
      </c>
      <c r="S423" s="2">
        <v>6.5</v>
      </c>
      <c r="T423" s="2">
        <f t="shared" si="48"/>
        <v>-0.79999999999999716</v>
      </c>
    </row>
    <row r="424" spans="1:20">
      <c r="A424" s="6">
        <v>347</v>
      </c>
      <c r="B424" t="s">
        <v>49</v>
      </c>
      <c r="C424" t="s">
        <v>46</v>
      </c>
      <c r="D424">
        <v>47</v>
      </c>
      <c r="E424">
        <v>19</v>
      </c>
      <c r="F424" s="1">
        <f t="shared" si="42"/>
        <v>0.71212121212121215</v>
      </c>
      <c r="G424" s="2">
        <v>103.1</v>
      </c>
      <c r="H424" s="2">
        <v>96.9</v>
      </c>
      <c r="I424" s="2">
        <f t="shared" si="43"/>
        <v>6.1999999999999886</v>
      </c>
      <c r="J424" s="1">
        <f t="shared" si="44"/>
        <v>0.70438730300910357</v>
      </c>
      <c r="K424" s="2">
        <v>108.4</v>
      </c>
      <c r="L424" s="2">
        <v>102.1</v>
      </c>
      <c r="M424" s="2">
        <f t="shared" si="45"/>
        <v>6.3000000000000114</v>
      </c>
      <c r="N424" s="1">
        <f t="shared" si="46"/>
        <v>7.7339091121085835E-3</v>
      </c>
      <c r="O424" s="2">
        <v>103.4</v>
      </c>
      <c r="P424" s="2">
        <v>97.9</v>
      </c>
      <c r="Q424" s="2">
        <f t="shared" si="47"/>
        <v>5.5</v>
      </c>
      <c r="R424" s="2">
        <v>0.1</v>
      </c>
      <c r="S424" s="2">
        <v>3.2</v>
      </c>
      <c r="T424" s="2">
        <f t="shared" si="48"/>
        <v>-0.80000000000001137</v>
      </c>
    </row>
    <row r="425" spans="1:20">
      <c r="A425" s="6">
        <v>189</v>
      </c>
      <c r="B425" t="s">
        <v>43</v>
      </c>
      <c r="C425" t="s">
        <v>17</v>
      </c>
      <c r="D425">
        <v>42</v>
      </c>
      <c r="E425">
        <v>40</v>
      </c>
      <c r="F425" s="1">
        <f t="shared" si="42"/>
        <v>0.51219512195121952</v>
      </c>
      <c r="G425" s="2">
        <v>103.3</v>
      </c>
      <c r="H425" s="2">
        <v>103.4</v>
      </c>
      <c r="I425" s="2">
        <f t="shared" si="43"/>
        <v>-0.10000000000000853</v>
      </c>
      <c r="J425" s="1">
        <f t="shared" si="44"/>
        <v>0.49661350096437384</v>
      </c>
      <c r="K425" s="2">
        <v>107.3</v>
      </c>
      <c r="L425" s="2">
        <v>107.5</v>
      </c>
      <c r="M425" s="2">
        <f t="shared" si="45"/>
        <v>-0.20000000000000284</v>
      </c>
      <c r="N425" s="1">
        <f t="shared" si="46"/>
        <v>1.5581620986845679E-2</v>
      </c>
      <c r="O425" s="2">
        <v>105</v>
      </c>
      <c r="P425" s="2">
        <v>106.1</v>
      </c>
      <c r="Q425" s="2">
        <f t="shared" si="47"/>
        <v>-1.0999999999999943</v>
      </c>
      <c r="R425" s="2">
        <v>-0.2</v>
      </c>
      <c r="S425" s="2">
        <v>-1.2</v>
      </c>
      <c r="T425" s="2">
        <f t="shared" si="48"/>
        <v>-0.89999999999999147</v>
      </c>
    </row>
    <row r="426" spans="1:20">
      <c r="A426" s="6">
        <v>452</v>
      </c>
      <c r="B426" t="s">
        <v>55</v>
      </c>
      <c r="C426" t="s">
        <v>9</v>
      </c>
      <c r="D426">
        <v>57</v>
      </c>
      <c r="E426">
        <v>25</v>
      </c>
      <c r="F426" s="1">
        <f t="shared" si="42"/>
        <v>0.69512195121951215</v>
      </c>
      <c r="G426" s="2">
        <v>104.3</v>
      </c>
      <c r="H426" s="2">
        <v>98.3</v>
      </c>
      <c r="I426" s="2">
        <f t="shared" si="43"/>
        <v>6</v>
      </c>
      <c r="J426" s="1">
        <f t="shared" si="44"/>
        <v>0.6962413060313849</v>
      </c>
      <c r="K426" s="2">
        <v>110.2</v>
      </c>
      <c r="L426" s="2">
        <v>103.9</v>
      </c>
      <c r="M426" s="2">
        <f t="shared" si="45"/>
        <v>6.2999999999999972</v>
      </c>
      <c r="N426" s="1">
        <f t="shared" si="46"/>
        <v>-1.1193548118727525E-3</v>
      </c>
      <c r="O426" s="2">
        <v>103.4</v>
      </c>
      <c r="P426" s="2">
        <v>98</v>
      </c>
      <c r="Q426" s="2">
        <f t="shared" si="47"/>
        <v>5.4000000000000057</v>
      </c>
      <c r="R426" s="2">
        <v>0.7</v>
      </c>
      <c r="S426" s="2">
        <v>3.7</v>
      </c>
      <c r="T426" s="2">
        <f t="shared" si="48"/>
        <v>-0.89999999999999147</v>
      </c>
    </row>
    <row r="427" spans="1:20">
      <c r="A427" s="6">
        <v>625</v>
      </c>
      <c r="B427" t="s">
        <v>61</v>
      </c>
      <c r="C427" t="s">
        <v>31</v>
      </c>
      <c r="D427">
        <v>52</v>
      </c>
      <c r="E427">
        <v>20</v>
      </c>
      <c r="F427" s="1">
        <f t="shared" si="42"/>
        <v>0.72222222222222221</v>
      </c>
      <c r="G427" s="2">
        <v>116.4</v>
      </c>
      <c r="H427" s="2">
        <v>107.2</v>
      </c>
      <c r="I427" s="2">
        <f t="shared" si="43"/>
        <v>9.2000000000000028</v>
      </c>
      <c r="J427" s="1">
        <f t="shared" si="44"/>
        <v>0.76000519896530916</v>
      </c>
      <c r="K427" s="2">
        <v>116.5</v>
      </c>
      <c r="L427" s="2">
        <v>107.5</v>
      </c>
      <c r="M427" s="2">
        <f t="shared" si="45"/>
        <v>9</v>
      </c>
      <c r="N427" s="1">
        <f t="shared" si="46"/>
        <v>-3.7782976743086949E-2</v>
      </c>
      <c r="O427" s="2">
        <v>118.2</v>
      </c>
      <c r="P427" s="2">
        <v>110.1</v>
      </c>
      <c r="Q427" s="2">
        <f t="shared" si="47"/>
        <v>8.1000000000000085</v>
      </c>
      <c r="R427" s="2">
        <v>1.2</v>
      </c>
      <c r="S427" s="2">
        <v>5.8</v>
      </c>
      <c r="T427" s="2">
        <f t="shared" si="48"/>
        <v>-0.89999999999999147</v>
      </c>
    </row>
    <row r="428" spans="1:20">
      <c r="A428" s="6">
        <v>264</v>
      </c>
      <c r="B428" t="s">
        <v>45</v>
      </c>
      <c r="C428" t="s">
        <v>30</v>
      </c>
      <c r="D428">
        <v>33</v>
      </c>
      <c r="E428">
        <v>49</v>
      </c>
      <c r="F428" s="1">
        <f t="shared" si="42"/>
        <v>0.40243902439024393</v>
      </c>
      <c r="G428" s="2">
        <v>99</v>
      </c>
      <c r="H428" s="2">
        <v>101.9</v>
      </c>
      <c r="I428" s="2">
        <f t="shared" si="43"/>
        <v>-2.9000000000000057</v>
      </c>
      <c r="J428" s="1">
        <f t="shared" si="44"/>
        <v>0.4003014410465785</v>
      </c>
      <c r="K428" s="2">
        <v>105.5</v>
      </c>
      <c r="L428" s="2">
        <v>108.6</v>
      </c>
      <c r="M428" s="2">
        <f t="shared" si="45"/>
        <v>-3.0999999999999943</v>
      </c>
      <c r="N428" s="1">
        <f t="shared" si="46"/>
        <v>2.1375833436654279E-3</v>
      </c>
      <c r="O428" s="2">
        <v>107</v>
      </c>
      <c r="P428" s="2">
        <v>111</v>
      </c>
      <c r="Q428" s="2">
        <f t="shared" si="47"/>
        <v>-4</v>
      </c>
      <c r="R428" s="2">
        <v>-0.5</v>
      </c>
      <c r="S428" s="2">
        <v>-3.5</v>
      </c>
      <c r="T428" s="2">
        <f t="shared" si="48"/>
        <v>-0.90000000000000568</v>
      </c>
    </row>
    <row r="429" spans="1:20">
      <c r="A429" s="6">
        <v>510</v>
      </c>
      <c r="B429" t="s">
        <v>58</v>
      </c>
      <c r="C429" t="s">
        <v>7</v>
      </c>
      <c r="D429">
        <v>36</v>
      </c>
      <c r="E429">
        <v>46</v>
      </c>
      <c r="F429" s="1">
        <f t="shared" si="42"/>
        <v>0.43902439024390244</v>
      </c>
      <c r="G429" s="2">
        <v>108.2</v>
      </c>
      <c r="H429" s="2">
        <v>108</v>
      </c>
      <c r="I429" s="2">
        <f t="shared" si="43"/>
        <v>0.20000000000000284</v>
      </c>
      <c r="J429" s="1">
        <f t="shared" si="44"/>
        <v>0.50647512549319473</v>
      </c>
      <c r="K429" s="2">
        <v>109</v>
      </c>
      <c r="L429" s="2">
        <v>109</v>
      </c>
      <c r="M429" s="2">
        <f t="shared" si="45"/>
        <v>0</v>
      </c>
      <c r="N429" s="1">
        <f t="shared" si="46"/>
        <v>-6.7450735249292293E-2</v>
      </c>
      <c r="O429" s="2">
        <v>98.8</v>
      </c>
      <c r="P429" s="2">
        <v>99.7</v>
      </c>
      <c r="Q429" s="2">
        <f t="shared" si="47"/>
        <v>-0.90000000000000568</v>
      </c>
      <c r="R429" s="2">
        <v>-0.3</v>
      </c>
      <c r="S429" s="2">
        <v>-1.6</v>
      </c>
      <c r="T429" s="2">
        <f t="shared" si="48"/>
        <v>-0.90000000000000568</v>
      </c>
    </row>
    <row r="430" spans="1:20">
      <c r="A430" s="6">
        <v>663</v>
      </c>
      <c r="B430" t="s">
        <v>63</v>
      </c>
      <c r="C430" t="s">
        <v>10</v>
      </c>
      <c r="D430">
        <v>38</v>
      </c>
      <c r="E430">
        <v>44</v>
      </c>
      <c r="F430" s="1">
        <f t="shared" si="42"/>
        <v>0.46341463414634149</v>
      </c>
      <c r="G430" s="2">
        <v>114.2</v>
      </c>
      <c r="H430" s="2">
        <v>114.1</v>
      </c>
      <c r="I430" s="2">
        <f t="shared" si="43"/>
        <v>0.10000000000000853</v>
      </c>
      <c r="J430" s="1">
        <f t="shared" si="44"/>
        <v>0.50306610280519148</v>
      </c>
      <c r="K430" s="2">
        <v>115.9</v>
      </c>
      <c r="L430" s="2">
        <v>116.1</v>
      </c>
      <c r="M430" s="2">
        <f t="shared" si="45"/>
        <v>-0.19999999999998863</v>
      </c>
      <c r="N430" s="1">
        <f t="shared" si="46"/>
        <v>-3.9651468658849998E-2</v>
      </c>
      <c r="O430" s="2">
        <v>105.1</v>
      </c>
      <c r="P430" s="2">
        <v>106.2</v>
      </c>
      <c r="Q430" s="2">
        <f t="shared" si="47"/>
        <v>-1.1000000000000085</v>
      </c>
      <c r="R430" s="2">
        <v>-0.7</v>
      </c>
      <c r="S430" s="2">
        <v>-1.8</v>
      </c>
      <c r="T430" s="2">
        <f t="shared" si="48"/>
        <v>-0.9000000000000199</v>
      </c>
    </row>
    <row r="431" spans="1:20">
      <c r="A431" s="6">
        <v>557</v>
      </c>
      <c r="B431" t="s">
        <v>59</v>
      </c>
      <c r="C431" t="s">
        <v>46</v>
      </c>
      <c r="D431">
        <v>49</v>
      </c>
      <c r="E431">
        <v>33</v>
      </c>
      <c r="F431" s="1">
        <f t="shared" si="42"/>
        <v>0.59756097560975607</v>
      </c>
      <c r="G431" s="2">
        <v>114.5</v>
      </c>
      <c r="H431" s="2">
        <v>111.1</v>
      </c>
      <c r="I431" s="2">
        <f t="shared" si="43"/>
        <v>3.4000000000000057</v>
      </c>
      <c r="J431" s="1">
        <f t="shared" si="44"/>
        <v>0.60396598327503692</v>
      </c>
      <c r="K431" s="2">
        <v>109.8</v>
      </c>
      <c r="L431" s="2">
        <v>106.5</v>
      </c>
      <c r="M431" s="2">
        <f t="shared" si="45"/>
        <v>3.2999999999999972</v>
      </c>
      <c r="N431" s="1">
        <f t="shared" si="46"/>
        <v>-6.4050076652808485E-3</v>
      </c>
      <c r="O431" s="2">
        <v>106.9</v>
      </c>
      <c r="P431" s="2">
        <v>104.6</v>
      </c>
      <c r="Q431" s="2">
        <f t="shared" si="47"/>
        <v>2.3000000000000114</v>
      </c>
      <c r="R431" s="2">
        <v>1</v>
      </c>
      <c r="S431" s="2">
        <v>2.4</v>
      </c>
      <c r="T431" s="2">
        <f t="shared" si="48"/>
        <v>-0.99999999999998579</v>
      </c>
    </row>
    <row r="432" spans="1:20">
      <c r="A432" s="6">
        <v>389</v>
      </c>
      <c r="B432" t="s">
        <v>52</v>
      </c>
      <c r="C432" t="s">
        <v>51</v>
      </c>
      <c r="D432">
        <v>44</v>
      </c>
      <c r="E432">
        <v>38</v>
      </c>
      <c r="F432" s="1">
        <f t="shared" si="42"/>
        <v>0.53658536585365857</v>
      </c>
      <c r="G432" s="2">
        <v>98.5</v>
      </c>
      <c r="H432" s="2">
        <v>99.5</v>
      </c>
      <c r="I432" s="2">
        <f t="shared" si="43"/>
        <v>-1</v>
      </c>
      <c r="J432" s="1">
        <f t="shared" si="44"/>
        <v>0.46470496450899657</v>
      </c>
      <c r="K432" s="2">
        <v>105.4</v>
      </c>
      <c r="L432" s="2">
        <v>106.7</v>
      </c>
      <c r="M432" s="2">
        <f t="shared" si="45"/>
        <v>-1.2999999999999972</v>
      </c>
      <c r="N432" s="1">
        <f t="shared" si="46"/>
        <v>7.1880401344662004E-2</v>
      </c>
      <c r="O432" s="2">
        <v>98.3</v>
      </c>
      <c r="P432" s="2">
        <v>100.6</v>
      </c>
      <c r="Q432" s="2">
        <f t="shared" si="47"/>
        <v>-2.2999999999999972</v>
      </c>
      <c r="R432" s="2">
        <v>-1.1000000000000001</v>
      </c>
      <c r="S432" s="2">
        <v>-4.9000000000000004</v>
      </c>
      <c r="T432" s="2">
        <f t="shared" si="48"/>
        <v>-1</v>
      </c>
    </row>
    <row r="433" spans="1:20">
      <c r="A433" s="6">
        <v>114</v>
      </c>
      <c r="B433" t="s">
        <v>38</v>
      </c>
      <c r="C433" t="s">
        <v>30</v>
      </c>
      <c r="D433">
        <v>33</v>
      </c>
      <c r="E433">
        <v>49</v>
      </c>
      <c r="F433" s="1">
        <f t="shared" si="42"/>
        <v>0.40243902439024393</v>
      </c>
      <c r="G433" s="2">
        <v>85.4</v>
      </c>
      <c r="H433" s="2">
        <v>88.5</v>
      </c>
      <c r="I433" s="2">
        <f t="shared" si="43"/>
        <v>-3.0999999999999943</v>
      </c>
      <c r="J433" s="1">
        <f t="shared" si="44"/>
        <v>0.37773096615035939</v>
      </c>
      <c r="K433" s="2">
        <v>95.3</v>
      </c>
      <c r="L433" s="2">
        <v>98.8</v>
      </c>
      <c r="M433" s="2">
        <f t="shared" si="45"/>
        <v>-3.5</v>
      </c>
      <c r="N433" s="1">
        <f t="shared" si="46"/>
        <v>2.4708058239884534E-2</v>
      </c>
      <c r="O433" s="2">
        <v>92.7</v>
      </c>
      <c r="P433" s="2">
        <v>97.2</v>
      </c>
      <c r="Q433" s="2">
        <f t="shared" si="47"/>
        <v>-4.5</v>
      </c>
      <c r="R433" s="2">
        <v>0.3</v>
      </c>
      <c r="S433" s="2">
        <v>-0.9</v>
      </c>
      <c r="T433" s="2">
        <f t="shared" si="48"/>
        <v>-1</v>
      </c>
    </row>
    <row r="434" spans="1:20">
      <c r="A434" s="6">
        <v>759</v>
      </c>
      <c r="B434" t="s">
        <v>66</v>
      </c>
      <c r="C434" t="s">
        <v>56</v>
      </c>
      <c r="D434">
        <v>31</v>
      </c>
      <c r="E434">
        <v>32</v>
      </c>
      <c r="F434" s="1">
        <f t="shared" si="42"/>
        <v>0.49206349206349204</v>
      </c>
      <c r="G434" s="2">
        <v>112.6</v>
      </c>
      <c r="H434" s="2">
        <v>112.2</v>
      </c>
      <c r="I434" s="2">
        <f t="shared" si="43"/>
        <v>0.39999999999999147</v>
      </c>
      <c r="J434" s="1">
        <f t="shared" si="44"/>
        <v>0.51245295332770446</v>
      </c>
      <c r="K434" s="2">
        <v>115.6</v>
      </c>
      <c r="L434" s="2">
        <v>115.3</v>
      </c>
      <c r="M434" s="2">
        <f t="shared" si="45"/>
        <v>0.29999999999999716</v>
      </c>
      <c r="N434" s="1">
        <f t="shared" si="46"/>
        <v>-2.0389461264212427E-2</v>
      </c>
      <c r="O434" s="2">
        <v>115.7</v>
      </c>
      <c r="P434" s="2">
        <v>116.4</v>
      </c>
      <c r="Q434" s="2">
        <f t="shared" si="47"/>
        <v>-0.70000000000000284</v>
      </c>
      <c r="R434" s="2">
        <v>-0.7</v>
      </c>
      <c r="S434" s="2">
        <v>-0.1</v>
      </c>
      <c r="T434" s="2">
        <f t="shared" si="48"/>
        <v>-1</v>
      </c>
    </row>
    <row r="435" spans="1:20">
      <c r="A435" s="6">
        <v>566</v>
      </c>
      <c r="B435" t="s">
        <v>59</v>
      </c>
      <c r="C435" t="s">
        <v>33</v>
      </c>
      <c r="D435">
        <v>32</v>
      </c>
      <c r="E435">
        <v>50</v>
      </c>
      <c r="F435" s="1">
        <f t="shared" si="42"/>
        <v>0.3902439024390244</v>
      </c>
      <c r="G435" s="2">
        <v>114</v>
      </c>
      <c r="H435" s="2">
        <v>116.9</v>
      </c>
      <c r="I435" s="2">
        <f t="shared" si="43"/>
        <v>-2.9000000000000057</v>
      </c>
      <c r="J435" s="1">
        <f t="shared" si="44"/>
        <v>0.41297365907785938</v>
      </c>
      <c r="K435" s="2">
        <v>110.2</v>
      </c>
      <c r="L435" s="2">
        <v>112.9</v>
      </c>
      <c r="M435" s="2">
        <f t="shared" si="45"/>
        <v>-2.7000000000000028</v>
      </c>
      <c r="N435" s="1">
        <f t="shared" si="46"/>
        <v>-2.2729756638834975E-2</v>
      </c>
      <c r="O435" s="2">
        <v>108.1</v>
      </c>
      <c r="P435" s="2">
        <v>111.8</v>
      </c>
      <c r="Q435" s="2">
        <f t="shared" si="47"/>
        <v>-3.7000000000000028</v>
      </c>
      <c r="R435" s="2">
        <v>1.1000000000000001</v>
      </c>
      <c r="S435" s="2">
        <v>4.5</v>
      </c>
      <c r="T435" s="2">
        <f t="shared" si="48"/>
        <v>-1</v>
      </c>
    </row>
    <row r="436" spans="1:20">
      <c r="A436" s="6">
        <v>343</v>
      </c>
      <c r="B436" t="s">
        <v>49</v>
      </c>
      <c r="C436" t="s">
        <v>20</v>
      </c>
      <c r="D436">
        <v>26</v>
      </c>
      <c r="E436">
        <v>40</v>
      </c>
      <c r="F436" s="1">
        <f t="shared" si="42"/>
        <v>0.39393939393939392</v>
      </c>
      <c r="G436" s="2">
        <v>97.9</v>
      </c>
      <c r="H436" s="2">
        <v>100.1</v>
      </c>
      <c r="I436" s="2">
        <f t="shared" si="43"/>
        <v>-2.1999999999999886</v>
      </c>
      <c r="J436" s="1">
        <f t="shared" si="44"/>
        <v>0.42284042770166808</v>
      </c>
      <c r="K436" s="2">
        <v>103.1</v>
      </c>
      <c r="L436" s="2">
        <v>105.3</v>
      </c>
      <c r="M436" s="2">
        <f t="shared" si="45"/>
        <v>-2.2000000000000028</v>
      </c>
      <c r="N436" s="1">
        <f t="shared" si="46"/>
        <v>-2.8901033762274153E-2</v>
      </c>
      <c r="O436" s="2">
        <v>101</v>
      </c>
      <c r="P436" s="2">
        <v>104.2</v>
      </c>
      <c r="Q436" s="2">
        <f t="shared" si="47"/>
        <v>-3.2000000000000028</v>
      </c>
      <c r="R436" s="2">
        <v>0.2</v>
      </c>
      <c r="S436" s="2">
        <v>2.1</v>
      </c>
      <c r="T436" s="2">
        <f t="shared" si="48"/>
        <v>-1</v>
      </c>
    </row>
    <row r="437" spans="1:20">
      <c r="A437" s="6">
        <v>590</v>
      </c>
      <c r="B437" t="s">
        <v>60</v>
      </c>
      <c r="C437" t="s">
        <v>25</v>
      </c>
      <c r="D437">
        <v>34</v>
      </c>
      <c r="E437">
        <v>39</v>
      </c>
      <c r="F437" s="1">
        <f t="shared" si="42"/>
        <v>0.46575342465753422</v>
      </c>
      <c r="G437" s="2">
        <v>113.6</v>
      </c>
      <c r="H437" s="2">
        <v>113.4</v>
      </c>
      <c r="I437" s="2">
        <f t="shared" si="43"/>
        <v>0.19999999999998863</v>
      </c>
      <c r="J437" s="1">
        <f t="shared" si="44"/>
        <v>0.50616708971115398</v>
      </c>
      <c r="K437" s="2">
        <v>111.3</v>
      </c>
      <c r="L437" s="2">
        <v>110.8</v>
      </c>
      <c r="M437" s="2">
        <f t="shared" si="45"/>
        <v>0.5</v>
      </c>
      <c r="N437" s="1">
        <f t="shared" si="46"/>
        <v>-4.0413665053619763E-2</v>
      </c>
      <c r="O437" s="2">
        <v>110.3</v>
      </c>
      <c r="P437" s="2">
        <v>110.8</v>
      </c>
      <c r="Q437" s="2">
        <f t="shared" si="47"/>
        <v>-0.5</v>
      </c>
      <c r="R437" s="2">
        <v>-0.7</v>
      </c>
      <c r="S437" s="2">
        <v>-0.9</v>
      </c>
      <c r="T437" s="2">
        <f t="shared" si="48"/>
        <v>-1</v>
      </c>
    </row>
    <row r="438" spans="1:20">
      <c r="A438" s="6">
        <v>488</v>
      </c>
      <c r="B438" t="s">
        <v>57</v>
      </c>
      <c r="C438" t="s">
        <v>15</v>
      </c>
      <c r="D438">
        <v>42</v>
      </c>
      <c r="E438">
        <v>40</v>
      </c>
      <c r="F438" s="1">
        <f t="shared" si="42"/>
        <v>0.51219512195121952</v>
      </c>
      <c r="G438" s="2">
        <v>105.1</v>
      </c>
      <c r="H438" s="2">
        <v>105.3</v>
      </c>
      <c r="I438" s="2">
        <f t="shared" si="43"/>
        <v>-0.20000000000000284</v>
      </c>
      <c r="J438" s="1">
        <f t="shared" si="44"/>
        <v>0.49334639838574956</v>
      </c>
      <c r="K438" s="2">
        <v>107.9</v>
      </c>
      <c r="L438" s="2">
        <v>108.1</v>
      </c>
      <c r="M438" s="2">
        <f t="shared" si="45"/>
        <v>-0.19999999999998863</v>
      </c>
      <c r="N438" s="1">
        <f t="shared" si="46"/>
        <v>1.884872356546996E-2</v>
      </c>
      <c r="O438" s="2">
        <v>103.1</v>
      </c>
      <c r="P438" s="2">
        <v>104.3</v>
      </c>
      <c r="Q438" s="2">
        <f t="shared" si="47"/>
        <v>-1.2000000000000028</v>
      </c>
      <c r="R438" s="2">
        <v>-0.6</v>
      </c>
      <c r="S438" s="2">
        <v>-2.8</v>
      </c>
      <c r="T438" s="2">
        <f t="shared" si="48"/>
        <v>-1.0000000000000142</v>
      </c>
    </row>
    <row r="439" spans="1:20">
      <c r="A439" s="6">
        <v>279</v>
      </c>
      <c r="B439" t="s">
        <v>47</v>
      </c>
      <c r="C439" t="s">
        <v>17</v>
      </c>
      <c r="D439">
        <v>57</v>
      </c>
      <c r="E439">
        <v>25</v>
      </c>
      <c r="F439" s="1">
        <f t="shared" si="42"/>
        <v>0.69512195121951215</v>
      </c>
      <c r="G439" s="2">
        <v>101.7</v>
      </c>
      <c r="H439" s="2">
        <v>97</v>
      </c>
      <c r="I439" s="2">
        <f t="shared" si="43"/>
        <v>4.7000000000000028</v>
      </c>
      <c r="J439" s="1">
        <f t="shared" si="44"/>
        <v>0.65980571592524628</v>
      </c>
      <c r="K439" s="2">
        <v>107.6</v>
      </c>
      <c r="L439" s="2">
        <v>102.7</v>
      </c>
      <c r="M439" s="2">
        <f t="shared" si="45"/>
        <v>4.8999999999999915</v>
      </c>
      <c r="N439" s="1">
        <f t="shared" si="46"/>
        <v>3.5316235294265863E-2</v>
      </c>
      <c r="O439" s="2">
        <v>99.7</v>
      </c>
      <c r="P439" s="2">
        <v>95.9</v>
      </c>
      <c r="Q439" s="2">
        <f t="shared" si="47"/>
        <v>3.7999999999999972</v>
      </c>
      <c r="R439" s="2">
        <v>0.2</v>
      </c>
      <c r="S439" s="2">
        <v>-0.6</v>
      </c>
      <c r="T439" s="2">
        <f t="shared" si="48"/>
        <v>-1.0999999999999943</v>
      </c>
    </row>
    <row r="440" spans="1:20">
      <c r="A440" s="6">
        <v>281</v>
      </c>
      <c r="B440" t="s">
        <v>47</v>
      </c>
      <c r="C440" t="s">
        <v>18</v>
      </c>
      <c r="D440">
        <v>47</v>
      </c>
      <c r="E440">
        <v>35</v>
      </c>
      <c r="F440" s="1">
        <f t="shared" si="42"/>
        <v>0.57317073170731703</v>
      </c>
      <c r="G440" s="2">
        <v>96.5</v>
      </c>
      <c r="H440" s="2">
        <v>94.2</v>
      </c>
      <c r="I440" s="2">
        <f t="shared" si="43"/>
        <v>2.2999999999999972</v>
      </c>
      <c r="J440" s="1">
        <f t="shared" si="44"/>
        <v>0.58363647422814535</v>
      </c>
      <c r="K440" s="2">
        <v>105.7</v>
      </c>
      <c r="L440" s="2">
        <v>103.4</v>
      </c>
      <c r="M440" s="2">
        <f t="shared" si="45"/>
        <v>2.2999999999999972</v>
      </c>
      <c r="N440" s="1">
        <f t="shared" si="46"/>
        <v>-1.0465742520828325E-2</v>
      </c>
      <c r="O440" s="2">
        <v>102.9</v>
      </c>
      <c r="P440" s="2">
        <v>101.7</v>
      </c>
      <c r="Q440" s="2">
        <f t="shared" si="47"/>
        <v>1.2000000000000028</v>
      </c>
      <c r="R440" s="2">
        <v>-0.9</v>
      </c>
      <c r="S440" s="2">
        <v>-3.7</v>
      </c>
      <c r="T440" s="2">
        <f t="shared" si="48"/>
        <v>-1.0999999999999943</v>
      </c>
    </row>
    <row r="441" spans="1:20">
      <c r="A441" s="6">
        <v>418</v>
      </c>
      <c r="B441" t="s">
        <v>54</v>
      </c>
      <c r="C441" t="s">
        <v>6</v>
      </c>
      <c r="D441">
        <v>40</v>
      </c>
      <c r="E441">
        <v>42</v>
      </c>
      <c r="F441" s="1">
        <f t="shared" si="42"/>
        <v>0.48780487804878048</v>
      </c>
      <c r="G441" s="2">
        <v>101.4</v>
      </c>
      <c r="H441" s="2">
        <v>101.2</v>
      </c>
      <c r="I441" s="2">
        <f t="shared" si="43"/>
        <v>0.20000000000000284</v>
      </c>
      <c r="J441" s="1">
        <f t="shared" si="44"/>
        <v>0.50690973014497898</v>
      </c>
      <c r="K441" s="2">
        <v>103.8</v>
      </c>
      <c r="L441" s="2">
        <v>103.5</v>
      </c>
      <c r="M441" s="2">
        <f t="shared" si="45"/>
        <v>0.29999999999999716</v>
      </c>
      <c r="N441" s="1">
        <f t="shared" si="46"/>
        <v>-1.9104852096198499E-2</v>
      </c>
      <c r="O441" s="2">
        <v>103</v>
      </c>
      <c r="P441" s="2">
        <v>103.8</v>
      </c>
      <c r="Q441" s="2">
        <f t="shared" si="47"/>
        <v>-0.79999999999999716</v>
      </c>
      <c r="R441" s="2">
        <v>0.9</v>
      </c>
      <c r="S441" s="2">
        <v>3.2</v>
      </c>
      <c r="T441" s="2">
        <f t="shared" si="48"/>
        <v>-1.0999999999999943</v>
      </c>
    </row>
    <row r="442" spans="1:20">
      <c r="A442" s="6">
        <v>743</v>
      </c>
      <c r="B442" t="s">
        <v>65</v>
      </c>
      <c r="C442" t="s">
        <v>28</v>
      </c>
      <c r="D442">
        <v>34</v>
      </c>
      <c r="E442">
        <v>48</v>
      </c>
      <c r="F442" s="1">
        <f t="shared" si="42"/>
        <v>0.41463414634146339</v>
      </c>
      <c r="G442" s="2">
        <v>113.9</v>
      </c>
      <c r="H442" s="2">
        <v>116.7</v>
      </c>
      <c r="I442" s="2">
        <f t="shared" si="43"/>
        <v>-2.7999999999999972</v>
      </c>
      <c r="J442" s="1">
        <f t="shared" si="44"/>
        <v>0.41580963161703305</v>
      </c>
      <c r="K442" s="2">
        <v>113.5</v>
      </c>
      <c r="L442" s="2">
        <v>116.3</v>
      </c>
      <c r="M442" s="2">
        <f t="shared" si="45"/>
        <v>-2.7999999999999972</v>
      </c>
      <c r="N442" s="1">
        <f t="shared" si="46"/>
        <v>-1.1754852755696543E-3</v>
      </c>
      <c r="O442" s="2">
        <v>103.5</v>
      </c>
      <c r="P442" s="2">
        <v>107.4</v>
      </c>
      <c r="Q442" s="2">
        <f t="shared" si="47"/>
        <v>-3.9000000000000057</v>
      </c>
      <c r="R442" s="2">
        <v>-0.2</v>
      </c>
      <c r="S442" s="2">
        <v>-1.7</v>
      </c>
      <c r="T442" s="2">
        <f t="shared" si="48"/>
        <v>-1.1000000000000085</v>
      </c>
    </row>
    <row r="443" spans="1:20">
      <c r="A443" s="6">
        <v>709</v>
      </c>
      <c r="B443" t="s">
        <v>64</v>
      </c>
      <c r="C443" t="s">
        <v>24</v>
      </c>
      <c r="D443">
        <v>47</v>
      </c>
      <c r="E443">
        <v>35</v>
      </c>
      <c r="F443" s="1">
        <f t="shared" si="42"/>
        <v>0.57317073170731703</v>
      </c>
      <c r="G443" s="2">
        <v>114.6</v>
      </c>
      <c r="H443" s="2">
        <v>111.5</v>
      </c>
      <c r="I443" s="2">
        <f t="shared" si="43"/>
        <v>3.0999999999999943</v>
      </c>
      <c r="J443" s="1">
        <f t="shared" si="44"/>
        <v>0.59481941226835489</v>
      </c>
      <c r="K443" s="2">
        <v>116.2</v>
      </c>
      <c r="L443" s="2">
        <v>113</v>
      </c>
      <c r="M443" s="2">
        <f t="shared" si="45"/>
        <v>3.2000000000000028</v>
      </c>
      <c r="N443" s="1">
        <f t="shared" si="46"/>
        <v>-2.1648680561037859E-2</v>
      </c>
      <c r="O443" s="2">
        <v>115.3</v>
      </c>
      <c r="P443" s="2">
        <v>113.2</v>
      </c>
      <c r="Q443" s="2">
        <f t="shared" si="47"/>
        <v>2.0999999999999943</v>
      </c>
      <c r="R443" s="2">
        <v>0.7</v>
      </c>
      <c r="S443" s="2">
        <v>2.4</v>
      </c>
      <c r="T443" s="2">
        <f t="shared" si="48"/>
        <v>-1.1000000000000085</v>
      </c>
    </row>
    <row r="444" spans="1:20">
      <c r="A444" s="6">
        <v>758</v>
      </c>
      <c r="B444" t="s">
        <v>66</v>
      </c>
      <c r="C444" t="s">
        <v>15</v>
      </c>
      <c r="D444">
        <v>15</v>
      </c>
      <c r="E444">
        <v>48</v>
      </c>
      <c r="F444" s="1">
        <f t="shared" si="42"/>
        <v>0.23809523809523808</v>
      </c>
      <c r="G444" s="2">
        <v>111.4</v>
      </c>
      <c r="H444" s="2">
        <v>119.9</v>
      </c>
      <c r="I444" s="2">
        <f t="shared" si="43"/>
        <v>-8.5</v>
      </c>
      <c r="J444" s="1">
        <f t="shared" si="44"/>
        <v>0.26319457048820816</v>
      </c>
      <c r="K444" s="2">
        <v>108.7</v>
      </c>
      <c r="L444" s="2">
        <v>117</v>
      </c>
      <c r="M444" s="2">
        <f t="shared" si="45"/>
        <v>-8.2999999999999972</v>
      </c>
      <c r="N444" s="1">
        <f t="shared" si="46"/>
        <v>-2.5099332392970075E-2</v>
      </c>
      <c r="O444" s="2">
        <v>97.6</v>
      </c>
      <c r="P444" s="2">
        <v>107</v>
      </c>
      <c r="Q444" s="2">
        <f t="shared" si="47"/>
        <v>-9.4000000000000057</v>
      </c>
      <c r="R444" s="2">
        <v>-1</v>
      </c>
      <c r="S444" s="2">
        <v>-4.8</v>
      </c>
      <c r="T444" s="2">
        <f t="shared" si="48"/>
        <v>-1.1000000000000085</v>
      </c>
    </row>
    <row r="445" spans="1:20">
      <c r="A445" s="6">
        <v>243</v>
      </c>
      <c r="B445" t="s">
        <v>45</v>
      </c>
      <c r="C445" t="s">
        <v>11</v>
      </c>
      <c r="D445">
        <v>54</v>
      </c>
      <c r="E445">
        <v>28</v>
      </c>
      <c r="F445" s="1">
        <f t="shared" si="42"/>
        <v>0.65853658536585369</v>
      </c>
      <c r="G445" s="2">
        <v>104.3</v>
      </c>
      <c r="H445" s="2">
        <v>100.9</v>
      </c>
      <c r="I445" s="2">
        <f t="shared" si="43"/>
        <v>3.3999999999999915</v>
      </c>
      <c r="J445" s="1">
        <f t="shared" si="44"/>
        <v>0.61395793719078184</v>
      </c>
      <c r="K445" s="2">
        <v>109</v>
      </c>
      <c r="L445" s="2">
        <v>105.6</v>
      </c>
      <c r="M445" s="2">
        <f t="shared" si="45"/>
        <v>3.4000000000000057</v>
      </c>
      <c r="N445" s="1">
        <f t="shared" si="46"/>
        <v>4.4578648175071844E-2</v>
      </c>
      <c r="O445" s="2">
        <v>108.5</v>
      </c>
      <c r="P445" s="2">
        <v>106.3</v>
      </c>
      <c r="Q445" s="2">
        <f t="shared" si="47"/>
        <v>2.2000000000000028</v>
      </c>
      <c r="R445" s="2">
        <v>-0.4</v>
      </c>
      <c r="S445" s="2">
        <v>-1</v>
      </c>
      <c r="T445" s="2">
        <f t="shared" si="48"/>
        <v>-1.2000000000000028</v>
      </c>
    </row>
    <row r="446" spans="1:20">
      <c r="A446" s="6">
        <v>274</v>
      </c>
      <c r="B446" t="s">
        <v>47</v>
      </c>
      <c r="C446" t="s">
        <v>12</v>
      </c>
      <c r="D446">
        <v>27</v>
      </c>
      <c r="E446">
        <v>55</v>
      </c>
      <c r="F446" s="1">
        <f t="shared" si="42"/>
        <v>0.32926829268292684</v>
      </c>
      <c r="G446" s="2">
        <v>94</v>
      </c>
      <c r="H446" s="2">
        <v>99.1</v>
      </c>
      <c r="I446" s="2">
        <f t="shared" si="43"/>
        <v>-5.0999999999999943</v>
      </c>
      <c r="J446" s="1">
        <f t="shared" si="44"/>
        <v>0.32307297980123056</v>
      </c>
      <c r="K446" s="2">
        <v>104.5</v>
      </c>
      <c r="L446" s="2">
        <v>110.3</v>
      </c>
      <c r="M446" s="2">
        <f t="shared" si="45"/>
        <v>-5.7999999999999972</v>
      </c>
      <c r="N446" s="1">
        <f t="shared" si="46"/>
        <v>6.1953128816962799E-3</v>
      </c>
      <c r="O446" s="2">
        <v>98.1</v>
      </c>
      <c r="P446" s="2">
        <v>105.1</v>
      </c>
      <c r="Q446" s="2">
        <f t="shared" si="47"/>
        <v>-7</v>
      </c>
      <c r="R446" s="2">
        <v>-1.1000000000000001</v>
      </c>
      <c r="S446" s="2">
        <v>-7</v>
      </c>
      <c r="T446" s="2">
        <f t="shared" si="48"/>
        <v>-1.2000000000000028</v>
      </c>
    </row>
    <row r="447" spans="1:20">
      <c r="A447" s="6">
        <v>736</v>
      </c>
      <c r="B447" t="s">
        <v>65</v>
      </c>
      <c r="C447" t="s">
        <v>22</v>
      </c>
      <c r="D447">
        <v>51</v>
      </c>
      <c r="E447">
        <v>31</v>
      </c>
      <c r="F447" s="1">
        <f t="shared" si="42"/>
        <v>0.62195121951219512</v>
      </c>
      <c r="G447" s="2">
        <v>115.8</v>
      </c>
      <c r="H447" s="2">
        <v>111.7</v>
      </c>
      <c r="I447" s="2">
        <f t="shared" si="43"/>
        <v>4.0999999999999943</v>
      </c>
      <c r="J447" s="1">
        <f t="shared" si="44"/>
        <v>0.62355617559165299</v>
      </c>
      <c r="K447" s="2">
        <v>117.3</v>
      </c>
      <c r="L447" s="2">
        <v>113.3</v>
      </c>
      <c r="M447" s="2">
        <f t="shared" si="45"/>
        <v>4</v>
      </c>
      <c r="N447" s="1">
        <f t="shared" si="46"/>
        <v>-1.6049560794578754E-3</v>
      </c>
      <c r="O447" s="2">
        <v>111.2</v>
      </c>
      <c r="P447" s="2">
        <v>108.4</v>
      </c>
      <c r="Q447" s="2">
        <f t="shared" si="47"/>
        <v>2.7999999999999972</v>
      </c>
      <c r="R447" s="2">
        <v>-1</v>
      </c>
      <c r="S447" s="2">
        <v>-4.7</v>
      </c>
      <c r="T447" s="2">
        <f t="shared" si="48"/>
        <v>-1.2000000000000028</v>
      </c>
    </row>
    <row r="448" spans="1:20">
      <c r="A448" s="6">
        <v>43</v>
      </c>
      <c r="B448" t="s">
        <v>34</v>
      </c>
      <c r="C448" t="s">
        <v>35</v>
      </c>
      <c r="D448">
        <v>23</v>
      </c>
      <c r="E448">
        <v>59</v>
      </c>
      <c r="F448" s="1">
        <f t="shared" si="42"/>
        <v>0.28048780487804881</v>
      </c>
      <c r="G448" s="2">
        <v>89.9</v>
      </c>
      <c r="H448" s="2">
        <v>97.3</v>
      </c>
      <c r="I448" s="2">
        <f t="shared" si="43"/>
        <v>-7.3999999999999915</v>
      </c>
      <c r="J448" s="1">
        <f t="shared" si="44"/>
        <v>0.24835318847310597</v>
      </c>
      <c r="K448" s="2">
        <v>96.6</v>
      </c>
      <c r="L448" s="2">
        <v>104.7</v>
      </c>
      <c r="M448" s="2">
        <f t="shared" si="45"/>
        <v>-8.1000000000000085</v>
      </c>
      <c r="N448" s="1">
        <f t="shared" si="46"/>
        <v>3.2134616404942834E-2</v>
      </c>
      <c r="O448" s="2">
        <v>89.1</v>
      </c>
      <c r="P448" s="2">
        <v>98.5</v>
      </c>
      <c r="Q448" s="2">
        <f t="shared" si="47"/>
        <v>-9.4000000000000057</v>
      </c>
      <c r="R448" s="2">
        <v>-1.2</v>
      </c>
      <c r="S448" s="2">
        <v>-5.9</v>
      </c>
      <c r="T448" s="2">
        <f t="shared" si="48"/>
        <v>-1.2999999999999972</v>
      </c>
    </row>
    <row r="449" spans="1:20">
      <c r="A449" s="6">
        <v>774</v>
      </c>
      <c r="B449" t="s">
        <v>66</v>
      </c>
      <c r="C449" t="s">
        <v>30</v>
      </c>
      <c r="D449">
        <v>35</v>
      </c>
      <c r="E449">
        <v>27</v>
      </c>
      <c r="F449" s="1">
        <f t="shared" si="42"/>
        <v>0.56451612903225812</v>
      </c>
      <c r="G449" s="2">
        <v>113.5</v>
      </c>
      <c r="H449" s="2">
        <v>112</v>
      </c>
      <c r="I449" s="2">
        <f t="shared" si="43"/>
        <v>1.5</v>
      </c>
      <c r="J449" s="1">
        <f t="shared" si="44"/>
        <v>0.54642973229059522</v>
      </c>
      <c r="K449" s="2">
        <v>113.7</v>
      </c>
      <c r="L449" s="2">
        <v>112.2</v>
      </c>
      <c r="M449" s="2">
        <f t="shared" si="45"/>
        <v>1.5</v>
      </c>
      <c r="N449" s="1">
        <f t="shared" si="46"/>
        <v>1.8086396741662902E-2</v>
      </c>
      <c r="O449" s="2">
        <v>104.3</v>
      </c>
      <c r="P449" s="2">
        <v>104.1</v>
      </c>
      <c r="Q449" s="2">
        <f t="shared" si="47"/>
        <v>0.20000000000000284</v>
      </c>
      <c r="R449" s="2">
        <v>-0.5</v>
      </c>
      <c r="S449" s="2">
        <v>-2.2999999999999998</v>
      </c>
      <c r="T449" s="2">
        <f t="shared" si="48"/>
        <v>-1.2999999999999972</v>
      </c>
    </row>
    <row r="450" spans="1:20">
      <c r="A450" s="6">
        <v>18</v>
      </c>
      <c r="B450" t="s">
        <v>4</v>
      </c>
      <c r="C450" t="s">
        <v>22</v>
      </c>
      <c r="D450">
        <v>48</v>
      </c>
      <c r="E450">
        <v>34</v>
      </c>
      <c r="F450" s="1">
        <f t="shared" si="42"/>
        <v>0.58536585365853655</v>
      </c>
      <c r="G450" s="2">
        <v>88.7</v>
      </c>
      <c r="H450" s="2">
        <v>86.1</v>
      </c>
      <c r="I450" s="2">
        <f t="shared" si="43"/>
        <v>2.6000000000000085</v>
      </c>
      <c r="J450" s="1">
        <f t="shared" si="44"/>
        <v>0.6026470301039869</v>
      </c>
      <c r="K450" s="2">
        <v>100</v>
      </c>
      <c r="L450" s="2">
        <v>97</v>
      </c>
      <c r="M450" s="2">
        <f t="shared" si="45"/>
        <v>3</v>
      </c>
      <c r="N450" s="1">
        <f t="shared" si="46"/>
        <v>-1.7281176445450352E-2</v>
      </c>
      <c r="O450" s="2">
        <v>82.7</v>
      </c>
      <c r="P450" s="2">
        <v>81</v>
      </c>
      <c r="Q450" s="2">
        <f t="shared" si="47"/>
        <v>1.7000000000000028</v>
      </c>
      <c r="R450" s="2">
        <v>1.3</v>
      </c>
      <c r="S450" s="2">
        <v>7.2</v>
      </c>
      <c r="T450" s="2">
        <f t="shared" si="48"/>
        <v>-1.2999999999999972</v>
      </c>
    </row>
    <row r="451" spans="1:20">
      <c r="A451" s="6">
        <v>465</v>
      </c>
      <c r="B451" t="s">
        <v>55</v>
      </c>
      <c r="C451" t="s">
        <v>53</v>
      </c>
      <c r="D451">
        <v>30</v>
      </c>
      <c r="E451">
        <v>52</v>
      </c>
      <c r="F451" s="1">
        <f t="shared" si="42"/>
        <v>0.36585365853658536</v>
      </c>
      <c r="G451" s="2">
        <v>102.7</v>
      </c>
      <c r="H451" s="2">
        <v>106.5</v>
      </c>
      <c r="I451" s="2">
        <f t="shared" si="43"/>
        <v>-3.7999999999999972</v>
      </c>
      <c r="J451" s="1">
        <f t="shared" si="44"/>
        <v>0.37550766895906917</v>
      </c>
      <c r="K451" s="2">
        <v>104.8</v>
      </c>
      <c r="L451" s="2">
        <v>108.4</v>
      </c>
      <c r="M451" s="2">
        <f t="shared" si="45"/>
        <v>-3.6000000000000085</v>
      </c>
      <c r="N451" s="1">
        <f t="shared" si="46"/>
        <v>-9.6540104224838164E-3</v>
      </c>
      <c r="O451" s="2">
        <v>106.8</v>
      </c>
      <c r="P451" s="2">
        <v>111.8</v>
      </c>
      <c r="Q451" s="2">
        <f t="shared" si="47"/>
        <v>-5</v>
      </c>
      <c r="R451" s="2">
        <v>-0.6</v>
      </c>
      <c r="S451" s="2">
        <v>-3.7</v>
      </c>
      <c r="T451" s="2">
        <f t="shared" si="48"/>
        <v>-1.3999999999999915</v>
      </c>
    </row>
    <row r="452" spans="1:20">
      <c r="A452" s="6">
        <v>565</v>
      </c>
      <c r="B452" t="s">
        <v>59</v>
      </c>
      <c r="C452" t="s">
        <v>31</v>
      </c>
      <c r="D452">
        <v>50</v>
      </c>
      <c r="E452">
        <v>32</v>
      </c>
      <c r="F452" s="1">
        <f t="shared" si="42"/>
        <v>0.6097560975609756</v>
      </c>
      <c r="G452" s="2">
        <v>111.7</v>
      </c>
      <c r="H452" s="2">
        <v>106.5</v>
      </c>
      <c r="I452" s="2">
        <f t="shared" si="43"/>
        <v>5.2000000000000028</v>
      </c>
      <c r="J452" s="1">
        <f t="shared" si="44"/>
        <v>0.66092164871809023</v>
      </c>
      <c r="K452" s="2">
        <v>110.3</v>
      </c>
      <c r="L452" s="2">
        <v>105.3</v>
      </c>
      <c r="M452" s="2">
        <f t="shared" si="45"/>
        <v>5</v>
      </c>
      <c r="N452" s="1">
        <f t="shared" si="46"/>
        <v>-5.116555115711463E-2</v>
      </c>
      <c r="O452" s="2">
        <v>112.7</v>
      </c>
      <c r="P452" s="2">
        <v>109.1</v>
      </c>
      <c r="Q452" s="2">
        <f t="shared" si="47"/>
        <v>3.6000000000000085</v>
      </c>
      <c r="R452" s="2">
        <v>0.6</v>
      </c>
      <c r="S452" s="2">
        <v>4.0999999999999996</v>
      </c>
      <c r="T452" s="2">
        <f t="shared" si="48"/>
        <v>-1.3999999999999915</v>
      </c>
    </row>
    <row r="453" spans="1:20">
      <c r="A453" s="6">
        <v>367</v>
      </c>
      <c r="B453" t="s">
        <v>50</v>
      </c>
      <c r="C453" t="s">
        <v>14</v>
      </c>
      <c r="D453">
        <v>45</v>
      </c>
      <c r="E453">
        <v>37</v>
      </c>
      <c r="F453" s="1">
        <f t="shared" si="42"/>
        <v>0.54878048780487809</v>
      </c>
      <c r="G453" s="2">
        <v>106</v>
      </c>
      <c r="H453" s="2">
        <v>102.5</v>
      </c>
      <c r="I453" s="2">
        <f t="shared" si="43"/>
        <v>3.5</v>
      </c>
      <c r="J453" s="1">
        <f t="shared" si="44"/>
        <v>0.61539988348983532</v>
      </c>
      <c r="K453" s="2">
        <v>108.8</v>
      </c>
      <c r="L453" s="2">
        <v>105.3</v>
      </c>
      <c r="M453" s="2">
        <f t="shared" si="45"/>
        <v>3.5</v>
      </c>
      <c r="N453" s="1">
        <f t="shared" si="46"/>
        <v>-6.6619395684957228E-2</v>
      </c>
      <c r="O453" s="2">
        <v>105.4</v>
      </c>
      <c r="P453" s="2">
        <v>103.3</v>
      </c>
      <c r="Q453" s="2">
        <f t="shared" si="47"/>
        <v>2.1000000000000085</v>
      </c>
      <c r="R453" s="2">
        <v>1.1000000000000001</v>
      </c>
      <c r="S453" s="2">
        <v>5.2</v>
      </c>
      <c r="T453" s="2">
        <f t="shared" si="48"/>
        <v>-1.3999999999999915</v>
      </c>
    </row>
    <row r="454" spans="1:20">
      <c r="A454" s="6">
        <v>737</v>
      </c>
      <c r="B454" t="s">
        <v>65</v>
      </c>
      <c r="C454" t="s">
        <v>46</v>
      </c>
      <c r="D454">
        <v>67</v>
      </c>
      <c r="E454">
        <v>14</v>
      </c>
      <c r="F454" s="1">
        <f t="shared" si="42"/>
        <v>0.8271604938271605</v>
      </c>
      <c r="G454" s="2">
        <v>120.6</v>
      </c>
      <c r="H454" s="2">
        <v>107.8</v>
      </c>
      <c r="I454" s="2">
        <f t="shared" si="43"/>
        <v>12.799999999999997</v>
      </c>
      <c r="J454" s="1">
        <f t="shared" si="44"/>
        <v>0.82790086778629035</v>
      </c>
      <c r="K454" s="2">
        <v>119.3</v>
      </c>
      <c r="L454" s="2">
        <v>106.7</v>
      </c>
      <c r="M454" s="2">
        <f t="shared" si="45"/>
        <v>12.599999999999994</v>
      </c>
      <c r="N454" s="1">
        <f t="shared" si="46"/>
        <v>-7.4037395912984749E-4</v>
      </c>
      <c r="O454" s="2">
        <v>118.2</v>
      </c>
      <c r="P454" s="2">
        <v>107.1</v>
      </c>
      <c r="Q454" s="2">
        <f t="shared" si="47"/>
        <v>11.100000000000009</v>
      </c>
      <c r="R454" s="2">
        <v>1.9</v>
      </c>
      <c r="S454" s="2">
        <v>9.1</v>
      </c>
      <c r="T454" s="2">
        <f t="shared" si="48"/>
        <v>-1.4999999999999858</v>
      </c>
    </row>
    <row r="455" spans="1:20">
      <c r="A455" s="6">
        <v>91</v>
      </c>
      <c r="B455" t="s">
        <v>38</v>
      </c>
      <c r="C455" t="s">
        <v>9</v>
      </c>
      <c r="D455">
        <v>35</v>
      </c>
      <c r="E455">
        <v>47</v>
      </c>
      <c r="F455" s="1">
        <f t="shared" si="42"/>
        <v>0.42682926829268292</v>
      </c>
      <c r="G455" s="2">
        <v>92.9</v>
      </c>
      <c r="H455" s="2">
        <v>95.5</v>
      </c>
      <c r="I455" s="2">
        <f t="shared" si="43"/>
        <v>-2.5999999999999943</v>
      </c>
      <c r="J455" s="1">
        <f t="shared" si="44"/>
        <v>0.40457545277008533</v>
      </c>
      <c r="K455" s="2">
        <v>100.6</v>
      </c>
      <c r="L455" s="2">
        <v>103.1</v>
      </c>
      <c r="M455" s="2">
        <f t="shared" si="45"/>
        <v>-2.5</v>
      </c>
      <c r="N455" s="1">
        <f t="shared" si="46"/>
        <v>2.2253815522597586E-2</v>
      </c>
      <c r="O455" s="2">
        <v>93.1</v>
      </c>
      <c r="P455" s="2">
        <v>97.1</v>
      </c>
      <c r="Q455" s="2">
        <f t="shared" si="47"/>
        <v>-4</v>
      </c>
      <c r="R455" s="2">
        <v>-0.5</v>
      </c>
      <c r="S455" s="2">
        <v>-4.2</v>
      </c>
      <c r="T455" s="2">
        <f t="shared" si="48"/>
        <v>-1.5</v>
      </c>
    </row>
    <row r="456" spans="1:20">
      <c r="A456" s="6">
        <v>667</v>
      </c>
      <c r="B456" t="s">
        <v>63</v>
      </c>
      <c r="C456" t="s">
        <v>14</v>
      </c>
      <c r="D456">
        <v>22</v>
      </c>
      <c r="E456">
        <v>60</v>
      </c>
      <c r="F456" s="1">
        <f t="shared" si="42"/>
        <v>0.26829268292682928</v>
      </c>
      <c r="G456" s="2">
        <v>110.7</v>
      </c>
      <c r="H456" s="2">
        <v>118.6</v>
      </c>
      <c r="I456" s="2">
        <f t="shared" si="43"/>
        <v>-7.8999999999999915</v>
      </c>
      <c r="J456" s="1">
        <f t="shared" si="44"/>
        <v>0.27586683135290885</v>
      </c>
      <c r="K456" s="2">
        <v>110.5</v>
      </c>
      <c r="L456" s="2">
        <v>118.6</v>
      </c>
      <c r="M456" s="2">
        <f t="shared" si="45"/>
        <v>-8.0999999999999943</v>
      </c>
      <c r="N456" s="1">
        <f t="shared" si="46"/>
        <v>-7.5741484260795633E-3</v>
      </c>
      <c r="O456" s="2">
        <v>91.4</v>
      </c>
      <c r="P456" s="2">
        <v>101</v>
      </c>
      <c r="Q456" s="2">
        <f t="shared" si="47"/>
        <v>-9.5999999999999943</v>
      </c>
      <c r="R456" s="2">
        <v>-1.9</v>
      </c>
      <c r="S456" s="2">
        <v>-8.1</v>
      </c>
      <c r="T456" s="2">
        <f t="shared" si="48"/>
        <v>-1.5</v>
      </c>
    </row>
    <row r="457" spans="1:20">
      <c r="A457" s="6">
        <v>468</v>
      </c>
      <c r="B457" t="s">
        <v>55</v>
      </c>
      <c r="C457" t="s">
        <v>23</v>
      </c>
      <c r="D457">
        <v>35</v>
      </c>
      <c r="E457">
        <v>47</v>
      </c>
      <c r="F457" s="1">
        <f t="shared" ref="F457:F520" si="49">+D457/(D457+E457)</f>
        <v>0.42682926829268292</v>
      </c>
      <c r="G457" s="2">
        <v>102.1</v>
      </c>
      <c r="H457" s="2">
        <v>103.7</v>
      </c>
      <c r="I457" s="2">
        <f t="shared" ref="I457:I520" si="50">+G457-H457</f>
        <v>-1.6000000000000085</v>
      </c>
      <c r="J457" s="1">
        <f t="shared" ref="J457:J520" si="51">+(G457^14)/((G457^14+H457^14))</f>
        <v>0.44579104414763582</v>
      </c>
      <c r="K457" s="2">
        <v>104.4</v>
      </c>
      <c r="L457" s="2">
        <v>106</v>
      </c>
      <c r="M457" s="2">
        <f t="shared" ref="M457:M520" si="52">+K457-L457</f>
        <v>-1.5999999999999943</v>
      </c>
      <c r="N457" s="1">
        <f t="shared" ref="N457:N520" si="53">+F457-J457</f>
        <v>-1.89617758549529E-2</v>
      </c>
      <c r="O457" s="2">
        <v>94.2</v>
      </c>
      <c r="P457" s="2">
        <v>97.3</v>
      </c>
      <c r="Q457" s="2">
        <f t="shared" ref="Q457:Q520" si="54">+O457-P457</f>
        <v>-3.0999999999999943</v>
      </c>
      <c r="R457" s="2">
        <v>-0.7</v>
      </c>
      <c r="S457" s="2">
        <v>-3.9</v>
      </c>
      <c r="T457" s="2">
        <f t="shared" ref="T457:T520" si="55">+Q457-M457</f>
        <v>-1.5</v>
      </c>
    </row>
    <row r="458" spans="1:20">
      <c r="A458" s="6">
        <v>637</v>
      </c>
      <c r="B458" t="s">
        <v>62</v>
      </c>
      <c r="C458" t="s">
        <v>14</v>
      </c>
      <c r="D458">
        <v>20</v>
      </c>
      <c r="E458">
        <v>62</v>
      </c>
      <c r="F458" s="1">
        <f t="shared" si="49"/>
        <v>0.24390243902439024</v>
      </c>
      <c r="G458" s="2">
        <v>109.7</v>
      </c>
      <c r="H458" s="2">
        <v>118.2</v>
      </c>
      <c r="I458" s="2">
        <f t="shared" si="50"/>
        <v>-8.5</v>
      </c>
      <c r="J458" s="1">
        <f t="shared" si="51"/>
        <v>0.2602244449686712</v>
      </c>
      <c r="K458" s="2">
        <v>108.1</v>
      </c>
      <c r="L458" s="2">
        <v>116.4</v>
      </c>
      <c r="M458" s="2">
        <f t="shared" si="52"/>
        <v>-8.3000000000000114</v>
      </c>
      <c r="N458" s="1">
        <f t="shared" si="53"/>
        <v>-1.632200594428096E-2</v>
      </c>
      <c r="O458" s="2">
        <v>100.4</v>
      </c>
      <c r="P458" s="2">
        <v>110.3</v>
      </c>
      <c r="Q458" s="2">
        <f t="shared" si="54"/>
        <v>-9.8999999999999915</v>
      </c>
      <c r="R458" s="2">
        <v>-0.4</v>
      </c>
      <c r="S458" s="2">
        <v>-4.0999999999999996</v>
      </c>
      <c r="T458" s="2">
        <f t="shared" si="55"/>
        <v>-1.5999999999999801</v>
      </c>
    </row>
    <row r="459" spans="1:20">
      <c r="A459" s="6">
        <v>542</v>
      </c>
      <c r="B459" t="s">
        <v>59</v>
      </c>
      <c r="C459" t="s">
        <v>9</v>
      </c>
      <c r="D459">
        <v>19</v>
      </c>
      <c r="E459">
        <v>63</v>
      </c>
      <c r="F459" s="1">
        <f t="shared" si="49"/>
        <v>0.23170731707317074</v>
      </c>
      <c r="G459" s="2">
        <v>104.5</v>
      </c>
      <c r="H459" s="2">
        <v>114.1</v>
      </c>
      <c r="I459" s="2">
        <f t="shared" si="50"/>
        <v>-9.5999999999999943</v>
      </c>
      <c r="J459" s="1">
        <f t="shared" si="51"/>
        <v>0.22610537023312996</v>
      </c>
      <c r="K459" s="2">
        <v>106.8</v>
      </c>
      <c r="L459" s="2">
        <v>116.8</v>
      </c>
      <c r="M459" s="2">
        <f t="shared" si="52"/>
        <v>-10</v>
      </c>
      <c r="N459" s="1">
        <f t="shared" si="53"/>
        <v>5.6019468400407835E-3</v>
      </c>
      <c r="O459" s="2">
        <v>99</v>
      </c>
      <c r="P459" s="2">
        <v>110.6</v>
      </c>
      <c r="Q459" s="2">
        <f t="shared" si="54"/>
        <v>-11.599999999999994</v>
      </c>
      <c r="R459" s="2">
        <v>-1.7</v>
      </c>
      <c r="S459" s="2">
        <v>-7.5</v>
      </c>
      <c r="T459" s="2">
        <f t="shared" si="55"/>
        <v>-1.5999999999999943</v>
      </c>
    </row>
    <row r="460" spans="1:20">
      <c r="A460" s="6">
        <v>597</v>
      </c>
      <c r="B460" t="s">
        <v>61</v>
      </c>
      <c r="C460" t="s">
        <v>5</v>
      </c>
      <c r="D460">
        <v>41</v>
      </c>
      <c r="E460">
        <v>31</v>
      </c>
      <c r="F460" s="1">
        <f t="shared" si="49"/>
        <v>0.56944444444444442</v>
      </c>
      <c r="G460" s="2">
        <v>113.7</v>
      </c>
      <c r="H460" s="2">
        <v>111.4</v>
      </c>
      <c r="I460" s="2">
        <f t="shared" si="50"/>
        <v>2.2999999999999972</v>
      </c>
      <c r="J460" s="1">
        <f t="shared" si="51"/>
        <v>0.57104231246361747</v>
      </c>
      <c r="K460" s="2">
        <v>114.3</v>
      </c>
      <c r="L460" s="2">
        <v>112.1</v>
      </c>
      <c r="M460" s="2">
        <f t="shared" si="52"/>
        <v>2.2000000000000028</v>
      </c>
      <c r="N460" s="1">
        <f t="shared" si="53"/>
        <v>-1.5978680191730543E-3</v>
      </c>
      <c r="O460" s="2">
        <v>113.7</v>
      </c>
      <c r="P460" s="2">
        <v>113.1</v>
      </c>
      <c r="Q460" s="2">
        <f t="shared" si="54"/>
        <v>0.60000000000000853</v>
      </c>
      <c r="R460" s="2">
        <v>0.7</v>
      </c>
      <c r="S460" s="2">
        <v>3.1</v>
      </c>
      <c r="T460" s="2">
        <f t="shared" si="55"/>
        <v>-1.5999999999999943</v>
      </c>
    </row>
    <row r="461" spans="1:20">
      <c r="A461" s="6">
        <v>156</v>
      </c>
      <c r="B461" t="s">
        <v>41</v>
      </c>
      <c r="C461" t="s">
        <v>14</v>
      </c>
      <c r="D461">
        <v>34</v>
      </c>
      <c r="E461">
        <v>48</v>
      </c>
      <c r="F461" s="1">
        <f t="shared" si="49"/>
        <v>0.41463414634146339</v>
      </c>
      <c r="G461" s="2">
        <v>90.1</v>
      </c>
      <c r="H461" s="2">
        <v>91.7</v>
      </c>
      <c r="I461" s="2">
        <f t="shared" si="50"/>
        <v>-1.6000000000000085</v>
      </c>
      <c r="J461" s="1">
        <f t="shared" si="51"/>
        <v>0.43870214445209316</v>
      </c>
      <c r="K461" s="2">
        <v>100.4</v>
      </c>
      <c r="L461" s="2">
        <v>102.1</v>
      </c>
      <c r="M461" s="2">
        <f t="shared" si="52"/>
        <v>-1.6999999999999886</v>
      </c>
      <c r="N461" s="1">
        <f t="shared" si="53"/>
        <v>-2.4067998110629762E-2</v>
      </c>
      <c r="O461" s="2">
        <v>97.2</v>
      </c>
      <c r="P461" s="2">
        <v>100.5</v>
      </c>
      <c r="Q461" s="2">
        <f t="shared" si="54"/>
        <v>-3.2999999999999972</v>
      </c>
      <c r="R461" s="2">
        <v>0.4</v>
      </c>
      <c r="S461" s="2">
        <v>1.8</v>
      </c>
      <c r="T461" s="2">
        <f t="shared" si="55"/>
        <v>-1.6000000000000085</v>
      </c>
    </row>
    <row r="462" spans="1:20">
      <c r="A462" s="6">
        <v>772</v>
      </c>
      <c r="B462" t="s">
        <v>66</v>
      </c>
      <c r="C462" t="s">
        <v>27</v>
      </c>
      <c r="D462">
        <v>14</v>
      </c>
      <c r="E462">
        <v>50</v>
      </c>
      <c r="F462" s="1">
        <f t="shared" si="49"/>
        <v>0.21875</v>
      </c>
      <c r="G462" s="2">
        <v>110.4</v>
      </c>
      <c r="H462" s="2">
        <v>121.3</v>
      </c>
      <c r="I462" s="2">
        <f t="shared" si="50"/>
        <v>-10.899999999999991</v>
      </c>
      <c r="J462" s="1">
        <f t="shared" si="51"/>
        <v>0.21111899676961832</v>
      </c>
      <c r="K462" s="2">
        <v>109.6</v>
      </c>
      <c r="L462" s="2">
        <v>120.2</v>
      </c>
      <c r="M462" s="2">
        <f t="shared" si="52"/>
        <v>-10.600000000000009</v>
      </c>
      <c r="N462" s="1">
        <f t="shared" si="53"/>
        <v>7.6310032303816833E-3</v>
      </c>
      <c r="O462" s="2">
        <v>103.5</v>
      </c>
      <c r="P462" s="2">
        <v>115.8</v>
      </c>
      <c r="Q462" s="2">
        <f t="shared" si="54"/>
        <v>-12.299999999999997</v>
      </c>
      <c r="R462" s="2">
        <v>-3.1</v>
      </c>
      <c r="S462" s="2">
        <v>-13.4</v>
      </c>
      <c r="T462" s="2">
        <f t="shared" si="55"/>
        <v>-1.6999999999999886</v>
      </c>
    </row>
    <row r="463" spans="1:20">
      <c r="A463" s="6">
        <v>486</v>
      </c>
      <c r="B463" t="s">
        <v>57</v>
      </c>
      <c r="C463" t="s">
        <v>13</v>
      </c>
      <c r="D463">
        <v>67</v>
      </c>
      <c r="E463">
        <v>15</v>
      </c>
      <c r="F463" s="1">
        <f t="shared" si="49"/>
        <v>0.81707317073170727</v>
      </c>
      <c r="G463" s="2">
        <v>115.9</v>
      </c>
      <c r="H463" s="2">
        <v>104.3</v>
      </c>
      <c r="I463" s="2">
        <f t="shared" si="50"/>
        <v>11.600000000000009</v>
      </c>
      <c r="J463" s="1">
        <f t="shared" si="51"/>
        <v>0.81402660694533269</v>
      </c>
      <c r="K463" s="2">
        <v>114.8</v>
      </c>
      <c r="L463" s="2">
        <v>103.4</v>
      </c>
      <c r="M463" s="2">
        <f t="shared" si="52"/>
        <v>11.399999999999991</v>
      </c>
      <c r="N463" s="1">
        <f t="shared" si="53"/>
        <v>3.0465637863745787E-3</v>
      </c>
      <c r="O463" s="2">
        <v>109.7</v>
      </c>
      <c r="P463" s="2">
        <v>100</v>
      </c>
      <c r="Q463" s="2">
        <f t="shared" si="54"/>
        <v>9.7000000000000028</v>
      </c>
      <c r="R463" s="2">
        <v>0.2</v>
      </c>
      <c r="S463" s="2">
        <v>2.7</v>
      </c>
      <c r="T463" s="2">
        <f t="shared" si="55"/>
        <v>-1.6999999999999886</v>
      </c>
    </row>
    <row r="464" spans="1:20">
      <c r="A464" s="6">
        <v>770</v>
      </c>
      <c r="B464" t="s">
        <v>66</v>
      </c>
      <c r="C464" t="s">
        <v>25</v>
      </c>
      <c r="D464">
        <v>36</v>
      </c>
      <c r="E464">
        <v>27</v>
      </c>
      <c r="F464" s="1">
        <f t="shared" si="49"/>
        <v>0.5714285714285714</v>
      </c>
      <c r="G464" s="2">
        <v>112.1</v>
      </c>
      <c r="H464" s="2">
        <v>111.2</v>
      </c>
      <c r="I464" s="2">
        <f t="shared" si="50"/>
        <v>0.89999999999999147</v>
      </c>
      <c r="J464" s="1">
        <f t="shared" si="51"/>
        <v>0.52818341359119181</v>
      </c>
      <c r="K464" s="2">
        <v>113.4</v>
      </c>
      <c r="L464" s="2">
        <v>112.5</v>
      </c>
      <c r="M464" s="2">
        <f t="shared" si="52"/>
        <v>0.90000000000000568</v>
      </c>
      <c r="N464" s="1">
        <f t="shared" si="53"/>
        <v>4.3245157837379589E-2</v>
      </c>
      <c r="O464" s="2">
        <v>113.4</v>
      </c>
      <c r="P464" s="2">
        <v>114.2</v>
      </c>
      <c r="Q464" s="2">
        <f t="shared" si="54"/>
        <v>-0.79999999999999716</v>
      </c>
      <c r="R464" s="2">
        <v>-1.1000000000000001</v>
      </c>
      <c r="S464" s="2">
        <v>-6.2</v>
      </c>
      <c r="T464" s="2">
        <f t="shared" si="55"/>
        <v>-1.7000000000000028</v>
      </c>
    </row>
    <row r="465" spans="1:20">
      <c r="A465" s="6">
        <v>644</v>
      </c>
      <c r="B465" t="s">
        <v>62</v>
      </c>
      <c r="C465" t="s">
        <v>20</v>
      </c>
      <c r="D465">
        <v>46</v>
      </c>
      <c r="E465">
        <v>36</v>
      </c>
      <c r="F465" s="1">
        <f t="shared" si="49"/>
        <v>0.56097560975609762</v>
      </c>
      <c r="G465" s="2">
        <v>115.9</v>
      </c>
      <c r="H465" s="2">
        <v>113.3</v>
      </c>
      <c r="I465" s="2">
        <f t="shared" si="50"/>
        <v>2.6000000000000085</v>
      </c>
      <c r="J465" s="1">
        <f t="shared" si="51"/>
        <v>0.57874903178603399</v>
      </c>
      <c r="K465" s="2">
        <v>113.8</v>
      </c>
      <c r="L465" s="2">
        <v>111</v>
      </c>
      <c r="M465" s="2">
        <f t="shared" si="52"/>
        <v>2.7999999999999972</v>
      </c>
      <c r="N465" s="1">
        <f t="shared" si="53"/>
        <v>-1.777342202993637E-2</v>
      </c>
      <c r="O465" s="2">
        <v>107.1</v>
      </c>
      <c r="P465" s="2">
        <v>106</v>
      </c>
      <c r="Q465" s="2">
        <f t="shared" si="54"/>
        <v>1.0999999999999943</v>
      </c>
      <c r="R465" s="2">
        <v>-0.9</v>
      </c>
      <c r="S465" s="2">
        <v>-3.7</v>
      </c>
      <c r="T465" s="2">
        <f t="shared" si="55"/>
        <v>-1.7000000000000028</v>
      </c>
    </row>
    <row r="466" spans="1:20">
      <c r="A466" s="6">
        <v>545</v>
      </c>
      <c r="B466" t="s">
        <v>59</v>
      </c>
      <c r="C466" t="s">
        <v>12</v>
      </c>
      <c r="D466">
        <v>41</v>
      </c>
      <c r="E466">
        <v>41</v>
      </c>
      <c r="F466" s="1">
        <f t="shared" si="49"/>
        <v>0.5</v>
      </c>
      <c r="G466" s="2">
        <v>107</v>
      </c>
      <c r="H466" s="2">
        <v>107.3</v>
      </c>
      <c r="I466" s="2">
        <f t="shared" si="50"/>
        <v>-0.29999999999999716</v>
      </c>
      <c r="J466" s="1">
        <f t="shared" si="51"/>
        <v>0.4902019013698185</v>
      </c>
      <c r="K466" s="2">
        <v>108.4</v>
      </c>
      <c r="L466" s="2">
        <v>108.7</v>
      </c>
      <c r="M466" s="2">
        <f t="shared" si="52"/>
        <v>-0.29999999999999716</v>
      </c>
      <c r="N466" s="1">
        <f t="shared" si="53"/>
        <v>9.7980986301814954E-3</v>
      </c>
      <c r="O466" s="2">
        <v>111.9</v>
      </c>
      <c r="P466" s="2">
        <v>114</v>
      </c>
      <c r="Q466" s="2">
        <f t="shared" si="54"/>
        <v>-2.0999999999999943</v>
      </c>
      <c r="R466" s="2">
        <v>1.1000000000000001</v>
      </c>
      <c r="S466" s="2">
        <v>3</v>
      </c>
      <c r="T466" s="2">
        <f t="shared" si="55"/>
        <v>-1.7999999999999972</v>
      </c>
    </row>
    <row r="467" spans="1:20">
      <c r="A467" s="6">
        <v>188</v>
      </c>
      <c r="B467" t="s">
        <v>43</v>
      </c>
      <c r="C467" t="s">
        <v>16</v>
      </c>
      <c r="D467">
        <v>40</v>
      </c>
      <c r="E467">
        <v>42</v>
      </c>
      <c r="F467" s="1">
        <f t="shared" si="49"/>
        <v>0.48780487804878048</v>
      </c>
      <c r="G467" s="2">
        <v>95.6</v>
      </c>
      <c r="H467" s="2">
        <v>96.1</v>
      </c>
      <c r="I467" s="2">
        <f t="shared" si="50"/>
        <v>-0.5</v>
      </c>
      <c r="J467" s="1">
        <f t="shared" si="51"/>
        <v>0.48175037478926502</v>
      </c>
      <c r="K467" s="2">
        <v>103.8</v>
      </c>
      <c r="L467" s="2">
        <v>104.2</v>
      </c>
      <c r="M467" s="2">
        <f t="shared" si="52"/>
        <v>-0.40000000000000568</v>
      </c>
      <c r="N467" s="1">
        <f t="shared" si="53"/>
        <v>6.0545032595154535E-3</v>
      </c>
      <c r="O467" s="2">
        <v>105.7</v>
      </c>
      <c r="P467" s="2">
        <v>107.9</v>
      </c>
      <c r="Q467" s="2">
        <f t="shared" si="54"/>
        <v>-2.2000000000000028</v>
      </c>
      <c r="R467" s="2">
        <v>-0.3</v>
      </c>
      <c r="S467" s="2">
        <v>0.1</v>
      </c>
      <c r="T467" s="2">
        <f t="shared" si="55"/>
        <v>-1.7999999999999972</v>
      </c>
    </row>
    <row r="468" spans="1:20">
      <c r="A468" s="6">
        <v>328</v>
      </c>
      <c r="B468" t="s">
        <v>49</v>
      </c>
      <c r="C468" t="s">
        <v>6</v>
      </c>
      <c r="D468">
        <v>39</v>
      </c>
      <c r="E468">
        <v>27</v>
      </c>
      <c r="F468" s="1">
        <f t="shared" si="49"/>
        <v>0.59090909090909094</v>
      </c>
      <c r="G468" s="2">
        <v>91.8</v>
      </c>
      <c r="H468" s="2">
        <v>89.3</v>
      </c>
      <c r="I468" s="2">
        <f t="shared" si="50"/>
        <v>2.5</v>
      </c>
      <c r="J468" s="1">
        <f t="shared" si="51"/>
        <v>0.59545222881559101</v>
      </c>
      <c r="K468" s="2">
        <v>100.1</v>
      </c>
      <c r="L468" s="2">
        <v>97.5</v>
      </c>
      <c r="M468" s="2">
        <f t="shared" si="52"/>
        <v>2.5999999999999943</v>
      </c>
      <c r="N468" s="1">
        <f t="shared" si="53"/>
        <v>-4.5431379065000721E-3</v>
      </c>
      <c r="O468" s="2">
        <v>101.2</v>
      </c>
      <c r="P468" s="2">
        <v>100.4</v>
      </c>
      <c r="Q468" s="2">
        <f t="shared" si="54"/>
        <v>0.79999999999999716</v>
      </c>
      <c r="R468" s="2">
        <v>0.1</v>
      </c>
      <c r="S468" s="2">
        <v>1.2</v>
      </c>
      <c r="T468" s="2">
        <f t="shared" si="55"/>
        <v>-1.7999999999999972</v>
      </c>
    </row>
    <row r="469" spans="1:20">
      <c r="A469" s="6">
        <v>167</v>
      </c>
      <c r="B469" t="s">
        <v>41</v>
      </c>
      <c r="C469" t="s">
        <v>23</v>
      </c>
      <c r="D469">
        <v>36</v>
      </c>
      <c r="E469">
        <v>46</v>
      </c>
      <c r="F469" s="1">
        <f t="shared" si="49"/>
        <v>0.43902439024390244</v>
      </c>
      <c r="G469" s="2">
        <v>94.9</v>
      </c>
      <c r="H469" s="2">
        <v>96</v>
      </c>
      <c r="I469" s="2">
        <f t="shared" si="50"/>
        <v>-1.0999999999999943</v>
      </c>
      <c r="J469" s="1">
        <f t="shared" si="51"/>
        <v>0.45975157223924717</v>
      </c>
      <c r="K469" s="2">
        <v>105.3</v>
      </c>
      <c r="L469" s="2">
        <v>106.6</v>
      </c>
      <c r="M469" s="2">
        <f t="shared" si="52"/>
        <v>-1.2999999999999972</v>
      </c>
      <c r="N469" s="1">
        <f t="shared" si="53"/>
        <v>-2.0727181995344734E-2</v>
      </c>
      <c r="O469" s="2">
        <v>100.8</v>
      </c>
      <c r="P469" s="2">
        <v>103.9</v>
      </c>
      <c r="Q469" s="2">
        <f t="shared" si="54"/>
        <v>-3.1000000000000085</v>
      </c>
      <c r="R469" s="2">
        <v>0.1</v>
      </c>
      <c r="S469" s="2">
        <v>-0.7</v>
      </c>
      <c r="T469" s="2">
        <f t="shared" si="55"/>
        <v>-1.8000000000000114</v>
      </c>
    </row>
    <row r="470" spans="1:20">
      <c r="A470" s="6">
        <v>96</v>
      </c>
      <c r="B470" t="s">
        <v>38</v>
      </c>
      <c r="C470" t="s">
        <v>14</v>
      </c>
      <c r="D470">
        <v>45</v>
      </c>
      <c r="E470">
        <v>37</v>
      </c>
      <c r="F470" s="1">
        <f t="shared" si="49"/>
        <v>0.54878048780487809</v>
      </c>
      <c r="G470" s="2">
        <v>89.8</v>
      </c>
      <c r="H470" s="2">
        <v>88</v>
      </c>
      <c r="I470" s="2">
        <f t="shared" si="50"/>
        <v>1.7999999999999972</v>
      </c>
      <c r="J470" s="1">
        <f t="shared" si="51"/>
        <v>0.5703977764006517</v>
      </c>
      <c r="K470" s="2">
        <v>99.7</v>
      </c>
      <c r="L470" s="2">
        <v>97.8</v>
      </c>
      <c r="M470" s="2">
        <f t="shared" si="52"/>
        <v>1.9000000000000057</v>
      </c>
      <c r="N470" s="1">
        <f t="shared" si="53"/>
        <v>-2.1617288595773609E-2</v>
      </c>
      <c r="O470" s="2">
        <v>105.8</v>
      </c>
      <c r="P470" s="2">
        <v>105.7</v>
      </c>
      <c r="Q470" s="2">
        <f t="shared" si="54"/>
        <v>9.9999999999994316E-2</v>
      </c>
      <c r="R470" s="2">
        <v>-0.1</v>
      </c>
      <c r="S470" s="2">
        <v>-0.2</v>
      </c>
      <c r="T470" s="2">
        <f t="shared" si="55"/>
        <v>-1.8000000000000114</v>
      </c>
    </row>
    <row r="471" spans="1:20">
      <c r="A471" s="6">
        <v>608</v>
      </c>
      <c r="B471" t="s">
        <v>61</v>
      </c>
      <c r="C471" t="s">
        <v>15</v>
      </c>
      <c r="D471">
        <v>34</v>
      </c>
      <c r="E471">
        <v>38</v>
      </c>
      <c r="F471" s="1">
        <f t="shared" si="49"/>
        <v>0.47222222222222221</v>
      </c>
      <c r="G471" s="2">
        <v>115.3</v>
      </c>
      <c r="H471" s="2">
        <v>115.3</v>
      </c>
      <c r="I471" s="2">
        <f t="shared" si="50"/>
        <v>0</v>
      </c>
      <c r="J471" s="1">
        <f t="shared" si="51"/>
        <v>0.5</v>
      </c>
      <c r="K471" s="2">
        <v>111.9</v>
      </c>
      <c r="L471" s="2">
        <v>111.9</v>
      </c>
      <c r="M471" s="2">
        <f t="shared" si="52"/>
        <v>0</v>
      </c>
      <c r="N471" s="1">
        <f t="shared" si="53"/>
        <v>-2.777777777777779E-2</v>
      </c>
      <c r="O471" s="2">
        <v>101.1</v>
      </c>
      <c r="P471" s="2">
        <v>102.9</v>
      </c>
      <c r="Q471" s="2">
        <f t="shared" si="54"/>
        <v>-1.8000000000000114</v>
      </c>
      <c r="R471" s="2">
        <v>-0.2</v>
      </c>
      <c r="S471" s="2">
        <v>-1</v>
      </c>
      <c r="T471" s="2">
        <f t="shared" si="55"/>
        <v>-1.8000000000000114</v>
      </c>
    </row>
    <row r="472" spans="1:20">
      <c r="A472" s="6">
        <v>141</v>
      </c>
      <c r="B472" t="s">
        <v>39</v>
      </c>
      <c r="C472" t="s">
        <v>27</v>
      </c>
      <c r="D472">
        <v>50</v>
      </c>
      <c r="E472">
        <v>32</v>
      </c>
      <c r="F472" s="1">
        <f t="shared" si="49"/>
        <v>0.6097560975609756</v>
      </c>
      <c r="G472" s="2">
        <v>103.7</v>
      </c>
      <c r="H472" s="2">
        <v>101.6</v>
      </c>
      <c r="I472" s="2">
        <f t="shared" si="50"/>
        <v>2.1000000000000085</v>
      </c>
      <c r="J472" s="1">
        <f t="shared" si="51"/>
        <v>0.57111949434189069</v>
      </c>
      <c r="K472" s="2">
        <v>108.8</v>
      </c>
      <c r="L472" s="2">
        <v>106.5</v>
      </c>
      <c r="M472" s="2">
        <f t="shared" si="52"/>
        <v>2.2999999999999972</v>
      </c>
      <c r="N472" s="1">
        <f t="shared" si="53"/>
        <v>3.8636603219084908E-2</v>
      </c>
      <c r="O472" s="2">
        <v>105.2</v>
      </c>
      <c r="P472" s="2">
        <v>104.8</v>
      </c>
      <c r="Q472" s="2">
        <f t="shared" si="54"/>
        <v>0.40000000000000568</v>
      </c>
      <c r="R472" s="2">
        <v>0</v>
      </c>
      <c r="S472" s="2">
        <v>0.4</v>
      </c>
      <c r="T472" s="2">
        <f t="shared" si="55"/>
        <v>-1.8999999999999915</v>
      </c>
    </row>
    <row r="473" spans="1:20">
      <c r="A473" s="6">
        <v>495</v>
      </c>
      <c r="B473" t="s">
        <v>57</v>
      </c>
      <c r="C473" t="s">
        <v>53</v>
      </c>
      <c r="D473">
        <v>34</v>
      </c>
      <c r="E473">
        <v>48</v>
      </c>
      <c r="F473" s="1">
        <f t="shared" si="49"/>
        <v>0.41463414634146339</v>
      </c>
      <c r="G473" s="2">
        <v>104.3</v>
      </c>
      <c r="H473" s="2">
        <v>106.4</v>
      </c>
      <c r="I473" s="2">
        <f t="shared" si="50"/>
        <v>-2.1000000000000085</v>
      </c>
      <c r="J473" s="1">
        <f t="shared" si="51"/>
        <v>0.4306795838171591</v>
      </c>
      <c r="K473" s="2">
        <v>104.7</v>
      </c>
      <c r="L473" s="2">
        <v>106.8</v>
      </c>
      <c r="M473" s="2">
        <f t="shared" si="52"/>
        <v>-2.0999999999999943</v>
      </c>
      <c r="N473" s="1">
        <f t="shared" si="53"/>
        <v>-1.6045437475695701E-2</v>
      </c>
      <c r="O473" s="2">
        <v>91.6</v>
      </c>
      <c r="P473" s="2">
        <v>95.6</v>
      </c>
      <c r="Q473" s="2">
        <f t="shared" si="54"/>
        <v>-4</v>
      </c>
      <c r="R473" s="2">
        <v>-0.8</v>
      </c>
      <c r="S473" s="2">
        <v>-3.3</v>
      </c>
      <c r="T473" s="2">
        <f t="shared" si="55"/>
        <v>-1.9000000000000057</v>
      </c>
    </row>
    <row r="474" spans="1:20">
      <c r="A474" s="6">
        <v>445</v>
      </c>
      <c r="B474" t="s">
        <v>54</v>
      </c>
      <c r="C474" t="s">
        <v>31</v>
      </c>
      <c r="D474">
        <v>38</v>
      </c>
      <c r="E474">
        <v>44</v>
      </c>
      <c r="F474" s="1">
        <f t="shared" si="49"/>
        <v>0.46341463414634149</v>
      </c>
      <c r="G474" s="2">
        <v>95.1</v>
      </c>
      <c r="H474" s="2">
        <v>94.9</v>
      </c>
      <c r="I474" s="2">
        <f t="shared" si="50"/>
        <v>0.19999999999998863</v>
      </c>
      <c r="J474" s="1">
        <f t="shared" si="51"/>
        <v>0.50736789040877028</v>
      </c>
      <c r="K474" s="2">
        <v>104.2</v>
      </c>
      <c r="L474" s="2">
        <v>104.1</v>
      </c>
      <c r="M474" s="2">
        <f t="shared" si="52"/>
        <v>0.10000000000000853</v>
      </c>
      <c r="N474" s="1">
        <f t="shared" si="53"/>
        <v>-4.3953256262428797E-2</v>
      </c>
      <c r="O474" s="2">
        <v>95.5</v>
      </c>
      <c r="P474" s="2">
        <v>97.3</v>
      </c>
      <c r="Q474" s="2">
        <f t="shared" si="54"/>
        <v>-1.7999999999999972</v>
      </c>
      <c r="R474" s="2">
        <v>-0.2</v>
      </c>
      <c r="S474" s="2">
        <v>0.8</v>
      </c>
      <c r="T474" s="2">
        <f t="shared" si="55"/>
        <v>-1.9000000000000057</v>
      </c>
    </row>
    <row r="475" spans="1:20">
      <c r="A475" s="6">
        <v>168</v>
      </c>
      <c r="B475" t="s">
        <v>41</v>
      </c>
      <c r="C475" t="s">
        <v>24</v>
      </c>
      <c r="D475">
        <v>38</v>
      </c>
      <c r="E475">
        <v>44</v>
      </c>
      <c r="F475" s="1">
        <f t="shared" si="49"/>
        <v>0.46341463414634149</v>
      </c>
      <c r="G475" s="2">
        <v>99.4</v>
      </c>
      <c r="H475" s="2">
        <v>101.3</v>
      </c>
      <c r="I475" s="2">
        <f t="shared" si="50"/>
        <v>-1.8999999999999915</v>
      </c>
      <c r="J475" s="1">
        <f t="shared" si="51"/>
        <v>0.4341153034134177</v>
      </c>
      <c r="K475" s="2">
        <v>104.7</v>
      </c>
      <c r="L475" s="2">
        <v>106.5</v>
      </c>
      <c r="M475" s="2">
        <f t="shared" si="52"/>
        <v>-1.7999999999999972</v>
      </c>
      <c r="N475" s="1">
        <f t="shared" si="53"/>
        <v>2.929933073292379E-2</v>
      </c>
      <c r="O475" s="2">
        <v>89.7</v>
      </c>
      <c r="P475" s="2">
        <v>93.5</v>
      </c>
      <c r="Q475" s="2">
        <f t="shared" si="54"/>
        <v>-3.7999999999999972</v>
      </c>
      <c r="R475" s="2">
        <v>-1</v>
      </c>
      <c r="S475" s="2">
        <v>-3.1</v>
      </c>
      <c r="T475" s="2">
        <f t="shared" si="55"/>
        <v>-2</v>
      </c>
    </row>
    <row r="476" spans="1:20">
      <c r="A476" s="6">
        <v>539</v>
      </c>
      <c r="B476" t="s">
        <v>59</v>
      </c>
      <c r="C476" t="s">
        <v>51</v>
      </c>
      <c r="D476">
        <v>42</v>
      </c>
      <c r="E476">
        <v>40</v>
      </c>
      <c r="F476" s="1">
        <f t="shared" si="49"/>
        <v>0.51219512195121952</v>
      </c>
      <c r="G476" s="2">
        <v>112.2</v>
      </c>
      <c r="H476" s="2">
        <v>112.3</v>
      </c>
      <c r="I476" s="2">
        <f t="shared" si="50"/>
        <v>-9.9999999999994316E-2</v>
      </c>
      <c r="J476" s="1">
        <f t="shared" si="51"/>
        <v>0.49688200012291167</v>
      </c>
      <c r="K476" s="2">
        <v>108.9</v>
      </c>
      <c r="L476" s="2">
        <v>109</v>
      </c>
      <c r="M476" s="2">
        <f t="shared" si="52"/>
        <v>-9.9999999999994316E-2</v>
      </c>
      <c r="N476" s="1">
        <f t="shared" si="53"/>
        <v>1.5313121828307852E-2</v>
      </c>
      <c r="O476" s="2">
        <v>109.7</v>
      </c>
      <c r="P476" s="2">
        <v>111.8</v>
      </c>
      <c r="Q476" s="2">
        <f t="shared" si="54"/>
        <v>-2.0999999999999943</v>
      </c>
      <c r="R476" s="2">
        <v>-0.3</v>
      </c>
      <c r="S476" s="2">
        <v>-2.2999999999999998</v>
      </c>
      <c r="T476" s="2">
        <f t="shared" si="55"/>
        <v>-2</v>
      </c>
    </row>
    <row r="477" spans="1:20">
      <c r="A477" s="6">
        <v>379</v>
      </c>
      <c r="B477" t="s">
        <v>50</v>
      </c>
      <c r="C477" t="s">
        <v>24</v>
      </c>
      <c r="D477">
        <v>34</v>
      </c>
      <c r="E477">
        <v>48</v>
      </c>
      <c r="F477" s="1">
        <f t="shared" si="49"/>
        <v>0.41463414634146339</v>
      </c>
      <c r="G477" s="2">
        <v>93.2</v>
      </c>
      <c r="H477" s="2">
        <v>96.5</v>
      </c>
      <c r="I477" s="2">
        <f t="shared" si="50"/>
        <v>-3.2999999999999972</v>
      </c>
      <c r="J477" s="1">
        <f t="shared" si="51"/>
        <v>0.38056895293996196</v>
      </c>
      <c r="K477" s="2">
        <v>101</v>
      </c>
      <c r="L477" s="2">
        <v>104.7</v>
      </c>
      <c r="M477" s="2">
        <f t="shared" si="52"/>
        <v>-3.7000000000000028</v>
      </c>
      <c r="N477" s="1">
        <f t="shared" si="53"/>
        <v>3.4065193401501437E-2</v>
      </c>
      <c r="O477" s="2">
        <v>94.2</v>
      </c>
      <c r="P477" s="2">
        <v>100</v>
      </c>
      <c r="Q477" s="2">
        <f t="shared" si="54"/>
        <v>-5.7999999999999972</v>
      </c>
      <c r="R477" s="2">
        <v>-0.7</v>
      </c>
      <c r="S477" s="2">
        <v>-2.5</v>
      </c>
      <c r="T477" s="2">
        <f t="shared" si="55"/>
        <v>-2.0999999999999943</v>
      </c>
    </row>
    <row r="478" spans="1:20">
      <c r="A478" s="6">
        <v>362</v>
      </c>
      <c r="B478" t="s">
        <v>50</v>
      </c>
      <c r="C478" t="s">
        <v>9</v>
      </c>
      <c r="D478">
        <v>24</v>
      </c>
      <c r="E478">
        <v>58</v>
      </c>
      <c r="F478" s="1">
        <f t="shared" si="49"/>
        <v>0.29268292682926828</v>
      </c>
      <c r="G478" s="2">
        <v>96.5</v>
      </c>
      <c r="H478" s="2">
        <v>101.2</v>
      </c>
      <c r="I478" s="2">
        <f t="shared" si="50"/>
        <v>-4.7000000000000028</v>
      </c>
      <c r="J478" s="1">
        <f t="shared" si="51"/>
        <v>0.33944230501218881</v>
      </c>
      <c r="K478" s="2">
        <v>103.2</v>
      </c>
      <c r="L478" s="2">
        <v>108.2</v>
      </c>
      <c r="M478" s="2">
        <f t="shared" si="52"/>
        <v>-5</v>
      </c>
      <c r="N478" s="1">
        <f t="shared" si="53"/>
        <v>-4.675937818292053E-2</v>
      </c>
      <c r="O478" s="2">
        <v>102</v>
      </c>
      <c r="P478" s="2">
        <v>109.1</v>
      </c>
      <c r="Q478" s="2">
        <f t="shared" si="54"/>
        <v>-7.0999999999999943</v>
      </c>
      <c r="R478" s="2">
        <v>-1.4</v>
      </c>
      <c r="S478" s="2">
        <v>-7.6</v>
      </c>
      <c r="T478" s="2">
        <f t="shared" si="55"/>
        <v>-2.0999999999999943</v>
      </c>
    </row>
    <row r="479" spans="1:20">
      <c r="A479" s="6">
        <v>696</v>
      </c>
      <c r="B479" t="s">
        <v>64</v>
      </c>
      <c r="C479" t="s">
        <v>13</v>
      </c>
      <c r="D479">
        <v>46</v>
      </c>
      <c r="E479">
        <v>36</v>
      </c>
      <c r="F479" s="1">
        <f t="shared" si="49"/>
        <v>0.56097560975609762</v>
      </c>
      <c r="G479" s="2">
        <v>117.8</v>
      </c>
      <c r="H479" s="2">
        <v>115.2</v>
      </c>
      <c r="I479" s="2">
        <f t="shared" si="50"/>
        <v>2.5999999999999943</v>
      </c>
      <c r="J479" s="1">
        <f t="shared" si="51"/>
        <v>0.57748543979619871</v>
      </c>
      <c r="K479" s="2">
        <v>116.9</v>
      </c>
      <c r="L479" s="2">
        <v>114.5</v>
      </c>
      <c r="M479" s="2">
        <f t="shared" si="52"/>
        <v>2.4000000000000057</v>
      </c>
      <c r="N479" s="1">
        <f t="shared" si="53"/>
        <v>-1.6509830040101092E-2</v>
      </c>
      <c r="O479" s="2">
        <v>116.2</v>
      </c>
      <c r="P479" s="2">
        <v>115.9</v>
      </c>
      <c r="Q479" s="2">
        <f t="shared" si="54"/>
        <v>0.29999999999999716</v>
      </c>
      <c r="R479" s="2">
        <v>-0.5</v>
      </c>
      <c r="S479" s="2">
        <v>-1.9</v>
      </c>
      <c r="T479" s="2">
        <f t="shared" si="55"/>
        <v>-2.1000000000000085</v>
      </c>
    </row>
    <row r="480" spans="1:20">
      <c r="A480" s="6">
        <v>355</v>
      </c>
      <c r="B480" t="s">
        <v>49</v>
      </c>
      <c r="C480" t="s">
        <v>31</v>
      </c>
      <c r="D480">
        <v>36</v>
      </c>
      <c r="E480">
        <v>30</v>
      </c>
      <c r="F480" s="1">
        <f t="shared" si="49"/>
        <v>0.54545454545454541</v>
      </c>
      <c r="G480" s="2">
        <v>99.7</v>
      </c>
      <c r="H480" s="2">
        <v>99</v>
      </c>
      <c r="I480" s="2">
        <f t="shared" si="50"/>
        <v>0.70000000000000284</v>
      </c>
      <c r="J480" s="1">
        <f t="shared" si="51"/>
        <v>0.52464041755417556</v>
      </c>
      <c r="K480" s="2">
        <v>105.5</v>
      </c>
      <c r="L480" s="2">
        <v>104.9</v>
      </c>
      <c r="M480" s="2">
        <f t="shared" si="52"/>
        <v>0.59999999999999432</v>
      </c>
      <c r="N480" s="1">
        <f t="shared" si="53"/>
        <v>2.081412790036985E-2</v>
      </c>
      <c r="O480" s="2">
        <v>96.6</v>
      </c>
      <c r="P480" s="2">
        <v>98.2</v>
      </c>
      <c r="Q480" s="2">
        <f t="shared" si="54"/>
        <v>-1.6000000000000085</v>
      </c>
      <c r="R480" s="2">
        <v>0</v>
      </c>
      <c r="S480" s="2">
        <v>0.5</v>
      </c>
      <c r="T480" s="2">
        <f t="shared" si="55"/>
        <v>-2.2000000000000028</v>
      </c>
    </row>
    <row r="481" spans="1:20">
      <c r="A481" s="6">
        <v>358</v>
      </c>
      <c r="B481" t="s">
        <v>50</v>
      </c>
      <c r="C481" t="s">
        <v>6</v>
      </c>
      <c r="D481">
        <v>41</v>
      </c>
      <c r="E481">
        <v>40</v>
      </c>
      <c r="F481" s="1">
        <f t="shared" si="49"/>
        <v>0.50617283950617287</v>
      </c>
      <c r="G481" s="2">
        <v>96.5</v>
      </c>
      <c r="H481" s="2">
        <v>96.7</v>
      </c>
      <c r="I481" s="2">
        <f t="shared" si="50"/>
        <v>-0.20000000000000284</v>
      </c>
      <c r="J481" s="1">
        <f t="shared" si="51"/>
        <v>0.49275412790061462</v>
      </c>
      <c r="K481" s="2">
        <v>102.2</v>
      </c>
      <c r="L481" s="2">
        <v>102.6</v>
      </c>
      <c r="M481" s="2">
        <f t="shared" si="52"/>
        <v>-0.39999999999999147</v>
      </c>
      <c r="N481" s="1">
        <f t="shared" si="53"/>
        <v>1.3418711605558242E-2</v>
      </c>
      <c r="O481" s="2">
        <v>92.5</v>
      </c>
      <c r="P481" s="2">
        <v>95.1</v>
      </c>
      <c r="Q481" s="2">
        <f t="shared" si="54"/>
        <v>-2.5999999999999943</v>
      </c>
      <c r="R481" s="2">
        <v>-0.6</v>
      </c>
      <c r="S481" s="2">
        <v>-2.2000000000000002</v>
      </c>
      <c r="T481" s="2">
        <f t="shared" si="55"/>
        <v>-2.2000000000000028</v>
      </c>
    </row>
    <row r="482" spans="1:20">
      <c r="A482" s="6">
        <v>40</v>
      </c>
      <c r="B482" t="s">
        <v>34</v>
      </c>
      <c r="C482" t="s">
        <v>15</v>
      </c>
      <c r="D482">
        <v>42</v>
      </c>
      <c r="E482">
        <v>40</v>
      </c>
      <c r="F482" s="1">
        <f t="shared" si="49"/>
        <v>0.51219512195121952</v>
      </c>
      <c r="G482" s="2">
        <v>96.8</v>
      </c>
      <c r="H482" s="2">
        <v>96.5</v>
      </c>
      <c r="I482" s="2">
        <f t="shared" si="50"/>
        <v>0.29999999999999716</v>
      </c>
      <c r="J482" s="1">
        <f t="shared" si="51"/>
        <v>0.51086224147445425</v>
      </c>
      <c r="K482" s="2">
        <v>102.8</v>
      </c>
      <c r="L482" s="2">
        <v>102.4</v>
      </c>
      <c r="M482" s="2">
        <f t="shared" si="52"/>
        <v>0.39999999999999147</v>
      </c>
      <c r="N482" s="1">
        <f t="shared" si="53"/>
        <v>1.3328804767652747E-3</v>
      </c>
      <c r="O482" s="2">
        <v>101.1</v>
      </c>
      <c r="P482" s="2">
        <v>103</v>
      </c>
      <c r="Q482" s="2">
        <f t="shared" si="54"/>
        <v>-1.9000000000000057</v>
      </c>
      <c r="R482" s="2">
        <v>-0.1</v>
      </c>
      <c r="S482" s="2">
        <v>0</v>
      </c>
      <c r="T482" s="2">
        <f t="shared" si="55"/>
        <v>-2.2999999999999972</v>
      </c>
    </row>
    <row r="483" spans="1:20">
      <c r="A483" s="6">
        <v>684</v>
      </c>
      <c r="B483" t="s">
        <v>63</v>
      </c>
      <c r="C483" t="s">
        <v>30</v>
      </c>
      <c r="D483">
        <v>41</v>
      </c>
      <c r="E483">
        <v>41</v>
      </c>
      <c r="F483" s="1">
        <f t="shared" si="49"/>
        <v>0.5</v>
      </c>
      <c r="G483" s="2">
        <v>112.9</v>
      </c>
      <c r="H483" s="2">
        <v>111.4</v>
      </c>
      <c r="I483" s="2">
        <f t="shared" si="50"/>
        <v>1.5</v>
      </c>
      <c r="J483" s="1">
        <f t="shared" si="51"/>
        <v>0.54667669581130873</v>
      </c>
      <c r="K483" s="2">
        <v>114.6</v>
      </c>
      <c r="L483" s="2">
        <v>113.1</v>
      </c>
      <c r="M483" s="2">
        <f t="shared" si="52"/>
        <v>1.5</v>
      </c>
      <c r="N483" s="1">
        <f t="shared" si="53"/>
        <v>-4.6676695811308733E-2</v>
      </c>
      <c r="O483" s="2">
        <v>106.3</v>
      </c>
      <c r="P483" s="2">
        <v>107.1</v>
      </c>
      <c r="Q483" s="2">
        <f t="shared" si="54"/>
        <v>-0.79999999999999716</v>
      </c>
      <c r="R483" s="2">
        <v>0.4</v>
      </c>
      <c r="S483" s="2">
        <v>0.4</v>
      </c>
      <c r="T483" s="2">
        <f t="shared" si="55"/>
        <v>-2.2999999999999972</v>
      </c>
    </row>
    <row r="484" spans="1:20">
      <c r="A484" s="6">
        <v>658</v>
      </c>
      <c r="B484" t="s">
        <v>63</v>
      </c>
      <c r="C484" t="s">
        <v>6</v>
      </c>
      <c r="D484">
        <v>57</v>
      </c>
      <c r="E484">
        <v>25</v>
      </c>
      <c r="F484" s="1">
        <f t="shared" si="49"/>
        <v>0.69512195121951215</v>
      </c>
      <c r="G484" s="2">
        <v>117.9</v>
      </c>
      <c r="H484" s="2">
        <v>111.4</v>
      </c>
      <c r="I484" s="2">
        <f t="shared" si="50"/>
        <v>6.5</v>
      </c>
      <c r="J484" s="1">
        <f t="shared" si="51"/>
        <v>0.6886751375801452</v>
      </c>
      <c r="K484" s="2">
        <v>117.3</v>
      </c>
      <c r="L484" s="2">
        <v>110.6</v>
      </c>
      <c r="M484" s="2">
        <f t="shared" si="52"/>
        <v>6.7000000000000028</v>
      </c>
      <c r="N484" s="1">
        <f t="shared" si="53"/>
        <v>6.446813639366944E-3</v>
      </c>
      <c r="O484" s="2">
        <v>107.4</v>
      </c>
      <c r="P484" s="2">
        <v>103.1</v>
      </c>
      <c r="Q484" s="2">
        <f t="shared" si="54"/>
        <v>4.3000000000000114</v>
      </c>
      <c r="R484" s="2">
        <v>0.6</v>
      </c>
      <c r="S484" s="2">
        <v>2.7</v>
      </c>
      <c r="T484" s="2">
        <f t="shared" si="55"/>
        <v>-2.3999999999999915</v>
      </c>
    </row>
    <row r="485" spans="1:20">
      <c r="A485" s="6">
        <v>262</v>
      </c>
      <c r="B485" t="s">
        <v>45</v>
      </c>
      <c r="C485" t="s">
        <v>27</v>
      </c>
      <c r="D485">
        <v>17</v>
      </c>
      <c r="E485">
        <v>65</v>
      </c>
      <c r="F485" s="1">
        <f t="shared" si="49"/>
        <v>0.2073170731707317</v>
      </c>
      <c r="G485" s="2">
        <v>100.6</v>
      </c>
      <c r="H485" s="2">
        <v>109.3</v>
      </c>
      <c r="I485" s="2">
        <f t="shared" si="50"/>
        <v>-8.7000000000000028</v>
      </c>
      <c r="J485" s="1">
        <f t="shared" si="51"/>
        <v>0.23844605223588522</v>
      </c>
      <c r="K485" s="2">
        <v>104.4</v>
      </c>
      <c r="L485" s="2">
        <v>113.4</v>
      </c>
      <c r="M485" s="2">
        <f t="shared" si="52"/>
        <v>-9</v>
      </c>
      <c r="N485" s="1">
        <f t="shared" si="53"/>
        <v>-3.1128979065153523E-2</v>
      </c>
      <c r="O485" s="2">
        <v>93.2</v>
      </c>
      <c r="P485" s="2">
        <v>104.6</v>
      </c>
      <c r="Q485" s="2">
        <f t="shared" si="54"/>
        <v>-11.399999999999991</v>
      </c>
      <c r="R485" s="2">
        <v>-1.2</v>
      </c>
      <c r="S485" s="2">
        <v>-6.7</v>
      </c>
      <c r="T485" s="2">
        <f t="shared" si="55"/>
        <v>-2.3999999999999915</v>
      </c>
    </row>
    <row r="486" spans="1:20">
      <c r="A486" s="6">
        <v>407</v>
      </c>
      <c r="B486" t="s">
        <v>52</v>
      </c>
      <c r="C486" t="s">
        <v>46</v>
      </c>
      <c r="D486">
        <v>59</v>
      </c>
      <c r="E486">
        <v>23</v>
      </c>
      <c r="F486" s="1">
        <f t="shared" si="49"/>
        <v>0.71951219512195119</v>
      </c>
      <c r="G486" s="2">
        <v>106.2</v>
      </c>
      <c r="H486" s="2">
        <v>99.8</v>
      </c>
      <c r="I486" s="2">
        <f t="shared" si="50"/>
        <v>6.4000000000000057</v>
      </c>
      <c r="J486" s="1">
        <f t="shared" si="51"/>
        <v>0.70478376609010041</v>
      </c>
      <c r="K486" s="2">
        <v>109.4</v>
      </c>
      <c r="L486" s="2">
        <v>103</v>
      </c>
      <c r="M486" s="2">
        <f t="shared" si="52"/>
        <v>6.4000000000000057</v>
      </c>
      <c r="N486" s="1">
        <f t="shared" si="53"/>
        <v>1.4728429031850787E-2</v>
      </c>
      <c r="O486" s="2">
        <v>103.7</v>
      </c>
      <c r="P486" s="2">
        <v>99.7</v>
      </c>
      <c r="Q486" s="2">
        <f t="shared" si="54"/>
        <v>4</v>
      </c>
      <c r="R486" s="2">
        <v>1.1000000000000001</v>
      </c>
      <c r="S486" s="2">
        <v>6</v>
      </c>
      <c r="T486" s="2">
        <f t="shared" si="55"/>
        <v>-2.4000000000000057</v>
      </c>
    </row>
    <row r="487" spans="1:20">
      <c r="A487" s="6">
        <v>623</v>
      </c>
      <c r="B487" t="s">
        <v>61</v>
      </c>
      <c r="C487" t="s">
        <v>28</v>
      </c>
      <c r="D487">
        <v>33</v>
      </c>
      <c r="E487">
        <v>39</v>
      </c>
      <c r="F487" s="1">
        <f t="shared" si="49"/>
        <v>0.45833333333333331</v>
      </c>
      <c r="G487" s="2">
        <v>111.1</v>
      </c>
      <c r="H487" s="2">
        <v>112.8</v>
      </c>
      <c r="I487" s="2">
        <f t="shared" si="50"/>
        <v>-1.7000000000000028</v>
      </c>
      <c r="J487" s="1">
        <f t="shared" si="51"/>
        <v>0.44704954082867138</v>
      </c>
      <c r="K487" s="2">
        <v>110.5</v>
      </c>
      <c r="L487" s="2">
        <v>112</v>
      </c>
      <c r="M487" s="2">
        <f t="shared" si="52"/>
        <v>-1.5</v>
      </c>
      <c r="N487" s="1">
        <f t="shared" si="53"/>
        <v>1.1283792504661938E-2</v>
      </c>
      <c r="O487" s="2">
        <v>105</v>
      </c>
      <c r="P487" s="2">
        <v>108.9</v>
      </c>
      <c r="Q487" s="2">
        <f t="shared" si="54"/>
        <v>-3.9000000000000057</v>
      </c>
      <c r="R487" s="2">
        <v>-0.3</v>
      </c>
      <c r="S487" s="2">
        <v>-2</v>
      </c>
      <c r="T487" s="2">
        <f t="shared" si="55"/>
        <v>-2.4000000000000057</v>
      </c>
    </row>
    <row r="488" spans="1:20">
      <c r="A488" s="6">
        <v>476</v>
      </c>
      <c r="B488" t="s">
        <v>55</v>
      </c>
      <c r="C488" t="s">
        <v>33</v>
      </c>
      <c r="D488">
        <v>41</v>
      </c>
      <c r="E488">
        <v>41</v>
      </c>
      <c r="F488" s="1">
        <f t="shared" si="49"/>
        <v>0.5</v>
      </c>
      <c r="G488" s="2">
        <v>104.1</v>
      </c>
      <c r="H488" s="2">
        <v>104.6</v>
      </c>
      <c r="I488" s="2">
        <f t="shared" si="50"/>
        <v>-0.5</v>
      </c>
      <c r="J488" s="1">
        <f t="shared" si="51"/>
        <v>0.48323577008477736</v>
      </c>
      <c r="K488" s="2">
        <v>104.5</v>
      </c>
      <c r="L488" s="2">
        <v>105.1</v>
      </c>
      <c r="M488" s="2">
        <f t="shared" si="52"/>
        <v>-0.59999999999999432</v>
      </c>
      <c r="N488" s="1">
        <f t="shared" si="53"/>
        <v>1.6764229915222639E-2</v>
      </c>
      <c r="O488" s="2">
        <v>101.4</v>
      </c>
      <c r="P488" s="2">
        <v>104.5</v>
      </c>
      <c r="Q488" s="2">
        <f t="shared" si="54"/>
        <v>-3.0999999999999943</v>
      </c>
      <c r="R488" s="2">
        <v>-0.3</v>
      </c>
      <c r="S488" s="2">
        <v>-3.3</v>
      </c>
      <c r="T488" s="2">
        <f t="shared" si="55"/>
        <v>-2.5</v>
      </c>
    </row>
    <row r="489" spans="1:20">
      <c r="A489" s="6">
        <v>630</v>
      </c>
      <c r="B489" t="s">
        <v>62</v>
      </c>
      <c r="C489" t="s">
        <v>7</v>
      </c>
      <c r="D489">
        <v>43</v>
      </c>
      <c r="E489">
        <v>39</v>
      </c>
      <c r="F489" s="1">
        <f t="shared" si="49"/>
        <v>0.52439024390243905</v>
      </c>
      <c r="G489" s="2">
        <v>115.3</v>
      </c>
      <c r="H489" s="2">
        <v>114.9</v>
      </c>
      <c r="I489" s="2">
        <f t="shared" si="50"/>
        <v>0.39999999999999147</v>
      </c>
      <c r="J489" s="1">
        <f t="shared" si="51"/>
        <v>0.5121609496635926</v>
      </c>
      <c r="K489" s="2">
        <v>113.6</v>
      </c>
      <c r="L489" s="2">
        <v>113.1</v>
      </c>
      <c r="M489" s="2">
        <f t="shared" si="52"/>
        <v>0.5</v>
      </c>
      <c r="N489" s="1">
        <f t="shared" si="53"/>
        <v>1.2229294238846444E-2</v>
      </c>
      <c r="O489" s="2">
        <v>109.6</v>
      </c>
      <c r="P489" s="2">
        <v>111.6</v>
      </c>
      <c r="Q489" s="2">
        <f t="shared" si="54"/>
        <v>-2</v>
      </c>
      <c r="R489" s="2">
        <v>0.8</v>
      </c>
      <c r="S489" s="2">
        <v>4.9000000000000004</v>
      </c>
      <c r="T489" s="2">
        <f t="shared" si="55"/>
        <v>-2.5</v>
      </c>
    </row>
    <row r="490" spans="1:20">
      <c r="A490" s="6">
        <v>89</v>
      </c>
      <c r="B490" t="s">
        <v>38</v>
      </c>
      <c r="C490" t="s">
        <v>6</v>
      </c>
      <c r="D490">
        <v>36</v>
      </c>
      <c r="E490">
        <v>46</v>
      </c>
      <c r="F490" s="1">
        <f t="shared" si="49"/>
        <v>0.43902439024390244</v>
      </c>
      <c r="G490" s="2">
        <v>95.3</v>
      </c>
      <c r="H490" s="2">
        <v>96.7</v>
      </c>
      <c r="I490" s="2">
        <f t="shared" si="50"/>
        <v>-1.4000000000000057</v>
      </c>
      <c r="J490" s="1">
        <f t="shared" si="51"/>
        <v>0.44913400395840042</v>
      </c>
      <c r="K490" s="2">
        <v>100.7</v>
      </c>
      <c r="L490" s="2">
        <v>102.2</v>
      </c>
      <c r="M490" s="2">
        <f t="shared" si="52"/>
        <v>-1.5</v>
      </c>
      <c r="N490" s="1">
        <f t="shared" si="53"/>
        <v>-1.0109613714497978E-2</v>
      </c>
      <c r="O490" s="2">
        <v>100.3</v>
      </c>
      <c r="P490" s="2">
        <v>104.3</v>
      </c>
      <c r="Q490" s="2">
        <f t="shared" si="54"/>
        <v>-4</v>
      </c>
      <c r="R490" s="2">
        <v>-0.4</v>
      </c>
      <c r="S490" s="2">
        <v>-0.3</v>
      </c>
      <c r="T490" s="2">
        <f t="shared" si="55"/>
        <v>-2.5</v>
      </c>
    </row>
    <row r="491" spans="1:20">
      <c r="A491" s="6">
        <v>489</v>
      </c>
      <c r="B491" t="s">
        <v>57</v>
      </c>
      <c r="C491" t="s">
        <v>56</v>
      </c>
      <c r="D491">
        <v>51</v>
      </c>
      <c r="E491">
        <v>31</v>
      </c>
      <c r="F491" s="1">
        <f t="shared" si="49"/>
        <v>0.62195121951219512</v>
      </c>
      <c r="G491" s="2">
        <v>108.7</v>
      </c>
      <c r="H491" s="2">
        <v>104.4</v>
      </c>
      <c r="I491" s="2">
        <f t="shared" si="50"/>
        <v>4.2999999999999972</v>
      </c>
      <c r="J491" s="1">
        <f t="shared" si="51"/>
        <v>0.63762474872278996</v>
      </c>
      <c r="K491" s="2">
        <v>111.8</v>
      </c>
      <c r="L491" s="2">
        <v>107.5</v>
      </c>
      <c r="M491" s="2">
        <f t="shared" si="52"/>
        <v>4.2999999999999972</v>
      </c>
      <c r="N491" s="1">
        <f t="shared" si="53"/>
        <v>-1.5673529210594839E-2</v>
      </c>
      <c r="O491" s="2">
        <v>97.3</v>
      </c>
      <c r="P491" s="2">
        <v>95.5</v>
      </c>
      <c r="Q491" s="2">
        <f t="shared" si="54"/>
        <v>1.7999999999999972</v>
      </c>
      <c r="R491" s="2">
        <v>-0.5</v>
      </c>
      <c r="S491" s="2">
        <v>-1.4</v>
      </c>
      <c r="T491" s="2">
        <f t="shared" si="55"/>
        <v>-2.5</v>
      </c>
    </row>
    <row r="492" spans="1:20">
      <c r="A492" s="6">
        <v>726</v>
      </c>
      <c r="B492" t="s">
        <v>65</v>
      </c>
      <c r="C492" t="s">
        <v>13</v>
      </c>
      <c r="D492">
        <v>48</v>
      </c>
      <c r="E492">
        <v>34</v>
      </c>
      <c r="F492" s="1">
        <f t="shared" si="49"/>
        <v>0.58536585365853655</v>
      </c>
      <c r="G492" s="2">
        <v>113.8</v>
      </c>
      <c r="H492" s="2">
        <v>110.5</v>
      </c>
      <c r="I492" s="2">
        <f t="shared" si="50"/>
        <v>3.2999999999999972</v>
      </c>
      <c r="J492" s="1">
        <f t="shared" si="51"/>
        <v>0.60156207363677106</v>
      </c>
      <c r="K492" s="2">
        <v>114.2</v>
      </c>
      <c r="L492" s="2">
        <v>111</v>
      </c>
      <c r="M492" s="2">
        <f t="shared" si="52"/>
        <v>3.2000000000000028</v>
      </c>
      <c r="N492" s="1">
        <f t="shared" si="53"/>
        <v>-1.6196219978234505E-2</v>
      </c>
      <c r="O492" s="2">
        <v>111</v>
      </c>
      <c r="P492" s="2">
        <v>110.3</v>
      </c>
      <c r="Q492" s="2">
        <f t="shared" si="54"/>
        <v>0.70000000000000284</v>
      </c>
      <c r="R492" s="2">
        <v>0.8</v>
      </c>
      <c r="S492" s="2">
        <v>5.2</v>
      </c>
      <c r="T492" s="2">
        <f t="shared" si="55"/>
        <v>-2.5</v>
      </c>
    </row>
    <row r="493" spans="1:20">
      <c r="A493" s="6">
        <v>269</v>
      </c>
      <c r="B493" t="s">
        <v>47</v>
      </c>
      <c r="C493" t="s">
        <v>40</v>
      </c>
      <c r="D493">
        <v>44</v>
      </c>
      <c r="E493">
        <v>38</v>
      </c>
      <c r="F493" s="1">
        <f t="shared" si="49"/>
        <v>0.53658536585365857</v>
      </c>
      <c r="G493" s="2">
        <v>95.3</v>
      </c>
      <c r="H493" s="2">
        <v>93.8</v>
      </c>
      <c r="I493" s="2">
        <f t="shared" si="50"/>
        <v>1.5</v>
      </c>
      <c r="J493" s="1">
        <f t="shared" si="51"/>
        <v>0.55530018627834388</v>
      </c>
      <c r="K493" s="2">
        <v>103.9</v>
      </c>
      <c r="L493" s="2">
        <v>102</v>
      </c>
      <c r="M493" s="2">
        <f t="shared" si="52"/>
        <v>1.9000000000000057</v>
      </c>
      <c r="N493" s="1">
        <f t="shared" si="53"/>
        <v>-1.8714820424685308E-2</v>
      </c>
      <c r="O493" s="2">
        <v>98.2</v>
      </c>
      <c r="P493" s="2">
        <v>98.8</v>
      </c>
      <c r="Q493" s="2">
        <f t="shared" si="54"/>
        <v>-0.59999999999999432</v>
      </c>
      <c r="R493" s="2">
        <v>0.2</v>
      </c>
      <c r="S493" s="2">
        <v>2</v>
      </c>
      <c r="T493" s="2">
        <f t="shared" si="55"/>
        <v>-2.5</v>
      </c>
    </row>
    <row r="494" spans="1:20">
      <c r="A494" s="6">
        <v>104</v>
      </c>
      <c r="B494" t="s">
        <v>38</v>
      </c>
      <c r="C494" t="s">
        <v>21</v>
      </c>
      <c r="D494">
        <v>47</v>
      </c>
      <c r="E494">
        <v>35</v>
      </c>
      <c r="F494" s="1">
        <f t="shared" si="49"/>
        <v>0.57317073170731703</v>
      </c>
      <c r="G494" s="2">
        <v>90.3</v>
      </c>
      <c r="H494" s="2">
        <v>87.8</v>
      </c>
      <c r="I494" s="2">
        <f t="shared" si="50"/>
        <v>2.5</v>
      </c>
      <c r="J494" s="1">
        <f t="shared" si="51"/>
        <v>0.59701994134505132</v>
      </c>
      <c r="K494" s="2">
        <v>99</v>
      </c>
      <c r="L494" s="2">
        <v>96.4</v>
      </c>
      <c r="M494" s="2">
        <f t="shared" si="52"/>
        <v>2.5999999999999943</v>
      </c>
      <c r="N494" s="1">
        <f t="shared" si="53"/>
        <v>-2.3849209637734292E-2</v>
      </c>
      <c r="O494" s="2">
        <v>96</v>
      </c>
      <c r="P494" s="2">
        <v>95.9</v>
      </c>
      <c r="Q494" s="2">
        <f t="shared" si="54"/>
        <v>9.9999999999994316E-2</v>
      </c>
      <c r="R494" s="2">
        <v>0.3</v>
      </c>
      <c r="S494" s="2">
        <v>1.3</v>
      </c>
      <c r="T494" s="2">
        <f t="shared" si="55"/>
        <v>-2.5</v>
      </c>
    </row>
    <row r="495" spans="1:20">
      <c r="A495" s="6">
        <v>508</v>
      </c>
      <c r="B495" t="s">
        <v>58</v>
      </c>
      <c r="C495" t="s">
        <v>6</v>
      </c>
      <c r="D495">
        <v>55</v>
      </c>
      <c r="E495">
        <v>27</v>
      </c>
      <c r="F495" s="1">
        <f t="shared" si="49"/>
        <v>0.67073170731707321</v>
      </c>
      <c r="G495" s="2">
        <v>104</v>
      </c>
      <c r="H495" s="2">
        <v>100.4</v>
      </c>
      <c r="I495" s="2">
        <f t="shared" si="50"/>
        <v>3.5999999999999943</v>
      </c>
      <c r="J495" s="1">
        <f t="shared" si="51"/>
        <v>0.62086037726466381</v>
      </c>
      <c r="K495" s="2">
        <v>106.8</v>
      </c>
      <c r="L495" s="2">
        <v>103.2</v>
      </c>
      <c r="M495" s="2">
        <f t="shared" si="52"/>
        <v>3.5999999999999943</v>
      </c>
      <c r="N495" s="1">
        <f t="shared" si="53"/>
        <v>4.9871330052409402E-2</v>
      </c>
      <c r="O495" s="2">
        <v>109.6</v>
      </c>
      <c r="P495" s="2">
        <v>108.6</v>
      </c>
      <c r="Q495" s="2">
        <f t="shared" si="54"/>
        <v>1</v>
      </c>
      <c r="R495" s="2">
        <v>0.8</v>
      </c>
      <c r="S495" s="2">
        <v>5.9</v>
      </c>
      <c r="T495" s="2">
        <f t="shared" si="55"/>
        <v>-2.5999999999999943</v>
      </c>
    </row>
    <row r="496" spans="1:20">
      <c r="A496" s="6">
        <v>433</v>
      </c>
      <c r="B496" t="s">
        <v>54</v>
      </c>
      <c r="C496" t="s">
        <v>19</v>
      </c>
      <c r="D496">
        <v>41</v>
      </c>
      <c r="E496">
        <v>41</v>
      </c>
      <c r="F496" s="1">
        <f t="shared" si="49"/>
        <v>0.5</v>
      </c>
      <c r="G496" s="2">
        <v>97.8</v>
      </c>
      <c r="H496" s="2">
        <v>97.4</v>
      </c>
      <c r="I496" s="2">
        <f t="shared" si="50"/>
        <v>0.39999999999999147</v>
      </c>
      <c r="J496" s="1">
        <f t="shared" si="51"/>
        <v>0.51434034839194509</v>
      </c>
      <c r="K496" s="2">
        <v>102</v>
      </c>
      <c r="L496" s="2">
        <v>101.4</v>
      </c>
      <c r="M496" s="2">
        <f t="shared" si="52"/>
        <v>0.59999999999999432</v>
      </c>
      <c r="N496" s="1">
        <f t="shared" si="53"/>
        <v>-1.434034839194509E-2</v>
      </c>
      <c r="O496" s="2">
        <v>94.2</v>
      </c>
      <c r="P496" s="2">
        <v>96.2</v>
      </c>
      <c r="Q496" s="2">
        <f t="shared" si="54"/>
        <v>-2</v>
      </c>
      <c r="R496" s="2">
        <v>-1</v>
      </c>
      <c r="S496" s="2">
        <v>-4.8</v>
      </c>
      <c r="T496" s="2">
        <f t="shared" si="55"/>
        <v>-2.5999999999999943</v>
      </c>
    </row>
    <row r="497" spans="1:20">
      <c r="A497" s="6">
        <v>170</v>
      </c>
      <c r="B497" t="s">
        <v>41</v>
      </c>
      <c r="C497" t="s">
        <v>26</v>
      </c>
      <c r="D497">
        <v>21</v>
      </c>
      <c r="E497">
        <v>61</v>
      </c>
      <c r="F497" s="1">
        <f t="shared" si="49"/>
        <v>0.25609756097560976</v>
      </c>
      <c r="G497" s="2">
        <v>88.8</v>
      </c>
      <c r="H497" s="2">
        <v>98.3</v>
      </c>
      <c r="I497" s="2">
        <f t="shared" si="50"/>
        <v>-9.5</v>
      </c>
      <c r="J497" s="1">
        <f t="shared" si="51"/>
        <v>0.19420371450144952</v>
      </c>
      <c r="K497" s="2">
        <v>99.7</v>
      </c>
      <c r="L497" s="2">
        <v>110.3</v>
      </c>
      <c r="M497" s="2">
        <f t="shared" si="52"/>
        <v>-10.599999999999994</v>
      </c>
      <c r="N497" s="1">
        <f t="shared" si="53"/>
        <v>6.1893846474160241E-2</v>
      </c>
      <c r="O497" s="2">
        <v>89.2</v>
      </c>
      <c r="P497" s="2">
        <v>102.4</v>
      </c>
      <c r="Q497" s="2">
        <f t="shared" si="54"/>
        <v>-13.200000000000003</v>
      </c>
      <c r="R497" s="2">
        <v>-1.7</v>
      </c>
      <c r="S497" s="2">
        <v>-10.3</v>
      </c>
      <c r="T497" s="2">
        <f t="shared" si="55"/>
        <v>-2.6000000000000085</v>
      </c>
    </row>
    <row r="498" spans="1:20">
      <c r="A498" s="6">
        <v>698</v>
      </c>
      <c r="B498" t="s">
        <v>64</v>
      </c>
      <c r="C498" t="s">
        <v>15</v>
      </c>
      <c r="D498">
        <v>46</v>
      </c>
      <c r="E498">
        <v>35</v>
      </c>
      <c r="F498" s="1">
        <f t="shared" si="49"/>
        <v>0.5679012345679012</v>
      </c>
      <c r="G498" s="2">
        <v>123.2</v>
      </c>
      <c r="H498" s="2">
        <v>120.3</v>
      </c>
      <c r="I498" s="2">
        <f t="shared" si="50"/>
        <v>2.9000000000000057</v>
      </c>
      <c r="J498" s="1">
        <f t="shared" si="51"/>
        <v>0.5826073302631597</v>
      </c>
      <c r="K498" s="2">
        <v>120.5</v>
      </c>
      <c r="L498" s="2">
        <v>117.6</v>
      </c>
      <c r="M498" s="2">
        <f t="shared" si="52"/>
        <v>2.9000000000000057</v>
      </c>
      <c r="N498" s="1">
        <f t="shared" si="53"/>
        <v>-1.4706095695258492E-2</v>
      </c>
      <c r="O498" s="2">
        <v>117.2</v>
      </c>
      <c r="P498" s="2">
        <v>116.9</v>
      </c>
      <c r="Q498" s="2">
        <f t="shared" si="54"/>
        <v>0.29999999999999716</v>
      </c>
      <c r="R498" s="2">
        <v>0.7</v>
      </c>
      <c r="S498" s="2">
        <v>2.6</v>
      </c>
      <c r="T498" s="2">
        <f t="shared" si="55"/>
        <v>-2.6000000000000085</v>
      </c>
    </row>
    <row r="499" spans="1:20">
      <c r="A499" s="6">
        <v>471</v>
      </c>
      <c r="B499" t="s">
        <v>55</v>
      </c>
      <c r="C499" t="s">
        <v>26</v>
      </c>
      <c r="D499">
        <v>44</v>
      </c>
      <c r="E499">
        <v>38</v>
      </c>
      <c r="F499" s="1">
        <f t="shared" si="49"/>
        <v>0.53658536585365857</v>
      </c>
      <c r="G499" s="2">
        <v>105.1</v>
      </c>
      <c r="H499" s="2">
        <v>104.3</v>
      </c>
      <c r="I499" s="2">
        <f t="shared" si="50"/>
        <v>0.79999999999999716</v>
      </c>
      <c r="J499" s="1">
        <f t="shared" si="51"/>
        <v>0.52671773242887121</v>
      </c>
      <c r="K499" s="2">
        <v>107.6</v>
      </c>
      <c r="L499" s="2">
        <v>106.8</v>
      </c>
      <c r="M499" s="2">
        <f t="shared" si="52"/>
        <v>0.79999999999999716</v>
      </c>
      <c r="N499" s="1">
        <f t="shared" si="53"/>
        <v>9.8676334247873587E-3</v>
      </c>
      <c r="O499" s="2">
        <v>106.2</v>
      </c>
      <c r="P499" s="2">
        <v>108.1</v>
      </c>
      <c r="Q499" s="2">
        <f t="shared" si="54"/>
        <v>-1.8999999999999915</v>
      </c>
      <c r="R499" s="2">
        <v>-0.3</v>
      </c>
      <c r="S499" s="2">
        <v>0.1</v>
      </c>
      <c r="T499" s="2">
        <f t="shared" si="55"/>
        <v>-2.6999999999999886</v>
      </c>
    </row>
    <row r="500" spans="1:20">
      <c r="A500" s="6">
        <v>636</v>
      </c>
      <c r="B500" t="s">
        <v>62</v>
      </c>
      <c r="C500" t="s">
        <v>13</v>
      </c>
      <c r="D500">
        <v>53</v>
      </c>
      <c r="E500">
        <v>29</v>
      </c>
      <c r="F500" s="1">
        <f t="shared" si="49"/>
        <v>0.64634146341463417</v>
      </c>
      <c r="G500" s="2">
        <v>111</v>
      </c>
      <c r="H500" s="2">
        <v>105.5</v>
      </c>
      <c r="I500" s="2">
        <f t="shared" si="50"/>
        <v>5.5</v>
      </c>
      <c r="J500" s="1">
        <f t="shared" si="51"/>
        <v>0.67072577928625987</v>
      </c>
      <c r="K500" s="2">
        <v>112.1</v>
      </c>
      <c r="L500" s="2">
        <v>106.6</v>
      </c>
      <c r="M500" s="2">
        <f t="shared" si="52"/>
        <v>5.5</v>
      </c>
      <c r="N500" s="1">
        <f t="shared" si="53"/>
        <v>-2.4384315871625706E-2</v>
      </c>
      <c r="O500" s="2">
        <v>101.7</v>
      </c>
      <c r="P500" s="2">
        <v>99</v>
      </c>
      <c r="Q500" s="2">
        <f t="shared" si="54"/>
        <v>2.7000000000000028</v>
      </c>
      <c r="R500" s="2">
        <v>1.3</v>
      </c>
      <c r="S500" s="2">
        <v>8</v>
      </c>
      <c r="T500" s="2">
        <f t="shared" si="55"/>
        <v>-2.7999999999999972</v>
      </c>
    </row>
    <row r="501" spans="1:20">
      <c r="A501" s="6">
        <v>247</v>
      </c>
      <c r="B501" t="s">
        <v>45</v>
      </c>
      <c r="C501" t="s">
        <v>15</v>
      </c>
      <c r="D501">
        <v>36</v>
      </c>
      <c r="E501">
        <v>46</v>
      </c>
      <c r="F501" s="1">
        <f t="shared" si="49"/>
        <v>0.43902439024390244</v>
      </c>
      <c r="G501" s="2">
        <v>105.1</v>
      </c>
      <c r="H501" s="2">
        <v>106.2</v>
      </c>
      <c r="I501" s="2">
        <f t="shared" si="50"/>
        <v>-1.1000000000000085</v>
      </c>
      <c r="J501" s="1">
        <f t="shared" si="51"/>
        <v>0.46362297938992397</v>
      </c>
      <c r="K501" s="2">
        <v>107.2</v>
      </c>
      <c r="L501" s="2">
        <v>108.2</v>
      </c>
      <c r="M501" s="2">
        <f t="shared" si="52"/>
        <v>-1</v>
      </c>
      <c r="N501" s="1">
        <f t="shared" si="53"/>
        <v>-2.4598589146021532E-2</v>
      </c>
      <c r="O501" s="2">
        <v>102.7</v>
      </c>
      <c r="P501" s="2">
        <v>106.5</v>
      </c>
      <c r="Q501" s="2">
        <f t="shared" si="54"/>
        <v>-3.7999999999999972</v>
      </c>
      <c r="R501" s="2">
        <v>-0.6</v>
      </c>
      <c r="S501" s="2">
        <v>-3.9</v>
      </c>
      <c r="T501" s="2">
        <f t="shared" si="55"/>
        <v>-2.7999999999999972</v>
      </c>
    </row>
    <row r="502" spans="1:20">
      <c r="A502" s="6">
        <v>568</v>
      </c>
      <c r="B502" t="s">
        <v>60</v>
      </c>
      <c r="C502" t="s">
        <v>6</v>
      </c>
      <c r="D502">
        <v>48</v>
      </c>
      <c r="E502">
        <v>24</v>
      </c>
      <c r="F502" s="1">
        <f t="shared" si="49"/>
        <v>0.66666666666666663</v>
      </c>
      <c r="G502" s="2">
        <v>113.7</v>
      </c>
      <c r="H502" s="2">
        <v>107.3</v>
      </c>
      <c r="I502" s="2">
        <f t="shared" si="50"/>
        <v>6.4000000000000057</v>
      </c>
      <c r="J502" s="1">
        <f t="shared" si="51"/>
        <v>0.69234098586672488</v>
      </c>
      <c r="K502" s="2">
        <v>112.8</v>
      </c>
      <c r="L502" s="2">
        <v>106.5</v>
      </c>
      <c r="M502" s="2">
        <f t="shared" si="52"/>
        <v>6.2999999999999972</v>
      </c>
      <c r="N502" s="1">
        <f t="shared" si="53"/>
        <v>-2.5674319200058249E-2</v>
      </c>
      <c r="O502" s="2">
        <v>114.7</v>
      </c>
      <c r="P502" s="2">
        <v>111.2</v>
      </c>
      <c r="Q502" s="2">
        <f t="shared" si="54"/>
        <v>3.5</v>
      </c>
      <c r="R502" s="2">
        <v>0.6</v>
      </c>
      <c r="S502" s="2">
        <v>3.8</v>
      </c>
      <c r="T502" s="2">
        <f t="shared" si="55"/>
        <v>-2.7999999999999972</v>
      </c>
    </row>
    <row r="503" spans="1:20">
      <c r="A503" s="6">
        <v>681</v>
      </c>
      <c r="B503" t="s">
        <v>63</v>
      </c>
      <c r="C503" t="s">
        <v>26</v>
      </c>
      <c r="D503">
        <v>33</v>
      </c>
      <c r="E503">
        <v>49</v>
      </c>
      <c r="F503" s="1">
        <f t="shared" si="49"/>
        <v>0.40243902439024393</v>
      </c>
      <c r="G503" s="2">
        <v>113.4</v>
      </c>
      <c r="H503" s="2">
        <v>117.4</v>
      </c>
      <c r="I503" s="2">
        <f t="shared" si="50"/>
        <v>-4</v>
      </c>
      <c r="J503" s="1">
        <f t="shared" si="51"/>
        <v>0.3809973284555101</v>
      </c>
      <c r="K503" s="2">
        <v>114</v>
      </c>
      <c r="L503" s="2">
        <v>118</v>
      </c>
      <c r="M503" s="2">
        <f t="shared" si="52"/>
        <v>-4</v>
      </c>
      <c r="N503" s="1">
        <f t="shared" si="53"/>
        <v>2.1441695934733829E-2</v>
      </c>
      <c r="O503" s="2">
        <v>107.1</v>
      </c>
      <c r="P503" s="2">
        <v>113.9</v>
      </c>
      <c r="Q503" s="2">
        <f t="shared" si="54"/>
        <v>-6.8000000000000114</v>
      </c>
      <c r="R503" s="2">
        <v>-1.2</v>
      </c>
      <c r="S503" s="2">
        <v>-6.3</v>
      </c>
      <c r="T503" s="2">
        <f t="shared" si="55"/>
        <v>-2.8000000000000114</v>
      </c>
    </row>
    <row r="504" spans="1:20">
      <c r="A504" s="6">
        <v>351</v>
      </c>
      <c r="B504" t="s">
        <v>49</v>
      </c>
      <c r="C504" t="s">
        <v>26</v>
      </c>
      <c r="D504">
        <v>28</v>
      </c>
      <c r="E504">
        <v>38</v>
      </c>
      <c r="F504" s="1">
        <f t="shared" si="49"/>
        <v>0.42424242424242425</v>
      </c>
      <c r="G504" s="2">
        <v>97.2</v>
      </c>
      <c r="H504" s="2">
        <v>97.8</v>
      </c>
      <c r="I504" s="2">
        <f t="shared" si="50"/>
        <v>-0.59999999999999432</v>
      </c>
      <c r="J504" s="1">
        <f t="shared" si="51"/>
        <v>0.4784747831438797</v>
      </c>
      <c r="K504" s="2">
        <v>104.4</v>
      </c>
      <c r="L504" s="2">
        <v>105.3</v>
      </c>
      <c r="M504" s="2">
        <f t="shared" si="52"/>
        <v>-0.89999999999999147</v>
      </c>
      <c r="N504" s="1">
        <f t="shared" si="53"/>
        <v>-5.4232358901455446E-2</v>
      </c>
      <c r="O504" s="2">
        <v>91.5</v>
      </c>
      <c r="P504" s="2">
        <v>95.2</v>
      </c>
      <c r="Q504" s="2">
        <f t="shared" si="54"/>
        <v>-3.7000000000000028</v>
      </c>
      <c r="R504" s="2">
        <v>0.5</v>
      </c>
      <c r="S504" s="2">
        <v>2.5</v>
      </c>
      <c r="T504" s="2">
        <f t="shared" si="55"/>
        <v>-2.8000000000000114</v>
      </c>
    </row>
    <row r="505" spans="1:20">
      <c r="A505" s="6">
        <v>740</v>
      </c>
      <c r="B505" t="s">
        <v>65</v>
      </c>
      <c r="C505" t="s">
        <v>25</v>
      </c>
      <c r="D505">
        <v>36</v>
      </c>
      <c r="E505">
        <v>46</v>
      </c>
      <c r="F505" s="1">
        <f t="shared" si="49"/>
        <v>0.43902439024390244</v>
      </c>
      <c r="G505" s="2">
        <v>113.6</v>
      </c>
      <c r="H505" s="2">
        <v>116.6</v>
      </c>
      <c r="I505" s="2">
        <f t="shared" si="50"/>
        <v>-3</v>
      </c>
      <c r="J505" s="1">
        <f t="shared" si="51"/>
        <v>0.40976891597843029</v>
      </c>
      <c r="K505" s="2">
        <v>114.7</v>
      </c>
      <c r="L505" s="2">
        <v>117.7</v>
      </c>
      <c r="M505" s="2">
        <f t="shared" si="52"/>
        <v>-3</v>
      </c>
      <c r="N505" s="1">
        <f t="shared" si="53"/>
        <v>2.9255474265472148E-2</v>
      </c>
      <c r="O505" s="2">
        <v>115.5</v>
      </c>
      <c r="P505" s="2">
        <v>121.5</v>
      </c>
      <c r="Q505" s="2">
        <f t="shared" si="54"/>
        <v>-6</v>
      </c>
      <c r="R505" s="2">
        <v>-0.5</v>
      </c>
      <c r="S505" s="2">
        <v>-2.2000000000000002</v>
      </c>
      <c r="T505" s="2">
        <f t="shared" si="55"/>
        <v>-3</v>
      </c>
    </row>
    <row r="506" spans="1:20">
      <c r="A506" s="6">
        <v>454</v>
      </c>
      <c r="B506" t="s">
        <v>55</v>
      </c>
      <c r="C506" t="s">
        <v>11</v>
      </c>
      <c r="D506">
        <v>33</v>
      </c>
      <c r="E506">
        <v>49</v>
      </c>
      <c r="F506" s="1">
        <f t="shared" si="49"/>
        <v>0.40243902439024393</v>
      </c>
      <c r="G506" s="2">
        <v>101.9</v>
      </c>
      <c r="H506" s="2">
        <v>105</v>
      </c>
      <c r="I506" s="2">
        <f t="shared" si="50"/>
        <v>-3.0999999999999943</v>
      </c>
      <c r="J506" s="1">
        <f t="shared" si="51"/>
        <v>0.39662258414921886</v>
      </c>
      <c r="K506" s="2">
        <v>104.9</v>
      </c>
      <c r="L506" s="2">
        <v>108.2</v>
      </c>
      <c r="M506" s="2">
        <f t="shared" si="52"/>
        <v>-3.2999999999999972</v>
      </c>
      <c r="N506" s="1">
        <f t="shared" si="53"/>
        <v>5.8164402410250671E-3</v>
      </c>
      <c r="O506" s="2">
        <v>89.7</v>
      </c>
      <c r="P506" s="2">
        <v>96</v>
      </c>
      <c r="Q506" s="2">
        <f t="shared" si="54"/>
        <v>-6.2999999999999972</v>
      </c>
      <c r="R506" s="2">
        <v>-0.2</v>
      </c>
      <c r="S506" s="2">
        <v>-0.9</v>
      </c>
      <c r="T506" s="2">
        <f t="shared" si="55"/>
        <v>-3</v>
      </c>
    </row>
    <row r="507" spans="1:20">
      <c r="A507" s="6">
        <v>671</v>
      </c>
      <c r="B507" t="s">
        <v>63</v>
      </c>
      <c r="C507" t="s">
        <v>35</v>
      </c>
      <c r="D507">
        <v>51</v>
      </c>
      <c r="E507">
        <v>31</v>
      </c>
      <c r="F507" s="1">
        <f t="shared" si="49"/>
        <v>0.62195121951219512</v>
      </c>
      <c r="G507" s="2">
        <v>116.9</v>
      </c>
      <c r="H507" s="2">
        <v>113</v>
      </c>
      <c r="I507" s="2">
        <f t="shared" si="50"/>
        <v>3.9000000000000057</v>
      </c>
      <c r="J507" s="1">
        <f t="shared" si="51"/>
        <v>0.61657470721768026</v>
      </c>
      <c r="K507" s="2">
        <v>114.7</v>
      </c>
      <c r="L507" s="2">
        <v>110.7</v>
      </c>
      <c r="M507" s="2">
        <f t="shared" si="52"/>
        <v>4</v>
      </c>
      <c r="N507" s="1">
        <f t="shared" si="53"/>
        <v>5.3765122945148569E-3</v>
      </c>
      <c r="O507" s="2">
        <v>114.9</v>
      </c>
      <c r="P507" s="2">
        <v>113.9</v>
      </c>
      <c r="Q507" s="2">
        <f t="shared" si="54"/>
        <v>1</v>
      </c>
      <c r="R507" s="2">
        <v>-1.1000000000000001</v>
      </c>
      <c r="S507" s="2">
        <v>-5.8</v>
      </c>
      <c r="T507" s="2">
        <f t="shared" si="55"/>
        <v>-3</v>
      </c>
    </row>
    <row r="508" spans="1:20">
      <c r="A508" s="6">
        <v>267</v>
      </c>
      <c r="B508" t="s">
        <v>47</v>
      </c>
      <c r="C508" t="s">
        <v>5</v>
      </c>
      <c r="D508">
        <v>53</v>
      </c>
      <c r="E508">
        <v>29</v>
      </c>
      <c r="F508" s="1">
        <f t="shared" si="49"/>
        <v>0.64634146341463417</v>
      </c>
      <c r="G508" s="2">
        <v>101.7</v>
      </c>
      <c r="H508" s="2">
        <v>97</v>
      </c>
      <c r="I508" s="2">
        <f t="shared" si="50"/>
        <v>4.7000000000000028</v>
      </c>
      <c r="J508" s="1">
        <f t="shared" si="51"/>
        <v>0.65980571592524628</v>
      </c>
      <c r="K508" s="2">
        <v>111</v>
      </c>
      <c r="L508" s="2">
        <v>106</v>
      </c>
      <c r="M508" s="2">
        <f t="shared" si="52"/>
        <v>5</v>
      </c>
      <c r="N508" s="1">
        <f t="shared" si="53"/>
        <v>-1.3464252510612118E-2</v>
      </c>
      <c r="O508" s="2">
        <v>105.7</v>
      </c>
      <c r="P508" s="2">
        <v>103.7</v>
      </c>
      <c r="Q508" s="2">
        <f t="shared" si="54"/>
        <v>2</v>
      </c>
      <c r="R508" s="2">
        <v>0.3</v>
      </c>
      <c r="S508" s="2">
        <v>1</v>
      </c>
      <c r="T508" s="2">
        <f t="shared" si="55"/>
        <v>-3</v>
      </c>
    </row>
    <row r="509" spans="1:20">
      <c r="A509" s="6">
        <v>71</v>
      </c>
      <c r="B509" t="s">
        <v>36</v>
      </c>
      <c r="C509" t="s">
        <v>35</v>
      </c>
      <c r="D509">
        <v>28</v>
      </c>
      <c r="E509">
        <v>54</v>
      </c>
      <c r="F509" s="1">
        <f t="shared" si="49"/>
        <v>0.34146341463414637</v>
      </c>
      <c r="G509" s="2">
        <v>97.5</v>
      </c>
      <c r="H509" s="2">
        <v>100.7</v>
      </c>
      <c r="I509" s="2">
        <f t="shared" si="50"/>
        <v>-3.2000000000000028</v>
      </c>
      <c r="J509" s="1">
        <f t="shared" si="51"/>
        <v>0.38885971000700537</v>
      </c>
      <c r="K509" s="2">
        <v>102.3</v>
      </c>
      <c r="L509" s="2">
        <v>105.9</v>
      </c>
      <c r="M509" s="2">
        <f t="shared" si="52"/>
        <v>-3.6000000000000085</v>
      </c>
      <c r="N509" s="1">
        <f t="shared" si="53"/>
        <v>-4.7396295372858999E-2</v>
      </c>
      <c r="O509" s="2">
        <v>97.8</v>
      </c>
      <c r="P509" s="2">
        <v>104.4</v>
      </c>
      <c r="Q509" s="2">
        <f t="shared" si="54"/>
        <v>-6.6000000000000085</v>
      </c>
      <c r="R509" s="2">
        <v>0.2</v>
      </c>
      <c r="S509" s="2">
        <v>1.5</v>
      </c>
      <c r="T509" s="2">
        <f t="shared" si="55"/>
        <v>-3</v>
      </c>
    </row>
    <row r="510" spans="1:20">
      <c r="A510" s="6">
        <v>359</v>
      </c>
      <c r="B510" t="s">
        <v>50</v>
      </c>
      <c r="C510" t="s">
        <v>51</v>
      </c>
      <c r="D510">
        <v>49</v>
      </c>
      <c r="E510">
        <v>33</v>
      </c>
      <c r="F510" s="1">
        <f t="shared" si="49"/>
        <v>0.59756097560975607</v>
      </c>
      <c r="G510" s="2">
        <v>96.9</v>
      </c>
      <c r="H510" s="2">
        <v>95.1</v>
      </c>
      <c r="I510" s="2">
        <f t="shared" si="50"/>
        <v>1.8000000000000114</v>
      </c>
      <c r="J510" s="1">
        <f t="shared" si="51"/>
        <v>0.56525263753000543</v>
      </c>
      <c r="K510" s="2">
        <v>106.9</v>
      </c>
      <c r="L510" s="2">
        <v>104.8</v>
      </c>
      <c r="M510" s="2">
        <f t="shared" si="52"/>
        <v>2.1000000000000085</v>
      </c>
      <c r="N510" s="1">
        <f t="shared" si="53"/>
        <v>3.2308338079750643E-2</v>
      </c>
      <c r="O510" s="2">
        <v>98.8</v>
      </c>
      <c r="P510" s="2">
        <v>99.7</v>
      </c>
      <c r="Q510" s="2">
        <f t="shared" si="54"/>
        <v>-0.90000000000000568</v>
      </c>
      <c r="R510" s="2">
        <v>0.4</v>
      </c>
      <c r="S510" s="2">
        <v>2.9</v>
      </c>
      <c r="T510" s="2">
        <f t="shared" si="55"/>
        <v>-3.0000000000000142</v>
      </c>
    </row>
    <row r="511" spans="1:20">
      <c r="A511" s="6">
        <v>451</v>
      </c>
      <c r="B511" t="s">
        <v>55</v>
      </c>
      <c r="C511" t="s">
        <v>8</v>
      </c>
      <c r="D511">
        <v>42</v>
      </c>
      <c r="E511">
        <v>40</v>
      </c>
      <c r="F511" s="1">
        <f t="shared" si="49"/>
        <v>0.51219512195121952</v>
      </c>
      <c r="G511" s="2">
        <v>101.6</v>
      </c>
      <c r="H511" s="2">
        <v>103.1</v>
      </c>
      <c r="I511" s="2">
        <f t="shared" si="50"/>
        <v>-1.5</v>
      </c>
      <c r="J511" s="1">
        <f t="shared" si="51"/>
        <v>0.44888371019614143</v>
      </c>
      <c r="K511" s="2">
        <v>104.1</v>
      </c>
      <c r="L511" s="2">
        <v>105.5</v>
      </c>
      <c r="M511" s="2">
        <f t="shared" si="52"/>
        <v>-1.4000000000000057</v>
      </c>
      <c r="N511" s="1">
        <f t="shared" si="53"/>
        <v>6.3311411755078095E-2</v>
      </c>
      <c r="O511" s="2">
        <v>95.5</v>
      </c>
      <c r="P511" s="2">
        <v>100</v>
      </c>
      <c r="Q511" s="2">
        <f t="shared" si="54"/>
        <v>-4.5</v>
      </c>
      <c r="R511" s="2">
        <v>-0.7</v>
      </c>
      <c r="S511" s="2">
        <v>-4.2</v>
      </c>
      <c r="T511" s="2">
        <f t="shared" si="55"/>
        <v>-3.0999999999999943</v>
      </c>
    </row>
    <row r="512" spans="1:20">
      <c r="A512" s="6">
        <v>483</v>
      </c>
      <c r="B512" t="s">
        <v>57</v>
      </c>
      <c r="C512" t="s">
        <v>10</v>
      </c>
      <c r="D512">
        <v>33</v>
      </c>
      <c r="E512">
        <v>49</v>
      </c>
      <c r="F512" s="1">
        <f t="shared" si="49"/>
        <v>0.40243902439024393</v>
      </c>
      <c r="G512" s="2">
        <v>97.9</v>
      </c>
      <c r="H512" s="2">
        <v>100.8</v>
      </c>
      <c r="I512" s="2">
        <f t="shared" si="50"/>
        <v>-2.8999999999999915</v>
      </c>
      <c r="J512" s="1">
        <f t="shared" si="51"/>
        <v>0.39922740690355496</v>
      </c>
      <c r="K512" s="2">
        <v>104.7</v>
      </c>
      <c r="L512" s="2">
        <v>107.7</v>
      </c>
      <c r="M512" s="2">
        <f t="shared" si="52"/>
        <v>-3</v>
      </c>
      <c r="N512" s="1">
        <f t="shared" si="53"/>
        <v>3.2116174866889668E-3</v>
      </c>
      <c r="O512" s="2">
        <v>101.7</v>
      </c>
      <c r="P512" s="2">
        <v>107.8</v>
      </c>
      <c r="Q512" s="2">
        <f t="shared" si="54"/>
        <v>-6.0999999999999943</v>
      </c>
      <c r="R512" s="2">
        <v>-0.6</v>
      </c>
      <c r="S512" s="2">
        <v>-1.3</v>
      </c>
      <c r="T512" s="2">
        <f t="shared" si="55"/>
        <v>-3.0999999999999943</v>
      </c>
    </row>
    <row r="513" spans="1:20">
      <c r="A513" s="6">
        <v>558</v>
      </c>
      <c r="B513" t="s">
        <v>59</v>
      </c>
      <c r="C513" t="s">
        <v>23</v>
      </c>
      <c r="D513">
        <v>42</v>
      </c>
      <c r="E513">
        <v>40</v>
      </c>
      <c r="F513" s="1">
        <f t="shared" si="49"/>
        <v>0.51219512195121952</v>
      </c>
      <c r="G513" s="2">
        <v>107.3</v>
      </c>
      <c r="H513" s="2">
        <v>106.6</v>
      </c>
      <c r="I513" s="2">
        <f t="shared" si="50"/>
        <v>0.70000000000000284</v>
      </c>
      <c r="J513" s="1">
        <f t="shared" si="51"/>
        <v>0.52289196737820709</v>
      </c>
      <c r="K513" s="2">
        <v>108.2</v>
      </c>
      <c r="L513" s="2">
        <v>107.6</v>
      </c>
      <c r="M513" s="2">
        <f t="shared" si="52"/>
        <v>0.60000000000000853</v>
      </c>
      <c r="N513" s="1">
        <f t="shared" si="53"/>
        <v>-1.0696845426987567E-2</v>
      </c>
      <c r="O513" s="2">
        <v>96</v>
      </c>
      <c r="P513" s="2">
        <v>98.5</v>
      </c>
      <c r="Q513" s="2">
        <f t="shared" si="54"/>
        <v>-2.5</v>
      </c>
      <c r="R513" s="2">
        <v>-0.5</v>
      </c>
      <c r="S513" s="2">
        <v>-1.1000000000000001</v>
      </c>
      <c r="T513" s="2">
        <f t="shared" si="55"/>
        <v>-3.1000000000000085</v>
      </c>
    </row>
    <row r="514" spans="1:20">
      <c r="A514" s="6">
        <v>622</v>
      </c>
      <c r="B514" t="s">
        <v>61</v>
      </c>
      <c r="C514" t="s">
        <v>27</v>
      </c>
      <c r="D514">
        <v>31</v>
      </c>
      <c r="E514">
        <v>41</v>
      </c>
      <c r="F514" s="1">
        <f t="shared" si="49"/>
        <v>0.43055555555555558</v>
      </c>
      <c r="G514" s="2">
        <v>113.7</v>
      </c>
      <c r="H514" s="2">
        <v>117.4</v>
      </c>
      <c r="I514" s="2">
        <f t="shared" si="50"/>
        <v>-3.7000000000000028</v>
      </c>
      <c r="J514" s="1">
        <f t="shared" si="51"/>
        <v>0.38975811254317522</v>
      </c>
      <c r="K514" s="2">
        <v>112.7</v>
      </c>
      <c r="L514" s="2">
        <v>116.5</v>
      </c>
      <c r="M514" s="2">
        <f t="shared" si="52"/>
        <v>-3.7999999999999972</v>
      </c>
      <c r="N514" s="1">
        <f t="shared" si="53"/>
        <v>4.0797443012380363E-2</v>
      </c>
      <c r="O514" s="2">
        <v>107.9</v>
      </c>
      <c r="P514" s="2">
        <v>114.9</v>
      </c>
      <c r="Q514" s="2">
        <f t="shared" si="54"/>
        <v>-7</v>
      </c>
      <c r="R514" s="2">
        <v>-1</v>
      </c>
      <c r="S514" s="2">
        <v>-4.5</v>
      </c>
      <c r="T514" s="2">
        <f t="shared" si="55"/>
        <v>-3.2000000000000028</v>
      </c>
    </row>
    <row r="515" spans="1:20">
      <c r="A515" s="6">
        <v>392</v>
      </c>
      <c r="B515" t="s">
        <v>52</v>
      </c>
      <c r="C515" t="s">
        <v>9</v>
      </c>
      <c r="D515">
        <v>33</v>
      </c>
      <c r="E515">
        <v>49</v>
      </c>
      <c r="F515" s="1">
        <f t="shared" si="49"/>
        <v>0.40243902439024393</v>
      </c>
      <c r="G515" s="2">
        <v>98.2</v>
      </c>
      <c r="H515" s="2">
        <v>101.5</v>
      </c>
      <c r="I515" s="2">
        <f t="shared" si="50"/>
        <v>-3.2999999999999972</v>
      </c>
      <c r="J515" s="1">
        <f t="shared" si="51"/>
        <v>0.38633693083562831</v>
      </c>
      <c r="K515" s="2">
        <v>103.5</v>
      </c>
      <c r="L515" s="2">
        <v>107</v>
      </c>
      <c r="M515" s="2">
        <f t="shared" si="52"/>
        <v>-3.5</v>
      </c>
      <c r="N515" s="1">
        <f t="shared" si="53"/>
        <v>1.6102093554615615E-2</v>
      </c>
      <c r="O515" s="2">
        <v>95.4</v>
      </c>
      <c r="P515" s="2">
        <v>102.2</v>
      </c>
      <c r="Q515" s="2">
        <f t="shared" si="54"/>
        <v>-6.7999999999999972</v>
      </c>
      <c r="R515" s="2">
        <v>0.2</v>
      </c>
      <c r="S515" s="2">
        <v>0.3</v>
      </c>
      <c r="T515" s="2">
        <f t="shared" si="55"/>
        <v>-3.2999999999999972</v>
      </c>
    </row>
    <row r="516" spans="1:20">
      <c r="A516" s="6">
        <v>642</v>
      </c>
      <c r="B516" t="s">
        <v>62</v>
      </c>
      <c r="C516" t="s">
        <v>18</v>
      </c>
      <c r="D516">
        <v>53</v>
      </c>
      <c r="E516">
        <v>29</v>
      </c>
      <c r="F516" s="1">
        <f t="shared" si="49"/>
        <v>0.64634146341463417</v>
      </c>
      <c r="G516" s="2">
        <v>110</v>
      </c>
      <c r="H516" s="2">
        <v>105.6</v>
      </c>
      <c r="I516" s="2">
        <f t="shared" si="50"/>
        <v>4.4000000000000057</v>
      </c>
      <c r="J516" s="1">
        <f t="shared" si="51"/>
        <v>0.63911104772076754</v>
      </c>
      <c r="K516" s="2">
        <v>113</v>
      </c>
      <c r="L516" s="2">
        <v>108.4</v>
      </c>
      <c r="M516" s="2">
        <f t="shared" si="52"/>
        <v>4.5999999999999943</v>
      </c>
      <c r="N516" s="1">
        <f t="shared" si="53"/>
        <v>7.2304156938666209E-3</v>
      </c>
      <c r="O516" s="2">
        <v>100.4</v>
      </c>
      <c r="P516" s="2">
        <v>99.2</v>
      </c>
      <c r="Q516" s="2">
        <f t="shared" si="54"/>
        <v>1.2000000000000028</v>
      </c>
      <c r="R516" s="2">
        <v>0.4</v>
      </c>
      <c r="S516" s="2">
        <v>3.3</v>
      </c>
      <c r="T516" s="2">
        <f t="shared" si="55"/>
        <v>-3.3999999999999915</v>
      </c>
    </row>
    <row r="517" spans="1:20">
      <c r="A517" s="6">
        <v>83</v>
      </c>
      <c r="B517" t="s">
        <v>36</v>
      </c>
      <c r="C517" t="s">
        <v>28</v>
      </c>
      <c r="D517">
        <v>60</v>
      </c>
      <c r="E517">
        <v>22</v>
      </c>
      <c r="F517" s="1">
        <f t="shared" si="49"/>
        <v>0.73170731707317072</v>
      </c>
      <c r="G517" s="2">
        <v>95.8</v>
      </c>
      <c r="H517" s="2">
        <v>90.4</v>
      </c>
      <c r="I517" s="2">
        <f t="shared" si="50"/>
        <v>5.3999999999999915</v>
      </c>
      <c r="J517" s="1">
        <f t="shared" si="51"/>
        <v>0.6925904288126854</v>
      </c>
      <c r="K517" s="2">
        <v>103.9</v>
      </c>
      <c r="L517" s="2">
        <v>98.1</v>
      </c>
      <c r="M517" s="2">
        <f t="shared" si="52"/>
        <v>5.8000000000000114</v>
      </c>
      <c r="N517" s="1">
        <f t="shared" si="53"/>
        <v>3.9116888260485316E-2</v>
      </c>
      <c r="O517" s="2">
        <v>102.4</v>
      </c>
      <c r="P517" s="2">
        <v>100</v>
      </c>
      <c r="Q517" s="2">
        <f t="shared" si="54"/>
        <v>2.4000000000000057</v>
      </c>
      <c r="R517" s="2">
        <v>-1.9</v>
      </c>
      <c r="S517" s="2">
        <v>-6.3</v>
      </c>
      <c r="T517" s="2">
        <f t="shared" si="55"/>
        <v>-3.4000000000000057</v>
      </c>
    </row>
    <row r="518" spans="1:20">
      <c r="A518" s="6">
        <v>437</v>
      </c>
      <c r="B518" t="s">
        <v>54</v>
      </c>
      <c r="C518" t="s">
        <v>46</v>
      </c>
      <c r="D518">
        <v>45</v>
      </c>
      <c r="E518">
        <v>37</v>
      </c>
      <c r="F518" s="1">
        <f t="shared" si="49"/>
        <v>0.54878048780487809</v>
      </c>
      <c r="G518" s="2">
        <v>104</v>
      </c>
      <c r="H518" s="2">
        <v>101.8</v>
      </c>
      <c r="I518" s="2">
        <f t="shared" si="50"/>
        <v>2.2000000000000028</v>
      </c>
      <c r="J518" s="1">
        <f t="shared" si="51"/>
        <v>0.57427899793021731</v>
      </c>
      <c r="K518" s="2">
        <v>106.7</v>
      </c>
      <c r="L518" s="2">
        <v>104.6</v>
      </c>
      <c r="M518" s="2">
        <f t="shared" si="52"/>
        <v>2.1000000000000085</v>
      </c>
      <c r="N518" s="1">
        <f t="shared" si="53"/>
        <v>-2.5498510125339213E-2</v>
      </c>
      <c r="O518" s="2">
        <v>92.7</v>
      </c>
      <c r="P518" s="2">
        <v>94</v>
      </c>
      <c r="Q518" s="2">
        <f t="shared" si="54"/>
        <v>-1.2999999999999972</v>
      </c>
      <c r="R518" s="2">
        <v>-0.5</v>
      </c>
      <c r="S518" s="2">
        <v>-4.9000000000000004</v>
      </c>
      <c r="T518" s="2">
        <f t="shared" si="55"/>
        <v>-3.4000000000000057</v>
      </c>
    </row>
    <row r="519" spans="1:20">
      <c r="A519" s="6">
        <v>620</v>
      </c>
      <c r="B519" t="s">
        <v>61</v>
      </c>
      <c r="C519" t="s">
        <v>25</v>
      </c>
      <c r="D519">
        <v>51</v>
      </c>
      <c r="E519">
        <v>21</v>
      </c>
      <c r="F519" s="1">
        <f t="shared" si="49"/>
        <v>0.70833333333333337</v>
      </c>
      <c r="G519" s="2">
        <v>115.3</v>
      </c>
      <c r="H519" s="2">
        <v>109.5</v>
      </c>
      <c r="I519" s="2">
        <f t="shared" si="50"/>
        <v>5.7999999999999972</v>
      </c>
      <c r="J519" s="1">
        <f t="shared" si="51"/>
        <v>0.67317496175026137</v>
      </c>
      <c r="K519" s="2">
        <v>116.3</v>
      </c>
      <c r="L519" s="2">
        <v>110.4</v>
      </c>
      <c r="M519" s="2">
        <f t="shared" si="52"/>
        <v>5.8999999999999915</v>
      </c>
      <c r="N519" s="1">
        <f t="shared" si="53"/>
        <v>3.5158371583072001E-2</v>
      </c>
      <c r="O519" s="2">
        <v>110.3</v>
      </c>
      <c r="P519" s="2">
        <v>107.9</v>
      </c>
      <c r="Q519" s="2">
        <f t="shared" si="54"/>
        <v>2.3999999999999915</v>
      </c>
      <c r="R519" s="2">
        <v>0.7</v>
      </c>
      <c r="S519" s="2">
        <v>2.9</v>
      </c>
      <c r="T519" s="2">
        <f t="shared" si="55"/>
        <v>-3.5</v>
      </c>
    </row>
    <row r="520" spans="1:20">
      <c r="A520" s="6">
        <v>410</v>
      </c>
      <c r="B520" t="s">
        <v>52</v>
      </c>
      <c r="C520" t="s">
        <v>25</v>
      </c>
      <c r="D520">
        <v>48</v>
      </c>
      <c r="E520">
        <v>34</v>
      </c>
      <c r="F520" s="1">
        <f t="shared" si="49"/>
        <v>0.58536585365853655</v>
      </c>
      <c r="G520" s="2">
        <v>105.2</v>
      </c>
      <c r="H520" s="2">
        <v>102.6</v>
      </c>
      <c r="I520" s="2">
        <f t="shared" si="50"/>
        <v>2.6000000000000085</v>
      </c>
      <c r="J520" s="1">
        <f t="shared" si="51"/>
        <v>0.58670369823184843</v>
      </c>
      <c r="K520" s="2">
        <v>108.2</v>
      </c>
      <c r="L520" s="2">
        <v>105.6</v>
      </c>
      <c r="M520" s="2">
        <f t="shared" si="52"/>
        <v>2.6000000000000085</v>
      </c>
      <c r="N520" s="1">
        <f t="shared" si="53"/>
        <v>-1.3378445733118749E-3</v>
      </c>
      <c r="O520" s="2">
        <v>96.2</v>
      </c>
      <c r="P520" s="2">
        <v>97.1</v>
      </c>
      <c r="Q520" s="2">
        <f t="shared" si="54"/>
        <v>-0.89999999999999147</v>
      </c>
      <c r="R520" s="2">
        <v>0.4</v>
      </c>
      <c r="S520" s="2">
        <v>2.5</v>
      </c>
      <c r="T520" s="2">
        <f t="shared" si="55"/>
        <v>-3.5</v>
      </c>
    </row>
    <row r="521" spans="1:20">
      <c r="A521" s="6">
        <v>159</v>
      </c>
      <c r="B521" t="s">
        <v>41</v>
      </c>
      <c r="C521" t="s">
        <v>17</v>
      </c>
      <c r="D521">
        <v>45</v>
      </c>
      <c r="E521">
        <v>37</v>
      </c>
      <c r="F521" s="1">
        <f t="shared" ref="F521:F584" si="56">+D521/(D521+E521)</f>
        <v>0.54878048780487809</v>
      </c>
      <c r="G521" s="2">
        <v>99.4</v>
      </c>
      <c r="H521" s="2">
        <v>96.9</v>
      </c>
      <c r="I521" s="2">
        <f t="shared" ref="I521:I584" si="57">+G521-H521</f>
        <v>2.5</v>
      </c>
      <c r="J521" s="1">
        <f t="shared" ref="J521:J584" si="58">+(G521^14)/((G521^14+H521^14))</f>
        <v>0.58822109610228113</v>
      </c>
      <c r="K521" s="2">
        <v>106.8</v>
      </c>
      <c r="L521" s="2">
        <v>104.2</v>
      </c>
      <c r="M521" s="2">
        <f t="shared" ref="M521:M584" si="59">+K521-L521</f>
        <v>2.5999999999999943</v>
      </c>
      <c r="N521" s="1">
        <f t="shared" ref="N521:N584" si="60">+F521-J521</f>
        <v>-3.9440608297403035E-2</v>
      </c>
      <c r="O521" s="2">
        <v>108.6</v>
      </c>
      <c r="P521" s="2">
        <v>109.5</v>
      </c>
      <c r="Q521" s="2">
        <f t="shared" ref="Q521:Q584" si="61">+O521-P521</f>
        <v>-0.90000000000000568</v>
      </c>
      <c r="R521" s="2">
        <v>0.7</v>
      </c>
      <c r="S521" s="2">
        <v>5</v>
      </c>
      <c r="T521" s="2">
        <f t="shared" ref="T521:T584" si="62">+Q521-M521</f>
        <v>-3.5</v>
      </c>
    </row>
    <row r="522" spans="1:20">
      <c r="A522" s="6">
        <v>66</v>
      </c>
      <c r="B522" t="s">
        <v>36</v>
      </c>
      <c r="C522" t="s">
        <v>13</v>
      </c>
      <c r="D522">
        <v>38</v>
      </c>
      <c r="E522">
        <v>44</v>
      </c>
      <c r="F522" s="1">
        <f t="shared" si="56"/>
        <v>0.46341463414634149</v>
      </c>
      <c r="G522" s="2">
        <v>102.4</v>
      </c>
      <c r="H522" s="2">
        <v>103.6</v>
      </c>
      <c r="I522" s="2">
        <f t="shared" si="57"/>
        <v>-1.1999999999999886</v>
      </c>
      <c r="J522" s="1">
        <f t="shared" si="58"/>
        <v>0.45931300428144822</v>
      </c>
      <c r="K522" s="2">
        <v>106.4</v>
      </c>
      <c r="L522" s="2">
        <v>107.7</v>
      </c>
      <c r="M522" s="2">
        <f t="shared" si="59"/>
        <v>-1.2999999999999972</v>
      </c>
      <c r="N522" s="1">
        <f t="shared" si="60"/>
        <v>4.1016298648932636E-3</v>
      </c>
      <c r="O522" s="2">
        <v>100.3</v>
      </c>
      <c r="P522" s="2">
        <v>105.2</v>
      </c>
      <c r="Q522" s="2">
        <f t="shared" si="61"/>
        <v>-4.9000000000000057</v>
      </c>
      <c r="R522" s="2">
        <v>-0.2</v>
      </c>
      <c r="S522" s="2">
        <v>-2.2999999999999998</v>
      </c>
      <c r="T522" s="2">
        <f t="shared" si="62"/>
        <v>-3.6000000000000085</v>
      </c>
    </row>
    <row r="523" spans="1:20">
      <c r="A523" s="6">
        <v>296</v>
      </c>
      <c r="B523" t="s">
        <v>47</v>
      </c>
      <c r="C523" t="s">
        <v>33</v>
      </c>
      <c r="D523">
        <v>26</v>
      </c>
      <c r="E523">
        <v>56</v>
      </c>
      <c r="F523" s="1">
        <f t="shared" si="56"/>
        <v>0.31707317073170732</v>
      </c>
      <c r="G523" s="2">
        <v>96.2</v>
      </c>
      <c r="H523" s="2">
        <v>101</v>
      </c>
      <c r="I523" s="2">
        <f t="shared" si="57"/>
        <v>-4.7999999999999972</v>
      </c>
      <c r="J523" s="1">
        <f t="shared" si="58"/>
        <v>0.33588728853069855</v>
      </c>
      <c r="K523" s="2">
        <v>103.1</v>
      </c>
      <c r="L523" s="2">
        <v>108.3</v>
      </c>
      <c r="M523" s="2">
        <f t="shared" si="59"/>
        <v>-5.2000000000000028</v>
      </c>
      <c r="N523" s="1">
        <f t="shared" si="60"/>
        <v>-1.8814117798991226E-2</v>
      </c>
      <c r="O523" s="2">
        <v>94.2</v>
      </c>
      <c r="P523" s="2">
        <v>103.1</v>
      </c>
      <c r="Q523" s="2">
        <f t="shared" si="61"/>
        <v>-8.8999999999999915</v>
      </c>
      <c r="R523" s="2">
        <v>-1</v>
      </c>
      <c r="S523" s="2">
        <v>-4.5999999999999996</v>
      </c>
      <c r="T523" s="2">
        <f t="shared" si="62"/>
        <v>-3.6999999999999886</v>
      </c>
    </row>
    <row r="524" spans="1:20">
      <c r="A524" s="6">
        <v>81</v>
      </c>
      <c r="B524" t="s">
        <v>36</v>
      </c>
      <c r="C524" t="s">
        <v>26</v>
      </c>
      <c r="D524">
        <v>50</v>
      </c>
      <c r="E524">
        <v>32</v>
      </c>
      <c r="F524" s="1">
        <f t="shared" si="56"/>
        <v>0.6097560975609756</v>
      </c>
      <c r="G524" s="2">
        <v>95.2</v>
      </c>
      <c r="H524" s="2">
        <v>92.5</v>
      </c>
      <c r="I524" s="2">
        <f t="shared" si="57"/>
        <v>2.7000000000000028</v>
      </c>
      <c r="J524" s="1">
        <f t="shared" si="58"/>
        <v>0.59935976254287349</v>
      </c>
      <c r="K524" s="2">
        <v>104.2</v>
      </c>
      <c r="L524" s="2">
        <v>101.5</v>
      </c>
      <c r="M524" s="2">
        <f t="shared" si="59"/>
        <v>2.7000000000000028</v>
      </c>
      <c r="N524" s="1">
        <f t="shared" si="60"/>
        <v>1.039633501810211E-2</v>
      </c>
      <c r="O524" s="2">
        <v>97.3</v>
      </c>
      <c r="P524" s="2">
        <v>98.3</v>
      </c>
      <c r="Q524" s="2">
        <f t="shared" si="61"/>
        <v>-1</v>
      </c>
      <c r="R524" s="2">
        <v>-1</v>
      </c>
      <c r="S524" s="2">
        <v>-2.9</v>
      </c>
      <c r="T524" s="2">
        <f t="shared" si="62"/>
        <v>-3.7000000000000028</v>
      </c>
    </row>
    <row r="525" spans="1:20">
      <c r="A525" s="6">
        <v>689</v>
      </c>
      <c r="B525" t="s">
        <v>64</v>
      </c>
      <c r="C525" t="s">
        <v>51</v>
      </c>
      <c r="D525">
        <v>32</v>
      </c>
      <c r="E525">
        <v>50</v>
      </c>
      <c r="F525" s="1">
        <f t="shared" si="56"/>
        <v>0.3902439024390244</v>
      </c>
      <c r="G525" s="2">
        <v>110.4</v>
      </c>
      <c r="H525" s="2">
        <v>113.3</v>
      </c>
      <c r="I525" s="2">
        <f t="shared" si="57"/>
        <v>-2.8999999999999915</v>
      </c>
      <c r="J525" s="1">
        <f t="shared" si="58"/>
        <v>0.41023197755598673</v>
      </c>
      <c r="K525" s="2">
        <v>112.4</v>
      </c>
      <c r="L525" s="2">
        <v>115.4</v>
      </c>
      <c r="M525" s="2">
        <f t="shared" si="59"/>
        <v>-3</v>
      </c>
      <c r="N525" s="1">
        <f t="shared" si="60"/>
        <v>-1.9988075116962323E-2</v>
      </c>
      <c r="O525" s="2">
        <v>107.5</v>
      </c>
      <c r="P525" s="2">
        <v>114.2</v>
      </c>
      <c r="Q525" s="2">
        <f t="shared" si="61"/>
        <v>-6.7000000000000028</v>
      </c>
      <c r="R525" s="2">
        <v>-0.1</v>
      </c>
      <c r="S525" s="2">
        <v>-1.3</v>
      </c>
      <c r="T525" s="2">
        <f t="shared" si="62"/>
        <v>-3.7000000000000028</v>
      </c>
    </row>
    <row r="526" spans="1:20">
      <c r="A526" s="6">
        <v>312</v>
      </c>
      <c r="B526" t="s">
        <v>48</v>
      </c>
      <c r="C526" t="s">
        <v>19</v>
      </c>
      <c r="D526">
        <v>35</v>
      </c>
      <c r="E526">
        <v>47</v>
      </c>
      <c r="F526" s="1">
        <f t="shared" si="56"/>
        <v>0.42682926829268292</v>
      </c>
      <c r="G526" s="2">
        <v>91.9</v>
      </c>
      <c r="H526" s="2">
        <v>92.7</v>
      </c>
      <c r="I526" s="2">
        <f t="shared" si="57"/>
        <v>-0.79999999999999716</v>
      </c>
      <c r="J526" s="1">
        <f t="shared" si="58"/>
        <v>0.46970111742339138</v>
      </c>
      <c r="K526" s="2">
        <v>100.8</v>
      </c>
      <c r="L526" s="2">
        <v>101.5</v>
      </c>
      <c r="M526" s="2">
        <f t="shared" si="59"/>
        <v>-0.70000000000000284</v>
      </c>
      <c r="N526" s="1">
        <f t="shared" si="60"/>
        <v>-4.2871849130708461E-2</v>
      </c>
      <c r="O526" s="2">
        <v>90.8</v>
      </c>
      <c r="P526" s="2">
        <v>95.2</v>
      </c>
      <c r="Q526" s="2">
        <f t="shared" si="61"/>
        <v>-4.4000000000000057</v>
      </c>
      <c r="R526" s="2">
        <v>0.4</v>
      </c>
      <c r="S526" s="2">
        <v>0.8</v>
      </c>
      <c r="T526" s="2">
        <f t="shared" si="62"/>
        <v>-3.7000000000000028</v>
      </c>
    </row>
    <row r="527" spans="1:20">
      <c r="A527" s="6">
        <v>334</v>
      </c>
      <c r="B527" t="s">
        <v>49</v>
      </c>
      <c r="C527" t="s">
        <v>12</v>
      </c>
      <c r="D527">
        <v>25</v>
      </c>
      <c r="E527">
        <v>41</v>
      </c>
      <c r="F527" s="1">
        <f t="shared" si="56"/>
        <v>0.37878787878787878</v>
      </c>
      <c r="G527" s="2">
        <v>90.9</v>
      </c>
      <c r="H527" s="2">
        <v>95.7</v>
      </c>
      <c r="I527" s="2">
        <f t="shared" si="57"/>
        <v>-4.7999999999999972</v>
      </c>
      <c r="J527" s="1">
        <f t="shared" si="58"/>
        <v>0.32730134783785092</v>
      </c>
      <c r="K527" s="2">
        <v>100</v>
      </c>
      <c r="L527" s="2">
        <v>105</v>
      </c>
      <c r="M527" s="2">
        <f t="shared" si="59"/>
        <v>-5</v>
      </c>
      <c r="N527" s="1">
        <f t="shared" si="60"/>
        <v>5.1486530950027865E-2</v>
      </c>
      <c r="O527" s="2">
        <v>95.9</v>
      </c>
      <c r="P527" s="2">
        <v>104.7</v>
      </c>
      <c r="Q527" s="2">
        <f t="shared" si="61"/>
        <v>-8.7999999999999972</v>
      </c>
      <c r="R527" s="2">
        <v>-2.2999999999999998</v>
      </c>
      <c r="S527" s="2">
        <v>-10.5</v>
      </c>
      <c r="T527" s="2">
        <f t="shared" si="62"/>
        <v>-3.7999999999999972</v>
      </c>
    </row>
    <row r="528" spans="1:20">
      <c r="A528" s="6">
        <v>338</v>
      </c>
      <c r="B528" t="s">
        <v>49</v>
      </c>
      <c r="C528" t="s">
        <v>16</v>
      </c>
      <c r="D528">
        <v>40</v>
      </c>
      <c r="E528">
        <v>26</v>
      </c>
      <c r="F528" s="1">
        <f t="shared" si="56"/>
        <v>0.60606060606060608</v>
      </c>
      <c r="G528" s="2">
        <v>97.5</v>
      </c>
      <c r="H528" s="2">
        <v>95</v>
      </c>
      <c r="I528" s="2">
        <f t="shared" si="57"/>
        <v>2.5</v>
      </c>
      <c r="J528" s="1">
        <f t="shared" si="58"/>
        <v>0.58992535543589308</v>
      </c>
      <c r="K528" s="2">
        <v>107.5</v>
      </c>
      <c r="L528" s="2">
        <v>104.8</v>
      </c>
      <c r="M528" s="2">
        <f t="shared" si="59"/>
        <v>2.7000000000000028</v>
      </c>
      <c r="N528" s="1">
        <f t="shared" si="60"/>
        <v>1.6135250624712993E-2</v>
      </c>
      <c r="O528" s="2">
        <v>98.4</v>
      </c>
      <c r="P528" s="2">
        <v>99.5</v>
      </c>
      <c r="Q528" s="2">
        <f t="shared" si="61"/>
        <v>-1.0999999999999943</v>
      </c>
      <c r="R528" s="2">
        <v>0.9</v>
      </c>
      <c r="S528" s="2">
        <v>0.9</v>
      </c>
      <c r="T528" s="2">
        <f t="shared" si="62"/>
        <v>-3.7999999999999972</v>
      </c>
    </row>
    <row r="529" spans="1:20">
      <c r="A529" s="6">
        <v>102</v>
      </c>
      <c r="B529" t="s">
        <v>38</v>
      </c>
      <c r="C529" t="s">
        <v>19</v>
      </c>
      <c r="D529">
        <v>41</v>
      </c>
      <c r="E529">
        <v>41</v>
      </c>
      <c r="F529" s="1">
        <f t="shared" si="56"/>
        <v>0.5</v>
      </c>
      <c r="G529" s="2">
        <v>98</v>
      </c>
      <c r="H529" s="2">
        <v>97</v>
      </c>
      <c r="I529" s="2">
        <f t="shared" si="57"/>
        <v>1</v>
      </c>
      <c r="J529" s="1">
        <f t="shared" si="58"/>
        <v>0.53583619805025806</v>
      </c>
      <c r="K529" s="2">
        <v>104.6</v>
      </c>
      <c r="L529" s="2">
        <v>103.5</v>
      </c>
      <c r="M529" s="2">
        <f t="shared" si="59"/>
        <v>1.0999999999999943</v>
      </c>
      <c r="N529" s="1">
        <f t="shared" si="60"/>
        <v>-3.5836198050258061E-2</v>
      </c>
      <c r="O529" s="2">
        <v>94.3</v>
      </c>
      <c r="P529" s="2">
        <v>97.1</v>
      </c>
      <c r="Q529" s="2">
        <f t="shared" si="61"/>
        <v>-2.7999999999999972</v>
      </c>
      <c r="R529" s="2">
        <v>0.2</v>
      </c>
      <c r="S529" s="2">
        <v>1.3</v>
      </c>
      <c r="T529" s="2">
        <f t="shared" si="62"/>
        <v>-3.8999999999999915</v>
      </c>
    </row>
    <row r="530" spans="1:20">
      <c r="A530" s="6">
        <v>82</v>
      </c>
      <c r="B530" t="s">
        <v>36</v>
      </c>
      <c r="C530" t="s">
        <v>27</v>
      </c>
      <c r="D530">
        <v>59</v>
      </c>
      <c r="E530">
        <v>23</v>
      </c>
      <c r="F530" s="1">
        <f t="shared" si="56"/>
        <v>0.71951219512195119</v>
      </c>
      <c r="G530" s="2">
        <v>101.7</v>
      </c>
      <c r="H530" s="2">
        <v>95.2</v>
      </c>
      <c r="I530" s="2">
        <f t="shared" si="57"/>
        <v>6.5</v>
      </c>
      <c r="J530" s="1">
        <f t="shared" si="58"/>
        <v>0.71599128231824272</v>
      </c>
      <c r="K530" s="2">
        <v>104.4</v>
      </c>
      <c r="L530" s="2">
        <v>97.8</v>
      </c>
      <c r="M530" s="2">
        <f t="shared" si="59"/>
        <v>6.6000000000000085</v>
      </c>
      <c r="N530" s="1">
        <f t="shared" si="60"/>
        <v>3.5209128037084758E-3</v>
      </c>
      <c r="O530" s="2">
        <v>104.5</v>
      </c>
      <c r="P530" s="2">
        <v>101.8</v>
      </c>
      <c r="Q530" s="2">
        <f t="shared" si="61"/>
        <v>2.7000000000000028</v>
      </c>
      <c r="R530" s="2">
        <v>0.4</v>
      </c>
      <c r="S530" s="2">
        <v>3.2</v>
      </c>
      <c r="T530" s="2">
        <f t="shared" si="62"/>
        <v>-3.9000000000000057</v>
      </c>
    </row>
    <row r="531" spans="1:20">
      <c r="A531" s="6">
        <v>4</v>
      </c>
      <c r="B531" t="s">
        <v>4</v>
      </c>
      <c r="C531" t="s">
        <v>8</v>
      </c>
      <c r="D531">
        <v>15</v>
      </c>
      <c r="E531">
        <v>67</v>
      </c>
      <c r="F531" s="1">
        <f t="shared" si="56"/>
        <v>0.18292682926829268</v>
      </c>
      <c r="G531" s="2">
        <v>87.6</v>
      </c>
      <c r="H531" s="2">
        <v>96.7</v>
      </c>
      <c r="I531" s="2">
        <f t="shared" si="57"/>
        <v>-9.1000000000000085</v>
      </c>
      <c r="J531" s="1">
        <f t="shared" si="58"/>
        <v>0.20042284639847754</v>
      </c>
      <c r="K531" s="2">
        <v>95.9</v>
      </c>
      <c r="L531" s="2">
        <v>105.9</v>
      </c>
      <c r="M531" s="2">
        <f t="shared" si="59"/>
        <v>-10</v>
      </c>
      <c r="N531" s="1">
        <f t="shared" si="60"/>
        <v>-1.7496017130184865E-2</v>
      </c>
      <c r="O531" s="2">
        <v>93.5</v>
      </c>
      <c r="P531" s="2">
        <v>107.4</v>
      </c>
      <c r="Q531" s="2">
        <f t="shared" si="61"/>
        <v>-13.900000000000006</v>
      </c>
      <c r="R531" s="2">
        <v>-2.8</v>
      </c>
      <c r="S531" s="2">
        <v>-14.5</v>
      </c>
      <c r="T531" s="2">
        <f t="shared" si="62"/>
        <v>-3.9000000000000057</v>
      </c>
    </row>
    <row r="532" spans="1:20">
      <c r="A532" s="6">
        <v>552</v>
      </c>
      <c r="B532" t="s">
        <v>59</v>
      </c>
      <c r="C532" t="s">
        <v>18</v>
      </c>
      <c r="D532">
        <v>39</v>
      </c>
      <c r="E532">
        <v>43</v>
      </c>
      <c r="F532" s="1">
        <f t="shared" si="56"/>
        <v>0.47560975609756095</v>
      </c>
      <c r="G532" s="2">
        <v>105.7</v>
      </c>
      <c r="H532" s="2">
        <v>105.9</v>
      </c>
      <c r="I532" s="2">
        <f t="shared" si="57"/>
        <v>-0.20000000000000284</v>
      </c>
      <c r="J532" s="1">
        <f t="shared" si="58"/>
        <v>0.49338412708182683</v>
      </c>
      <c r="K532" s="2">
        <v>106.7</v>
      </c>
      <c r="L532" s="2">
        <v>107.1</v>
      </c>
      <c r="M532" s="2">
        <f t="shared" si="59"/>
        <v>-0.39999999999999147</v>
      </c>
      <c r="N532" s="1">
        <f t="shared" si="60"/>
        <v>-1.7774370984265875E-2</v>
      </c>
      <c r="O532" s="2">
        <v>93.6</v>
      </c>
      <c r="P532" s="2">
        <v>97.9</v>
      </c>
      <c r="Q532" s="2">
        <f t="shared" si="61"/>
        <v>-4.3000000000000114</v>
      </c>
      <c r="R532" s="2">
        <v>-0.7</v>
      </c>
      <c r="S532" s="2">
        <v>-4</v>
      </c>
      <c r="T532" s="2">
        <f t="shared" si="62"/>
        <v>-3.9000000000000199</v>
      </c>
    </row>
    <row r="533" spans="1:20">
      <c r="A533" s="6">
        <v>528</v>
      </c>
      <c r="B533" t="s">
        <v>58</v>
      </c>
      <c r="C533" t="s">
        <v>23</v>
      </c>
      <c r="D533">
        <v>25</v>
      </c>
      <c r="E533">
        <v>57</v>
      </c>
      <c r="F533" s="1">
        <f t="shared" si="56"/>
        <v>0.3048780487804878</v>
      </c>
      <c r="G533" s="2">
        <v>103.4</v>
      </c>
      <c r="H533" s="2">
        <v>108.2</v>
      </c>
      <c r="I533" s="2">
        <f t="shared" si="57"/>
        <v>-4.7999999999999972</v>
      </c>
      <c r="J533" s="1">
        <f t="shared" si="58"/>
        <v>0.34631662039158329</v>
      </c>
      <c r="K533" s="2">
        <v>104.7</v>
      </c>
      <c r="L533" s="2">
        <v>109.4</v>
      </c>
      <c r="M533" s="2">
        <f t="shared" si="59"/>
        <v>-4.7000000000000028</v>
      </c>
      <c r="N533" s="1">
        <f t="shared" si="60"/>
        <v>-4.1438571611095487E-2</v>
      </c>
      <c r="O533" s="2">
        <v>98.4</v>
      </c>
      <c r="P533" s="2">
        <v>107.1</v>
      </c>
      <c r="Q533" s="2">
        <f t="shared" si="61"/>
        <v>-8.6999999999999886</v>
      </c>
      <c r="R533" s="2">
        <v>0</v>
      </c>
      <c r="S533" s="2">
        <v>-0.9</v>
      </c>
      <c r="T533" s="2">
        <f t="shared" si="62"/>
        <v>-3.9999999999999858</v>
      </c>
    </row>
    <row r="534" spans="1:20">
      <c r="A534" s="6">
        <v>645</v>
      </c>
      <c r="B534" t="s">
        <v>62</v>
      </c>
      <c r="C534" t="s">
        <v>53</v>
      </c>
      <c r="D534">
        <v>36</v>
      </c>
      <c r="E534">
        <v>46</v>
      </c>
      <c r="F534" s="1">
        <f t="shared" si="56"/>
        <v>0.43902439024390244</v>
      </c>
      <c r="G534" s="2">
        <v>109.3</v>
      </c>
      <c r="H534" s="2">
        <v>110.3</v>
      </c>
      <c r="I534" s="2">
        <f t="shared" si="57"/>
        <v>-1</v>
      </c>
      <c r="J534" s="1">
        <f t="shared" si="58"/>
        <v>0.46816675732183283</v>
      </c>
      <c r="K534" s="2">
        <v>111.2</v>
      </c>
      <c r="L534" s="2">
        <v>112</v>
      </c>
      <c r="M534" s="2">
        <f t="shared" si="59"/>
        <v>-0.79999999999999716</v>
      </c>
      <c r="N534" s="1">
        <f t="shared" si="60"/>
        <v>-2.9142367077930387E-2</v>
      </c>
      <c r="O534" s="2">
        <v>115.5</v>
      </c>
      <c r="P534" s="2">
        <v>120.3</v>
      </c>
      <c r="Q534" s="2">
        <f t="shared" si="61"/>
        <v>-4.7999999999999972</v>
      </c>
      <c r="R534" s="2">
        <v>0.3</v>
      </c>
      <c r="S534" s="2">
        <v>1.3</v>
      </c>
      <c r="T534" s="2">
        <f t="shared" si="62"/>
        <v>-4</v>
      </c>
    </row>
    <row r="535" spans="1:20">
      <c r="A535" s="6">
        <v>480</v>
      </c>
      <c r="B535" t="s">
        <v>57</v>
      </c>
      <c r="C535" t="s">
        <v>7</v>
      </c>
      <c r="D535">
        <v>36</v>
      </c>
      <c r="E535">
        <v>46</v>
      </c>
      <c r="F535" s="1">
        <f t="shared" si="56"/>
        <v>0.43902439024390244</v>
      </c>
      <c r="G535" s="2">
        <v>104.9</v>
      </c>
      <c r="H535" s="2">
        <v>104.7</v>
      </c>
      <c r="I535" s="2">
        <f t="shared" si="57"/>
        <v>0.20000000000000284</v>
      </c>
      <c r="J535" s="1">
        <f t="shared" si="58"/>
        <v>0.50667899404030869</v>
      </c>
      <c r="K535" s="2">
        <v>108.4</v>
      </c>
      <c r="L535" s="2">
        <v>108.4</v>
      </c>
      <c r="M535" s="2">
        <f t="shared" si="59"/>
        <v>0</v>
      </c>
      <c r="N535" s="1">
        <f t="shared" si="60"/>
        <v>-6.7654603796406254E-2</v>
      </c>
      <c r="O535" s="2">
        <v>115.5</v>
      </c>
      <c r="P535" s="2">
        <v>119.6</v>
      </c>
      <c r="Q535" s="2">
        <f t="shared" si="61"/>
        <v>-4.0999999999999943</v>
      </c>
      <c r="R535" s="2">
        <v>-0.3</v>
      </c>
      <c r="S535" s="2">
        <v>0.4</v>
      </c>
      <c r="T535" s="2">
        <f t="shared" si="62"/>
        <v>-4.0999999999999943</v>
      </c>
    </row>
    <row r="536" spans="1:20">
      <c r="A536" s="6">
        <v>25</v>
      </c>
      <c r="B536" t="s">
        <v>4</v>
      </c>
      <c r="C536" t="s">
        <v>29</v>
      </c>
      <c r="D536">
        <v>44</v>
      </c>
      <c r="E536">
        <v>38</v>
      </c>
      <c r="F536" s="1">
        <f t="shared" si="56"/>
        <v>0.53658536585365857</v>
      </c>
      <c r="G536" s="2">
        <v>97.3</v>
      </c>
      <c r="H536" s="2">
        <v>97.3</v>
      </c>
      <c r="I536" s="2">
        <f t="shared" si="57"/>
        <v>0</v>
      </c>
      <c r="J536" s="1">
        <f t="shared" si="58"/>
        <v>0.5</v>
      </c>
      <c r="K536" s="2">
        <v>104.4</v>
      </c>
      <c r="L536" s="2">
        <v>104.2</v>
      </c>
      <c r="M536" s="2">
        <f t="shared" si="59"/>
        <v>0.20000000000000284</v>
      </c>
      <c r="N536" s="1">
        <f t="shared" si="60"/>
        <v>3.6585365853658569E-2</v>
      </c>
      <c r="O536" s="2">
        <v>98.3</v>
      </c>
      <c r="P536" s="2">
        <v>102.3</v>
      </c>
      <c r="Q536" s="2">
        <f t="shared" si="61"/>
        <v>-4</v>
      </c>
      <c r="R536" s="2">
        <v>-0.4</v>
      </c>
      <c r="S536" s="2">
        <v>-3.2</v>
      </c>
      <c r="T536" s="2">
        <f t="shared" si="62"/>
        <v>-4.2000000000000028</v>
      </c>
    </row>
    <row r="537" spans="1:20">
      <c r="A537" s="6">
        <v>44</v>
      </c>
      <c r="B537" t="s">
        <v>34</v>
      </c>
      <c r="C537" t="s">
        <v>18</v>
      </c>
      <c r="D537">
        <v>36</v>
      </c>
      <c r="E537">
        <v>46</v>
      </c>
      <c r="F537" s="1">
        <f t="shared" si="56"/>
        <v>0.43902439024390244</v>
      </c>
      <c r="G537" s="2">
        <v>87.2</v>
      </c>
      <c r="H537" s="2">
        <v>88.7</v>
      </c>
      <c r="I537" s="2">
        <f t="shared" si="57"/>
        <v>-1.5</v>
      </c>
      <c r="J537" s="1">
        <f t="shared" si="58"/>
        <v>0.44058756031569546</v>
      </c>
      <c r="K537" s="2">
        <v>97.3</v>
      </c>
      <c r="L537" s="2">
        <v>99</v>
      </c>
      <c r="M537" s="2">
        <f t="shared" si="59"/>
        <v>-1.7000000000000028</v>
      </c>
      <c r="N537" s="1">
        <f t="shared" si="60"/>
        <v>-1.5631700717930186E-3</v>
      </c>
      <c r="O537" s="2">
        <v>86.1</v>
      </c>
      <c r="P537" s="2">
        <v>92</v>
      </c>
      <c r="Q537" s="2">
        <f t="shared" si="61"/>
        <v>-5.9000000000000057</v>
      </c>
      <c r="R537" s="2">
        <v>-0.4</v>
      </c>
      <c r="S537" s="2">
        <v>-5.3</v>
      </c>
      <c r="T537" s="2">
        <f t="shared" si="62"/>
        <v>-4.2000000000000028</v>
      </c>
    </row>
    <row r="538" spans="1:20">
      <c r="A538" s="6">
        <v>244</v>
      </c>
      <c r="B538" t="s">
        <v>45</v>
      </c>
      <c r="C538" t="s">
        <v>12</v>
      </c>
      <c r="D538">
        <v>39</v>
      </c>
      <c r="E538">
        <v>43</v>
      </c>
      <c r="F538" s="1">
        <f t="shared" si="56"/>
        <v>0.47560975609756095</v>
      </c>
      <c r="G538" s="2">
        <v>94.2</v>
      </c>
      <c r="H538" s="2">
        <v>94.7</v>
      </c>
      <c r="I538" s="2">
        <f t="shared" si="57"/>
        <v>-0.5</v>
      </c>
      <c r="J538" s="1">
        <f t="shared" si="58"/>
        <v>0.48148011126820961</v>
      </c>
      <c r="K538" s="2">
        <v>105.8</v>
      </c>
      <c r="L538" s="2">
        <v>106.4</v>
      </c>
      <c r="M538" s="2">
        <f t="shared" si="59"/>
        <v>-0.60000000000000853</v>
      </c>
      <c r="N538" s="1">
        <f t="shared" si="60"/>
        <v>-5.8703551706486556E-3</v>
      </c>
      <c r="O538" s="2">
        <v>101.4</v>
      </c>
      <c r="P538" s="2">
        <v>106.3</v>
      </c>
      <c r="Q538" s="2">
        <f t="shared" si="61"/>
        <v>-4.8999999999999915</v>
      </c>
      <c r="R538" s="2">
        <v>-0.5</v>
      </c>
      <c r="S538" s="2">
        <v>-2.8</v>
      </c>
      <c r="T538" s="2">
        <f t="shared" si="62"/>
        <v>-4.2999999999999829</v>
      </c>
    </row>
    <row r="539" spans="1:20">
      <c r="A539" s="6">
        <v>751</v>
      </c>
      <c r="B539" t="s">
        <v>66</v>
      </c>
      <c r="C539" t="s">
        <v>8</v>
      </c>
      <c r="D539">
        <v>26</v>
      </c>
      <c r="E539">
        <v>37</v>
      </c>
      <c r="F539" s="1">
        <f t="shared" si="56"/>
        <v>0.41269841269841268</v>
      </c>
      <c r="G539" s="2">
        <v>115.5</v>
      </c>
      <c r="H539" s="2">
        <v>119.7</v>
      </c>
      <c r="I539" s="2">
        <f t="shared" si="57"/>
        <v>-4.2000000000000028</v>
      </c>
      <c r="J539" s="1">
        <f t="shared" si="58"/>
        <v>0.37752817692129625</v>
      </c>
      <c r="K539" s="2">
        <v>112.2</v>
      </c>
      <c r="L539" s="2">
        <v>116.6</v>
      </c>
      <c r="M539" s="2">
        <f t="shared" si="59"/>
        <v>-4.3999999999999915</v>
      </c>
      <c r="N539" s="1">
        <f t="shared" si="60"/>
        <v>3.5170235777116421E-2</v>
      </c>
      <c r="O539" s="2">
        <v>108.4</v>
      </c>
      <c r="P539" s="2">
        <v>117.1</v>
      </c>
      <c r="Q539" s="2">
        <f t="shared" si="61"/>
        <v>-8.6999999999999886</v>
      </c>
      <c r="R539" s="2">
        <v>-0.6</v>
      </c>
      <c r="S539" s="2">
        <v>-1.6</v>
      </c>
      <c r="T539" s="2">
        <f t="shared" si="62"/>
        <v>-4.2999999999999972</v>
      </c>
    </row>
    <row r="540" spans="1:20">
      <c r="A540" s="6">
        <v>613</v>
      </c>
      <c r="B540" t="s">
        <v>61</v>
      </c>
      <c r="C540" t="s">
        <v>19</v>
      </c>
      <c r="D540">
        <v>46</v>
      </c>
      <c r="E540">
        <v>26</v>
      </c>
      <c r="F540" s="1">
        <f t="shared" si="56"/>
        <v>0.63888888888888884</v>
      </c>
      <c r="G540" s="2">
        <v>120.1</v>
      </c>
      <c r="H540" s="2">
        <v>114.2</v>
      </c>
      <c r="I540" s="2">
        <f t="shared" si="57"/>
        <v>5.8999999999999915</v>
      </c>
      <c r="J540" s="1">
        <f t="shared" si="58"/>
        <v>0.66934587633870324</v>
      </c>
      <c r="K540" s="2">
        <v>116.5</v>
      </c>
      <c r="L540" s="2">
        <v>110.7</v>
      </c>
      <c r="M540" s="2">
        <f t="shared" si="59"/>
        <v>5.7999999999999972</v>
      </c>
      <c r="N540" s="1">
        <f t="shared" si="60"/>
        <v>-3.0456987449814399E-2</v>
      </c>
      <c r="O540" s="2">
        <v>107</v>
      </c>
      <c r="P540" s="2">
        <v>105.5</v>
      </c>
      <c r="Q540" s="2">
        <f t="shared" si="61"/>
        <v>1.5</v>
      </c>
      <c r="R540" s="2">
        <v>-0.2</v>
      </c>
      <c r="S540" s="2">
        <v>-0.8</v>
      </c>
      <c r="T540" s="2">
        <f t="shared" si="62"/>
        <v>-4.2999999999999972</v>
      </c>
    </row>
    <row r="541" spans="1:20">
      <c r="A541" s="6">
        <v>683</v>
      </c>
      <c r="B541" t="s">
        <v>63</v>
      </c>
      <c r="C541" t="s">
        <v>28</v>
      </c>
      <c r="D541">
        <v>22</v>
      </c>
      <c r="E541">
        <v>60</v>
      </c>
      <c r="F541" s="1">
        <f t="shared" si="56"/>
        <v>0.26829268292682928</v>
      </c>
      <c r="G541" s="2">
        <v>113</v>
      </c>
      <c r="H541" s="2">
        <v>123.1</v>
      </c>
      <c r="I541" s="2">
        <f t="shared" si="57"/>
        <v>-10.099999999999994</v>
      </c>
      <c r="J541" s="1">
        <f t="shared" si="58"/>
        <v>0.23173700210202122</v>
      </c>
      <c r="K541" s="2">
        <v>109.7</v>
      </c>
      <c r="L541" s="2">
        <v>119.6</v>
      </c>
      <c r="M541" s="2">
        <f t="shared" si="59"/>
        <v>-9.8999999999999915</v>
      </c>
      <c r="N541" s="1">
        <f t="shared" si="60"/>
        <v>3.6555680824808062E-2</v>
      </c>
      <c r="O541" s="2">
        <v>98.2</v>
      </c>
      <c r="P541" s="2">
        <v>112.4</v>
      </c>
      <c r="Q541" s="2">
        <f t="shared" si="61"/>
        <v>-14.200000000000003</v>
      </c>
      <c r="R541" s="2">
        <v>-3.9</v>
      </c>
      <c r="S541" s="2">
        <v>-16.899999999999999</v>
      </c>
      <c r="T541" s="2">
        <f t="shared" si="62"/>
        <v>-4.3000000000000114</v>
      </c>
    </row>
    <row r="542" spans="1:20">
      <c r="A542" s="6">
        <v>551</v>
      </c>
      <c r="B542" t="s">
        <v>59</v>
      </c>
      <c r="C542" t="s">
        <v>35</v>
      </c>
      <c r="D542">
        <v>33</v>
      </c>
      <c r="E542">
        <v>49</v>
      </c>
      <c r="F542" s="1">
        <f t="shared" si="56"/>
        <v>0.40243902439024393</v>
      </c>
      <c r="G542" s="2">
        <v>103.5</v>
      </c>
      <c r="H542" s="2">
        <v>106.1</v>
      </c>
      <c r="I542" s="2">
        <f t="shared" si="57"/>
        <v>-2.5999999999999943</v>
      </c>
      <c r="J542" s="1">
        <f t="shared" si="58"/>
        <v>0.41402614202375848</v>
      </c>
      <c r="K542" s="2">
        <v>105.6</v>
      </c>
      <c r="L542" s="2">
        <v>108</v>
      </c>
      <c r="M542" s="2">
        <f t="shared" si="59"/>
        <v>-2.4000000000000057</v>
      </c>
      <c r="N542" s="1">
        <f t="shared" si="60"/>
        <v>-1.1587117633514554E-2</v>
      </c>
      <c r="O542" s="2">
        <v>102.9</v>
      </c>
      <c r="P542" s="2">
        <v>109.8</v>
      </c>
      <c r="Q542" s="2">
        <f t="shared" si="61"/>
        <v>-6.8999999999999915</v>
      </c>
      <c r="R542" s="2">
        <v>-1.7</v>
      </c>
      <c r="S542" s="2">
        <v>-7</v>
      </c>
      <c r="T542" s="2">
        <f t="shared" si="62"/>
        <v>-4.4999999999999858</v>
      </c>
    </row>
    <row r="543" spans="1:20">
      <c r="A543" s="6">
        <v>220</v>
      </c>
      <c r="B543" t="s">
        <v>44</v>
      </c>
      <c r="C543" t="s">
        <v>35</v>
      </c>
      <c r="D543">
        <v>22</v>
      </c>
      <c r="E543">
        <v>60</v>
      </c>
      <c r="F543" s="1">
        <f t="shared" si="56"/>
        <v>0.26829268292682928</v>
      </c>
      <c r="G543" s="2">
        <v>100.7</v>
      </c>
      <c r="H543" s="2">
        <v>106.9</v>
      </c>
      <c r="I543" s="2">
        <f t="shared" si="57"/>
        <v>-6.2000000000000028</v>
      </c>
      <c r="J543" s="1">
        <f t="shared" si="58"/>
        <v>0.30227828737765194</v>
      </c>
      <c r="K543" s="2">
        <v>103.9</v>
      </c>
      <c r="L543" s="2">
        <v>110.2</v>
      </c>
      <c r="M543" s="2">
        <f t="shared" si="59"/>
        <v>-6.2999999999999972</v>
      </c>
      <c r="N543" s="1">
        <f t="shared" si="60"/>
        <v>-3.398560445082266E-2</v>
      </c>
      <c r="O543" s="2">
        <v>105.8</v>
      </c>
      <c r="P543" s="2">
        <v>116.6</v>
      </c>
      <c r="Q543" s="2">
        <f t="shared" si="61"/>
        <v>-10.799999999999997</v>
      </c>
      <c r="R543" s="2">
        <v>0</v>
      </c>
      <c r="S543" s="2">
        <v>-0.8</v>
      </c>
      <c r="T543" s="2">
        <f t="shared" si="62"/>
        <v>-4.5</v>
      </c>
    </row>
    <row r="544" spans="1:20">
      <c r="A544" s="6">
        <v>394</v>
      </c>
      <c r="B544" t="s">
        <v>52</v>
      </c>
      <c r="C544" t="s">
        <v>11</v>
      </c>
      <c r="D544">
        <v>36</v>
      </c>
      <c r="E544">
        <v>46</v>
      </c>
      <c r="F544" s="1">
        <f t="shared" si="56"/>
        <v>0.43902439024390244</v>
      </c>
      <c r="G544" s="2">
        <v>104.4</v>
      </c>
      <c r="H544" s="2">
        <v>106.5</v>
      </c>
      <c r="I544" s="2">
        <f t="shared" si="57"/>
        <v>-2.0999999999999943</v>
      </c>
      <c r="J544" s="1">
        <f t="shared" si="58"/>
        <v>0.43074448136951871</v>
      </c>
      <c r="K544" s="2">
        <v>105.1</v>
      </c>
      <c r="L544" s="2">
        <v>107.3</v>
      </c>
      <c r="M544" s="2">
        <f t="shared" si="59"/>
        <v>-2.2000000000000028</v>
      </c>
      <c r="N544" s="1">
        <f t="shared" si="60"/>
        <v>8.2799088743837346E-3</v>
      </c>
      <c r="O544" s="2">
        <v>98.8</v>
      </c>
      <c r="P544" s="2">
        <v>105.6</v>
      </c>
      <c r="Q544" s="2">
        <f t="shared" si="61"/>
        <v>-6.7999999999999972</v>
      </c>
      <c r="R544" s="2">
        <v>-0.5</v>
      </c>
      <c r="S544" s="2">
        <v>-2.5</v>
      </c>
      <c r="T544" s="2">
        <f t="shared" si="62"/>
        <v>-4.5999999999999943</v>
      </c>
    </row>
    <row r="545" spans="1:20">
      <c r="A545" s="6">
        <v>57</v>
      </c>
      <c r="B545" t="s">
        <v>34</v>
      </c>
      <c r="C545" t="s">
        <v>31</v>
      </c>
      <c r="D545">
        <v>44</v>
      </c>
      <c r="E545">
        <v>38</v>
      </c>
      <c r="F545" s="1">
        <f t="shared" si="56"/>
        <v>0.53658536585365857</v>
      </c>
      <c r="G545" s="2">
        <v>96</v>
      </c>
      <c r="H545" s="2">
        <v>95.1</v>
      </c>
      <c r="I545" s="2">
        <f t="shared" si="57"/>
        <v>0.90000000000000568</v>
      </c>
      <c r="J545" s="1">
        <f t="shared" si="58"/>
        <v>0.53291958603886924</v>
      </c>
      <c r="K545" s="2">
        <v>103.8</v>
      </c>
      <c r="L545" s="2">
        <v>102.9</v>
      </c>
      <c r="M545" s="2">
        <f t="shared" si="59"/>
        <v>0.89999999999999147</v>
      </c>
      <c r="N545" s="1">
        <f t="shared" si="60"/>
        <v>3.6657798147893272E-3</v>
      </c>
      <c r="O545" s="2">
        <v>102.8</v>
      </c>
      <c r="P545" s="2">
        <v>106.5</v>
      </c>
      <c r="Q545" s="2">
        <f t="shared" si="61"/>
        <v>-3.7000000000000028</v>
      </c>
      <c r="R545" s="2">
        <v>0.6</v>
      </c>
      <c r="S545" s="2">
        <v>2.1</v>
      </c>
      <c r="T545" s="2">
        <f t="shared" si="62"/>
        <v>-4.5999999999999943</v>
      </c>
    </row>
    <row r="546" spans="1:20">
      <c r="A546" s="6">
        <v>41</v>
      </c>
      <c r="B546" t="s">
        <v>34</v>
      </c>
      <c r="C546" t="s">
        <v>16</v>
      </c>
      <c r="D546">
        <v>39</v>
      </c>
      <c r="E546">
        <v>43</v>
      </c>
      <c r="F546" s="1">
        <f t="shared" si="56"/>
        <v>0.47560975609756095</v>
      </c>
      <c r="G546" s="2">
        <v>95.7</v>
      </c>
      <c r="H546" s="2">
        <v>96.1</v>
      </c>
      <c r="I546" s="2">
        <f t="shared" si="57"/>
        <v>-0.39999999999999147</v>
      </c>
      <c r="J546" s="1">
        <f t="shared" si="58"/>
        <v>0.48540558556338809</v>
      </c>
      <c r="K546" s="2">
        <v>104.3</v>
      </c>
      <c r="L546" s="2">
        <v>104.7</v>
      </c>
      <c r="M546" s="2">
        <f t="shared" si="59"/>
        <v>-0.40000000000000568</v>
      </c>
      <c r="N546" s="1">
        <f t="shared" si="60"/>
        <v>-9.7958294658271328E-3</v>
      </c>
      <c r="O546" s="2">
        <v>95.3</v>
      </c>
      <c r="P546" s="2">
        <v>100.3</v>
      </c>
      <c r="Q546" s="2">
        <f t="shared" si="61"/>
        <v>-5</v>
      </c>
      <c r="R546" s="2">
        <v>-0.5</v>
      </c>
      <c r="S546" s="2">
        <v>-2.6</v>
      </c>
      <c r="T546" s="2">
        <f t="shared" si="62"/>
        <v>-4.5999999999999943</v>
      </c>
    </row>
    <row r="547" spans="1:20">
      <c r="A547" s="6">
        <v>415</v>
      </c>
      <c r="B547" t="s">
        <v>52</v>
      </c>
      <c r="C547" t="s">
        <v>31</v>
      </c>
      <c r="D547">
        <v>25</v>
      </c>
      <c r="E547">
        <v>57</v>
      </c>
      <c r="F547" s="1">
        <f t="shared" si="56"/>
        <v>0.3048780487804878</v>
      </c>
      <c r="G547" s="2">
        <v>95</v>
      </c>
      <c r="H547" s="2">
        <v>102.2</v>
      </c>
      <c r="I547" s="2">
        <f t="shared" si="57"/>
        <v>-7.2000000000000028</v>
      </c>
      <c r="J547" s="1">
        <f t="shared" si="58"/>
        <v>0.26448877178052832</v>
      </c>
      <c r="K547" s="2">
        <v>102.4</v>
      </c>
      <c r="L547" s="2">
        <v>110.1</v>
      </c>
      <c r="M547" s="2">
        <f t="shared" si="59"/>
        <v>-7.6999999999999886</v>
      </c>
      <c r="N547" s="1">
        <f t="shared" si="60"/>
        <v>4.0389276999959478E-2</v>
      </c>
      <c r="O547" s="2">
        <v>108.8</v>
      </c>
      <c r="P547" s="2">
        <v>121.1</v>
      </c>
      <c r="Q547" s="2">
        <f t="shared" si="61"/>
        <v>-12.299999999999997</v>
      </c>
      <c r="R547" s="2">
        <v>-1.8</v>
      </c>
      <c r="S547" s="2">
        <v>-9.6999999999999993</v>
      </c>
      <c r="T547" s="2">
        <f t="shared" si="62"/>
        <v>-4.6000000000000085</v>
      </c>
    </row>
    <row r="548" spans="1:20">
      <c r="A548" s="6">
        <v>424</v>
      </c>
      <c r="B548" t="s">
        <v>54</v>
      </c>
      <c r="C548" t="s">
        <v>11</v>
      </c>
      <c r="D548">
        <v>30</v>
      </c>
      <c r="E548">
        <v>52</v>
      </c>
      <c r="F548" s="1">
        <f t="shared" si="56"/>
        <v>0.36585365853658536</v>
      </c>
      <c r="G548" s="2">
        <v>101.5</v>
      </c>
      <c r="H548" s="2">
        <v>105</v>
      </c>
      <c r="I548" s="2">
        <f t="shared" si="57"/>
        <v>-3.5</v>
      </c>
      <c r="J548" s="1">
        <f t="shared" si="58"/>
        <v>0.38352292862917464</v>
      </c>
      <c r="K548" s="2">
        <v>103.9</v>
      </c>
      <c r="L548" s="2">
        <v>107.1</v>
      </c>
      <c r="M548" s="2">
        <f t="shared" si="59"/>
        <v>-3.1999999999999886</v>
      </c>
      <c r="N548" s="1">
        <f t="shared" si="60"/>
        <v>-1.7669270092589284E-2</v>
      </c>
      <c r="O548" s="2">
        <v>104.4</v>
      </c>
      <c r="P548" s="2">
        <v>112.3</v>
      </c>
      <c r="Q548" s="2">
        <f t="shared" si="61"/>
        <v>-7.8999999999999915</v>
      </c>
      <c r="R548" s="2">
        <v>-0.8</v>
      </c>
      <c r="S548" s="2">
        <v>-5.5</v>
      </c>
      <c r="T548" s="2">
        <f t="shared" si="62"/>
        <v>-4.7000000000000028</v>
      </c>
    </row>
    <row r="549" spans="1:20">
      <c r="A549" s="6">
        <v>39</v>
      </c>
      <c r="B549" t="s">
        <v>34</v>
      </c>
      <c r="C549" t="s">
        <v>14</v>
      </c>
      <c r="D549">
        <v>28</v>
      </c>
      <c r="E549">
        <v>54</v>
      </c>
      <c r="F549" s="1">
        <f t="shared" si="56"/>
        <v>0.34146341463414637</v>
      </c>
      <c r="G549" s="2">
        <v>92.3</v>
      </c>
      <c r="H549" s="2">
        <v>97.2</v>
      </c>
      <c r="I549" s="2">
        <f t="shared" si="57"/>
        <v>-4.9000000000000057</v>
      </c>
      <c r="J549" s="1">
        <f t="shared" si="58"/>
        <v>0.3264749470449273</v>
      </c>
      <c r="K549" s="2">
        <v>101.6</v>
      </c>
      <c r="L549" s="2">
        <v>106.9</v>
      </c>
      <c r="M549" s="2">
        <f t="shared" si="59"/>
        <v>-5.3000000000000114</v>
      </c>
      <c r="N549" s="1">
        <f t="shared" si="60"/>
        <v>1.4988467589219068E-2</v>
      </c>
      <c r="O549" s="2">
        <v>96.6</v>
      </c>
      <c r="P549" s="2">
        <v>106.7</v>
      </c>
      <c r="Q549" s="2">
        <f t="shared" si="61"/>
        <v>-10.100000000000009</v>
      </c>
      <c r="R549" s="2">
        <v>-1</v>
      </c>
      <c r="S549" s="2">
        <v>-7.2</v>
      </c>
      <c r="T549" s="2">
        <f t="shared" si="62"/>
        <v>-4.7999999999999972</v>
      </c>
    </row>
    <row r="550" spans="1:20">
      <c r="A550" s="6">
        <v>128</v>
      </c>
      <c r="B550" t="s">
        <v>39</v>
      </c>
      <c r="C550" t="s">
        <v>16</v>
      </c>
      <c r="D550">
        <v>37</v>
      </c>
      <c r="E550">
        <v>45</v>
      </c>
      <c r="F550" s="1">
        <f t="shared" si="56"/>
        <v>0.45121951219512196</v>
      </c>
      <c r="G550" s="2">
        <v>95.7</v>
      </c>
      <c r="H550" s="2">
        <v>96.5</v>
      </c>
      <c r="I550" s="2">
        <f t="shared" si="57"/>
        <v>-0.79999999999999716</v>
      </c>
      <c r="J550" s="1">
        <f t="shared" si="58"/>
        <v>0.47089645062894331</v>
      </c>
      <c r="K550" s="2">
        <v>103.8</v>
      </c>
      <c r="L550" s="2">
        <v>104.5</v>
      </c>
      <c r="M550" s="2">
        <f t="shared" si="59"/>
        <v>-0.70000000000000284</v>
      </c>
      <c r="N550" s="1">
        <f t="shared" si="60"/>
        <v>-1.9676938433821345E-2</v>
      </c>
      <c r="O550" s="2">
        <v>101.2</v>
      </c>
      <c r="P550" s="2">
        <v>106.7</v>
      </c>
      <c r="Q550" s="2">
        <f t="shared" si="61"/>
        <v>-5.5</v>
      </c>
      <c r="R550" s="2">
        <v>-1.3</v>
      </c>
      <c r="S550" s="2">
        <v>-5.6</v>
      </c>
      <c r="T550" s="2">
        <f t="shared" si="62"/>
        <v>-4.7999999999999972</v>
      </c>
    </row>
    <row r="551" spans="1:20">
      <c r="A551" s="6">
        <v>520</v>
      </c>
      <c r="B551" t="s">
        <v>58</v>
      </c>
      <c r="C551" t="s">
        <v>17</v>
      </c>
      <c r="D551">
        <v>35</v>
      </c>
      <c r="E551">
        <v>47</v>
      </c>
      <c r="F551" s="1">
        <f t="shared" si="56"/>
        <v>0.42682926829268292</v>
      </c>
      <c r="G551" s="2">
        <v>108.1</v>
      </c>
      <c r="H551" s="2">
        <v>109.6</v>
      </c>
      <c r="I551" s="2">
        <f t="shared" si="57"/>
        <v>-1.5</v>
      </c>
      <c r="J551" s="1">
        <f t="shared" si="58"/>
        <v>0.45191677770464023</v>
      </c>
      <c r="K551" s="2">
        <v>106</v>
      </c>
      <c r="L551" s="2">
        <v>107.3</v>
      </c>
      <c r="M551" s="2">
        <f t="shared" si="59"/>
        <v>-1.2999999999999972</v>
      </c>
      <c r="N551" s="1">
        <f t="shared" si="60"/>
        <v>-2.5087509411957309E-2</v>
      </c>
      <c r="O551" s="2">
        <v>99.7</v>
      </c>
      <c r="P551" s="2">
        <v>105.8</v>
      </c>
      <c r="Q551" s="2">
        <f t="shared" si="61"/>
        <v>-6.0999999999999943</v>
      </c>
      <c r="R551" s="2">
        <v>-0.4</v>
      </c>
      <c r="S551" s="2">
        <v>-1.5</v>
      </c>
      <c r="T551" s="2">
        <f t="shared" si="62"/>
        <v>-4.7999999999999972</v>
      </c>
    </row>
    <row r="552" spans="1:20">
      <c r="A552" s="6">
        <v>117</v>
      </c>
      <c r="B552" t="s">
        <v>39</v>
      </c>
      <c r="C552" t="s">
        <v>5</v>
      </c>
      <c r="D552">
        <v>13</v>
      </c>
      <c r="E552">
        <v>69</v>
      </c>
      <c r="F552" s="1">
        <f t="shared" si="56"/>
        <v>0.15853658536585366</v>
      </c>
      <c r="G552" s="2">
        <v>92.7</v>
      </c>
      <c r="H552" s="2">
        <v>102.5</v>
      </c>
      <c r="I552" s="2">
        <f t="shared" si="57"/>
        <v>-9.7999999999999972</v>
      </c>
      <c r="J552" s="1">
        <f t="shared" si="58"/>
        <v>0.19672021863355632</v>
      </c>
      <c r="K552" s="2">
        <v>98.8</v>
      </c>
      <c r="L552" s="2">
        <v>109</v>
      </c>
      <c r="M552" s="2">
        <f t="shared" si="59"/>
        <v>-10.200000000000003</v>
      </c>
      <c r="N552" s="1">
        <f t="shared" si="60"/>
        <v>-3.818363326770266E-2</v>
      </c>
      <c r="O552" s="2">
        <v>94.5</v>
      </c>
      <c r="P552" s="2">
        <v>109.5</v>
      </c>
      <c r="Q552" s="2">
        <f t="shared" si="61"/>
        <v>-15</v>
      </c>
      <c r="R552" s="2">
        <v>-2.4</v>
      </c>
      <c r="S552" s="2">
        <v>-12.9</v>
      </c>
      <c r="T552" s="2">
        <f t="shared" si="62"/>
        <v>-4.7999999999999972</v>
      </c>
    </row>
    <row r="553" spans="1:20">
      <c r="A553" s="6">
        <v>47</v>
      </c>
      <c r="B553" t="s">
        <v>34</v>
      </c>
      <c r="C553" t="s">
        <v>21</v>
      </c>
      <c r="D553">
        <v>52</v>
      </c>
      <c r="E553">
        <v>30</v>
      </c>
      <c r="F553" s="1">
        <f t="shared" si="56"/>
        <v>0.63414634146341464</v>
      </c>
      <c r="G553" s="2">
        <v>96.2</v>
      </c>
      <c r="H553" s="2">
        <v>92</v>
      </c>
      <c r="I553" s="2">
        <f t="shared" si="57"/>
        <v>4.2000000000000028</v>
      </c>
      <c r="J553" s="1">
        <f t="shared" si="58"/>
        <v>0.65134826278971358</v>
      </c>
      <c r="K553" s="2">
        <v>102.4</v>
      </c>
      <c r="L553" s="2">
        <v>98.1</v>
      </c>
      <c r="M553" s="2">
        <f t="shared" si="59"/>
        <v>4.3000000000000114</v>
      </c>
      <c r="N553" s="1">
        <f t="shared" si="60"/>
        <v>-1.7201921326298941E-2</v>
      </c>
      <c r="O553" s="2">
        <v>98.1</v>
      </c>
      <c r="P553" s="2">
        <v>98.6</v>
      </c>
      <c r="Q553" s="2">
        <f t="shared" si="61"/>
        <v>-0.5</v>
      </c>
      <c r="R553" s="2">
        <v>1</v>
      </c>
      <c r="S553" s="2">
        <v>5.2</v>
      </c>
      <c r="T553" s="2">
        <f t="shared" si="62"/>
        <v>-4.8000000000000114</v>
      </c>
    </row>
    <row r="554" spans="1:20">
      <c r="A554" s="6">
        <v>727</v>
      </c>
      <c r="B554" t="s">
        <v>65</v>
      </c>
      <c r="C554" t="s">
        <v>14</v>
      </c>
      <c r="D554">
        <v>52</v>
      </c>
      <c r="E554">
        <v>29</v>
      </c>
      <c r="F554" s="1">
        <f t="shared" si="56"/>
        <v>0.64197530864197527</v>
      </c>
      <c r="G554" s="2">
        <v>114.5</v>
      </c>
      <c r="H554" s="2">
        <v>109.8</v>
      </c>
      <c r="I554" s="2">
        <f t="shared" si="57"/>
        <v>4.7000000000000028</v>
      </c>
      <c r="J554" s="1">
        <f t="shared" si="58"/>
        <v>0.64263060711327835</v>
      </c>
      <c r="K554" s="2">
        <v>115.1</v>
      </c>
      <c r="L554" s="2">
        <v>110.2</v>
      </c>
      <c r="M554" s="2">
        <f t="shared" si="59"/>
        <v>4.8999999999999915</v>
      </c>
      <c r="N554" s="1">
        <f t="shared" si="60"/>
        <v>-6.552984713030785E-4</v>
      </c>
      <c r="O554" s="2">
        <v>107.1</v>
      </c>
      <c r="P554" s="2">
        <v>107.1</v>
      </c>
      <c r="Q554" s="2">
        <f t="shared" si="61"/>
        <v>0</v>
      </c>
      <c r="R554" s="2">
        <v>-0.5</v>
      </c>
      <c r="S554" s="2">
        <v>-1.5</v>
      </c>
      <c r="T554" s="2">
        <f t="shared" si="62"/>
        <v>-4.8999999999999915</v>
      </c>
    </row>
    <row r="555" spans="1:20">
      <c r="A555" s="6">
        <v>412</v>
      </c>
      <c r="B555" t="s">
        <v>52</v>
      </c>
      <c r="C555" t="s">
        <v>27</v>
      </c>
      <c r="D555">
        <v>28</v>
      </c>
      <c r="E555">
        <v>54</v>
      </c>
      <c r="F555" s="1">
        <f t="shared" si="56"/>
        <v>0.34146341463414637</v>
      </c>
      <c r="G555" s="2">
        <v>100.5</v>
      </c>
      <c r="H555" s="2">
        <v>103.4</v>
      </c>
      <c r="I555" s="2">
        <f t="shared" si="57"/>
        <v>-2.9000000000000057</v>
      </c>
      <c r="J555" s="1">
        <f t="shared" si="58"/>
        <v>0.40173015666550166</v>
      </c>
      <c r="K555" s="2">
        <v>105.1</v>
      </c>
      <c r="L555" s="2">
        <v>107.8</v>
      </c>
      <c r="M555" s="2">
        <f t="shared" si="59"/>
        <v>-2.7000000000000028</v>
      </c>
      <c r="N555" s="1">
        <f t="shared" si="60"/>
        <v>-6.0266742031355292E-2</v>
      </c>
      <c r="O555" s="2">
        <v>101.2</v>
      </c>
      <c r="P555" s="2">
        <v>108.8</v>
      </c>
      <c r="Q555" s="2">
        <f t="shared" si="61"/>
        <v>-7.5999999999999943</v>
      </c>
      <c r="R555" s="2">
        <v>-1</v>
      </c>
      <c r="S555" s="2">
        <v>-4.5999999999999996</v>
      </c>
      <c r="T555" s="2">
        <f t="shared" si="62"/>
        <v>-4.8999999999999915</v>
      </c>
    </row>
    <row r="556" spans="1:20">
      <c r="A556" s="6">
        <v>316</v>
      </c>
      <c r="B556" t="s">
        <v>48</v>
      </c>
      <c r="C556" t="s">
        <v>22</v>
      </c>
      <c r="D556">
        <v>42</v>
      </c>
      <c r="E556">
        <v>40</v>
      </c>
      <c r="F556" s="1">
        <f t="shared" si="56"/>
        <v>0.51219512195121952</v>
      </c>
      <c r="G556" s="2">
        <v>106.5</v>
      </c>
      <c r="H556" s="2">
        <v>105.7</v>
      </c>
      <c r="I556" s="2">
        <f t="shared" si="57"/>
        <v>0.79999999999999716</v>
      </c>
      <c r="J556" s="1">
        <f t="shared" si="58"/>
        <v>0.52636584420943078</v>
      </c>
      <c r="K556" s="2">
        <v>109.9</v>
      </c>
      <c r="L556" s="2">
        <v>109</v>
      </c>
      <c r="M556" s="2">
        <f t="shared" si="59"/>
        <v>0.90000000000000568</v>
      </c>
      <c r="N556" s="1">
        <f t="shared" si="60"/>
        <v>-1.4170722258211255E-2</v>
      </c>
      <c r="O556" s="2">
        <v>106.4</v>
      </c>
      <c r="P556" s="2">
        <v>110.4</v>
      </c>
      <c r="Q556" s="2">
        <f t="shared" si="61"/>
        <v>-4</v>
      </c>
      <c r="R556" s="2">
        <v>-0.4</v>
      </c>
      <c r="S556" s="2">
        <v>-1.2</v>
      </c>
      <c r="T556" s="2">
        <f t="shared" si="62"/>
        <v>-4.9000000000000057</v>
      </c>
    </row>
    <row r="557" spans="1:20">
      <c r="A557" s="6">
        <v>192</v>
      </c>
      <c r="B557" t="s">
        <v>43</v>
      </c>
      <c r="C557" t="s">
        <v>19</v>
      </c>
      <c r="D557">
        <v>28</v>
      </c>
      <c r="E557">
        <v>54</v>
      </c>
      <c r="F557" s="1">
        <f t="shared" si="56"/>
        <v>0.34146341463414637</v>
      </c>
      <c r="G557" s="2">
        <v>99.7</v>
      </c>
      <c r="H557" s="2">
        <v>104</v>
      </c>
      <c r="I557" s="2">
        <f t="shared" si="57"/>
        <v>-4.2999999999999972</v>
      </c>
      <c r="J557" s="1">
        <f t="shared" si="58"/>
        <v>0.35637032098910626</v>
      </c>
      <c r="K557" s="2">
        <v>106</v>
      </c>
      <c r="L557" s="2">
        <v>110.3</v>
      </c>
      <c r="M557" s="2">
        <f t="shared" si="59"/>
        <v>-4.2999999999999972</v>
      </c>
      <c r="N557" s="1">
        <f t="shared" si="60"/>
        <v>-1.4906906354959892E-2</v>
      </c>
      <c r="O557" s="2">
        <v>99.2</v>
      </c>
      <c r="P557" s="2">
        <v>108.4</v>
      </c>
      <c r="Q557" s="2">
        <f t="shared" si="61"/>
        <v>-9.2000000000000028</v>
      </c>
      <c r="R557" s="2">
        <v>-1.1000000000000001</v>
      </c>
      <c r="S557" s="2">
        <v>-6</v>
      </c>
      <c r="T557" s="2">
        <f t="shared" si="62"/>
        <v>-4.9000000000000057</v>
      </c>
    </row>
    <row r="558" spans="1:20">
      <c r="A558" s="6">
        <v>219</v>
      </c>
      <c r="B558" t="s">
        <v>44</v>
      </c>
      <c r="C558" t="s">
        <v>17</v>
      </c>
      <c r="D558">
        <v>57</v>
      </c>
      <c r="E558">
        <v>25</v>
      </c>
      <c r="F558" s="1">
        <f t="shared" si="56"/>
        <v>0.69512195121951215</v>
      </c>
      <c r="G558" s="2">
        <v>108.6</v>
      </c>
      <c r="H558" s="2">
        <v>101.3</v>
      </c>
      <c r="I558" s="2">
        <f t="shared" si="57"/>
        <v>7.2999999999999972</v>
      </c>
      <c r="J558" s="1">
        <f t="shared" si="58"/>
        <v>0.72595385497038523</v>
      </c>
      <c r="K558" s="2">
        <v>111.7</v>
      </c>
      <c r="L558" s="2">
        <v>104.3</v>
      </c>
      <c r="M558" s="2">
        <f t="shared" si="59"/>
        <v>7.4000000000000057</v>
      </c>
      <c r="N558" s="1">
        <f t="shared" si="60"/>
        <v>-3.083190375087308E-2</v>
      </c>
      <c r="O558" s="2">
        <v>104.6</v>
      </c>
      <c r="P558" s="2">
        <v>102.1</v>
      </c>
      <c r="Q558" s="2">
        <f t="shared" si="61"/>
        <v>2.5</v>
      </c>
      <c r="R558" s="2">
        <v>1.8</v>
      </c>
      <c r="S558" s="2">
        <v>9.1</v>
      </c>
      <c r="T558" s="2">
        <f t="shared" si="62"/>
        <v>-4.9000000000000057</v>
      </c>
    </row>
    <row r="559" spans="1:20">
      <c r="A559" s="6">
        <v>729</v>
      </c>
      <c r="B559" t="s">
        <v>65</v>
      </c>
      <c r="C559" t="s">
        <v>56</v>
      </c>
      <c r="D559">
        <v>50</v>
      </c>
      <c r="E559">
        <v>32</v>
      </c>
      <c r="F559" s="1">
        <f t="shared" si="56"/>
        <v>0.6097560975609756</v>
      </c>
      <c r="G559" s="2">
        <v>112.9</v>
      </c>
      <c r="H559" s="2">
        <v>108.2</v>
      </c>
      <c r="I559" s="2">
        <f t="shared" si="57"/>
        <v>4.7000000000000028</v>
      </c>
      <c r="J559" s="1">
        <f t="shared" si="58"/>
        <v>0.64457924701771829</v>
      </c>
      <c r="K559" s="2">
        <v>114.3</v>
      </c>
      <c r="L559" s="2">
        <v>109.4</v>
      </c>
      <c r="M559" s="2">
        <f t="shared" si="59"/>
        <v>4.8999999999999915</v>
      </c>
      <c r="N559" s="1">
        <f t="shared" si="60"/>
        <v>-3.4823149456742697E-2</v>
      </c>
      <c r="O559" s="2">
        <v>105.9</v>
      </c>
      <c r="P559" s="2">
        <v>106</v>
      </c>
      <c r="Q559" s="2">
        <f t="shared" si="61"/>
        <v>-9.9999999999994316E-2</v>
      </c>
      <c r="R559" s="2">
        <v>1</v>
      </c>
      <c r="S559" s="2">
        <v>4.2</v>
      </c>
      <c r="T559" s="2">
        <f t="shared" si="62"/>
        <v>-4.9999999999999858</v>
      </c>
    </row>
    <row r="560" spans="1:20">
      <c r="A560" s="6">
        <v>77</v>
      </c>
      <c r="B560" t="s">
        <v>36</v>
      </c>
      <c r="C560" t="s">
        <v>22</v>
      </c>
      <c r="D560">
        <v>37</v>
      </c>
      <c r="E560">
        <v>45</v>
      </c>
      <c r="F560" s="1">
        <f t="shared" si="56"/>
        <v>0.45121951219512196</v>
      </c>
      <c r="G560" s="2">
        <v>95.9</v>
      </c>
      <c r="H560" s="2">
        <v>97.2</v>
      </c>
      <c r="I560" s="2">
        <f t="shared" si="57"/>
        <v>-1.2999999999999972</v>
      </c>
      <c r="J560" s="1">
        <f t="shared" si="58"/>
        <v>0.45301250427242873</v>
      </c>
      <c r="K560" s="2">
        <v>103.3</v>
      </c>
      <c r="L560" s="2">
        <v>104.6</v>
      </c>
      <c r="M560" s="2">
        <f t="shared" si="59"/>
        <v>-1.2999999999999972</v>
      </c>
      <c r="N560" s="1">
        <f t="shared" si="60"/>
        <v>-1.7929920773067654E-3</v>
      </c>
      <c r="O560" s="2">
        <v>100</v>
      </c>
      <c r="P560" s="2">
        <v>106.3</v>
      </c>
      <c r="Q560" s="2">
        <f t="shared" si="61"/>
        <v>-6.2999999999999972</v>
      </c>
      <c r="R560" s="2">
        <v>-0.3</v>
      </c>
      <c r="S560" s="2">
        <v>-2.4</v>
      </c>
      <c r="T560" s="2">
        <f t="shared" si="62"/>
        <v>-5</v>
      </c>
    </row>
    <row r="561" spans="1:20">
      <c r="A561" s="6">
        <v>169</v>
      </c>
      <c r="B561" t="s">
        <v>41</v>
      </c>
      <c r="C561" t="s">
        <v>25</v>
      </c>
      <c r="D561">
        <v>54</v>
      </c>
      <c r="E561">
        <v>28</v>
      </c>
      <c r="F561" s="1">
        <f t="shared" si="56"/>
        <v>0.65853658536585369</v>
      </c>
      <c r="G561" s="2">
        <v>108.4</v>
      </c>
      <c r="H561" s="2">
        <v>102.8</v>
      </c>
      <c r="I561" s="2">
        <f t="shared" si="57"/>
        <v>5.6000000000000085</v>
      </c>
      <c r="J561" s="1">
        <f t="shared" si="58"/>
        <v>0.67756377223855135</v>
      </c>
      <c r="K561" s="2">
        <v>110.2</v>
      </c>
      <c r="L561" s="2">
        <v>104.7</v>
      </c>
      <c r="M561" s="2">
        <f t="shared" si="59"/>
        <v>5.5</v>
      </c>
      <c r="N561" s="1">
        <f t="shared" si="60"/>
        <v>-1.9027186872697666E-2</v>
      </c>
      <c r="O561" s="2">
        <v>105.4</v>
      </c>
      <c r="P561" s="2">
        <v>104.9</v>
      </c>
      <c r="Q561" s="2">
        <f t="shared" si="61"/>
        <v>0.5</v>
      </c>
      <c r="R561" s="2">
        <v>0.5</v>
      </c>
      <c r="S561" s="2">
        <v>1.9</v>
      </c>
      <c r="T561" s="2">
        <f t="shared" si="62"/>
        <v>-5</v>
      </c>
    </row>
    <row r="562" spans="1:20">
      <c r="A562" s="6">
        <v>6</v>
      </c>
      <c r="B562" t="s">
        <v>4</v>
      </c>
      <c r="C562" t="s">
        <v>10</v>
      </c>
      <c r="D562">
        <v>53</v>
      </c>
      <c r="E562">
        <v>29</v>
      </c>
      <c r="F562" s="1">
        <f t="shared" si="56"/>
        <v>0.64634146341463417</v>
      </c>
      <c r="G562" s="2">
        <v>100.5</v>
      </c>
      <c r="H562" s="2">
        <v>96.2</v>
      </c>
      <c r="I562" s="2">
        <f t="shared" si="57"/>
        <v>4.2999999999999972</v>
      </c>
      <c r="J562" s="1">
        <f t="shared" si="58"/>
        <v>0.64844184492485568</v>
      </c>
      <c r="K562" s="2">
        <v>105.6</v>
      </c>
      <c r="L562" s="2">
        <v>101.2</v>
      </c>
      <c r="M562" s="2">
        <f t="shared" si="59"/>
        <v>4.3999999999999915</v>
      </c>
      <c r="N562" s="1">
        <f t="shared" si="60"/>
        <v>-2.1003815102215162E-3</v>
      </c>
      <c r="O562" s="2">
        <v>103.3</v>
      </c>
      <c r="P562" s="2">
        <v>104</v>
      </c>
      <c r="Q562" s="2">
        <f t="shared" si="61"/>
        <v>-0.70000000000000284</v>
      </c>
      <c r="R562" s="2">
        <v>1</v>
      </c>
      <c r="S562" s="2">
        <v>4.5999999999999996</v>
      </c>
      <c r="T562" s="2">
        <f t="shared" si="62"/>
        <v>-5.0999999999999943</v>
      </c>
    </row>
    <row r="563" spans="1:20">
      <c r="A563" s="6">
        <v>218</v>
      </c>
      <c r="B563" t="s">
        <v>44</v>
      </c>
      <c r="C563" t="s">
        <v>16</v>
      </c>
      <c r="D563">
        <v>23</v>
      </c>
      <c r="E563">
        <v>59</v>
      </c>
      <c r="F563" s="1">
        <f t="shared" si="56"/>
        <v>0.28048780487804881</v>
      </c>
      <c r="G563" s="2">
        <v>93.8</v>
      </c>
      <c r="H563" s="2">
        <v>101.1</v>
      </c>
      <c r="I563" s="2">
        <f t="shared" si="57"/>
        <v>-7.2999999999999972</v>
      </c>
      <c r="J563" s="1">
        <f t="shared" si="58"/>
        <v>0.25937226319296447</v>
      </c>
      <c r="K563" s="2">
        <v>99.9</v>
      </c>
      <c r="L563" s="2">
        <v>107.4</v>
      </c>
      <c r="M563" s="2">
        <f t="shared" si="59"/>
        <v>-7.5</v>
      </c>
      <c r="N563" s="1">
        <f t="shared" si="60"/>
        <v>2.1115541685084338E-2</v>
      </c>
      <c r="O563" s="2">
        <v>110.1</v>
      </c>
      <c r="P563" s="2">
        <v>122.7</v>
      </c>
      <c r="Q563" s="2">
        <f t="shared" si="61"/>
        <v>-12.600000000000009</v>
      </c>
      <c r="R563" s="2">
        <v>-1</v>
      </c>
      <c r="S563" s="2">
        <v>-5.3</v>
      </c>
      <c r="T563" s="2">
        <f t="shared" si="62"/>
        <v>-5.1000000000000085</v>
      </c>
    </row>
    <row r="564" spans="1:20">
      <c r="A564" s="6">
        <v>383</v>
      </c>
      <c r="B564" t="s">
        <v>50</v>
      </c>
      <c r="C564" t="s">
        <v>28</v>
      </c>
      <c r="D564">
        <v>58</v>
      </c>
      <c r="E564">
        <v>24</v>
      </c>
      <c r="F564" s="1">
        <f t="shared" si="56"/>
        <v>0.70731707317073167</v>
      </c>
      <c r="G564" s="2">
        <v>103</v>
      </c>
      <c r="H564" s="2">
        <v>96.6</v>
      </c>
      <c r="I564" s="2">
        <f t="shared" si="57"/>
        <v>6.4000000000000057</v>
      </c>
      <c r="J564" s="1">
        <f t="shared" si="58"/>
        <v>0.71055960682270991</v>
      </c>
      <c r="K564" s="2">
        <v>107</v>
      </c>
      <c r="L564" s="2">
        <v>100.3</v>
      </c>
      <c r="M564" s="2">
        <f t="shared" si="59"/>
        <v>6.7000000000000028</v>
      </c>
      <c r="N564" s="1">
        <f t="shared" si="60"/>
        <v>-3.2425336519782411E-3</v>
      </c>
      <c r="O564" s="2">
        <v>95</v>
      </c>
      <c r="P564" s="2">
        <v>93.5</v>
      </c>
      <c r="Q564" s="2">
        <f t="shared" si="61"/>
        <v>1.5</v>
      </c>
      <c r="R564" s="2">
        <v>1.2</v>
      </c>
      <c r="S564" s="2">
        <v>6.8</v>
      </c>
      <c r="T564" s="2">
        <f t="shared" si="62"/>
        <v>-5.2000000000000028</v>
      </c>
    </row>
    <row r="565" spans="1:20">
      <c r="A565" s="6">
        <v>427</v>
      </c>
      <c r="B565" t="s">
        <v>54</v>
      </c>
      <c r="C565" t="s">
        <v>14</v>
      </c>
      <c r="D565">
        <v>56</v>
      </c>
      <c r="E565">
        <v>26</v>
      </c>
      <c r="F565" s="1">
        <f t="shared" si="56"/>
        <v>0.68292682926829273</v>
      </c>
      <c r="G565" s="2">
        <v>103.9</v>
      </c>
      <c r="H565" s="2">
        <v>100.5</v>
      </c>
      <c r="I565" s="2">
        <f t="shared" si="57"/>
        <v>3.4000000000000057</v>
      </c>
      <c r="J565" s="1">
        <f t="shared" si="58"/>
        <v>0.61438833657997272</v>
      </c>
      <c r="K565" s="2">
        <v>106</v>
      </c>
      <c r="L565" s="2">
        <v>102.6</v>
      </c>
      <c r="M565" s="2">
        <f t="shared" si="59"/>
        <v>3.4000000000000057</v>
      </c>
      <c r="N565" s="1">
        <f t="shared" si="60"/>
        <v>6.8538492688320019E-2</v>
      </c>
      <c r="O565" s="2">
        <v>98.4</v>
      </c>
      <c r="P565" s="2">
        <v>100.3</v>
      </c>
      <c r="Q565" s="2">
        <f t="shared" si="61"/>
        <v>-1.8999999999999915</v>
      </c>
      <c r="R565" s="2">
        <v>-0.8</v>
      </c>
      <c r="S565" s="2">
        <v>-2.2000000000000002</v>
      </c>
      <c r="T565" s="2">
        <f t="shared" si="62"/>
        <v>-5.2999999999999972</v>
      </c>
    </row>
    <row r="566" spans="1:20">
      <c r="A566" s="6">
        <v>333</v>
      </c>
      <c r="B566" t="s">
        <v>49</v>
      </c>
      <c r="C566" t="s">
        <v>11</v>
      </c>
      <c r="D566">
        <v>38</v>
      </c>
      <c r="E566">
        <v>28</v>
      </c>
      <c r="F566" s="1">
        <f t="shared" si="56"/>
        <v>0.5757575757575758</v>
      </c>
      <c r="G566" s="2">
        <v>104.1</v>
      </c>
      <c r="H566" s="2">
        <v>101.2</v>
      </c>
      <c r="I566" s="2">
        <f t="shared" si="57"/>
        <v>2.8999999999999915</v>
      </c>
      <c r="J566" s="1">
        <f t="shared" si="58"/>
        <v>0.59761684455531594</v>
      </c>
      <c r="K566" s="2">
        <v>108.3</v>
      </c>
      <c r="L566" s="2">
        <v>105.1</v>
      </c>
      <c r="M566" s="2">
        <f t="shared" si="59"/>
        <v>3.2000000000000028</v>
      </c>
      <c r="N566" s="1">
        <f t="shared" si="60"/>
        <v>-2.1859268797740139E-2</v>
      </c>
      <c r="O566" s="2">
        <v>97.9</v>
      </c>
      <c r="P566" s="2">
        <v>100</v>
      </c>
      <c r="Q566" s="2">
        <f t="shared" si="61"/>
        <v>-2.0999999999999943</v>
      </c>
      <c r="R566" s="2">
        <v>0.3</v>
      </c>
      <c r="S566" s="2">
        <v>0.9</v>
      </c>
      <c r="T566" s="2">
        <f t="shared" si="62"/>
        <v>-5.2999999999999972</v>
      </c>
    </row>
    <row r="567" spans="1:20">
      <c r="A567" s="6">
        <v>442</v>
      </c>
      <c r="B567" t="s">
        <v>54</v>
      </c>
      <c r="C567" t="s">
        <v>27</v>
      </c>
      <c r="D567">
        <v>29</v>
      </c>
      <c r="E567">
        <v>53</v>
      </c>
      <c r="F567" s="1">
        <f t="shared" si="56"/>
        <v>0.35365853658536583</v>
      </c>
      <c r="G567" s="2">
        <v>101.3</v>
      </c>
      <c r="H567" s="2">
        <v>105</v>
      </c>
      <c r="I567" s="2">
        <f t="shared" si="57"/>
        <v>-3.7000000000000028</v>
      </c>
      <c r="J567" s="1">
        <f t="shared" si="58"/>
        <v>0.37701554546274013</v>
      </c>
      <c r="K567" s="2">
        <v>104.5</v>
      </c>
      <c r="L567" s="2">
        <v>108.2</v>
      </c>
      <c r="M567" s="2">
        <f t="shared" si="59"/>
        <v>-3.7000000000000028</v>
      </c>
      <c r="N567" s="1">
        <f t="shared" si="60"/>
        <v>-2.3357008877374297E-2</v>
      </c>
      <c r="O567" s="2">
        <v>99.6</v>
      </c>
      <c r="P567" s="2">
        <v>108.6</v>
      </c>
      <c r="Q567" s="2">
        <f t="shared" si="61"/>
        <v>-9</v>
      </c>
      <c r="R567" s="2">
        <v>-1.2</v>
      </c>
      <c r="S567" s="2">
        <v>-5.4</v>
      </c>
      <c r="T567" s="2">
        <f t="shared" si="62"/>
        <v>-5.2999999999999972</v>
      </c>
    </row>
    <row r="568" spans="1:20">
      <c r="A568" s="6">
        <v>374</v>
      </c>
      <c r="B568" t="s">
        <v>50</v>
      </c>
      <c r="C568" t="s">
        <v>20</v>
      </c>
      <c r="D568">
        <v>31</v>
      </c>
      <c r="E568">
        <v>51</v>
      </c>
      <c r="F568" s="1">
        <f t="shared" si="56"/>
        <v>0.37804878048780488</v>
      </c>
      <c r="G568" s="2">
        <v>95.7</v>
      </c>
      <c r="H568" s="2">
        <v>98.1</v>
      </c>
      <c r="I568" s="2">
        <f t="shared" si="57"/>
        <v>-2.3999999999999915</v>
      </c>
      <c r="J568" s="1">
        <f t="shared" si="58"/>
        <v>0.41416664534903919</v>
      </c>
      <c r="K568" s="2">
        <v>101.8</v>
      </c>
      <c r="L568" s="2">
        <v>104</v>
      </c>
      <c r="M568" s="2">
        <f t="shared" si="59"/>
        <v>-2.2000000000000028</v>
      </c>
      <c r="N568" s="1">
        <f t="shared" si="60"/>
        <v>-3.6117864861234306E-2</v>
      </c>
      <c r="O568" s="2">
        <v>96.4</v>
      </c>
      <c r="P568" s="2">
        <v>103.9</v>
      </c>
      <c r="Q568" s="2">
        <f t="shared" si="61"/>
        <v>-7.5</v>
      </c>
      <c r="R568" s="2">
        <v>-1.1000000000000001</v>
      </c>
      <c r="S568" s="2">
        <v>-5.5</v>
      </c>
      <c r="T568" s="2">
        <f t="shared" si="62"/>
        <v>-5.2999999999999972</v>
      </c>
    </row>
    <row r="569" spans="1:20">
      <c r="A569" s="6">
        <v>680</v>
      </c>
      <c r="B569" t="s">
        <v>63</v>
      </c>
      <c r="C569" t="s">
        <v>25</v>
      </c>
      <c r="D569">
        <v>45</v>
      </c>
      <c r="E569">
        <v>37</v>
      </c>
      <c r="F569" s="1">
        <f t="shared" si="56"/>
        <v>0.54878048780487809</v>
      </c>
      <c r="G569" s="2">
        <v>113.6</v>
      </c>
      <c r="H569" s="2">
        <v>111.6</v>
      </c>
      <c r="I569" s="2">
        <f t="shared" si="57"/>
        <v>2</v>
      </c>
      <c r="J569" s="1">
        <f t="shared" si="58"/>
        <v>0.56185019593174323</v>
      </c>
      <c r="K569" s="2">
        <v>114.5</v>
      </c>
      <c r="L569" s="2">
        <v>112.3</v>
      </c>
      <c r="M569" s="2">
        <f t="shared" si="59"/>
        <v>2.2000000000000028</v>
      </c>
      <c r="N569" s="1">
        <f t="shared" si="60"/>
        <v>-1.3069708126865143E-2</v>
      </c>
      <c r="O569" s="2">
        <v>109.4</v>
      </c>
      <c r="P569" s="2">
        <v>112.6</v>
      </c>
      <c r="Q569" s="2">
        <f t="shared" si="61"/>
        <v>-3.1999999999999886</v>
      </c>
      <c r="R569" s="2">
        <v>-0.2</v>
      </c>
      <c r="S569" s="2">
        <v>-1.6</v>
      </c>
      <c r="T569" s="2">
        <f t="shared" si="62"/>
        <v>-5.3999999999999915</v>
      </c>
    </row>
    <row r="570" spans="1:20">
      <c r="A570" s="6">
        <v>179</v>
      </c>
      <c r="B570" t="s">
        <v>43</v>
      </c>
      <c r="C570" t="s">
        <v>40</v>
      </c>
      <c r="D570">
        <v>33</v>
      </c>
      <c r="E570">
        <v>49</v>
      </c>
      <c r="F570" s="1">
        <f t="shared" si="56"/>
        <v>0.40243902439024393</v>
      </c>
      <c r="G570" s="2">
        <v>96.9</v>
      </c>
      <c r="H570" s="2">
        <v>100.6</v>
      </c>
      <c r="I570" s="2">
        <f t="shared" si="57"/>
        <v>-3.6999999999999886</v>
      </c>
      <c r="J570" s="1">
        <f t="shared" si="58"/>
        <v>0.37177294637427477</v>
      </c>
      <c r="K570" s="2">
        <v>102.4</v>
      </c>
      <c r="L570" s="2">
        <v>106.3</v>
      </c>
      <c r="M570" s="2">
        <f t="shared" si="59"/>
        <v>-3.8999999999999915</v>
      </c>
      <c r="N570" s="1">
        <f t="shared" si="60"/>
        <v>3.0666078015969156E-2</v>
      </c>
      <c r="O570" s="2">
        <v>93.9</v>
      </c>
      <c r="P570" s="2">
        <v>103.3</v>
      </c>
      <c r="Q570" s="2">
        <f t="shared" si="61"/>
        <v>-9.3999999999999915</v>
      </c>
      <c r="R570" s="2">
        <v>-1.2</v>
      </c>
      <c r="S570" s="2">
        <v>-5.3</v>
      </c>
      <c r="T570" s="2">
        <f t="shared" si="62"/>
        <v>-5.5</v>
      </c>
    </row>
    <row r="571" spans="1:20">
      <c r="A571" s="6">
        <v>499</v>
      </c>
      <c r="B571" t="s">
        <v>57</v>
      </c>
      <c r="C571" t="s">
        <v>24</v>
      </c>
      <c r="D571">
        <v>28</v>
      </c>
      <c r="E571">
        <v>54</v>
      </c>
      <c r="F571" s="1">
        <f t="shared" si="56"/>
        <v>0.34146341463414637</v>
      </c>
      <c r="G571" s="2">
        <v>102.4</v>
      </c>
      <c r="H571" s="2">
        <v>108.1</v>
      </c>
      <c r="I571" s="2">
        <f t="shared" si="57"/>
        <v>-5.6999999999999886</v>
      </c>
      <c r="J571" s="1">
        <f t="shared" si="58"/>
        <v>0.31899805241383661</v>
      </c>
      <c r="K571" s="2">
        <v>102.7</v>
      </c>
      <c r="L571" s="2">
        <v>108.2</v>
      </c>
      <c r="M571" s="2">
        <f t="shared" si="59"/>
        <v>-5.5</v>
      </c>
      <c r="N571" s="1">
        <f t="shared" si="60"/>
        <v>2.2465362220309759E-2</v>
      </c>
      <c r="O571" s="2">
        <v>98.1</v>
      </c>
      <c r="P571" s="2">
        <v>109.1</v>
      </c>
      <c r="Q571" s="2">
        <f t="shared" si="61"/>
        <v>-11</v>
      </c>
      <c r="R571" s="2">
        <v>-1.4</v>
      </c>
      <c r="S571" s="2">
        <v>-5.9</v>
      </c>
      <c r="T571" s="2">
        <f t="shared" si="62"/>
        <v>-5.5</v>
      </c>
    </row>
    <row r="572" spans="1:20">
      <c r="A572" s="6">
        <v>318</v>
      </c>
      <c r="B572" t="s">
        <v>48</v>
      </c>
      <c r="C572" t="s">
        <v>23</v>
      </c>
      <c r="D572">
        <v>52</v>
      </c>
      <c r="E572">
        <v>30</v>
      </c>
      <c r="F572" s="1">
        <f t="shared" si="56"/>
        <v>0.63414634146341464</v>
      </c>
      <c r="G572" s="2">
        <v>99.2</v>
      </c>
      <c r="H572" s="2">
        <v>93.7</v>
      </c>
      <c r="I572" s="2">
        <f t="shared" si="57"/>
        <v>5.5</v>
      </c>
      <c r="J572" s="1">
        <f t="shared" si="58"/>
        <v>0.68966584270274334</v>
      </c>
      <c r="K572" s="2">
        <v>107.4</v>
      </c>
      <c r="L572" s="2">
        <v>101.8</v>
      </c>
      <c r="M572" s="2">
        <f t="shared" si="59"/>
        <v>5.6000000000000085</v>
      </c>
      <c r="N572" s="1">
        <f t="shared" si="60"/>
        <v>-5.5519501239328695E-2</v>
      </c>
      <c r="O572" s="2">
        <v>107.1</v>
      </c>
      <c r="P572" s="2">
        <v>107</v>
      </c>
      <c r="Q572" s="2">
        <f t="shared" si="61"/>
        <v>9.9999999999994316E-2</v>
      </c>
      <c r="R572" s="2">
        <v>1.2</v>
      </c>
      <c r="S572" s="2">
        <v>7.2</v>
      </c>
      <c r="T572" s="2">
        <f t="shared" si="62"/>
        <v>-5.5000000000000142</v>
      </c>
    </row>
    <row r="573" spans="1:20">
      <c r="A573" s="6">
        <v>298</v>
      </c>
      <c r="B573" t="s">
        <v>48</v>
      </c>
      <c r="C573" t="s">
        <v>6</v>
      </c>
      <c r="D573">
        <v>56</v>
      </c>
      <c r="E573">
        <v>26</v>
      </c>
      <c r="F573" s="1">
        <f t="shared" si="56"/>
        <v>0.68292682926829273</v>
      </c>
      <c r="G573" s="2">
        <v>96.5</v>
      </c>
      <c r="H573" s="2">
        <v>91.1</v>
      </c>
      <c r="I573" s="2">
        <f t="shared" si="57"/>
        <v>5.4000000000000057</v>
      </c>
      <c r="J573" s="1">
        <f t="shared" si="58"/>
        <v>0.69129763241570297</v>
      </c>
      <c r="K573" s="2">
        <v>105.5</v>
      </c>
      <c r="L573" s="2">
        <v>99.8</v>
      </c>
      <c r="M573" s="2">
        <f t="shared" si="59"/>
        <v>5.7000000000000028</v>
      </c>
      <c r="N573" s="1">
        <f t="shared" si="60"/>
        <v>-8.3708031474102329E-3</v>
      </c>
      <c r="O573" s="2">
        <v>98.7</v>
      </c>
      <c r="P573" s="2">
        <v>98.6</v>
      </c>
      <c r="Q573" s="2">
        <f t="shared" si="61"/>
        <v>0.10000000000000853</v>
      </c>
      <c r="R573" s="2">
        <v>0.5</v>
      </c>
      <c r="S573" s="2">
        <v>3.1</v>
      </c>
      <c r="T573" s="2">
        <f t="shared" si="62"/>
        <v>-5.5999999999999943</v>
      </c>
    </row>
    <row r="574" spans="1:20">
      <c r="A574" s="6">
        <v>741</v>
      </c>
      <c r="B574" t="s">
        <v>65</v>
      </c>
      <c r="C574" t="s">
        <v>26</v>
      </c>
      <c r="D574">
        <v>36</v>
      </c>
      <c r="E574">
        <v>46</v>
      </c>
      <c r="F574" s="1">
        <f t="shared" si="56"/>
        <v>0.43902439024390244</v>
      </c>
      <c r="G574" s="2">
        <v>110.9</v>
      </c>
      <c r="H574" s="2">
        <v>113.9</v>
      </c>
      <c r="I574" s="2">
        <f t="shared" si="57"/>
        <v>-3</v>
      </c>
      <c r="J574" s="1">
        <f t="shared" si="58"/>
        <v>0.40765025304678426</v>
      </c>
      <c r="K574" s="2">
        <v>111</v>
      </c>
      <c r="L574" s="2">
        <v>113.7</v>
      </c>
      <c r="M574" s="2">
        <f t="shared" si="59"/>
        <v>-2.7000000000000028</v>
      </c>
      <c r="N574" s="1">
        <f t="shared" si="60"/>
        <v>3.1374137197118179E-2</v>
      </c>
      <c r="O574" s="2">
        <v>113.6</v>
      </c>
      <c r="P574" s="2">
        <v>121.9</v>
      </c>
      <c r="Q574" s="2">
        <f t="shared" si="61"/>
        <v>-8.3000000000000114</v>
      </c>
      <c r="R574" s="2">
        <v>-1.1000000000000001</v>
      </c>
      <c r="S574" s="2">
        <v>-5.6</v>
      </c>
      <c r="T574" s="2">
        <f t="shared" si="62"/>
        <v>-5.6000000000000085</v>
      </c>
    </row>
    <row r="575" spans="1:20">
      <c r="A575" s="6">
        <v>16</v>
      </c>
      <c r="B575" t="s">
        <v>4</v>
      </c>
      <c r="C575" t="s">
        <v>20</v>
      </c>
      <c r="D575">
        <v>47</v>
      </c>
      <c r="E575">
        <v>35</v>
      </c>
      <c r="F575" s="1">
        <f t="shared" si="56"/>
        <v>0.57317073170731703</v>
      </c>
      <c r="G575" s="2">
        <v>97.3</v>
      </c>
      <c r="H575" s="2">
        <v>96</v>
      </c>
      <c r="I575" s="2">
        <f t="shared" si="57"/>
        <v>1.2999999999999972</v>
      </c>
      <c r="J575" s="1">
        <f t="shared" si="58"/>
        <v>0.546939164426965</v>
      </c>
      <c r="K575" s="2">
        <v>103.9</v>
      </c>
      <c r="L575" s="2">
        <v>102.4</v>
      </c>
      <c r="M575" s="2">
        <f t="shared" si="59"/>
        <v>1.5</v>
      </c>
      <c r="N575" s="1">
        <f t="shared" si="60"/>
        <v>2.6231567280352031E-2</v>
      </c>
      <c r="O575" s="2">
        <v>102.8</v>
      </c>
      <c r="P575" s="2">
        <v>106.9</v>
      </c>
      <c r="Q575" s="2">
        <f t="shared" si="61"/>
        <v>-4.1000000000000085</v>
      </c>
      <c r="R575" s="2">
        <v>-0.5</v>
      </c>
      <c r="S575" s="2">
        <v>-2.6</v>
      </c>
      <c r="T575" s="2">
        <f t="shared" si="62"/>
        <v>-5.6000000000000085</v>
      </c>
    </row>
    <row r="576" spans="1:20">
      <c r="A576" s="6">
        <v>753</v>
      </c>
      <c r="B576" t="s">
        <v>66</v>
      </c>
      <c r="C576" t="s">
        <v>10</v>
      </c>
      <c r="D576">
        <v>21</v>
      </c>
      <c r="E576">
        <v>42</v>
      </c>
      <c r="F576" s="1">
        <f t="shared" si="56"/>
        <v>0.33333333333333331</v>
      </c>
      <c r="G576" s="2">
        <v>113.3</v>
      </c>
      <c r="H576" s="2">
        <v>117.7</v>
      </c>
      <c r="I576" s="2">
        <f t="shared" si="57"/>
        <v>-4.4000000000000057</v>
      </c>
      <c r="J576" s="1">
        <f t="shared" si="58"/>
        <v>0.36972474338344835</v>
      </c>
      <c r="K576" s="2">
        <v>109.8</v>
      </c>
      <c r="L576" s="2">
        <v>114</v>
      </c>
      <c r="M576" s="2">
        <f t="shared" si="59"/>
        <v>-4.2000000000000028</v>
      </c>
      <c r="N576" s="1">
        <f t="shared" si="60"/>
        <v>-3.6391410050115036E-2</v>
      </c>
      <c r="O576" s="2">
        <v>103.6</v>
      </c>
      <c r="P576" s="2">
        <v>113.4</v>
      </c>
      <c r="Q576" s="2">
        <f t="shared" si="61"/>
        <v>-9.8000000000000114</v>
      </c>
      <c r="R576" s="2">
        <v>-0.3</v>
      </c>
      <c r="S576" s="2">
        <v>-0.2</v>
      </c>
      <c r="T576" s="2">
        <f t="shared" si="62"/>
        <v>-5.6000000000000085</v>
      </c>
    </row>
    <row r="577" spans="1:20">
      <c r="A577" s="6">
        <v>553</v>
      </c>
      <c r="B577" t="s">
        <v>59</v>
      </c>
      <c r="C577" t="s">
        <v>19</v>
      </c>
      <c r="D577">
        <v>60</v>
      </c>
      <c r="E577">
        <v>22</v>
      </c>
      <c r="F577" s="1">
        <f t="shared" si="56"/>
        <v>0.73170731707317072</v>
      </c>
      <c r="G577" s="2">
        <v>118.1</v>
      </c>
      <c r="H577" s="2">
        <v>109.3</v>
      </c>
      <c r="I577" s="2">
        <f t="shared" si="57"/>
        <v>8.7999999999999972</v>
      </c>
      <c r="J577" s="1">
        <f t="shared" si="58"/>
        <v>0.7472680645596036</v>
      </c>
      <c r="K577" s="2">
        <v>113.5</v>
      </c>
      <c r="L577" s="2">
        <v>104.9</v>
      </c>
      <c r="M577" s="2">
        <f t="shared" si="59"/>
        <v>8.5999999999999943</v>
      </c>
      <c r="N577" s="1">
        <f t="shared" si="60"/>
        <v>-1.556074748643288E-2</v>
      </c>
      <c r="O577" s="2">
        <v>113</v>
      </c>
      <c r="P577" s="2">
        <v>110.1</v>
      </c>
      <c r="Q577" s="2">
        <f t="shared" si="61"/>
        <v>2.9000000000000057</v>
      </c>
      <c r="R577" s="2">
        <v>2.1</v>
      </c>
      <c r="S577" s="2">
        <v>8.4</v>
      </c>
      <c r="T577" s="2">
        <f t="shared" si="62"/>
        <v>-5.6999999999999886</v>
      </c>
    </row>
    <row r="578" spans="1:20">
      <c r="A578" s="6">
        <v>108</v>
      </c>
      <c r="B578" t="s">
        <v>38</v>
      </c>
      <c r="C578" t="s">
        <v>24</v>
      </c>
      <c r="D578">
        <v>33</v>
      </c>
      <c r="E578">
        <v>49</v>
      </c>
      <c r="F578" s="1">
        <f t="shared" si="56"/>
        <v>0.40243902439024393</v>
      </c>
      <c r="G578" s="2">
        <v>88</v>
      </c>
      <c r="H578" s="2">
        <v>90.5</v>
      </c>
      <c r="I578" s="2">
        <f t="shared" si="57"/>
        <v>-2.5</v>
      </c>
      <c r="J578" s="1">
        <f t="shared" si="58"/>
        <v>0.4031920171201035</v>
      </c>
      <c r="K578" s="2">
        <v>97.8</v>
      </c>
      <c r="L578" s="2">
        <v>100.4</v>
      </c>
      <c r="M578" s="2">
        <f t="shared" si="59"/>
        <v>-2.6000000000000085</v>
      </c>
      <c r="N578" s="1">
        <f t="shared" si="60"/>
        <v>-7.5299272985956955E-4</v>
      </c>
      <c r="O578" s="2">
        <v>82.5</v>
      </c>
      <c r="P578" s="2">
        <v>90.9</v>
      </c>
      <c r="Q578" s="2">
        <f t="shared" si="61"/>
        <v>-8.4000000000000057</v>
      </c>
      <c r="R578" s="2">
        <v>-0.1</v>
      </c>
      <c r="S578" s="2">
        <v>1.3</v>
      </c>
      <c r="T578" s="2">
        <f t="shared" si="62"/>
        <v>-5.7999999999999972</v>
      </c>
    </row>
    <row r="579" spans="1:20">
      <c r="A579" s="6">
        <v>252</v>
      </c>
      <c r="B579" t="s">
        <v>45</v>
      </c>
      <c r="C579" t="s">
        <v>19</v>
      </c>
      <c r="D579">
        <v>34</v>
      </c>
      <c r="E579">
        <v>48</v>
      </c>
      <c r="F579" s="1">
        <f t="shared" si="56"/>
        <v>0.41463414634146339</v>
      </c>
      <c r="G579" s="2">
        <v>99.3</v>
      </c>
      <c r="H579" s="2">
        <v>100.4</v>
      </c>
      <c r="I579" s="2">
        <f t="shared" si="57"/>
        <v>-1.1000000000000085</v>
      </c>
      <c r="J579" s="1">
        <f t="shared" si="58"/>
        <v>0.46151802647482632</v>
      </c>
      <c r="K579" s="2">
        <v>105.2</v>
      </c>
      <c r="L579" s="2">
        <v>106.3</v>
      </c>
      <c r="M579" s="2">
        <f t="shared" si="59"/>
        <v>-1.0999999999999943</v>
      </c>
      <c r="N579" s="1">
        <f t="shared" si="60"/>
        <v>-4.6883880133362921E-2</v>
      </c>
      <c r="O579" s="2">
        <v>102</v>
      </c>
      <c r="P579" s="2">
        <v>108.9</v>
      </c>
      <c r="Q579" s="2">
        <f t="shared" si="61"/>
        <v>-6.9000000000000057</v>
      </c>
      <c r="R579" s="2">
        <v>-1</v>
      </c>
      <c r="S579" s="2">
        <v>-4.9000000000000004</v>
      </c>
      <c r="T579" s="2">
        <f t="shared" si="62"/>
        <v>-5.8000000000000114</v>
      </c>
    </row>
    <row r="580" spans="1:20">
      <c r="A580" s="6">
        <v>593</v>
      </c>
      <c r="B580" t="s">
        <v>60</v>
      </c>
      <c r="C580" t="s">
        <v>28</v>
      </c>
      <c r="D580">
        <v>32</v>
      </c>
      <c r="E580">
        <v>39</v>
      </c>
      <c r="F580" s="1">
        <f t="shared" si="56"/>
        <v>0.45070422535211269</v>
      </c>
      <c r="G580" s="2">
        <v>114.1</v>
      </c>
      <c r="H580" s="2">
        <v>115.2</v>
      </c>
      <c r="I580" s="2">
        <f t="shared" si="57"/>
        <v>-1.1000000000000085</v>
      </c>
      <c r="J580" s="1">
        <f t="shared" si="58"/>
        <v>0.46646967958188307</v>
      </c>
      <c r="K580" s="2">
        <v>111.7</v>
      </c>
      <c r="L580" s="2">
        <v>112.6</v>
      </c>
      <c r="M580" s="2">
        <f t="shared" si="59"/>
        <v>-0.89999999999999147</v>
      </c>
      <c r="N580" s="1">
        <f t="shared" si="60"/>
        <v>-1.5765454229770381E-2</v>
      </c>
      <c r="O580" s="2">
        <v>105.2</v>
      </c>
      <c r="P580" s="2">
        <v>112</v>
      </c>
      <c r="Q580" s="2">
        <f t="shared" si="61"/>
        <v>-6.7999999999999972</v>
      </c>
      <c r="R580" s="2">
        <v>-0.9</v>
      </c>
      <c r="S580" s="2">
        <v>-3.1</v>
      </c>
      <c r="T580" s="2">
        <f t="shared" si="62"/>
        <v>-5.9000000000000057</v>
      </c>
    </row>
    <row r="581" spans="1:20">
      <c r="A581" s="6">
        <v>148</v>
      </c>
      <c r="B581" t="s">
        <v>41</v>
      </c>
      <c r="C581" t="s">
        <v>6</v>
      </c>
      <c r="D581">
        <v>33</v>
      </c>
      <c r="E581">
        <v>49</v>
      </c>
      <c r="F581" s="1">
        <f t="shared" si="56"/>
        <v>0.40243902439024393</v>
      </c>
      <c r="G581" s="2">
        <v>98</v>
      </c>
      <c r="H581" s="2">
        <v>99.5</v>
      </c>
      <c r="I581" s="2">
        <f t="shared" si="57"/>
        <v>-1.5</v>
      </c>
      <c r="J581" s="1">
        <f t="shared" si="58"/>
        <v>0.44703388765865459</v>
      </c>
      <c r="K581" s="2">
        <v>104</v>
      </c>
      <c r="L581" s="2">
        <v>105.6</v>
      </c>
      <c r="M581" s="2">
        <f t="shared" si="59"/>
        <v>-1.5999999999999943</v>
      </c>
      <c r="N581" s="1">
        <f t="shared" si="60"/>
        <v>-4.4594863268410667E-2</v>
      </c>
      <c r="O581" s="2">
        <v>94.7</v>
      </c>
      <c r="P581" s="2">
        <v>102.2</v>
      </c>
      <c r="Q581" s="2">
        <f t="shared" si="61"/>
        <v>-7.5</v>
      </c>
      <c r="R581" s="2">
        <v>-0.6</v>
      </c>
      <c r="S581" s="2">
        <v>-2.1</v>
      </c>
      <c r="T581" s="2">
        <f t="shared" si="62"/>
        <v>-5.9000000000000057</v>
      </c>
    </row>
    <row r="582" spans="1:20">
      <c r="A582" s="6">
        <v>223</v>
      </c>
      <c r="B582" t="s">
        <v>44</v>
      </c>
      <c r="C582" t="s">
        <v>20</v>
      </c>
      <c r="D582">
        <v>22</v>
      </c>
      <c r="E582">
        <v>60</v>
      </c>
      <c r="F582" s="1">
        <f t="shared" si="56"/>
        <v>0.26829268292682928</v>
      </c>
      <c r="G582" s="2">
        <v>95.6</v>
      </c>
      <c r="H582" s="2">
        <v>102.4</v>
      </c>
      <c r="I582" s="2">
        <f t="shared" si="57"/>
        <v>-6.8000000000000114</v>
      </c>
      <c r="J582" s="1">
        <f t="shared" si="58"/>
        <v>0.27647904137528079</v>
      </c>
      <c r="K582" s="2">
        <v>102.7</v>
      </c>
      <c r="L582" s="2">
        <v>110</v>
      </c>
      <c r="M582" s="2">
        <f t="shared" si="59"/>
        <v>-7.2999999999999972</v>
      </c>
      <c r="N582" s="1">
        <f t="shared" si="60"/>
        <v>-8.1863584484515028E-3</v>
      </c>
      <c r="O582" s="2">
        <v>105.4</v>
      </c>
      <c r="P582" s="2">
        <v>118.7</v>
      </c>
      <c r="Q582" s="2">
        <f t="shared" si="61"/>
        <v>-13.299999999999997</v>
      </c>
      <c r="R582" s="2">
        <v>-1.9</v>
      </c>
      <c r="S582" s="2">
        <v>-10.7</v>
      </c>
      <c r="T582" s="2">
        <f t="shared" si="62"/>
        <v>-6</v>
      </c>
    </row>
    <row r="583" spans="1:20">
      <c r="A583" s="6">
        <v>147</v>
      </c>
      <c r="B583" t="s">
        <v>41</v>
      </c>
      <c r="C583" t="s">
        <v>5</v>
      </c>
      <c r="D583">
        <v>26</v>
      </c>
      <c r="E583">
        <v>56</v>
      </c>
      <c r="F583" s="1">
        <f t="shared" si="56"/>
        <v>0.31707317073170732</v>
      </c>
      <c r="G583" s="2">
        <v>97.2</v>
      </c>
      <c r="H583" s="2">
        <v>102</v>
      </c>
      <c r="I583" s="2">
        <f t="shared" si="57"/>
        <v>-4.7999999999999972</v>
      </c>
      <c r="J583" s="1">
        <f t="shared" si="58"/>
        <v>0.33741629653405997</v>
      </c>
      <c r="K583" s="2">
        <v>104.8</v>
      </c>
      <c r="L583" s="2">
        <v>110.1</v>
      </c>
      <c r="M583" s="2">
        <f t="shared" si="59"/>
        <v>-5.2999999999999972</v>
      </c>
      <c r="N583" s="1">
        <f t="shared" si="60"/>
        <v>-2.0343125802352646E-2</v>
      </c>
      <c r="O583" s="2">
        <v>96</v>
      </c>
      <c r="P583" s="2">
        <v>107.4</v>
      </c>
      <c r="Q583" s="2">
        <f t="shared" si="61"/>
        <v>-11.400000000000006</v>
      </c>
      <c r="R583" s="2">
        <v>-0.4</v>
      </c>
      <c r="S583" s="2">
        <v>-1.4</v>
      </c>
      <c r="T583" s="2">
        <f t="shared" si="62"/>
        <v>-6.1000000000000085</v>
      </c>
    </row>
    <row r="584" spans="1:20">
      <c r="A584" s="6">
        <v>420</v>
      </c>
      <c r="B584" t="s">
        <v>54</v>
      </c>
      <c r="C584" t="s">
        <v>7</v>
      </c>
      <c r="D584">
        <v>33</v>
      </c>
      <c r="E584">
        <v>49</v>
      </c>
      <c r="F584" s="1">
        <f t="shared" si="56"/>
        <v>0.40243902439024393</v>
      </c>
      <c r="G584" s="2">
        <v>94.2</v>
      </c>
      <c r="H584" s="2">
        <v>97.3</v>
      </c>
      <c r="I584" s="2">
        <f t="shared" si="57"/>
        <v>-3.0999999999999943</v>
      </c>
      <c r="J584" s="1">
        <f t="shared" si="58"/>
        <v>0.38857566297444734</v>
      </c>
      <c r="K584" s="2">
        <v>99.6</v>
      </c>
      <c r="L584" s="2">
        <v>103</v>
      </c>
      <c r="M584" s="2">
        <f t="shared" si="59"/>
        <v>-3.4000000000000057</v>
      </c>
      <c r="N584" s="1">
        <f t="shared" si="60"/>
        <v>1.3863361415796582E-2</v>
      </c>
      <c r="O584" s="2">
        <v>89.8</v>
      </c>
      <c r="P584" s="2">
        <v>99.4</v>
      </c>
      <c r="Q584" s="2">
        <f t="shared" si="61"/>
        <v>-9.6000000000000085</v>
      </c>
      <c r="R584" s="2">
        <v>-1.2</v>
      </c>
      <c r="S584" s="2">
        <v>-5.0999999999999996</v>
      </c>
      <c r="T584" s="2">
        <f t="shared" si="62"/>
        <v>-6.2000000000000028</v>
      </c>
    </row>
    <row r="585" spans="1:20">
      <c r="A585" s="6">
        <v>710</v>
      </c>
      <c r="B585" t="s">
        <v>64</v>
      </c>
      <c r="C585" t="s">
        <v>25</v>
      </c>
      <c r="D585">
        <v>49</v>
      </c>
      <c r="E585">
        <v>33</v>
      </c>
      <c r="F585" s="1">
        <f t="shared" ref="F585:F648" si="63">+D585/(D585+E585)</f>
        <v>0.59756097560975607</v>
      </c>
      <c r="G585" s="2">
        <v>116.2</v>
      </c>
      <c r="H585" s="2">
        <v>113.2</v>
      </c>
      <c r="I585" s="2">
        <f t="shared" ref="I585:I648" si="64">+G585-H585</f>
        <v>3</v>
      </c>
      <c r="J585" s="1">
        <f t="shared" ref="J585:J648" si="65">+(G585^14)/((G585^14+H585^14))</f>
        <v>0.59053887488262369</v>
      </c>
      <c r="K585" s="2">
        <v>116.8</v>
      </c>
      <c r="L585" s="2">
        <v>113.7</v>
      </c>
      <c r="M585" s="2">
        <f t="shared" ref="M585:M648" si="66">+K585-L585</f>
        <v>3.0999999999999943</v>
      </c>
      <c r="N585" s="1">
        <f t="shared" ref="N585:N648" si="67">+F585-J585</f>
        <v>7.0221007271323854E-3</v>
      </c>
      <c r="O585" s="2">
        <v>102</v>
      </c>
      <c r="P585" s="2">
        <v>105.2</v>
      </c>
      <c r="Q585" s="2">
        <f t="shared" ref="Q585:Q648" si="68">+O585-P585</f>
        <v>-3.2000000000000028</v>
      </c>
      <c r="R585" s="2">
        <v>-2.4</v>
      </c>
      <c r="S585" s="2">
        <v>-9.9</v>
      </c>
      <c r="T585" s="2">
        <f t="shared" ref="T585:T648" si="69">+Q585-M585</f>
        <v>-6.2999999999999972</v>
      </c>
    </row>
    <row r="586" spans="1:20">
      <c r="A586" s="6">
        <v>509</v>
      </c>
      <c r="B586" t="s">
        <v>58</v>
      </c>
      <c r="C586" t="s">
        <v>51</v>
      </c>
      <c r="D586">
        <v>28</v>
      </c>
      <c r="E586">
        <v>54</v>
      </c>
      <c r="F586" s="1">
        <f t="shared" si="63"/>
        <v>0.34146341463414637</v>
      </c>
      <c r="G586" s="2">
        <v>106.6</v>
      </c>
      <c r="H586" s="2">
        <v>110.3</v>
      </c>
      <c r="I586" s="2">
        <f t="shared" si="64"/>
        <v>-3.7000000000000028</v>
      </c>
      <c r="J586" s="1">
        <f t="shared" si="65"/>
        <v>0.38279873776476753</v>
      </c>
      <c r="K586" s="2">
        <v>106.1</v>
      </c>
      <c r="L586" s="2">
        <v>109.7</v>
      </c>
      <c r="M586" s="2">
        <f t="shared" si="66"/>
        <v>-3.6000000000000085</v>
      </c>
      <c r="N586" s="1">
        <f t="shared" si="67"/>
        <v>-4.133532313062116E-2</v>
      </c>
      <c r="O586" s="2">
        <v>98.5</v>
      </c>
      <c r="P586" s="2">
        <v>108.4</v>
      </c>
      <c r="Q586" s="2">
        <f t="shared" si="68"/>
        <v>-9.9000000000000057</v>
      </c>
      <c r="R586" s="2">
        <v>-0.7</v>
      </c>
      <c r="S586" s="2">
        <v>-4.9000000000000004</v>
      </c>
      <c r="T586" s="2">
        <f t="shared" si="69"/>
        <v>-6.2999999999999972</v>
      </c>
    </row>
    <row r="587" spans="1:20">
      <c r="A587" s="6">
        <v>713</v>
      </c>
      <c r="B587" t="s">
        <v>64</v>
      </c>
      <c r="C587" t="s">
        <v>28</v>
      </c>
      <c r="D587">
        <v>22</v>
      </c>
      <c r="E587">
        <v>60</v>
      </c>
      <c r="F587" s="1">
        <f t="shared" si="63"/>
        <v>0.26829268292682928</v>
      </c>
      <c r="G587" s="2">
        <v>112.1</v>
      </c>
      <c r="H587" s="2">
        <v>118.6</v>
      </c>
      <c r="I587" s="2">
        <f t="shared" si="64"/>
        <v>-6.5</v>
      </c>
      <c r="J587" s="1">
        <f t="shared" si="65"/>
        <v>0.31235933105064495</v>
      </c>
      <c r="K587" s="2">
        <v>109.3</v>
      </c>
      <c r="L587" s="2">
        <v>115.6</v>
      </c>
      <c r="M587" s="2">
        <f t="shared" si="66"/>
        <v>-6.2999999999999972</v>
      </c>
      <c r="N587" s="1">
        <f t="shared" si="67"/>
        <v>-4.4066648123815666E-2</v>
      </c>
      <c r="O587" s="2">
        <v>101</v>
      </c>
      <c r="P587" s="2">
        <v>113.6</v>
      </c>
      <c r="Q587" s="2">
        <f t="shared" si="68"/>
        <v>-12.599999999999994</v>
      </c>
      <c r="R587" s="2">
        <v>-0.2</v>
      </c>
      <c r="S587" s="2">
        <v>-0.6</v>
      </c>
      <c r="T587" s="2">
        <f t="shared" si="69"/>
        <v>-6.2999999999999972</v>
      </c>
    </row>
    <row r="588" spans="1:20">
      <c r="A588" s="6">
        <v>498</v>
      </c>
      <c r="B588" t="s">
        <v>57</v>
      </c>
      <c r="C588" t="s">
        <v>23</v>
      </c>
      <c r="D588">
        <v>29</v>
      </c>
      <c r="E588">
        <v>53</v>
      </c>
      <c r="F588" s="1">
        <f t="shared" si="63"/>
        <v>0.35365853658536583</v>
      </c>
      <c r="G588" s="2">
        <v>101.1</v>
      </c>
      <c r="H588" s="2">
        <v>107.6</v>
      </c>
      <c r="I588" s="2">
        <f t="shared" si="64"/>
        <v>-6.5</v>
      </c>
      <c r="J588" s="1">
        <f t="shared" si="65"/>
        <v>0.29476611175193784</v>
      </c>
      <c r="K588" s="2">
        <v>103.7</v>
      </c>
      <c r="L588" s="2">
        <v>110.3</v>
      </c>
      <c r="M588" s="2">
        <f t="shared" si="66"/>
        <v>-6.5999999999999943</v>
      </c>
      <c r="N588" s="1">
        <f t="shared" si="67"/>
        <v>5.8892424833427992E-2</v>
      </c>
      <c r="O588" s="2">
        <v>101.3</v>
      </c>
      <c r="P588" s="2">
        <v>114.2</v>
      </c>
      <c r="Q588" s="2">
        <f t="shared" si="68"/>
        <v>-12.900000000000006</v>
      </c>
      <c r="R588" s="2">
        <v>-1.8</v>
      </c>
      <c r="S588" s="2">
        <v>-8.9</v>
      </c>
      <c r="T588" s="2">
        <f t="shared" si="69"/>
        <v>-6.3000000000000114</v>
      </c>
    </row>
    <row r="589" spans="1:20">
      <c r="A589" s="6">
        <v>166</v>
      </c>
      <c r="B589" t="s">
        <v>41</v>
      </c>
      <c r="C589" t="s">
        <v>22</v>
      </c>
      <c r="D589">
        <v>23</v>
      </c>
      <c r="E589">
        <v>59</v>
      </c>
      <c r="F589" s="1">
        <f t="shared" si="63"/>
        <v>0.28048780487804881</v>
      </c>
      <c r="G589" s="2">
        <v>95.6</v>
      </c>
      <c r="H589" s="2">
        <v>102</v>
      </c>
      <c r="I589" s="2">
        <f t="shared" si="64"/>
        <v>-6.4000000000000057</v>
      </c>
      <c r="J589" s="1">
        <f t="shared" si="65"/>
        <v>0.28757316482715334</v>
      </c>
      <c r="K589" s="2">
        <v>102.7</v>
      </c>
      <c r="L589" s="2">
        <v>109.3</v>
      </c>
      <c r="M589" s="2">
        <f t="shared" si="66"/>
        <v>-6.5999999999999943</v>
      </c>
      <c r="N589" s="1">
        <f t="shared" si="67"/>
        <v>-7.0853599491045305E-3</v>
      </c>
      <c r="O589" s="2">
        <v>100.3</v>
      </c>
      <c r="P589" s="2">
        <v>113.2</v>
      </c>
      <c r="Q589" s="2">
        <f t="shared" si="68"/>
        <v>-12.900000000000006</v>
      </c>
      <c r="R589" s="2">
        <v>1.2</v>
      </c>
      <c r="S589" s="2">
        <v>3.7</v>
      </c>
      <c r="T589" s="2">
        <f t="shared" si="69"/>
        <v>-6.3000000000000114</v>
      </c>
    </row>
    <row r="590" spans="1:20">
      <c r="A590" s="6">
        <v>756</v>
      </c>
      <c r="B590" t="s">
        <v>66</v>
      </c>
      <c r="C590" t="s">
        <v>13</v>
      </c>
      <c r="D590">
        <v>32</v>
      </c>
      <c r="E590">
        <v>31</v>
      </c>
      <c r="F590" s="1">
        <f t="shared" si="63"/>
        <v>0.50793650793650791</v>
      </c>
      <c r="G590" s="2">
        <v>115</v>
      </c>
      <c r="H590" s="2">
        <v>113.9</v>
      </c>
      <c r="I590" s="2">
        <f t="shared" si="64"/>
        <v>1.0999999999999943</v>
      </c>
      <c r="J590" s="1">
        <f t="shared" si="65"/>
        <v>0.53358873886110747</v>
      </c>
      <c r="K590" s="2">
        <v>114.1</v>
      </c>
      <c r="L590" s="2">
        <v>112.9</v>
      </c>
      <c r="M590" s="2">
        <f t="shared" si="66"/>
        <v>1.1999999999999886</v>
      </c>
      <c r="N590" s="1">
        <f t="shared" si="67"/>
        <v>-2.5652230924599562E-2</v>
      </c>
      <c r="O590" s="2">
        <v>118.2</v>
      </c>
      <c r="P590" s="2">
        <v>123.4</v>
      </c>
      <c r="Q590" s="2">
        <f t="shared" si="68"/>
        <v>-5.2000000000000028</v>
      </c>
      <c r="R590" s="2">
        <v>1</v>
      </c>
      <c r="S590" s="2">
        <v>4</v>
      </c>
      <c r="T590" s="2">
        <f t="shared" si="69"/>
        <v>-6.3999999999999915</v>
      </c>
    </row>
    <row r="591" spans="1:20">
      <c r="A591" s="6">
        <v>527</v>
      </c>
      <c r="B591" t="s">
        <v>58</v>
      </c>
      <c r="C591" t="s">
        <v>46</v>
      </c>
      <c r="D591">
        <v>48</v>
      </c>
      <c r="E591">
        <v>34</v>
      </c>
      <c r="F591" s="1">
        <f t="shared" si="63"/>
        <v>0.58536585365853655</v>
      </c>
      <c r="G591" s="2">
        <v>107.9</v>
      </c>
      <c r="H591" s="2">
        <v>104.4</v>
      </c>
      <c r="I591" s="2">
        <f t="shared" si="64"/>
        <v>3.5</v>
      </c>
      <c r="J591" s="1">
        <f t="shared" si="65"/>
        <v>0.61340618235435873</v>
      </c>
      <c r="K591" s="2">
        <v>110.1</v>
      </c>
      <c r="L591" s="2">
        <v>106.4</v>
      </c>
      <c r="M591" s="2">
        <f t="shared" si="66"/>
        <v>3.6999999999999886</v>
      </c>
      <c r="N591" s="1">
        <f t="shared" si="67"/>
        <v>-2.8040328695822181E-2</v>
      </c>
      <c r="O591" s="2">
        <v>104.5</v>
      </c>
      <c r="P591" s="2">
        <v>107.2</v>
      </c>
      <c r="Q591" s="2">
        <f t="shared" si="68"/>
        <v>-2.7000000000000028</v>
      </c>
      <c r="R591" s="2">
        <v>1.5</v>
      </c>
      <c r="S591" s="2">
        <v>6.5</v>
      </c>
      <c r="T591" s="2">
        <f t="shared" si="69"/>
        <v>-6.3999999999999915</v>
      </c>
    </row>
    <row r="592" spans="1:20">
      <c r="A592" s="6">
        <v>547</v>
      </c>
      <c r="B592" t="s">
        <v>59</v>
      </c>
      <c r="C592" t="s">
        <v>14</v>
      </c>
      <c r="D592">
        <v>53</v>
      </c>
      <c r="E592">
        <v>29</v>
      </c>
      <c r="F592" s="1">
        <f t="shared" si="63"/>
        <v>0.64634146341463417</v>
      </c>
      <c r="G592" s="2">
        <v>113.9</v>
      </c>
      <c r="H592" s="2">
        <v>109.1</v>
      </c>
      <c r="I592" s="2">
        <f t="shared" si="64"/>
        <v>4.8000000000000114</v>
      </c>
      <c r="J592" s="1">
        <f t="shared" si="65"/>
        <v>0.64629291131974342</v>
      </c>
      <c r="K592" s="2">
        <v>114.9</v>
      </c>
      <c r="L592" s="2">
        <v>110.1</v>
      </c>
      <c r="M592" s="2">
        <f t="shared" si="66"/>
        <v>4.8000000000000114</v>
      </c>
      <c r="N592" s="1">
        <f t="shared" si="67"/>
        <v>4.8552094890741415E-5</v>
      </c>
      <c r="O592" s="2">
        <v>111.8</v>
      </c>
      <c r="P592" s="2">
        <v>113.4</v>
      </c>
      <c r="Q592" s="2">
        <f t="shared" si="68"/>
        <v>-1.6000000000000085</v>
      </c>
      <c r="R592" s="2">
        <v>0.5</v>
      </c>
      <c r="S592" s="2">
        <v>2.8</v>
      </c>
      <c r="T592" s="2">
        <f t="shared" si="69"/>
        <v>-6.4000000000000199</v>
      </c>
    </row>
    <row r="593" spans="1:20">
      <c r="A593" s="6">
        <v>662</v>
      </c>
      <c r="B593" t="s">
        <v>63</v>
      </c>
      <c r="C593" t="s">
        <v>9</v>
      </c>
      <c r="D593">
        <v>51</v>
      </c>
      <c r="E593">
        <v>31</v>
      </c>
      <c r="F593" s="1">
        <f t="shared" si="63"/>
        <v>0.62195121951219512</v>
      </c>
      <c r="G593" s="2">
        <v>112.3</v>
      </c>
      <c r="H593" s="2">
        <v>106.9</v>
      </c>
      <c r="I593" s="2">
        <f t="shared" si="64"/>
        <v>5.3999999999999915</v>
      </c>
      <c r="J593" s="1">
        <f t="shared" si="65"/>
        <v>0.66594926626048301</v>
      </c>
      <c r="K593" s="2">
        <v>115.5</v>
      </c>
      <c r="L593" s="2">
        <v>109.9</v>
      </c>
      <c r="M593" s="2">
        <f t="shared" si="66"/>
        <v>5.5999999999999943</v>
      </c>
      <c r="N593" s="1">
        <f t="shared" si="67"/>
        <v>-4.3998046748287889E-2</v>
      </c>
      <c r="O593" s="2">
        <v>97.9</v>
      </c>
      <c r="P593" s="2">
        <v>98.8</v>
      </c>
      <c r="Q593" s="2">
        <f t="shared" si="68"/>
        <v>-0.89999999999999147</v>
      </c>
      <c r="R593" s="2">
        <v>2.2000000000000002</v>
      </c>
      <c r="S593" s="2">
        <v>11</v>
      </c>
      <c r="T593" s="2">
        <f t="shared" si="69"/>
        <v>-6.4999999999999858</v>
      </c>
    </row>
    <row r="594" spans="1:20">
      <c r="A594" s="6">
        <v>185</v>
      </c>
      <c r="B594" t="s">
        <v>43</v>
      </c>
      <c r="C594" t="s">
        <v>13</v>
      </c>
      <c r="D594">
        <v>42</v>
      </c>
      <c r="E594">
        <v>40</v>
      </c>
      <c r="F594" s="1">
        <f t="shared" si="63"/>
        <v>0.51219512195121952</v>
      </c>
      <c r="G594" s="2">
        <v>106.5</v>
      </c>
      <c r="H594" s="2">
        <v>106.9</v>
      </c>
      <c r="I594" s="2">
        <f t="shared" si="64"/>
        <v>-0.40000000000000568</v>
      </c>
      <c r="J594" s="1">
        <f t="shared" si="65"/>
        <v>0.48688209591984372</v>
      </c>
      <c r="K594" s="2">
        <v>106.2</v>
      </c>
      <c r="L594" s="2">
        <v>106.5</v>
      </c>
      <c r="M594" s="2">
        <f t="shared" si="66"/>
        <v>-0.29999999999999716</v>
      </c>
      <c r="N594" s="1">
        <f t="shared" si="67"/>
        <v>2.5313026031375807E-2</v>
      </c>
      <c r="O594" s="2">
        <v>98.2</v>
      </c>
      <c r="P594" s="2">
        <v>105</v>
      </c>
      <c r="Q594" s="2">
        <f t="shared" si="68"/>
        <v>-6.7999999999999972</v>
      </c>
      <c r="R594" s="2">
        <v>-0.5</v>
      </c>
      <c r="S594" s="2">
        <v>-1.4</v>
      </c>
      <c r="T594" s="2">
        <f t="shared" si="69"/>
        <v>-6.5</v>
      </c>
    </row>
    <row r="595" spans="1:20">
      <c r="A595" s="6">
        <v>739</v>
      </c>
      <c r="B595" t="s">
        <v>65</v>
      </c>
      <c r="C595" t="s">
        <v>24</v>
      </c>
      <c r="D595">
        <v>24</v>
      </c>
      <c r="E595">
        <v>58</v>
      </c>
      <c r="F595" s="1">
        <f t="shared" si="63"/>
        <v>0.29268292682926828</v>
      </c>
      <c r="G595" s="2">
        <v>109.6</v>
      </c>
      <c r="H595" s="2">
        <v>115.8</v>
      </c>
      <c r="I595" s="2">
        <f t="shared" si="64"/>
        <v>-6.2000000000000028</v>
      </c>
      <c r="J595" s="1">
        <f t="shared" si="65"/>
        <v>0.31639676572205722</v>
      </c>
      <c r="K595" s="2">
        <v>111</v>
      </c>
      <c r="L595" s="2">
        <v>117.3</v>
      </c>
      <c r="M595" s="2">
        <f t="shared" si="66"/>
        <v>-6.2999999999999972</v>
      </c>
      <c r="N595" s="1">
        <f t="shared" si="67"/>
        <v>-2.3713838892788941E-2</v>
      </c>
      <c r="O595" s="2">
        <v>104.2</v>
      </c>
      <c r="P595" s="2">
        <v>117</v>
      </c>
      <c r="Q595" s="2">
        <f t="shared" si="68"/>
        <v>-12.799999999999997</v>
      </c>
      <c r="R595" s="2">
        <v>-1.9</v>
      </c>
      <c r="S595" s="2">
        <v>-7</v>
      </c>
      <c r="T595" s="2">
        <f t="shared" si="69"/>
        <v>-6.5</v>
      </c>
    </row>
    <row r="596" spans="1:20">
      <c r="A596" s="6">
        <v>48</v>
      </c>
      <c r="B596" t="s">
        <v>34</v>
      </c>
      <c r="C596" t="s">
        <v>22</v>
      </c>
      <c r="D596">
        <v>30</v>
      </c>
      <c r="E596">
        <v>52</v>
      </c>
      <c r="F596" s="1">
        <f t="shared" si="63"/>
        <v>0.36585365853658536</v>
      </c>
      <c r="G596" s="2">
        <v>91.6</v>
      </c>
      <c r="H596" s="2">
        <v>95.6</v>
      </c>
      <c r="I596" s="2">
        <f t="shared" si="64"/>
        <v>-4</v>
      </c>
      <c r="J596" s="1">
        <f t="shared" si="65"/>
        <v>0.35471402772199295</v>
      </c>
      <c r="K596" s="2">
        <v>100.4</v>
      </c>
      <c r="L596" s="2">
        <v>104.6</v>
      </c>
      <c r="M596" s="2">
        <f t="shared" si="66"/>
        <v>-4.1999999999999886</v>
      </c>
      <c r="N596" s="1">
        <f t="shared" si="67"/>
        <v>1.1139630814592405E-2</v>
      </c>
      <c r="O596" s="2">
        <v>89.8</v>
      </c>
      <c r="P596" s="2">
        <v>100.5</v>
      </c>
      <c r="Q596" s="2">
        <f t="shared" si="68"/>
        <v>-10.700000000000003</v>
      </c>
      <c r="R596" s="2">
        <v>-1.2</v>
      </c>
      <c r="S596" s="2">
        <v>-6.4</v>
      </c>
      <c r="T596" s="2">
        <f t="shared" si="69"/>
        <v>-6.5000000000000142</v>
      </c>
    </row>
    <row r="597" spans="1:20">
      <c r="A597" s="6">
        <v>614</v>
      </c>
      <c r="B597" t="s">
        <v>61</v>
      </c>
      <c r="C597" t="s">
        <v>20</v>
      </c>
      <c r="D597">
        <v>23</v>
      </c>
      <c r="E597">
        <v>49</v>
      </c>
      <c r="F597" s="1">
        <f t="shared" si="63"/>
        <v>0.31944444444444442</v>
      </c>
      <c r="G597" s="2">
        <v>112.1</v>
      </c>
      <c r="H597" s="2">
        <v>117.7</v>
      </c>
      <c r="I597" s="2">
        <f t="shared" si="64"/>
        <v>-5.6000000000000085</v>
      </c>
      <c r="J597" s="1">
        <f t="shared" si="65"/>
        <v>0.3357107873197604</v>
      </c>
      <c r="K597" s="2">
        <v>109.3</v>
      </c>
      <c r="L597" s="2">
        <v>114.5</v>
      </c>
      <c r="M597" s="2">
        <f t="shared" si="66"/>
        <v>-5.2000000000000028</v>
      </c>
      <c r="N597" s="1">
        <f t="shared" si="67"/>
        <v>-1.6266342875315976E-2</v>
      </c>
      <c r="O597" s="2">
        <v>105.4</v>
      </c>
      <c r="P597" s="2">
        <v>117.2</v>
      </c>
      <c r="Q597" s="2">
        <f t="shared" si="68"/>
        <v>-11.799999999999997</v>
      </c>
      <c r="R597" s="2">
        <v>0.4</v>
      </c>
      <c r="S597" s="2">
        <v>1.1000000000000001</v>
      </c>
      <c r="T597" s="2">
        <f t="shared" si="69"/>
        <v>-6.5999999999999943</v>
      </c>
    </row>
    <row r="598" spans="1:20">
      <c r="A598" s="6">
        <v>183</v>
      </c>
      <c r="B598" t="s">
        <v>43</v>
      </c>
      <c r="C598" t="s">
        <v>11</v>
      </c>
      <c r="D598">
        <v>45</v>
      </c>
      <c r="E598">
        <v>37</v>
      </c>
      <c r="F598" s="1">
        <f t="shared" si="63"/>
        <v>0.54878048780487809</v>
      </c>
      <c r="G598" s="2">
        <v>105.4</v>
      </c>
      <c r="H598" s="2">
        <v>103.7</v>
      </c>
      <c r="I598" s="2">
        <f t="shared" si="64"/>
        <v>1.7000000000000028</v>
      </c>
      <c r="J598" s="1">
        <f t="shared" si="65"/>
        <v>0.55666731029444283</v>
      </c>
      <c r="K598" s="2">
        <v>106.7</v>
      </c>
      <c r="L598" s="2">
        <v>105.1</v>
      </c>
      <c r="M598" s="2">
        <f t="shared" si="66"/>
        <v>1.6000000000000085</v>
      </c>
      <c r="N598" s="1">
        <f t="shared" si="67"/>
        <v>-7.8868224895647376E-3</v>
      </c>
      <c r="O598" s="2">
        <v>95.3</v>
      </c>
      <c r="P598" s="2">
        <v>100.3</v>
      </c>
      <c r="Q598" s="2">
        <f t="shared" si="68"/>
        <v>-5</v>
      </c>
      <c r="R598" s="2">
        <v>-1.4</v>
      </c>
      <c r="S598" s="2">
        <v>-4.8</v>
      </c>
      <c r="T598" s="2">
        <f t="shared" si="69"/>
        <v>-6.6000000000000085</v>
      </c>
    </row>
    <row r="599" spans="1:20">
      <c r="A599" s="6">
        <v>116</v>
      </c>
      <c r="B599" t="s">
        <v>38</v>
      </c>
      <c r="C599" t="s">
        <v>33</v>
      </c>
      <c r="D599">
        <v>25</v>
      </c>
      <c r="E599">
        <v>57</v>
      </c>
      <c r="F599" s="1">
        <f t="shared" si="63"/>
        <v>0.3048780487804878</v>
      </c>
      <c r="G599" s="2">
        <v>91.8</v>
      </c>
      <c r="H599" s="2">
        <v>97.4</v>
      </c>
      <c r="I599" s="2">
        <f t="shared" si="64"/>
        <v>-5.6000000000000085</v>
      </c>
      <c r="J599" s="1">
        <f t="shared" si="65"/>
        <v>0.30385766011408771</v>
      </c>
      <c r="K599" s="2">
        <v>97.1</v>
      </c>
      <c r="L599" s="2">
        <v>102.9</v>
      </c>
      <c r="M599" s="2">
        <f t="shared" si="66"/>
        <v>-5.8000000000000114</v>
      </c>
      <c r="N599" s="1">
        <f t="shared" si="67"/>
        <v>1.020388666400085E-3</v>
      </c>
      <c r="O599" s="2">
        <v>96.3</v>
      </c>
      <c r="P599" s="2">
        <v>108.8</v>
      </c>
      <c r="Q599" s="2">
        <f t="shared" si="68"/>
        <v>-12.5</v>
      </c>
      <c r="R599" s="2">
        <v>-1.1000000000000001</v>
      </c>
      <c r="S599" s="2">
        <v>-4</v>
      </c>
      <c r="T599" s="2">
        <f t="shared" si="69"/>
        <v>-6.6999999999999886</v>
      </c>
    </row>
    <row r="600" spans="1:20">
      <c r="A600" s="6">
        <v>145</v>
      </c>
      <c r="B600" t="s">
        <v>39</v>
      </c>
      <c r="C600" t="s">
        <v>31</v>
      </c>
      <c r="D600">
        <v>26</v>
      </c>
      <c r="E600">
        <v>56</v>
      </c>
      <c r="F600" s="1">
        <f t="shared" si="63"/>
        <v>0.31707317073170732</v>
      </c>
      <c r="G600" s="2">
        <v>93</v>
      </c>
      <c r="H600" s="2">
        <v>97.3</v>
      </c>
      <c r="I600" s="2">
        <f t="shared" si="64"/>
        <v>-4.2999999999999972</v>
      </c>
      <c r="J600" s="1">
        <f t="shared" si="65"/>
        <v>0.34687751612401035</v>
      </c>
      <c r="K600" s="2">
        <v>102.9</v>
      </c>
      <c r="L600" s="2">
        <v>107.3</v>
      </c>
      <c r="M600" s="2">
        <f t="shared" si="66"/>
        <v>-4.3999999999999915</v>
      </c>
      <c r="N600" s="1">
        <f t="shared" si="67"/>
        <v>-2.9804345392303033E-2</v>
      </c>
      <c r="O600" s="2">
        <v>98.8</v>
      </c>
      <c r="P600" s="2">
        <v>109.9</v>
      </c>
      <c r="Q600" s="2">
        <f t="shared" si="68"/>
        <v>-11.100000000000009</v>
      </c>
      <c r="R600" s="2">
        <v>-1.2</v>
      </c>
      <c r="S600" s="2">
        <v>-8.3000000000000007</v>
      </c>
      <c r="T600" s="2">
        <f t="shared" si="69"/>
        <v>-6.7000000000000171</v>
      </c>
    </row>
    <row r="601" spans="1:20">
      <c r="A601" s="6">
        <v>176</v>
      </c>
      <c r="B601" t="s">
        <v>41</v>
      </c>
      <c r="C601" t="s">
        <v>33</v>
      </c>
      <c r="D601">
        <v>42</v>
      </c>
      <c r="E601">
        <v>40</v>
      </c>
      <c r="F601" s="1">
        <f t="shared" si="63"/>
        <v>0.51219512195121952</v>
      </c>
      <c r="G601" s="2">
        <v>101.7</v>
      </c>
      <c r="H601" s="2">
        <v>99.8</v>
      </c>
      <c r="I601" s="2">
        <f t="shared" si="64"/>
        <v>1.9000000000000057</v>
      </c>
      <c r="J601" s="1">
        <f t="shared" si="65"/>
        <v>0.56562612482912078</v>
      </c>
      <c r="K601" s="2">
        <v>107.7</v>
      </c>
      <c r="L601" s="2">
        <v>105.8</v>
      </c>
      <c r="M601" s="2">
        <f t="shared" si="66"/>
        <v>1.9000000000000057</v>
      </c>
      <c r="N601" s="1">
        <f t="shared" si="67"/>
        <v>-5.3431002877901257E-2</v>
      </c>
      <c r="O601" s="2">
        <v>101</v>
      </c>
      <c r="P601" s="2">
        <v>105.9</v>
      </c>
      <c r="Q601" s="2">
        <f t="shared" si="68"/>
        <v>-4.9000000000000057</v>
      </c>
      <c r="R601" s="2">
        <v>-0.5</v>
      </c>
      <c r="S601" s="2">
        <v>-0.9</v>
      </c>
      <c r="T601" s="2">
        <f t="shared" si="69"/>
        <v>-6.8000000000000114</v>
      </c>
    </row>
    <row r="602" spans="1:20">
      <c r="A602" s="6">
        <v>612</v>
      </c>
      <c r="B602" t="s">
        <v>61</v>
      </c>
      <c r="C602" t="s">
        <v>18</v>
      </c>
      <c r="D602">
        <v>40</v>
      </c>
      <c r="E602">
        <v>32</v>
      </c>
      <c r="F602" s="1">
        <f t="shared" si="63"/>
        <v>0.55555555555555558</v>
      </c>
      <c r="G602" s="2">
        <v>108.1</v>
      </c>
      <c r="H602" s="2">
        <v>108</v>
      </c>
      <c r="I602" s="2">
        <f t="shared" si="64"/>
        <v>9.9999999999994316E-2</v>
      </c>
      <c r="J602" s="1">
        <f t="shared" si="65"/>
        <v>0.50323919600627853</v>
      </c>
      <c r="K602" s="2">
        <v>110.6</v>
      </c>
      <c r="L602" s="2">
        <v>110.7</v>
      </c>
      <c r="M602" s="2">
        <f t="shared" si="66"/>
        <v>-0.10000000000000853</v>
      </c>
      <c r="N602" s="1">
        <f t="shared" si="67"/>
        <v>5.2316359549277047E-2</v>
      </c>
      <c r="O602" s="2">
        <v>95.1</v>
      </c>
      <c r="P602" s="2">
        <v>102.1</v>
      </c>
      <c r="Q602" s="2">
        <f t="shared" si="68"/>
        <v>-7</v>
      </c>
      <c r="R602" s="2">
        <v>-1.1000000000000001</v>
      </c>
      <c r="S602" s="2">
        <v>-4.2</v>
      </c>
      <c r="T602" s="2">
        <f t="shared" si="69"/>
        <v>-6.8999999999999915</v>
      </c>
    </row>
    <row r="603" spans="1:20">
      <c r="A603" s="6">
        <v>762</v>
      </c>
      <c r="B603" t="s">
        <v>66</v>
      </c>
      <c r="C603" t="s">
        <v>18</v>
      </c>
      <c r="D603">
        <v>35</v>
      </c>
      <c r="E603">
        <v>29</v>
      </c>
      <c r="F603" s="1">
        <f t="shared" si="63"/>
        <v>0.546875</v>
      </c>
      <c r="G603" s="2">
        <v>120.1</v>
      </c>
      <c r="H603" s="2">
        <v>116.6</v>
      </c>
      <c r="I603" s="2">
        <f t="shared" si="64"/>
        <v>3.5</v>
      </c>
      <c r="J603" s="1">
        <f t="shared" si="65"/>
        <v>0.60206012084803828</v>
      </c>
      <c r="K603" s="2">
        <v>114.7</v>
      </c>
      <c r="L603" s="2">
        <v>111.5</v>
      </c>
      <c r="M603" s="2">
        <f t="shared" si="66"/>
        <v>3.2000000000000028</v>
      </c>
      <c r="N603" s="1">
        <f t="shared" si="67"/>
        <v>-5.5185120848038283E-2</v>
      </c>
      <c r="O603" s="2">
        <v>109.9</v>
      </c>
      <c r="P603" s="2">
        <v>113.6</v>
      </c>
      <c r="Q603" s="2">
        <f t="shared" si="68"/>
        <v>-3.6999999999999886</v>
      </c>
      <c r="R603" s="2">
        <v>0.9</v>
      </c>
      <c r="S603" s="2">
        <v>3.2</v>
      </c>
      <c r="T603" s="2">
        <f t="shared" si="69"/>
        <v>-6.8999999999999915</v>
      </c>
    </row>
    <row r="604" spans="1:20">
      <c r="A604" s="6">
        <v>3</v>
      </c>
      <c r="B604" t="s">
        <v>4</v>
      </c>
      <c r="C604" t="s">
        <v>7</v>
      </c>
      <c r="D604">
        <v>46</v>
      </c>
      <c r="E604">
        <v>36</v>
      </c>
      <c r="F604" s="1">
        <f t="shared" si="63"/>
        <v>0.56097560975609762</v>
      </c>
      <c r="G604" s="2">
        <v>91.9</v>
      </c>
      <c r="H604" s="2">
        <v>89.8</v>
      </c>
      <c r="I604" s="2">
        <f t="shared" si="64"/>
        <v>2.1000000000000085</v>
      </c>
      <c r="J604" s="1">
        <f t="shared" si="65"/>
        <v>0.58020737825185043</v>
      </c>
      <c r="K604" s="2">
        <v>99.7</v>
      </c>
      <c r="L604" s="2">
        <v>97.6</v>
      </c>
      <c r="M604" s="2">
        <f t="shared" si="66"/>
        <v>2.1000000000000085</v>
      </c>
      <c r="N604" s="1">
        <f t="shared" si="67"/>
        <v>-1.923176849575281E-2</v>
      </c>
      <c r="O604" s="2">
        <v>91.6</v>
      </c>
      <c r="P604" s="2">
        <v>96.4</v>
      </c>
      <c r="Q604" s="2">
        <f t="shared" si="68"/>
        <v>-4.8000000000000114</v>
      </c>
      <c r="R604" s="2">
        <v>-0.2</v>
      </c>
      <c r="S604" s="2">
        <v>1.2</v>
      </c>
      <c r="T604" s="2">
        <f t="shared" si="69"/>
        <v>-6.9000000000000199</v>
      </c>
    </row>
    <row r="605" spans="1:20">
      <c r="A605" s="6">
        <v>202</v>
      </c>
      <c r="B605" t="s">
        <v>43</v>
      </c>
      <c r="C605" t="s">
        <v>28</v>
      </c>
      <c r="D605">
        <v>58</v>
      </c>
      <c r="E605">
        <v>24</v>
      </c>
      <c r="F605" s="1">
        <f t="shared" si="63"/>
        <v>0.70731707317073167</v>
      </c>
      <c r="G605" s="2">
        <v>98.5</v>
      </c>
      <c r="H605" s="2">
        <v>90.1</v>
      </c>
      <c r="I605" s="2">
        <f t="shared" si="64"/>
        <v>8.4000000000000057</v>
      </c>
      <c r="J605" s="1">
        <f t="shared" si="65"/>
        <v>0.77693775330182646</v>
      </c>
      <c r="K605" s="2">
        <v>108.6</v>
      </c>
      <c r="L605" s="2">
        <v>99.4</v>
      </c>
      <c r="M605" s="2">
        <f t="shared" si="66"/>
        <v>9.1999999999999886</v>
      </c>
      <c r="N605" s="1">
        <f t="shared" si="67"/>
        <v>-6.9620680131094792E-2</v>
      </c>
      <c r="O605" s="2">
        <v>102.2</v>
      </c>
      <c r="P605" s="2">
        <v>100</v>
      </c>
      <c r="Q605" s="2">
        <f t="shared" si="68"/>
        <v>2.2000000000000028</v>
      </c>
      <c r="R605" s="2">
        <v>1.1000000000000001</v>
      </c>
      <c r="S605" s="2">
        <v>5.9</v>
      </c>
      <c r="T605" s="2">
        <f t="shared" si="69"/>
        <v>-6.9999999999999858</v>
      </c>
    </row>
    <row r="606" spans="1:20">
      <c r="A606" s="6">
        <v>502</v>
      </c>
      <c r="B606" t="s">
        <v>57</v>
      </c>
      <c r="C606" t="s">
        <v>27</v>
      </c>
      <c r="D606">
        <v>32</v>
      </c>
      <c r="E606">
        <v>50</v>
      </c>
      <c r="F606" s="1">
        <f t="shared" si="63"/>
        <v>0.3902439024390244</v>
      </c>
      <c r="G606" s="2">
        <v>102.8</v>
      </c>
      <c r="H606" s="2">
        <v>106.7</v>
      </c>
      <c r="I606" s="2">
        <f t="shared" si="64"/>
        <v>-3.9000000000000057</v>
      </c>
      <c r="J606" s="1">
        <f t="shared" si="65"/>
        <v>0.37254800267996896</v>
      </c>
      <c r="K606" s="2">
        <v>106.6</v>
      </c>
      <c r="L606" s="2">
        <v>110.8</v>
      </c>
      <c r="M606" s="2">
        <f t="shared" si="66"/>
        <v>-4.2000000000000028</v>
      </c>
      <c r="N606" s="1">
        <f t="shared" si="67"/>
        <v>1.7695899759055445E-2</v>
      </c>
      <c r="O606" s="2">
        <v>97.7</v>
      </c>
      <c r="P606" s="2">
        <v>108.9</v>
      </c>
      <c r="Q606" s="2">
        <f t="shared" si="68"/>
        <v>-11.200000000000003</v>
      </c>
      <c r="R606" s="2">
        <v>0.4</v>
      </c>
      <c r="S606" s="2">
        <v>0.8</v>
      </c>
      <c r="T606" s="2">
        <f t="shared" si="69"/>
        <v>-7</v>
      </c>
    </row>
    <row r="607" spans="1:20">
      <c r="A607" s="6">
        <v>584</v>
      </c>
      <c r="B607" t="s">
        <v>60</v>
      </c>
      <c r="C607" t="s">
        <v>20</v>
      </c>
      <c r="D607">
        <v>19</v>
      </c>
      <c r="E607">
        <v>45</v>
      </c>
      <c r="F607" s="1">
        <f t="shared" si="63"/>
        <v>0.296875</v>
      </c>
      <c r="G607" s="2">
        <v>113.2</v>
      </c>
      <c r="H607" s="2">
        <v>117.5</v>
      </c>
      <c r="I607" s="2">
        <f t="shared" si="64"/>
        <v>-4.2999999999999972</v>
      </c>
      <c r="J607" s="1">
        <f t="shared" si="65"/>
        <v>0.37239628997448704</v>
      </c>
      <c r="K607" s="2">
        <v>107.6</v>
      </c>
      <c r="L607" s="2">
        <v>111.6</v>
      </c>
      <c r="M607" s="2">
        <f t="shared" si="66"/>
        <v>-4</v>
      </c>
      <c r="N607" s="1">
        <f t="shared" si="67"/>
        <v>-7.5521289974487038E-2</v>
      </c>
      <c r="O607" s="2">
        <v>105.6</v>
      </c>
      <c r="P607" s="2">
        <v>116.6</v>
      </c>
      <c r="Q607" s="2">
        <f t="shared" si="68"/>
        <v>-11</v>
      </c>
      <c r="R607" s="2">
        <v>-0.4</v>
      </c>
      <c r="S607" s="2">
        <v>-2.2000000000000002</v>
      </c>
      <c r="T607" s="2">
        <f t="shared" si="69"/>
        <v>-7</v>
      </c>
    </row>
    <row r="608" spans="1:20">
      <c r="A608" s="6">
        <v>601</v>
      </c>
      <c r="B608" t="s">
        <v>61</v>
      </c>
      <c r="C608" t="s">
        <v>8</v>
      </c>
      <c r="D608">
        <v>31</v>
      </c>
      <c r="E608">
        <v>41</v>
      </c>
      <c r="F608" s="1">
        <f t="shared" si="63"/>
        <v>0.43055555555555558</v>
      </c>
      <c r="G608" s="2">
        <v>110.7</v>
      </c>
      <c r="H608" s="2">
        <v>111.6</v>
      </c>
      <c r="I608" s="2">
        <f t="shared" si="64"/>
        <v>-0.89999999999999147</v>
      </c>
      <c r="J608" s="1">
        <f t="shared" si="65"/>
        <v>0.47169007456598405</v>
      </c>
      <c r="K608" s="2">
        <v>110.4</v>
      </c>
      <c r="L608" s="2">
        <v>111.5</v>
      </c>
      <c r="M608" s="2">
        <f t="shared" si="66"/>
        <v>-1.0999999999999943</v>
      </c>
      <c r="N608" s="1">
        <f t="shared" si="67"/>
        <v>-4.1134519010428472E-2</v>
      </c>
      <c r="O608" s="2">
        <v>107.1</v>
      </c>
      <c r="P608" s="2">
        <v>115.2</v>
      </c>
      <c r="Q608" s="2">
        <f t="shared" si="68"/>
        <v>-8.1000000000000085</v>
      </c>
      <c r="R608" s="2">
        <v>-1.1000000000000001</v>
      </c>
      <c r="S608" s="2">
        <v>-5.2</v>
      </c>
      <c r="T608" s="2">
        <f t="shared" si="69"/>
        <v>-7.0000000000000142</v>
      </c>
    </row>
    <row r="609" spans="1:20">
      <c r="A609" s="6">
        <v>430</v>
      </c>
      <c r="B609" t="s">
        <v>54</v>
      </c>
      <c r="C609" t="s">
        <v>17</v>
      </c>
      <c r="D609">
        <v>21</v>
      </c>
      <c r="E609">
        <v>61</v>
      </c>
      <c r="F609" s="1">
        <f t="shared" si="63"/>
        <v>0.25609756097560976</v>
      </c>
      <c r="G609" s="2">
        <v>98.5</v>
      </c>
      <c r="H609" s="2">
        <v>105.3</v>
      </c>
      <c r="I609" s="2">
        <f t="shared" si="64"/>
        <v>-6.7999999999999972</v>
      </c>
      <c r="J609" s="1">
        <f t="shared" si="65"/>
        <v>0.28199317754915287</v>
      </c>
      <c r="K609" s="2">
        <v>102.3</v>
      </c>
      <c r="L609" s="2">
        <v>109.4</v>
      </c>
      <c r="M609" s="2">
        <f t="shared" si="66"/>
        <v>-7.1000000000000085</v>
      </c>
      <c r="N609" s="1">
        <f t="shared" si="67"/>
        <v>-2.5895616573543112E-2</v>
      </c>
      <c r="O609" s="2">
        <v>95.5</v>
      </c>
      <c r="P609" s="2">
        <v>109.8</v>
      </c>
      <c r="Q609" s="2">
        <f t="shared" si="68"/>
        <v>-14.299999999999997</v>
      </c>
      <c r="R609" s="2">
        <v>-0.5</v>
      </c>
      <c r="S609" s="2">
        <v>-4.7</v>
      </c>
      <c r="T609" s="2">
        <f t="shared" si="69"/>
        <v>-7.1999999999999886</v>
      </c>
    </row>
    <row r="610" spans="1:20">
      <c r="A610" s="6">
        <v>137</v>
      </c>
      <c r="B610" t="s">
        <v>39</v>
      </c>
      <c r="C610" t="s">
        <v>23</v>
      </c>
      <c r="D610">
        <v>36</v>
      </c>
      <c r="E610">
        <v>46</v>
      </c>
      <c r="F610" s="1">
        <f t="shared" si="63"/>
        <v>0.43902439024390244</v>
      </c>
      <c r="G610" s="2">
        <v>99.5</v>
      </c>
      <c r="H610" s="2">
        <v>101.8</v>
      </c>
      <c r="I610" s="2">
        <f t="shared" si="64"/>
        <v>-2.2999999999999972</v>
      </c>
      <c r="J610" s="1">
        <f t="shared" si="65"/>
        <v>0.42069172557292256</v>
      </c>
      <c r="K610" s="2">
        <v>103.4</v>
      </c>
      <c r="L610" s="2">
        <v>105.7</v>
      </c>
      <c r="M610" s="2">
        <f t="shared" si="66"/>
        <v>-2.2999999999999972</v>
      </c>
      <c r="N610" s="1">
        <f t="shared" si="67"/>
        <v>1.8332664670979881E-2</v>
      </c>
      <c r="O610" s="2">
        <v>97.2</v>
      </c>
      <c r="P610" s="2">
        <v>106.7</v>
      </c>
      <c r="Q610" s="2">
        <f t="shared" si="68"/>
        <v>-9.5</v>
      </c>
      <c r="R610" s="2">
        <v>-0.4</v>
      </c>
      <c r="S610" s="2">
        <v>-1.4</v>
      </c>
      <c r="T610" s="2">
        <f t="shared" si="69"/>
        <v>-7.2000000000000028</v>
      </c>
    </row>
    <row r="611" spans="1:20">
      <c r="A611" s="6">
        <v>307</v>
      </c>
      <c r="B611" t="s">
        <v>48</v>
      </c>
      <c r="C611" t="s">
        <v>15</v>
      </c>
      <c r="D611">
        <v>37</v>
      </c>
      <c r="E611">
        <v>45</v>
      </c>
      <c r="F611" s="1">
        <f t="shared" si="63"/>
        <v>0.45121951219512196</v>
      </c>
      <c r="G611" s="2">
        <v>99.8</v>
      </c>
      <c r="H611" s="2">
        <v>100.9</v>
      </c>
      <c r="I611" s="2">
        <f t="shared" si="64"/>
        <v>-1.1000000000000085</v>
      </c>
      <c r="J611" s="1">
        <f t="shared" si="65"/>
        <v>0.4617090166605291</v>
      </c>
      <c r="K611" s="2">
        <v>104.1</v>
      </c>
      <c r="L611" s="2">
        <v>105</v>
      </c>
      <c r="M611" s="2">
        <f t="shared" si="66"/>
        <v>-0.90000000000000568</v>
      </c>
      <c r="N611" s="1">
        <f t="shared" si="67"/>
        <v>-1.048950446540714E-2</v>
      </c>
      <c r="O611" s="2">
        <v>96.3</v>
      </c>
      <c r="P611" s="2">
        <v>104.4</v>
      </c>
      <c r="Q611" s="2">
        <f t="shared" si="68"/>
        <v>-8.1000000000000085</v>
      </c>
      <c r="R611" s="2">
        <v>-1.5</v>
      </c>
      <c r="S611" s="2">
        <v>-5.7</v>
      </c>
      <c r="T611" s="2">
        <f t="shared" si="69"/>
        <v>-7.2000000000000028</v>
      </c>
    </row>
    <row r="612" spans="1:20">
      <c r="A612" s="6">
        <v>534</v>
      </c>
      <c r="B612" t="s">
        <v>58</v>
      </c>
      <c r="C612" t="s">
        <v>30</v>
      </c>
      <c r="D612">
        <v>59</v>
      </c>
      <c r="E612">
        <v>23</v>
      </c>
      <c r="F612" s="1">
        <f t="shared" si="63"/>
        <v>0.71951219512195119</v>
      </c>
      <c r="G612" s="2">
        <v>111.7</v>
      </c>
      <c r="H612" s="2">
        <v>103.9</v>
      </c>
      <c r="I612" s="2">
        <f t="shared" si="64"/>
        <v>7.7999999999999972</v>
      </c>
      <c r="J612" s="1">
        <f t="shared" si="65"/>
        <v>0.73369073451534572</v>
      </c>
      <c r="K612" s="2">
        <v>113</v>
      </c>
      <c r="L612" s="2">
        <v>105.3</v>
      </c>
      <c r="M612" s="2">
        <f t="shared" si="66"/>
        <v>7.7000000000000028</v>
      </c>
      <c r="N612" s="1">
        <f t="shared" si="67"/>
        <v>-1.4178539393394529E-2</v>
      </c>
      <c r="O612" s="2">
        <v>103.1</v>
      </c>
      <c r="P612" s="2">
        <v>102.6</v>
      </c>
      <c r="Q612" s="2">
        <f t="shared" si="68"/>
        <v>0.5</v>
      </c>
      <c r="R612" s="2">
        <v>1.9</v>
      </c>
      <c r="S612" s="2">
        <v>8.1</v>
      </c>
      <c r="T612" s="2">
        <f t="shared" si="69"/>
        <v>-7.2000000000000028</v>
      </c>
    </row>
    <row r="613" spans="1:20">
      <c r="A613" s="6">
        <v>406</v>
      </c>
      <c r="B613" t="s">
        <v>52</v>
      </c>
      <c r="C613" t="s">
        <v>22</v>
      </c>
      <c r="D613">
        <v>37</v>
      </c>
      <c r="E613">
        <v>45</v>
      </c>
      <c r="F613" s="1">
        <f t="shared" si="63"/>
        <v>0.45121951219512196</v>
      </c>
      <c r="G613" s="2">
        <v>98.6</v>
      </c>
      <c r="H613" s="2">
        <v>99.4</v>
      </c>
      <c r="I613" s="2">
        <f t="shared" si="64"/>
        <v>-0.80000000000001137</v>
      </c>
      <c r="J613" s="1">
        <f t="shared" si="65"/>
        <v>0.47174714501702425</v>
      </c>
      <c r="K613" s="2">
        <v>107</v>
      </c>
      <c r="L613" s="2">
        <v>108.1</v>
      </c>
      <c r="M613" s="2">
        <f t="shared" si="66"/>
        <v>-1.0999999999999943</v>
      </c>
      <c r="N613" s="1">
        <f t="shared" si="67"/>
        <v>-2.0527632821902286E-2</v>
      </c>
      <c r="O613" s="2">
        <v>92.3</v>
      </c>
      <c r="P613" s="2">
        <v>100.6</v>
      </c>
      <c r="Q613" s="2">
        <f t="shared" si="68"/>
        <v>-8.2999999999999972</v>
      </c>
      <c r="R613" s="2">
        <v>-1.2</v>
      </c>
      <c r="S613" s="2">
        <v>-6</v>
      </c>
      <c r="T613" s="2">
        <f t="shared" si="69"/>
        <v>-7.2000000000000028</v>
      </c>
    </row>
    <row r="614" spans="1:20">
      <c r="A614" s="6">
        <v>369</v>
      </c>
      <c r="B614" t="s">
        <v>50</v>
      </c>
      <c r="C614" t="s">
        <v>16</v>
      </c>
      <c r="D614">
        <v>56</v>
      </c>
      <c r="E614">
        <v>26</v>
      </c>
      <c r="F614" s="1">
        <f t="shared" si="63"/>
        <v>0.68292682926829273</v>
      </c>
      <c r="G614" s="2">
        <v>101.1</v>
      </c>
      <c r="H614" s="2">
        <v>94.6</v>
      </c>
      <c r="I614" s="2">
        <f t="shared" si="64"/>
        <v>6.5</v>
      </c>
      <c r="J614" s="1">
        <f t="shared" si="65"/>
        <v>0.71714367068078333</v>
      </c>
      <c r="K614" s="2">
        <v>109.8</v>
      </c>
      <c r="L614" s="2">
        <v>102.8</v>
      </c>
      <c r="M614" s="2">
        <f t="shared" si="66"/>
        <v>7</v>
      </c>
      <c r="N614" s="1">
        <f t="shared" si="67"/>
        <v>-3.4216841412490595E-2</v>
      </c>
      <c r="O614" s="2">
        <v>114.7</v>
      </c>
      <c r="P614" s="2">
        <v>114.9</v>
      </c>
      <c r="Q614" s="2">
        <f t="shared" si="68"/>
        <v>-0.20000000000000284</v>
      </c>
      <c r="R614" s="2">
        <v>2.2000000000000002</v>
      </c>
      <c r="S614" s="2">
        <v>9</v>
      </c>
      <c r="T614" s="2">
        <f t="shared" si="69"/>
        <v>-7.2000000000000028</v>
      </c>
    </row>
    <row r="615" spans="1:20">
      <c r="A615" s="6">
        <v>17</v>
      </c>
      <c r="B615" t="s">
        <v>4</v>
      </c>
      <c r="C615" t="s">
        <v>21</v>
      </c>
      <c r="D615">
        <v>26</v>
      </c>
      <c r="E615">
        <v>56</v>
      </c>
      <c r="F615" s="1">
        <f t="shared" si="63"/>
        <v>0.31707317073170732</v>
      </c>
      <c r="G615" s="2">
        <v>92.1</v>
      </c>
      <c r="H615" s="2">
        <v>97.1</v>
      </c>
      <c r="I615" s="2">
        <f t="shared" si="64"/>
        <v>-5</v>
      </c>
      <c r="J615" s="1">
        <f t="shared" si="65"/>
        <v>0.32297570638885176</v>
      </c>
      <c r="K615" s="2">
        <v>98.4</v>
      </c>
      <c r="L615" s="2">
        <v>103.8</v>
      </c>
      <c r="M615" s="2">
        <f t="shared" si="66"/>
        <v>-5.3999999999999915</v>
      </c>
      <c r="N615" s="1">
        <f t="shared" si="67"/>
        <v>-5.9025356571444365E-3</v>
      </c>
      <c r="O615" s="2">
        <v>93.1</v>
      </c>
      <c r="P615" s="2">
        <v>105.7</v>
      </c>
      <c r="Q615" s="2">
        <f t="shared" si="68"/>
        <v>-12.600000000000009</v>
      </c>
      <c r="R615" s="2">
        <v>-1.8</v>
      </c>
      <c r="S615" s="2">
        <v>-9.4</v>
      </c>
      <c r="T615" s="2">
        <f t="shared" si="69"/>
        <v>-7.2000000000000171</v>
      </c>
    </row>
    <row r="616" spans="1:20">
      <c r="A616" s="6">
        <v>543</v>
      </c>
      <c r="B616" t="s">
        <v>59</v>
      </c>
      <c r="C616" t="s">
        <v>10</v>
      </c>
      <c r="D616">
        <v>33</v>
      </c>
      <c r="E616">
        <v>49</v>
      </c>
      <c r="F616" s="1">
        <f t="shared" si="63"/>
        <v>0.40243902439024393</v>
      </c>
      <c r="G616" s="2">
        <v>108.9</v>
      </c>
      <c r="H616" s="2">
        <v>110.1</v>
      </c>
      <c r="I616" s="2">
        <f t="shared" si="64"/>
        <v>-1.1999999999999886</v>
      </c>
      <c r="J616" s="1">
        <f t="shared" si="65"/>
        <v>0.46171851651459928</v>
      </c>
      <c r="K616" s="2">
        <v>108.7</v>
      </c>
      <c r="L616" s="2">
        <v>110.1</v>
      </c>
      <c r="M616" s="2">
        <f t="shared" si="66"/>
        <v>-1.3999999999999915</v>
      </c>
      <c r="N616" s="1">
        <f t="shared" si="67"/>
        <v>-5.9279492124355349E-2</v>
      </c>
      <c r="O616" s="2">
        <v>100.3</v>
      </c>
      <c r="P616" s="2">
        <v>108.9</v>
      </c>
      <c r="Q616" s="2">
        <f t="shared" si="68"/>
        <v>-8.6000000000000085</v>
      </c>
      <c r="R616" s="2">
        <v>0.4</v>
      </c>
      <c r="S616" s="2">
        <v>1.1000000000000001</v>
      </c>
      <c r="T616" s="2">
        <f t="shared" si="69"/>
        <v>-7.2000000000000171</v>
      </c>
    </row>
    <row r="617" spans="1:20">
      <c r="A617" s="6">
        <v>692</v>
      </c>
      <c r="B617" t="s">
        <v>64</v>
      </c>
      <c r="C617" t="s">
        <v>9</v>
      </c>
      <c r="D617">
        <v>48</v>
      </c>
      <c r="E617">
        <v>34</v>
      </c>
      <c r="F617" s="1">
        <f t="shared" si="63"/>
        <v>0.58536585365853655</v>
      </c>
      <c r="G617" s="2">
        <v>112.6</v>
      </c>
      <c r="H617" s="2">
        <v>110.2</v>
      </c>
      <c r="I617" s="2">
        <f t="shared" si="64"/>
        <v>2.3999999999999915</v>
      </c>
      <c r="J617" s="1">
        <f t="shared" si="65"/>
        <v>0.57484031607485653</v>
      </c>
      <c r="K617" s="2">
        <v>114.7</v>
      </c>
      <c r="L617" s="2">
        <v>112.1</v>
      </c>
      <c r="M617" s="2">
        <f t="shared" si="66"/>
        <v>2.6000000000000085</v>
      </c>
      <c r="N617" s="1">
        <f t="shared" si="67"/>
        <v>1.0525537583680022E-2</v>
      </c>
      <c r="O617" s="2">
        <v>106.4</v>
      </c>
      <c r="P617" s="2">
        <v>111.1</v>
      </c>
      <c r="Q617" s="2">
        <f t="shared" si="68"/>
        <v>-4.6999999999999886</v>
      </c>
      <c r="R617" s="2">
        <v>0.3</v>
      </c>
      <c r="S617" s="2">
        <v>0.4</v>
      </c>
      <c r="T617" s="2">
        <f t="shared" si="69"/>
        <v>-7.2999999999999972</v>
      </c>
    </row>
    <row r="618" spans="1:20">
      <c r="A618" s="6">
        <v>444</v>
      </c>
      <c r="B618" t="s">
        <v>54</v>
      </c>
      <c r="C618" t="s">
        <v>30</v>
      </c>
      <c r="D618">
        <v>49</v>
      </c>
      <c r="E618">
        <v>33</v>
      </c>
      <c r="F618" s="1">
        <f t="shared" si="63"/>
        <v>0.59756097560975607</v>
      </c>
      <c r="G618" s="2">
        <v>104</v>
      </c>
      <c r="H618" s="2">
        <v>100.9</v>
      </c>
      <c r="I618" s="2">
        <f t="shared" si="64"/>
        <v>3.0999999999999943</v>
      </c>
      <c r="J618" s="1">
        <f t="shared" si="65"/>
        <v>0.60435719403948929</v>
      </c>
      <c r="K618" s="2">
        <v>110.2</v>
      </c>
      <c r="L618" s="2">
        <v>107.1</v>
      </c>
      <c r="M618" s="2">
        <f t="shared" si="66"/>
        <v>3.1000000000000085</v>
      </c>
      <c r="N618" s="1">
        <f t="shared" si="67"/>
        <v>-6.796218429733214E-3</v>
      </c>
      <c r="O618" s="2">
        <v>104.4</v>
      </c>
      <c r="P618" s="2">
        <v>108.7</v>
      </c>
      <c r="Q618" s="2">
        <f t="shared" si="68"/>
        <v>-4.2999999999999972</v>
      </c>
      <c r="R618" s="2">
        <v>0.3</v>
      </c>
      <c r="S618" s="2">
        <v>1.9</v>
      </c>
      <c r="T618" s="2">
        <f t="shared" si="69"/>
        <v>-7.4000000000000057</v>
      </c>
    </row>
    <row r="619" spans="1:20">
      <c r="A619" s="6">
        <v>686</v>
      </c>
      <c r="B619" t="s">
        <v>63</v>
      </c>
      <c r="C619" t="s">
        <v>33</v>
      </c>
      <c r="D619">
        <v>35</v>
      </c>
      <c r="E619">
        <v>47</v>
      </c>
      <c r="F619" s="1">
        <f t="shared" si="63"/>
        <v>0.42682926829268292</v>
      </c>
      <c r="G619" s="2">
        <v>113.2</v>
      </c>
      <c r="H619" s="2">
        <v>114.4</v>
      </c>
      <c r="I619" s="2">
        <f t="shared" si="64"/>
        <v>-1.2000000000000028</v>
      </c>
      <c r="J619" s="1">
        <f t="shared" si="65"/>
        <v>0.46315968852837397</v>
      </c>
      <c r="K619" s="2">
        <v>113.7</v>
      </c>
      <c r="L619" s="2">
        <v>114.9</v>
      </c>
      <c r="M619" s="2">
        <f t="shared" si="66"/>
        <v>-1.2000000000000028</v>
      </c>
      <c r="N619" s="1">
        <f t="shared" si="67"/>
        <v>-3.6330420235691052E-2</v>
      </c>
      <c r="O619" s="2">
        <v>101.4</v>
      </c>
      <c r="P619" s="2">
        <v>110.3</v>
      </c>
      <c r="Q619" s="2">
        <f t="shared" si="68"/>
        <v>-8.8999999999999915</v>
      </c>
      <c r="R619" s="2">
        <v>0</v>
      </c>
      <c r="S619" s="2">
        <v>-0.6</v>
      </c>
      <c r="T619" s="2">
        <f t="shared" si="69"/>
        <v>-7.6999999999999886</v>
      </c>
    </row>
    <row r="620" spans="1:20">
      <c r="A620" s="6">
        <v>419</v>
      </c>
      <c r="B620" t="s">
        <v>54</v>
      </c>
      <c r="C620" t="s">
        <v>51</v>
      </c>
      <c r="D620">
        <v>38</v>
      </c>
      <c r="E620">
        <v>44</v>
      </c>
      <c r="F620" s="1">
        <f t="shared" si="63"/>
        <v>0.46341463414634149</v>
      </c>
      <c r="G620" s="2">
        <v>98</v>
      </c>
      <c r="H620" s="2">
        <v>100.9</v>
      </c>
      <c r="I620" s="2">
        <f t="shared" si="64"/>
        <v>-2.9000000000000057</v>
      </c>
      <c r="J620" s="1">
        <f t="shared" si="65"/>
        <v>0.3993259881358221</v>
      </c>
      <c r="K620" s="2">
        <v>103.4</v>
      </c>
      <c r="L620" s="2">
        <v>106.3</v>
      </c>
      <c r="M620" s="2">
        <f t="shared" si="66"/>
        <v>-2.8999999999999915</v>
      </c>
      <c r="N620" s="1">
        <f t="shared" si="67"/>
        <v>6.408864601051939E-2</v>
      </c>
      <c r="O620" s="2">
        <v>91.9</v>
      </c>
      <c r="P620" s="2">
        <v>102.5</v>
      </c>
      <c r="Q620" s="2">
        <f t="shared" si="68"/>
        <v>-10.599999999999994</v>
      </c>
      <c r="R620" s="2">
        <v>-0.2</v>
      </c>
      <c r="S620" s="2">
        <v>-1</v>
      </c>
      <c r="T620" s="2">
        <f t="shared" si="69"/>
        <v>-7.7000000000000028</v>
      </c>
    </row>
    <row r="621" spans="1:20">
      <c r="A621" s="6">
        <v>588</v>
      </c>
      <c r="B621" t="s">
        <v>60</v>
      </c>
      <c r="C621" t="s">
        <v>23</v>
      </c>
      <c r="D621">
        <v>33</v>
      </c>
      <c r="E621">
        <v>40</v>
      </c>
      <c r="F621" s="1">
        <f t="shared" si="63"/>
        <v>0.45205479452054792</v>
      </c>
      <c r="G621" s="2">
        <v>107.3</v>
      </c>
      <c r="H621" s="2">
        <v>108.3</v>
      </c>
      <c r="I621" s="2">
        <f t="shared" si="64"/>
        <v>-1</v>
      </c>
      <c r="J621" s="1">
        <f t="shared" si="65"/>
        <v>0.46757779264200222</v>
      </c>
      <c r="K621" s="2">
        <v>107.9</v>
      </c>
      <c r="L621" s="2">
        <v>109.2</v>
      </c>
      <c r="M621" s="2">
        <f t="shared" si="66"/>
        <v>-1.2999999999999972</v>
      </c>
      <c r="N621" s="1">
        <f t="shared" si="67"/>
        <v>-1.5522998121454301E-2</v>
      </c>
      <c r="O621" s="2">
        <v>95.7</v>
      </c>
      <c r="P621" s="2">
        <v>104.7</v>
      </c>
      <c r="Q621" s="2">
        <f t="shared" si="68"/>
        <v>-9</v>
      </c>
      <c r="R621" s="2">
        <v>-0.9</v>
      </c>
      <c r="S621" s="2">
        <v>-1.2</v>
      </c>
      <c r="T621" s="2">
        <f t="shared" si="69"/>
        <v>-7.7000000000000028</v>
      </c>
    </row>
    <row r="622" spans="1:20">
      <c r="A622" s="6">
        <v>443</v>
      </c>
      <c r="B622" t="s">
        <v>54</v>
      </c>
      <c r="C622" t="s">
        <v>28</v>
      </c>
      <c r="D622">
        <v>55</v>
      </c>
      <c r="E622">
        <v>27</v>
      </c>
      <c r="F622" s="1">
        <f t="shared" si="63"/>
        <v>0.67073170731707321</v>
      </c>
      <c r="G622" s="2">
        <v>103.2</v>
      </c>
      <c r="H622" s="2">
        <v>97</v>
      </c>
      <c r="I622" s="2">
        <f t="shared" si="64"/>
        <v>6.2000000000000028</v>
      </c>
      <c r="J622" s="1">
        <f t="shared" si="65"/>
        <v>0.70420653798027644</v>
      </c>
      <c r="K622" s="2">
        <v>107.6</v>
      </c>
      <c r="L622" s="2">
        <v>101.4</v>
      </c>
      <c r="M622" s="2">
        <f t="shared" si="66"/>
        <v>6.1999999999999886</v>
      </c>
      <c r="N622" s="1">
        <f t="shared" si="67"/>
        <v>-3.3474830663203226E-2</v>
      </c>
      <c r="O622" s="2">
        <v>95.5</v>
      </c>
      <c r="P622" s="2">
        <v>97.1</v>
      </c>
      <c r="Q622" s="2">
        <f t="shared" si="68"/>
        <v>-1.5999999999999943</v>
      </c>
      <c r="R622" s="2">
        <v>0.9</v>
      </c>
      <c r="S622" s="2">
        <v>4.9000000000000004</v>
      </c>
      <c r="T622" s="2">
        <f t="shared" si="69"/>
        <v>-7.7999999999999829</v>
      </c>
    </row>
    <row r="623" spans="1:20">
      <c r="A623" s="6">
        <v>606</v>
      </c>
      <c r="B623" t="s">
        <v>61</v>
      </c>
      <c r="C623" t="s">
        <v>13</v>
      </c>
      <c r="D623">
        <v>39</v>
      </c>
      <c r="E623">
        <v>33</v>
      </c>
      <c r="F623" s="1">
        <f t="shared" si="63"/>
        <v>0.54166666666666663</v>
      </c>
      <c r="G623" s="2">
        <v>113.7</v>
      </c>
      <c r="H623" s="2">
        <v>112.7</v>
      </c>
      <c r="I623" s="2">
        <f t="shared" si="64"/>
        <v>1</v>
      </c>
      <c r="J623" s="1">
        <f t="shared" si="65"/>
        <v>0.53087957866492586</v>
      </c>
      <c r="K623" s="2">
        <v>110.5</v>
      </c>
      <c r="L623" s="2">
        <v>109.4</v>
      </c>
      <c r="M623" s="2">
        <f t="shared" si="66"/>
        <v>1.0999999999999943</v>
      </c>
      <c r="N623" s="1">
        <f t="shared" si="67"/>
        <v>1.0787088001740774E-2</v>
      </c>
      <c r="O623" s="2">
        <v>112.6</v>
      </c>
      <c r="P623" s="2">
        <v>119.3</v>
      </c>
      <c r="Q623" s="2">
        <f t="shared" si="68"/>
        <v>-6.7000000000000028</v>
      </c>
      <c r="R623" s="2">
        <v>0.2</v>
      </c>
      <c r="S623" s="2">
        <v>0.7</v>
      </c>
      <c r="T623" s="2">
        <f t="shared" si="69"/>
        <v>-7.7999999999999972</v>
      </c>
    </row>
    <row r="624" spans="1:20">
      <c r="A624" s="6">
        <v>194</v>
      </c>
      <c r="B624" t="s">
        <v>43</v>
      </c>
      <c r="C624" t="s">
        <v>21</v>
      </c>
      <c r="D624">
        <v>41</v>
      </c>
      <c r="E624">
        <v>41</v>
      </c>
      <c r="F624" s="1">
        <f t="shared" si="63"/>
        <v>0.5</v>
      </c>
      <c r="G624" s="2">
        <v>97.6</v>
      </c>
      <c r="H624" s="2">
        <v>98.3</v>
      </c>
      <c r="I624" s="2">
        <f t="shared" si="64"/>
        <v>-0.70000000000000284</v>
      </c>
      <c r="J624" s="1">
        <f t="shared" si="65"/>
        <v>0.47500797658493921</v>
      </c>
      <c r="K624" s="2">
        <v>104.2</v>
      </c>
      <c r="L624" s="2">
        <v>105.1</v>
      </c>
      <c r="M624" s="2">
        <f t="shared" si="66"/>
        <v>-0.89999999999999147</v>
      </c>
      <c r="N624" s="1">
        <f t="shared" si="67"/>
        <v>2.4992023415060793E-2</v>
      </c>
      <c r="O624" s="2">
        <v>101.7</v>
      </c>
      <c r="P624" s="2">
        <v>110.4</v>
      </c>
      <c r="Q624" s="2">
        <f t="shared" si="68"/>
        <v>-8.7000000000000028</v>
      </c>
      <c r="R624" s="2">
        <v>-0.6</v>
      </c>
      <c r="S624" s="2">
        <v>-1.7</v>
      </c>
      <c r="T624" s="2">
        <f t="shared" si="69"/>
        <v>-7.8000000000000114</v>
      </c>
    </row>
    <row r="625" spans="1:20">
      <c r="A625" s="6">
        <v>326</v>
      </c>
      <c r="B625" t="s">
        <v>48</v>
      </c>
      <c r="C625" t="s">
        <v>33</v>
      </c>
      <c r="D625">
        <v>23</v>
      </c>
      <c r="E625">
        <v>59</v>
      </c>
      <c r="F625" s="1">
        <f t="shared" si="63"/>
        <v>0.28048780487804881</v>
      </c>
      <c r="G625" s="2">
        <v>97.3</v>
      </c>
      <c r="H625" s="2">
        <v>104.7</v>
      </c>
      <c r="I625" s="2">
        <f t="shared" si="64"/>
        <v>-7.4000000000000057</v>
      </c>
      <c r="J625" s="1">
        <f t="shared" si="65"/>
        <v>0.26382112647972111</v>
      </c>
      <c r="K625" s="2">
        <v>101.3</v>
      </c>
      <c r="L625" s="2">
        <v>109.1</v>
      </c>
      <c r="M625" s="2">
        <f t="shared" si="66"/>
        <v>-7.7999999999999972</v>
      </c>
      <c r="N625" s="1">
        <f t="shared" si="67"/>
        <v>1.6666678398327694E-2</v>
      </c>
      <c r="O625" s="2">
        <v>98.1</v>
      </c>
      <c r="P625" s="2">
        <v>113.7</v>
      </c>
      <c r="Q625" s="2">
        <f t="shared" si="68"/>
        <v>-15.600000000000009</v>
      </c>
      <c r="R625" s="2">
        <v>-1</v>
      </c>
      <c r="S625" s="2">
        <v>-6.3</v>
      </c>
      <c r="T625" s="2">
        <f t="shared" si="69"/>
        <v>-7.8000000000000114</v>
      </c>
    </row>
    <row r="626" spans="1:20">
      <c r="A626" s="6">
        <v>98</v>
      </c>
      <c r="B626" t="s">
        <v>38</v>
      </c>
      <c r="C626" t="s">
        <v>16</v>
      </c>
      <c r="D626">
        <v>28</v>
      </c>
      <c r="E626">
        <v>54</v>
      </c>
      <c r="F626" s="1">
        <f t="shared" si="63"/>
        <v>0.34146341463414637</v>
      </c>
      <c r="G626" s="2">
        <v>94.8</v>
      </c>
      <c r="H626" s="2">
        <v>99.4</v>
      </c>
      <c r="I626" s="2">
        <f t="shared" si="64"/>
        <v>-4.6000000000000085</v>
      </c>
      <c r="J626" s="1">
        <f t="shared" si="65"/>
        <v>0.33998571838438196</v>
      </c>
      <c r="K626" s="2">
        <v>101.9</v>
      </c>
      <c r="L626" s="2">
        <v>106.6</v>
      </c>
      <c r="M626" s="2">
        <f t="shared" si="66"/>
        <v>-4.6999999999999886</v>
      </c>
      <c r="N626" s="1">
        <f t="shared" si="67"/>
        <v>1.4776962497644042E-3</v>
      </c>
      <c r="O626" s="2">
        <v>93</v>
      </c>
      <c r="P626" s="2">
        <v>105.5</v>
      </c>
      <c r="Q626" s="2">
        <f t="shared" si="68"/>
        <v>-12.5</v>
      </c>
      <c r="R626" s="2">
        <v>-1.3</v>
      </c>
      <c r="S626" s="2">
        <v>-6.1</v>
      </c>
      <c r="T626" s="2">
        <f t="shared" si="69"/>
        <v>-7.8000000000000114</v>
      </c>
    </row>
    <row r="627" spans="1:20">
      <c r="A627" s="6">
        <v>416</v>
      </c>
      <c r="B627" t="s">
        <v>52</v>
      </c>
      <c r="C627" t="s">
        <v>33</v>
      </c>
      <c r="D627">
        <v>44</v>
      </c>
      <c r="E627">
        <v>38</v>
      </c>
      <c r="F627" s="1">
        <f t="shared" si="63"/>
        <v>0.53658536585365857</v>
      </c>
      <c r="G627" s="2">
        <v>100.7</v>
      </c>
      <c r="H627" s="2">
        <v>99.4</v>
      </c>
      <c r="I627" s="2">
        <f t="shared" si="64"/>
        <v>1.2999999999999972</v>
      </c>
      <c r="J627" s="1">
        <f t="shared" si="65"/>
        <v>0.54535290258851965</v>
      </c>
      <c r="K627" s="2">
        <v>104.9</v>
      </c>
      <c r="L627" s="2">
        <v>103.6</v>
      </c>
      <c r="M627" s="2">
        <f t="shared" si="66"/>
        <v>1.3000000000000114</v>
      </c>
      <c r="N627" s="1">
        <f t="shared" si="67"/>
        <v>-8.7675367348610811E-3</v>
      </c>
      <c r="O627" s="2">
        <v>92.4</v>
      </c>
      <c r="P627" s="2">
        <v>99</v>
      </c>
      <c r="Q627" s="2">
        <f t="shared" si="68"/>
        <v>-6.5999999999999943</v>
      </c>
      <c r="R627" s="2">
        <v>0</v>
      </c>
      <c r="S627" s="2">
        <v>-1.4</v>
      </c>
      <c r="T627" s="2">
        <f t="shared" si="69"/>
        <v>-7.9000000000000057</v>
      </c>
    </row>
    <row r="628" spans="1:20">
      <c r="A628" s="6">
        <v>345</v>
      </c>
      <c r="B628" t="s">
        <v>49</v>
      </c>
      <c r="C628" t="s">
        <v>37</v>
      </c>
      <c r="D628">
        <v>21</v>
      </c>
      <c r="E628">
        <v>45</v>
      </c>
      <c r="F628" s="1">
        <f t="shared" si="63"/>
        <v>0.31818181818181818</v>
      </c>
      <c r="G628" s="2">
        <v>89.6</v>
      </c>
      <c r="H628" s="2">
        <v>93.4</v>
      </c>
      <c r="I628" s="2">
        <f t="shared" si="64"/>
        <v>-3.8000000000000114</v>
      </c>
      <c r="J628" s="1">
        <f t="shared" si="65"/>
        <v>0.35858651544032732</v>
      </c>
      <c r="K628" s="2">
        <v>99.9</v>
      </c>
      <c r="L628" s="2">
        <v>103.9</v>
      </c>
      <c r="M628" s="2">
        <f t="shared" si="66"/>
        <v>-4</v>
      </c>
      <c r="N628" s="1">
        <f t="shared" si="67"/>
        <v>-4.0404697258509148E-2</v>
      </c>
      <c r="O628" s="2">
        <v>93.5</v>
      </c>
      <c r="P628" s="2">
        <v>105.4</v>
      </c>
      <c r="Q628" s="2">
        <f t="shared" si="68"/>
        <v>-11.900000000000006</v>
      </c>
      <c r="R628" s="2">
        <v>-0.9</v>
      </c>
      <c r="S628" s="2">
        <v>-4.7</v>
      </c>
      <c r="T628" s="2">
        <f t="shared" si="69"/>
        <v>-7.9000000000000057</v>
      </c>
    </row>
    <row r="629" spans="1:20">
      <c r="A629" s="6">
        <v>8</v>
      </c>
      <c r="B629" t="s">
        <v>4</v>
      </c>
      <c r="C629" t="s">
        <v>12</v>
      </c>
      <c r="D629">
        <v>32</v>
      </c>
      <c r="E629">
        <v>50</v>
      </c>
      <c r="F629" s="1">
        <f t="shared" si="63"/>
        <v>0.3902439024390244</v>
      </c>
      <c r="G629" s="2">
        <v>95.6</v>
      </c>
      <c r="H629" s="2">
        <v>97.3</v>
      </c>
      <c r="I629" s="2">
        <f t="shared" si="64"/>
        <v>-1.7000000000000028</v>
      </c>
      <c r="J629" s="1">
        <f t="shared" si="65"/>
        <v>0.43861956554908621</v>
      </c>
      <c r="K629" s="2">
        <v>98.5</v>
      </c>
      <c r="L629" s="2">
        <v>100.3</v>
      </c>
      <c r="M629" s="2">
        <f t="shared" si="66"/>
        <v>-1.7999999999999972</v>
      </c>
      <c r="N629" s="1">
        <f t="shared" si="67"/>
        <v>-4.8375663110061806E-2</v>
      </c>
      <c r="O629" s="2">
        <v>91.8</v>
      </c>
      <c r="P629" s="2">
        <v>101.5</v>
      </c>
      <c r="Q629" s="2">
        <f t="shared" si="68"/>
        <v>-9.7000000000000028</v>
      </c>
      <c r="R629" s="2">
        <v>-0.7</v>
      </c>
      <c r="S629" s="2">
        <v>-3.6</v>
      </c>
      <c r="T629" s="2">
        <f t="shared" si="69"/>
        <v>-7.9000000000000057</v>
      </c>
    </row>
    <row r="630" spans="1:20">
      <c r="A630" s="6">
        <v>603</v>
      </c>
      <c r="B630" t="s">
        <v>61</v>
      </c>
      <c r="C630" t="s">
        <v>10</v>
      </c>
      <c r="D630">
        <v>42</v>
      </c>
      <c r="E630">
        <v>30</v>
      </c>
      <c r="F630" s="1">
        <f t="shared" si="63"/>
        <v>0.58333333333333337</v>
      </c>
      <c r="G630" s="2">
        <v>112.4</v>
      </c>
      <c r="H630" s="2">
        <v>110.2</v>
      </c>
      <c r="I630" s="2">
        <f t="shared" si="64"/>
        <v>2.2000000000000028</v>
      </c>
      <c r="J630" s="1">
        <f t="shared" si="65"/>
        <v>0.56874646032092568</v>
      </c>
      <c r="K630" s="2">
        <v>114.6</v>
      </c>
      <c r="L630" s="2">
        <v>112.3</v>
      </c>
      <c r="M630" s="2">
        <f t="shared" si="66"/>
        <v>2.2999999999999972</v>
      </c>
      <c r="N630" s="1">
        <f t="shared" si="67"/>
        <v>1.4586873012407686E-2</v>
      </c>
      <c r="O630" s="2">
        <v>116.3</v>
      </c>
      <c r="P630" s="2">
        <v>122</v>
      </c>
      <c r="Q630" s="2">
        <f t="shared" si="68"/>
        <v>-5.7000000000000028</v>
      </c>
      <c r="R630" s="2">
        <v>-0.3</v>
      </c>
      <c r="S630" s="2">
        <v>-1.2</v>
      </c>
      <c r="T630" s="2">
        <f t="shared" si="69"/>
        <v>-8</v>
      </c>
    </row>
    <row r="631" spans="1:20">
      <c r="A631" s="6">
        <v>515</v>
      </c>
      <c r="B631" t="s">
        <v>58</v>
      </c>
      <c r="C631" t="s">
        <v>12</v>
      </c>
      <c r="D631">
        <v>39</v>
      </c>
      <c r="E631">
        <v>43</v>
      </c>
      <c r="F631" s="1">
        <f t="shared" si="63"/>
        <v>0.47560975609756095</v>
      </c>
      <c r="G631" s="2">
        <v>103.8</v>
      </c>
      <c r="H631" s="2">
        <v>103.9</v>
      </c>
      <c r="I631" s="2">
        <f t="shared" si="64"/>
        <v>-0.10000000000000853</v>
      </c>
      <c r="J631" s="1">
        <f t="shared" si="65"/>
        <v>0.49662980523369954</v>
      </c>
      <c r="K631" s="2">
        <v>106.6</v>
      </c>
      <c r="L631" s="2">
        <v>106.7</v>
      </c>
      <c r="M631" s="2">
        <f t="shared" si="66"/>
        <v>-0.10000000000000853</v>
      </c>
      <c r="N631" s="1">
        <f t="shared" si="67"/>
        <v>-2.1020049136138585E-2</v>
      </c>
      <c r="O631" s="2">
        <v>101.4</v>
      </c>
      <c r="P631" s="2">
        <v>109.6</v>
      </c>
      <c r="Q631" s="2">
        <f t="shared" si="68"/>
        <v>-8.1999999999999886</v>
      </c>
      <c r="R631" s="2">
        <v>0.8</v>
      </c>
      <c r="S631" s="2">
        <v>3.2</v>
      </c>
      <c r="T631" s="2">
        <f t="shared" si="69"/>
        <v>-8.0999999999999801</v>
      </c>
    </row>
    <row r="632" spans="1:20">
      <c r="A632" s="6">
        <v>458</v>
      </c>
      <c r="B632" t="s">
        <v>55</v>
      </c>
      <c r="C632" t="s">
        <v>15</v>
      </c>
      <c r="D632">
        <v>45</v>
      </c>
      <c r="E632">
        <v>37</v>
      </c>
      <c r="F632" s="1">
        <f t="shared" si="63"/>
        <v>0.54878048780487809</v>
      </c>
      <c r="G632" s="2">
        <v>102.2</v>
      </c>
      <c r="H632" s="2">
        <v>100.5</v>
      </c>
      <c r="I632" s="2">
        <f t="shared" si="64"/>
        <v>1.7000000000000028</v>
      </c>
      <c r="J632" s="1">
        <f t="shared" si="65"/>
        <v>0.55844050126148148</v>
      </c>
      <c r="K632" s="2">
        <v>103.8</v>
      </c>
      <c r="L632" s="2">
        <v>102.2</v>
      </c>
      <c r="M632" s="2">
        <f t="shared" si="66"/>
        <v>1.5999999999999943</v>
      </c>
      <c r="N632" s="1">
        <f t="shared" si="67"/>
        <v>-9.6600134566033891E-3</v>
      </c>
      <c r="O632" s="2">
        <v>97.1</v>
      </c>
      <c r="P632" s="2">
        <v>103.7</v>
      </c>
      <c r="Q632" s="2">
        <f t="shared" si="68"/>
        <v>-6.6000000000000085</v>
      </c>
      <c r="R632" s="2">
        <v>0.7</v>
      </c>
      <c r="S632" s="2">
        <v>4.5</v>
      </c>
      <c r="T632" s="2">
        <f t="shared" si="69"/>
        <v>-8.2000000000000028</v>
      </c>
    </row>
    <row r="633" spans="1:20">
      <c r="A633" s="6">
        <v>466</v>
      </c>
      <c r="B633" t="s">
        <v>55</v>
      </c>
      <c r="C633" t="s">
        <v>22</v>
      </c>
      <c r="D633">
        <v>32</v>
      </c>
      <c r="E633">
        <v>50</v>
      </c>
      <c r="F633" s="1">
        <f t="shared" si="63"/>
        <v>0.3902439024390244</v>
      </c>
      <c r="G633" s="2">
        <v>98.4</v>
      </c>
      <c r="H633" s="2">
        <v>101.1</v>
      </c>
      <c r="I633" s="2">
        <f t="shared" si="64"/>
        <v>-2.6999999999999886</v>
      </c>
      <c r="J633" s="1">
        <f t="shared" si="65"/>
        <v>0.40637522210212157</v>
      </c>
      <c r="K633" s="2">
        <v>103.9</v>
      </c>
      <c r="L633" s="2">
        <v>106.7</v>
      </c>
      <c r="M633" s="2">
        <f t="shared" si="66"/>
        <v>-2.7999999999999972</v>
      </c>
      <c r="N633" s="1">
        <f t="shared" si="67"/>
        <v>-1.6131319663097166E-2</v>
      </c>
      <c r="O633" s="2">
        <v>100.9</v>
      </c>
      <c r="P633" s="2">
        <v>112</v>
      </c>
      <c r="Q633" s="2">
        <f t="shared" si="68"/>
        <v>-11.099999999999994</v>
      </c>
      <c r="R633" s="2">
        <v>-2.2000000000000002</v>
      </c>
      <c r="S633" s="2">
        <v>-10.199999999999999</v>
      </c>
      <c r="T633" s="2">
        <f t="shared" si="69"/>
        <v>-8.2999999999999972</v>
      </c>
    </row>
    <row r="634" spans="1:20">
      <c r="A634" s="6">
        <v>234</v>
      </c>
      <c r="B634" t="s">
        <v>44</v>
      </c>
      <c r="C634" t="s">
        <v>30</v>
      </c>
      <c r="D634">
        <v>41</v>
      </c>
      <c r="E634">
        <v>41</v>
      </c>
      <c r="F634" s="1">
        <f t="shared" si="63"/>
        <v>0.5</v>
      </c>
      <c r="G634" s="2">
        <v>100.2</v>
      </c>
      <c r="H634" s="2">
        <v>97.3</v>
      </c>
      <c r="I634" s="2">
        <f t="shared" si="64"/>
        <v>2.9000000000000057</v>
      </c>
      <c r="J634" s="1">
        <f t="shared" si="65"/>
        <v>0.6013681002055381</v>
      </c>
      <c r="K634" s="2">
        <v>108.9</v>
      </c>
      <c r="L634" s="2">
        <v>105.6</v>
      </c>
      <c r="M634" s="2">
        <f t="shared" si="66"/>
        <v>3.3000000000000114</v>
      </c>
      <c r="N634" s="1">
        <f t="shared" si="67"/>
        <v>-0.1013681002055381</v>
      </c>
      <c r="O634" s="2">
        <v>115.5</v>
      </c>
      <c r="P634" s="2">
        <v>120.5</v>
      </c>
      <c r="Q634" s="2">
        <f t="shared" si="68"/>
        <v>-5</v>
      </c>
      <c r="R634" s="2">
        <v>0</v>
      </c>
      <c r="S634" s="2">
        <v>-0.4</v>
      </c>
      <c r="T634" s="2">
        <f t="shared" si="69"/>
        <v>-8.3000000000000114</v>
      </c>
    </row>
    <row r="635" spans="1:20">
      <c r="A635" s="6">
        <v>635</v>
      </c>
      <c r="B635" t="s">
        <v>62</v>
      </c>
      <c r="C635" t="s">
        <v>12</v>
      </c>
      <c r="D635">
        <v>23</v>
      </c>
      <c r="E635">
        <v>59</v>
      </c>
      <c r="F635" s="1">
        <f t="shared" si="63"/>
        <v>0.28048780487804881</v>
      </c>
      <c r="G635" s="2">
        <v>104.8</v>
      </c>
      <c r="H635" s="2">
        <v>112.5</v>
      </c>
      <c r="I635" s="2">
        <f t="shared" si="64"/>
        <v>-7.7000000000000028</v>
      </c>
      <c r="J635" s="1">
        <f t="shared" si="65"/>
        <v>0.27040035471369911</v>
      </c>
      <c r="K635" s="2">
        <v>105.6</v>
      </c>
      <c r="L635" s="2">
        <v>113.3</v>
      </c>
      <c r="M635" s="2">
        <f t="shared" si="66"/>
        <v>-7.7000000000000028</v>
      </c>
      <c r="N635" s="1">
        <f t="shared" si="67"/>
        <v>1.0087450164349698E-2</v>
      </c>
      <c r="O635" s="2">
        <v>94.1</v>
      </c>
      <c r="P635" s="2">
        <v>110.3</v>
      </c>
      <c r="Q635" s="2">
        <f t="shared" si="68"/>
        <v>-16.200000000000003</v>
      </c>
      <c r="R635" s="2">
        <v>-1.3</v>
      </c>
      <c r="S635" s="2">
        <v>-7</v>
      </c>
      <c r="T635" s="2">
        <f t="shared" si="69"/>
        <v>-8.5</v>
      </c>
    </row>
    <row r="636" spans="1:20">
      <c r="A636" s="6">
        <v>757</v>
      </c>
      <c r="B636" t="s">
        <v>66</v>
      </c>
      <c r="C636" t="s">
        <v>14</v>
      </c>
      <c r="D636">
        <v>39</v>
      </c>
      <c r="E636">
        <v>23</v>
      </c>
      <c r="F636" s="1">
        <f t="shared" si="63"/>
        <v>0.62903225806451613</v>
      </c>
      <c r="G636" s="2">
        <v>114.5</v>
      </c>
      <c r="H636" s="2">
        <v>109.3</v>
      </c>
      <c r="I636" s="2">
        <f t="shared" si="64"/>
        <v>5.2000000000000028</v>
      </c>
      <c r="J636" s="1">
        <f t="shared" si="65"/>
        <v>0.65716773573957665</v>
      </c>
      <c r="K636" s="2">
        <v>116.8</v>
      </c>
      <c r="L636" s="2">
        <v>111.6</v>
      </c>
      <c r="M636" s="2">
        <f t="shared" si="66"/>
        <v>5.2000000000000028</v>
      </c>
      <c r="N636" s="1">
        <f t="shared" si="67"/>
        <v>-2.8135477675060527E-2</v>
      </c>
      <c r="O636" s="2">
        <v>114.4</v>
      </c>
      <c r="P636" s="2">
        <v>117.7</v>
      </c>
      <c r="Q636" s="2">
        <f t="shared" si="68"/>
        <v>-3.2999999999999972</v>
      </c>
      <c r="R636" s="2">
        <v>-0.3</v>
      </c>
      <c r="S636" s="2">
        <v>-0.9</v>
      </c>
      <c r="T636" s="2">
        <f t="shared" si="69"/>
        <v>-8.5</v>
      </c>
    </row>
    <row r="637" spans="1:20">
      <c r="A637" s="6">
        <v>607</v>
      </c>
      <c r="B637" t="s">
        <v>61</v>
      </c>
      <c r="C637" t="s">
        <v>14</v>
      </c>
      <c r="D637">
        <v>17</v>
      </c>
      <c r="E637">
        <v>55</v>
      </c>
      <c r="F637" s="1">
        <f t="shared" si="63"/>
        <v>0.2361111111111111</v>
      </c>
      <c r="G637" s="2">
        <v>108.8</v>
      </c>
      <c r="H637" s="2">
        <v>116.7</v>
      </c>
      <c r="I637" s="2">
        <f t="shared" si="64"/>
        <v>-7.9000000000000057</v>
      </c>
      <c r="J637" s="1">
        <f t="shared" si="65"/>
        <v>0.27262739354761001</v>
      </c>
      <c r="K637" s="2">
        <v>107</v>
      </c>
      <c r="L637" s="2">
        <v>114.4</v>
      </c>
      <c r="M637" s="2">
        <f t="shared" si="66"/>
        <v>-7.4000000000000057</v>
      </c>
      <c r="N637" s="1">
        <f t="shared" si="67"/>
        <v>-3.6516282436498904E-2</v>
      </c>
      <c r="O637" s="2">
        <v>97</v>
      </c>
      <c r="P637" s="2">
        <v>112.9</v>
      </c>
      <c r="Q637" s="2">
        <f t="shared" si="68"/>
        <v>-15.900000000000006</v>
      </c>
      <c r="R637" s="2">
        <v>-1.2</v>
      </c>
      <c r="S637" s="2">
        <v>-6</v>
      </c>
      <c r="T637" s="2">
        <f t="shared" si="69"/>
        <v>-8.5</v>
      </c>
    </row>
    <row r="638" spans="1:20">
      <c r="A638" s="6">
        <v>484</v>
      </c>
      <c r="B638" t="s">
        <v>57</v>
      </c>
      <c r="C638" t="s">
        <v>11</v>
      </c>
      <c r="D638">
        <v>40</v>
      </c>
      <c r="E638">
        <v>42</v>
      </c>
      <c r="F638" s="1">
        <f t="shared" si="63"/>
        <v>0.48780487804878048</v>
      </c>
      <c r="G638" s="2">
        <v>111.7</v>
      </c>
      <c r="H638" s="2">
        <v>111.2</v>
      </c>
      <c r="I638" s="2">
        <f t="shared" si="64"/>
        <v>0.5</v>
      </c>
      <c r="J638" s="1">
        <f t="shared" si="65"/>
        <v>0.51569697497834144</v>
      </c>
      <c r="K638" s="2">
        <v>112.2</v>
      </c>
      <c r="L638" s="2">
        <v>111.7</v>
      </c>
      <c r="M638" s="2">
        <f t="shared" si="66"/>
        <v>0.5</v>
      </c>
      <c r="N638" s="1">
        <f t="shared" si="67"/>
        <v>-2.7892096929560961E-2</v>
      </c>
      <c r="O638" s="2">
        <v>97.2</v>
      </c>
      <c r="P638" s="2">
        <v>105.3</v>
      </c>
      <c r="Q638" s="2">
        <f t="shared" si="68"/>
        <v>-8.0999999999999943</v>
      </c>
      <c r="R638" s="2">
        <v>-1</v>
      </c>
      <c r="S638" s="2">
        <v>-4.8</v>
      </c>
      <c r="T638" s="2">
        <f t="shared" si="69"/>
        <v>-8.5999999999999943</v>
      </c>
    </row>
    <row r="639" spans="1:20">
      <c r="A639" s="6">
        <v>536</v>
      </c>
      <c r="B639" t="s">
        <v>58</v>
      </c>
      <c r="C639" t="s">
        <v>33</v>
      </c>
      <c r="D639">
        <v>43</v>
      </c>
      <c r="E639">
        <v>39</v>
      </c>
      <c r="F639" s="1">
        <f t="shared" si="63"/>
        <v>0.52439024390243905</v>
      </c>
      <c r="G639" s="2">
        <v>106.6</v>
      </c>
      <c r="H639" s="2">
        <v>106</v>
      </c>
      <c r="I639" s="2">
        <f t="shared" si="64"/>
        <v>0.59999999999999432</v>
      </c>
      <c r="J639" s="1">
        <f t="shared" si="65"/>
        <v>0.51974518791445967</v>
      </c>
      <c r="K639" s="2">
        <v>108.1</v>
      </c>
      <c r="L639" s="2">
        <v>107.7</v>
      </c>
      <c r="M639" s="2">
        <f t="shared" si="66"/>
        <v>0.39999999999999147</v>
      </c>
      <c r="N639" s="1">
        <f t="shared" si="67"/>
        <v>4.645055987979374E-3</v>
      </c>
      <c r="O639" s="2">
        <v>96</v>
      </c>
      <c r="P639" s="2">
        <v>104.3</v>
      </c>
      <c r="Q639" s="2">
        <f t="shared" si="68"/>
        <v>-8.2999999999999972</v>
      </c>
      <c r="R639" s="2">
        <v>-0.8</v>
      </c>
      <c r="S639" s="2">
        <v>-4.8</v>
      </c>
      <c r="T639" s="2">
        <f t="shared" si="69"/>
        <v>-8.6999999999999886</v>
      </c>
    </row>
    <row r="640" spans="1:20">
      <c r="A640" s="6">
        <v>519</v>
      </c>
      <c r="B640" t="s">
        <v>58</v>
      </c>
      <c r="C640" t="s">
        <v>56</v>
      </c>
      <c r="D640">
        <v>42</v>
      </c>
      <c r="E640">
        <v>40</v>
      </c>
      <c r="F640" s="1">
        <f t="shared" si="63"/>
        <v>0.51219512195121952</v>
      </c>
      <c r="G640" s="2">
        <v>109</v>
      </c>
      <c r="H640" s="2">
        <v>109</v>
      </c>
      <c r="I640" s="2">
        <f t="shared" si="64"/>
        <v>0</v>
      </c>
      <c r="J640" s="1">
        <f t="shared" si="65"/>
        <v>0.5</v>
      </c>
      <c r="K640" s="2">
        <v>109.4</v>
      </c>
      <c r="L640" s="2">
        <v>109.2</v>
      </c>
      <c r="M640" s="2">
        <f t="shared" si="66"/>
        <v>0.20000000000000284</v>
      </c>
      <c r="N640" s="1">
        <f t="shared" si="67"/>
        <v>1.2195121951219523E-2</v>
      </c>
      <c r="O640" s="2">
        <v>110.5</v>
      </c>
      <c r="P640" s="2">
        <v>119.1</v>
      </c>
      <c r="Q640" s="2">
        <f t="shared" si="68"/>
        <v>-8.5999999999999943</v>
      </c>
      <c r="R640" s="2">
        <v>1.5</v>
      </c>
      <c r="S640" s="2">
        <v>6.9</v>
      </c>
      <c r="T640" s="2">
        <f t="shared" si="69"/>
        <v>-8.7999999999999972</v>
      </c>
    </row>
    <row r="641" spans="1:20">
      <c r="A641" s="6">
        <v>526</v>
      </c>
      <c r="B641" t="s">
        <v>58</v>
      </c>
      <c r="C641" t="s">
        <v>22</v>
      </c>
      <c r="D641">
        <v>29</v>
      </c>
      <c r="E641">
        <v>53</v>
      </c>
      <c r="F641" s="1">
        <f t="shared" si="63"/>
        <v>0.35365853658536583</v>
      </c>
      <c r="G641" s="2">
        <v>104.5</v>
      </c>
      <c r="H641" s="2">
        <v>108</v>
      </c>
      <c r="I641" s="2">
        <f t="shared" si="64"/>
        <v>-3.5</v>
      </c>
      <c r="J641" s="1">
        <f t="shared" si="65"/>
        <v>0.38669687750275528</v>
      </c>
      <c r="K641" s="2">
        <v>106.3</v>
      </c>
      <c r="L641" s="2">
        <v>109.7</v>
      </c>
      <c r="M641" s="2">
        <f t="shared" si="66"/>
        <v>-3.4000000000000057</v>
      </c>
      <c r="N641" s="1">
        <f t="shared" si="67"/>
        <v>-3.3038340917389442E-2</v>
      </c>
      <c r="O641" s="2">
        <v>95.8</v>
      </c>
      <c r="P641" s="2">
        <v>108</v>
      </c>
      <c r="Q641" s="2">
        <f t="shared" si="68"/>
        <v>-12.200000000000003</v>
      </c>
      <c r="R641" s="2">
        <v>-1</v>
      </c>
      <c r="S641" s="2">
        <v>-5.9</v>
      </c>
      <c r="T641" s="2">
        <f t="shared" si="69"/>
        <v>-8.7999999999999972</v>
      </c>
    </row>
    <row r="642" spans="1:20">
      <c r="A642" s="6">
        <v>494</v>
      </c>
      <c r="B642" t="s">
        <v>57</v>
      </c>
      <c r="C642" t="s">
        <v>20</v>
      </c>
      <c r="D642">
        <v>31</v>
      </c>
      <c r="E642">
        <v>51</v>
      </c>
      <c r="F642" s="1">
        <f t="shared" si="63"/>
        <v>0.37804878048780488</v>
      </c>
      <c r="G642" s="2">
        <v>105.6</v>
      </c>
      <c r="H642" s="2">
        <v>106.7</v>
      </c>
      <c r="I642" s="2">
        <f t="shared" si="64"/>
        <v>-1.1000000000000085</v>
      </c>
      <c r="J642" s="1">
        <f t="shared" si="65"/>
        <v>0.46379372867246205</v>
      </c>
      <c r="K642" s="2">
        <v>110</v>
      </c>
      <c r="L642" s="2">
        <v>110.9</v>
      </c>
      <c r="M642" s="2">
        <f t="shared" si="66"/>
        <v>-0.90000000000000568</v>
      </c>
      <c r="N642" s="1">
        <f t="shared" si="67"/>
        <v>-8.5744948184657166E-2</v>
      </c>
      <c r="O642" s="2">
        <v>95</v>
      </c>
      <c r="P642" s="2">
        <v>104.7</v>
      </c>
      <c r="Q642" s="2">
        <f t="shared" si="68"/>
        <v>-9.7000000000000028</v>
      </c>
      <c r="R642" s="2">
        <v>-1.1000000000000001</v>
      </c>
      <c r="S642" s="2">
        <v>-7.2</v>
      </c>
      <c r="T642" s="2">
        <f t="shared" si="69"/>
        <v>-8.7999999999999972</v>
      </c>
    </row>
    <row r="643" spans="1:20">
      <c r="A643" s="6">
        <v>55</v>
      </c>
      <c r="B643" t="s">
        <v>34</v>
      </c>
      <c r="C643" t="s">
        <v>29</v>
      </c>
      <c r="D643">
        <v>45</v>
      </c>
      <c r="E643">
        <v>37</v>
      </c>
      <c r="F643" s="1">
        <f t="shared" si="63"/>
        <v>0.54878048780487809</v>
      </c>
      <c r="G643" s="2">
        <v>97.7</v>
      </c>
      <c r="H643" s="2">
        <v>94.7</v>
      </c>
      <c r="I643" s="2">
        <f t="shared" si="64"/>
        <v>3</v>
      </c>
      <c r="J643" s="1">
        <f t="shared" si="65"/>
        <v>0.60745473911501191</v>
      </c>
      <c r="K643" s="2">
        <v>107.3</v>
      </c>
      <c r="L643" s="2">
        <v>104.1</v>
      </c>
      <c r="M643" s="2">
        <f t="shared" si="66"/>
        <v>3.2000000000000028</v>
      </c>
      <c r="N643" s="1">
        <f t="shared" si="67"/>
        <v>-5.8674251310133818E-2</v>
      </c>
      <c r="O643" s="2">
        <v>92.6</v>
      </c>
      <c r="P643" s="2">
        <v>98.2</v>
      </c>
      <c r="Q643" s="2">
        <f t="shared" si="68"/>
        <v>-5.6000000000000085</v>
      </c>
      <c r="R643" s="2">
        <v>0.3</v>
      </c>
      <c r="S643" s="2">
        <v>1.1000000000000001</v>
      </c>
      <c r="T643" s="2">
        <f t="shared" si="69"/>
        <v>-8.8000000000000114</v>
      </c>
    </row>
    <row r="644" spans="1:20">
      <c r="A644" s="6">
        <v>121</v>
      </c>
      <c r="B644" t="s">
        <v>39</v>
      </c>
      <c r="C644" t="s">
        <v>9</v>
      </c>
      <c r="D644">
        <v>42</v>
      </c>
      <c r="E644">
        <v>40</v>
      </c>
      <c r="F644" s="1">
        <f t="shared" si="63"/>
        <v>0.51219512195121952</v>
      </c>
      <c r="G644" s="2">
        <v>96.5</v>
      </c>
      <c r="H644" s="2">
        <v>95.7</v>
      </c>
      <c r="I644" s="2">
        <f t="shared" si="64"/>
        <v>0.79999999999999716</v>
      </c>
      <c r="J644" s="1">
        <f t="shared" si="65"/>
        <v>0.52910354937105664</v>
      </c>
      <c r="K644" s="2">
        <v>105.3</v>
      </c>
      <c r="L644" s="2">
        <v>104.7</v>
      </c>
      <c r="M644" s="2">
        <f t="shared" si="66"/>
        <v>0.59999999999999432</v>
      </c>
      <c r="N644" s="1">
        <f t="shared" si="67"/>
        <v>-1.6908427419837113E-2</v>
      </c>
      <c r="O644" s="2">
        <v>96.7</v>
      </c>
      <c r="P644" s="2">
        <v>105.1</v>
      </c>
      <c r="Q644" s="2">
        <f t="shared" si="68"/>
        <v>-8.3999999999999915</v>
      </c>
      <c r="R644" s="2">
        <v>0.2</v>
      </c>
      <c r="S644" s="2">
        <v>0.5</v>
      </c>
      <c r="T644" s="2">
        <f t="shared" si="69"/>
        <v>-8.9999999999999858</v>
      </c>
    </row>
    <row r="645" spans="1:20">
      <c r="A645" s="6">
        <v>235</v>
      </c>
      <c r="B645" t="s">
        <v>44</v>
      </c>
      <c r="C645" t="s">
        <v>31</v>
      </c>
      <c r="D645">
        <v>54</v>
      </c>
      <c r="E645">
        <v>28</v>
      </c>
      <c r="F645" s="1">
        <f t="shared" si="63"/>
        <v>0.65853658536585369</v>
      </c>
      <c r="G645" s="2">
        <v>106.2</v>
      </c>
      <c r="H645" s="2">
        <v>99.3</v>
      </c>
      <c r="I645" s="2">
        <f t="shared" si="64"/>
        <v>6.9000000000000057</v>
      </c>
      <c r="J645" s="1">
        <f t="shared" si="65"/>
        <v>0.71920054882030759</v>
      </c>
      <c r="K645" s="2">
        <v>112.1</v>
      </c>
      <c r="L645" s="2">
        <v>104.9</v>
      </c>
      <c r="M645" s="2">
        <f t="shared" si="66"/>
        <v>7.1999999999999886</v>
      </c>
      <c r="N645" s="1">
        <f t="shared" si="67"/>
        <v>-6.0663963454453906E-2</v>
      </c>
      <c r="O645" s="2">
        <v>116.3</v>
      </c>
      <c r="P645" s="2">
        <v>118.1</v>
      </c>
      <c r="Q645" s="2">
        <f t="shared" si="68"/>
        <v>-1.7999999999999972</v>
      </c>
      <c r="R645" s="2">
        <v>1.5</v>
      </c>
      <c r="S645" s="2">
        <v>7.4</v>
      </c>
      <c r="T645" s="2">
        <f t="shared" si="69"/>
        <v>-8.9999999999999858</v>
      </c>
    </row>
    <row r="646" spans="1:20">
      <c r="A646" s="6">
        <v>425</v>
      </c>
      <c r="B646" t="s">
        <v>54</v>
      </c>
      <c r="C646" t="s">
        <v>12</v>
      </c>
      <c r="D646">
        <v>32</v>
      </c>
      <c r="E646">
        <v>50</v>
      </c>
      <c r="F646" s="1">
        <f t="shared" si="63"/>
        <v>0.3902439024390244</v>
      </c>
      <c r="G646" s="2">
        <v>98.5</v>
      </c>
      <c r="H646" s="2">
        <v>99.5</v>
      </c>
      <c r="I646" s="2">
        <f t="shared" si="64"/>
        <v>-1</v>
      </c>
      <c r="J646" s="1">
        <f t="shared" si="65"/>
        <v>0.46470496450899657</v>
      </c>
      <c r="K646" s="2">
        <v>104.3</v>
      </c>
      <c r="L646" s="2">
        <v>105.4</v>
      </c>
      <c r="M646" s="2">
        <f t="shared" si="66"/>
        <v>-1.1000000000000085</v>
      </c>
      <c r="N646" s="1">
        <f t="shared" si="67"/>
        <v>-7.4461062069972161E-2</v>
      </c>
      <c r="O646" s="2">
        <v>90.2</v>
      </c>
      <c r="P646" s="2">
        <v>100.3</v>
      </c>
      <c r="Q646" s="2">
        <f t="shared" si="68"/>
        <v>-10.099999999999994</v>
      </c>
      <c r="R646" s="2">
        <v>0</v>
      </c>
      <c r="S646" s="2">
        <v>-3.9</v>
      </c>
      <c r="T646" s="2">
        <f t="shared" si="69"/>
        <v>-8.9999999999999858</v>
      </c>
    </row>
    <row r="647" spans="1:20">
      <c r="A647" s="6">
        <v>208</v>
      </c>
      <c r="B647" t="s">
        <v>44</v>
      </c>
      <c r="C647" t="s">
        <v>6</v>
      </c>
      <c r="D647">
        <v>66</v>
      </c>
      <c r="E647">
        <v>16</v>
      </c>
      <c r="F647" s="1">
        <f t="shared" si="63"/>
        <v>0.80487804878048785</v>
      </c>
      <c r="G647" s="2">
        <v>100.5</v>
      </c>
      <c r="H647" s="2">
        <v>90.3</v>
      </c>
      <c r="I647" s="2">
        <f t="shared" si="64"/>
        <v>10.200000000000003</v>
      </c>
      <c r="J647" s="1">
        <f t="shared" si="65"/>
        <v>0.81731836243506328</v>
      </c>
      <c r="K647" s="2">
        <v>108.8</v>
      </c>
      <c r="L647" s="2">
        <v>98.1</v>
      </c>
      <c r="M647" s="2">
        <f t="shared" si="66"/>
        <v>10.700000000000003</v>
      </c>
      <c r="N647" s="1">
        <f t="shared" si="67"/>
        <v>-1.244031365457543E-2</v>
      </c>
      <c r="O647" s="2">
        <v>101.4</v>
      </c>
      <c r="P647" s="2">
        <v>99.7</v>
      </c>
      <c r="Q647" s="2">
        <f t="shared" si="68"/>
        <v>1.7000000000000028</v>
      </c>
      <c r="R647" s="2">
        <v>1</v>
      </c>
      <c r="S647" s="2">
        <v>7</v>
      </c>
      <c r="T647" s="2">
        <f t="shared" si="69"/>
        <v>-9</v>
      </c>
    </row>
    <row r="648" spans="1:20">
      <c r="A648" s="6">
        <v>207</v>
      </c>
      <c r="B648" t="s">
        <v>44</v>
      </c>
      <c r="C648" t="s">
        <v>5</v>
      </c>
      <c r="D648">
        <v>37</v>
      </c>
      <c r="E648">
        <v>45</v>
      </c>
      <c r="F648" s="1">
        <f t="shared" si="63"/>
        <v>0.45121951219512196</v>
      </c>
      <c r="G648" s="2">
        <v>98.2</v>
      </c>
      <c r="H648" s="2">
        <v>100</v>
      </c>
      <c r="I648" s="2">
        <f t="shared" si="64"/>
        <v>-1.7999999999999972</v>
      </c>
      <c r="J648" s="1">
        <f t="shared" si="65"/>
        <v>0.43676649224387093</v>
      </c>
      <c r="K648" s="2">
        <v>105.5</v>
      </c>
      <c r="L648" s="2">
        <v>107.3</v>
      </c>
      <c r="M648" s="2">
        <f t="shared" si="66"/>
        <v>-1.7999999999999972</v>
      </c>
      <c r="N648" s="1">
        <f t="shared" si="67"/>
        <v>1.4453019951251034E-2</v>
      </c>
      <c r="O648" s="2">
        <v>100.3</v>
      </c>
      <c r="P648" s="2">
        <v>111.2</v>
      </c>
      <c r="Q648" s="2">
        <f t="shared" si="68"/>
        <v>-10.900000000000006</v>
      </c>
      <c r="R648" s="2">
        <v>-0.1</v>
      </c>
      <c r="S648" s="2">
        <v>-0.6</v>
      </c>
      <c r="T648" s="2">
        <f t="shared" si="69"/>
        <v>-9.1000000000000085</v>
      </c>
    </row>
    <row r="649" spans="1:20">
      <c r="A649" s="6">
        <v>678</v>
      </c>
      <c r="B649" t="s">
        <v>63</v>
      </c>
      <c r="C649" t="s">
        <v>23</v>
      </c>
      <c r="D649">
        <v>34</v>
      </c>
      <c r="E649">
        <v>48</v>
      </c>
      <c r="F649" s="1">
        <f t="shared" ref="F649:F712" si="70">+D649/(D649+E649)</f>
        <v>0.41463414634146339</v>
      </c>
      <c r="G649" s="2">
        <v>111.4</v>
      </c>
      <c r="H649" s="2">
        <v>114</v>
      </c>
      <c r="I649" s="2">
        <f t="shared" ref="I649:I712" si="71">+G649-H649</f>
        <v>-2.5999999999999943</v>
      </c>
      <c r="J649" s="1">
        <f t="shared" ref="J649:J712" si="72">+(G649^14)/((G649^14+H649^14))</f>
        <v>0.41994584859669859</v>
      </c>
      <c r="K649" s="2">
        <v>111.3</v>
      </c>
      <c r="L649" s="2">
        <v>113.7</v>
      </c>
      <c r="M649" s="2">
        <f t="shared" ref="M649:M712" si="73">+K649-L649</f>
        <v>-2.4000000000000057</v>
      </c>
      <c r="N649" s="1">
        <f t="shared" ref="N649:N712" si="74">+F649-J649</f>
        <v>-5.3117022552351956E-3</v>
      </c>
      <c r="O649" s="2">
        <v>109.2</v>
      </c>
      <c r="P649" s="2">
        <v>120.8</v>
      </c>
      <c r="Q649" s="2">
        <f t="shared" ref="Q649:Q712" si="75">+O649-P649</f>
        <v>-11.599999999999994</v>
      </c>
      <c r="R649" s="2">
        <v>0.5</v>
      </c>
      <c r="S649" s="2">
        <v>2.5</v>
      </c>
      <c r="T649" s="2">
        <f t="shared" ref="T649:T712" si="76">+Q649-M649</f>
        <v>-9.1999999999999886</v>
      </c>
    </row>
    <row r="650" spans="1:20">
      <c r="A650" s="6">
        <v>287</v>
      </c>
      <c r="B650" t="s">
        <v>47</v>
      </c>
      <c r="C650" t="s">
        <v>46</v>
      </c>
      <c r="D650">
        <v>50</v>
      </c>
      <c r="E650">
        <v>32</v>
      </c>
      <c r="F650" s="1">
        <f t="shared" si="70"/>
        <v>0.6097560975609756</v>
      </c>
      <c r="G650" s="2">
        <v>101.5</v>
      </c>
      <c r="H650" s="2">
        <v>98</v>
      </c>
      <c r="I650" s="2">
        <f t="shared" si="71"/>
        <v>3.5</v>
      </c>
      <c r="J650" s="1">
        <f t="shared" si="72"/>
        <v>0.62040756265639296</v>
      </c>
      <c r="K650" s="2">
        <v>107</v>
      </c>
      <c r="L650" s="2">
        <v>103.5</v>
      </c>
      <c r="M650" s="2">
        <f t="shared" si="73"/>
        <v>3.5</v>
      </c>
      <c r="N650" s="1">
        <f t="shared" si="74"/>
        <v>-1.0651465095417367E-2</v>
      </c>
      <c r="O650" s="2">
        <v>92.3</v>
      </c>
      <c r="P650" s="2">
        <v>98</v>
      </c>
      <c r="Q650" s="2">
        <f t="shared" si="75"/>
        <v>-5.7000000000000028</v>
      </c>
      <c r="R650" s="2">
        <v>-0.6</v>
      </c>
      <c r="S650" s="2">
        <v>-2.4</v>
      </c>
      <c r="T650" s="2">
        <f t="shared" si="76"/>
        <v>-9.2000000000000028</v>
      </c>
    </row>
    <row r="651" spans="1:20">
      <c r="A651" s="6">
        <v>719</v>
      </c>
      <c r="B651" t="s">
        <v>65</v>
      </c>
      <c r="C651" t="s">
        <v>51</v>
      </c>
      <c r="D651">
        <v>26</v>
      </c>
      <c r="E651">
        <v>56</v>
      </c>
      <c r="F651" s="1">
        <f t="shared" si="70"/>
        <v>0.31707317073170732</v>
      </c>
      <c r="G651" s="2">
        <v>105.1</v>
      </c>
      <c r="H651" s="2">
        <v>112.2</v>
      </c>
      <c r="I651" s="2">
        <f t="shared" si="71"/>
        <v>-7.1000000000000085</v>
      </c>
      <c r="J651" s="1">
        <f t="shared" si="72"/>
        <v>0.28593897521823097</v>
      </c>
      <c r="K651" s="2">
        <v>108.1</v>
      </c>
      <c r="L651" s="2">
        <v>115.4</v>
      </c>
      <c r="M651" s="2">
        <f t="shared" si="73"/>
        <v>-7.3000000000000114</v>
      </c>
      <c r="N651" s="1">
        <f t="shared" si="74"/>
        <v>3.1134195513476348E-2</v>
      </c>
      <c r="O651" s="2">
        <v>100.3</v>
      </c>
      <c r="P651" s="2">
        <v>116.9</v>
      </c>
      <c r="Q651" s="2">
        <f t="shared" si="75"/>
        <v>-16.600000000000009</v>
      </c>
      <c r="R651" s="2">
        <v>-1.6</v>
      </c>
      <c r="S651" s="2">
        <v>-7.5</v>
      </c>
      <c r="T651" s="2">
        <f t="shared" si="76"/>
        <v>-9.2999999999999972</v>
      </c>
    </row>
    <row r="652" spans="1:20">
      <c r="A652" s="6">
        <v>310</v>
      </c>
      <c r="B652" t="s">
        <v>48</v>
      </c>
      <c r="C652" t="s">
        <v>35</v>
      </c>
      <c r="D652">
        <v>46</v>
      </c>
      <c r="E652">
        <v>36</v>
      </c>
      <c r="F652" s="1">
        <f t="shared" si="70"/>
        <v>0.56097560975609762</v>
      </c>
      <c r="G652" s="2">
        <v>99.9</v>
      </c>
      <c r="H652" s="2">
        <v>97.6</v>
      </c>
      <c r="I652" s="2">
        <f t="shared" si="71"/>
        <v>2.3000000000000114</v>
      </c>
      <c r="J652" s="1">
        <f t="shared" si="72"/>
        <v>0.58080787890560803</v>
      </c>
      <c r="K652" s="2">
        <v>107</v>
      </c>
      <c r="L652" s="2">
        <v>104.5</v>
      </c>
      <c r="M652" s="2">
        <f t="shared" si="73"/>
        <v>2.5</v>
      </c>
      <c r="N652" s="1">
        <f t="shared" si="74"/>
        <v>-1.9832269149510418E-2</v>
      </c>
      <c r="O652" s="2">
        <v>101.7</v>
      </c>
      <c r="P652" s="2">
        <v>108.5</v>
      </c>
      <c r="Q652" s="2">
        <f t="shared" si="75"/>
        <v>-6.7999999999999972</v>
      </c>
      <c r="R652" s="2">
        <v>1</v>
      </c>
      <c r="S652" s="2">
        <v>4.5</v>
      </c>
      <c r="T652" s="2">
        <f t="shared" si="76"/>
        <v>-9.2999999999999972</v>
      </c>
    </row>
    <row r="653" spans="1:20">
      <c r="A653" s="6">
        <v>555</v>
      </c>
      <c r="B653" t="s">
        <v>59</v>
      </c>
      <c r="C653" t="s">
        <v>53</v>
      </c>
      <c r="D653">
        <v>33</v>
      </c>
      <c r="E653">
        <v>49</v>
      </c>
      <c r="F653" s="1">
        <f t="shared" si="70"/>
        <v>0.40243902439024393</v>
      </c>
      <c r="G653" s="2">
        <v>115.4</v>
      </c>
      <c r="H653" s="2">
        <v>116.8</v>
      </c>
      <c r="I653" s="2">
        <f t="shared" si="71"/>
        <v>-1.3999999999999915</v>
      </c>
      <c r="J653" s="1">
        <f t="shared" si="72"/>
        <v>0.45789444917000782</v>
      </c>
      <c r="K653" s="2">
        <v>110.7</v>
      </c>
      <c r="L653" s="2">
        <v>112</v>
      </c>
      <c r="M653" s="2">
        <f t="shared" si="73"/>
        <v>-1.2999999999999972</v>
      </c>
      <c r="N653" s="1">
        <f t="shared" si="74"/>
        <v>-5.5455424779763896E-2</v>
      </c>
      <c r="O653" s="2">
        <v>99.4</v>
      </c>
      <c r="P653" s="2">
        <v>110</v>
      </c>
      <c r="Q653" s="2">
        <f t="shared" si="75"/>
        <v>-10.599999999999994</v>
      </c>
      <c r="R653" s="2">
        <v>0.8</v>
      </c>
      <c r="S653" s="2">
        <v>3.5</v>
      </c>
      <c r="T653" s="2">
        <f t="shared" si="76"/>
        <v>-9.2999999999999972</v>
      </c>
    </row>
    <row r="654" spans="1:20">
      <c r="A654" s="6">
        <v>174</v>
      </c>
      <c r="B654" t="s">
        <v>41</v>
      </c>
      <c r="C654" t="s">
        <v>30</v>
      </c>
      <c r="D654">
        <v>27</v>
      </c>
      <c r="E654">
        <v>55</v>
      </c>
      <c r="F654" s="1">
        <f t="shared" si="70"/>
        <v>0.32926829268292684</v>
      </c>
      <c r="G654" s="2">
        <v>101.1</v>
      </c>
      <c r="H654" s="2">
        <v>104</v>
      </c>
      <c r="I654" s="2">
        <f t="shared" si="71"/>
        <v>-2.9000000000000057</v>
      </c>
      <c r="J654" s="1">
        <f t="shared" si="72"/>
        <v>0.4022903946569592</v>
      </c>
      <c r="K654" s="2">
        <v>107.9</v>
      </c>
      <c r="L654" s="2">
        <v>111.2</v>
      </c>
      <c r="M654" s="2">
        <f t="shared" si="73"/>
        <v>-3.2999999999999972</v>
      </c>
      <c r="N654" s="1">
        <f t="shared" si="74"/>
        <v>-7.3022101974032361E-2</v>
      </c>
      <c r="O654" s="2">
        <v>101.6</v>
      </c>
      <c r="P654" s="2">
        <v>114.4</v>
      </c>
      <c r="Q654" s="2">
        <f t="shared" si="75"/>
        <v>-12.800000000000011</v>
      </c>
      <c r="R654" s="2">
        <v>0.7</v>
      </c>
      <c r="S654" s="2">
        <v>2.2000000000000002</v>
      </c>
      <c r="T654" s="2">
        <f t="shared" si="76"/>
        <v>-9.5000000000000142</v>
      </c>
    </row>
    <row r="655" spans="1:20">
      <c r="A655" s="6">
        <v>490</v>
      </c>
      <c r="B655" t="s">
        <v>57</v>
      </c>
      <c r="C655" t="s">
        <v>17</v>
      </c>
      <c r="D655">
        <v>26</v>
      </c>
      <c r="E655">
        <v>56</v>
      </c>
      <c r="F655" s="1">
        <f t="shared" si="70"/>
        <v>0.31707317073170732</v>
      </c>
      <c r="G655" s="2">
        <v>104.6</v>
      </c>
      <c r="H655" s="2">
        <v>111.5</v>
      </c>
      <c r="I655" s="2">
        <f t="shared" si="71"/>
        <v>-6.9000000000000057</v>
      </c>
      <c r="J655" s="1">
        <f t="shared" si="72"/>
        <v>0.29021613910677707</v>
      </c>
      <c r="K655" s="2">
        <v>105.3</v>
      </c>
      <c r="L655" s="2">
        <v>112</v>
      </c>
      <c r="M655" s="2">
        <f t="shared" si="73"/>
        <v>-6.7000000000000028</v>
      </c>
      <c r="N655" s="1">
        <f t="shared" si="74"/>
        <v>2.685703162493025E-2</v>
      </c>
      <c r="O655" s="2">
        <v>106.9</v>
      </c>
      <c r="P655" s="2">
        <v>123.2</v>
      </c>
      <c r="Q655" s="2">
        <f t="shared" si="75"/>
        <v>-16.299999999999997</v>
      </c>
      <c r="R655" s="2">
        <v>-0.7</v>
      </c>
      <c r="S655" s="2">
        <v>-2.9</v>
      </c>
      <c r="T655" s="2">
        <f t="shared" si="76"/>
        <v>-9.5999999999999943</v>
      </c>
    </row>
    <row r="656" spans="1:20">
      <c r="A656" s="6">
        <v>524</v>
      </c>
      <c r="B656" t="s">
        <v>58</v>
      </c>
      <c r="C656" t="s">
        <v>20</v>
      </c>
      <c r="D656">
        <v>47</v>
      </c>
      <c r="E656">
        <v>35</v>
      </c>
      <c r="F656" s="1">
        <f t="shared" si="70"/>
        <v>0.57317073170731703</v>
      </c>
      <c r="G656" s="2">
        <v>109.5</v>
      </c>
      <c r="H656" s="2">
        <v>107.3</v>
      </c>
      <c r="I656" s="2">
        <f t="shared" si="71"/>
        <v>2.2000000000000028</v>
      </c>
      <c r="J656" s="1">
        <f t="shared" si="72"/>
        <v>0.57056154224834466</v>
      </c>
      <c r="K656" s="2">
        <v>112.5</v>
      </c>
      <c r="L656" s="2">
        <v>110.2</v>
      </c>
      <c r="M656" s="2">
        <f t="shared" si="73"/>
        <v>2.2999999999999972</v>
      </c>
      <c r="N656" s="1">
        <f t="shared" si="74"/>
        <v>2.6091894589723719E-3</v>
      </c>
      <c r="O656" s="2">
        <v>107.4</v>
      </c>
      <c r="P656" s="2">
        <v>114.8</v>
      </c>
      <c r="Q656" s="2">
        <f t="shared" si="75"/>
        <v>-7.3999999999999915</v>
      </c>
      <c r="R656" s="2">
        <v>-0.6</v>
      </c>
      <c r="S656" s="2">
        <v>-1.5</v>
      </c>
      <c r="T656" s="2">
        <f t="shared" si="76"/>
        <v>-9.6999999999999886</v>
      </c>
    </row>
    <row r="657" spans="1:20">
      <c r="A657" s="6">
        <v>142</v>
      </c>
      <c r="B657" t="s">
        <v>39</v>
      </c>
      <c r="C657" t="s">
        <v>28</v>
      </c>
      <c r="D657">
        <v>59</v>
      </c>
      <c r="E657">
        <v>23</v>
      </c>
      <c r="F657" s="1">
        <f t="shared" si="70"/>
        <v>0.71951219512195119</v>
      </c>
      <c r="G657" s="2">
        <v>96.2</v>
      </c>
      <c r="H657" s="2">
        <v>88.4</v>
      </c>
      <c r="I657" s="2">
        <f t="shared" si="71"/>
        <v>7.7999999999999972</v>
      </c>
      <c r="J657" s="1">
        <f t="shared" si="72"/>
        <v>0.76563098176040723</v>
      </c>
      <c r="K657" s="2">
        <v>106.1</v>
      </c>
      <c r="L657" s="2">
        <v>97.8</v>
      </c>
      <c r="M657" s="2">
        <f t="shared" si="73"/>
        <v>8.2999999999999972</v>
      </c>
      <c r="N657" s="1">
        <f t="shared" si="74"/>
        <v>-4.6118786638456033E-2</v>
      </c>
      <c r="O657" s="2">
        <v>109.4</v>
      </c>
      <c r="P657" s="2">
        <v>110.8</v>
      </c>
      <c r="Q657" s="2">
        <f t="shared" si="75"/>
        <v>-1.3999999999999915</v>
      </c>
      <c r="R657" s="2">
        <v>1.7</v>
      </c>
      <c r="S657" s="2">
        <v>9.1</v>
      </c>
      <c r="T657" s="2">
        <f t="shared" si="76"/>
        <v>-9.6999999999999886</v>
      </c>
    </row>
    <row r="658" spans="1:20">
      <c r="A658" s="6">
        <v>140</v>
      </c>
      <c r="B658" t="s">
        <v>39</v>
      </c>
      <c r="C658" t="s">
        <v>26</v>
      </c>
      <c r="D658">
        <v>27</v>
      </c>
      <c r="E658">
        <v>55</v>
      </c>
      <c r="F658" s="1">
        <f t="shared" si="70"/>
        <v>0.32926829268292684</v>
      </c>
      <c r="G658" s="2">
        <v>92.9</v>
      </c>
      <c r="H658" s="2">
        <v>96.9</v>
      </c>
      <c r="I658" s="2">
        <f t="shared" si="71"/>
        <v>-4</v>
      </c>
      <c r="J658" s="1">
        <f t="shared" si="72"/>
        <v>0.35659304496257005</v>
      </c>
      <c r="K658" s="2">
        <v>101.9</v>
      </c>
      <c r="L658" s="2">
        <v>106.1</v>
      </c>
      <c r="M658" s="2">
        <f t="shared" si="73"/>
        <v>-4.1999999999999886</v>
      </c>
      <c r="N658" s="1">
        <f t="shared" si="74"/>
        <v>-2.7324752279643205E-2</v>
      </c>
      <c r="O658" s="2">
        <v>93.4</v>
      </c>
      <c r="P658" s="2">
        <v>107.3</v>
      </c>
      <c r="Q658" s="2">
        <f t="shared" si="75"/>
        <v>-13.899999999999991</v>
      </c>
      <c r="R658" s="2">
        <v>-0.3</v>
      </c>
      <c r="S658" s="2">
        <v>-2.6</v>
      </c>
      <c r="T658" s="2">
        <f t="shared" si="76"/>
        <v>-9.7000000000000028</v>
      </c>
    </row>
    <row r="659" spans="1:20">
      <c r="A659" s="6">
        <v>112</v>
      </c>
      <c r="B659" t="s">
        <v>38</v>
      </c>
      <c r="C659" t="s">
        <v>28</v>
      </c>
      <c r="D659">
        <v>57</v>
      </c>
      <c r="E659">
        <v>25</v>
      </c>
      <c r="F659" s="1">
        <f t="shared" si="70"/>
        <v>0.69512195121951215</v>
      </c>
      <c r="G659" s="2">
        <v>91.5</v>
      </c>
      <c r="H659" s="2">
        <v>84.3</v>
      </c>
      <c r="I659" s="2">
        <f t="shared" si="71"/>
        <v>7.2000000000000028</v>
      </c>
      <c r="J659" s="1">
        <f t="shared" si="72"/>
        <v>0.75903560483804922</v>
      </c>
      <c r="K659" s="2">
        <v>101</v>
      </c>
      <c r="L659" s="2">
        <v>93.1</v>
      </c>
      <c r="M659" s="2">
        <f t="shared" si="73"/>
        <v>7.9000000000000057</v>
      </c>
      <c r="N659" s="1">
        <f t="shared" si="74"/>
        <v>-6.391365361853707E-2</v>
      </c>
      <c r="O659" s="2">
        <v>95.1</v>
      </c>
      <c r="P659" s="2">
        <v>96.9</v>
      </c>
      <c r="Q659" s="2">
        <f t="shared" si="75"/>
        <v>-1.8000000000000114</v>
      </c>
      <c r="R659" s="2">
        <v>0.4</v>
      </c>
      <c r="S659" s="2">
        <v>3.1</v>
      </c>
      <c r="T659" s="2">
        <f t="shared" si="76"/>
        <v>-9.7000000000000171</v>
      </c>
    </row>
    <row r="660" spans="1:20">
      <c r="A660" s="6">
        <v>378</v>
      </c>
      <c r="B660" t="s">
        <v>50</v>
      </c>
      <c r="C660" t="s">
        <v>23</v>
      </c>
      <c r="D660">
        <v>20</v>
      </c>
      <c r="E660">
        <v>62</v>
      </c>
      <c r="F660" s="1">
        <f t="shared" si="70"/>
        <v>0.24390243902439024</v>
      </c>
      <c r="G660" s="2">
        <v>94.1</v>
      </c>
      <c r="H660" s="2">
        <v>101.1</v>
      </c>
      <c r="I660" s="2">
        <f t="shared" si="71"/>
        <v>-7</v>
      </c>
      <c r="J660" s="1">
        <f t="shared" si="72"/>
        <v>0.26805187630664556</v>
      </c>
      <c r="K660" s="2">
        <v>100.9</v>
      </c>
      <c r="L660" s="2">
        <v>108.4</v>
      </c>
      <c r="M660" s="2">
        <f t="shared" si="73"/>
        <v>-7.5</v>
      </c>
      <c r="N660" s="1">
        <f t="shared" si="74"/>
        <v>-2.4149437282255326E-2</v>
      </c>
      <c r="O660" s="2">
        <v>92.7</v>
      </c>
      <c r="P660" s="2">
        <v>110.1</v>
      </c>
      <c r="Q660" s="2">
        <f t="shared" si="75"/>
        <v>-17.399999999999991</v>
      </c>
      <c r="R660" s="2">
        <v>-1.4</v>
      </c>
      <c r="S660" s="2">
        <v>-8</v>
      </c>
      <c r="T660" s="2">
        <f t="shared" si="76"/>
        <v>-9.8999999999999915</v>
      </c>
    </row>
    <row r="661" spans="1:20">
      <c r="A661" s="6">
        <v>479</v>
      </c>
      <c r="B661" t="s">
        <v>57</v>
      </c>
      <c r="C661" t="s">
        <v>51</v>
      </c>
      <c r="D661">
        <v>20</v>
      </c>
      <c r="E661">
        <v>62</v>
      </c>
      <c r="F661" s="1">
        <f t="shared" si="70"/>
        <v>0.24390243902439024</v>
      </c>
      <c r="G661" s="2">
        <v>105.8</v>
      </c>
      <c r="H661" s="2">
        <v>112.5</v>
      </c>
      <c r="I661" s="2">
        <f t="shared" si="71"/>
        <v>-6.7000000000000028</v>
      </c>
      <c r="J661" s="1">
        <f t="shared" si="72"/>
        <v>0.29741501867468906</v>
      </c>
      <c r="K661" s="2">
        <v>103.6</v>
      </c>
      <c r="L661" s="2">
        <v>110.1</v>
      </c>
      <c r="M661" s="2">
        <f t="shared" si="73"/>
        <v>-6.5</v>
      </c>
      <c r="N661" s="1">
        <f t="shared" si="74"/>
        <v>-5.3512579650298819E-2</v>
      </c>
      <c r="O661" s="2">
        <v>99.7</v>
      </c>
      <c r="P661" s="2">
        <v>116.1</v>
      </c>
      <c r="Q661" s="2">
        <f t="shared" si="75"/>
        <v>-16.399999999999991</v>
      </c>
      <c r="R661" s="2">
        <v>-0.7</v>
      </c>
      <c r="S661" s="2">
        <v>-5</v>
      </c>
      <c r="T661" s="2">
        <f t="shared" si="76"/>
        <v>-9.8999999999999915</v>
      </c>
    </row>
    <row r="662" spans="1:20">
      <c r="A662" s="6">
        <v>119</v>
      </c>
      <c r="B662" t="s">
        <v>39</v>
      </c>
      <c r="C662" t="s">
        <v>40</v>
      </c>
      <c r="D662">
        <v>18</v>
      </c>
      <c r="E662">
        <v>64</v>
      </c>
      <c r="F662" s="1">
        <f t="shared" si="70"/>
        <v>0.21951219512195122</v>
      </c>
      <c r="G662" s="2">
        <v>94.3</v>
      </c>
      <c r="H662" s="2">
        <v>100.2</v>
      </c>
      <c r="I662" s="2">
        <f t="shared" si="71"/>
        <v>-5.9000000000000057</v>
      </c>
      <c r="J662" s="1">
        <f t="shared" si="72"/>
        <v>0.29951299978674456</v>
      </c>
      <c r="K662" s="2">
        <v>99.8</v>
      </c>
      <c r="L662" s="2">
        <v>106</v>
      </c>
      <c r="M662" s="2">
        <f t="shared" si="73"/>
        <v>-6.2000000000000028</v>
      </c>
      <c r="N662" s="1">
        <f t="shared" si="74"/>
        <v>-8.000080466479334E-2</v>
      </c>
      <c r="O662" s="2">
        <v>91.4</v>
      </c>
      <c r="P662" s="2">
        <v>107.5</v>
      </c>
      <c r="Q662" s="2">
        <f t="shared" si="75"/>
        <v>-16.099999999999994</v>
      </c>
      <c r="R662" s="2">
        <v>-1.2</v>
      </c>
      <c r="S662" s="2">
        <v>-5.2</v>
      </c>
      <c r="T662" s="2">
        <f t="shared" si="76"/>
        <v>-9.8999999999999915</v>
      </c>
    </row>
    <row r="663" spans="1:20">
      <c r="A663" s="6">
        <v>256</v>
      </c>
      <c r="B663" t="s">
        <v>45</v>
      </c>
      <c r="C663" t="s">
        <v>22</v>
      </c>
      <c r="D663">
        <v>32</v>
      </c>
      <c r="E663">
        <v>50</v>
      </c>
      <c r="F663" s="1">
        <f t="shared" si="70"/>
        <v>0.3902439024390244</v>
      </c>
      <c r="G663" s="2">
        <v>105.2</v>
      </c>
      <c r="H663" s="2">
        <v>107.8</v>
      </c>
      <c r="I663" s="2">
        <f t="shared" si="71"/>
        <v>-2.5999999999999943</v>
      </c>
      <c r="J663" s="1">
        <f t="shared" si="72"/>
        <v>0.41537205557839157</v>
      </c>
      <c r="K663" s="2">
        <v>107</v>
      </c>
      <c r="L663" s="2">
        <v>109.4</v>
      </c>
      <c r="M663" s="2">
        <f t="shared" si="73"/>
        <v>-2.4000000000000057</v>
      </c>
      <c r="N663" s="1">
        <f t="shared" si="74"/>
        <v>-2.5128153139367171E-2</v>
      </c>
      <c r="O663" s="2">
        <v>104.4</v>
      </c>
      <c r="P663" s="2">
        <v>116.8</v>
      </c>
      <c r="Q663" s="2">
        <f t="shared" si="75"/>
        <v>-12.399999999999991</v>
      </c>
      <c r="R663" s="2">
        <v>-1.3</v>
      </c>
      <c r="S663" s="2">
        <v>-6</v>
      </c>
      <c r="T663" s="2">
        <f t="shared" si="76"/>
        <v>-9.9999999999999858</v>
      </c>
    </row>
    <row r="664" spans="1:20">
      <c r="A664" s="6">
        <v>109</v>
      </c>
      <c r="B664" t="s">
        <v>38</v>
      </c>
      <c r="C664" t="s">
        <v>25</v>
      </c>
      <c r="D664">
        <v>29</v>
      </c>
      <c r="E664">
        <v>53</v>
      </c>
      <c r="F664" s="1">
        <f t="shared" si="70"/>
        <v>0.35365853658536583</v>
      </c>
      <c r="G664" s="2">
        <v>94.2</v>
      </c>
      <c r="H664" s="2">
        <v>97.9</v>
      </c>
      <c r="I664" s="2">
        <f t="shared" si="71"/>
        <v>-3.7000000000000028</v>
      </c>
      <c r="J664" s="1">
        <f t="shared" si="72"/>
        <v>0.36833434593522879</v>
      </c>
      <c r="K664" s="2">
        <v>100.3</v>
      </c>
      <c r="L664" s="2">
        <v>104.2</v>
      </c>
      <c r="M664" s="2">
        <f t="shared" si="73"/>
        <v>-3.9000000000000057</v>
      </c>
      <c r="N664" s="1">
        <f t="shared" si="74"/>
        <v>-1.4675809349862956E-2</v>
      </c>
      <c r="O664" s="2">
        <v>92.8</v>
      </c>
      <c r="P664" s="2">
        <v>106.8</v>
      </c>
      <c r="Q664" s="2">
        <f t="shared" si="75"/>
        <v>-14</v>
      </c>
      <c r="R664" s="2">
        <v>-1.6</v>
      </c>
      <c r="S664" s="2">
        <v>-6.4</v>
      </c>
      <c r="T664" s="2">
        <f t="shared" si="76"/>
        <v>-10.099999999999994</v>
      </c>
    </row>
    <row r="665" spans="1:20">
      <c r="A665" s="6">
        <v>12</v>
      </c>
      <c r="B665" t="s">
        <v>4</v>
      </c>
      <c r="C665" t="s">
        <v>16</v>
      </c>
      <c r="D665">
        <v>31</v>
      </c>
      <c r="E665">
        <v>51</v>
      </c>
      <c r="F665" s="1">
        <f t="shared" si="70"/>
        <v>0.37804878048780488</v>
      </c>
      <c r="G665" s="2">
        <v>92.5</v>
      </c>
      <c r="H665" s="2">
        <v>95.3</v>
      </c>
      <c r="I665" s="2">
        <f t="shared" si="71"/>
        <v>-2.7999999999999972</v>
      </c>
      <c r="J665" s="1">
        <f t="shared" si="72"/>
        <v>0.39711601228610965</v>
      </c>
      <c r="K665" s="2">
        <v>100.3</v>
      </c>
      <c r="L665" s="2">
        <v>103.2</v>
      </c>
      <c r="M665" s="2">
        <f t="shared" si="73"/>
        <v>-2.9000000000000057</v>
      </c>
      <c r="N665" s="1">
        <f t="shared" si="74"/>
        <v>-1.9067231798304773E-2</v>
      </c>
      <c r="O665" s="2">
        <v>95.7</v>
      </c>
      <c r="P665" s="2">
        <v>108.7</v>
      </c>
      <c r="Q665" s="2">
        <f t="shared" si="75"/>
        <v>-13</v>
      </c>
      <c r="R665" s="2">
        <v>0.4</v>
      </c>
      <c r="S665" s="2">
        <v>3.9</v>
      </c>
      <c r="T665" s="2">
        <f t="shared" si="76"/>
        <v>-10.099999999999994</v>
      </c>
    </row>
    <row r="666" spans="1:20">
      <c r="A666" s="6">
        <v>665</v>
      </c>
      <c r="B666" t="s">
        <v>63</v>
      </c>
      <c r="C666" t="s">
        <v>12</v>
      </c>
      <c r="D666">
        <v>17</v>
      </c>
      <c r="E666">
        <v>65</v>
      </c>
      <c r="F666" s="1">
        <f t="shared" si="70"/>
        <v>0.2073170731707317</v>
      </c>
      <c r="G666" s="2">
        <v>110.3</v>
      </c>
      <c r="H666" s="2">
        <v>118.5</v>
      </c>
      <c r="I666" s="2">
        <f t="shared" si="71"/>
        <v>-8.2000000000000028</v>
      </c>
      <c r="J666" s="1">
        <f t="shared" si="72"/>
        <v>0.26817012920716587</v>
      </c>
      <c r="K666" s="2">
        <v>109.9</v>
      </c>
      <c r="L666" s="2">
        <v>117.8</v>
      </c>
      <c r="M666" s="2">
        <f t="shared" si="73"/>
        <v>-7.8999999999999915</v>
      </c>
      <c r="N666" s="1">
        <f t="shared" si="74"/>
        <v>-6.0853056036434178E-2</v>
      </c>
      <c r="O666" s="2">
        <v>104.7</v>
      </c>
      <c r="P666" s="2">
        <v>122.7</v>
      </c>
      <c r="Q666" s="2">
        <f t="shared" si="75"/>
        <v>-18</v>
      </c>
      <c r="R666" s="2">
        <v>-2.1</v>
      </c>
      <c r="S666" s="2">
        <v>-8.3000000000000007</v>
      </c>
      <c r="T666" s="2">
        <f t="shared" si="76"/>
        <v>-10.100000000000009</v>
      </c>
    </row>
    <row r="667" spans="1:20">
      <c r="A667" s="6">
        <v>216</v>
      </c>
      <c r="B667" t="s">
        <v>44</v>
      </c>
      <c r="C667" t="s">
        <v>14</v>
      </c>
      <c r="D667">
        <v>55</v>
      </c>
      <c r="E667">
        <v>27</v>
      </c>
      <c r="F667" s="1">
        <f t="shared" si="70"/>
        <v>0.67073170731707321</v>
      </c>
      <c r="G667" s="2">
        <v>96.7</v>
      </c>
      <c r="H667" s="2">
        <v>92</v>
      </c>
      <c r="I667" s="2">
        <f t="shared" si="71"/>
        <v>4.7000000000000028</v>
      </c>
      <c r="J667" s="1">
        <f t="shared" si="72"/>
        <v>0.6676438096091204</v>
      </c>
      <c r="K667" s="2">
        <v>105.4</v>
      </c>
      <c r="L667" s="2">
        <v>100.5</v>
      </c>
      <c r="M667" s="2">
        <f t="shared" si="73"/>
        <v>4.9000000000000057</v>
      </c>
      <c r="N667" s="1">
        <f t="shared" si="74"/>
        <v>3.0878977079528136E-3</v>
      </c>
      <c r="O667" s="2">
        <v>99.2</v>
      </c>
      <c r="P667" s="2">
        <v>104.5</v>
      </c>
      <c r="Q667" s="2">
        <f t="shared" si="75"/>
        <v>-5.2999999999999972</v>
      </c>
      <c r="R667" s="2">
        <v>0.1</v>
      </c>
      <c r="S667" s="2">
        <v>-0.3</v>
      </c>
      <c r="T667" s="2">
        <f t="shared" si="76"/>
        <v>-10.200000000000003</v>
      </c>
    </row>
    <row r="668" spans="1:20">
      <c r="A668" s="6">
        <v>677</v>
      </c>
      <c r="B668" t="s">
        <v>63</v>
      </c>
      <c r="C668" t="s">
        <v>46</v>
      </c>
      <c r="D668">
        <v>40</v>
      </c>
      <c r="E668">
        <v>42</v>
      </c>
      <c r="F668" s="1">
        <f t="shared" si="70"/>
        <v>0.48780487804878048</v>
      </c>
      <c r="G668" s="2">
        <v>117.5</v>
      </c>
      <c r="H668" s="2">
        <v>116.4</v>
      </c>
      <c r="I668" s="2">
        <f t="shared" si="71"/>
        <v>1.0999999999999943</v>
      </c>
      <c r="J668" s="1">
        <f t="shared" si="72"/>
        <v>0.53287280670641013</v>
      </c>
      <c r="K668" s="2">
        <v>114.2</v>
      </c>
      <c r="L668" s="2">
        <v>113.2</v>
      </c>
      <c r="M668" s="2">
        <f t="shared" si="73"/>
        <v>1</v>
      </c>
      <c r="N668" s="1">
        <f t="shared" si="74"/>
        <v>-4.5067928657629652E-2</v>
      </c>
      <c r="O668" s="2">
        <v>97.1</v>
      </c>
      <c r="P668" s="2">
        <v>106.3</v>
      </c>
      <c r="Q668" s="2">
        <f t="shared" si="75"/>
        <v>-9.2000000000000028</v>
      </c>
      <c r="R668" s="2">
        <v>-0.7</v>
      </c>
      <c r="S668" s="2">
        <v>-3</v>
      </c>
      <c r="T668" s="2">
        <f t="shared" si="76"/>
        <v>-10.200000000000003</v>
      </c>
    </row>
    <row r="669" spans="1:20">
      <c r="A669" s="6">
        <v>90</v>
      </c>
      <c r="B669" t="s">
        <v>38</v>
      </c>
      <c r="C669" t="s">
        <v>8</v>
      </c>
      <c r="D669">
        <v>23</v>
      </c>
      <c r="E669">
        <v>59</v>
      </c>
      <c r="F669" s="1">
        <f t="shared" si="70"/>
        <v>0.28048780487804881</v>
      </c>
      <c r="G669" s="2">
        <v>89.7</v>
      </c>
      <c r="H669" s="2">
        <v>96</v>
      </c>
      <c r="I669" s="2">
        <f t="shared" si="71"/>
        <v>-6.2999999999999972</v>
      </c>
      <c r="J669" s="1">
        <f t="shared" si="72"/>
        <v>0.27882772823461371</v>
      </c>
      <c r="K669" s="2">
        <v>95.6</v>
      </c>
      <c r="L669" s="2">
        <v>102.1</v>
      </c>
      <c r="M669" s="2">
        <f t="shared" si="73"/>
        <v>-6.5</v>
      </c>
      <c r="N669" s="1">
        <f t="shared" si="74"/>
        <v>1.6600766434350933E-3</v>
      </c>
      <c r="O669" s="2">
        <v>84</v>
      </c>
      <c r="P669" s="2">
        <v>100.8</v>
      </c>
      <c r="Q669" s="2">
        <f t="shared" si="75"/>
        <v>-16.799999999999997</v>
      </c>
      <c r="R669" s="2">
        <v>-2.2000000000000002</v>
      </c>
      <c r="S669" s="2">
        <v>-11.4</v>
      </c>
      <c r="T669" s="2">
        <f t="shared" si="76"/>
        <v>-10.299999999999997</v>
      </c>
    </row>
    <row r="670" spans="1:20">
      <c r="A670" s="6">
        <v>295</v>
      </c>
      <c r="B670" t="s">
        <v>47</v>
      </c>
      <c r="C670" t="s">
        <v>31</v>
      </c>
      <c r="D670">
        <v>53</v>
      </c>
      <c r="E670">
        <v>29</v>
      </c>
      <c r="F670" s="1">
        <f t="shared" si="70"/>
        <v>0.64634146341463417</v>
      </c>
      <c r="G670" s="2">
        <v>104.2</v>
      </c>
      <c r="H670" s="2">
        <v>98.9</v>
      </c>
      <c r="I670" s="2">
        <f t="shared" si="71"/>
        <v>5.2999999999999972</v>
      </c>
      <c r="J670" s="1">
        <f t="shared" si="72"/>
        <v>0.67498968076198662</v>
      </c>
      <c r="K670" s="2">
        <v>109.7</v>
      </c>
      <c r="L670" s="2">
        <v>104</v>
      </c>
      <c r="M670" s="2">
        <f t="shared" si="73"/>
        <v>5.7000000000000028</v>
      </c>
      <c r="N670" s="1">
        <f t="shared" si="74"/>
        <v>-2.8648217347352456E-2</v>
      </c>
      <c r="O670" s="2">
        <v>105.9</v>
      </c>
      <c r="P670" s="2">
        <v>110.6</v>
      </c>
      <c r="Q670" s="2">
        <f t="shared" si="75"/>
        <v>-4.6999999999999886</v>
      </c>
      <c r="R670" s="2">
        <v>1.5</v>
      </c>
      <c r="S670" s="2">
        <v>5.2</v>
      </c>
      <c r="T670" s="2">
        <f t="shared" si="76"/>
        <v>-10.399999999999991</v>
      </c>
    </row>
    <row r="671" spans="1:20">
      <c r="A671" s="6">
        <v>155</v>
      </c>
      <c r="B671" t="s">
        <v>41</v>
      </c>
      <c r="C671" t="s">
        <v>13</v>
      </c>
      <c r="D671">
        <v>34</v>
      </c>
      <c r="E671">
        <v>48</v>
      </c>
      <c r="F671" s="1">
        <f t="shared" si="70"/>
        <v>0.41463414634146339</v>
      </c>
      <c r="G671" s="2">
        <v>98.5</v>
      </c>
      <c r="H671" s="2">
        <v>99.8</v>
      </c>
      <c r="I671" s="2">
        <f t="shared" si="71"/>
        <v>-1.2999999999999972</v>
      </c>
      <c r="J671" s="1">
        <f t="shared" si="72"/>
        <v>0.45423770290238813</v>
      </c>
      <c r="K671" s="2">
        <v>103.5</v>
      </c>
      <c r="L671" s="2">
        <v>104.9</v>
      </c>
      <c r="M671" s="2">
        <f t="shared" si="73"/>
        <v>-1.4000000000000057</v>
      </c>
      <c r="N671" s="1">
        <f t="shared" si="74"/>
        <v>-3.9603556560924735E-2</v>
      </c>
      <c r="O671" s="2">
        <v>101</v>
      </c>
      <c r="P671" s="2">
        <v>112.8</v>
      </c>
      <c r="Q671" s="2">
        <f t="shared" si="75"/>
        <v>-11.799999999999997</v>
      </c>
      <c r="R671" s="2">
        <v>-0.6</v>
      </c>
      <c r="S671" s="2">
        <v>-2.7</v>
      </c>
      <c r="T671" s="2">
        <f t="shared" si="76"/>
        <v>-10.399999999999991</v>
      </c>
    </row>
    <row r="672" spans="1:20">
      <c r="A672" s="6">
        <v>217</v>
      </c>
      <c r="B672" t="s">
        <v>44</v>
      </c>
      <c r="C672" t="s">
        <v>15</v>
      </c>
      <c r="D672">
        <v>36</v>
      </c>
      <c r="E672">
        <v>46</v>
      </c>
      <c r="F672" s="1">
        <f t="shared" si="70"/>
        <v>0.43902439024390244</v>
      </c>
      <c r="G672" s="2">
        <v>104</v>
      </c>
      <c r="H672" s="2">
        <v>105.4</v>
      </c>
      <c r="I672" s="2">
        <f t="shared" si="71"/>
        <v>-1.4000000000000057</v>
      </c>
      <c r="J672" s="1">
        <f t="shared" si="72"/>
        <v>0.45333512374186213</v>
      </c>
      <c r="K672" s="2">
        <v>105.1</v>
      </c>
      <c r="L672" s="2">
        <v>106.3</v>
      </c>
      <c r="M672" s="2">
        <f t="shared" si="73"/>
        <v>-1.2000000000000028</v>
      </c>
      <c r="N672" s="1">
        <f t="shared" si="74"/>
        <v>-1.4310733497959693E-2</v>
      </c>
      <c r="O672" s="2">
        <v>101.4</v>
      </c>
      <c r="P672" s="2">
        <v>113.1</v>
      </c>
      <c r="Q672" s="2">
        <f t="shared" si="75"/>
        <v>-11.699999999999989</v>
      </c>
      <c r="R672" s="2">
        <v>0.4</v>
      </c>
      <c r="S672" s="2">
        <v>1.3</v>
      </c>
      <c r="T672" s="2">
        <f t="shared" si="76"/>
        <v>-10.499999999999986</v>
      </c>
    </row>
    <row r="673" spans="1:20">
      <c r="A673" s="6">
        <v>611</v>
      </c>
      <c r="B673" t="s">
        <v>61</v>
      </c>
      <c r="C673" t="s">
        <v>35</v>
      </c>
      <c r="D673">
        <v>38</v>
      </c>
      <c r="E673">
        <v>34</v>
      </c>
      <c r="F673" s="1">
        <f t="shared" si="70"/>
        <v>0.52777777777777779</v>
      </c>
      <c r="G673" s="2">
        <v>113.3</v>
      </c>
      <c r="H673" s="2">
        <v>112.3</v>
      </c>
      <c r="I673" s="2">
        <f t="shared" si="71"/>
        <v>1</v>
      </c>
      <c r="J673" s="1">
        <f t="shared" si="72"/>
        <v>0.53098880201006593</v>
      </c>
      <c r="K673" s="2">
        <v>111.7</v>
      </c>
      <c r="L673" s="2">
        <v>110.5</v>
      </c>
      <c r="M673" s="2">
        <f t="shared" si="73"/>
        <v>1.2000000000000028</v>
      </c>
      <c r="N673" s="1">
        <f t="shared" si="74"/>
        <v>-3.2110242322881399E-3</v>
      </c>
      <c r="O673" s="2">
        <v>101.6</v>
      </c>
      <c r="P673" s="2">
        <v>110.9</v>
      </c>
      <c r="Q673" s="2">
        <f t="shared" si="75"/>
        <v>-9.3000000000000114</v>
      </c>
      <c r="R673" s="2">
        <v>-0.2</v>
      </c>
      <c r="S673" s="2">
        <v>-1</v>
      </c>
      <c r="T673" s="2">
        <f t="shared" si="76"/>
        <v>-10.500000000000014</v>
      </c>
    </row>
    <row r="674" spans="1:20">
      <c r="A674" s="6">
        <v>653</v>
      </c>
      <c r="B674" t="s">
        <v>62</v>
      </c>
      <c r="C674" t="s">
        <v>28</v>
      </c>
      <c r="D674">
        <v>34</v>
      </c>
      <c r="E674">
        <v>48</v>
      </c>
      <c r="F674" s="1">
        <f t="shared" si="70"/>
        <v>0.41463414634146339</v>
      </c>
      <c r="G674" s="2">
        <v>113.2</v>
      </c>
      <c r="H674" s="2">
        <v>113</v>
      </c>
      <c r="I674" s="2">
        <f t="shared" si="71"/>
        <v>0.20000000000000284</v>
      </c>
      <c r="J674" s="1">
        <f t="shared" si="72"/>
        <v>0.50618889860276861</v>
      </c>
      <c r="K674" s="2">
        <v>111.9</v>
      </c>
      <c r="L674" s="2">
        <v>111.7</v>
      </c>
      <c r="M674" s="2">
        <f t="shared" si="73"/>
        <v>0.20000000000000284</v>
      </c>
      <c r="N674" s="1">
        <f t="shared" si="74"/>
        <v>-9.1554752261305217E-2</v>
      </c>
      <c r="O674" s="2">
        <v>93.4</v>
      </c>
      <c r="P674" s="2">
        <v>103.8</v>
      </c>
      <c r="Q674" s="2">
        <f t="shared" si="75"/>
        <v>-10.399999999999991</v>
      </c>
      <c r="R674" s="2">
        <v>0.7</v>
      </c>
      <c r="S674" s="2">
        <v>2.2000000000000002</v>
      </c>
      <c r="T674" s="2">
        <f t="shared" si="76"/>
        <v>-10.599999999999994</v>
      </c>
    </row>
    <row r="675" spans="1:20">
      <c r="A675" s="6">
        <v>627</v>
      </c>
      <c r="B675" t="s">
        <v>62</v>
      </c>
      <c r="C675" t="s">
        <v>5</v>
      </c>
      <c r="D675">
        <v>43</v>
      </c>
      <c r="E675">
        <v>39</v>
      </c>
      <c r="F675" s="1">
        <f t="shared" si="70"/>
        <v>0.52439024390243905</v>
      </c>
      <c r="G675" s="2">
        <v>113.9</v>
      </c>
      <c r="H675" s="2">
        <v>112.4</v>
      </c>
      <c r="I675" s="2">
        <f t="shared" si="71"/>
        <v>1.5</v>
      </c>
      <c r="J675" s="1">
        <f t="shared" si="72"/>
        <v>0.54626653254094071</v>
      </c>
      <c r="K675" s="2">
        <v>115.4</v>
      </c>
      <c r="L675" s="2">
        <v>113.7</v>
      </c>
      <c r="M675" s="2">
        <f t="shared" si="73"/>
        <v>1.7000000000000028</v>
      </c>
      <c r="N675" s="1">
        <f t="shared" si="74"/>
        <v>-2.1876288638501662E-2</v>
      </c>
      <c r="O675" s="2">
        <v>110.5</v>
      </c>
      <c r="P675" s="2">
        <v>119.4</v>
      </c>
      <c r="Q675" s="2">
        <f t="shared" si="75"/>
        <v>-8.9000000000000057</v>
      </c>
      <c r="R675" s="2">
        <v>-1.3</v>
      </c>
      <c r="S675" s="2">
        <v>-5.0999999999999996</v>
      </c>
      <c r="T675" s="2">
        <f t="shared" si="76"/>
        <v>-10.600000000000009</v>
      </c>
    </row>
    <row r="676" spans="1:20">
      <c r="A676" s="6">
        <v>95</v>
      </c>
      <c r="B676" t="s">
        <v>38</v>
      </c>
      <c r="C676" t="s">
        <v>13</v>
      </c>
      <c r="D676">
        <v>37</v>
      </c>
      <c r="E676">
        <v>45</v>
      </c>
      <c r="F676" s="1">
        <f t="shared" si="70"/>
        <v>0.45121951219512196</v>
      </c>
      <c r="G676" s="2">
        <v>93.3</v>
      </c>
      <c r="H676" s="2">
        <v>94</v>
      </c>
      <c r="I676" s="2">
        <f t="shared" si="71"/>
        <v>-0.70000000000000284</v>
      </c>
      <c r="J676" s="1">
        <f t="shared" si="72"/>
        <v>0.47386248712598766</v>
      </c>
      <c r="K676" s="2">
        <v>101.5</v>
      </c>
      <c r="L676" s="2">
        <v>102.6</v>
      </c>
      <c r="M676" s="2">
        <f t="shared" si="73"/>
        <v>-1.0999999999999943</v>
      </c>
      <c r="N676" s="1">
        <f t="shared" si="74"/>
        <v>-2.26429749308657E-2</v>
      </c>
      <c r="O676" s="2">
        <v>90.8</v>
      </c>
      <c r="P676" s="2">
        <v>102.6</v>
      </c>
      <c r="Q676" s="2">
        <f t="shared" si="75"/>
        <v>-11.799999999999997</v>
      </c>
      <c r="R676" s="2">
        <v>-0.3</v>
      </c>
      <c r="S676" s="2">
        <v>-1.7</v>
      </c>
      <c r="T676" s="2">
        <f t="shared" si="76"/>
        <v>-10.700000000000003</v>
      </c>
    </row>
    <row r="677" spans="1:20">
      <c r="A677" s="6">
        <v>68</v>
      </c>
      <c r="B677" t="s">
        <v>36</v>
      </c>
      <c r="C677" t="s">
        <v>15</v>
      </c>
      <c r="D677">
        <v>48</v>
      </c>
      <c r="E677">
        <v>34</v>
      </c>
      <c r="F677" s="1">
        <f t="shared" si="70"/>
        <v>0.58536585365853655</v>
      </c>
      <c r="G677" s="2">
        <v>96.8</v>
      </c>
      <c r="H677" s="2">
        <v>93.3</v>
      </c>
      <c r="I677" s="2">
        <f t="shared" si="71"/>
        <v>3.5</v>
      </c>
      <c r="J677" s="1">
        <f t="shared" si="72"/>
        <v>0.62611280259686619</v>
      </c>
      <c r="K677" s="2">
        <v>103.2</v>
      </c>
      <c r="L677" s="2">
        <v>99.6</v>
      </c>
      <c r="M677" s="2">
        <f t="shared" si="73"/>
        <v>3.6000000000000085</v>
      </c>
      <c r="N677" s="1">
        <f t="shared" si="74"/>
        <v>-4.0746948938329641E-2</v>
      </c>
      <c r="O677" s="2">
        <v>90.7</v>
      </c>
      <c r="P677" s="2">
        <v>97.8</v>
      </c>
      <c r="Q677" s="2">
        <f t="shared" si="75"/>
        <v>-7.0999999999999943</v>
      </c>
      <c r="R677" s="2">
        <v>-0.6</v>
      </c>
      <c r="S677" s="2">
        <v>-2.9</v>
      </c>
      <c r="T677" s="2">
        <f t="shared" si="76"/>
        <v>-10.700000000000003</v>
      </c>
    </row>
    <row r="678" spans="1:20">
      <c r="A678" s="6">
        <v>485</v>
      </c>
      <c r="B678" t="s">
        <v>57</v>
      </c>
      <c r="C678" t="s">
        <v>12</v>
      </c>
      <c r="D678">
        <v>37</v>
      </c>
      <c r="E678">
        <v>45</v>
      </c>
      <c r="F678" s="1">
        <f t="shared" si="70"/>
        <v>0.45121951219512196</v>
      </c>
      <c r="G678" s="2">
        <v>101.3</v>
      </c>
      <c r="H678" s="2">
        <v>102.5</v>
      </c>
      <c r="I678" s="2">
        <f t="shared" si="71"/>
        <v>-1.2000000000000028</v>
      </c>
      <c r="J678" s="1">
        <f t="shared" si="72"/>
        <v>0.45887575520915785</v>
      </c>
      <c r="K678" s="2">
        <v>105.3</v>
      </c>
      <c r="L678" s="2">
        <v>106.7</v>
      </c>
      <c r="M678" s="2">
        <f t="shared" si="73"/>
        <v>-1.4000000000000057</v>
      </c>
      <c r="N678" s="1">
        <f t="shared" si="74"/>
        <v>-7.6562430140358906E-3</v>
      </c>
      <c r="O678" s="2">
        <v>100.3</v>
      </c>
      <c r="P678" s="2">
        <v>112.5</v>
      </c>
      <c r="Q678" s="2">
        <f t="shared" si="75"/>
        <v>-12.200000000000003</v>
      </c>
      <c r="R678" s="2">
        <v>1.3</v>
      </c>
      <c r="S678" s="2">
        <v>3.5</v>
      </c>
      <c r="T678" s="2">
        <f t="shared" si="76"/>
        <v>-10.799999999999997</v>
      </c>
    </row>
    <row r="679" spans="1:20">
      <c r="A679" s="6">
        <v>596</v>
      </c>
      <c r="B679" t="s">
        <v>60</v>
      </c>
      <c r="C679" t="s">
        <v>33</v>
      </c>
      <c r="D679">
        <v>25</v>
      </c>
      <c r="E679">
        <v>47</v>
      </c>
      <c r="F679" s="1">
        <f t="shared" si="70"/>
        <v>0.34722222222222221</v>
      </c>
      <c r="G679" s="2">
        <v>114.4</v>
      </c>
      <c r="H679" s="2">
        <v>119.1</v>
      </c>
      <c r="I679" s="2">
        <f t="shared" si="71"/>
        <v>-4.6999999999999886</v>
      </c>
      <c r="J679" s="1">
        <f t="shared" si="72"/>
        <v>0.36269789474955427</v>
      </c>
      <c r="K679" s="2">
        <v>110.2</v>
      </c>
      <c r="L679" s="2">
        <v>114.7</v>
      </c>
      <c r="M679" s="2">
        <f t="shared" si="73"/>
        <v>-4.5</v>
      </c>
      <c r="N679" s="1">
        <f t="shared" si="74"/>
        <v>-1.5475672527332063E-2</v>
      </c>
      <c r="O679" s="2">
        <v>104.3</v>
      </c>
      <c r="P679" s="2">
        <v>119.6</v>
      </c>
      <c r="Q679" s="2">
        <f t="shared" si="75"/>
        <v>-15.299999999999997</v>
      </c>
      <c r="R679" s="2">
        <v>0.2</v>
      </c>
      <c r="S679" s="2">
        <v>-0.3</v>
      </c>
      <c r="T679" s="2">
        <f t="shared" si="76"/>
        <v>-10.799999999999997</v>
      </c>
    </row>
    <row r="680" spans="1:20">
      <c r="A680" s="6">
        <v>493</v>
      </c>
      <c r="B680" t="s">
        <v>57</v>
      </c>
      <c r="C680" t="s">
        <v>19</v>
      </c>
      <c r="D680">
        <v>42</v>
      </c>
      <c r="E680">
        <v>40</v>
      </c>
      <c r="F680" s="1">
        <f t="shared" si="70"/>
        <v>0.51219512195121952</v>
      </c>
      <c r="G680" s="2">
        <v>103.6</v>
      </c>
      <c r="H680" s="2">
        <v>103.8</v>
      </c>
      <c r="I680" s="2">
        <f t="shared" si="71"/>
        <v>-0.20000000000000284</v>
      </c>
      <c r="J680" s="1">
        <f t="shared" si="72"/>
        <v>0.49325016690450357</v>
      </c>
      <c r="K680" s="2">
        <v>108.5</v>
      </c>
      <c r="L680" s="2">
        <v>108.7</v>
      </c>
      <c r="M680" s="2">
        <f t="shared" si="73"/>
        <v>-0.20000000000000284</v>
      </c>
      <c r="N680" s="1">
        <f t="shared" si="74"/>
        <v>1.894495504671595E-2</v>
      </c>
      <c r="O680" s="2">
        <v>88.9</v>
      </c>
      <c r="P680" s="2">
        <v>100</v>
      </c>
      <c r="Q680" s="2">
        <f t="shared" si="75"/>
        <v>-11.099999999999994</v>
      </c>
      <c r="R680" s="2">
        <v>0.2</v>
      </c>
      <c r="S680" s="2">
        <v>0.8</v>
      </c>
      <c r="T680" s="2">
        <f t="shared" si="76"/>
        <v>-10.899999999999991</v>
      </c>
    </row>
    <row r="681" spans="1:20">
      <c r="A681" s="6">
        <v>633</v>
      </c>
      <c r="B681" t="s">
        <v>62</v>
      </c>
      <c r="C681" t="s">
        <v>10</v>
      </c>
      <c r="D681">
        <v>52</v>
      </c>
      <c r="E681">
        <v>30</v>
      </c>
      <c r="F681" s="1">
        <f t="shared" si="70"/>
        <v>0.63414634146341464</v>
      </c>
      <c r="G681" s="2">
        <v>108</v>
      </c>
      <c r="H681" s="2">
        <v>104.7</v>
      </c>
      <c r="I681" s="2">
        <f t="shared" si="71"/>
        <v>3.2999999999999972</v>
      </c>
      <c r="J681" s="1">
        <f t="shared" si="72"/>
        <v>0.60693567293355</v>
      </c>
      <c r="K681" s="2">
        <v>112.5</v>
      </c>
      <c r="L681" s="2">
        <v>109.1</v>
      </c>
      <c r="M681" s="2">
        <f t="shared" si="73"/>
        <v>3.4000000000000057</v>
      </c>
      <c r="N681" s="1">
        <f t="shared" si="74"/>
        <v>2.7210668529864646E-2</v>
      </c>
      <c r="O681" s="2">
        <v>109.5</v>
      </c>
      <c r="P681" s="2">
        <v>117</v>
      </c>
      <c r="Q681" s="2">
        <f t="shared" si="75"/>
        <v>-7.5</v>
      </c>
      <c r="R681" s="2">
        <v>-0.1</v>
      </c>
      <c r="S681" s="2">
        <v>-0.2</v>
      </c>
      <c r="T681" s="2">
        <f t="shared" si="76"/>
        <v>-10.900000000000006</v>
      </c>
    </row>
    <row r="682" spans="1:20">
      <c r="A682" s="6">
        <v>472</v>
      </c>
      <c r="B682" t="s">
        <v>55</v>
      </c>
      <c r="C682" t="s">
        <v>27</v>
      </c>
      <c r="D682">
        <v>33</v>
      </c>
      <c r="E682">
        <v>49</v>
      </c>
      <c r="F682" s="1">
        <f t="shared" si="70"/>
        <v>0.40243902439024393</v>
      </c>
      <c r="G682" s="2">
        <v>106.6</v>
      </c>
      <c r="H682" s="2">
        <v>109.1</v>
      </c>
      <c r="I682" s="2">
        <f t="shared" si="71"/>
        <v>-2.5</v>
      </c>
      <c r="J682" s="1">
        <f t="shared" si="72"/>
        <v>0.41956987710459787</v>
      </c>
      <c r="K682" s="2">
        <v>105.3</v>
      </c>
      <c r="L682" s="2">
        <v>107.6</v>
      </c>
      <c r="M682" s="2">
        <f t="shared" si="73"/>
        <v>-2.2999999999999972</v>
      </c>
      <c r="N682" s="1">
        <f t="shared" si="74"/>
        <v>-1.7130852714353939E-2</v>
      </c>
      <c r="O682" s="2">
        <v>93</v>
      </c>
      <c r="P682" s="2">
        <v>106.2</v>
      </c>
      <c r="Q682" s="2">
        <f t="shared" si="75"/>
        <v>-13.200000000000003</v>
      </c>
      <c r="R682" s="2">
        <v>0</v>
      </c>
      <c r="S682" s="2">
        <v>-0.5</v>
      </c>
      <c r="T682" s="2">
        <f t="shared" si="76"/>
        <v>-10.900000000000006</v>
      </c>
    </row>
    <row r="683" spans="1:20">
      <c r="A683" s="6">
        <v>344</v>
      </c>
      <c r="B683" t="s">
        <v>49</v>
      </c>
      <c r="C683" t="s">
        <v>21</v>
      </c>
      <c r="D683">
        <v>22</v>
      </c>
      <c r="E683">
        <v>44</v>
      </c>
      <c r="F683" s="1">
        <f t="shared" si="70"/>
        <v>0.33333333333333331</v>
      </c>
      <c r="G683" s="2">
        <v>93.1</v>
      </c>
      <c r="H683" s="2">
        <v>99.1</v>
      </c>
      <c r="I683" s="2">
        <f t="shared" si="71"/>
        <v>-6</v>
      </c>
      <c r="J683" s="1">
        <f t="shared" si="72"/>
        <v>0.29434506272936611</v>
      </c>
      <c r="K683" s="2">
        <v>101.8</v>
      </c>
      <c r="L683" s="2">
        <v>108.1</v>
      </c>
      <c r="M683" s="2">
        <f t="shared" si="73"/>
        <v>-6.2999999999999972</v>
      </c>
      <c r="N683" s="1">
        <f t="shared" si="74"/>
        <v>3.8988270603967201E-2</v>
      </c>
      <c r="O683" s="2">
        <v>102.3</v>
      </c>
      <c r="P683" s="2">
        <v>119.7</v>
      </c>
      <c r="Q683" s="2">
        <f t="shared" si="75"/>
        <v>-17.400000000000006</v>
      </c>
      <c r="R683" s="2">
        <v>-1.4</v>
      </c>
      <c r="S683" s="2">
        <v>-7.8</v>
      </c>
      <c r="T683" s="2">
        <f t="shared" si="76"/>
        <v>-11.100000000000009</v>
      </c>
    </row>
    <row r="684" spans="1:20">
      <c r="A684" s="6">
        <v>54</v>
      </c>
      <c r="B684" t="s">
        <v>34</v>
      </c>
      <c r="C684" t="s">
        <v>28</v>
      </c>
      <c r="D684">
        <v>58</v>
      </c>
      <c r="E684">
        <v>24</v>
      </c>
      <c r="F684" s="1">
        <f t="shared" si="70"/>
        <v>0.70731707317073167</v>
      </c>
      <c r="G684" s="2">
        <v>96.7</v>
      </c>
      <c r="H684" s="2">
        <v>90.5</v>
      </c>
      <c r="I684" s="2">
        <f t="shared" si="71"/>
        <v>6.2000000000000028</v>
      </c>
      <c r="J684" s="1">
        <f t="shared" si="72"/>
        <v>0.71660634572291726</v>
      </c>
      <c r="K684" s="2">
        <v>105.4</v>
      </c>
      <c r="L684" s="2">
        <v>98.5</v>
      </c>
      <c r="M684" s="2">
        <f t="shared" si="73"/>
        <v>6.9000000000000057</v>
      </c>
      <c r="N684" s="1">
        <f t="shared" si="74"/>
        <v>-9.2892725521855901E-3</v>
      </c>
      <c r="O684" s="2">
        <v>92.5</v>
      </c>
      <c r="P684" s="2">
        <v>96.7</v>
      </c>
      <c r="Q684" s="2">
        <f t="shared" si="75"/>
        <v>-4.2000000000000028</v>
      </c>
      <c r="R684" s="2">
        <v>0.2</v>
      </c>
      <c r="S684" s="2">
        <v>3.3</v>
      </c>
      <c r="T684" s="2">
        <f t="shared" si="76"/>
        <v>-11.100000000000009</v>
      </c>
    </row>
    <row r="685" spans="1:20">
      <c r="A685" s="6">
        <v>24</v>
      </c>
      <c r="B685" t="s">
        <v>4</v>
      </c>
      <c r="C685" t="s">
        <v>28</v>
      </c>
      <c r="D685">
        <v>58</v>
      </c>
      <c r="E685">
        <v>24</v>
      </c>
      <c r="F685" s="1">
        <f t="shared" si="70"/>
        <v>0.70731707317073167</v>
      </c>
      <c r="G685" s="2">
        <v>96.2</v>
      </c>
      <c r="H685" s="2">
        <v>88.4</v>
      </c>
      <c r="I685" s="2">
        <f t="shared" si="71"/>
        <v>7.7999999999999972</v>
      </c>
      <c r="J685" s="1">
        <f t="shared" si="72"/>
        <v>0.76563098176040723</v>
      </c>
      <c r="K685" s="2">
        <v>105</v>
      </c>
      <c r="L685" s="2">
        <v>96.6</v>
      </c>
      <c r="M685" s="2">
        <f t="shared" si="73"/>
        <v>8.4000000000000057</v>
      </c>
      <c r="N685" s="1">
        <f t="shared" si="74"/>
        <v>-5.8313908589675556E-2</v>
      </c>
      <c r="O685" s="2">
        <v>97.7</v>
      </c>
      <c r="P685" s="2">
        <v>100.4</v>
      </c>
      <c r="Q685" s="2">
        <f t="shared" si="75"/>
        <v>-2.7000000000000028</v>
      </c>
      <c r="R685" s="2">
        <v>0.9</v>
      </c>
      <c r="S685" s="2">
        <v>7.4</v>
      </c>
      <c r="T685" s="2">
        <f t="shared" si="76"/>
        <v>-11.100000000000009</v>
      </c>
    </row>
    <row r="686" spans="1:20">
      <c r="A686" s="6">
        <v>750</v>
      </c>
      <c r="B686" t="s">
        <v>66</v>
      </c>
      <c r="C686" t="s">
        <v>7</v>
      </c>
      <c r="D686">
        <v>32</v>
      </c>
      <c r="E686">
        <v>32</v>
      </c>
      <c r="F686" s="1">
        <f t="shared" si="70"/>
        <v>0.5</v>
      </c>
      <c r="G686" s="2">
        <v>116.2</v>
      </c>
      <c r="H686" s="2">
        <v>112.5</v>
      </c>
      <c r="I686" s="2">
        <f t="shared" si="71"/>
        <v>3.7000000000000028</v>
      </c>
      <c r="J686" s="1">
        <f t="shared" si="72"/>
        <v>0.61136052280832021</v>
      </c>
      <c r="K686" s="2">
        <v>117.8</v>
      </c>
      <c r="L686" s="2">
        <v>114.1</v>
      </c>
      <c r="M686" s="2">
        <f t="shared" si="73"/>
        <v>3.7000000000000028</v>
      </c>
      <c r="N686" s="1">
        <f t="shared" si="74"/>
        <v>-0.11136052280832021</v>
      </c>
      <c r="O686" s="2">
        <v>108</v>
      </c>
      <c r="P686" s="2">
        <v>115.5</v>
      </c>
      <c r="Q686" s="2">
        <f t="shared" si="75"/>
        <v>-7.5</v>
      </c>
      <c r="R686" s="2">
        <v>-0.9</v>
      </c>
      <c r="S686" s="2">
        <v>-4.9000000000000004</v>
      </c>
      <c r="T686" s="2">
        <f t="shared" si="76"/>
        <v>-11.200000000000003</v>
      </c>
    </row>
    <row r="687" spans="1:20">
      <c r="A687" s="6">
        <v>500</v>
      </c>
      <c r="B687" t="s">
        <v>57</v>
      </c>
      <c r="C687" t="s">
        <v>25</v>
      </c>
      <c r="D687">
        <v>24</v>
      </c>
      <c r="E687">
        <v>58</v>
      </c>
      <c r="F687" s="1">
        <f t="shared" si="70"/>
        <v>0.29268292682926828</v>
      </c>
      <c r="G687" s="2">
        <v>107.7</v>
      </c>
      <c r="H687" s="2">
        <v>113.3</v>
      </c>
      <c r="I687" s="2">
        <f t="shared" si="71"/>
        <v>-5.5999999999999943</v>
      </c>
      <c r="J687" s="1">
        <f t="shared" si="72"/>
        <v>0.3296752595531568</v>
      </c>
      <c r="K687" s="2">
        <v>106.1</v>
      </c>
      <c r="L687" s="2">
        <v>111.3</v>
      </c>
      <c r="M687" s="2">
        <f t="shared" si="73"/>
        <v>-5.2000000000000028</v>
      </c>
      <c r="N687" s="1">
        <f t="shared" si="74"/>
        <v>-3.6992332723888521E-2</v>
      </c>
      <c r="O687" s="2">
        <v>103</v>
      </c>
      <c r="P687" s="2">
        <v>119.5</v>
      </c>
      <c r="Q687" s="2">
        <f t="shared" si="75"/>
        <v>-16.5</v>
      </c>
      <c r="R687" s="2">
        <v>-1.5</v>
      </c>
      <c r="S687" s="2">
        <v>-7.9</v>
      </c>
      <c r="T687" s="2">
        <f t="shared" si="76"/>
        <v>-11.299999999999997</v>
      </c>
    </row>
    <row r="688" spans="1:20">
      <c r="A688" s="6">
        <v>745</v>
      </c>
      <c r="B688" t="s">
        <v>65</v>
      </c>
      <c r="C688" t="s">
        <v>31</v>
      </c>
      <c r="D688">
        <v>17</v>
      </c>
      <c r="E688">
        <v>65</v>
      </c>
      <c r="F688" s="1">
        <f t="shared" si="70"/>
        <v>0.2073170731707317</v>
      </c>
      <c r="G688" s="2">
        <v>111.9</v>
      </c>
      <c r="H688" s="2">
        <v>121.2</v>
      </c>
      <c r="I688" s="2">
        <f t="shared" si="71"/>
        <v>-9.2999999999999972</v>
      </c>
      <c r="J688" s="1">
        <f t="shared" si="72"/>
        <v>0.24643622472101792</v>
      </c>
      <c r="K688" s="2">
        <v>110.2</v>
      </c>
      <c r="L688" s="2">
        <v>119.4</v>
      </c>
      <c r="M688" s="2">
        <f t="shared" si="73"/>
        <v>-9.2000000000000028</v>
      </c>
      <c r="N688" s="1">
        <f t="shared" si="74"/>
        <v>-3.9119151550286224E-2</v>
      </c>
      <c r="O688" s="2">
        <v>106.5</v>
      </c>
      <c r="P688" s="2">
        <v>127</v>
      </c>
      <c r="Q688" s="2">
        <f t="shared" si="75"/>
        <v>-20.5</v>
      </c>
      <c r="R688" s="2">
        <v>-2</v>
      </c>
      <c r="S688" s="2">
        <v>-9.8000000000000007</v>
      </c>
      <c r="T688" s="2">
        <f t="shared" si="76"/>
        <v>-11.299999999999997</v>
      </c>
    </row>
    <row r="689" spans="1:20">
      <c r="A689" s="6">
        <v>487</v>
      </c>
      <c r="B689" t="s">
        <v>57</v>
      </c>
      <c r="C689" t="s">
        <v>14</v>
      </c>
      <c r="D689">
        <v>55</v>
      </c>
      <c r="E689">
        <v>27</v>
      </c>
      <c r="F689" s="1">
        <f t="shared" si="70"/>
        <v>0.67073170731707321</v>
      </c>
      <c r="G689" s="2">
        <v>115.3</v>
      </c>
      <c r="H689" s="2">
        <v>109.6</v>
      </c>
      <c r="I689" s="2">
        <f t="shared" si="71"/>
        <v>5.7000000000000028</v>
      </c>
      <c r="J689" s="1">
        <f t="shared" si="72"/>
        <v>0.67035712884085974</v>
      </c>
      <c r="K689" s="2">
        <v>114.1</v>
      </c>
      <c r="L689" s="2">
        <v>108.4</v>
      </c>
      <c r="M689" s="2">
        <f t="shared" si="73"/>
        <v>5.6999999999999886</v>
      </c>
      <c r="N689" s="1">
        <f t="shared" si="74"/>
        <v>3.7457847621347184E-4</v>
      </c>
      <c r="O689" s="2">
        <v>100</v>
      </c>
      <c r="P689" s="2">
        <v>105.7</v>
      </c>
      <c r="Q689" s="2">
        <f t="shared" si="75"/>
        <v>-5.7000000000000028</v>
      </c>
      <c r="R689" s="2">
        <v>-1.1000000000000001</v>
      </c>
      <c r="S689" s="2">
        <v>-3.5</v>
      </c>
      <c r="T689" s="2">
        <f t="shared" si="76"/>
        <v>-11.399999999999991</v>
      </c>
    </row>
    <row r="690" spans="1:20">
      <c r="A690" s="6">
        <v>342</v>
      </c>
      <c r="B690" t="s">
        <v>49</v>
      </c>
      <c r="C690" t="s">
        <v>19</v>
      </c>
      <c r="D690">
        <v>31</v>
      </c>
      <c r="E690">
        <v>35</v>
      </c>
      <c r="F690" s="1">
        <f t="shared" si="70"/>
        <v>0.46969696969696972</v>
      </c>
      <c r="G690" s="2">
        <v>99</v>
      </c>
      <c r="H690" s="2">
        <v>98.7</v>
      </c>
      <c r="I690" s="2">
        <f t="shared" si="71"/>
        <v>0.29999999999999716</v>
      </c>
      <c r="J690" s="1">
        <f t="shared" si="72"/>
        <v>0.51062056521838828</v>
      </c>
      <c r="K690" s="2">
        <v>104.5</v>
      </c>
      <c r="L690" s="2">
        <v>104.1</v>
      </c>
      <c r="M690" s="2">
        <f t="shared" si="73"/>
        <v>0.40000000000000568</v>
      </c>
      <c r="N690" s="1">
        <f t="shared" si="74"/>
        <v>-4.0923595521418554E-2</v>
      </c>
      <c r="O690" s="2">
        <v>96.1</v>
      </c>
      <c r="P690" s="2">
        <v>107.1</v>
      </c>
      <c r="Q690" s="2">
        <f t="shared" si="75"/>
        <v>-11</v>
      </c>
      <c r="R690" s="2">
        <v>1.1000000000000001</v>
      </c>
      <c r="S690" s="2">
        <v>4.5</v>
      </c>
      <c r="T690" s="2">
        <f t="shared" si="76"/>
        <v>-11.400000000000006</v>
      </c>
    </row>
    <row r="691" spans="1:20">
      <c r="A691" s="6">
        <v>72</v>
      </c>
      <c r="B691" t="s">
        <v>36</v>
      </c>
      <c r="C691" t="s">
        <v>18</v>
      </c>
      <c r="D691">
        <v>25</v>
      </c>
      <c r="E691">
        <v>57</v>
      </c>
      <c r="F691" s="1">
        <f t="shared" si="70"/>
        <v>0.3048780487804878</v>
      </c>
      <c r="G691" s="2">
        <v>85.6</v>
      </c>
      <c r="H691" s="2">
        <v>90.6</v>
      </c>
      <c r="I691" s="2">
        <f t="shared" si="71"/>
        <v>-5</v>
      </c>
      <c r="J691" s="1">
        <f t="shared" si="72"/>
        <v>0.31114644436616246</v>
      </c>
      <c r="K691" s="2">
        <v>95.4</v>
      </c>
      <c r="L691" s="2">
        <v>101.2</v>
      </c>
      <c r="M691" s="2">
        <f t="shared" si="73"/>
        <v>-5.7999999999999972</v>
      </c>
      <c r="N691" s="1">
        <f t="shared" si="74"/>
        <v>-6.2683955856746576E-3</v>
      </c>
      <c r="O691" s="2">
        <v>85.2</v>
      </c>
      <c r="P691" s="2">
        <v>102.5</v>
      </c>
      <c r="Q691" s="2">
        <f t="shared" si="75"/>
        <v>-17.299999999999997</v>
      </c>
      <c r="R691" s="2">
        <v>-0.9</v>
      </c>
      <c r="S691" s="2">
        <v>-5.6</v>
      </c>
      <c r="T691" s="2">
        <f t="shared" si="76"/>
        <v>-11.5</v>
      </c>
    </row>
    <row r="692" spans="1:20">
      <c r="A692" s="6">
        <v>248</v>
      </c>
      <c r="B692" t="s">
        <v>45</v>
      </c>
      <c r="C692" t="s">
        <v>16</v>
      </c>
      <c r="D692">
        <v>19</v>
      </c>
      <c r="E692">
        <v>63</v>
      </c>
      <c r="F692" s="1">
        <f t="shared" si="70"/>
        <v>0.23170731707317074</v>
      </c>
      <c r="G692" s="2">
        <v>95.1</v>
      </c>
      <c r="H692" s="2">
        <v>103.9</v>
      </c>
      <c r="I692" s="2">
        <f t="shared" si="71"/>
        <v>-8.8000000000000114</v>
      </c>
      <c r="J692" s="1">
        <f t="shared" si="72"/>
        <v>0.22461027237292155</v>
      </c>
      <c r="K692" s="2">
        <v>101</v>
      </c>
      <c r="L692" s="2">
        <v>110.1</v>
      </c>
      <c r="M692" s="2">
        <f t="shared" si="73"/>
        <v>-9.0999999999999943</v>
      </c>
      <c r="N692" s="1">
        <f t="shared" si="74"/>
        <v>7.0970447002491888E-3</v>
      </c>
      <c r="O692" s="2">
        <v>92.9</v>
      </c>
      <c r="P692" s="2">
        <v>113.7</v>
      </c>
      <c r="Q692" s="2">
        <f t="shared" si="75"/>
        <v>-20.799999999999997</v>
      </c>
      <c r="R692" s="2">
        <v>-2.2000000000000002</v>
      </c>
      <c r="S692" s="2">
        <v>-11.6</v>
      </c>
      <c r="T692" s="2">
        <f t="shared" si="76"/>
        <v>-11.700000000000003</v>
      </c>
    </row>
    <row r="693" spans="1:20">
      <c r="A693" s="6">
        <v>46</v>
      </c>
      <c r="B693" t="s">
        <v>34</v>
      </c>
      <c r="C693" t="s">
        <v>20</v>
      </c>
      <c r="D693">
        <v>50</v>
      </c>
      <c r="E693">
        <v>32</v>
      </c>
      <c r="F693" s="1">
        <f t="shared" si="70"/>
        <v>0.6097560975609756</v>
      </c>
      <c r="G693" s="2">
        <v>99.3</v>
      </c>
      <c r="H693" s="2">
        <v>96</v>
      </c>
      <c r="I693" s="2">
        <f t="shared" si="71"/>
        <v>3.2999999999999972</v>
      </c>
      <c r="J693" s="1">
        <f t="shared" si="72"/>
        <v>0.6161321966292217</v>
      </c>
      <c r="K693" s="2">
        <v>107.5</v>
      </c>
      <c r="L693" s="2">
        <v>104.1</v>
      </c>
      <c r="M693" s="2">
        <f t="shared" si="73"/>
        <v>3.4000000000000057</v>
      </c>
      <c r="N693" s="1">
        <f t="shared" si="74"/>
        <v>-6.3760990682460994E-3</v>
      </c>
      <c r="O693" s="2">
        <v>94.3</v>
      </c>
      <c r="P693" s="2">
        <v>102.6</v>
      </c>
      <c r="Q693" s="2">
        <f t="shared" si="75"/>
        <v>-8.2999999999999972</v>
      </c>
      <c r="R693" s="2">
        <v>-0.2</v>
      </c>
      <c r="S693" s="2">
        <v>-1.3</v>
      </c>
      <c r="T693" s="2">
        <f t="shared" si="76"/>
        <v>-11.700000000000003</v>
      </c>
    </row>
    <row r="694" spans="1:20">
      <c r="A694" s="6">
        <v>408</v>
      </c>
      <c r="B694" t="s">
        <v>52</v>
      </c>
      <c r="C694" t="s">
        <v>23</v>
      </c>
      <c r="D694">
        <v>23</v>
      </c>
      <c r="E694">
        <v>59</v>
      </c>
      <c r="F694" s="1">
        <f t="shared" si="70"/>
        <v>0.28048780487804881</v>
      </c>
      <c r="G694" s="2">
        <v>96.5</v>
      </c>
      <c r="H694" s="2">
        <v>102</v>
      </c>
      <c r="I694" s="2">
        <f t="shared" si="71"/>
        <v>-5.5</v>
      </c>
      <c r="J694" s="1">
        <f t="shared" si="72"/>
        <v>0.31517888985534531</v>
      </c>
      <c r="K694" s="2">
        <v>101</v>
      </c>
      <c r="L694" s="2">
        <v>106.6</v>
      </c>
      <c r="M694" s="2">
        <f t="shared" si="73"/>
        <v>-5.5999999999999943</v>
      </c>
      <c r="N694" s="1">
        <f t="shared" si="74"/>
        <v>-3.4691084977296505E-2</v>
      </c>
      <c r="O694" s="2">
        <v>87.9</v>
      </c>
      <c r="P694" s="2">
        <v>105.2</v>
      </c>
      <c r="Q694" s="2">
        <f t="shared" si="75"/>
        <v>-17.299999999999997</v>
      </c>
      <c r="R694" s="2">
        <v>-0.3</v>
      </c>
      <c r="S694" s="2">
        <v>-2.1</v>
      </c>
      <c r="T694" s="2">
        <f t="shared" si="76"/>
        <v>-11.700000000000003</v>
      </c>
    </row>
    <row r="695" spans="1:20">
      <c r="A695" s="6">
        <v>748</v>
      </c>
      <c r="B695" t="s">
        <v>66</v>
      </c>
      <c r="C695" t="s">
        <v>6</v>
      </c>
      <c r="D695">
        <v>42</v>
      </c>
      <c r="E695">
        <v>21</v>
      </c>
      <c r="F695" s="1">
        <f t="shared" si="70"/>
        <v>0.66666666666666663</v>
      </c>
      <c r="G695" s="2">
        <v>114.5</v>
      </c>
      <c r="H695" s="2">
        <v>107</v>
      </c>
      <c r="I695" s="2">
        <f t="shared" si="71"/>
        <v>7.5</v>
      </c>
      <c r="J695" s="1">
        <f t="shared" si="72"/>
        <v>0.72080211390693061</v>
      </c>
      <c r="K695" s="2">
        <v>119.9</v>
      </c>
      <c r="L695" s="2">
        <v>111.7</v>
      </c>
      <c r="M695" s="2">
        <f t="shared" si="73"/>
        <v>8.2000000000000028</v>
      </c>
      <c r="N695" s="1">
        <f t="shared" si="74"/>
        <v>-5.4135447240263979E-2</v>
      </c>
      <c r="O695" s="2">
        <v>113.1</v>
      </c>
      <c r="P695" s="2">
        <v>116.6</v>
      </c>
      <c r="Q695" s="2">
        <f t="shared" si="75"/>
        <v>-3.5</v>
      </c>
      <c r="R695" s="2">
        <v>1.2</v>
      </c>
      <c r="S695" s="2">
        <v>4.7</v>
      </c>
      <c r="T695" s="2">
        <f t="shared" si="76"/>
        <v>-11.700000000000003</v>
      </c>
    </row>
    <row r="696" spans="1:20">
      <c r="A696" s="6">
        <v>725</v>
      </c>
      <c r="B696" t="s">
        <v>65</v>
      </c>
      <c r="C696" t="s">
        <v>12</v>
      </c>
      <c r="D696">
        <v>44</v>
      </c>
      <c r="E696">
        <v>38</v>
      </c>
      <c r="F696" s="1">
        <f t="shared" si="70"/>
        <v>0.53658536585365857</v>
      </c>
      <c r="G696" s="2">
        <v>115.5</v>
      </c>
      <c r="H696" s="2">
        <v>113.6</v>
      </c>
      <c r="I696" s="2">
        <f t="shared" si="71"/>
        <v>1.9000000000000057</v>
      </c>
      <c r="J696" s="1">
        <f t="shared" si="72"/>
        <v>0.55779509756392176</v>
      </c>
      <c r="K696" s="2">
        <v>114.6</v>
      </c>
      <c r="L696" s="2">
        <v>112.5</v>
      </c>
      <c r="M696" s="2">
        <f t="shared" si="73"/>
        <v>2.0999999999999943</v>
      </c>
      <c r="N696" s="1">
        <f t="shared" si="74"/>
        <v>-2.1209731710263191E-2</v>
      </c>
      <c r="O696" s="2">
        <v>107.4</v>
      </c>
      <c r="P696" s="2">
        <v>117.1</v>
      </c>
      <c r="Q696" s="2">
        <f t="shared" si="75"/>
        <v>-9.6999999999999886</v>
      </c>
      <c r="R696" s="2">
        <v>0.3</v>
      </c>
      <c r="S696" s="2">
        <v>1.1000000000000001</v>
      </c>
      <c r="T696" s="2">
        <f t="shared" si="76"/>
        <v>-11.799999999999983</v>
      </c>
    </row>
    <row r="697" spans="1:20">
      <c r="A697" s="6">
        <v>19</v>
      </c>
      <c r="B697" t="s">
        <v>4</v>
      </c>
      <c r="C697" t="s">
        <v>23</v>
      </c>
      <c r="D697">
        <v>43</v>
      </c>
      <c r="E697">
        <v>39</v>
      </c>
      <c r="F697" s="1">
        <f t="shared" si="70"/>
        <v>0.52439024390243905</v>
      </c>
      <c r="G697" s="2">
        <v>97.5</v>
      </c>
      <c r="H697" s="2">
        <v>96.5</v>
      </c>
      <c r="I697" s="2">
        <f t="shared" si="71"/>
        <v>1</v>
      </c>
      <c r="J697" s="1">
        <f t="shared" si="72"/>
        <v>0.5360202858252715</v>
      </c>
      <c r="K697" s="2">
        <v>102.1</v>
      </c>
      <c r="L697" s="2">
        <v>101.1</v>
      </c>
      <c r="M697" s="2">
        <f t="shared" si="73"/>
        <v>1</v>
      </c>
      <c r="N697" s="1">
        <f t="shared" si="74"/>
        <v>-1.1630041922832457E-2</v>
      </c>
      <c r="O697" s="2">
        <v>93.5</v>
      </c>
      <c r="P697" s="2">
        <v>104.3</v>
      </c>
      <c r="Q697" s="2">
        <f t="shared" si="75"/>
        <v>-10.799999999999997</v>
      </c>
      <c r="R697" s="2">
        <v>-0.6</v>
      </c>
      <c r="S697" s="2">
        <v>-3.5</v>
      </c>
      <c r="T697" s="2">
        <f t="shared" si="76"/>
        <v>-11.799999999999997</v>
      </c>
    </row>
    <row r="698" spans="1:20">
      <c r="A698" s="6">
        <v>554</v>
      </c>
      <c r="B698" t="s">
        <v>59</v>
      </c>
      <c r="C698" t="s">
        <v>20</v>
      </c>
      <c r="D698">
        <v>36</v>
      </c>
      <c r="E698">
        <v>46</v>
      </c>
      <c r="F698" s="1">
        <f t="shared" si="70"/>
        <v>0.43902439024390244</v>
      </c>
      <c r="G698" s="2">
        <v>112.5</v>
      </c>
      <c r="H698" s="2">
        <v>114</v>
      </c>
      <c r="I698" s="2">
        <f t="shared" si="71"/>
        <v>-1.5</v>
      </c>
      <c r="J698" s="1">
        <f t="shared" si="72"/>
        <v>0.45377408880323472</v>
      </c>
      <c r="K698" s="2">
        <v>110.6</v>
      </c>
      <c r="L698" s="2">
        <v>112.2</v>
      </c>
      <c r="M698" s="2">
        <f t="shared" si="73"/>
        <v>-1.6000000000000085</v>
      </c>
      <c r="N698" s="1">
        <f t="shared" si="74"/>
        <v>-1.474969855933228E-2</v>
      </c>
      <c r="O698" s="2">
        <v>100</v>
      </c>
      <c r="P698" s="2">
        <v>113.4</v>
      </c>
      <c r="Q698" s="2">
        <f t="shared" si="75"/>
        <v>-13.400000000000006</v>
      </c>
      <c r="R698" s="2">
        <v>-1.2</v>
      </c>
      <c r="S698" s="2">
        <v>-5.3</v>
      </c>
      <c r="T698" s="2">
        <f t="shared" si="76"/>
        <v>-11.799999999999997</v>
      </c>
    </row>
    <row r="699" spans="1:20">
      <c r="A699" s="6">
        <v>135</v>
      </c>
      <c r="B699" t="s">
        <v>39</v>
      </c>
      <c r="C699" t="s">
        <v>37</v>
      </c>
      <c r="D699">
        <v>18</v>
      </c>
      <c r="E699">
        <v>64</v>
      </c>
      <c r="F699" s="1">
        <f t="shared" si="70"/>
        <v>0.21951219512195122</v>
      </c>
      <c r="G699" s="2">
        <v>88.4</v>
      </c>
      <c r="H699" s="2">
        <v>95.5</v>
      </c>
      <c r="I699" s="2">
        <f t="shared" si="71"/>
        <v>-7.0999999999999943</v>
      </c>
      <c r="J699" s="1">
        <f t="shared" si="72"/>
        <v>0.25321093551837054</v>
      </c>
      <c r="K699" s="2">
        <v>98.2</v>
      </c>
      <c r="L699" s="2">
        <v>105.9</v>
      </c>
      <c r="M699" s="2">
        <f t="shared" si="73"/>
        <v>-7.7000000000000028</v>
      </c>
      <c r="N699" s="1">
        <f t="shared" si="74"/>
        <v>-3.3698740396419319E-2</v>
      </c>
      <c r="O699" s="2">
        <v>88</v>
      </c>
      <c r="P699" s="2">
        <v>107.5</v>
      </c>
      <c r="Q699" s="2">
        <f t="shared" si="75"/>
        <v>-19.5</v>
      </c>
      <c r="R699" s="2">
        <v>-0.1</v>
      </c>
      <c r="S699" s="2">
        <v>-4.3</v>
      </c>
      <c r="T699" s="2">
        <f t="shared" si="76"/>
        <v>-11.799999999999997</v>
      </c>
    </row>
    <row r="700" spans="1:20">
      <c r="A700" s="6">
        <v>492</v>
      </c>
      <c r="B700" t="s">
        <v>57</v>
      </c>
      <c r="C700" t="s">
        <v>18</v>
      </c>
      <c r="D700">
        <v>41</v>
      </c>
      <c r="E700">
        <v>41</v>
      </c>
      <c r="F700" s="1">
        <f t="shared" si="70"/>
        <v>0.5</v>
      </c>
      <c r="G700" s="2">
        <v>103.2</v>
      </c>
      <c r="H700" s="2">
        <v>102.1</v>
      </c>
      <c r="I700" s="2">
        <f t="shared" si="71"/>
        <v>1.1000000000000085</v>
      </c>
      <c r="J700" s="1">
        <f t="shared" si="72"/>
        <v>0.53743625677450491</v>
      </c>
      <c r="K700" s="2">
        <v>107.4</v>
      </c>
      <c r="L700" s="2">
        <v>106.4</v>
      </c>
      <c r="M700" s="2">
        <f t="shared" si="73"/>
        <v>1</v>
      </c>
      <c r="N700" s="1">
        <f t="shared" si="74"/>
        <v>-3.7436256774504906E-2</v>
      </c>
      <c r="O700" s="2">
        <v>96.4</v>
      </c>
      <c r="P700" s="2">
        <v>107.3</v>
      </c>
      <c r="Q700" s="2">
        <f t="shared" si="75"/>
        <v>-10.899999999999991</v>
      </c>
      <c r="R700" s="2">
        <v>1</v>
      </c>
      <c r="S700" s="2">
        <v>3.5</v>
      </c>
      <c r="T700" s="2">
        <f t="shared" si="76"/>
        <v>-11.899999999999991</v>
      </c>
    </row>
    <row r="701" spans="1:20">
      <c r="A701" s="6">
        <v>319</v>
      </c>
      <c r="B701" t="s">
        <v>48</v>
      </c>
      <c r="C701" t="s">
        <v>24</v>
      </c>
      <c r="D701">
        <v>41</v>
      </c>
      <c r="E701">
        <v>41</v>
      </c>
      <c r="F701" s="1">
        <f t="shared" si="70"/>
        <v>0.5</v>
      </c>
      <c r="G701" s="2">
        <v>99</v>
      </c>
      <c r="H701" s="2">
        <v>97.5</v>
      </c>
      <c r="I701" s="2">
        <f t="shared" si="71"/>
        <v>1.5</v>
      </c>
      <c r="J701" s="1">
        <f t="shared" si="72"/>
        <v>0.55323363393409675</v>
      </c>
      <c r="K701" s="2">
        <v>105.3</v>
      </c>
      <c r="L701" s="2">
        <v>103.8</v>
      </c>
      <c r="M701" s="2">
        <f t="shared" si="73"/>
        <v>1.5</v>
      </c>
      <c r="N701" s="1">
        <f t="shared" si="74"/>
        <v>-5.3233633934096747E-2</v>
      </c>
      <c r="O701" s="2">
        <v>97.2</v>
      </c>
      <c r="P701" s="2">
        <v>107.6</v>
      </c>
      <c r="Q701" s="2">
        <f t="shared" si="75"/>
        <v>-10.399999999999991</v>
      </c>
      <c r="R701" s="2">
        <v>0.3</v>
      </c>
      <c r="S701" s="2">
        <v>1.6</v>
      </c>
      <c r="T701" s="2">
        <f t="shared" si="76"/>
        <v>-11.899999999999991</v>
      </c>
    </row>
    <row r="702" spans="1:20">
      <c r="A702" s="6">
        <v>88</v>
      </c>
      <c r="B702" t="s">
        <v>38</v>
      </c>
      <c r="C702" t="s">
        <v>5</v>
      </c>
      <c r="D702">
        <v>28</v>
      </c>
      <c r="E702">
        <v>54</v>
      </c>
      <c r="F702" s="1">
        <f t="shared" si="70"/>
        <v>0.34146341463414637</v>
      </c>
      <c r="G702" s="2">
        <v>92.8</v>
      </c>
      <c r="H702" s="2">
        <v>97.5</v>
      </c>
      <c r="I702" s="2">
        <f t="shared" si="71"/>
        <v>-4.7000000000000028</v>
      </c>
      <c r="J702" s="1">
        <f t="shared" si="72"/>
        <v>0.33365937867276591</v>
      </c>
      <c r="K702" s="2">
        <v>99.1</v>
      </c>
      <c r="L702" s="2">
        <v>103.9</v>
      </c>
      <c r="M702" s="2">
        <f t="shared" si="73"/>
        <v>-4.8000000000000114</v>
      </c>
      <c r="N702" s="1">
        <f t="shared" si="74"/>
        <v>7.8040359613804622E-3</v>
      </c>
      <c r="O702" s="2">
        <v>89.9</v>
      </c>
      <c r="P702" s="2">
        <v>106.7</v>
      </c>
      <c r="Q702" s="2">
        <f t="shared" si="75"/>
        <v>-16.799999999999997</v>
      </c>
      <c r="R702" s="2">
        <v>-1.9</v>
      </c>
      <c r="S702" s="2">
        <v>-8</v>
      </c>
      <c r="T702" s="2">
        <f t="shared" si="76"/>
        <v>-11.999999999999986</v>
      </c>
    </row>
    <row r="703" spans="1:20">
      <c r="A703" s="6">
        <v>1</v>
      </c>
      <c r="B703" t="s">
        <v>4</v>
      </c>
      <c r="C703" t="s">
        <v>5</v>
      </c>
      <c r="D703">
        <v>25</v>
      </c>
      <c r="E703">
        <v>57</v>
      </c>
      <c r="F703" s="1">
        <f t="shared" si="70"/>
        <v>0.3048780487804878</v>
      </c>
      <c r="G703" s="2">
        <v>91</v>
      </c>
      <c r="H703" s="2">
        <v>96.2</v>
      </c>
      <c r="I703" s="2">
        <f t="shared" si="71"/>
        <v>-5.2000000000000028</v>
      </c>
      <c r="J703" s="1">
        <f t="shared" si="72"/>
        <v>0.31475585496453756</v>
      </c>
      <c r="K703" s="2">
        <v>96.9</v>
      </c>
      <c r="L703" s="2">
        <v>102.4</v>
      </c>
      <c r="M703" s="2">
        <f t="shared" si="73"/>
        <v>-5.5</v>
      </c>
      <c r="N703" s="1">
        <f t="shared" si="74"/>
        <v>-9.8778061840497644E-3</v>
      </c>
      <c r="O703" s="2">
        <v>87</v>
      </c>
      <c r="P703" s="2">
        <v>104.5</v>
      </c>
      <c r="Q703" s="2">
        <f t="shared" si="75"/>
        <v>-17.5</v>
      </c>
      <c r="R703" s="2">
        <v>-0.9</v>
      </c>
      <c r="S703" s="2">
        <v>-7.4</v>
      </c>
      <c r="T703" s="2">
        <f t="shared" si="76"/>
        <v>-12</v>
      </c>
    </row>
    <row r="704" spans="1:20">
      <c r="A704" s="6">
        <v>206</v>
      </c>
      <c r="B704" t="s">
        <v>43</v>
      </c>
      <c r="C704" t="s">
        <v>33</v>
      </c>
      <c r="D704">
        <v>41</v>
      </c>
      <c r="E704">
        <v>41</v>
      </c>
      <c r="F704" s="1">
        <f t="shared" si="70"/>
        <v>0.5</v>
      </c>
      <c r="G704" s="2">
        <v>104.3</v>
      </c>
      <c r="H704" s="2">
        <v>104.9</v>
      </c>
      <c r="I704" s="2">
        <f t="shared" si="71"/>
        <v>-0.60000000000000853</v>
      </c>
      <c r="J704" s="1">
        <f t="shared" si="72"/>
        <v>0.47993424575681876</v>
      </c>
      <c r="K704" s="2">
        <v>108.7</v>
      </c>
      <c r="L704" s="2">
        <v>109.1</v>
      </c>
      <c r="M704" s="2">
        <f t="shared" si="73"/>
        <v>-0.39999999999999147</v>
      </c>
      <c r="N704" s="1">
        <f t="shared" si="74"/>
        <v>2.0065754243181244E-2</v>
      </c>
      <c r="O704" s="2">
        <v>102.3</v>
      </c>
      <c r="P704" s="2">
        <v>114.7</v>
      </c>
      <c r="Q704" s="2">
        <f t="shared" si="75"/>
        <v>-12.400000000000006</v>
      </c>
      <c r="R704" s="2">
        <v>-1.4</v>
      </c>
      <c r="S704" s="2">
        <v>-7.2</v>
      </c>
      <c r="T704" s="2">
        <f t="shared" si="76"/>
        <v>-12.000000000000014</v>
      </c>
    </row>
    <row r="705" spans="1:20">
      <c r="A705" s="6">
        <v>292</v>
      </c>
      <c r="B705" t="s">
        <v>47</v>
      </c>
      <c r="C705" t="s">
        <v>27</v>
      </c>
      <c r="D705">
        <v>25</v>
      </c>
      <c r="E705">
        <v>57</v>
      </c>
      <c r="F705" s="1">
        <f t="shared" si="70"/>
        <v>0.3048780487804878</v>
      </c>
      <c r="G705" s="2">
        <v>100</v>
      </c>
      <c r="H705" s="2">
        <v>104.4</v>
      </c>
      <c r="I705" s="2">
        <f t="shared" si="71"/>
        <v>-4.4000000000000057</v>
      </c>
      <c r="J705" s="1">
        <f t="shared" si="72"/>
        <v>0.35369584952753241</v>
      </c>
      <c r="K705" s="2">
        <v>104.4</v>
      </c>
      <c r="L705" s="2">
        <v>109.1</v>
      </c>
      <c r="M705" s="2">
        <f t="shared" si="73"/>
        <v>-4.6999999999999886</v>
      </c>
      <c r="N705" s="1">
        <f t="shared" si="74"/>
        <v>-4.8817800747044615E-2</v>
      </c>
      <c r="O705" s="2">
        <v>98.1</v>
      </c>
      <c r="P705" s="2">
        <v>114.8</v>
      </c>
      <c r="Q705" s="2">
        <f t="shared" si="75"/>
        <v>-16.700000000000003</v>
      </c>
      <c r="R705" s="2">
        <v>-0.9</v>
      </c>
      <c r="S705" s="2">
        <v>-3.6</v>
      </c>
      <c r="T705" s="2">
        <f t="shared" si="76"/>
        <v>-12.000000000000014</v>
      </c>
    </row>
    <row r="706" spans="1:20">
      <c r="A706" s="6">
        <v>624</v>
      </c>
      <c r="B706" t="s">
        <v>61</v>
      </c>
      <c r="C706" t="s">
        <v>30</v>
      </c>
      <c r="D706">
        <v>27</v>
      </c>
      <c r="E706">
        <v>45</v>
      </c>
      <c r="F706" s="1">
        <f t="shared" si="70"/>
        <v>0.375</v>
      </c>
      <c r="G706" s="2">
        <v>111.3</v>
      </c>
      <c r="H706" s="2">
        <v>111.7</v>
      </c>
      <c r="I706" s="2">
        <f t="shared" si="71"/>
        <v>-0.40000000000000568</v>
      </c>
      <c r="J706" s="1">
        <f t="shared" si="72"/>
        <v>0.48744657142272707</v>
      </c>
      <c r="K706" s="2">
        <v>111.6</v>
      </c>
      <c r="L706" s="2">
        <v>112</v>
      </c>
      <c r="M706" s="2">
        <f t="shared" si="73"/>
        <v>-0.40000000000000568</v>
      </c>
      <c r="N706" s="1">
        <f t="shared" si="74"/>
        <v>-0.11244657142272707</v>
      </c>
      <c r="O706" s="2">
        <v>100.8</v>
      </c>
      <c r="P706" s="2">
        <v>113.3</v>
      </c>
      <c r="Q706" s="2">
        <f t="shared" si="75"/>
        <v>-12.5</v>
      </c>
      <c r="R706" s="2">
        <v>0.8</v>
      </c>
      <c r="S706" s="2">
        <v>3.1</v>
      </c>
      <c r="T706" s="2">
        <f t="shared" si="76"/>
        <v>-12.099999999999994</v>
      </c>
    </row>
    <row r="707" spans="1:20">
      <c r="A707" s="6">
        <v>266</v>
      </c>
      <c r="B707" t="s">
        <v>45</v>
      </c>
      <c r="C707" t="s">
        <v>33</v>
      </c>
      <c r="D707">
        <v>19</v>
      </c>
      <c r="E707">
        <v>63</v>
      </c>
      <c r="F707" s="1">
        <f t="shared" si="70"/>
        <v>0.23170731707317074</v>
      </c>
      <c r="G707" s="2">
        <v>96.1</v>
      </c>
      <c r="H707" s="2">
        <v>103.5</v>
      </c>
      <c r="I707" s="2">
        <f t="shared" si="71"/>
        <v>-7.4000000000000057</v>
      </c>
      <c r="J707" s="1">
        <f t="shared" si="72"/>
        <v>0.26142945333120382</v>
      </c>
      <c r="K707" s="2">
        <v>104</v>
      </c>
      <c r="L707" s="2">
        <v>112.1</v>
      </c>
      <c r="M707" s="2">
        <f t="shared" si="73"/>
        <v>-8.0999999999999943</v>
      </c>
      <c r="N707" s="1">
        <f t="shared" si="74"/>
        <v>-2.9722136258033077E-2</v>
      </c>
      <c r="O707" s="2">
        <v>98.5</v>
      </c>
      <c r="P707" s="2">
        <v>118.7</v>
      </c>
      <c r="Q707" s="2">
        <f t="shared" si="75"/>
        <v>-20.200000000000003</v>
      </c>
      <c r="R707" s="2">
        <v>-1.6</v>
      </c>
      <c r="S707" s="2">
        <v>-9</v>
      </c>
      <c r="T707" s="2">
        <f t="shared" si="76"/>
        <v>-12.100000000000009</v>
      </c>
    </row>
    <row r="708" spans="1:20">
      <c r="A708" s="6">
        <v>598</v>
      </c>
      <c r="B708" t="s">
        <v>61</v>
      </c>
      <c r="C708" t="s">
        <v>6</v>
      </c>
      <c r="D708">
        <v>36</v>
      </c>
      <c r="E708">
        <v>36</v>
      </c>
      <c r="F708" s="1">
        <f t="shared" si="70"/>
        <v>0.5</v>
      </c>
      <c r="G708" s="2">
        <v>112.6</v>
      </c>
      <c r="H708" s="2">
        <v>111.2</v>
      </c>
      <c r="I708" s="2">
        <f t="shared" si="71"/>
        <v>1.3999999999999915</v>
      </c>
      <c r="J708" s="1">
        <f t="shared" si="72"/>
        <v>0.54367805340698128</v>
      </c>
      <c r="K708" s="2">
        <v>113.1</v>
      </c>
      <c r="L708" s="2">
        <v>111.8</v>
      </c>
      <c r="M708" s="2">
        <f t="shared" si="73"/>
        <v>1.2999999999999972</v>
      </c>
      <c r="N708" s="1">
        <f t="shared" si="74"/>
        <v>-4.3678053406981276E-2</v>
      </c>
      <c r="O708" s="2">
        <v>101.5</v>
      </c>
      <c r="P708" s="2">
        <v>112.4</v>
      </c>
      <c r="Q708" s="2">
        <f t="shared" si="75"/>
        <v>-10.900000000000006</v>
      </c>
      <c r="R708" s="2">
        <v>0.5</v>
      </c>
      <c r="S708" s="2">
        <v>1.9</v>
      </c>
      <c r="T708" s="2">
        <f t="shared" si="76"/>
        <v>-12.200000000000003</v>
      </c>
    </row>
    <row r="709" spans="1:20">
      <c r="A709" s="6">
        <v>157</v>
      </c>
      <c r="B709" t="s">
        <v>41</v>
      </c>
      <c r="C709" t="s">
        <v>15</v>
      </c>
      <c r="D709">
        <v>41</v>
      </c>
      <c r="E709">
        <v>41</v>
      </c>
      <c r="F709" s="1">
        <f t="shared" si="70"/>
        <v>0.5</v>
      </c>
      <c r="G709" s="2">
        <v>93.9</v>
      </c>
      <c r="H709" s="2">
        <v>92</v>
      </c>
      <c r="I709" s="2">
        <f t="shared" si="71"/>
        <v>1.9000000000000057</v>
      </c>
      <c r="J709" s="1">
        <f t="shared" si="72"/>
        <v>0.57106198271976594</v>
      </c>
      <c r="K709" s="2">
        <v>103.1</v>
      </c>
      <c r="L709" s="2">
        <v>101</v>
      </c>
      <c r="M709" s="2">
        <f t="shared" si="73"/>
        <v>2.0999999999999943</v>
      </c>
      <c r="N709" s="1">
        <f t="shared" si="74"/>
        <v>-7.1061982719765937E-2</v>
      </c>
      <c r="O709" s="2">
        <v>91.4</v>
      </c>
      <c r="P709" s="2">
        <v>101.6</v>
      </c>
      <c r="Q709" s="2">
        <f t="shared" si="75"/>
        <v>-10.199999999999989</v>
      </c>
      <c r="R709" s="2">
        <v>-0.2</v>
      </c>
      <c r="S709" s="2">
        <v>0.8</v>
      </c>
      <c r="T709" s="2">
        <f t="shared" si="76"/>
        <v>-12.299999999999983</v>
      </c>
    </row>
    <row r="710" spans="1:20">
      <c r="A710" s="6">
        <v>136</v>
      </c>
      <c r="B710" t="s">
        <v>39</v>
      </c>
      <c r="C710" t="s">
        <v>22</v>
      </c>
      <c r="D710">
        <v>33</v>
      </c>
      <c r="E710">
        <v>49</v>
      </c>
      <c r="F710" s="1">
        <f t="shared" si="70"/>
        <v>0.40243902439024393</v>
      </c>
      <c r="G710" s="2">
        <v>97.3</v>
      </c>
      <c r="H710" s="2">
        <v>99.7</v>
      </c>
      <c r="I710" s="2">
        <f t="shared" si="71"/>
        <v>-2.4000000000000057</v>
      </c>
      <c r="J710" s="1">
        <f t="shared" si="72"/>
        <v>0.4155341313693024</v>
      </c>
      <c r="K710" s="2">
        <v>104.5</v>
      </c>
      <c r="L710" s="2">
        <v>107.2</v>
      </c>
      <c r="M710" s="2">
        <f t="shared" si="73"/>
        <v>-2.7000000000000028</v>
      </c>
      <c r="N710" s="1">
        <f t="shared" si="74"/>
        <v>-1.3095106979058468E-2</v>
      </c>
      <c r="O710" s="2">
        <v>96.2</v>
      </c>
      <c r="P710" s="2">
        <v>111.3</v>
      </c>
      <c r="Q710" s="2">
        <f t="shared" si="75"/>
        <v>-15.099999999999994</v>
      </c>
      <c r="R710" s="2">
        <v>-0.8</v>
      </c>
      <c r="S710" s="2">
        <v>-6.6</v>
      </c>
      <c r="T710" s="2">
        <f t="shared" si="76"/>
        <v>-12.399999999999991</v>
      </c>
    </row>
    <row r="711" spans="1:20">
      <c r="A711" s="6">
        <v>64</v>
      </c>
      <c r="B711" t="s">
        <v>36</v>
      </c>
      <c r="C711" t="s">
        <v>11</v>
      </c>
      <c r="D711">
        <v>17</v>
      </c>
      <c r="E711">
        <v>65</v>
      </c>
      <c r="F711" s="1">
        <f t="shared" si="70"/>
        <v>0.2073170731707317</v>
      </c>
      <c r="G711" s="2">
        <v>84.2</v>
      </c>
      <c r="H711" s="2">
        <v>92.4</v>
      </c>
      <c r="I711" s="2">
        <f t="shared" si="71"/>
        <v>-8.2000000000000028</v>
      </c>
      <c r="J711" s="1">
        <f t="shared" si="72"/>
        <v>0.21398855794642072</v>
      </c>
      <c r="K711" s="2">
        <v>91.2</v>
      </c>
      <c r="L711" s="2">
        <v>100.1</v>
      </c>
      <c r="M711" s="2">
        <f t="shared" si="73"/>
        <v>-8.8999999999999915</v>
      </c>
      <c r="N711" s="1">
        <f t="shared" si="74"/>
        <v>-6.6714847756890183E-3</v>
      </c>
      <c r="O711" s="2">
        <v>89.6</v>
      </c>
      <c r="P711" s="2">
        <v>110.9</v>
      </c>
      <c r="Q711" s="2">
        <f t="shared" si="75"/>
        <v>-21.300000000000011</v>
      </c>
      <c r="R711" s="2">
        <v>-0.5</v>
      </c>
      <c r="S711" s="2">
        <v>-3.3</v>
      </c>
      <c r="T711" s="2">
        <f t="shared" si="76"/>
        <v>-12.40000000000002</v>
      </c>
    </row>
    <row r="712" spans="1:20">
      <c r="A712" s="6">
        <v>163</v>
      </c>
      <c r="B712" t="s">
        <v>41</v>
      </c>
      <c r="C712" t="s">
        <v>20</v>
      </c>
      <c r="D712">
        <v>33</v>
      </c>
      <c r="E712">
        <v>49</v>
      </c>
      <c r="F712" s="1">
        <f t="shared" si="70"/>
        <v>0.40243902439024393</v>
      </c>
      <c r="G712" s="2">
        <v>91.7</v>
      </c>
      <c r="H712" s="2">
        <v>93.6</v>
      </c>
      <c r="I712" s="2">
        <f t="shared" si="71"/>
        <v>-1.8999999999999915</v>
      </c>
      <c r="J712" s="1">
        <f t="shared" si="72"/>
        <v>0.42871102935912059</v>
      </c>
      <c r="K712" s="2">
        <v>101.5</v>
      </c>
      <c r="L712" s="2">
        <v>103.5</v>
      </c>
      <c r="M712" s="2">
        <f t="shared" si="73"/>
        <v>-2</v>
      </c>
      <c r="N712" s="1">
        <f t="shared" si="74"/>
        <v>-2.6272004968876661E-2</v>
      </c>
      <c r="O712" s="2">
        <v>95.6</v>
      </c>
      <c r="P712" s="2">
        <v>110.1</v>
      </c>
      <c r="Q712" s="2">
        <f t="shared" si="75"/>
        <v>-14.5</v>
      </c>
      <c r="R712" s="2">
        <v>-1</v>
      </c>
      <c r="S712" s="2">
        <v>-5.6</v>
      </c>
      <c r="T712" s="2">
        <f t="shared" si="76"/>
        <v>-12.5</v>
      </c>
    </row>
    <row r="713" spans="1:20">
      <c r="A713" s="6">
        <v>676</v>
      </c>
      <c r="B713" t="s">
        <v>63</v>
      </c>
      <c r="C713" t="s">
        <v>22</v>
      </c>
      <c r="D713">
        <v>47</v>
      </c>
      <c r="E713">
        <v>35</v>
      </c>
      <c r="F713" s="1">
        <f t="shared" ref="F713:F776" si="77">+D713/(D713+E713)</f>
        <v>0.57317073170731703</v>
      </c>
      <c r="G713" s="2">
        <v>116</v>
      </c>
      <c r="H713" s="2">
        <v>113.1</v>
      </c>
      <c r="I713" s="2">
        <f t="shared" ref="I713:I776" si="78">+G713-H713</f>
        <v>2.9000000000000057</v>
      </c>
      <c r="J713" s="1">
        <f t="shared" ref="J713:J776" si="79">+(G713^14)/((G713^14+H713^14))</f>
        <v>0.58769610800156147</v>
      </c>
      <c r="K713" s="2">
        <v>117</v>
      </c>
      <c r="L713" s="2">
        <v>114.2</v>
      </c>
      <c r="M713" s="2">
        <f t="shared" ref="M713:M776" si="80">+K713-L713</f>
        <v>2.7999999999999972</v>
      </c>
      <c r="N713" s="1">
        <f t="shared" ref="N713:N776" si="81">+F713-J713</f>
        <v>-1.4525376294244441E-2</v>
      </c>
      <c r="O713" s="2">
        <v>109.1</v>
      </c>
      <c r="P713" s="2">
        <v>119</v>
      </c>
      <c r="Q713" s="2">
        <f t="shared" ref="Q713:Q776" si="82">+O713-P713</f>
        <v>-9.9000000000000057</v>
      </c>
      <c r="R713" s="2">
        <v>0</v>
      </c>
      <c r="S713" s="2">
        <v>0.6</v>
      </c>
      <c r="T713" s="2">
        <f t="shared" ref="T713:T776" si="83">+Q713-M713</f>
        <v>-12.700000000000003</v>
      </c>
    </row>
    <row r="714" spans="1:20">
      <c r="A714" s="6">
        <v>687</v>
      </c>
      <c r="B714" t="s">
        <v>64</v>
      </c>
      <c r="C714" t="s">
        <v>5</v>
      </c>
      <c r="D714">
        <v>36</v>
      </c>
      <c r="E714">
        <v>46</v>
      </c>
      <c r="F714" s="1">
        <f t="shared" si="77"/>
        <v>0.43902439024390244</v>
      </c>
      <c r="G714" s="2">
        <v>118.3</v>
      </c>
      <c r="H714" s="2">
        <v>120.5</v>
      </c>
      <c r="I714" s="2">
        <f t="shared" si="78"/>
        <v>-2.2000000000000028</v>
      </c>
      <c r="J714" s="1">
        <f t="shared" si="79"/>
        <v>0.43586432994244823</v>
      </c>
      <c r="K714" s="2">
        <v>116.4</v>
      </c>
      <c r="L714" s="2">
        <v>118.4</v>
      </c>
      <c r="M714" s="2">
        <f t="shared" si="80"/>
        <v>-2</v>
      </c>
      <c r="N714" s="1">
        <f t="shared" si="81"/>
        <v>3.160060301454215E-3</v>
      </c>
      <c r="O714" s="2">
        <v>103.9</v>
      </c>
      <c r="P714" s="2">
        <v>118.7</v>
      </c>
      <c r="Q714" s="2">
        <f t="shared" si="82"/>
        <v>-14.799999999999997</v>
      </c>
      <c r="R714" s="2">
        <v>-0.9</v>
      </c>
      <c r="S714" s="2">
        <v>-5</v>
      </c>
      <c r="T714" s="2">
        <f t="shared" si="83"/>
        <v>-12.799999999999997</v>
      </c>
    </row>
    <row r="715" spans="1:20">
      <c r="A715" s="6">
        <v>754</v>
      </c>
      <c r="B715" t="s">
        <v>66</v>
      </c>
      <c r="C715" t="s">
        <v>11</v>
      </c>
      <c r="D715">
        <v>39</v>
      </c>
      <c r="E715">
        <v>25</v>
      </c>
      <c r="F715" s="1">
        <f t="shared" si="77"/>
        <v>0.609375</v>
      </c>
      <c r="G715" s="2">
        <v>120.2</v>
      </c>
      <c r="H715" s="2">
        <v>116.5</v>
      </c>
      <c r="I715" s="2">
        <f t="shared" si="78"/>
        <v>3.7000000000000028</v>
      </c>
      <c r="J715" s="1">
        <f t="shared" si="79"/>
        <v>0.6077157346709432</v>
      </c>
      <c r="K715" s="2">
        <v>120</v>
      </c>
      <c r="L715" s="2">
        <v>116.3</v>
      </c>
      <c r="M715" s="2">
        <f t="shared" si="80"/>
        <v>3.7000000000000028</v>
      </c>
      <c r="N715" s="1">
        <f t="shared" si="81"/>
        <v>1.6592653290568027E-3</v>
      </c>
      <c r="O715" s="2">
        <v>119.4</v>
      </c>
      <c r="P715" s="2">
        <v>128.5</v>
      </c>
      <c r="Q715" s="2">
        <f t="shared" si="82"/>
        <v>-9.0999999999999943</v>
      </c>
      <c r="R715" s="2">
        <v>-0.5</v>
      </c>
      <c r="S715" s="2">
        <v>-2.8</v>
      </c>
      <c r="T715" s="2">
        <f t="shared" si="83"/>
        <v>-12.799999999999997</v>
      </c>
    </row>
    <row r="716" spans="1:20">
      <c r="A716" s="6">
        <v>573</v>
      </c>
      <c r="B716" t="s">
        <v>60</v>
      </c>
      <c r="C716" t="s">
        <v>10</v>
      </c>
      <c r="D716">
        <v>43</v>
      </c>
      <c r="E716">
        <v>32</v>
      </c>
      <c r="F716" s="1">
        <f t="shared" si="77"/>
        <v>0.57333333333333336</v>
      </c>
      <c r="G716" s="2">
        <v>117</v>
      </c>
      <c r="H716" s="2">
        <v>112.1</v>
      </c>
      <c r="I716" s="2">
        <f t="shared" si="78"/>
        <v>4.9000000000000057</v>
      </c>
      <c r="J716" s="1">
        <f t="shared" si="79"/>
        <v>0.64541752583706569</v>
      </c>
      <c r="K716" s="2">
        <v>115.9</v>
      </c>
      <c r="L716" s="2">
        <v>111.2</v>
      </c>
      <c r="M716" s="2">
        <f t="shared" si="80"/>
        <v>4.7000000000000028</v>
      </c>
      <c r="N716" s="1">
        <f t="shared" si="81"/>
        <v>-7.2084192503732325E-2</v>
      </c>
      <c r="O716" s="2">
        <v>99.4</v>
      </c>
      <c r="P716" s="2">
        <v>107.5</v>
      </c>
      <c r="Q716" s="2">
        <f t="shared" si="82"/>
        <v>-8.0999999999999943</v>
      </c>
      <c r="R716" s="2">
        <v>0.5</v>
      </c>
      <c r="S716" s="2">
        <v>1.9</v>
      </c>
      <c r="T716" s="2">
        <f t="shared" si="83"/>
        <v>-12.799999999999997</v>
      </c>
    </row>
    <row r="717" spans="1:20">
      <c r="A717" s="6">
        <v>765</v>
      </c>
      <c r="B717" t="s">
        <v>66</v>
      </c>
      <c r="C717" t="s">
        <v>53</v>
      </c>
      <c r="D717">
        <v>20</v>
      </c>
      <c r="E717">
        <v>45</v>
      </c>
      <c r="F717" s="1">
        <f t="shared" si="77"/>
        <v>0.30769230769230771</v>
      </c>
      <c r="G717" s="2">
        <v>115.2</v>
      </c>
      <c r="H717" s="2">
        <v>120.2</v>
      </c>
      <c r="I717" s="2">
        <f t="shared" si="78"/>
        <v>-5</v>
      </c>
      <c r="J717" s="1">
        <f t="shared" si="79"/>
        <v>0.35552926815627678</v>
      </c>
      <c r="K717" s="2">
        <v>112.8</v>
      </c>
      <c r="L717" s="2">
        <v>117.8</v>
      </c>
      <c r="M717" s="2">
        <f t="shared" si="80"/>
        <v>-5</v>
      </c>
      <c r="N717" s="1">
        <f t="shared" si="81"/>
        <v>-4.7836960463969069E-2</v>
      </c>
      <c r="O717" s="2">
        <v>105.7</v>
      </c>
      <c r="P717" s="2">
        <v>123.7</v>
      </c>
      <c r="Q717" s="2">
        <f t="shared" si="82"/>
        <v>-18</v>
      </c>
      <c r="R717" s="2">
        <v>-1.1000000000000001</v>
      </c>
      <c r="S717" s="2">
        <v>-1.7</v>
      </c>
      <c r="T717" s="2">
        <f t="shared" si="83"/>
        <v>-13</v>
      </c>
    </row>
    <row r="718" spans="1:20">
      <c r="A718" s="6">
        <v>289</v>
      </c>
      <c r="B718" t="s">
        <v>47</v>
      </c>
      <c r="C718" t="s">
        <v>24</v>
      </c>
      <c r="D718">
        <v>27</v>
      </c>
      <c r="E718">
        <v>55</v>
      </c>
      <c r="F718" s="1">
        <f t="shared" si="77"/>
        <v>0.32926829268292684</v>
      </c>
      <c r="G718" s="2">
        <v>97.7</v>
      </c>
      <c r="H718" s="2">
        <v>101.6</v>
      </c>
      <c r="I718" s="2">
        <f t="shared" si="78"/>
        <v>-3.8999999999999915</v>
      </c>
      <c r="J718" s="1">
        <f t="shared" si="79"/>
        <v>0.36633141190976742</v>
      </c>
      <c r="K718" s="2">
        <v>104.8</v>
      </c>
      <c r="L718" s="2">
        <v>108.9</v>
      </c>
      <c r="M718" s="2">
        <f t="shared" si="80"/>
        <v>-4.1000000000000085</v>
      </c>
      <c r="N718" s="1">
        <f t="shared" si="81"/>
        <v>-3.706311922684058E-2</v>
      </c>
      <c r="O718" s="2">
        <v>93.9</v>
      </c>
      <c r="P718" s="2">
        <v>111.1</v>
      </c>
      <c r="Q718" s="2">
        <f t="shared" si="82"/>
        <v>-17.199999999999989</v>
      </c>
      <c r="R718" s="2">
        <v>-1.4</v>
      </c>
      <c r="S718" s="2">
        <v>-8.1</v>
      </c>
      <c r="T718" s="2">
        <f t="shared" si="83"/>
        <v>-13.09999999999998</v>
      </c>
    </row>
    <row r="719" spans="1:20">
      <c r="A719" s="6">
        <v>403</v>
      </c>
      <c r="B719" t="s">
        <v>52</v>
      </c>
      <c r="C719" t="s">
        <v>19</v>
      </c>
      <c r="D719">
        <v>15</v>
      </c>
      <c r="E719">
        <v>67</v>
      </c>
      <c r="F719" s="1">
        <f t="shared" si="77"/>
        <v>0.18292682926829268</v>
      </c>
      <c r="G719" s="2">
        <v>95.5</v>
      </c>
      <c r="H719" s="2">
        <v>103.7</v>
      </c>
      <c r="I719" s="2">
        <f t="shared" si="78"/>
        <v>-8.2000000000000028</v>
      </c>
      <c r="J719" s="1">
        <f t="shared" si="79"/>
        <v>0.23989374282891526</v>
      </c>
      <c r="K719" s="2">
        <v>101.9</v>
      </c>
      <c r="L719" s="2">
        <v>110.2</v>
      </c>
      <c r="M719" s="2">
        <f t="shared" si="80"/>
        <v>-8.2999999999999972</v>
      </c>
      <c r="N719" s="1">
        <f t="shared" si="81"/>
        <v>-5.6966913560622584E-2</v>
      </c>
      <c r="O719" s="2">
        <v>87.3</v>
      </c>
      <c r="P719" s="2">
        <v>108.7</v>
      </c>
      <c r="Q719" s="2">
        <f t="shared" si="82"/>
        <v>-21.400000000000006</v>
      </c>
      <c r="R719" s="2">
        <v>0</v>
      </c>
      <c r="S719" s="2">
        <v>-0.9</v>
      </c>
      <c r="T719" s="2">
        <f t="shared" si="83"/>
        <v>-13.100000000000009</v>
      </c>
    </row>
    <row r="720" spans="1:20">
      <c r="A720" s="6">
        <v>322</v>
      </c>
      <c r="B720" t="s">
        <v>48</v>
      </c>
      <c r="C720" t="s">
        <v>27</v>
      </c>
      <c r="D720">
        <v>24</v>
      </c>
      <c r="E720">
        <v>58</v>
      </c>
      <c r="F720" s="1">
        <f t="shared" si="77"/>
        <v>0.29268292682926828</v>
      </c>
      <c r="G720" s="2">
        <v>99.4</v>
      </c>
      <c r="H720" s="2">
        <v>104.7</v>
      </c>
      <c r="I720" s="2">
        <f t="shared" si="78"/>
        <v>-5.2999999999999972</v>
      </c>
      <c r="J720" s="1">
        <f t="shared" si="79"/>
        <v>0.32579671565672774</v>
      </c>
      <c r="K720" s="2">
        <v>102.9</v>
      </c>
      <c r="L720" s="2">
        <v>108.4</v>
      </c>
      <c r="M720" s="2">
        <f t="shared" si="80"/>
        <v>-5.5</v>
      </c>
      <c r="N720" s="1">
        <f t="shared" si="81"/>
        <v>-3.3113788827459467E-2</v>
      </c>
      <c r="O720" s="2">
        <v>88.3</v>
      </c>
      <c r="P720" s="2">
        <v>107</v>
      </c>
      <c r="Q720" s="2">
        <f t="shared" si="82"/>
        <v>-18.700000000000003</v>
      </c>
      <c r="R720" s="2">
        <v>-0.3</v>
      </c>
      <c r="S720" s="2">
        <v>-1.9</v>
      </c>
      <c r="T720" s="2">
        <f t="shared" si="83"/>
        <v>-13.200000000000003</v>
      </c>
    </row>
    <row r="721" spans="1:20">
      <c r="A721" s="6">
        <v>126</v>
      </c>
      <c r="B721" t="s">
        <v>39</v>
      </c>
      <c r="C721" t="s">
        <v>14</v>
      </c>
      <c r="D721">
        <v>51</v>
      </c>
      <c r="E721">
        <v>31</v>
      </c>
      <c r="F721" s="1">
        <f t="shared" si="77"/>
        <v>0.62195121951219512</v>
      </c>
      <c r="G721" s="2">
        <v>95.1</v>
      </c>
      <c r="H721" s="2">
        <v>91</v>
      </c>
      <c r="I721" s="2">
        <f t="shared" si="78"/>
        <v>4.0999999999999943</v>
      </c>
      <c r="J721" s="1">
        <f t="shared" si="79"/>
        <v>0.64952967421468588</v>
      </c>
      <c r="K721" s="2">
        <v>104.4</v>
      </c>
      <c r="L721" s="2">
        <v>100.1</v>
      </c>
      <c r="M721" s="2">
        <f t="shared" si="80"/>
        <v>4.3000000000000114</v>
      </c>
      <c r="N721" s="1">
        <f t="shared" si="81"/>
        <v>-2.7578454702490762E-2</v>
      </c>
      <c r="O721" s="2">
        <v>95.7</v>
      </c>
      <c r="P721" s="2">
        <v>104.7</v>
      </c>
      <c r="Q721" s="2">
        <f t="shared" si="82"/>
        <v>-9</v>
      </c>
      <c r="R721" s="2">
        <v>0.4</v>
      </c>
      <c r="S721" s="2">
        <v>2.2000000000000002</v>
      </c>
      <c r="T721" s="2">
        <f t="shared" si="83"/>
        <v>-13.300000000000011</v>
      </c>
    </row>
    <row r="722" spans="1:20">
      <c r="A722" s="6">
        <v>609</v>
      </c>
      <c r="B722" t="s">
        <v>61</v>
      </c>
      <c r="C722" t="s">
        <v>56</v>
      </c>
      <c r="D722">
        <v>47</v>
      </c>
      <c r="E722">
        <v>25</v>
      </c>
      <c r="F722" s="1">
        <f t="shared" si="77"/>
        <v>0.65277777777777779</v>
      </c>
      <c r="G722" s="2">
        <v>114</v>
      </c>
      <c r="H722" s="2">
        <v>107.8</v>
      </c>
      <c r="I722" s="2">
        <f t="shared" si="78"/>
        <v>6.2000000000000028</v>
      </c>
      <c r="J722" s="1">
        <f t="shared" si="79"/>
        <v>0.68630286858129474</v>
      </c>
      <c r="K722" s="2">
        <v>116.7</v>
      </c>
      <c r="L722" s="2">
        <v>110.6</v>
      </c>
      <c r="M722" s="2">
        <f t="shared" si="80"/>
        <v>6.1000000000000085</v>
      </c>
      <c r="N722" s="1">
        <f t="shared" si="81"/>
        <v>-3.3525090803516955E-2</v>
      </c>
      <c r="O722" s="2">
        <v>110.3</v>
      </c>
      <c r="P722" s="2">
        <v>117.5</v>
      </c>
      <c r="Q722" s="2">
        <f t="shared" si="82"/>
        <v>-7.2000000000000028</v>
      </c>
      <c r="R722" s="2">
        <v>1.1000000000000001</v>
      </c>
      <c r="S722" s="2">
        <v>5.7</v>
      </c>
      <c r="T722" s="2">
        <f t="shared" si="83"/>
        <v>-13.300000000000011</v>
      </c>
    </row>
    <row r="723" spans="1:20">
      <c r="A723" s="6">
        <v>576</v>
      </c>
      <c r="B723" t="s">
        <v>60</v>
      </c>
      <c r="C723" t="s">
        <v>13</v>
      </c>
      <c r="D723">
        <v>15</v>
      </c>
      <c r="E723">
        <v>50</v>
      </c>
      <c r="F723" s="1">
        <f t="shared" si="77"/>
        <v>0.23076923076923078</v>
      </c>
      <c r="G723" s="2">
        <v>106.3</v>
      </c>
      <c r="H723" s="2">
        <v>115</v>
      </c>
      <c r="I723" s="2">
        <f t="shared" si="78"/>
        <v>-8.7000000000000028</v>
      </c>
      <c r="J723" s="1">
        <f t="shared" si="79"/>
        <v>0.24948968898515997</v>
      </c>
      <c r="K723" s="2">
        <v>104.4</v>
      </c>
      <c r="L723" s="2">
        <v>113</v>
      </c>
      <c r="M723" s="2">
        <f t="shared" si="80"/>
        <v>-8.5999999999999943</v>
      </c>
      <c r="N723" s="1">
        <f t="shared" si="81"/>
        <v>-1.8720458215929187E-2</v>
      </c>
      <c r="O723" s="2">
        <v>102.9</v>
      </c>
      <c r="P723" s="2">
        <v>124.9</v>
      </c>
      <c r="Q723" s="2">
        <f t="shared" si="82"/>
        <v>-22</v>
      </c>
      <c r="R723" s="2">
        <v>-0.5</v>
      </c>
      <c r="S723" s="2">
        <v>-0.5</v>
      </c>
      <c r="T723" s="2">
        <f t="shared" si="83"/>
        <v>-13.400000000000006</v>
      </c>
    </row>
    <row r="724" spans="1:20">
      <c r="A724" s="6">
        <v>324</v>
      </c>
      <c r="B724" t="s">
        <v>48</v>
      </c>
      <c r="C724" t="s">
        <v>30</v>
      </c>
      <c r="D724">
        <v>22</v>
      </c>
      <c r="E724">
        <v>60</v>
      </c>
      <c r="F724" s="1">
        <f t="shared" si="77"/>
        <v>0.26829268292682928</v>
      </c>
      <c r="G724" s="2">
        <v>99.1</v>
      </c>
      <c r="H724" s="2">
        <v>105.4</v>
      </c>
      <c r="I724" s="2">
        <f t="shared" si="78"/>
        <v>-6.3000000000000114</v>
      </c>
      <c r="J724" s="1">
        <f t="shared" si="79"/>
        <v>0.29674116981682536</v>
      </c>
      <c r="K724" s="2">
        <v>105.2</v>
      </c>
      <c r="L724" s="2">
        <v>111.7</v>
      </c>
      <c r="M724" s="2">
        <f t="shared" si="80"/>
        <v>-6.5</v>
      </c>
      <c r="N724" s="1">
        <f t="shared" si="81"/>
        <v>-2.8448486889996072E-2</v>
      </c>
      <c r="O724" s="2">
        <v>93.3</v>
      </c>
      <c r="P724" s="2">
        <v>113.2</v>
      </c>
      <c r="Q724" s="2">
        <f t="shared" si="82"/>
        <v>-19.900000000000006</v>
      </c>
      <c r="R724" s="2">
        <v>-1.7</v>
      </c>
      <c r="S724" s="2">
        <v>-9</v>
      </c>
      <c r="T724" s="2">
        <f t="shared" si="83"/>
        <v>-13.400000000000006</v>
      </c>
    </row>
    <row r="725" spans="1:20">
      <c r="A725" s="6">
        <v>245</v>
      </c>
      <c r="B725" t="s">
        <v>45</v>
      </c>
      <c r="C725" t="s">
        <v>13</v>
      </c>
      <c r="D725">
        <v>29</v>
      </c>
      <c r="E725">
        <v>53</v>
      </c>
      <c r="F725" s="1">
        <f t="shared" si="77"/>
        <v>0.35365853658536583</v>
      </c>
      <c r="G725" s="2">
        <v>108.6</v>
      </c>
      <c r="H725" s="2">
        <v>112.3</v>
      </c>
      <c r="I725" s="2">
        <f t="shared" si="78"/>
        <v>-3.7000000000000028</v>
      </c>
      <c r="J725" s="1">
        <f t="shared" si="79"/>
        <v>0.38484482323315583</v>
      </c>
      <c r="K725" s="2">
        <v>108</v>
      </c>
      <c r="L725" s="2">
        <v>111.7</v>
      </c>
      <c r="M725" s="2">
        <f t="shared" si="80"/>
        <v>-3.7000000000000028</v>
      </c>
      <c r="N725" s="1">
        <f t="shared" si="81"/>
        <v>-3.1186286647789996E-2</v>
      </c>
      <c r="O725" s="2">
        <v>93.7</v>
      </c>
      <c r="P725" s="2">
        <v>111.1</v>
      </c>
      <c r="Q725" s="2">
        <f t="shared" si="82"/>
        <v>-17.399999999999991</v>
      </c>
      <c r="R725" s="2">
        <v>-0.7</v>
      </c>
      <c r="S725" s="2">
        <v>-2.5</v>
      </c>
      <c r="T725" s="2">
        <f t="shared" si="83"/>
        <v>-13.699999999999989</v>
      </c>
    </row>
    <row r="726" spans="1:20">
      <c r="A726" s="6">
        <v>201</v>
      </c>
      <c r="B726" t="s">
        <v>43</v>
      </c>
      <c r="C726" t="s">
        <v>27</v>
      </c>
      <c r="D726">
        <v>33</v>
      </c>
      <c r="E726">
        <v>49</v>
      </c>
      <c r="F726" s="1">
        <f t="shared" si="77"/>
        <v>0.40243902439024393</v>
      </c>
      <c r="G726" s="2">
        <v>101.3</v>
      </c>
      <c r="H726" s="2">
        <v>103.1</v>
      </c>
      <c r="I726" s="2">
        <f t="shared" si="78"/>
        <v>-1.7999999999999972</v>
      </c>
      <c r="J726" s="1">
        <f t="shared" si="79"/>
        <v>0.43866503316264344</v>
      </c>
      <c r="K726" s="2">
        <v>105.1</v>
      </c>
      <c r="L726" s="2">
        <v>106.7</v>
      </c>
      <c r="M726" s="2">
        <f t="shared" si="80"/>
        <v>-1.6000000000000085</v>
      </c>
      <c r="N726" s="1">
        <f t="shared" si="81"/>
        <v>-3.6226008772399509E-2</v>
      </c>
      <c r="O726" s="2">
        <v>93.7</v>
      </c>
      <c r="P726" s="2">
        <v>109</v>
      </c>
      <c r="Q726" s="2">
        <f t="shared" si="82"/>
        <v>-15.299999999999997</v>
      </c>
      <c r="R726" s="2">
        <v>-0.4</v>
      </c>
      <c r="S726" s="2">
        <v>-1.3</v>
      </c>
      <c r="T726" s="2">
        <f t="shared" si="83"/>
        <v>-13.699999999999989</v>
      </c>
    </row>
    <row r="727" spans="1:20">
      <c r="A727" s="6">
        <v>186</v>
      </c>
      <c r="B727" t="s">
        <v>43</v>
      </c>
      <c r="C727" t="s">
        <v>14</v>
      </c>
      <c r="D727">
        <v>52</v>
      </c>
      <c r="E727">
        <v>30</v>
      </c>
      <c r="F727" s="1">
        <f t="shared" si="77"/>
        <v>0.63414634146341464</v>
      </c>
      <c r="G727" s="2">
        <v>97</v>
      </c>
      <c r="H727" s="2">
        <v>92.1</v>
      </c>
      <c r="I727" s="2">
        <f t="shared" si="78"/>
        <v>4.9000000000000057</v>
      </c>
      <c r="J727" s="1">
        <f t="shared" si="79"/>
        <v>0.67386194635235153</v>
      </c>
      <c r="K727" s="2">
        <v>104.7</v>
      </c>
      <c r="L727" s="2">
        <v>99.7</v>
      </c>
      <c r="M727" s="2">
        <f t="shared" si="80"/>
        <v>5</v>
      </c>
      <c r="N727" s="1">
        <f t="shared" si="81"/>
        <v>-3.9715604888936884E-2</v>
      </c>
      <c r="O727" s="2">
        <v>99.7</v>
      </c>
      <c r="P727" s="2">
        <v>108.4</v>
      </c>
      <c r="Q727" s="2">
        <f t="shared" si="82"/>
        <v>-8.7000000000000028</v>
      </c>
      <c r="R727" s="2">
        <v>-1.4</v>
      </c>
      <c r="S727" s="2">
        <v>-3.9</v>
      </c>
      <c r="T727" s="2">
        <f t="shared" si="83"/>
        <v>-13.700000000000003</v>
      </c>
    </row>
    <row r="728" spans="1:20">
      <c r="A728" s="6">
        <v>253</v>
      </c>
      <c r="B728" t="s">
        <v>45</v>
      </c>
      <c r="C728" t="s">
        <v>20</v>
      </c>
      <c r="D728">
        <v>24</v>
      </c>
      <c r="E728">
        <v>58</v>
      </c>
      <c r="F728" s="1">
        <f t="shared" si="77"/>
        <v>0.29268292682926828</v>
      </c>
      <c r="G728" s="2">
        <v>97.8</v>
      </c>
      <c r="H728" s="2">
        <v>102.7</v>
      </c>
      <c r="I728" s="2">
        <f t="shared" si="78"/>
        <v>-4.9000000000000057</v>
      </c>
      <c r="J728" s="1">
        <f t="shared" si="79"/>
        <v>0.33527428063081338</v>
      </c>
      <c r="K728" s="2">
        <v>104.9</v>
      </c>
      <c r="L728" s="2">
        <v>109.9</v>
      </c>
      <c r="M728" s="2">
        <f t="shared" si="80"/>
        <v>-5</v>
      </c>
      <c r="N728" s="1">
        <f t="shared" si="81"/>
        <v>-4.2591353801545107E-2</v>
      </c>
      <c r="O728" s="2">
        <v>100.9</v>
      </c>
      <c r="P728" s="2">
        <v>119.7</v>
      </c>
      <c r="Q728" s="2">
        <f t="shared" si="82"/>
        <v>-18.799999999999997</v>
      </c>
      <c r="R728" s="2">
        <v>-1</v>
      </c>
      <c r="S728" s="2">
        <v>-5.5</v>
      </c>
      <c r="T728" s="2">
        <f t="shared" si="83"/>
        <v>-13.799999999999997</v>
      </c>
    </row>
    <row r="729" spans="1:20">
      <c r="A729" s="6">
        <v>744</v>
      </c>
      <c r="B729" t="s">
        <v>65</v>
      </c>
      <c r="C729" t="s">
        <v>30</v>
      </c>
      <c r="D729">
        <v>30</v>
      </c>
      <c r="E729">
        <v>52</v>
      </c>
      <c r="F729" s="1">
        <f t="shared" si="77"/>
        <v>0.36585365853658536</v>
      </c>
      <c r="G729" s="2">
        <v>110.9</v>
      </c>
      <c r="H729" s="2">
        <v>115.2</v>
      </c>
      <c r="I729" s="2">
        <f t="shared" si="78"/>
        <v>-4.2999999999999972</v>
      </c>
      <c r="J729" s="1">
        <f t="shared" si="79"/>
        <v>0.36991722047205011</v>
      </c>
      <c r="K729" s="2">
        <v>109.6</v>
      </c>
      <c r="L729" s="2">
        <v>113.6</v>
      </c>
      <c r="M729" s="2">
        <f t="shared" si="80"/>
        <v>-4</v>
      </c>
      <c r="N729" s="1">
        <f t="shared" si="81"/>
        <v>-4.0635619354647545E-3</v>
      </c>
      <c r="O729" s="2">
        <v>99.6</v>
      </c>
      <c r="P729" s="2">
        <v>117.6</v>
      </c>
      <c r="Q729" s="2">
        <f t="shared" si="82"/>
        <v>-18</v>
      </c>
      <c r="R729" s="2">
        <v>-0.8</v>
      </c>
      <c r="S729" s="2">
        <v>-3.1</v>
      </c>
      <c r="T729" s="2">
        <f t="shared" si="83"/>
        <v>-14</v>
      </c>
    </row>
    <row r="730" spans="1:20">
      <c r="A730" s="6">
        <v>9</v>
      </c>
      <c r="B730" t="s">
        <v>4</v>
      </c>
      <c r="C730" t="s">
        <v>13</v>
      </c>
      <c r="D730">
        <v>17</v>
      </c>
      <c r="E730">
        <v>65</v>
      </c>
      <c r="F730" s="1">
        <f t="shared" si="77"/>
        <v>0.2073170731707317</v>
      </c>
      <c r="G730" s="2">
        <v>92.5</v>
      </c>
      <c r="H730" s="2">
        <v>101.5</v>
      </c>
      <c r="I730" s="2">
        <f t="shared" si="78"/>
        <v>-9</v>
      </c>
      <c r="J730" s="1">
        <f t="shared" si="79"/>
        <v>0.21418148448904825</v>
      </c>
      <c r="K730" s="2">
        <v>96.3</v>
      </c>
      <c r="L730" s="2">
        <v>105.5</v>
      </c>
      <c r="M730" s="2">
        <f t="shared" si="80"/>
        <v>-9.2000000000000028</v>
      </c>
      <c r="N730" s="1">
        <f t="shared" si="81"/>
        <v>-6.8644113183165545E-3</v>
      </c>
      <c r="O730" s="2">
        <v>84.6</v>
      </c>
      <c r="P730" s="2">
        <v>107.8</v>
      </c>
      <c r="Q730" s="2">
        <f t="shared" si="82"/>
        <v>-23.200000000000003</v>
      </c>
      <c r="R730" s="2">
        <v>-1.1000000000000001</v>
      </c>
      <c r="S730" s="2">
        <v>-7.6</v>
      </c>
      <c r="T730" s="2">
        <f t="shared" si="83"/>
        <v>-14</v>
      </c>
    </row>
    <row r="731" spans="1:20">
      <c r="A731" s="6">
        <v>697</v>
      </c>
      <c r="B731" t="s">
        <v>64</v>
      </c>
      <c r="C731" t="s">
        <v>14</v>
      </c>
      <c r="D731">
        <v>41</v>
      </c>
      <c r="E731">
        <v>41</v>
      </c>
      <c r="F731" s="1">
        <f t="shared" si="77"/>
        <v>0.5</v>
      </c>
      <c r="G731" s="2">
        <v>114.3</v>
      </c>
      <c r="H731" s="2">
        <v>113.2</v>
      </c>
      <c r="I731" s="2">
        <f t="shared" si="78"/>
        <v>1.0999999999999943</v>
      </c>
      <c r="J731" s="1">
        <f t="shared" si="79"/>
        <v>0.53379481382340799</v>
      </c>
      <c r="K731" s="2">
        <v>113.7</v>
      </c>
      <c r="L731" s="2">
        <v>112.8</v>
      </c>
      <c r="M731" s="2">
        <f t="shared" si="80"/>
        <v>0.90000000000000568</v>
      </c>
      <c r="N731" s="1">
        <f t="shared" si="81"/>
        <v>-3.3794813823407988E-2</v>
      </c>
      <c r="O731" s="2">
        <v>108.4</v>
      </c>
      <c r="P731" s="2">
        <v>121.6</v>
      </c>
      <c r="Q731" s="2">
        <f t="shared" si="82"/>
        <v>-13.199999999999989</v>
      </c>
      <c r="R731" s="2">
        <v>0.3</v>
      </c>
      <c r="S731" s="2">
        <v>0</v>
      </c>
      <c r="T731" s="2">
        <f t="shared" si="83"/>
        <v>-14.099999999999994</v>
      </c>
    </row>
    <row r="732" spans="1:20">
      <c r="A732" s="6">
        <v>335</v>
      </c>
      <c r="B732" t="s">
        <v>49</v>
      </c>
      <c r="C732" t="s">
        <v>13</v>
      </c>
      <c r="D732">
        <v>23</v>
      </c>
      <c r="E732">
        <v>43</v>
      </c>
      <c r="F732" s="1">
        <f t="shared" si="77"/>
        <v>0.34848484848484851</v>
      </c>
      <c r="G732" s="2">
        <v>97.8</v>
      </c>
      <c r="H732" s="2">
        <v>101.2</v>
      </c>
      <c r="I732" s="2">
        <f t="shared" si="78"/>
        <v>-3.4000000000000057</v>
      </c>
      <c r="J732" s="1">
        <f t="shared" si="79"/>
        <v>0.38262091434510453</v>
      </c>
      <c r="K732" s="2">
        <v>103.9</v>
      </c>
      <c r="L732" s="2">
        <v>107.3</v>
      </c>
      <c r="M732" s="2">
        <f t="shared" si="80"/>
        <v>-3.3999999999999915</v>
      </c>
      <c r="N732" s="1">
        <f t="shared" si="81"/>
        <v>-3.4136065860256026E-2</v>
      </c>
      <c r="O732" s="2">
        <v>89</v>
      </c>
      <c r="P732" s="2">
        <v>106.6</v>
      </c>
      <c r="Q732" s="2">
        <f t="shared" si="82"/>
        <v>-17.599999999999994</v>
      </c>
      <c r="R732" s="2">
        <v>-1</v>
      </c>
      <c r="S732" s="2">
        <v>-3.9</v>
      </c>
      <c r="T732" s="2">
        <f t="shared" si="83"/>
        <v>-14.200000000000003</v>
      </c>
    </row>
    <row r="733" spans="1:20">
      <c r="A733" s="6">
        <v>38</v>
      </c>
      <c r="B733" t="s">
        <v>34</v>
      </c>
      <c r="C733" t="s">
        <v>13</v>
      </c>
      <c r="D733">
        <v>21</v>
      </c>
      <c r="E733">
        <v>61</v>
      </c>
      <c r="F733" s="1">
        <f t="shared" si="77"/>
        <v>0.25609756097560976</v>
      </c>
      <c r="G733" s="2">
        <v>97.7</v>
      </c>
      <c r="H733" s="2">
        <v>103.1</v>
      </c>
      <c r="I733" s="2">
        <f t="shared" si="78"/>
        <v>-5.3999999999999915</v>
      </c>
      <c r="J733" s="1">
        <f t="shared" si="79"/>
        <v>0.32013104307048473</v>
      </c>
      <c r="K733" s="2">
        <v>101.5</v>
      </c>
      <c r="L733" s="2">
        <v>107.1</v>
      </c>
      <c r="M733" s="2">
        <f t="shared" si="80"/>
        <v>-5.5999999999999943</v>
      </c>
      <c r="N733" s="1">
        <f t="shared" si="81"/>
        <v>-6.4033482094874972E-2</v>
      </c>
      <c r="O733" s="2">
        <v>85.4</v>
      </c>
      <c r="P733" s="2">
        <v>105.3</v>
      </c>
      <c r="Q733" s="2">
        <f t="shared" si="82"/>
        <v>-19.899999999999991</v>
      </c>
      <c r="R733" s="2">
        <v>0</v>
      </c>
      <c r="S733" s="2">
        <v>-3.8</v>
      </c>
      <c r="T733" s="2">
        <f t="shared" si="83"/>
        <v>-14.299999999999997</v>
      </c>
    </row>
    <row r="734" spans="1:20">
      <c r="A734" s="6">
        <v>350</v>
      </c>
      <c r="B734" t="s">
        <v>49</v>
      </c>
      <c r="C734" t="s">
        <v>25</v>
      </c>
      <c r="D734">
        <v>33</v>
      </c>
      <c r="E734">
        <v>33</v>
      </c>
      <c r="F734" s="1">
        <f t="shared" si="77"/>
        <v>0.5</v>
      </c>
      <c r="G734" s="2">
        <v>98.4</v>
      </c>
      <c r="H734" s="2">
        <v>98.6</v>
      </c>
      <c r="I734" s="2">
        <f t="shared" si="78"/>
        <v>-0.19999999999998863</v>
      </c>
      <c r="J734" s="1">
        <f t="shared" si="79"/>
        <v>0.49289387708201343</v>
      </c>
      <c r="K734" s="2">
        <v>105.2</v>
      </c>
      <c r="L734" s="2">
        <v>105.2</v>
      </c>
      <c r="M734" s="2">
        <f t="shared" si="80"/>
        <v>0</v>
      </c>
      <c r="N734" s="1">
        <f t="shared" si="81"/>
        <v>7.1061229179865681E-3</v>
      </c>
      <c r="O734" s="2">
        <v>100</v>
      </c>
      <c r="P734" s="2">
        <v>114.4</v>
      </c>
      <c r="Q734" s="2">
        <f t="shared" si="82"/>
        <v>-14.400000000000006</v>
      </c>
      <c r="R734" s="2">
        <v>0</v>
      </c>
      <c r="S734" s="2">
        <v>0.6</v>
      </c>
      <c r="T734" s="2">
        <f t="shared" si="83"/>
        <v>-14.400000000000006</v>
      </c>
    </row>
    <row r="735" spans="1:20">
      <c r="A735" s="6">
        <v>734</v>
      </c>
      <c r="B735" t="s">
        <v>65</v>
      </c>
      <c r="C735" t="s">
        <v>20</v>
      </c>
      <c r="D735">
        <v>49</v>
      </c>
      <c r="E735">
        <v>33</v>
      </c>
      <c r="F735" s="1">
        <f t="shared" si="77"/>
        <v>0.59756097560975607</v>
      </c>
      <c r="G735" s="2">
        <v>114.3</v>
      </c>
      <c r="H735" s="2">
        <v>109.3</v>
      </c>
      <c r="I735" s="2">
        <f t="shared" si="78"/>
        <v>5</v>
      </c>
      <c r="J735" s="1">
        <f t="shared" si="79"/>
        <v>0.65163242349651695</v>
      </c>
      <c r="K735" s="2">
        <v>115.7</v>
      </c>
      <c r="L735" s="2">
        <v>110.8</v>
      </c>
      <c r="M735" s="2">
        <f t="shared" si="80"/>
        <v>4.9000000000000057</v>
      </c>
      <c r="N735" s="1">
        <f t="shared" si="81"/>
        <v>-5.4071447886760882E-2</v>
      </c>
      <c r="O735" s="2">
        <v>105.4</v>
      </c>
      <c r="P735" s="2">
        <v>114.9</v>
      </c>
      <c r="Q735" s="2">
        <f t="shared" si="82"/>
        <v>-9.5</v>
      </c>
      <c r="R735" s="2">
        <v>2.2999999999999998</v>
      </c>
      <c r="S735" s="2">
        <v>8.9</v>
      </c>
      <c r="T735" s="2">
        <f t="shared" si="83"/>
        <v>-14.400000000000006</v>
      </c>
    </row>
    <row r="736" spans="1:20">
      <c r="A736" s="6">
        <v>655</v>
      </c>
      <c r="B736" t="s">
        <v>62</v>
      </c>
      <c r="C736" t="s">
        <v>31</v>
      </c>
      <c r="D736">
        <v>49</v>
      </c>
      <c r="E736">
        <v>33</v>
      </c>
      <c r="F736" s="1">
        <f t="shared" si="77"/>
        <v>0.59756097560975607</v>
      </c>
      <c r="G736" s="2">
        <v>113.6</v>
      </c>
      <c r="H736" s="2">
        <v>107.6</v>
      </c>
      <c r="I736" s="2">
        <f t="shared" si="78"/>
        <v>6</v>
      </c>
      <c r="J736" s="1">
        <f t="shared" si="79"/>
        <v>0.68128425860011865</v>
      </c>
      <c r="K736" s="2">
        <v>116.2</v>
      </c>
      <c r="L736" s="2">
        <v>110</v>
      </c>
      <c r="M736" s="2">
        <f t="shared" si="80"/>
        <v>6.2000000000000028</v>
      </c>
      <c r="N736" s="1">
        <f t="shared" si="81"/>
        <v>-8.372328299036258E-2</v>
      </c>
      <c r="O736" s="2">
        <v>105.1</v>
      </c>
      <c r="P736" s="2">
        <v>113.5</v>
      </c>
      <c r="Q736" s="2">
        <f t="shared" si="82"/>
        <v>-8.4000000000000057</v>
      </c>
      <c r="R736" s="2">
        <v>0.7</v>
      </c>
      <c r="S736" s="2">
        <v>3.7</v>
      </c>
      <c r="T736" s="2">
        <f t="shared" si="83"/>
        <v>-14.600000000000009</v>
      </c>
    </row>
    <row r="737" spans="1:20">
      <c r="A737" s="6">
        <v>246</v>
      </c>
      <c r="B737" t="s">
        <v>45</v>
      </c>
      <c r="C737" t="s">
        <v>14</v>
      </c>
      <c r="D737">
        <v>53</v>
      </c>
      <c r="E737">
        <v>29</v>
      </c>
      <c r="F737" s="1">
        <f t="shared" si="77"/>
        <v>0.64634146341463417</v>
      </c>
      <c r="G737" s="2">
        <v>98.4</v>
      </c>
      <c r="H737" s="2">
        <v>94.4</v>
      </c>
      <c r="I737" s="2">
        <f t="shared" si="78"/>
        <v>4</v>
      </c>
      <c r="J737" s="1">
        <f t="shared" si="79"/>
        <v>0.64129660723482429</v>
      </c>
      <c r="K737" s="2">
        <v>107.1</v>
      </c>
      <c r="L737" s="2">
        <v>102.9</v>
      </c>
      <c r="M737" s="2">
        <f t="shared" si="80"/>
        <v>4.1999999999999886</v>
      </c>
      <c r="N737" s="1">
        <f t="shared" si="81"/>
        <v>5.0448561798098757E-3</v>
      </c>
      <c r="O737" s="2">
        <v>93.3</v>
      </c>
      <c r="P737" s="2">
        <v>103.8</v>
      </c>
      <c r="Q737" s="2">
        <f t="shared" si="82"/>
        <v>-10.5</v>
      </c>
      <c r="R737" s="2">
        <v>-0.6</v>
      </c>
      <c r="S737" s="2">
        <v>-1.6</v>
      </c>
      <c r="T737" s="2">
        <f t="shared" si="83"/>
        <v>-14.699999999999989</v>
      </c>
    </row>
    <row r="738" spans="1:20">
      <c r="A738" s="6">
        <v>306</v>
      </c>
      <c r="B738" t="s">
        <v>48</v>
      </c>
      <c r="C738" t="s">
        <v>14</v>
      </c>
      <c r="D738">
        <v>43</v>
      </c>
      <c r="E738">
        <v>39</v>
      </c>
      <c r="F738" s="1">
        <f t="shared" si="77"/>
        <v>0.52439024390243905</v>
      </c>
      <c r="G738" s="2">
        <v>105.9</v>
      </c>
      <c r="H738" s="2">
        <v>103.7</v>
      </c>
      <c r="I738" s="2">
        <f t="shared" si="78"/>
        <v>2.2000000000000028</v>
      </c>
      <c r="J738" s="1">
        <f t="shared" si="79"/>
        <v>0.57295160820263835</v>
      </c>
      <c r="K738" s="2">
        <v>110.2</v>
      </c>
      <c r="L738" s="2">
        <v>107.9</v>
      </c>
      <c r="M738" s="2">
        <f t="shared" si="80"/>
        <v>2.2999999999999972</v>
      </c>
      <c r="N738" s="1">
        <f t="shared" si="81"/>
        <v>-4.8561364300199306E-2</v>
      </c>
      <c r="O738" s="2">
        <v>99.5</v>
      </c>
      <c r="P738" s="2">
        <v>112.1</v>
      </c>
      <c r="Q738" s="2">
        <f t="shared" si="82"/>
        <v>-12.599999999999994</v>
      </c>
      <c r="R738" s="2">
        <v>-0.5</v>
      </c>
      <c r="S738" s="2">
        <v>-1.3</v>
      </c>
      <c r="T738" s="2">
        <f t="shared" si="83"/>
        <v>-14.899999999999991</v>
      </c>
    </row>
    <row r="739" spans="1:20">
      <c r="A739" s="6">
        <v>446</v>
      </c>
      <c r="B739" t="s">
        <v>54</v>
      </c>
      <c r="C739" t="s">
        <v>33</v>
      </c>
      <c r="D739">
        <v>46</v>
      </c>
      <c r="E739">
        <v>36</v>
      </c>
      <c r="F739" s="1">
        <f t="shared" si="77"/>
        <v>0.56097560975609762</v>
      </c>
      <c r="G739" s="2">
        <v>98.5</v>
      </c>
      <c r="H739" s="2">
        <v>97.8</v>
      </c>
      <c r="I739" s="2">
        <f t="shared" si="78"/>
        <v>0.70000000000000284</v>
      </c>
      <c r="J739" s="1">
        <f t="shared" si="79"/>
        <v>0.52494118140879675</v>
      </c>
      <c r="K739" s="2">
        <v>103</v>
      </c>
      <c r="L739" s="2">
        <v>102.4</v>
      </c>
      <c r="M739" s="2">
        <f t="shared" si="80"/>
        <v>0.59999999999999432</v>
      </c>
      <c r="N739" s="1">
        <f t="shared" si="81"/>
        <v>3.6034428347300862E-2</v>
      </c>
      <c r="O739" s="2">
        <v>89.6</v>
      </c>
      <c r="P739" s="2">
        <v>104</v>
      </c>
      <c r="Q739" s="2">
        <f t="shared" si="82"/>
        <v>-14.400000000000006</v>
      </c>
      <c r="R739" s="2">
        <v>-1.7</v>
      </c>
      <c r="S739" s="2">
        <v>-7.5</v>
      </c>
      <c r="T739" s="2">
        <f t="shared" si="83"/>
        <v>-15</v>
      </c>
    </row>
    <row r="740" spans="1:20">
      <c r="A740" s="6">
        <v>702</v>
      </c>
      <c r="B740" t="s">
        <v>64</v>
      </c>
      <c r="C740" t="s">
        <v>18</v>
      </c>
      <c r="D740">
        <v>46</v>
      </c>
      <c r="E740">
        <v>36</v>
      </c>
      <c r="F740" s="1">
        <f t="shared" si="77"/>
        <v>0.56097560975609762</v>
      </c>
      <c r="G740" s="2">
        <v>110.1</v>
      </c>
      <c r="H740" s="2">
        <v>108.4</v>
      </c>
      <c r="I740" s="2">
        <f t="shared" si="78"/>
        <v>1.6999999999999886</v>
      </c>
      <c r="J740" s="1">
        <f t="shared" si="79"/>
        <v>0.55424895602857005</v>
      </c>
      <c r="K740" s="2">
        <v>113.3</v>
      </c>
      <c r="L740" s="2">
        <v>111.5</v>
      </c>
      <c r="M740" s="2">
        <f t="shared" si="80"/>
        <v>1.7999999999999972</v>
      </c>
      <c r="N740" s="1">
        <f t="shared" si="81"/>
        <v>6.7266537275275651E-3</v>
      </c>
      <c r="O740" s="2">
        <v>99.3</v>
      </c>
      <c r="P740" s="2">
        <v>112.6</v>
      </c>
      <c r="Q740" s="2">
        <f t="shared" si="82"/>
        <v>-13.299999999999997</v>
      </c>
      <c r="R740" s="2">
        <v>-1.2</v>
      </c>
      <c r="S740" s="2">
        <v>-5.5</v>
      </c>
      <c r="T740" s="2">
        <f t="shared" si="83"/>
        <v>-15.099999999999994</v>
      </c>
    </row>
    <row r="741" spans="1:20">
      <c r="A741" s="6">
        <v>581</v>
      </c>
      <c r="B741" t="s">
        <v>60</v>
      </c>
      <c r="C741" t="s">
        <v>35</v>
      </c>
      <c r="D741">
        <v>34</v>
      </c>
      <c r="E741">
        <v>39</v>
      </c>
      <c r="F741" s="1">
        <f t="shared" si="77"/>
        <v>0.46575342465753422</v>
      </c>
      <c r="G741" s="2">
        <v>112.6</v>
      </c>
      <c r="H741" s="2">
        <v>113.7</v>
      </c>
      <c r="I741" s="2">
        <f t="shared" si="78"/>
        <v>-1.1000000000000085</v>
      </c>
      <c r="J741" s="1">
        <f t="shared" si="79"/>
        <v>0.46602653038070502</v>
      </c>
      <c r="K741" s="2">
        <v>108.7</v>
      </c>
      <c r="L741" s="2">
        <v>109.7</v>
      </c>
      <c r="M741" s="2">
        <f t="shared" si="80"/>
        <v>-1</v>
      </c>
      <c r="N741" s="1">
        <f t="shared" si="81"/>
        <v>-2.7310572317079673E-4</v>
      </c>
      <c r="O741" s="2">
        <v>100</v>
      </c>
      <c r="P741" s="2">
        <v>116.1</v>
      </c>
      <c r="Q741" s="2">
        <f t="shared" si="82"/>
        <v>-16.099999999999994</v>
      </c>
      <c r="R741" s="2">
        <v>-0.1</v>
      </c>
      <c r="S741" s="2">
        <v>-2.2999999999999998</v>
      </c>
      <c r="T741" s="2">
        <f t="shared" si="83"/>
        <v>-15.099999999999994</v>
      </c>
    </row>
    <row r="742" spans="1:20">
      <c r="A742" s="6">
        <v>356</v>
      </c>
      <c r="B742" t="s">
        <v>49</v>
      </c>
      <c r="C742" t="s">
        <v>33</v>
      </c>
      <c r="D742">
        <v>20</v>
      </c>
      <c r="E742">
        <v>46</v>
      </c>
      <c r="F742" s="1">
        <f t="shared" si="77"/>
        <v>0.30303030303030304</v>
      </c>
      <c r="G742" s="2">
        <v>93.6</v>
      </c>
      <c r="H742" s="2">
        <v>98.4</v>
      </c>
      <c r="I742" s="2">
        <f t="shared" si="78"/>
        <v>-4.8000000000000114</v>
      </c>
      <c r="J742" s="1">
        <f t="shared" si="79"/>
        <v>0.33177988336782011</v>
      </c>
      <c r="K742" s="2">
        <v>100</v>
      </c>
      <c r="L742" s="2">
        <v>104.9</v>
      </c>
      <c r="M742" s="2">
        <f t="shared" si="80"/>
        <v>-4.9000000000000057</v>
      </c>
      <c r="N742" s="1">
        <f t="shared" si="81"/>
        <v>-2.8749580337517067E-2</v>
      </c>
      <c r="O742" s="2">
        <v>90</v>
      </c>
      <c r="P742" s="2">
        <v>110.3</v>
      </c>
      <c r="Q742" s="2">
        <f t="shared" si="82"/>
        <v>-20.299999999999997</v>
      </c>
      <c r="R742" s="2">
        <v>-0.3</v>
      </c>
      <c r="S742" s="2">
        <v>-3.3</v>
      </c>
      <c r="T742" s="2">
        <f t="shared" si="83"/>
        <v>-15.399999999999991</v>
      </c>
    </row>
    <row r="743" spans="1:20">
      <c r="A743" s="6">
        <v>284</v>
      </c>
      <c r="B743" t="s">
        <v>47</v>
      </c>
      <c r="C743" t="s">
        <v>21</v>
      </c>
      <c r="D743">
        <v>12</v>
      </c>
      <c r="E743">
        <v>70</v>
      </c>
      <c r="F743" s="1">
        <f t="shared" si="77"/>
        <v>0.14634146341463414</v>
      </c>
      <c r="G743" s="2">
        <v>92.4</v>
      </c>
      <c r="H743" s="2">
        <v>101.5</v>
      </c>
      <c r="I743" s="2">
        <f t="shared" si="78"/>
        <v>-9.0999999999999943</v>
      </c>
      <c r="J743" s="1">
        <f t="shared" si="79"/>
        <v>0.21164377791033548</v>
      </c>
      <c r="K743" s="2">
        <v>99.3</v>
      </c>
      <c r="L743" s="2">
        <v>108.9</v>
      </c>
      <c r="M743" s="2">
        <f t="shared" si="80"/>
        <v>-9.6000000000000085</v>
      </c>
      <c r="N743" s="1">
        <f t="shared" si="81"/>
        <v>-6.5302314495701341E-2</v>
      </c>
      <c r="O743" s="2">
        <v>84.5</v>
      </c>
      <c r="P743" s="2">
        <v>109.7</v>
      </c>
      <c r="Q743" s="2">
        <f t="shared" si="82"/>
        <v>-25.200000000000003</v>
      </c>
      <c r="R743" s="2">
        <v>-1.1000000000000001</v>
      </c>
      <c r="S743" s="2">
        <v>-5.4</v>
      </c>
      <c r="T743" s="2">
        <f t="shared" si="83"/>
        <v>-15.599999999999994</v>
      </c>
    </row>
    <row r="744" spans="1:20">
      <c r="A744" s="6">
        <v>275</v>
      </c>
      <c r="B744" t="s">
        <v>47</v>
      </c>
      <c r="C744" t="s">
        <v>13</v>
      </c>
      <c r="D744">
        <v>26</v>
      </c>
      <c r="E744">
        <v>56</v>
      </c>
      <c r="F744" s="1">
        <f t="shared" si="77"/>
        <v>0.31707317073170732</v>
      </c>
      <c r="G744" s="2">
        <v>108.8</v>
      </c>
      <c r="H744" s="2">
        <v>112.4</v>
      </c>
      <c r="I744" s="2">
        <f t="shared" si="78"/>
        <v>-3.6000000000000085</v>
      </c>
      <c r="J744" s="1">
        <f t="shared" si="79"/>
        <v>0.38799774425602013</v>
      </c>
      <c r="K744" s="2">
        <v>107</v>
      </c>
      <c r="L744" s="2">
        <v>110.3</v>
      </c>
      <c r="M744" s="2">
        <f t="shared" si="80"/>
        <v>-3.2999999999999972</v>
      </c>
      <c r="N744" s="1">
        <f t="shared" si="81"/>
        <v>-7.0924573524312806E-2</v>
      </c>
      <c r="O744" s="2">
        <v>94.4</v>
      </c>
      <c r="P744" s="2">
        <v>113.4</v>
      </c>
      <c r="Q744" s="2">
        <f t="shared" si="82"/>
        <v>-19</v>
      </c>
      <c r="R744" s="2">
        <v>1.4</v>
      </c>
      <c r="S744" s="2">
        <v>4.2</v>
      </c>
      <c r="T744" s="2">
        <f t="shared" si="83"/>
        <v>-15.700000000000003</v>
      </c>
    </row>
    <row r="745" spans="1:20">
      <c r="A745" s="6">
        <v>467</v>
      </c>
      <c r="B745" t="s">
        <v>55</v>
      </c>
      <c r="C745" t="s">
        <v>46</v>
      </c>
      <c r="D745">
        <v>55</v>
      </c>
      <c r="E745">
        <v>27</v>
      </c>
      <c r="F745" s="1">
        <f t="shared" si="77"/>
        <v>0.67073170731707321</v>
      </c>
      <c r="G745" s="2">
        <v>110.2</v>
      </c>
      <c r="H745" s="2">
        <v>102.9</v>
      </c>
      <c r="I745" s="2">
        <f t="shared" si="78"/>
        <v>7.2999999999999972</v>
      </c>
      <c r="J745" s="1">
        <f t="shared" si="79"/>
        <v>0.72303160932792188</v>
      </c>
      <c r="K745" s="2">
        <v>112.1</v>
      </c>
      <c r="L745" s="2">
        <v>104.8</v>
      </c>
      <c r="M745" s="2">
        <f t="shared" si="80"/>
        <v>7.2999999999999972</v>
      </c>
      <c r="N745" s="1">
        <f t="shared" si="81"/>
        <v>-5.2299902010848665E-2</v>
      </c>
      <c r="O745" s="2">
        <v>102.2</v>
      </c>
      <c r="P745" s="2">
        <v>110.7</v>
      </c>
      <c r="Q745" s="2">
        <f t="shared" si="82"/>
        <v>-8.5</v>
      </c>
      <c r="R745" s="2">
        <v>0</v>
      </c>
      <c r="S745" s="2">
        <v>-1.9</v>
      </c>
      <c r="T745" s="2">
        <f t="shared" si="83"/>
        <v>-15.799999999999997</v>
      </c>
    </row>
    <row r="746" spans="1:20">
      <c r="A746" s="6">
        <v>732</v>
      </c>
      <c r="B746" t="s">
        <v>65</v>
      </c>
      <c r="C746" t="s">
        <v>18</v>
      </c>
      <c r="D746">
        <v>37</v>
      </c>
      <c r="E746">
        <v>45</v>
      </c>
      <c r="F746" s="1">
        <f t="shared" si="77"/>
        <v>0.45121951219512196</v>
      </c>
      <c r="G746" s="2">
        <v>110.6</v>
      </c>
      <c r="H746" s="2">
        <v>110</v>
      </c>
      <c r="I746" s="2">
        <f t="shared" si="78"/>
        <v>0.59999999999999432</v>
      </c>
      <c r="J746" s="1">
        <f t="shared" si="79"/>
        <v>0.51902983505832589</v>
      </c>
      <c r="K746" s="2">
        <v>112.4</v>
      </c>
      <c r="L746" s="2">
        <v>112</v>
      </c>
      <c r="M746" s="2">
        <f t="shared" si="80"/>
        <v>0.40000000000000568</v>
      </c>
      <c r="N746" s="1">
        <f t="shared" si="81"/>
        <v>-6.7810322863203931E-2</v>
      </c>
      <c r="O746" s="2">
        <v>93.7</v>
      </c>
      <c r="P746" s="2">
        <v>109.1</v>
      </c>
      <c r="Q746" s="2">
        <f t="shared" si="82"/>
        <v>-15.399999999999991</v>
      </c>
      <c r="R746" s="2">
        <v>-0.7</v>
      </c>
      <c r="S746" s="2">
        <v>-3.8</v>
      </c>
      <c r="T746" s="2">
        <f t="shared" si="83"/>
        <v>-15.799999999999997</v>
      </c>
    </row>
    <row r="747" spans="1:20">
      <c r="A747" s="6">
        <v>761</v>
      </c>
      <c r="B747" t="s">
        <v>66</v>
      </c>
      <c r="C747" t="s">
        <v>35</v>
      </c>
      <c r="D747">
        <v>23</v>
      </c>
      <c r="E747">
        <v>39</v>
      </c>
      <c r="F747" s="1">
        <f t="shared" si="77"/>
        <v>0.37096774193548387</v>
      </c>
      <c r="G747" s="2">
        <v>115.7</v>
      </c>
      <c r="H747" s="2">
        <v>117.8</v>
      </c>
      <c r="I747" s="2">
        <f t="shared" si="78"/>
        <v>-2.0999999999999943</v>
      </c>
      <c r="J747" s="1">
        <f t="shared" si="79"/>
        <v>0.43737388346402561</v>
      </c>
      <c r="K747" s="2">
        <v>113.5</v>
      </c>
      <c r="L747" s="2">
        <v>115.8</v>
      </c>
      <c r="M747" s="2">
        <f t="shared" si="80"/>
        <v>-2.2999999999999972</v>
      </c>
      <c r="N747" s="1">
        <f t="shared" si="81"/>
        <v>-6.640614152854174E-2</v>
      </c>
      <c r="O747" s="2">
        <v>100.4</v>
      </c>
      <c r="P747" s="2">
        <v>118.6</v>
      </c>
      <c r="Q747" s="2">
        <f t="shared" si="82"/>
        <v>-18.199999999999989</v>
      </c>
      <c r="R747" s="2">
        <v>-1.1000000000000001</v>
      </c>
      <c r="S747" s="2">
        <v>-4.9000000000000004</v>
      </c>
      <c r="T747" s="2">
        <f t="shared" si="83"/>
        <v>-15.899999999999991</v>
      </c>
    </row>
    <row r="748" spans="1:20">
      <c r="A748" s="6">
        <v>605</v>
      </c>
      <c r="B748" t="s">
        <v>61</v>
      </c>
      <c r="C748" t="s">
        <v>12</v>
      </c>
      <c r="D748">
        <v>20</v>
      </c>
      <c r="E748">
        <v>52</v>
      </c>
      <c r="F748" s="1">
        <f t="shared" si="77"/>
        <v>0.27777777777777779</v>
      </c>
      <c r="G748" s="2">
        <v>106.6</v>
      </c>
      <c r="H748" s="2">
        <v>111.1</v>
      </c>
      <c r="I748" s="2">
        <f t="shared" si="78"/>
        <v>-4.5</v>
      </c>
      <c r="J748" s="1">
        <f t="shared" si="79"/>
        <v>0.35919481428812144</v>
      </c>
      <c r="K748" s="2">
        <v>107.6</v>
      </c>
      <c r="L748" s="2">
        <v>112.2</v>
      </c>
      <c r="M748" s="2">
        <f t="shared" si="80"/>
        <v>-4.6000000000000085</v>
      </c>
      <c r="N748" s="1">
        <f t="shared" si="81"/>
        <v>-8.1417036510343654E-2</v>
      </c>
      <c r="O748" s="2">
        <v>101.2</v>
      </c>
      <c r="P748" s="2">
        <v>121.7</v>
      </c>
      <c r="Q748" s="2">
        <f t="shared" si="82"/>
        <v>-20.5</v>
      </c>
      <c r="R748" s="2">
        <v>-0.3</v>
      </c>
      <c r="S748" s="2">
        <v>-0.8</v>
      </c>
      <c r="T748" s="2">
        <f t="shared" si="83"/>
        <v>-15.899999999999991</v>
      </c>
    </row>
    <row r="749" spans="1:20">
      <c r="A749" s="6">
        <v>657</v>
      </c>
      <c r="B749" t="s">
        <v>63</v>
      </c>
      <c r="C749" t="s">
        <v>5</v>
      </c>
      <c r="D749">
        <v>41</v>
      </c>
      <c r="E749">
        <v>41</v>
      </c>
      <c r="F749" s="1">
        <f t="shared" si="77"/>
        <v>0.5</v>
      </c>
      <c r="G749" s="2">
        <v>118.4</v>
      </c>
      <c r="H749" s="2">
        <v>118.1</v>
      </c>
      <c r="I749" s="2">
        <f t="shared" si="78"/>
        <v>0.30000000000001137</v>
      </c>
      <c r="J749" s="1">
        <f t="shared" si="79"/>
        <v>0.50887856400324194</v>
      </c>
      <c r="K749" s="2">
        <v>115.5</v>
      </c>
      <c r="L749" s="2">
        <v>115.4</v>
      </c>
      <c r="M749" s="2">
        <f t="shared" si="80"/>
        <v>9.9999999999994316E-2</v>
      </c>
      <c r="N749" s="1">
        <f t="shared" si="81"/>
        <v>-8.87856400324194E-3</v>
      </c>
      <c r="O749" s="2">
        <v>102.1</v>
      </c>
      <c r="P749" s="2">
        <v>118.6</v>
      </c>
      <c r="Q749" s="2">
        <f t="shared" si="82"/>
        <v>-16.5</v>
      </c>
      <c r="R749" s="2">
        <v>-0.9</v>
      </c>
      <c r="S749" s="2">
        <v>-4.5999999999999996</v>
      </c>
      <c r="T749" s="2">
        <f t="shared" si="83"/>
        <v>-16.599999999999994</v>
      </c>
    </row>
    <row r="750" spans="1:20">
      <c r="A750" s="6">
        <v>628</v>
      </c>
      <c r="B750" t="s">
        <v>62</v>
      </c>
      <c r="C750" t="s">
        <v>6</v>
      </c>
      <c r="D750">
        <v>51</v>
      </c>
      <c r="E750">
        <v>31</v>
      </c>
      <c r="F750" s="1">
        <f t="shared" si="77"/>
        <v>0.62195121951219512</v>
      </c>
      <c r="G750" s="2">
        <v>111.8</v>
      </c>
      <c r="H750" s="2">
        <v>104.5</v>
      </c>
      <c r="I750" s="2">
        <f t="shared" si="78"/>
        <v>7.2999999999999972</v>
      </c>
      <c r="J750" s="1">
        <f t="shared" si="79"/>
        <v>0.72017762385554718</v>
      </c>
      <c r="K750" s="2">
        <v>113.6</v>
      </c>
      <c r="L750" s="2">
        <v>106.2</v>
      </c>
      <c r="M750" s="2">
        <f t="shared" si="80"/>
        <v>7.3999999999999915</v>
      </c>
      <c r="N750" s="1">
        <f t="shared" si="81"/>
        <v>-9.8226404343352058E-2</v>
      </c>
      <c r="O750" s="2">
        <v>96.8</v>
      </c>
      <c r="P750" s="2">
        <v>106.2</v>
      </c>
      <c r="Q750" s="2">
        <f t="shared" si="82"/>
        <v>-9.4000000000000057</v>
      </c>
      <c r="R750" s="2">
        <v>0.3</v>
      </c>
      <c r="S750" s="2">
        <v>0.6</v>
      </c>
      <c r="T750" s="2">
        <f t="shared" si="83"/>
        <v>-16.799999999999997</v>
      </c>
    </row>
    <row r="751" spans="1:20">
      <c r="A751" s="6">
        <v>221</v>
      </c>
      <c r="B751" t="s">
        <v>44</v>
      </c>
      <c r="C751" t="s">
        <v>18</v>
      </c>
      <c r="D751">
        <v>15</v>
      </c>
      <c r="E751">
        <v>67</v>
      </c>
      <c r="F751" s="1">
        <f t="shared" si="77"/>
        <v>0.18292682926829268</v>
      </c>
      <c r="G751" s="2">
        <v>91.4</v>
      </c>
      <c r="H751" s="2">
        <v>100</v>
      </c>
      <c r="I751" s="2">
        <f t="shared" si="78"/>
        <v>-8.5999999999999943</v>
      </c>
      <c r="J751" s="1">
        <f t="shared" si="79"/>
        <v>0.2211554021057861</v>
      </c>
      <c r="K751" s="2">
        <v>99.4</v>
      </c>
      <c r="L751" s="2">
        <v>108.8</v>
      </c>
      <c r="M751" s="2">
        <f t="shared" si="80"/>
        <v>-9.3999999999999915</v>
      </c>
      <c r="N751" s="1">
        <f t="shared" si="81"/>
        <v>-3.8228572837493424E-2</v>
      </c>
      <c r="O751" s="2">
        <v>85.2</v>
      </c>
      <c r="P751" s="2">
        <v>111.4</v>
      </c>
      <c r="Q751" s="2">
        <f t="shared" si="82"/>
        <v>-26.200000000000003</v>
      </c>
      <c r="R751" s="2">
        <v>-2</v>
      </c>
      <c r="S751" s="2">
        <v>-10.8</v>
      </c>
      <c r="T751" s="2">
        <f t="shared" si="83"/>
        <v>-16.800000000000011</v>
      </c>
    </row>
    <row r="752" spans="1:20">
      <c r="A752" s="6">
        <v>277</v>
      </c>
      <c r="B752" t="s">
        <v>47</v>
      </c>
      <c r="C752" t="s">
        <v>15</v>
      </c>
      <c r="D752">
        <v>32</v>
      </c>
      <c r="E752">
        <v>50</v>
      </c>
      <c r="F752" s="1">
        <f t="shared" si="77"/>
        <v>0.3902439024390244</v>
      </c>
      <c r="G752" s="2">
        <v>100.8</v>
      </c>
      <c r="H752" s="2">
        <v>103.8</v>
      </c>
      <c r="I752" s="2">
        <f t="shared" si="78"/>
        <v>-3</v>
      </c>
      <c r="J752" s="1">
        <f t="shared" si="79"/>
        <v>0.39877147110517808</v>
      </c>
      <c r="K752" s="2">
        <v>103</v>
      </c>
      <c r="L752" s="2">
        <v>106</v>
      </c>
      <c r="M752" s="2">
        <f t="shared" si="80"/>
        <v>-3</v>
      </c>
      <c r="N752" s="1">
        <f t="shared" si="81"/>
        <v>-8.5275686661536731E-3</v>
      </c>
      <c r="O752" s="2">
        <v>84</v>
      </c>
      <c r="P752" s="2">
        <v>103.9</v>
      </c>
      <c r="Q752" s="2">
        <f t="shared" si="82"/>
        <v>-19.900000000000006</v>
      </c>
      <c r="R752" s="2">
        <v>0.2</v>
      </c>
      <c r="S752" s="2">
        <v>1.3</v>
      </c>
      <c r="T752" s="2">
        <f t="shared" si="83"/>
        <v>-16.900000000000006</v>
      </c>
    </row>
    <row r="753" spans="1:20">
      <c r="A753" s="6">
        <v>197</v>
      </c>
      <c r="B753" t="s">
        <v>43</v>
      </c>
      <c r="C753" t="s">
        <v>23</v>
      </c>
      <c r="D753">
        <v>40</v>
      </c>
      <c r="E753">
        <v>42</v>
      </c>
      <c r="F753" s="1">
        <f t="shared" si="77"/>
        <v>0.48780487804878048</v>
      </c>
      <c r="G753" s="2">
        <v>94.8</v>
      </c>
      <c r="H753" s="2">
        <v>94</v>
      </c>
      <c r="I753" s="2">
        <f t="shared" si="78"/>
        <v>0.79999999999999716</v>
      </c>
      <c r="J753" s="1">
        <f t="shared" si="79"/>
        <v>0.52962644935389902</v>
      </c>
      <c r="K753" s="2">
        <v>104.1</v>
      </c>
      <c r="L753" s="2">
        <v>103.3</v>
      </c>
      <c r="M753" s="2">
        <f t="shared" si="80"/>
        <v>0.79999999999999716</v>
      </c>
      <c r="N753" s="1">
        <f t="shared" si="81"/>
        <v>-4.1821571305118543E-2</v>
      </c>
      <c r="O753" s="2">
        <v>84.7</v>
      </c>
      <c r="P753" s="2">
        <v>100.9</v>
      </c>
      <c r="Q753" s="2">
        <f t="shared" si="82"/>
        <v>-16.200000000000003</v>
      </c>
      <c r="R753" s="2">
        <v>-0.4</v>
      </c>
      <c r="S753" s="2">
        <v>-3.9</v>
      </c>
      <c r="T753" s="2">
        <f t="shared" si="83"/>
        <v>-17</v>
      </c>
    </row>
    <row r="754" spans="1:20">
      <c r="A754" s="6">
        <v>250</v>
      </c>
      <c r="B754" t="s">
        <v>45</v>
      </c>
      <c r="C754" t="s">
        <v>35</v>
      </c>
      <c r="D754">
        <v>24</v>
      </c>
      <c r="E754">
        <v>58</v>
      </c>
      <c r="F754" s="1">
        <f t="shared" si="77"/>
        <v>0.29268292682926828</v>
      </c>
      <c r="G754" s="2">
        <v>93.9</v>
      </c>
      <c r="H754" s="2">
        <v>99.3</v>
      </c>
      <c r="I754" s="2">
        <f t="shared" si="78"/>
        <v>-5.3999999999999915</v>
      </c>
      <c r="J754" s="1">
        <f t="shared" si="79"/>
        <v>0.31371402581860747</v>
      </c>
      <c r="K754" s="2">
        <v>102.3</v>
      </c>
      <c r="L754" s="2">
        <v>108.2</v>
      </c>
      <c r="M754" s="2">
        <f t="shared" si="80"/>
        <v>-5.9000000000000057</v>
      </c>
      <c r="N754" s="1">
        <f t="shared" si="81"/>
        <v>-2.1031098989339192E-2</v>
      </c>
      <c r="O754" s="2">
        <v>90.2</v>
      </c>
      <c r="P754" s="2">
        <v>113.7</v>
      </c>
      <c r="Q754" s="2">
        <f t="shared" si="82"/>
        <v>-23.5</v>
      </c>
      <c r="R754" s="2">
        <v>-1.6</v>
      </c>
      <c r="S754" s="2">
        <v>-7.1</v>
      </c>
      <c r="T754" s="2">
        <f t="shared" si="83"/>
        <v>-17.599999999999994</v>
      </c>
    </row>
    <row r="755" spans="1:20">
      <c r="A755" s="6">
        <v>571</v>
      </c>
      <c r="B755" t="s">
        <v>60</v>
      </c>
      <c r="C755" t="s">
        <v>8</v>
      </c>
      <c r="D755">
        <v>22</v>
      </c>
      <c r="E755">
        <v>43</v>
      </c>
      <c r="F755" s="1">
        <f t="shared" si="77"/>
        <v>0.33846153846153848</v>
      </c>
      <c r="G755" s="2">
        <v>106.8</v>
      </c>
      <c r="H755" s="2">
        <v>109.9</v>
      </c>
      <c r="I755" s="2">
        <f t="shared" si="78"/>
        <v>-3.1000000000000085</v>
      </c>
      <c r="J755" s="1">
        <f t="shared" si="79"/>
        <v>0.40117273517246865</v>
      </c>
      <c r="K755" s="2">
        <v>105.8</v>
      </c>
      <c r="L755" s="2">
        <v>108.9</v>
      </c>
      <c r="M755" s="2">
        <f t="shared" si="80"/>
        <v>-3.1000000000000085</v>
      </c>
      <c r="N755" s="1">
        <f t="shared" si="81"/>
        <v>-6.2711196710930173E-2</v>
      </c>
      <c r="O755" s="2">
        <v>106.5</v>
      </c>
      <c r="P755" s="2">
        <v>127.3</v>
      </c>
      <c r="Q755" s="2">
        <f t="shared" si="82"/>
        <v>-20.799999999999997</v>
      </c>
      <c r="R755" s="2">
        <v>-0.5</v>
      </c>
      <c r="S755" s="2">
        <v>-5</v>
      </c>
      <c r="T755" s="2">
        <f t="shared" si="83"/>
        <v>-17.699999999999989</v>
      </c>
    </row>
    <row r="756" spans="1:20">
      <c r="A756" s="6">
        <v>386</v>
      </c>
      <c r="B756" t="s">
        <v>50</v>
      </c>
      <c r="C756" t="s">
        <v>33</v>
      </c>
      <c r="D756">
        <v>29</v>
      </c>
      <c r="E756">
        <v>53</v>
      </c>
      <c r="F756" s="1">
        <f t="shared" si="77"/>
        <v>0.35365853658536583</v>
      </c>
      <c r="G756" s="2">
        <v>93.2</v>
      </c>
      <c r="H756" s="2">
        <v>95.8</v>
      </c>
      <c r="I756" s="2">
        <f t="shared" si="78"/>
        <v>-2.5999999999999943</v>
      </c>
      <c r="J756" s="1">
        <f t="shared" si="79"/>
        <v>0.4048710493768114</v>
      </c>
      <c r="K756" s="2">
        <v>99.3</v>
      </c>
      <c r="L756" s="2">
        <v>101.6</v>
      </c>
      <c r="M756" s="2">
        <f t="shared" si="80"/>
        <v>-2.2999999999999972</v>
      </c>
      <c r="N756" s="1">
        <f t="shared" si="81"/>
        <v>-5.1212512791445564E-2</v>
      </c>
      <c r="O756" s="2">
        <v>80.5</v>
      </c>
      <c r="P756" s="2">
        <v>100.7</v>
      </c>
      <c r="Q756" s="2">
        <f t="shared" si="82"/>
        <v>-20.200000000000003</v>
      </c>
      <c r="R756" s="2">
        <v>0.6</v>
      </c>
      <c r="S756" s="2">
        <v>2.2999999999999998</v>
      </c>
      <c r="T756" s="2">
        <f t="shared" si="83"/>
        <v>-17.900000000000006</v>
      </c>
    </row>
    <row r="757" spans="1:20">
      <c r="A757" s="6">
        <v>704</v>
      </c>
      <c r="B757" t="s">
        <v>64</v>
      </c>
      <c r="C757" t="s">
        <v>20</v>
      </c>
      <c r="D757">
        <v>56</v>
      </c>
      <c r="E757">
        <v>26</v>
      </c>
      <c r="F757" s="1">
        <f t="shared" si="77"/>
        <v>0.68292682926829273</v>
      </c>
      <c r="G757" s="2">
        <v>113</v>
      </c>
      <c r="H757" s="2">
        <v>106.5</v>
      </c>
      <c r="I757" s="2">
        <f t="shared" si="78"/>
        <v>6.5</v>
      </c>
      <c r="J757" s="1">
        <f t="shared" si="79"/>
        <v>0.6962279782158256</v>
      </c>
      <c r="K757" s="2">
        <v>114.6</v>
      </c>
      <c r="L757" s="2">
        <v>108.4</v>
      </c>
      <c r="M757" s="2">
        <f t="shared" si="80"/>
        <v>6.1999999999999886</v>
      </c>
      <c r="N757" s="1">
        <f t="shared" si="81"/>
        <v>-1.330114894753287E-2</v>
      </c>
      <c r="O757" s="2">
        <v>104.9</v>
      </c>
      <c r="P757" s="2">
        <v>116.7</v>
      </c>
      <c r="Q757" s="2">
        <f t="shared" si="82"/>
        <v>-11.799999999999997</v>
      </c>
      <c r="R757" s="2">
        <v>1.2</v>
      </c>
      <c r="S757" s="2">
        <v>6.7</v>
      </c>
      <c r="T757" s="2">
        <f t="shared" si="83"/>
        <v>-17.999999999999986</v>
      </c>
    </row>
    <row r="758" spans="1:20">
      <c r="A758" s="6">
        <v>293</v>
      </c>
      <c r="B758" t="s">
        <v>47</v>
      </c>
      <c r="C758" t="s">
        <v>28</v>
      </c>
      <c r="D758">
        <v>50</v>
      </c>
      <c r="E758">
        <v>32</v>
      </c>
      <c r="F758" s="1">
        <f t="shared" si="77"/>
        <v>0.6097560975609756</v>
      </c>
      <c r="G758" s="2">
        <v>101.4</v>
      </c>
      <c r="H758" s="2">
        <v>96.3</v>
      </c>
      <c r="I758" s="2">
        <f t="shared" si="78"/>
        <v>5.1000000000000085</v>
      </c>
      <c r="J758" s="1">
        <f t="shared" si="79"/>
        <v>0.67314999462615233</v>
      </c>
      <c r="K758" s="2">
        <v>109.3</v>
      </c>
      <c r="L758" s="2">
        <v>103.9</v>
      </c>
      <c r="M758" s="2">
        <f t="shared" si="80"/>
        <v>5.3999999999999915</v>
      </c>
      <c r="N758" s="1">
        <f t="shared" si="81"/>
        <v>-6.339389706517673E-2</v>
      </c>
      <c r="O758" s="2">
        <v>99.3</v>
      </c>
      <c r="P758" s="2">
        <v>112.2</v>
      </c>
      <c r="Q758" s="2">
        <f t="shared" si="82"/>
        <v>-12.900000000000006</v>
      </c>
      <c r="R758" s="2">
        <v>0.9</v>
      </c>
      <c r="S758" s="2">
        <v>3.7</v>
      </c>
      <c r="T758" s="2">
        <f t="shared" si="83"/>
        <v>-18.299999999999997</v>
      </c>
    </row>
    <row r="759" spans="1:20">
      <c r="A759" s="6">
        <v>329</v>
      </c>
      <c r="B759" t="s">
        <v>49</v>
      </c>
      <c r="C759" t="s">
        <v>40</v>
      </c>
      <c r="D759">
        <v>7</v>
      </c>
      <c r="E759">
        <v>59</v>
      </c>
      <c r="F759" s="1">
        <f t="shared" si="77"/>
        <v>0.10606060606060606</v>
      </c>
      <c r="G759" s="2">
        <v>87</v>
      </c>
      <c r="H759" s="2">
        <v>100.9</v>
      </c>
      <c r="I759" s="2">
        <f t="shared" si="78"/>
        <v>-13.900000000000006</v>
      </c>
      <c r="J759" s="1">
        <f t="shared" si="79"/>
        <v>0.11154010247358601</v>
      </c>
      <c r="K759" s="2">
        <v>94.4</v>
      </c>
      <c r="L759" s="2">
        <v>109.4</v>
      </c>
      <c r="M759" s="2">
        <f t="shared" si="80"/>
        <v>-15</v>
      </c>
      <c r="N759" s="1">
        <f t="shared" si="81"/>
        <v>-5.4794964129799423E-3</v>
      </c>
      <c r="O759" s="2">
        <v>82.8</v>
      </c>
      <c r="P759" s="2">
        <v>116.2</v>
      </c>
      <c r="Q759" s="2">
        <f t="shared" si="82"/>
        <v>-33.400000000000006</v>
      </c>
      <c r="R759" s="2">
        <v>-2.8</v>
      </c>
      <c r="S759" s="2">
        <v>-13.3</v>
      </c>
      <c r="T759" s="2">
        <f t="shared" si="83"/>
        <v>-18.400000000000006</v>
      </c>
    </row>
    <row r="760" spans="1:20">
      <c r="A760" s="6">
        <v>69</v>
      </c>
      <c r="B760" t="s">
        <v>36</v>
      </c>
      <c r="C760" t="s">
        <v>16</v>
      </c>
      <c r="D760">
        <v>27</v>
      </c>
      <c r="E760">
        <v>55</v>
      </c>
      <c r="F760" s="1">
        <f t="shared" si="77"/>
        <v>0.32926829268292684</v>
      </c>
      <c r="G760" s="2">
        <v>93.8</v>
      </c>
      <c r="H760" s="2">
        <v>97.9</v>
      </c>
      <c r="I760" s="2">
        <f t="shared" si="78"/>
        <v>-4.1000000000000085</v>
      </c>
      <c r="J760" s="1">
        <f t="shared" si="79"/>
        <v>0.3545853935949021</v>
      </c>
      <c r="K760" s="2">
        <v>101.1</v>
      </c>
      <c r="L760" s="2">
        <v>105.1</v>
      </c>
      <c r="M760" s="2">
        <f t="shared" si="80"/>
        <v>-4</v>
      </c>
      <c r="N760" s="1">
        <f t="shared" si="81"/>
        <v>-2.5317100911975254E-2</v>
      </c>
      <c r="O760" s="2">
        <v>94</v>
      </c>
      <c r="P760" s="2">
        <v>116.5</v>
      </c>
      <c r="Q760" s="2">
        <f t="shared" si="82"/>
        <v>-22.5</v>
      </c>
      <c r="R760" s="2">
        <v>-0.5</v>
      </c>
      <c r="S760" s="2">
        <v>-1.6</v>
      </c>
      <c r="T760" s="2">
        <f t="shared" si="83"/>
        <v>-18.5</v>
      </c>
    </row>
    <row r="761" spans="1:20">
      <c r="A761" s="6">
        <v>705</v>
      </c>
      <c r="B761" t="s">
        <v>64</v>
      </c>
      <c r="C761" t="s">
        <v>53</v>
      </c>
      <c r="D761">
        <v>49</v>
      </c>
      <c r="E761">
        <v>32</v>
      </c>
      <c r="F761" s="1">
        <f t="shared" si="77"/>
        <v>0.60493827160493829</v>
      </c>
      <c r="G761" s="2">
        <v>115.4</v>
      </c>
      <c r="H761" s="2">
        <v>110.4</v>
      </c>
      <c r="I761" s="2">
        <f t="shared" si="78"/>
        <v>5</v>
      </c>
      <c r="J761" s="1">
        <f t="shared" si="79"/>
        <v>0.65024563171173744</v>
      </c>
      <c r="K761" s="2">
        <v>116.9</v>
      </c>
      <c r="L761" s="2">
        <v>111.7</v>
      </c>
      <c r="M761" s="2">
        <f t="shared" si="80"/>
        <v>5.2000000000000028</v>
      </c>
      <c r="N761" s="1">
        <f t="shared" si="81"/>
        <v>-4.5307360106799144E-2</v>
      </c>
      <c r="O761" s="2">
        <v>99</v>
      </c>
      <c r="P761" s="2">
        <v>112.3</v>
      </c>
      <c r="Q761" s="2">
        <f t="shared" si="82"/>
        <v>-13.299999999999997</v>
      </c>
      <c r="R761" s="2">
        <v>-0.3</v>
      </c>
      <c r="S761" s="2">
        <v>-0.2</v>
      </c>
      <c r="T761" s="2">
        <f t="shared" si="83"/>
        <v>-18.5</v>
      </c>
    </row>
    <row r="762" spans="1:20">
      <c r="A762" s="6">
        <v>375</v>
      </c>
      <c r="B762" t="s">
        <v>50</v>
      </c>
      <c r="C762" t="s">
        <v>37</v>
      </c>
      <c r="D762">
        <v>27</v>
      </c>
      <c r="E762">
        <v>55</v>
      </c>
      <c r="F762" s="1">
        <f t="shared" si="77"/>
        <v>0.32926829268292684</v>
      </c>
      <c r="G762" s="2">
        <v>94.1</v>
      </c>
      <c r="H762" s="2">
        <v>97.9</v>
      </c>
      <c r="I762" s="2">
        <f t="shared" si="78"/>
        <v>-3.8000000000000114</v>
      </c>
      <c r="J762" s="1">
        <f t="shared" si="79"/>
        <v>0.3648814793953255</v>
      </c>
      <c r="K762" s="2">
        <v>104.5</v>
      </c>
      <c r="L762" s="2">
        <v>108.9</v>
      </c>
      <c r="M762" s="2">
        <f t="shared" si="80"/>
        <v>-4.4000000000000057</v>
      </c>
      <c r="N762" s="1">
        <f t="shared" si="81"/>
        <v>-3.5613186712398659E-2</v>
      </c>
      <c r="O762" s="2">
        <v>93.6</v>
      </c>
      <c r="P762" s="2">
        <v>116.9</v>
      </c>
      <c r="Q762" s="2">
        <f t="shared" si="82"/>
        <v>-23.300000000000011</v>
      </c>
      <c r="R762" s="2">
        <v>-0.7</v>
      </c>
      <c r="S762" s="2">
        <v>-3.6</v>
      </c>
      <c r="T762" s="2">
        <f t="shared" si="83"/>
        <v>-18.900000000000006</v>
      </c>
    </row>
    <row r="763" spans="1:20">
      <c r="A763" s="6">
        <v>404</v>
      </c>
      <c r="B763" t="s">
        <v>52</v>
      </c>
      <c r="C763" t="s">
        <v>20</v>
      </c>
      <c r="D763">
        <v>40</v>
      </c>
      <c r="E763">
        <v>42</v>
      </c>
      <c r="F763" s="1">
        <f t="shared" si="77"/>
        <v>0.48780487804878048</v>
      </c>
      <c r="G763" s="2">
        <v>106.9</v>
      </c>
      <c r="H763" s="2">
        <v>104.3</v>
      </c>
      <c r="I763" s="2">
        <f t="shared" si="78"/>
        <v>2.6000000000000085</v>
      </c>
      <c r="J763" s="1">
        <f t="shared" si="79"/>
        <v>0.58533524678753013</v>
      </c>
      <c r="K763" s="2">
        <v>107.7</v>
      </c>
      <c r="L763" s="2">
        <v>105.2</v>
      </c>
      <c r="M763" s="2">
        <f t="shared" si="80"/>
        <v>2.5</v>
      </c>
      <c r="N763" s="1">
        <f t="shared" si="81"/>
        <v>-9.7530368738749651E-2</v>
      </c>
      <c r="O763" s="2">
        <v>99.7</v>
      </c>
      <c r="P763" s="2">
        <v>116.3</v>
      </c>
      <c r="Q763" s="2">
        <f t="shared" si="82"/>
        <v>-16.599999999999994</v>
      </c>
      <c r="R763" s="2">
        <v>-2.2999999999999998</v>
      </c>
      <c r="S763" s="2">
        <v>-9.6999999999999993</v>
      </c>
      <c r="T763" s="2">
        <f t="shared" si="83"/>
        <v>-19.099999999999994</v>
      </c>
    </row>
    <row r="764" spans="1:20">
      <c r="A764" s="6">
        <v>349</v>
      </c>
      <c r="B764" t="s">
        <v>49</v>
      </c>
      <c r="C764" t="s">
        <v>24</v>
      </c>
      <c r="D764">
        <v>35</v>
      </c>
      <c r="E764">
        <v>31</v>
      </c>
      <c r="F764" s="1">
        <f t="shared" si="77"/>
        <v>0.53030303030303028</v>
      </c>
      <c r="G764" s="2">
        <v>93.6</v>
      </c>
      <c r="H764" s="2">
        <v>89.4</v>
      </c>
      <c r="I764" s="2">
        <f t="shared" si="78"/>
        <v>4.1999999999999886</v>
      </c>
      <c r="J764" s="1">
        <f t="shared" si="79"/>
        <v>0.65537163395547915</v>
      </c>
      <c r="K764" s="2">
        <v>102.7</v>
      </c>
      <c r="L764" s="2">
        <v>98.2</v>
      </c>
      <c r="M764" s="2">
        <f t="shared" si="80"/>
        <v>4.5</v>
      </c>
      <c r="N764" s="1">
        <f t="shared" si="81"/>
        <v>-0.12506860365244887</v>
      </c>
      <c r="O764" s="2">
        <v>89.8</v>
      </c>
      <c r="P764" s="2">
        <v>104.4</v>
      </c>
      <c r="Q764" s="2">
        <f t="shared" si="82"/>
        <v>-14.600000000000009</v>
      </c>
      <c r="R764" s="2">
        <v>-0.6</v>
      </c>
      <c r="S764" s="2">
        <v>-1.7</v>
      </c>
      <c r="T764" s="2">
        <f t="shared" si="83"/>
        <v>-19.100000000000009</v>
      </c>
    </row>
    <row r="765" spans="1:20">
      <c r="A765" s="6">
        <v>92</v>
      </c>
      <c r="B765" t="s">
        <v>38</v>
      </c>
      <c r="C765" t="s">
        <v>10</v>
      </c>
      <c r="D765">
        <v>52</v>
      </c>
      <c r="E765">
        <v>30</v>
      </c>
      <c r="F765" s="1">
        <f t="shared" si="77"/>
        <v>0.63414634146341464</v>
      </c>
      <c r="G765" s="2">
        <v>105.2</v>
      </c>
      <c r="H765" s="2">
        <v>100.8</v>
      </c>
      <c r="I765" s="2">
        <f t="shared" si="78"/>
        <v>4.4000000000000057</v>
      </c>
      <c r="J765" s="1">
        <f t="shared" si="79"/>
        <v>0.64523276409206387</v>
      </c>
      <c r="K765" s="2">
        <v>110.4</v>
      </c>
      <c r="L765" s="2">
        <v>105.9</v>
      </c>
      <c r="M765" s="2">
        <f t="shared" si="80"/>
        <v>4.5</v>
      </c>
      <c r="N765" s="1">
        <f t="shared" si="81"/>
        <v>-1.1086422628649228E-2</v>
      </c>
      <c r="O765" s="2">
        <v>95.7</v>
      </c>
      <c r="P765" s="2">
        <v>110.5</v>
      </c>
      <c r="Q765" s="2">
        <f t="shared" si="82"/>
        <v>-14.799999999999997</v>
      </c>
      <c r="R765" s="2">
        <v>0.4</v>
      </c>
      <c r="S765" s="2">
        <v>3.5</v>
      </c>
      <c r="T765" s="2">
        <f t="shared" si="83"/>
        <v>-19.299999999999997</v>
      </c>
    </row>
    <row r="766" spans="1:20">
      <c r="A766" s="6">
        <v>638</v>
      </c>
      <c r="B766" t="s">
        <v>62</v>
      </c>
      <c r="C766" t="s">
        <v>15</v>
      </c>
      <c r="D766">
        <v>25</v>
      </c>
      <c r="E766">
        <v>57</v>
      </c>
      <c r="F766" s="1">
        <f t="shared" si="77"/>
        <v>0.3048780487804878</v>
      </c>
      <c r="G766" s="2">
        <v>111.5</v>
      </c>
      <c r="H766" s="2">
        <v>114.9</v>
      </c>
      <c r="I766" s="2">
        <f t="shared" si="78"/>
        <v>-3.4000000000000057</v>
      </c>
      <c r="J766" s="1">
        <f t="shared" si="79"/>
        <v>0.39639081435339146</v>
      </c>
      <c r="K766" s="2">
        <v>111.9</v>
      </c>
      <c r="L766" s="2">
        <v>115.5</v>
      </c>
      <c r="M766" s="2">
        <f t="shared" si="80"/>
        <v>-3.5999999999999943</v>
      </c>
      <c r="N766" s="1">
        <f t="shared" si="81"/>
        <v>-9.1512765572903665E-2</v>
      </c>
      <c r="O766" s="2">
        <v>92</v>
      </c>
      <c r="P766" s="2">
        <v>114.9</v>
      </c>
      <c r="Q766" s="2">
        <f t="shared" si="82"/>
        <v>-22.900000000000006</v>
      </c>
      <c r="R766" s="2">
        <v>-0.4</v>
      </c>
      <c r="S766" s="2">
        <v>-1.8</v>
      </c>
      <c r="T766" s="2">
        <f t="shared" si="83"/>
        <v>-19.300000000000011</v>
      </c>
    </row>
    <row r="767" spans="1:20">
      <c r="A767" s="6">
        <v>582</v>
      </c>
      <c r="B767" t="s">
        <v>60</v>
      </c>
      <c r="C767" t="s">
        <v>18</v>
      </c>
      <c r="D767">
        <v>44</v>
      </c>
      <c r="E767">
        <v>29</v>
      </c>
      <c r="F767" s="1">
        <f t="shared" si="77"/>
        <v>0.60273972602739723</v>
      </c>
      <c r="G767" s="2">
        <v>112</v>
      </c>
      <c r="H767" s="2">
        <v>109.1</v>
      </c>
      <c r="I767" s="2">
        <f t="shared" si="78"/>
        <v>2.9000000000000057</v>
      </c>
      <c r="J767" s="1">
        <f t="shared" si="79"/>
        <v>0.5908005274630016</v>
      </c>
      <c r="K767" s="2">
        <v>111.9</v>
      </c>
      <c r="L767" s="2">
        <v>109.3</v>
      </c>
      <c r="M767" s="2">
        <f t="shared" si="80"/>
        <v>2.6000000000000085</v>
      </c>
      <c r="N767" s="1">
        <f t="shared" si="81"/>
        <v>1.1939198564395626E-2</v>
      </c>
      <c r="O767" s="2">
        <v>98.1</v>
      </c>
      <c r="P767" s="2">
        <v>115.1</v>
      </c>
      <c r="Q767" s="2">
        <f t="shared" si="82"/>
        <v>-17</v>
      </c>
      <c r="R767" s="2">
        <v>-1.2</v>
      </c>
      <c r="S767" s="2">
        <v>-4.4000000000000004</v>
      </c>
      <c r="T767" s="2">
        <f t="shared" si="83"/>
        <v>-19.600000000000009</v>
      </c>
    </row>
    <row r="768" spans="1:20" s="5" customFormat="1">
      <c r="A768" s="6">
        <v>388</v>
      </c>
      <c r="B768" t="s">
        <v>52</v>
      </c>
      <c r="C768" t="s">
        <v>6</v>
      </c>
      <c r="D768">
        <v>25</v>
      </c>
      <c r="E768">
        <v>57</v>
      </c>
      <c r="F768" s="1">
        <f t="shared" si="77"/>
        <v>0.3048780487804878</v>
      </c>
      <c r="G768" s="2">
        <v>96.2</v>
      </c>
      <c r="H768" s="2">
        <v>100.7</v>
      </c>
      <c r="I768" s="2">
        <f t="shared" si="78"/>
        <v>-4.5</v>
      </c>
      <c r="J768" s="1">
        <f t="shared" si="79"/>
        <v>0.34523971521963903</v>
      </c>
      <c r="K768" s="2">
        <v>101.9</v>
      </c>
      <c r="L768" s="2">
        <v>106.5</v>
      </c>
      <c r="M768" s="2">
        <f t="shared" si="80"/>
        <v>-4.5999999999999943</v>
      </c>
      <c r="N768" s="1">
        <f t="shared" si="81"/>
        <v>-4.0361666439151234E-2</v>
      </c>
      <c r="O768" s="2">
        <v>88.5</v>
      </c>
      <c r="P768" s="2">
        <v>112.9</v>
      </c>
      <c r="Q768" s="2">
        <f t="shared" si="82"/>
        <v>-24.400000000000006</v>
      </c>
      <c r="R768" s="2">
        <v>-2</v>
      </c>
      <c r="S768" s="2">
        <v>-11.4</v>
      </c>
      <c r="T768" s="2">
        <f t="shared" si="83"/>
        <v>-19.800000000000011</v>
      </c>
    </row>
    <row r="769" spans="1:20">
      <c r="A769" s="6">
        <v>395</v>
      </c>
      <c r="B769" t="s">
        <v>52</v>
      </c>
      <c r="C769" t="s">
        <v>12</v>
      </c>
      <c r="D769">
        <v>29</v>
      </c>
      <c r="E769">
        <v>53</v>
      </c>
      <c r="F769" s="1">
        <f t="shared" si="77"/>
        <v>0.35365853658536583</v>
      </c>
      <c r="G769" s="2">
        <v>101</v>
      </c>
      <c r="H769" s="2">
        <v>104.7</v>
      </c>
      <c r="I769" s="2">
        <f t="shared" si="78"/>
        <v>-3.7000000000000028</v>
      </c>
      <c r="J769" s="1">
        <f t="shared" si="79"/>
        <v>0.37667145253299883</v>
      </c>
      <c r="K769" s="2">
        <v>105.2</v>
      </c>
      <c r="L769" s="2">
        <v>109</v>
      </c>
      <c r="M769" s="2">
        <f t="shared" si="80"/>
        <v>-3.7999999999999972</v>
      </c>
      <c r="N769" s="1">
        <f t="shared" si="81"/>
        <v>-2.3012915947632995E-2</v>
      </c>
      <c r="O769" s="2">
        <v>85.5</v>
      </c>
      <c r="P769" s="2">
        <v>110</v>
      </c>
      <c r="Q769" s="2">
        <f t="shared" si="82"/>
        <v>-24.5</v>
      </c>
      <c r="R769" s="2">
        <v>-2.4</v>
      </c>
      <c r="S769" s="2">
        <v>-11.8</v>
      </c>
      <c r="T769" s="2">
        <f t="shared" si="83"/>
        <v>-20.700000000000003</v>
      </c>
    </row>
    <row r="770" spans="1:20">
      <c r="A770" s="6">
        <v>575</v>
      </c>
      <c r="B770" t="s">
        <v>60</v>
      </c>
      <c r="C770" t="s">
        <v>12</v>
      </c>
      <c r="D770">
        <v>20</v>
      </c>
      <c r="E770">
        <v>46</v>
      </c>
      <c r="F770" s="1">
        <f t="shared" si="77"/>
        <v>0.30303030303030304</v>
      </c>
      <c r="G770" s="2">
        <v>107.2</v>
      </c>
      <c r="H770" s="2">
        <v>110.8</v>
      </c>
      <c r="I770" s="2">
        <f t="shared" si="78"/>
        <v>-3.5999999999999943</v>
      </c>
      <c r="J770" s="1">
        <f t="shared" si="79"/>
        <v>0.38641014492971848</v>
      </c>
      <c r="K770" s="2">
        <v>108.8</v>
      </c>
      <c r="L770" s="2">
        <v>112.3</v>
      </c>
      <c r="M770" s="2">
        <f t="shared" si="80"/>
        <v>-3.5</v>
      </c>
      <c r="N770" s="1">
        <f t="shared" si="81"/>
        <v>-8.3379841899415441E-2</v>
      </c>
      <c r="O770" s="2">
        <v>91</v>
      </c>
      <c r="P770" s="2">
        <v>115.5</v>
      </c>
      <c r="Q770" s="2">
        <f t="shared" si="82"/>
        <v>-24.5</v>
      </c>
      <c r="R770" s="2">
        <v>0</v>
      </c>
      <c r="S770" s="2">
        <v>-1</v>
      </c>
      <c r="T770" s="2">
        <f t="shared" si="83"/>
        <v>-21</v>
      </c>
    </row>
    <row r="771" spans="1:20">
      <c r="A771" s="6">
        <v>470</v>
      </c>
      <c r="B771" t="s">
        <v>55</v>
      </c>
      <c r="C771" t="s">
        <v>25</v>
      </c>
      <c r="D771">
        <v>23</v>
      </c>
      <c r="E771">
        <v>59</v>
      </c>
      <c r="F771" s="1">
        <f t="shared" si="77"/>
        <v>0.28048780487804881</v>
      </c>
      <c r="G771" s="2">
        <v>100.9</v>
      </c>
      <c r="H771" s="2">
        <v>107.5</v>
      </c>
      <c r="I771" s="2">
        <f t="shared" si="78"/>
        <v>-6.5999999999999943</v>
      </c>
      <c r="J771" s="1">
        <f t="shared" si="79"/>
        <v>0.29171838314513582</v>
      </c>
      <c r="K771" s="2">
        <v>101.5</v>
      </c>
      <c r="L771" s="2">
        <v>107.9</v>
      </c>
      <c r="M771" s="2">
        <f t="shared" si="80"/>
        <v>-6.4000000000000057</v>
      </c>
      <c r="N771" s="1">
        <f t="shared" si="81"/>
        <v>-1.123057826708701E-2</v>
      </c>
      <c r="O771" s="2">
        <v>88.7</v>
      </c>
      <c r="P771" s="2">
        <v>116.2</v>
      </c>
      <c r="Q771" s="2">
        <f t="shared" si="82"/>
        <v>-27.5</v>
      </c>
      <c r="R771" s="2">
        <v>-1.7</v>
      </c>
      <c r="S771" s="2">
        <v>-10.1</v>
      </c>
      <c r="T771" s="2">
        <f t="shared" si="83"/>
        <v>-21.099999999999994</v>
      </c>
    </row>
    <row r="772" spans="1:20">
      <c r="A772" s="6">
        <v>475</v>
      </c>
      <c r="B772" t="s">
        <v>55</v>
      </c>
      <c r="C772" t="s">
        <v>31</v>
      </c>
      <c r="D772">
        <v>40</v>
      </c>
      <c r="E772">
        <v>42</v>
      </c>
      <c r="F772" s="1">
        <f t="shared" si="77"/>
        <v>0.48780487804878048</v>
      </c>
      <c r="G772" s="2">
        <v>97.7</v>
      </c>
      <c r="H772" s="2">
        <v>95.9</v>
      </c>
      <c r="I772" s="2">
        <f t="shared" si="78"/>
        <v>1.7999999999999972</v>
      </c>
      <c r="J772" s="1">
        <f t="shared" si="79"/>
        <v>0.56471939759532841</v>
      </c>
      <c r="K772" s="2">
        <v>105</v>
      </c>
      <c r="L772" s="2">
        <v>103.2</v>
      </c>
      <c r="M772" s="2">
        <f t="shared" si="80"/>
        <v>1.7999999999999972</v>
      </c>
      <c r="N772" s="1">
        <f t="shared" si="81"/>
        <v>-7.6914519546547933E-2</v>
      </c>
      <c r="O772" s="2">
        <v>99.5</v>
      </c>
      <c r="P772" s="2">
        <v>118.9</v>
      </c>
      <c r="Q772" s="2">
        <f t="shared" si="82"/>
        <v>-19.400000000000006</v>
      </c>
      <c r="R772" s="2">
        <v>0.5</v>
      </c>
      <c r="S772" s="2">
        <v>2.7</v>
      </c>
      <c r="T772" s="2">
        <f t="shared" si="83"/>
        <v>-21.200000000000003</v>
      </c>
    </row>
    <row r="773" spans="1:20">
      <c r="A773" s="6">
        <v>354</v>
      </c>
      <c r="B773" t="s">
        <v>49</v>
      </c>
      <c r="C773" t="s">
        <v>30</v>
      </c>
      <c r="D773">
        <v>23</v>
      </c>
      <c r="E773">
        <v>43</v>
      </c>
      <c r="F773" s="1">
        <f t="shared" si="77"/>
        <v>0.34848484848484851</v>
      </c>
      <c r="G773" s="2">
        <v>90.7</v>
      </c>
      <c r="H773" s="2">
        <v>94</v>
      </c>
      <c r="I773" s="2">
        <f t="shared" si="78"/>
        <v>-3.2999999999999972</v>
      </c>
      <c r="J773" s="1">
        <f t="shared" si="79"/>
        <v>0.37746454187633971</v>
      </c>
      <c r="K773" s="2">
        <v>99.6</v>
      </c>
      <c r="L773" s="2">
        <v>103.6</v>
      </c>
      <c r="M773" s="2">
        <f t="shared" si="80"/>
        <v>-4</v>
      </c>
      <c r="N773" s="1">
        <f t="shared" si="81"/>
        <v>-2.8979693391491201E-2</v>
      </c>
      <c r="O773" s="2">
        <v>88.6</v>
      </c>
      <c r="P773" s="2">
        <v>114.7</v>
      </c>
      <c r="Q773" s="2">
        <f t="shared" si="82"/>
        <v>-26.100000000000009</v>
      </c>
      <c r="R773" s="2">
        <v>-1.4</v>
      </c>
      <c r="S773" s="2">
        <v>-7.8</v>
      </c>
      <c r="T773" s="2">
        <f t="shared" si="83"/>
        <v>-22.100000000000009</v>
      </c>
    </row>
    <row r="774" spans="1:20">
      <c r="A774" s="6">
        <v>75</v>
      </c>
      <c r="B774" t="s">
        <v>36</v>
      </c>
      <c r="C774" t="s">
        <v>21</v>
      </c>
      <c r="D774">
        <v>49</v>
      </c>
      <c r="E774">
        <v>33</v>
      </c>
      <c r="F774" s="1">
        <f t="shared" si="77"/>
        <v>0.59756097560975607</v>
      </c>
      <c r="G774" s="2">
        <v>95.4</v>
      </c>
      <c r="H774" s="2">
        <v>90.1</v>
      </c>
      <c r="I774" s="2">
        <f t="shared" si="78"/>
        <v>5.3000000000000114</v>
      </c>
      <c r="J774" s="1">
        <f t="shared" si="79"/>
        <v>0.69002106739686153</v>
      </c>
      <c r="K774" s="2">
        <v>102.1</v>
      </c>
      <c r="L774" s="2">
        <v>96.6</v>
      </c>
      <c r="M774" s="2">
        <f t="shared" si="80"/>
        <v>5.5</v>
      </c>
      <c r="N774" s="1">
        <f t="shared" si="81"/>
        <v>-9.2460091787105458E-2</v>
      </c>
      <c r="O774" s="2">
        <v>83.1</v>
      </c>
      <c r="P774" s="2">
        <v>100</v>
      </c>
      <c r="Q774" s="2">
        <f t="shared" si="82"/>
        <v>-16.900000000000006</v>
      </c>
      <c r="R774" s="2">
        <v>-0.7</v>
      </c>
      <c r="S774" s="2">
        <v>-3.2</v>
      </c>
      <c r="T774" s="2">
        <f t="shared" si="83"/>
        <v>-22.400000000000006</v>
      </c>
    </row>
    <row r="775" spans="1:20">
      <c r="A775" s="6">
        <v>646</v>
      </c>
      <c r="B775" t="s">
        <v>62</v>
      </c>
      <c r="C775" t="s">
        <v>22</v>
      </c>
      <c r="D775">
        <v>37</v>
      </c>
      <c r="E775">
        <v>45</v>
      </c>
      <c r="F775" s="1">
        <f t="shared" si="77"/>
        <v>0.45121951219512196</v>
      </c>
      <c r="G775" s="2">
        <v>106.5</v>
      </c>
      <c r="H775" s="2">
        <v>106.6</v>
      </c>
      <c r="I775" s="2">
        <f t="shared" si="78"/>
        <v>-9.9999999999994316E-2</v>
      </c>
      <c r="J775" s="1">
        <f t="shared" si="79"/>
        <v>0.49671520422004956</v>
      </c>
      <c r="K775" s="2">
        <v>109.7</v>
      </c>
      <c r="L775" s="2">
        <v>110.2</v>
      </c>
      <c r="M775" s="2">
        <f t="shared" si="80"/>
        <v>-0.5</v>
      </c>
      <c r="N775" s="1">
        <f t="shared" si="81"/>
        <v>-4.5495692024927592E-2</v>
      </c>
      <c r="O775" s="2">
        <v>93.2</v>
      </c>
      <c r="P775" s="2">
        <v>116.4</v>
      </c>
      <c r="Q775" s="2">
        <f t="shared" si="82"/>
        <v>-23.200000000000003</v>
      </c>
      <c r="R775" s="2">
        <v>-0.3</v>
      </c>
      <c r="S775" s="2">
        <v>-2.6</v>
      </c>
      <c r="T775" s="2">
        <f t="shared" si="83"/>
        <v>-22.700000000000003</v>
      </c>
    </row>
    <row r="776" spans="1:20">
      <c r="A776" s="6">
        <v>210</v>
      </c>
      <c r="B776" t="s">
        <v>44</v>
      </c>
      <c r="C776" t="s">
        <v>8</v>
      </c>
      <c r="D776">
        <v>33</v>
      </c>
      <c r="E776">
        <v>49</v>
      </c>
      <c r="F776" s="1">
        <f t="shared" si="77"/>
        <v>0.40243902439024393</v>
      </c>
      <c r="G776" s="2">
        <v>97.3</v>
      </c>
      <c r="H776" s="2">
        <v>100.4</v>
      </c>
      <c r="I776" s="2">
        <f t="shared" si="78"/>
        <v>-3.1000000000000085</v>
      </c>
      <c r="J776" s="1">
        <f t="shared" si="79"/>
        <v>0.39195900440907944</v>
      </c>
      <c r="K776" s="2">
        <v>102.9</v>
      </c>
      <c r="L776" s="2">
        <v>106</v>
      </c>
      <c r="M776" s="2">
        <f t="shared" si="80"/>
        <v>-3.0999999999999943</v>
      </c>
      <c r="N776" s="1">
        <f t="shared" si="81"/>
        <v>1.048001998116449E-2</v>
      </c>
      <c r="O776" s="2">
        <v>90</v>
      </c>
      <c r="P776" s="2">
        <v>116</v>
      </c>
      <c r="Q776" s="2">
        <f t="shared" si="82"/>
        <v>-26</v>
      </c>
      <c r="R776" s="2">
        <v>-1.5</v>
      </c>
      <c r="S776" s="2">
        <v>-6.5</v>
      </c>
      <c r="T776" s="2">
        <f t="shared" si="83"/>
        <v>-22.900000000000006</v>
      </c>
    </row>
    <row r="777" spans="1:20">
      <c r="A777" s="6">
        <v>384</v>
      </c>
      <c r="B777" t="s">
        <v>50</v>
      </c>
      <c r="C777" t="s">
        <v>30</v>
      </c>
      <c r="D777">
        <v>34</v>
      </c>
      <c r="E777">
        <v>48</v>
      </c>
      <c r="F777" s="1">
        <f t="shared" ref="F777:F840" si="84">+D777/(D777+E777)</f>
        <v>0.41463414634146339</v>
      </c>
      <c r="G777" s="2">
        <v>97.2</v>
      </c>
      <c r="H777" s="2">
        <v>98.7</v>
      </c>
      <c r="I777" s="2">
        <f t="shared" ref="I777:I840" si="85">+G777-H777</f>
        <v>-1.5</v>
      </c>
      <c r="J777" s="1">
        <f t="shared" ref="J777:J784" si="86">+(G777^14)/((G777^14+H777^14))</f>
        <v>0.4466045570075422</v>
      </c>
      <c r="K777" s="2">
        <v>105</v>
      </c>
      <c r="L777" s="2">
        <v>106.4</v>
      </c>
      <c r="M777" s="2">
        <f t="shared" ref="M777:M840" si="87">+K777-L777</f>
        <v>-1.4000000000000057</v>
      </c>
      <c r="N777" s="1">
        <f t="shared" ref="N777:N784" si="88">+F777-J777</f>
        <v>-3.1970410666078808E-2</v>
      </c>
      <c r="O777" s="2">
        <v>87.8</v>
      </c>
      <c r="P777" s="2">
        <v>112.9</v>
      </c>
      <c r="Q777" s="2">
        <f t="shared" ref="Q777:Q840" si="89">+O777-P777</f>
        <v>-25.100000000000009</v>
      </c>
      <c r="R777" s="2">
        <v>-1.5</v>
      </c>
      <c r="S777" s="2">
        <v>-6.6</v>
      </c>
      <c r="T777" s="2">
        <f t="shared" ref="T777:T784" si="90">+Q777-M777</f>
        <v>-23.700000000000003</v>
      </c>
    </row>
    <row r="778" spans="1:20">
      <c r="A778" s="6">
        <v>749</v>
      </c>
      <c r="B778" t="s">
        <v>66</v>
      </c>
      <c r="C778" t="s">
        <v>51</v>
      </c>
      <c r="D778">
        <v>16</v>
      </c>
      <c r="E778">
        <v>47</v>
      </c>
      <c r="F778" s="1">
        <f t="shared" si="84"/>
        <v>0.25396825396825395</v>
      </c>
      <c r="G778" s="2">
        <v>106.9</v>
      </c>
      <c r="H778" s="2">
        <v>115.6</v>
      </c>
      <c r="I778" s="2">
        <f t="shared" si="85"/>
        <v>-8.6999999999999886</v>
      </c>
      <c r="J778" s="1">
        <f t="shared" si="86"/>
        <v>0.25060467792949209</v>
      </c>
      <c r="K778" s="2">
        <v>109.6</v>
      </c>
      <c r="L778" s="2">
        <v>118.3</v>
      </c>
      <c r="M778" s="2">
        <f t="shared" si="87"/>
        <v>-8.7000000000000028</v>
      </c>
      <c r="N778" s="1">
        <f t="shared" si="88"/>
        <v>3.3635760387618618E-3</v>
      </c>
      <c r="O778" s="2">
        <v>99.4</v>
      </c>
      <c r="P778" s="2">
        <v>132.1</v>
      </c>
      <c r="Q778" s="2">
        <f t="shared" si="89"/>
        <v>-32.699999999999989</v>
      </c>
      <c r="R778" s="2">
        <v>-1.3</v>
      </c>
      <c r="S778" s="2">
        <v>-6.1</v>
      </c>
      <c r="T778" s="2">
        <f t="shared" si="90"/>
        <v>-23.999999999999986</v>
      </c>
    </row>
    <row r="779" spans="1:20">
      <c r="A779" s="6">
        <v>585</v>
      </c>
      <c r="B779" t="s">
        <v>60</v>
      </c>
      <c r="C779" t="s">
        <v>53</v>
      </c>
      <c r="D779">
        <v>30</v>
      </c>
      <c r="E779">
        <v>42</v>
      </c>
      <c r="F779" s="1">
        <f t="shared" si="84"/>
        <v>0.41666666666666669</v>
      </c>
      <c r="G779" s="2">
        <v>115.8</v>
      </c>
      <c r="H779" s="2">
        <v>117.1</v>
      </c>
      <c r="I779" s="2">
        <f t="shared" si="85"/>
        <v>-1.2999999999999972</v>
      </c>
      <c r="J779" s="1">
        <f t="shared" si="86"/>
        <v>0.46100637384195686</v>
      </c>
      <c r="K779" s="2">
        <v>110.5</v>
      </c>
      <c r="L779" s="2">
        <v>111.8</v>
      </c>
      <c r="M779" s="2">
        <f t="shared" si="87"/>
        <v>-1.2999999999999972</v>
      </c>
      <c r="N779" s="1">
        <f t="shared" si="88"/>
        <v>-4.4339707175290177E-2</v>
      </c>
      <c r="O779" s="2">
        <v>93.4</v>
      </c>
      <c r="P779" s="2">
        <v>119.8</v>
      </c>
      <c r="Q779" s="2">
        <f t="shared" si="89"/>
        <v>-26.399999999999991</v>
      </c>
      <c r="R779" s="2">
        <v>0.1</v>
      </c>
      <c r="S779" s="2">
        <v>1.3</v>
      </c>
      <c r="T779" s="2">
        <f t="shared" si="90"/>
        <v>-25.099999999999994</v>
      </c>
    </row>
    <row r="780" spans="1:20">
      <c r="A780" s="6">
        <v>695</v>
      </c>
      <c r="B780" t="s">
        <v>64</v>
      </c>
      <c r="C780" t="s">
        <v>12</v>
      </c>
      <c r="D780">
        <v>14</v>
      </c>
      <c r="E780">
        <v>68</v>
      </c>
      <c r="F780" s="1">
        <f t="shared" si="84"/>
        <v>0.17073170731707318</v>
      </c>
      <c r="G780" s="2">
        <v>109.9</v>
      </c>
      <c r="H780" s="2">
        <v>119</v>
      </c>
      <c r="I780" s="2">
        <f t="shared" si="85"/>
        <v>-9.0999999999999943</v>
      </c>
      <c r="J780" s="1">
        <f t="shared" si="86"/>
        <v>0.24717488192529891</v>
      </c>
      <c r="K780" s="2">
        <v>109</v>
      </c>
      <c r="L780" s="2">
        <v>118</v>
      </c>
      <c r="M780" s="2">
        <f t="shared" si="87"/>
        <v>-9</v>
      </c>
      <c r="N780" s="1">
        <f t="shared" si="88"/>
        <v>-7.6443174608225722E-2</v>
      </c>
      <c r="O780" s="2">
        <v>93.7</v>
      </c>
      <c r="P780" s="2">
        <v>128.1</v>
      </c>
      <c r="Q780" s="2">
        <f t="shared" si="89"/>
        <v>-34.399999999999991</v>
      </c>
      <c r="R780" s="2">
        <v>-0.9</v>
      </c>
      <c r="S780" s="2">
        <v>-6.1</v>
      </c>
      <c r="T780" s="2">
        <f t="shared" si="90"/>
        <v>-25.399999999999991</v>
      </c>
    </row>
    <row r="781" spans="1:20">
      <c r="A781" s="6">
        <v>513</v>
      </c>
      <c r="B781" t="s">
        <v>58</v>
      </c>
      <c r="C781" t="s">
        <v>10</v>
      </c>
      <c r="D781">
        <v>24</v>
      </c>
      <c r="E781">
        <v>58</v>
      </c>
      <c r="F781" s="1">
        <f t="shared" si="84"/>
        <v>0.29268292682926828</v>
      </c>
      <c r="G781" s="2">
        <v>102.3</v>
      </c>
      <c r="H781" s="2">
        <v>105.4</v>
      </c>
      <c r="I781" s="2">
        <f t="shared" si="85"/>
        <v>-3.1000000000000085</v>
      </c>
      <c r="J781" s="1">
        <f t="shared" si="86"/>
        <v>0.39700943969095354</v>
      </c>
      <c r="K781" s="2">
        <v>105.4</v>
      </c>
      <c r="L781" s="2">
        <v>108.4</v>
      </c>
      <c r="M781" s="2">
        <f t="shared" si="87"/>
        <v>-3</v>
      </c>
      <c r="N781" s="1">
        <f t="shared" si="88"/>
        <v>-0.10432651286168526</v>
      </c>
      <c r="O781" s="2">
        <v>88.3</v>
      </c>
      <c r="P781" s="2">
        <v>116.7</v>
      </c>
      <c r="Q781" s="2">
        <f t="shared" si="89"/>
        <v>-28.400000000000006</v>
      </c>
      <c r="R781" s="2">
        <v>-1</v>
      </c>
      <c r="S781" s="2">
        <v>-4</v>
      </c>
      <c r="T781" s="2">
        <f t="shared" si="90"/>
        <v>-25.400000000000006</v>
      </c>
    </row>
    <row r="782" spans="1:20">
      <c r="A782" s="6">
        <v>716</v>
      </c>
      <c r="B782" t="s">
        <v>64</v>
      </c>
      <c r="C782" t="s">
        <v>33</v>
      </c>
      <c r="D782">
        <v>15</v>
      </c>
      <c r="E782">
        <v>67</v>
      </c>
      <c r="F782" s="1">
        <f t="shared" si="84"/>
        <v>0.18292682926829268</v>
      </c>
      <c r="G782" s="2">
        <v>113.7</v>
      </c>
      <c r="H782" s="2">
        <v>123</v>
      </c>
      <c r="I782" s="2">
        <f t="shared" si="85"/>
        <v>-9.2999999999999972</v>
      </c>
      <c r="J782" s="1">
        <f t="shared" si="86"/>
        <v>0.24961000130344238</v>
      </c>
      <c r="K782" s="2">
        <v>110.2</v>
      </c>
      <c r="L782" s="2">
        <v>118.9</v>
      </c>
      <c r="M782" s="2">
        <f t="shared" si="87"/>
        <v>-8.7000000000000028</v>
      </c>
      <c r="N782" s="1">
        <f t="shared" si="88"/>
        <v>-6.6683172035149701E-2</v>
      </c>
      <c r="O782" s="2">
        <v>85.1</v>
      </c>
      <c r="P782" s="2">
        <v>123</v>
      </c>
      <c r="Q782" s="2">
        <f t="shared" si="89"/>
        <v>-37.900000000000006</v>
      </c>
      <c r="R782" s="2">
        <v>-0.3</v>
      </c>
      <c r="S782" s="2">
        <v>-1.2</v>
      </c>
      <c r="T782" s="2">
        <f t="shared" si="90"/>
        <v>-29.200000000000003</v>
      </c>
    </row>
    <row r="783" spans="1:20">
      <c r="A783" s="6">
        <v>313</v>
      </c>
      <c r="B783" t="s">
        <v>48</v>
      </c>
      <c r="C783" t="s">
        <v>20</v>
      </c>
      <c r="D783">
        <v>17</v>
      </c>
      <c r="E783">
        <v>65</v>
      </c>
      <c r="F783" s="1">
        <f t="shared" si="84"/>
        <v>0.2073170731707317</v>
      </c>
      <c r="G783" s="2">
        <v>101.1</v>
      </c>
      <c r="H783" s="2">
        <v>107.7</v>
      </c>
      <c r="I783" s="2">
        <f t="shared" si="85"/>
        <v>-6.6000000000000085</v>
      </c>
      <c r="J783" s="1">
        <f t="shared" si="86"/>
        <v>0.2920698563562486</v>
      </c>
      <c r="K783" s="2">
        <v>103.2</v>
      </c>
      <c r="L783" s="2">
        <v>109.9</v>
      </c>
      <c r="M783" s="2">
        <f t="shared" si="87"/>
        <v>-6.7000000000000028</v>
      </c>
      <c r="N783" s="1">
        <f t="shared" si="88"/>
        <v>-8.4752783185516906E-2</v>
      </c>
      <c r="O783" s="2">
        <v>91.1</v>
      </c>
      <c r="P783" s="2">
        <v>129.80000000000001</v>
      </c>
      <c r="Q783" s="2">
        <f t="shared" si="89"/>
        <v>-38.700000000000017</v>
      </c>
      <c r="R783" s="2">
        <v>-1.7</v>
      </c>
      <c r="S783" s="2">
        <v>-10.199999999999999</v>
      </c>
      <c r="T783" s="2">
        <f t="shared" si="90"/>
        <v>-32.000000000000014</v>
      </c>
    </row>
    <row r="784" spans="1:20">
      <c r="A784" s="6">
        <v>469</v>
      </c>
      <c r="B784" t="s">
        <v>55</v>
      </c>
      <c r="C784" t="s">
        <v>24</v>
      </c>
      <c r="D784">
        <v>10</v>
      </c>
      <c r="E784">
        <v>72</v>
      </c>
      <c r="F784" s="1">
        <f t="shared" si="84"/>
        <v>0.12195121951219512</v>
      </c>
      <c r="G784" s="2">
        <v>97.4</v>
      </c>
      <c r="H784" s="2">
        <v>107.6</v>
      </c>
      <c r="I784" s="2">
        <f t="shared" si="85"/>
        <v>-10.199999999999989</v>
      </c>
      <c r="J784" s="1">
        <f t="shared" si="86"/>
        <v>0.1987186515098173</v>
      </c>
      <c r="K784" s="2">
        <v>98.4</v>
      </c>
      <c r="L784" s="2">
        <v>108.6</v>
      </c>
      <c r="M784" s="2">
        <f t="shared" si="87"/>
        <v>-10.199999999999989</v>
      </c>
      <c r="N784" s="1">
        <f t="shared" si="88"/>
        <v>-7.6767431997622176E-2</v>
      </c>
      <c r="O784" s="2">
        <v>78.599999999999994</v>
      </c>
      <c r="P784" s="2">
        <v>123.5</v>
      </c>
      <c r="Q784" s="2">
        <f t="shared" si="89"/>
        <v>-44.900000000000006</v>
      </c>
      <c r="R784" s="2">
        <v>-2</v>
      </c>
      <c r="S784" s="2">
        <v>-9.6</v>
      </c>
      <c r="T784" s="2">
        <f t="shared" si="90"/>
        <v>-34.700000000000017</v>
      </c>
    </row>
  </sheetData>
  <sortState xmlns:xlrd2="http://schemas.microsoft.com/office/spreadsheetml/2017/richdata2" ref="A9:T784">
    <sortCondition descending="1" ref="T9:T78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copy</vt:lpstr>
      <vt:lpstr>copy (2)</vt:lpstr>
      <vt:lpstr>copy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Schoen</dc:creator>
  <cp:lastModifiedBy>Rob Schoen</cp:lastModifiedBy>
  <dcterms:created xsi:type="dcterms:W3CDTF">2026-03-08T18:51:22Z</dcterms:created>
  <dcterms:modified xsi:type="dcterms:W3CDTF">2026-03-10T18:27:23Z</dcterms:modified>
</cp:coreProperties>
</file>