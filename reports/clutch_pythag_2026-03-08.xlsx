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bschoen/Dropbox/CC/GLA/reports/"/>
    </mc:Choice>
  </mc:AlternateContent>
  <xr:revisionPtr revIDLastSave="0" documentId="8_{77D77FED-B047-DF4F-9358-07EFDEB719E6}" xr6:coauthVersionLast="47" xr6:coauthVersionMax="47" xr10:uidLastSave="{00000000-0000-0000-0000-000000000000}"/>
  <bookViews>
    <workbookView xWindow="7080" yWindow="-18680" windowWidth="49300" windowHeight="16940" xr2:uid="{E8211D80-5896-574B-9E30-D6B93117F211}"/>
  </bookViews>
  <sheets>
    <sheet name="original" sheetId="1" r:id="rId1"/>
    <sheet name="copy" sheetId="3" r:id="rId2"/>
    <sheet name="copy (2)" sheetId="4" r:id="rId3"/>
    <sheet name="copy (3)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94" i="5" l="1"/>
  <c r="T210" i="5"/>
  <c r="T183" i="5"/>
  <c r="T530" i="5"/>
  <c r="T737" i="5"/>
  <c r="T356" i="5"/>
  <c r="R10" i="4"/>
  <c r="R11" i="4"/>
  <c r="R12" i="4"/>
  <c r="R13" i="4"/>
  <c r="R14" i="4"/>
  <c r="R15" i="4"/>
  <c r="R16" i="4"/>
  <c r="R17" i="4"/>
  <c r="R18" i="4"/>
  <c r="R19" i="4"/>
  <c r="R20" i="4"/>
  <c r="R9" i="4"/>
  <c r="Q784" i="5"/>
  <c r="M784" i="5"/>
  <c r="J784" i="5"/>
  <c r="I784" i="5"/>
  <c r="F784" i="5"/>
  <c r="Q783" i="5"/>
  <c r="M783" i="5"/>
  <c r="J783" i="5"/>
  <c r="I783" i="5"/>
  <c r="F783" i="5"/>
  <c r="Q782" i="5"/>
  <c r="M782" i="5"/>
  <c r="J782" i="5"/>
  <c r="I782" i="5"/>
  <c r="F782" i="5"/>
  <c r="Q780" i="5"/>
  <c r="M780" i="5"/>
  <c r="J780" i="5"/>
  <c r="I780" i="5"/>
  <c r="F780" i="5"/>
  <c r="N780" i="5" s="1"/>
  <c r="Q759" i="5"/>
  <c r="M759" i="5"/>
  <c r="J759" i="5"/>
  <c r="I759" i="5"/>
  <c r="F759" i="5"/>
  <c r="Q778" i="5"/>
  <c r="M778" i="5"/>
  <c r="T778" i="5" s="1"/>
  <c r="J778" i="5"/>
  <c r="I778" i="5"/>
  <c r="F778" i="5"/>
  <c r="Q781" i="5"/>
  <c r="M781" i="5"/>
  <c r="J781" i="5"/>
  <c r="I781" i="5"/>
  <c r="F781" i="5"/>
  <c r="Q771" i="5"/>
  <c r="M771" i="5"/>
  <c r="J771" i="5"/>
  <c r="I771" i="5"/>
  <c r="F771" i="5"/>
  <c r="Q779" i="5"/>
  <c r="M779" i="5"/>
  <c r="J779" i="5"/>
  <c r="I779" i="5"/>
  <c r="F779" i="5"/>
  <c r="Q751" i="5"/>
  <c r="M751" i="5"/>
  <c r="J751" i="5"/>
  <c r="I751" i="5"/>
  <c r="F751" i="5"/>
  <c r="Q773" i="5"/>
  <c r="M773" i="5"/>
  <c r="J773" i="5"/>
  <c r="I773" i="5"/>
  <c r="F773" i="5"/>
  <c r="Q776" i="5"/>
  <c r="M776" i="5"/>
  <c r="J776" i="5"/>
  <c r="I776" i="5"/>
  <c r="F776" i="5"/>
  <c r="Q743" i="5"/>
  <c r="M743" i="5"/>
  <c r="J743" i="5"/>
  <c r="I743" i="5"/>
  <c r="F743" i="5"/>
  <c r="Q777" i="5"/>
  <c r="M777" i="5"/>
  <c r="J777" i="5"/>
  <c r="I777" i="5"/>
  <c r="F777" i="5"/>
  <c r="Q770" i="5"/>
  <c r="M770" i="5"/>
  <c r="J770" i="5"/>
  <c r="I770" i="5"/>
  <c r="F770" i="5"/>
  <c r="Q769" i="5"/>
  <c r="M769" i="5"/>
  <c r="J769" i="5"/>
  <c r="I769" i="5"/>
  <c r="F769" i="5"/>
  <c r="Q768" i="5"/>
  <c r="M768" i="5"/>
  <c r="J768" i="5"/>
  <c r="I768" i="5"/>
  <c r="F768" i="5"/>
  <c r="Q754" i="5"/>
  <c r="M754" i="5"/>
  <c r="J754" i="5"/>
  <c r="I754" i="5"/>
  <c r="F754" i="5"/>
  <c r="Q762" i="5"/>
  <c r="M762" i="5"/>
  <c r="J762" i="5"/>
  <c r="I762" i="5"/>
  <c r="F762" i="5"/>
  <c r="Q775" i="5"/>
  <c r="T775" i="5" s="1"/>
  <c r="M775" i="5"/>
  <c r="J775" i="5"/>
  <c r="I775" i="5"/>
  <c r="F775" i="5"/>
  <c r="Q730" i="5"/>
  <c r="M730" i="5"/>
  <c r="J730" i="5"/>
  <c r="I730" i="5"/>
  <c r="F730" i="5"/>
  <c r="Q766" i="5"/>
  <c r="M766" i="5"/>
  <c r="J766" i="5"/>
  <c r="I766" i="5"/>
  <c r="F766" i="5"/>
  <c r="Q760" i="5"/>
  <c r="M760" i="5"/>
  <c r="J760" i="5"/>
  <c r="I760" i="5"/>
  <c r="F760" i="5"/>
  <c r="Q723" i="5"/>
  <c r="M723" i="5"/>
  <c r="J723" i="5"/>
  <c r="I723" i="5"/>
  <c r="F723" i="5"/>
  <c r="Q719" i="5"/>
  <c r="M719" i="5"/>
  <c r="J719" i="5"/>
  <c r="I719" i="5"/>
  <c r="F719" i="5"/>
  <c r="Q711" i="5"/>
  <c r="M711" i="5"/>
  <c r="J711" i="5"/>
  <c r="I711" i="5"/>
  <c r="F711" i="5"/>
  <c r="Q755" i="5"/>
  <c r="M755" i="5"/>
  <c r="J755" i="5"/>
  <c r="I755" i="5"/>
  <c r="F755" i="5"/>
  <c r="Q692" i="5"/>
  <c r="M692" i="5"/>
  <c r="J692" i="5"/>
  <c r="I692" i="5"/>
  <c r="F692" i="5"/>
  <c r="Q748" i="5"/>
  <c r="M748" i="5"/>
  <c r="J748" i="5"/>
  <c r="I748" i="5"/>
  <c r="F748" i="5"/>
  <c r="Q688" i="5"/>
  <c r="M688" i="5"/>
  <c r="J688" i="5"/>
  <c r="I688" i="5"/>
  <c r="F688" i="5"/>
  <c r="Q742" i="5"/>
  <c r="M742" i="5"/>
  <c r="T742" i="5" s="1"/>
  <c r="J742" i="5"/>
  <c r="I742" i="5"/>
  <c r="F742" i="5"/>
  <c r="Q756" i="5"/>
  <c r="M756" i="5"/>
  <c r="J756" i="5"/>
  <c r="I756" i="5"/>
  <c r="F756" i="5"/>
  <c r="Q707" i="5"/>
  <c r="M707" i="5"/>
  <c r="J707" i="5"/>
  <c r="I707" i="5"/>
  <c r="F707" i="5"/>
  <c r="Q724" i="5"/>
  <c r="M724" i="5"/>
  <c r="J724" i="5"/>
  <c r="I724" i="5"/>
  <c r="F724" i="5"/>
  <c r="Q752" i="5"/>
  <c r="M752" i="5"/>
  <c r="J752" i="5"/>
  <c r="I752" i="5"/>
  <c r="F752" i="5"/>
  <c r="Q733" i="5"/>
  <c r="M733" i="5"/>
  <c r="J733" i="5"/>
  <c r="I733" i="5"/>
  <c r="F733" i="5"/>
  <c r="Q699" i="5"/>
  <c r="T699" i="5" s="1"/>
  <c r="M699" i="5"/>
  <c r="J699" i="5"/>
  <c r="I699" i="5"/>
  <c r="F699" i="5"/>
  <c r="Q772" i="5"/>
  <c r="M772" i="5"/>
  <c r="J772" i="5"/>
  <c r="I772" i="5"/>
  <c r="F772" i="5"/>
  <c r="Q744" i="5"/>
  <c r="M744" i="5"/>
  <c r="J744" i="5"/>
  <c r="I744" i="5"/>
  <c r="F744" i="5"/>
  <c r="Q728" i="5"/>
  <c r="T728" i="5" s="1"/>
  <c r="M728" i="5"/>
  <c r="J728" i="5"/>
  <c r="I728" i="5"/>
  <c r="F728" i="5"/>
  <c r="Q720" i="5"/>
  <c r="M720" i="5"/>
  <c r="J720" i="5"/>
  <c r="I720" i="5"/>
  <c r="F720" i="5"/>
  <c r="Q747" i="5"/>
  <c r="M747" i="5"/>
  <c r="T747" i="5" s="1"/>
  <c r="J747" i="5"/>
  <c r="I747" i="5"/>
  <c r="F747" i="5"/>
  <c r="Q666" i="5"/>
  <c r="M666" i="5"/>
  <c r="J666" i="5"/>
  <c r="I666" i="5"/>
  <c r="F666" i="5"/>
  <c r="Q717" i="5"/>
  <c r="M717" i="5"/>
  <c r="J717" i="5"/>
  <c r="I717" i="5"/>
  <c r="F717" i="5"/>
  <c r="Q729" i="5"/>
  <c r="M729" i="5"/>
  <c r="J729" i="5"/>
  <c r="I729" i="5"/>
  <c r="F729" i="5"/>
  <c r="Q732" i="5"/>
  <c r="M732" i="5"/>
  <c r="J732" i="5"/>
  <c r="I732" i="5"/>
  <c r="F732" i="5"/>
  <c r="Q703" i="5"/>
  <c r="M703" i="5"/>
  <c r="J703" i="5"/>
  <c r="I703" i="5"/>
  <c r="F703" i="5"/>
  <c r="Q683" i="5"/>
  <c r="M683" i="5"/>
  <c r="J683" i="5"/>
  <c r="I683" i="5"/>
  <c r="F683" i="5"/>
  <c r="Q725" i="5"/>
  <c r="M725" i="5"/>
  <c r="J725" i="5"/>
  <c r="I725" i="5"/>
  <c r="F725" i="5"/>
  <c r="Q660" i="5"/>
  <c r="M660" i="5"/>
  <c r="J660" i="5"/>
  <c r="I660" i="5"/>
  <c r="F660" i="5"/>
  <c r="Q694" i="5"/>
  <c r="M694" i="5"/>
  <c r="J694" i="5"/>
  <c r="I694" i="5"/>
  <c r="F694" i="5"/>
  <c r="Q691" i="5"/>
  <c r="T691" i="5" s="1"/>
  <c r="M691" i="5"/>
  <c r="J691" i="5"/>
  <c r="I691" i="5"/>
  <c r="F691" i="5"/>
  <c r="Q718" i="5"/>
  <c r="M718" i="5"/>
  <c r="J718" i="5"/>
  <c r="I718" i="5"/>
  <c r="F718" i="5"/>
  <c r="Q767" i="5"/>
  <c r="M767" i="5"/>
  <c r="J767" i="5"/>
  <c r="I767" i="5"/>
  <c r="F767" i="5"/>
  <c r="Q774" i="5"/>
  <c r="M774" i="5"/>
  <c r="J774" i="5"/>
  <c r="I774" i="5"/>
  <c r="F774" i="5"/>
  <c r="Q669" i="5"/>
  <c r="M669" i="5"/>
  <c r="J669" i="5"/>
  <c r="I669" i="5"/>
  <c r="F669" i="5"/>
  <c r="Q702" i="5"/>
  <c r="M702" i="5"/>
  <c r="J702" i="5"/>
  <c r="I702" i="5"/>
  <c r="F702" i="5"/>
  <c r="Q705" i="5"/>
  <c r="M705" i="5"/>
  <c r="J705" i="5"/>
  <c r="I705" i="5"/>
  <c r="F705" i="5"/>
  <c r="Q651" i="5"/>
  <c r="M651" i="5"/>
  <c r="J651" i="5"/>
  <c r="I651" i="5"/>
  <c r="F651" i="5"/>
  <c r="Q763" i="5"/>
  <c r="M763" i="5"/>
  <c r="J763" i="5"/>
  <c r="I763" i="5"/>
  <c r="F763" i="5"/>
  <c r="Q687" i="5"/>
  <c r="M687" i="5"/>
  <c r="J687" i="5"/>
  <c r="I687" i="5"/>
  <c r="F687" i="5"/>
  <c r="Q749" i="5"/>
  <c r="M749" i="5"/>
  <c r="J749" i="5"/>
  <c r="I749" i="5"/>
  <c r="F749" i="5"/>
  <c r="Q661" i="5"/>
  <c r="M661" i="5"/>
  <c r="J661" i="5"/>
  <c r="I661" i="5"/>
  <c r="F661" i="5"/>
  <c r="Q655" i="5"/>
  <c r="M655" i="5"/>
  <c r="J655" i="5"/>
  <c r="I655" i="5"/>
  <c r="F655" i="5"/>
  <c r="Q753" i="5"/>
  <c r="M753" i="5"/>
  <c r="J753" i="5"/>
  <c r="I753" i="5"/>
  <c r="F753" i="5"/>
  <c r="Q635" i="5"/>
  <c r="M635" i="5"/>
  <c r="J635" i="5"/>
  <c r="I635" i="5"/>
  <c r="F635" i="5"/>
  <c r="Q662" i="5"/>
  <c r="M662" i="5"/>
  <c r="J662" i="5"/>
  <c r="I662" i="5"/>
  <c r="F662" i="5"/>
  <c r="Q741" i="5"/>
  <c r="M741" i="5"/>
  <c r="J741" i="5"/>
  <c r="I741" i="5"/>
  <c r="F741" i="5"/>
  <c r="Q637" i="5"/>
  <c r="M637" i="5"/>
  <c r="J637" i="5"/>
  <c r="I637" i="5"/>
  <c r="F637" i="5"/>
  <c r="Q625" i="5"/>
  <c r="M625" i="5"/>
  <c r="J625" i="5"/>
  <c r="I625" i="5"/>
  <c r="F625" i="5"/>
  <c r="Q746" i="5"/>
  <c r="M746" i="5"/>
  <c r="J746" i="5"/>
  <c r="I746" i="5"/>
  <c r="F746" i="5"/>
  <c r="Q726" i="5"/>
  <c r="M726" i="5"/>
  <c r="J726" i="5"/>
  <c r="I726" i="5"/>
  <c r="F726" i="5"/>
  <c r="Q679" i="5"/>
  <c r="M679" i="5"/>
  <c r="J679" i="5"/>
  <c r="I679" i="5"/>
  <c r="F679" i="5"/>
  <c r="Q710" i="5"/>
  <c r="M710" i="5"/>
  <c r="J710" i="5"/>
  <c r="I710" i="5"/>
  <c r="F710" i="5"/>
  <c r="Q552" i="5"/>
  <c r="M552" i="5"/>
  <c r="J552" i="5"/>
  <c r="I552" i="5"/>
  <c r="F552" i="5"/>
  <c r="Q765" i="5"/>
  <c r="M765" i="5"/>
  <c r="J765" i="5"/>
  <c r="I765" i="5"/>
  <c r="F765" i="5"/>
  <c r="Q714" i="5"/>
  <c r="M714" i="5"/>
  <c r="J714" i="5"/>
  <c r="I714" i="5"/>
  <c r="F714" i="5"/>
  <c r="Q764" i="5"/>
  <c r="M764" i="5"/>
  <c r="J764" i="5"/>
  <c r="I764" i="5"/>
  <c r="F764" i="5"/>
  <c r="Q712" i="5"/>
  <c r="M712" i="5"/>
  <c r="T712" i="5" s="1"/>
  <c r="J712" i="5"/>
  <c r="I712" i="5"/>
  <c r="F712" i="5"/>
  <c r="Q734" i="5"/>
  <c r="M734" i="5"/>
  <c r="J734" i="5"/>
  <c r="I734" i="5"/>
  <c r="F734" i="5"/>
  <c r="Q739" i="5"/>
  <c r="M739" i="5"/>
  <c r="J739" i="5"/>
  <c r="I739" i="5"/>
  <c r="F739" i="5"/>
  <c r="Q609" i="5"/>
  <c r="M609" i="5"/>
  <c r="J609" i="5"/>
  <c r="I609" i="5"/>
  <c r="F609" i="5"/>
  <c r="Q541" i="5"/>
  <c r="M541" i="5"/>
  <c r="T541" i="5" s="1"/>
  <c r="J541" i="5"/>
  <c r="I541" i="5"/>
  <c r="F541" i="5"/>
  <c r="Q664" i="5"/>
  <c r="M664" i="5"/>
  <c r="J664" i="5"/>
  <c r="I664" i="5"/>
  <c r="F664" i="5"/>
  <c r="Q531" i="5"/>
  <c r="M531" i="5"/>
  <c r="J531" i="5"/>
  <c r="I531" i="5"/>
  <c r="F531" i="5"/>
  <c r="Q658" i="5"/>
  <c r="M658" i="5"/>
  <c r="J658" i="5"/>
  <c r="I658" i="5"/>
  <c r="F658" i="5"/>
  <c r="Q698" i="5"/>
  <c r="M698" i="5"/>
  <c r="J698" i="5"/>
  <c r="I698" i="5"/>
  <c r="F698" i="5"/>
  <c r="Q761" i="5"/>
  <c r="M761" i="5"/>
  <c r="J761" i="5"/>
  <c r="I761" i="5"/>
  <c r="F761" i="5"/>
  <c r="Q582" i="5"/>
  <c r="M582" i="5"/>
  <c r="J582" i="5"/>
  <c r="I582" i="5"/>
  <c r="F582" i="5"/>
  <c r="Q740" i="5"/>
  <c r="M740" i="5"/>
  <c r="J740" i="5"/>
  <c r="I740" i="5"/>
  <c r="F740" i="5"/>
  <c r="Q682" i="5"/>
  <c r="M682" i="5"/>
  <c r="J682" i="5"/>
  <c r="I682" i="5"/>
  <c r="F682" i="5"/>
  <c r="Q497" i="5"/>
  <c r="M497" i="5"/>
  <c r="J497" i="5"/>
  <c r="I497" i="5"/>
  <c r="F497" i="5"/>
  <c r="Q731" i="5"/>
  <c r="M731" i="5"/>
  <c r="J731" i="5"/>
  <c r="I731" i="5"/>
  <c r="F731" i="5"/>
  <c r="Q665" i="5"/>
  <c r="M665" i="5"/>
  <c r="J665" i="5"/>
  <c r="I665" i="5"/>
  <c r="F665" i="5"/>
  <c r="Q758" i="5"/>
  <c r="M758" i="5"/>
  <c r="T758" i="5" s="1"/>
  <c r="J758" i="5"/>
  <c r="I758" i="5"/>
  <c r="F758" i="5"/>
  <c r="Q589" i="5"/>
  <c r="M589" i="5"/>
  <c r="J589" i="5"/>
  <c r="I589" i="5"/>
  <c r="F589" i="5"/>
  <c r="Q588" i="5"/>
  <c r="M588" i="5"/>
  <c r="J588" i="5"/>
  <c r="I588" i="5"/>
  <c r="F588" i="5"/>
  <c r="Q654" i="5"/>
  <c r="M654" i="5"/>
  <c r="J654" i="5"/>
  <c r="I654" i="5"/>
  <c r="F654" i="5"/>
  <c r="Q595" i="5"/>
  <c r="M595" i="5"/>
  <c r="J595" i="5"/>
  <c r="I595" i="5"/>
  <c r="F595" i="5"/>
  <c r="Q615" i="5"/>
  <c r="T615" i="5" s="1"/>
  <c r="M615" i="5"/>
  <c r="J615" i="5"/>
  <c r="I615" i="5"/>
  <c r="F615" i="5"/>
  <c r="Q563" i="5"/>
  <c r="M563" i="5"/>
  <c r="J563" i="5"/>
  <c r="I563" i="5"/>
  <c r="F563" i="5"/>
  <c r="Q738" i="5"/>
  <c r="M738" i="5"/>
  <c r="J738" i="5"/>
  <c r="I738" i="5"/>
  <c r="F738" i="5"/>
  <c r="Q587" i="5"/>
  <c r="M587" i="5"/>
  <c r="J587" i="5"/>
  <c r="I587" i="5"/>
  <c r="F587" i="5"/>
  <c r="Q706" i="5"/>
  <c r="M706" i="5"/>
  <c r="J706" i="5"/>
  <c r="I706" i="5"/>
  <c r="F706" i="5"/>
  <c r="Q599" i="5"/>
  <c r="M599" i="5"/>
  <c r="J599" i="5"/>
  <c r="I599" i="5"/>
  <c r="F599" i="5"/>
  <c r="Q626" i="5"/>
  <c r="M626" i="5"/>
  <c r="T626" i="5" s="1"/>
  <c r="J626" i="5"/>
  <c r="I626" i="5"/>
  <c r="F626" i="5"/>
  <c r="Q704" i="5"/>
  <c r="M704" i="5"/>
  <c r="J704" i="5"/>
  <c r="I704" i="5"/>
  <c r="F704" i="5"/>
  <c r="Q663" i="5"/>
  <c r="M663" i="5"/>
  <c r="J663" i="5"/>
  <c r="I663" i="5"/>
  <c r="F663" i="5"/>
  <c r="Q462" i="5"/>
  <c r="M462" i="5"/>
  <c r="J462" i="5"/>
  <c r="I462" i="5"/>
  <c r="F462" i="5"/>
  <c r="Q547" i="5"/>
  <c r="M547" i="5"/>
  <c r="J547" i="5"/>
  <c r="I547" i="5"/>
  <c r="F547" i="5"/>
  <c r="Q641" i="5"/>
  <c r="M641" i="5"/>
  <c r="J641" i="5"/>
  <c r="I641" i="5"/>
  <c r="F641" i="5"/>
  <c r="Q678" i="5"/>
  <c r="M678" i="5"/>
  <c r="J678" i="5"/>
  <c r="I678" i="5"/>
  <c r="F678" i="5"/>
  <c r="Q628" i="5"/>
  <c r="M628" i="5"/>
  <c r="J628" i="5"/>
  <c r="I628" i="5"/>
  <c r="F628" i="5"/>
  <c r="Q671" i="5"/>
  <c r="M671" i="5"/>
  <c r="J671" i="5"/>
  <c r="I671" i="5"/>
  <c r="F671" i="5"/>
  <c r="Q676" i="5"/>
  <c r="M676" i="5"/>
  <c r="J676" i="5"/>
  <c r="I676" i="5"/>
  <c r="F676" i="5"/>
  <c r="Q597" i="5"/>
  <c r="M597" i="5"/>
  <c r="J597" i="5"/>
  <c r="I597" i="5"/>
  <c r="F597" i="5"/>
  <c r="Q757" i="5"/>
  <c r="M757" i="5"/>
  <c r="J757" i="5"/>
  <c r="I757" i="5"/>
  <c r="F757" i="5"/>
  <c r="Q672" i="5"/>
  <c r="M672" i="5"/>
  <c r="J672" i="5"/>
  <c r="I672" i="5"/>
  <c r="F672" i="5"/>
  <c r="Q649" i="5"/>
  <c r="M649" i="5"/>
  <c r="J649" i="5"/>
  <c r="I649" i="5"/>
  <c r="F649" i="5"/>
  <c r="Q459" i="5"/>
  <c r="M459" i="5"/>
  <c r="J459" i="5"/>
  <c r="I459" i="5"/>
  <c r="F459" i="5"/>
  <c r="Q583" i="5"/>
  <c r="M583" i="5"/>
  <c r="J583" i="5"/>
  <c r="I583" i="5"/>
  <c r="F583" i="5"/>
  <c r="Q370" i="5"/>
  <c r="M370" i="5"/>
  <c r="J370" i="5"/>
  <c r="I370" i="5"/>
  <c r="F370" i="5"/>
  <c r="Q485" i="5"/>
  <c r="M485" i="5"/>
  <c r="J485" i="5"/>
  <c r="I485" i="5"/>
  <c r="F485" i="5"/>
  <c r="Q606" i="5"/>
  <c r="M606" i="5"/>
  <c r="J606" i="5"/>
  <c r="I606" i="5"/>
  <c r="F606" i="5"/>
  <c r="Q600" i="5"/>
  <c r="M600" i="5"/>
  <c r="J600" i="5"/>
  <c r="I600" i="5"/>
  <c r="F600" i="5"/>
  <c r="Q633" i="5"/>
  <c r="M633" i="5"/>
  <c r="J633" i="5"/>
  <c r="I633" i="5"/>
  <c r="F633" i="5"/>
  <c r="Q680" i="5"/>
  <c r="M680" i="5"/>
  <c r="T680" i="5" s="1"/>
  <c r="J680" i="5"/>
  <c r="I680" i="5"/>
  <c r="F680" i="5"/>
  <c r="Q607" i="5"/>
  <c r="M607" i="5"/>
  <c r="J607" i="5"/>
  <c r="I607" i="5"/>
  <c r="F607" i="5"/>
  <c r="Q690" i="5"/>
  <c r="M690" i="5"/>
  <c r="J690" i="5"/>
  <c r="I690" i="5"/>
  <c r="F690" i="5"/>
  <c r="Q571" i="5"/>
  <c r="M571" i="5"/>
  <c r="J571" i="5"/>
  <c r="I571" i="5"/>
  <c r="F571" i="5"/>
  <c r="Q708" i="5"/>
  <c r="M708" i="5"/>
  <c r="J708" i="5"/>
  <c r="I708" i="5"/>
  <c r="F708" i="5"/>
  <c r="Q648" i="5"/>
  <c r="M648" i="5"/>
  <c r="J648" i="5"/>
  <c r="I648" i="5"/>
  <c r="F648" i="5"/>
  <c r="Q700" i="5"/>
  <c r="M700" i="5"/>
  <c r="J700" i="5"/>
  <c r="I700" i="5"/>
  <c r="F700" i="5"/>
  <c r="Q543" i="5"/>
  <c r="M543" i="5"/>
  <c r="J543" i="5"/>
  <c r="I543" i="5"/>
  <c r="F543" i="5"/>
  <c r="Q697" i="5"/>
  <c r="M697" i="5"/>
  <c r="J697" i="5"/>
  <c r="I697" i="5"/>
  <c r="F697" i="5"/>
  <c r="Q596" i="5"/>
  <c r="M596" i="5"/>
  <c r="J596" i="5"/>
  <c r="I596" i="5"/>
  <c r="F596" i="5"/>
  <c r="Q653" i="5"/>
  <c r="M653" i="5"/>
  <c r="J653" i="5"/>
  <c r="I653" i="5"/>
  <c r="F653" i="5"/>
  <c r="Q620" i="5"/>
  <c r="M620" i="5"/>
  <c r="J620" i="5"/>
  <c r="I620" i="5"/>
  <c r="F620" i="5"/>
  <c r="Q737" i="5"/>
  <c r="M737" i="5"/>
  <c r="J737" i="5"/>
  <c r="I737" i="5"/>
  <c r="F737" i="5"/>
  <c r="Q674" i="5"/>
  <c r="M674" i="5"/>
  <c r="J674" i="5"/>
  <c r="I674" i="5"/>
  <c r="F674" i="5"/>
  <c r="Q701" i="5"/>
  <c r="M701" i="5"/>
  <c r="J701" i="5"/>
  <c r="I701" i="5"/>
  <c r="F701" i="5"/>
  <c r="Q709" i="5"/>
  <c r="M709" i="5"/>
  <c r="J709" i="5"/>
  <c r="I709" i="5"/>
  <c r="F709" i="5"/>
  <c r="Q549" i="5"/>
  <c r="M549" i="5"/>
  <c r="J549" i="5"/>
  <c r="I549" i="5"/>
  <c r="F549" i="5"/>
  <c r="Q646" i="5"/>
  <c r="M646" i="5"/>
  <c r="J646" i="5"/>
  <c r="I646" i="5"/>
  <c r="F646" i="5"/>
  <c r="Q586" i="5"/>
  <c r="M586" i="5"/>
  <c r="J586" i="5"/>
  <c r="I586" i="5"/>
  <c r="F586" i="5"/>
  <c r="Q713" i="5"/>
  <c r="M713" i="5"/>
  <c r="J713" i="5"/>
  <c r="I713" i="5"/>
  <c r="F713" i="5"/>
  <c r="Q458" i="5"/>
  <c r="M458" i="5"/>
  <c r="J458" i="5"/>
  <c r="I458" i="5"/>
  <c r="F458" i="5"/>
  <c r="Q576" i="5"/>
  <c r="M576" i="5"/>
  <c r="J576" i="5"/>
  <c r="I576" i="5"/>
  <c r="F576" i="5"/>
  <c r="Q642" i="5"/>
  <c r="M642" i="5"/>
  <c r="J642" i="5"/>
  <c r="I642" i="5"/>
  <c r="F642" i="5"/>
  <c r="Q629" i="5"/>
  <c r="M629" i="5"/>
  <c r="J629" i="5"/>
  <c r="I629" i="5"/>
  <c r="F629" i="5"/>
  <c r="Q696" i="5"/>
  <c r="M696" i="5"/>
  <c r="J696" i="5"/>
  <c r="I696" i="5"/>
  <c r="F696" i="5"/>
  <c r="Q584" i="5"/>
  <c r="T584" i="5" s="1"/>
  <c r="M584" i="5"/>
  <c r="J584" i="5"/>
  <c r="I584" i="5"/>
  <c r="F584" i="5"/>
  <c r="Q420" i="5"/>
  <c r="M420" i="5"/>
  <c r="J420" i="5"/>
  <c r="I420" i="5"/>
  <c r="F420" i="5"/>
  <c r="Q456" i="5"/>
  <c r="M456" i="5"/>
  <c r="T456" i="5" s="1"/>
  <c r="J456" i="5"/>
  <c r="I456" i="5"/>
  <c r="F456" i="5"/>
  <c r="Q378" i="5"/>
  <c r="M378" i="5"/>
  <c r="J378" i="5"/>
  <c r="I378" i="5"/>
  <c r="F378" i="5"/>
  <c r="Q735" i="5"/>
  <c r="M735" i="5"/>
  <c r="J735" i="5"/>
  <c r="I735" i="5"/>
  <c r="F735" i="5"/>
  <c r="Q381" i="5"/>
  <c r="M381" i="5"/>
  <c r="J381" i="5"/>
  <c r="I381" i="5"/>
  <c r="F381" i="5"/>
  <c r="Q610" i="5"/>
  <c r="M610" i="5"/>
  <c r="J610" i="5"/>
  <c r="I610" i="5"/>
  <c r="F610" i="5"/>
  <c r="Q750" i="5"/>
  <c r="M750" i="5"/>
  <c r="T750" i="5" s="1"/>
  <c r="J750" i="5"/>
  <c r="I750" i="5"/>
  <c r="F750" i="5"/>
  <c r="Q444" i="5"/>
  <c r="M444" i="5"/>
  <c r="J444" i="5"/>
  <c r="I444" i="5"/>
  <c r="F444" i="5"/>
  <c r="Q448" i="5"/>
  <c r="M448" i="5"/>
  <c r="J448" i="5"/>
  <c r="I448" i="5"/>
  <c r="F448" i="5"/>
  <c r="Q570" i="5"/>
  <c r="M570" i="5"/>
  <c r="J570" i="5"/>
  <c r="I570" i="5"/>
  <c r="F570" i="5"/>
  <c r="Q673" i="5"/>
  <c r="M673" i="5"/>
  <c r="J673" i="5"/>
  <c r="I673" i="5"/>
  <c r="F673" i="5"/>
  <c r="Q668" i="5"/>
  <c r="M668" i="5"/>
  <c r="J668" i="5"/>
  <c r="I668" i="5"/>
  <c r="F668" i="5"/>
  <c r="Q557" i="5"/>
  <c r="M557" i="5"/>
  <c r="J557" i="5"/>
  <c r="I557" i="5"/>
  <c r="F557" i="5"/>
  <c r="Q404" i="5"/>
  <c r="M404" i="5"/>
  <c r="J404" i="5"/>
  <c r="I404" i="5"/>
  <c r="F404" i="5"/>
  <c r="Q715" i="5"/>
  <c r="M715" i="5"/>
  <c r="J715" i="5"/>
  <c r="I715" i="5"/>
  <c r="F715" i="5"/>
  <c r="Q721" i="5"/>
  <c r="M721" i="5"/>
  <c r="J721" i="5"/>
  <c r="I721" i="5"/>
  <c r="F721" i="5"/>
  <c r="Q567" i="5"/>
  <c r="M567" i="5"/>
  <c r="J567" i="5"/>
  <c r="I567" i="5"/>
  <c r="F567" i="5"/>
  <c r="Q621" i="5"/>
  <c r="M621" i="5"/>
  <c r="J621" i="5"/>
  <c r="I621" i="5"/>
  <c r="F621" i="5"/>
  <c r="Q675" i="5"/>
  <c r="M675" i="5"/>
  <c r="J675" i="5"/>
  <c r="I675" i="5"/>
  <c r="F675" i="5"/>
  <c r="Q619" i="5"/>
  <c r="M619" i="5"/>
  <c r="J619" i="5"/>
  <c r="I619" i="5"/>
  <c r="F619" i="5"/>
  <c r="Q523" i="5"/>
  <c r="M523" i="5"/>
  <c r="J523" i="5"/>
  <c r="I523" i="5"/>
  <c r="F523" i="5"/>
  <c r="Q527" i="5"/>
  <c r="M527" i="5"/>
  <c r="T527" i="5" s="1"/>
  <c r="J527" i="5"/>
  <c r="I527" i="5"/>
  <c r="F527" i="5"/>
  <c r="Q727" i="5"/>
  <c r="M727" i="5"/>
  <c r="J727" i="5"/>
  <c r="I727" i="5"/>
  <c r="F727" i="5"/>
  <c r="Q624" i="5"/>
  <c r="M624" i="5"/>
  <c r="J624" i="5"/>
  <c r="I624" i="5"/>
  <c r="F624" i="5"/>
  <c r="Q533" i="5"/>
  <c r="M533" i="5"/>
  <c r="J533" i="5"/>
  <c r="I533" i="5"/>
  <c r="F533" i="5"/>
  <c r="Q539" i="5"/>
  <c r="M539" i="5"/>
  <c r="T539" i="5" s="1"/>
  <c r="J539" i="5"/>
  <c r="I539" i="5"/>
  <c r="F539" i="5"/>
  <c r="Q616" i="5"/>
  <c r="M616" i="5"/>
  <c r="J616" i="5"/>
  <c r="I616" i="5"/>
  <c r="F616" i="5"/>
  <c r="Q640" i="5"/>
  <c r="M640" i="5"/>
  <c r="J640" i="5"/>
  <c r="I640" i="5"/>
  <c r="F640" i="5"/>
  <c r="Q745" i="5"/>
  <c r="M745" i="5"/>
  <c r="J745" i="5"/>
  <c r="I745" i="5"/>
  <c r="F745" i="5"/>
  <c r="Q736" i="5"/>
  <c r="M736" i="5"/>
  <c r="J736" i="5"/>
  <c r="I736" i="5"/>
  <c r="F736" i="5"/>
  <c r="Q578" i="5"/>
  <c r="M578" i="5"/>
  <c r="J578" i="5"/>
  <c r="I578" i="5"/>
  <c r="F578" i="5"/>
  <c r="Q644" i="5"/>
  <c r="M644" i="5"/>
  <c r="J644" i="5"/>
  <c r="I644" i="5"/>
  <c r="F644" i="5"/>
  <c r="Q574" i="5"/>
  <c r="M574" i="5"/>
  <c r="J574" i="5"/>
  <c r="I574" i="5"/>
  <c r="F574" i="5"/>
  <c r="Q613" i="5"/>
  <c r="M613" i="5"/>
  <c r="J613" i="5"/>
  <c r="I613" i="5"/>
  <c r="F613" i="5"/>
  <c r="Q693" i="5"/>
  <c r="M693" i="5"/>
  <c r="J693" i="5"/>
  <c r="I693" i="5"/>
  <c r="F693" i="5"/>
  <c r="Q639" i="5"/>
  <c r="M639" i="5"/>
  <c r="J639" i="5"/>
  <c r="I639" i="5"/>
  <c r="F639" i="5"/>
  <c r="Q393" i="5"/>
  <c r="M393" i="5"/>
  <c r="J393" i="5"/>
  <c r="I393" i="5"/>
  <c r="F393" i="5"/>
  <c r="Q631" i="5"/>
  <c r="M631" i="5"/>
  <c r="J631" i="5"/>
  <c r="I631" i="5"/>
  <c r="F631" i="5"/>
  <c r="Q608" i="5"/>
  <c r="M608" i="5"/>
  <c r="J608" i="5"/>
  <c r="I608" i="5"/>
  <c r="F608" i="5"/>
  <c r="Q611" i="5"/>
  <c r="M611" i="5"/>
  <c r="J611" i="5"/>
  <c r="I611" i="5"/>
  <c r="F611" i="5"/>
  <c r="Q716" i="5"/>
  <c r="M716" i="5"/>
  <c r="J716" i="5"/>
  <c r="I716" i="5"/>
  <c r="F716" i="5"/>
  <c r="Q638" i="5"/>
  <c r="M638" i="5"/>
  <c r="J638" i="5"/>
  <c r="I638" i="5"/>
  <c r="F638" i="5"/>
  <c r="Q548" i="5"/>
  <c r="M548" i="5"/>
  <c r="J548" i="5"/>
  <c r="I548" i="5"/>
  <c r="F548" i="5"/>
  <c r="Q358" i="5"/>
  <c r="M358" i="5"/>
  <c r="J358" i="5"/>
  <c r="I358" i="5"/>
  <c r="F358" i="5"/>
  <c r="Q334" i="5"/>
  <c r="M334" i="5"/>
  <c r="J334" i="5"/>
  <c r="I334" i="5"/>
  <c r="F334" i="5"/>
  <c r="Q555" i="5"/>
  <c r="M555" i="5"/>
  <c r="J555" i="5"/>
  <c r="I555" i="5"/>
  <c r="F555" i="5"/>
  <c r="Q686" i="5"/>
  <c r="M686" i="5"/>
  <c r="J686" i="5"/>
  <c r="I686" i="5"/>
  <c r="F686" i="5"/>
  <c r="Q581" i="5"/>
  <c r="M581" i="5"/>
  <c r="J581" i="5"/>
  <c r="I581" i="5"/>
  <c r="F581" i="5"/>
  <c r="Q568" i="5"/>
  <c r="M568" i="5"/>
  <c r="J568" i="5"/>
  <c r="I568" i="5"/>
  <c r="F568" i="5"/>
  <c r="Q681" i="5"/>
  <c r="M681" i="5"/>
  <c r="J681" i="5"/>
  <c r="I681" i="5"/>
  <c r="F681" i="5"/>
  <c r="Q417" i="5"/>
  <c r="M417" i="5"/>
  <c r="J417" i="5"/>
  <c r="I417" i="5"/>
  <c r="F417" i="5"/>
  <c r="Q656" i="5"/>
  <c r="M656" i="5"/>
  <c r="J656" i="5"/>
  <c r="I656" i="5"/>
  <c r="F656" i="5"/>
  <c r="Q364" i="5"/>
  <c r="M364" i="5"/>
  <c r="J364" i="5"/>
  <c r="I364" i="5"/>
  <c r="F364" i="5"/>
  <c r="Q722" i="5"/>
  <c r="T722" i="5" s="1"/>
  <c r="M722" i="5"/>
  <c r="J722" i="5"/>
  <c r="I722" i="5"/>
  <c r="F722" i="5"/>
  <c r="Q333" i="5"/>
  <c r="M333" i="5"/>
  <c r="T333" i="5" s="1"/>
  <c r="J333" i="5"/>
  <c r="I333" i="5"/>
  <c r="F333" i="5"/>
  <c r="Q478" i="5"/>
  <c r="M478" i="5"/>
  <c r="J478" i="5"/>
  <c r="I478" i="5"/>
  <c r="F478" i="5"/>
  <c r="Q677" i="5"/>
  <c r="M677" i="5"/>
  <c r="J677" i="5"/>
  <c r="I677" i="5"/>
  <c r="F677" i="5"/>
  <c r="Q383" i="5"/>
  <c r="T383" i="5" s="1"/>
  <c r="M383" i="5"/>
  <c r="J383" i="5"/>
  <c r="I383" i="5"/>
  <c r="F383" i="5"/>
  <c r="Q399" i="5"/>
  <c r="M399" i="5"/>
  <c r="J399" i="5"/>
  <c r="I399" i="5"/>
  <c r="F399" i="5"/>
  <c r="Q446" i="5"/>
  <c r="M446" i="5"/>
  <c r="J446" i="5"/>
  <c r="I446" i="5"/>
  <c r="F446" i="5"/>
  <c r="Q514" i="5"/>
  <c r="M514" i="5"/>
  <c r="J514" i="5"/>
  <c r="I514" i="5"/>
  <c r="F514" i="5"/>
  <c r="Q602" i="5"/>
  <c r="M602" i="5"/>
  <c r="J602" i="5"/>
  <c r="I602" i="5"/>
  <c r="F602" i="5"/>
  <c r="Q579" i="5"/>
  <c r="M579" i="5"/>
  <c r="J579" i="5"/>
  <c r="I579" i="5"/>
  <c r="F579" i="5"/>
  <c r="Q542" i="5"/>
  <c r="M542" i="5"/>
  <c r="J542" i="5"/>
  <c r="I542" i="5"/>
  <c r="F542" i="5"/>
  <c r="Q503" i="5"/>
  <c r="M503" i="5"/>
  <c r="J503" i="5"/>
  <c r="I503" i="5"/>
  <c r="F503" i="5"/>
  <c r="Q652" i="5"/>
  <c r="M652" i="5"/>
  <c r="T652" i="5" s="1"/>
  <c r="J652" i="5"/>
  <c r="I652" i="5"/>
  <c r="F652" i="5"/>
  <c r="Q580" i="5"/>
  <c r="T580" i="5" s="1"/>
  <c r="M580" i="5"/>
  <c r="J580" i="5"/>
  <c r="I580" i="5"/>
  <c r="F580" i="5"/>
  <c r="Q544" i="5"/>
  <c r="M544" i="5"/>
  <c r="J544" i="5"/>
  <c r="I544" i="5"/>
  <c r="F544" i="5"/>
  <c r="Q515" i="5"/>
  <c r="M515" i="5"/>
  <c r="J515" i="5"/>
  <c r="I515" i="5"/>
  <c r="F515" i="5"/>
  <c r="Q594" i="5"/>
  <c r="M594" i="5"/>
  <c r="J594" i="5"/>
  <c r="I594" i="5"/>
  <c r="F594" i="5"/>
  <c r="Q525" i="5"/>
  <c r="M525" i="5"/>
  <c r="T525" i="5" s="1"/>
  <c r="J525" i="5"/>
  <c r="I525" i="5"/>
  <c r="F525" i="5"/>
  <c r="Q623" i="5"/>
  <c r="M623" i="5"/>
  <c r="J623" i="5"/>
  <c r="I623" i="5"/>
  <c r="F623" i="5"/>
  <c r="Q509" i="5"/>
  <c r="M509" i="5"/>
  <c r="J509" i="5"/>
  <c r="I509" i="5"/>
  <c r="F509" i="5"/>
  <c r="Q632" i="5"/>
  <c r="M632" i="5"/>
  <c r="J632" i="5"/>
  <c r="I632" i="5"/>
  <c r="F632" i="5"/>
  <c r="Q627" i="5"/>
  <c r="M627" i="5"/>
  <c r="J627" i="5"/>
  <c r="I627" i="5"/>
  <c r="F627" i="5"/>
  <c r="Q347" i="5"/>
  <c r="M347" i="5"/>
  <c r="J347" i="5"/>
  <c r="I347" i="5"/>
  <c r="F347" i="5"/>
  <c r="Q402" i="5"/>
  <c r="M402" i="5"/>
  <c r="J402" i="5"/>
  <c r="I402" i="5"/>
  <c r="F402" i="5"/>
  <c r="Q560" i="5"/>
  <c r="M560" i="5"/>
  <c r="J560" i="5"/>
  <c r="I560" i="5"/>
  <c r="F560" i="5"/>
  <c r="Q506" i="5"/>
  <c r="M506" i="5"/>
  <c r="J506" i="5"/>
  <c r="I506" i="5"/>
  <c r="F506" i="5"/>
  <c r="Q272" i="5"/>
  <c r="M272" i="5"/>
  <c r="J272" i="5"/>
  <c r="I272" i="5"/>
  <c r="F272" i="5"/>
  <c r="Q409" i="5"/>
  <c r="M409" i="5"/>
  <c r="J409" i="5"/>
  <c r="I409" i="5"/>
  <c r="F409" i="5"/>
  <c r="Q551" i="5"/>
  <c r="M551" i="5"/>
  <c r="J551" i="5"/>
  <c r="I551" i="5"/>
  <c r="F551" i="5"/>
  <c r="Q373" i="5"/>
  <c r="M373" i="5"/>
  <c r="J373" i="5"/>
  <c r="I373" i="5"/>
  <c r="F373" i="5"/>
  <c r="Q512" i="5"/>
  <c r="M512" i="5"/>
  <c r="J512" i="5"/>
  <c r="I512" i="5"/>
  <c r="F512" i="5"/>
  <c r="Q293" i="5"/>
  <c r="M293" i="5"/>
  <c r="J293" i="5"/>
  <c r="I293" i="5"/>
  <c r="F293" i="5"/>
  <c r="Q505" i="5"/>
  <c r="M505" i="5"/>
  <c r="J505" i="5"/>
  <c r="I505" i="5"/>
  <c r="F505" i="5"/>
  <c r="Q537" i="5"/>
  <c r="M537" i="5"/>
  <c r="T537" i="5" s="1"/>
  <c r="J537" i="5"/>
  <c r="I537" i="5"/>
  <c r="F537" i="5"/>
  <c r="Q379" i="5"/>
  <c r="M379" i="5"/>
  <c r="J379" i="5"/>
  <c r="I379" i="5"/>
  <c r="F379" i="5"/>
  <c r="Q477" i="5"/>
  <c r="M477" i="5"/>
  <c r="J477" i="5"/>
  <c r="I477" i="5"/>
  <c r="F477" i="5"/>
  <c r="Q650" i="5"/>
  <c r="M650" i="5"/>
  <c r="J650" i="5"/>
  <c r="I650" i="5"/>
  <c r="F650" i="5"/>
  <c r="Q689" i="5"/>
  <c r="M689" i="5"/>
  <c r="J689" i="5"/>
  <c r="I689" i="5"/>
  <c r="F689" i="5"/>
  <c r="Q630" i="5"/>
  <c r="M630" i="5"/>
  <c r="J630" i="5"/>
  <c r="I630" i="5"/>
  <c r="F630" i="5"/>
  <c r="Q377" i="5"/>
  <c r="M377" i="5"/>
  <c r="J377" i="5"/>
  <c r="I377" i="5"/>
  <c r="F377" i="5"/>
  <c r="Q643" i="5"/>
  <c r="M643" i="5"/>
  <c r="J643" i="5"/>
  <c r="I643" i="5"/>
  <c r="F643" i="5"/>
  <c r="Q550" i="5"/>
  <c r="M550" i="5"/>
  <c r="J550" i="5"/>
  <c r="I550" i="5"/>
  <c r="F550" i="5"/>
  <c r="Q352" i="5"/>
  <c r="M352" i="5"/>
  <c r="J352" i="5"/>
  <c r="I352" i="5"/>
  <c r="F352" i="5"/>
  <c r="Q407" i="5"/>
  <c r="M407" i="5"/>
  <c r="J407" i="5"/>
  <c r="I407" i="5"/>
  <c r="F407" i="5"/>
  <c r="Q667" i="5"/>
  <c r="M667" i="5"/>
  <c r="J667" i="5"/>
  <c r="I667" i="5"/>
  <c r="F667" i="5"/>
  <c r="Q590" i="5"/>
  <c r="M590" i="5"/>
  <c r="J590" i="5"/>
  <c r="I590" i="5"/>
  <c r="F590" i="5"/>
  <c r="Q389" i="5"/>
  <c r="M389" i="5"/>
  <c r="J389" i="5"/>
  <c r="I389" i="5"/>
  <c r="F389" i="5"/>
  <c r="Q419" i="5"/>
  <c r="M419" i="5"/>
  <c r="J419" i="5"/>
  <c r="I419" i="5"/>
  <c r="F419" i="5"/>
  <c r="Q634" i="5"/>
  <c r="M634" i="5"/>
  <c r="J634" i="5"/>
  <c r="I634" i="5"/>
  <c r="F634" i="5"/>
  <c r="Q329" i="5"/>
  <c r="M329" i="5"/>
  <c r="T329" i="5" s="1"/>
  <c r="J329" i="5"/>
  <c r="I329" i="5"/>
  <c r="F329" i="5"/>
  <c r="Q546" i="5"/>
  <c r="M546" i="5"/>
  <c r="J546" i="5"/>
  <c r="I546" i="5"/>
  <c r="F546" i="5"/>
  <c r="Q451" i="5"/>
  <c r="M451" i="5"/>
  <c r="J451" i="5"/>
  <c r="I451" i="5"/>
  <c r="F451" i="5"/>
  <c r="Q598" i="5"/>
  <c r="M598" i="5"/>
  <c r="J598" i="5"/>
  <c r="I598" i="5"/>
  <c r="F598" i="5"/>
  <c r="Q601" i="5"/>
  <c r="M601" i="5"/>
  <c r="J601" i="5"/>
  <c r="I601" i="5"/>
  <c r="F601" i="5"/>
  <c r="Q522" i="5"/>
  <c r="T522" i="5" s="1"/>
  <c r="M522" i="5"/>
  <c r="J522" i="5"/>
  <c r="I522" i="5"/>
  <c r="F522" i="5"/>
  <c r="Q538" i="5"/>
  <c r="M538" i="5"/>
  <c r="J538" i="5"/>
  <c r="I538" i="5"/>
  <c r="F538" i="5"/>
  <c r="Q604" i="5"/>
  <c r="M604" i="5"/>
  <c r="J604" i="5"/>
  <c r="I604" i="5"/>
  <c r="F604" i="5"/>
  <c r="Q534" i="5"/>
  <c r="M534" i="5"/>
  <c r="J534" i="5"/>
  <c r="I534" i="5"/>
  <c r="F534" i="5"/>
  <c r="Q670" i="5"/>
  <c r="M670" i="5"/>
  <c r="J670" i="5"/>
  <c r="I670" i="5"/>
  <c r="F670" i="5"/>
  <c r="Q617" i="5"/>
  <c r="M617" i="5"/>
  <c r="J617" i="5"/>
  <c r="I617" i="5"/>
  <c r="F617" i="5"/>
  <c r="Q225" i="5"/>
  <c r="M225" i="5"/>
  <c r="J225" i="5"/>
  <c r="I225" i="5"/>
  <c r="F225" i="5"/>
  <c r="Q344" i="5"/>
  <c r="T344" i="5" s="1"/>
  <c r="M344" i="5"/>
  <c r="J344" i="5"/>
  <c r="I344" i="5"/>
  <c r="F344" i="5"/>
  <c r="Q433" i="5"/>
  <c r="M433" i="5"/>
  <c r="J433" i="5"/>
  <c r="I433" i="5"/>
  <c r="F433" i="5"/>
  <c r="Q511" i="5"/>
  <c r="M511" i="5"/>
  <c r="J511" i="5"/>
  <c r="I511" i="5"/>
  <c r="F511" i="5"/>
  <c r="Q526" i="5"/>
  <c r="M526" i="5"/>
  <c r="J526" i="5"/>
  <c r="I526" i="5"/>
  <c r="F526" i="5"/>
  <c r="Q532" i="5"/>
  <c r="M532" i="5"/>
  <c r="T532" i="5" s="1"/>
  <c r="J532" i="5"/>
  <c r="I532" i="5"/>
  <c r="F532" i="5"/>
  <c r="Q618" i="5"/>
  <c r="M618" i="5"/>
  <c r="J618" i="5"/>
  <c r="I618" i="5"/>
  <c r="F618" i="5"/>
  <c r="Q684" i="5"/>
  <c r="M684" i="5"/>
  <c r="J684" i="5"/>
  <c r="I684" i="5"/>
  <c r="F684" i="5"/>
  <c r="Q411" i="5"/>
  <c r="T411" i="5" s="1"/>
  <c r="M411" i="5"/>
  <c r="J411" i="5"/>
  <c r="I411" i="5"/>
  <c r="F411" i="5"/>
  <c r="Q575" i="5"/>
  <c r="M575" i="5"/>
  <c r="J575" i="5"/>
  <c r="I575" i="5"/>
  <c r="F575" i="5"/>
  <c r="Q535" i="5"/>
  <c r="M535" i="5"/>
  <c r="J535" i="5"/>
  <c r="I535" i="5"/>
  <c r="F535" i="5"/>
  <c r="Q473" i="5"/>
  <c r="M473" i="5"/>
  <c r="J473" i="5"/>
  <c r="I473" i="5"/>
  <c r="F473" i="5"/>
  <c r="Q556" i="5"/>
  <c r="M556" i="5"/>
  <c r="J556" i="5"/>
  <c r="I556" i="5"/>
  <c r="F556" i="5"/>
  <c r="Q490" i="5"/>
  <c r="M490" i="5"/>
  <c r="J490" i="5"/>
  <c r="I490" i="5"/>
  <c r="F490" i="5"/>
  <c r="Q428" i="5"/>
  <c r="M428" i="5"/>
  <c r="J428" i="5"/>
  <c r="I428" i="5"/>
  <c r="F428" i="5"/>
  <c r="Q455" i="5"/>
  <c r="M455" i="5"/>
  <c r="J455" i="5"/>
  <c r="I455" i="5"/>
  <c r="F455" i="5"/>
  <c r="Q536" i="5"/>
  <c r="M536" i="5"/>
  <c r="J536" i="5"/>
  <c r="I536" i="5"/>
  <c r="F536" i="5"/>
  <c r="Q442" i="5"/>
  <c r="M442" i="5"/>
  <c r="J442" i="5"/>
  <c r="I442" i="5"/>
  <c r="F442" i="5"/>
  <c r="Q487" i="5"/>
  <c r="M487" i="5"/>
  <c r="J487" i="5"/>
  <c r="I487" i="5"/>
  <c r="F487" i="5"/>
  <c r="Q224" i="5"/>
  <c r="M224" i="5"/>
  <c r="J224" i="5"/>
  <c r="I224" i="5"/>
  <c r="F224" i="5"/>
  <c r="Q501" i="5"/>
  <c r="M501" i="5"/>
  <c r="J501" i="5"/>
  <c r="I501" i="5"/>
  <c r="F501" i="5"/>
  <c r="Q475" i="5"/>
  <c r="M475" i="5"/>
  <c r="T475" i="5" s="1"/>
  <c r="J475" i="5"/>
  <c r="I475" i="5"/>
  <c r="F475" i="5"/>
  <c r="Q504" i="5"/>
  <c r="M504" i="5"/>
  <c r="J504" i="5"/>
  <c r="I504" i="5"/>
  <c r="F504" i="5"/>
  <c r="Q435" i="5"/>
  <c r="M435" i="5"/>
  <c r="J435" i="5"/>
  <c r="I435" i="5"/>
  <c r="F435" i="5"/>
  <c r="Q545" i="5"/>
  <c r="M545" i="5"/>
  <c r="J545" i="5"/>
  <c r="I545" i="5"/>
  <c r="F545" i="5"/>
  <c r="Q603" i="5"/>
  <c r="M603" i="5"/>
  <c r="J603" i="5"/>
  <c r="I603" i="5"/>
  <c r="F603" i="5"/>
  <c r="Q396" i="5"/>
  <c r="M396" i="5"/>
  <c r="J396" i="5"/>
  <c r="I396" i="5"/>
  <c r="F396" i="5"/>
  <c r="Q251" i="5"/>
  <c r="M251" i="5"/>
  <c r="J251" i="5"/>
  <c r="I251" i="5"/>
  <c r="F251" i="5"/>
  <c r="Q695" i="5"/>
  <c r="M695" i="5"/>
  <c r="J695" i="5"/>
  <c r="I695" i="5"/>
  <c r="F695" i="5"/>
  <c r="Q406" i="5"/>
  <c r="M406" i="5"/>
  <c r="J406" i="5"/>
  <c r="I406" i="5"/>
  <c r="F406" i="5"/>
  <c r="Q636" i="5"/>
  <c r="M636" i="5"/>
  <c r="J636" i="5"/>
  <c r="I636" i="5"/>
  <c r="F636" i="5"/>
  <c r="Q461" i="5"/>
  <c r="M461" i="5"/>
  <c r="J461" i="5"/>
  <c r="I461" i="5"/>
  <c r="F461" i="5"/>
  <c r="Q353" i="5"/>
  <c r="M353" i="5"/>
  <c r="J353" i="5"/>
  <c r="I353" i="5"/>
  <c r="F353" i="5"/>
  <c r="Q414" i="5"/>
  <c r="M414" i="5"/>
  <c r="J414" i="5"/>
  <c r="I414" i="5"/>
  <c r="F414" i="5"/>
  <c r="Q436" i="5"/>
  <c r="M436" i="5"/>
  <c r="J436" i="5"/>
  <c r="I436" i="5"/>
  <c r="F436" i="5"/>
  <c r="Q585" i="5"/>
  <c r="M585" i="5"/>
  <c r="J585" i="5"/>
  <c r="I585" i="5"/>
  <c r="F585" i="5"/>
  <c r="Q324" i="5"/>
  <c r="M324" i="5"/>
  <c r="J324" i="5"/>
  <c r="I324" i="5"/>
  <c r="F324" i="5"/>
  <c r="Q569" i="5"/>
  <c r="M569" i="5"/>
  <c r="J569" i="5"/>
  <c r="I569" i="5"/>
  <c r="F569" i="5"/>
  <c r="Q469" i="5"/>
  <c r="M469" i="5"/>
  <c r="J469" i="5"/>
  <c r="I469" i="5"/>
  <c r="F469" i="5"/>
  <c r="Q457" i="5"/>
  <c r="M457" i="5"/>
  <c r="J457" i="5"/>
  <c r="I457" i="5"/>
  <c r="F457" i="5"/>
  <c r="Q362" i="5"/>
  <c r="M362" i="5"/>
  <c r="J362" i="5"/>
  <c r="I362" i="5"/>
  <c r="F362" i="5"/>
  <c r="Q488" i="5"/>
  <c r="M488" i="5"/>
  <c r="J488" i="5"/>
  <c r="I488" i="5"/>
  <c r="F488" i="5"/>
  <c r="Q394" i="5"/>
  <c r="M394" i="5"/>
  <c r="J394" i="5"/>
  <c r="I394" i="5"/>
  <c r="F394" i="5"/>
  <c r="Q242" i="5"/>
  <c r="M242" i="5"/>
  <c r="J242" i="5"/>
  <c r="I242" i="5"/>
  <c r="F242" i="5"/>
  <c r="Q529" i="5"/>
  <c r="M529" i="5"/>
  <c r="J529" i="5"/>
  <c r="I529" i="5"/>
  <c r="F529" i="5"/>
  <c r="Q398" i="5"/>
  <c r="M398" i="5"/>
  <c r="J398" i="5"/>
  <c r="I398" i="5"/>
  <c r="F398" i="5"/>
  <c r="Q685" i="5"/>
  <c r="M685" i="5"/>
  <c r="J685" i="5"/>
  <c r="I685" i="5"/>
  <c r="F685" i="5"/>
  <c r="Q591" i="5"/>
  <c r="M591" i="5"/>
  <c r="J591" i="5"/>
  <c r="I591" i="5"/>
  <c r="F591" i="5"/>
  <c r="Q422" i="5"/>
  <c r="M422" i="5"/>
  <c r="J422" i="5"/>
  <c r="I422" i="5"/>
  <c r="F422" i="5"/>
  <c r="Q481" i="5"/>
  <c r="M481" i="5"/>
  <c r="J481" i="5"/>
  <c r="I481" i="5"/>
  <c r="F481" i="5"/>
  <c r="Q513" i="5"/>
  <c r="M513" i="5"/>
  <c r="J513" i="5"/>
  <c r="I513" i="5"/>
  <c r="F513" i="5"/>
  <c r="Q262" i="5"/>
  <c r="M262" i="5"/>
  <c r="J262" i="5"/>
  <c r="I262" i="5"/>
  <c r="F262" i="5"/>
  <c r="Q212" i="5"/>
  <c r="M212" i="5"/>
  <c r="J212" i="5"/>
  <c r="I212" i="5"/>
  <c r="F212" i="5"/>
  <c r="Q432" i="5"/>
  <c r="M432" i="5"/>
  <c r="J432" i="5"/>
  <c r="I432" i="5"/>
  <c r="F432" i="5"/>
  <c r="Q227" i="5"/>
  <c r="M227" i="5"/>
  <c r="J227" i="5"/>
  <c r="I227" i="5"/>
  <c r="F227" i="5"/>
  <c r="Q467" i="5"/>
  <c r="M467" i="5"/>
  <c r="J467" i="5"/>
  <c r="I467" i="5"/>
  <c r="F467" i="5"/>
  <c r="Q232" i="5"/>
  <c r="M232" i="5"/>
  <c r="J232" i="5"/>
  <c r="I232" i="5"/>
  <c r="F232" i="5"/>
  <c r="Q566" i="5"/>
  <c r="M566" i="5"/>
  <c r="J566" i="5"/>
  <c r="I566" i="5"/>
  <c r="F566" i="5"/>
  <c r="Q466" i="5"/>
  <c r="M466" i="5"/>
  <c r="J466" i="5"/>
  <c r="I466" i="5"/>
  <c r="F466" i="5"/>
  <c r="Q476" i="5"/>
  <c r="M476" i="5"/>
  <c r="J476" i="5"/>
  <c r="I476" i="5"/>
  <c r="F476" i="5"/>
  <c r="Q496" i="5"/>
  <c r="M496" i="5"/>
  <c r="J496" i="5"/>
  <c r="I496" i="5"/>
  <c r="F496" i="5"/>
  <c r="Q337" i="5"/>
  <c r="T337" i="5" s="1"/>
  <c r="M337" i="5"/>
  <c r="J337" i="5"/>
  <c r="I337" i="5"/>
  <c r="F337" i="5"/>
  <c r="Q489" i="5"/>
  <c r="M489" i="5"/>
  <c r="J489" i="5"/>
  <c r="I489" i="5"/>
  <c r="F489" i="5"/>
  <c r="Q482" i="5"/>
  <c r="M482" i="5"/>
  <c r="J482" i="5"/>
  <c r="I482" i="5"/>
  <c r="F482" i="5"/>
  <c r="Q418" i="5"/>
  <c r="M418" i="5"/>
  <c r="T418" i="5" s="1"/>
  <c r="J418" i="5"/>
  <c r="I418" i="5"/>
  <c r="F418" i="5"/>
  <c r="Q499" i="5"/>
  <c r="M499" i="5"/>
  <c r="J499" i="5"/>
  <c r="I499" i="5"/>
  <c r="F499" i="5"/>
  <c r="Q565" i="5"/>
  <c r="M565" i="5"/>
  <c r="J565" i="5"/>
  <c r="I565" i="5"/>
  <c r="F565" i="5"/>
  <c r="Q659" i="5"/>
  <c r="M659" i="5"/>
  <c r="J659" i="5"/>
  <c r="I659" i="5"/>
  <c r="F659" i="5"/>
  <c r="Q471" i="5"/>
  <c r="M471" i="5"/>
  <c r="J471" i="5"/>
  <c r="I471" i="5"/>
  <c r="F471" i="5"/>
  <c r="Q361" i="5"/>
  <c r="M361" i="5"/>
  <c r="J361" i="5"/>
  <c r="I361" i="5"/>
  <c r="F361" i="5"/>
  <c r="Q380" i="5"/>
  <c r="M380" i="5"/>
  <c r="J380" i="5"/>
  <c r="I380" i="5"/>
  <c r="F380" i="5"/>
  <c r="Q645" i="5"/>
  <c r="M645" i="5"/>
  <c r="J645" i="5"/>
  <c r="I645" i="5"/>
  <c r="F645" i="5"/>
  <c r="Q474" i="5"/>
  <c r="M474" i="5"/>
  <c r="T474" i="5" s="1"/>
  <c r="J474" i="5"/>
  <c r="I474" i="5"/>
  <c r="F474" i="5"/>
  <c r="Q142" i="5"/>
  <c r="M142" i="5"/>
  <c r="J142" i="5"/>
  <c r="I142" i="5"/>
  <c r="F142" i="5"/>
  <c r="Q592" i="5"/>
  <c r="M592" i="5"/>
  <c r="J592" i="5"/>
  <c r="I592" i="5"/>
  <c r="F592" i="5"/>
  <c r="Q332" i="5"/>
  <c r="M332" i="5"/>
  <c r="J332" i="5"/>
  <c r="I332" i="5"/>
  <c r="F332" i="5"/>
  <c r="Q480" i="5"/>
  <c r="M480" i="5"/>
  <c r="J480" i="5"/>
  <c r="I480" i="5"/>
  <c r="F480" i="5"/>
  <c r="Q622" i="5"/>
  <c r="M622" i="5"/>
  <c r="J622" i="5"/>
  <c r="I622" i="5"/>
  <c r="F622" i="5"/>
  <c r="Q244" i="5"/>
  <c r="M244" i="5"/>
  <c r="J244" i="5"/>
  <c r="I244" i="5"/>
  <c r="F244" i="5"/>
  <c r="Q144" i="5"/>
  <c r="M144" i="5"/>
  <c r="J144" i="5"/>
  <c r="I144" i="5"/>
  <c r="F144" i="5"/>
  <c r="Q206" i="5"/>
  <c r="M206" i="5"/>
  <c r="J206" i="5"/>
  <c r="I206" i="5"/>
  <c r="F206" i="5"/>
  <c r="Q657" i="5"/>
  <c r="M657" i="5"/>
  <c r="J657" i="5"/>
  <c r="I657" i="5"/>
  <c r="F657" i="5"/>
  <c r="Q518" i="5"/>
  <c r="M518" i="5"/>
  <c r="J518" i="5"/>
  <c r="I518" i="5"/>
  <c r="F518" i="5"/>
  <c r="Q280" i="5"/>
  <c r="M280" i="5"/>
  <c r="J280" i="5"/>
  <c r="I280" i="5"/>
  <c r="F280" i="5"/>
  <c r="Q209" i="5"/>
  <c r="T209" i="5" s="1"/>
  <c r="M209" i="5"/>
  <c r="J209" i="5"/>
  <c r="I209" i="5"/>
  <c r="F209" i="5"/>
  <c r="Q401" i="5"/>
  <c r="M401" i="5"/>
  <c r="T401" i="5" s="1"/>
  <c r="J401" i="5"/>
  <c r="I401" i="5"/>
  <c r="F401" i="5"/>
  <c r="Q438" i="5"/>
  <c r="M438" i="5"/>
  <c r="J438" i="5"/>
  <c r="I438" i="5"/>
  <c r="F438" i="5"/>
  <c r="Q412" i="5"/>
  <c r="T412" i="5" s="1"/>
  <c r="M412" i="5"/>
  <c r="J412" i="5"/>
  <c r="I412" i="5"/>
  <c r="F412" i="5"/>
  <c r="Q430" i="5"/>
  <c r="M430" i="5"/>
  <c r="J430" i="5"/>
  <c r="I430" i="5"/>
  <c r="F430" i="5"/>
  <c r="Q319" i="5"/>
  <c r="M319" i="5"/>
  <c r="J319" i="5"/>
  <c r="I319" i="5"/>
  <c r="F319" i="5"/>
  <c r="Q391" i="5"/>
  <c r="T391" i="5" s="1"/>
  <c r="M391" i="5"/>
  <c r="J391" i="5"/>
  <c r="I391" i="5"/>
  <c r="F391" i="5"/>
  <c r="Q425" i="5"/>
  <c r="M425" i="5"/>
  <c r="J425" i="5"/>
  <c r="I425" i="5"/>
  <c r="F425" i="5"/>
  <c r="Q528" i="5"/>
  <c r="M528" i="5"/>
  <c r="J528" i="5"/>
  <c r="I528" i="5"/>
  <c r="F528" i="5"/>
  <c r="Q524" i="5"/>
  <c r="M524" i="5"/>
  <c r="J524" i="5"/>
  <c r="I524" i="5"/>
  <c r="F524" i="5"/>
  <c r="Q429" i="5"/>
  <c r="M429" i="5"/>
  <c r="J429" i="5"/>
  <c r="I429" i="5"/>
  <c r="F429" i="5"/>
  <c r="Q521" i="5"/>
  <c r="M521" i="5"/>
  <c r="J521" i="5"/>
  <c r="I521" i="5"/>
  <c r="F521" i="5"/>
  <c r="Q510" i="5"/>
  <c r="M510" i="5"/>
  <c r="J510" i="5"/>
  <c r="I510" i="5"/>
  <c r="F510" i="5"/>
  <c r="Q593" i="5"/>
  <c r="M593" i="5"/>
  <c r="J593" i="5"/>
  <c r="I593" i="5"/>
  <c r="F593" i="5"/>
  <c r="Q520" i="5"/>
  <c r="M520" i="5"/>
  <c r="J520" i="5"/>
  <c r="I520" i="5"/>
  <c r="F520" i="5"/>
  <c r="Q483" i="5"/>
  <c r="M483" i="5"/>
  <c r="J483" i="5"/>
  <c r="I483" i="5"/>
  <c r="F483" i="5"/>
  <c r="Q441" i="5"/>
  <c r="M441" i="5"/>
  <c r="J441" i="5"/>
  <c r="I441" i="5"/>
  <c r="F441" i="5"/>
  <c r="Q374" i="5"/>
  <c r="M374" i="5"/>
  <c r="T374" i="5" s="1"/>
  <c r="J374" i="5"/>
  <c r="I374" i="5"/>
  <c r="F374" i="5"/>
  <c r="Q464" i="5"/>
  <c r="M464" i="5"/>
  <c r="J464" i="5"/>
  <c r="I464" i="5"/>
  <c r="F464" i="5"/>
  <c r="Q368" i="5"/>
  <c r="T368" i="5" s="1"/>
  <c r="M368" i="5"/>
  <c r="J368" i="5"/>
  <c r="I368" i="5"/>
  <c r="F368" i="5"/>
  <c r="Q434" i="5"/>
  <c r="M434" i="5"/>
  <c r="J434" i="5"/>
  <c r="I434" i="5"/>
  <c r="F434" i="5"/>
  <c r="Q562" i="5"/>
  <c r="M562" i="5"/>
  <c r="T562" i="5" s="1"/>
  <c r="J562" i="5"/>
  <c r="I562" i="5"/>
  <c r="F562" i="5"/>
  <c r="Q367" i="5"/>
  <c r="M367" i="5"/>
  <c r="J367" i="5"/>
  <c r="I367" i="5"/>
  <c r="F367" i="5"/>
  <c r="Q305" i="5"/>
  <c r="M305" i="5"/>
  <c r="J305" i="5"/>
  <c r="I305" i="5"/>
  <c r="F305" i="5"/>
  <c r="Q493" i="5"/>
  <c r="M493" i="5"/>
  <c r="J493" i="5"/>
  <c r="I493" i="5"/>
  <c r="F493" i="5"/>
  <c r="Q437" i="5"/>
  <c r="M437" i="5"/>
  <c r="J437" i="5"/>
  <c r="I437" i="5"/>
  <c r="F437" i="5"/>
  <c r="Q553" i="5"/>
  <c r="M553" i="5"/>
  <c r="T553" i="5" s="1"/>
  <c r="J553" i="5"/>
  <c r="I553" i="5"/>
  <c r="F553" i="5"/>
  <c r="Q385" i="5"/>
  <c r="M385" i="5"/>
  <c r="J385" i="5"/>
  <c r="I385" i="5"/>
  <c r="F385" i="5"/>
  <c r="Q286" i="5"/>
  <c r="M286" i="5"/>
  <c r="J286" i="5"/>
  <c r="I286" i="5"/>
  <c r="F286" i="5"/>
  <c r="Q614" i="5"/>
  <c r="M614" i="5"/>
  <c r="J614" i="5"/>
  <c r="I614" i="5"/>
  <c r="F614" i="5"/>
  <c r="Q408" i="5"/>
  <c r="M408" i="5"/>
  <c r="J408" i="5"/>
  <c r="I408" i="5"/>
  <c r="F408" i="5"/>
  <c r="Q157" i="5"/>
  <c r="M157" i="5"/>
  <c r="J157" i="5"/>
  <c r="I157" i="5"/>
  <c r="F157" i="5"/>
  <c r="Q559" i="5"/>
  <c r="M559" i="5"/>
  <c r="J559" i="5"/>
  <c r="I559" i="5"/>
  <c r="F559" i="5"/>
  <c r="Q210" i="5"/>
  <c r="M210" i="5"/>
  <c r="J210" i="5"/>
  <c r="I210" i="5"/>
  <c r="F210" i="5"/>
  <c r="Q554" i="5"/>
  <c r="M554" i="5"/>
  <c r="J554" i="5"/>
  <c r="I554" i="5"/>
  <c r="F554" i="5"/>
  <c r="Q572" i="5"/>
  <c r="M572" i="5"/>
  <c r="J572" i="5"/>
  <c r="I572" i="5"/>
  <c r="F572" i="5"/>
  <c r="Q494" i="5"/>
  <c r="M494" i="5"/>
  <c r="J494" i="5"/>
  <c r="I494" i="5"/>
  <c r="F494" i="5"/>
  <c r="Q470" i="5"/>
  <c r="M470" i="5"/>
  <c r="J470" i="5"/>
  <c r="I470" i="5"/>
  <c r="F470" i="5"/>
  <c r="Q573" i="5"/>
  <c r="M573" i="5"/>
  <c r="J573" i="5"/>
  <c r="I573" i="5"/>
  <c r="F573" i="5"/>
  <c r="Q449" i="5"/>
  <c r="M449" i="5"/>
  <c r="J449" i="5"/>
  <c r="I449" i="5"/>
  <c r="F449" i="5"/>
  <c r="Q479" i="5"/>
  <c r="M479" i="5"/>
  <c r="J479" i="5"/>
  <c r="I479" i="5"/>
  <c r="F479" i="5"/>
  <c r="Q498" i="5"/>
  <c r="M498" i="5"/>
  <c r="J498" i="5"/>
  <c r="I498" i="5"/>
  <c r="F498" i="5"/>
  <c r="Q355" i="5"/>
  <c r="M355" i="5"/>
  <c r="J355" i="5"/>
  <c r="I355" i="5"/>
  <c r="F355" i="5"/>
  <c r="Q395" i="5"/>
  <c r="M395" i="5"/>
  <c r="J395" i="5"/>
  <c r="I395" i="5"/>
  <c r="F395" i="5"/>
  <c r="Q472" i="5"/>
  <c r="M472" i="5"/>
  <c r="J472" i="5"/>
  <c r="I472" i="5"/>
  <c r="F472" i="5"/>
  <c r="Q561" i="5"/>
  <c r="M561" i="5"/>
  <c r="J561" i="5"/>
  <c r="I561" i="5"/>
  <c r="F561" i="5"/>
  <c r="Q612" i="5"/>
  <c r="M612" i="5"/>
  <c r="J612" i="5"/>
  <c r="I612" i="5"/>
  <c r="F612" i="5"/>
  <c r="Q460" i="5"/>
  <c r="M460" i="5"/>
  <c r="J460" i="5"/>
  <c r="I460" i="5"/>
  <c r="F460" i="5"/>
  <c r="Q492" i="5"/>
  <c r="M492" i="5"/>
  <c r="J492" i="5"/>
  <c r="I492" i="5"/>
  <c r="F492" i="5"/>
  <c r="Q415" i="5"/>
  <c r="M415" i="5"/>
  <c r="J415" i="5"/>
  <c r="I415" i="5"/>
  <c r="F415" i="5"/>
  <c r="Q228" i="5"/>
  <c r="M228" i="5"/>
  <c r="J228" i="5"/>
  <c r="I228" i="5"/>
  <c r="F228" i="5"/>
  <c r="Q468" i="5"/>
  <c r="M468" i="5"/>
  <c r="J468" i="5"/>
  <c r="I468" i="5"/>
  <c r="F468" i="5"/>
  <c r="Q363" i="5"/>
  <c r="M363" i="5"/>
  <c r="J363" i="5"/>
  <c r="I363" i="5"/>
  <c r="F363" i="5"/>
  <c r="Q187" i="5"/>
  <c r="M187" i="5"/>
  <c r="J187" i="5"/>
  <c r="I187" i="5"/>
  <c r="F187" i="5"/>
  <c r="Q122" i="5"/>
  <c r="M122" i="5"/>
  <c r="J122" i="5"/>
  <c r="I122" i="5"/>
  <c r="F122" i="5"/>
  <c r="Q317" i="5"/>
  <c r="M317" i="5"/>
  <c r="J317" i="5"/>
  <c r="I317" i="5"/>
  <c r="F317" i="5"/>
  <c r="Q338" i="5"/>
  <c r="M338" i="5"/>
  <c r="J338" i="5"/>
  <c r="I338" i="5"/>
  <c r="F338" i="5"/>
  <c r="Q386" i="5"/>
  <c r="M386" i="5"/>
  <c r="J386" i="5"/>
  <c r="I386" i="5"/>
  <c r="F386" i="5"/>
  <c r="Q213" i="5"/>
  <c r="M213" i="5"/>
  <c r="T213" i="5" s="1"/>
  <c r="J213" i="5"/>
  <c r="I213" i="5"/>
  <c r="F213" i="5"/>
  <c r="Q94" i="5"/>
  <c r="M94" i="5"/>
  <c r="J94" i="5"/>
  <c r="I94" i="5"/>
  <c r="F94" i="5"/>
  <c r="Q507" i="5"/>
  <c r="M507" i="5"/>
  <c r="J507" i="5"/>
  <c r="I507" i="5"/>
  <c r="F507" i="5"/>
  <c r="Q495" i="5"/>
  <c r="M495" i="5"/>
  <c r="J495" i="5"/>
  <c r="I495" i="5"/>
  <c r="F495" i="5"/>
  <c r="Q465" i="5"/>
  <c r="M465" i="5"/>
  <c r="J465" i="5"/>
  <c r="I465" i="5"/>
  <c r="F465" i="5"/>
  <c r="Q416" i="5"/>
  <c r="M416" i="5"/>
  <c r="J416" i="5"/>
  <c r="I416" i="5"/>
  <c r="F416" i="5"/>
  <c r="Q440" i="5"/>
  <c r="M440" i="5"/>
  <c r="T440" i="5" s="1"/>
  <c r="J440" i="5"/>
  <c r="I440" i="5"/>
  <c r="F440" i="5"/>
  <c r="Q516" i="5"/>
  <c r="M516" i="5"/>
  <c r="J516" i="5"/>
  <c r="I516" i="5"/>
  <c r="F516" i="5"/>
  <c r="Q111" i="5"/>
  <c r="M111" i="5"/>
  <c r="J111" i="5"/>
  <c r="I111" i="5"/>
  <c r="F111" i="5"/>
  <c r="Q119" i="5"/>
  <c r="M119" i="5"/>
  <c r="J119" i="5"/>
  <c r="I119" i="5"/>
  <c r="F119" i="5"/>
  <c r="Q306" i="5"/>
  <c r="M306" i="5"/>
  <c r="J306" i="5"/>
  <c r="I306" i="5"/>
  <c r="F306" i="5"/>
  <c r="Q243" i="5"/>
  <c r="M243" i="5"/>
  <c r="J243" i="5"/>
  <c r="I243" i="5"/>
  <c r="F243" i="5"/>
  <c r="Q345" i="5"/>
  <c r="T345" i="5" s="1"/>
  <c r="M345" i="5"/>
  <c r="J345" i="5"/>
  <c r="I345" i="5"/>
  <c r="F345" i="5"/>
  <c r="Q189" i="5"/>
  <c r="M189" i="5"/>
  <c r="J189" i="5"/>
  <c r="I189" i="5"/>
  <c r="F189" i="5"/>
  <c r="Q163" i="5"/>
  <c r="M163" i="5"/>
  <c r="J163" i="5"/>
  <c r="I163" i="5"/>
  <c r="F163" i="5"/>
  <c r="Q205" i="5"/>
  <c r="M205" i="5"/>
  <c r="J205" i="5"/>
  <c r="I205" i="5"/>
  <c r="F205" i="5"/>
  <c r="Q540" i="5"/>
  <c r="M540" i="5"/>
  <c r="J540" i="5"/>
  <c r="I540" i="5"/>
  <c r="F540" i="5"/>
  <c r="Q564" i="5"/>
  <c r="M564" i="5"/>
  <c r="J564" i="5"/>
  <c r="I564" i="5"/>
  <c r="F564" i="5"/>
  <c r="Q307" i="5"/>
  <c r="M307" i="5"/>
  <c r="J307" i="5"/>
  <c r="I307" i="5"/>
  <c r="F307" i="5"/>
  <c r="Q403" i="5"/>
  <c r="T403" i="5" s="1"/>
  <c r="M403" i="5"/>
  <c r="J403" i="5"/>
  <c r="I403" i="5"/>
  <c r="F403" i="5"/>
  <c r="Q238" i="5"/>
  <c r="M238" i="5"/>
  <c r="J238" i="5"/>
  <c r="I238" i="5"/>
  <c r="F238" i="5"/>
  <c r="Q450" i="5"/>
  <c r="M450" i="5"/>
  <c r="J450" i="5"/>
  <c r="I450" i="5"/>
  <c r="F450" i="5"/>
  <c r="Q647" i="5"/>
  <c r="M647" i="5"/>
  <c r="J647" i="5"/>
  <c r="I647" i="5"/>
  <c r="F647" i="5"/>
  <c r="Q254" i="5"/>
  <c r="M254" i="5"/>
  <c r="J254" i="5"/>
  <c r="I254" i="5"/>
  <c r="F254" i="5"/>
  <c r="Q491" i="5"/>
  <c r="M491" i="5"/>
  <c r="J491" i="5"/>
  <c r="I491" i="5"/>
  <c r="F491" i="5"/>
  <c r="Q258" i="5"/>
  <c r="M258" i="5"/>
  <c r="J258" i="5"/>
  <c r="I258" i="5"/>
  <c r="F258" i="5"/>
  <c r="Q327" i="5"/>
  <c r="M327" i="5"/>
  <c r="J327" i="5"/>
  <c r="I327" i="5"/>
  <c r="F327" i="5"/>
  <c r="Q321" i="5"/>
  <c r="M321" i="5"/>
  <c r="J321" i="5"/>
  <c r="I321" i="5"/>
  <c r="F321" i="5"/>
  <c r="Q335" i="5"/>
  <c r="T335" i="5" s="1"/>
  <c r="M335" i="5"/>
  <c r="J335" i="5"/>
  <c r="I335" i="5"/>
  <c r="F335" i="5"/>
  <c r="Q339" i="5"/>
  <c r="M339" i="5"/>
  <c r="J339" i="5"/>
  <c r="I339" i="5"/>
  <c r="F339" i="5"/>
  <c r="Q316" i="5"/>
  <c r="M316" i="5"/>
  <c r="J316" i="5"/>
  <c r="I316" i="5"/>
  <c r="F316" i="5"/>
  <c r="Q508" i="5"/>
  <c r="M508" i="5"/>
  <c r="J508" i="5"/>
  <c r="I508" i="5"/>
  <c r="F508" i="5"/>
  <c r="Q314" i="5"/>
  <c r="M314" i="5"/>
  <c r="J314" i="5"/>
  <c r="I314" i="5"/>
  <c r="F314" i="5"/>
  <c r="Q443" i="5"/>
  <c r="M443" i="5"/>
  <c r="J443" i="5"/>
  <c r="I443" i="5"/>
  <c r="F443" i="5"/>
  <c r="Q453" i="5"/>
  <c r="M453" i="5"/>
  <c r="J453" i="5"/>
  <c r="I453" i="5"/>
  <c r="F453" i="5"/>
  <c r="Q387" i="5"/>
  <c r="M387" i="5"/>
  <c r="J387" i="5"/>
  <c r="I387" i="5"/>
  <c r="F387" i="5"/>
  <c r="Q103" i="5"/>
  <c r="M103" i="5"/>
  <c r="J103" i="5"/>
  <c r="I103" i="5"/>
  <c r="F103" i="5"/>
  <c r="Q354" i="5"/>
  <c r="M354" i="5"/>
  <c r="J354" i="5"/>
  <c r="I354" i="5"/>
  <c r="F354" i="5"/>
  <c r="Q605" i="5"/>
  <c r="M605" i="5"/>
  <c r="J605" i="5"/>
  <c r="I605" i="5"/>
  <c r="F605" i="5"/>
  <c r="Q296" i="5"/>
  <c r="M296" i="5"/>
  <c r="J296" i="5"/>
  <c r="I296" i="5"/>
  <c r="F296" i="5"/>
  <c r="Q423" i="5"/>
  <c r="M423" i="5"/>
  <c r="J423" i="5"/>
  <c r="I423" i="5"/>
  <c r="F423" i="5"/>
  <c r="Q325" i="5"/>
  <c r="T325" i="5" s="1"/>
  <c r="M325" i="5"/>
  <c r="J325" i="5"/>
  <c r="I325" i="5"/>
  <c r="F325" i="5"/>
  <c r="Q101" i="5"/>
  <c r="M101" i="5"/>
  <c r="J101" i="5"/>
  <c r="I101" i="5"/>
  <c r="F101" i="5"/>
  <c r="Q445" i="5"/>
  <c r="M445" i="5"/>
  <c r="J445" i="5"/>
  <c r="I445" i="5"/>
  <c r="F445" i="5"/>
  <c r="Q200" i="5"/>
  <c r="M200" i="5"/>
  <c r="J200" i="5"/>
  <c r="I200" i="5"/>
  <c r="F200" i="5"/>
  <c r="Q356" i="5"/>
  <c r="M356" i="5"/>
  <c r="J356" i="5"/>
  <c r="I356" i="5"/>
  <c r="F356" i="5"/>
  <c r="Q431" i="5"/>
  <c r="M431" i="5"/>
  <c r="J431" i="5"/>
  <c r="I431" i="5"/>
  <c r="F431" i="5"/>
  <c r="Q410" i="5"/>
  <c r="M410" i="5"/>
  <c r="J410" i="5"/>
  <c r="I410" i="5"/>
  <c r="F410" i="5"/>
  <c r="Q519" i="5"/>
  <c r="M519" i="5"/>
  <c r="J519" i="5"/>
  <c r="I519" i="5"/>
  <c r="F519" i="5"/>
  <c r="Q517" i="5"/>
  <c r="M517" i="5"/>
  <c r="J517" i="5"/>
  <c r="I517" i="5"/>
  <c r="F517" i="5"/>
  <c r="Q558" i="5"/>
  <c r="M558" i="5"/>
  <c r="T558" i="5" s="1"/>
  <c r="J558" i="5"/>
  <c r="I558" i="5"/>
  <c r="F558" i="5"/>
  <c r="Q253" i="5"/>
  <c r="M253" i="5"/>
  <c r="J253" i="5"/>
  <c r="I253" i="5"/>
  <c r="F253" i="5"/>
  <c r="Q287" i="5"/>
  <c r="M287" i="5"/>
  <c r="J287" i="5"/>
  <c r="I287" i="5"/>
  <c r="F287" i="5"/>
  <c r="Q318" i="5"/>
  <c r="M318" i="5"/>
  <c r="J318" i="5"/>
  <c r="I318" i="5"/>
  <c r="F318" i="5"/>
  <c r="Q283" i="5"/>
  <c r="M283" i="5"/>
  <c r="J283" i="5"/>
  <c r="I283" i="5"/>
  <c r="F283" i="5"/>
  <c r="Q128" i="5"/>
  <c r="M128" i="5"/>
  <c r="J128" i="5"/>
  <c r="I128" i="5"/>
  <c r="F128" i="5"/>
  <c r="Q259" i="5"/>
  <c r="M259" i="5"/>
  <c r="J259" i="5"/>
  <c r="I259" i="5"/>
  <c r="F259" i="5"/>
  <c r="Q500" i="5"/>
  <c r="M500" i="5"/>
  <c r="J500" i="5"/>
  <c r="I500" i="5"/>
  <c r="F500" i="5"/>
  <c r="Q530" i="5"/>
  <c r="M530" i="5"/>
  <c r="J530" i="5"/>
  <c r="I530" i="5"/>
  <c r="F530" i="5"/>
  <c r="Q291" i="5"/>
  <c r="M291" i="5"/>
  <c r="J291" i="5"/>
  <c r="I291" i="5"/>
  <c r="F291" i="5"/>
  <c r="Q308" i="5"/>
  <c r="M308" i="5"/>
  <c r="J308" i="5"/>
  <c r="I308" i="5"/>
  <c r="F308" i="5"/>
  <c r="Q447" i="5"/>
  <c r="M447" i="5"/>
  <c r="J447" i="5"/>
  <c r="I447" i="5"/>
  <c r="F447" i="5"/>
  <c r="Q203" i="5"/>
  <c r="M203" i="5"/>
  <c r="T203" i="5" s="1"/>
  <c r="J203" i="5"/>
  <c r="I203" i="5"/>
  <c r="F203" i="5"/>
  <c r="Q248" i="5"/>
  <c r="M248" i="5"/>
  <c r="J248" i="5"/>
  <c r="I248" i="5"/>
  <c r="F248" i="5"/>
  <c r="Q226" i="5"/>
  <c r="M226" i="5"/>
  <c r="J226" i="5"/>
  <c r="I226" i="5"/>
  <c r="F226" i="5"/>
  <c r="Q268" i="5"/>
  <c r="M268" i="5"/>
  <c r="J268" i="5"/>
  <c r="I268" i="5"/>
  <c r="F268" i="5"/>
  <c r="Q263" i="5"/>
  <c r="M263" i="5"/>
  <c r="J263" i="5"/>
  <c r="I263" i="5"/>
  <c r="F263" i="5"/>
  <c r="Q577" i="5"/>
  <c r="T577" i="5" s="1"/>
  <c r="M577" i="5"/>
  <c r="J577" i="5"/>
  <c r="I577" i="5"/>
  <c r="F577" i="5"/>
  <c r="Q276" i="5"/>
  <c r="M276" i="5"/>
  <c r="J276" i="5"/>
  <c r="I276" i="5"/>
  <c r="F276" i="5"/>
  <c r="Q320" i="5"/>
  <c r="T320" i="5" s="1"/>
  <c r="M320" i="5"/>
  <c r="J320" i="5"/>
  <c r="I320" i="5"/>
  <c r="F320" i="5"/>
  <c r="Q267" i="5"/>
  <c r="M267" i="5"/>
  <c r="J267" i="5"/>
  <c r="I267" i="5"/>
  <c r="F267" i="5"/>
  <c r="Q400" i="5"/>
  <c r="M400" i="5"/>
  <c r="J400" i="5"/>
  <c r="I400" i="5"/>
  <c r="F400" i="5"/>
  <c r="Q297" i="5"/>
  <c r="M297" i="5"/>
  <c r="J297" i="5"/>
  <c r="I297" i="5"/>
  <c r="F297" i="5"/>
  <c r="Q202" i="5"/>
  <c r="M202" i="5"/>
  <c r="J202" i="5"/>
  <c r="I202" i="5"/>
  <c r="F202" i="5"/>
  <c r="Q309" i="5"/>
  <c r="M309" i="5"/>
  <c r="J309" i="5"/>
  <c r="I309" i="5"/>
  <c r="F309" i="5"/>
  <c r="Q359" i="5"/>
  <c r="M359" i="5"/>
  <c r="J359" i="5"/>
  <c r="I359" i="5"/>
  <c r="F359" i="5"/>
  <c r="Q348" i="5"/>
  <c r="M348" i="5"/>
  <c r="J348" i="5"/>
  <c r="I348" i="5"/>
  <c r="F348" i="5"/>
  <c r="Q369" i="5"/>
  <c r="M369" i="5"/>
  <c r="J369" i="5"/>
  <c r="I369" i="5"/>
  <c r="F369" i="5"/>
  <c r="Q502" i="5"/>
  <c r="M502" i="5"/>
  <c r="J502" i="5"/>
  <c r="I502" i="5"/>
  <c r="F502" i="5"/>
  <c r="Q366" i="5"/>
  <c r="T366" i="5" s="1"/>
  <c r="M366" i="5"/>
  <c r="J366" i="5"/>
  <c r="I366" i="5"/>
  <c r="F366" i="5"/>
  <c r="Q452" i="5"/>
  <c r="M452" i="5"/>
  <c r="J452" i="5"/>
  <c r="I452" i="5"/>
  <c r="F452" i="5"/>
  <c r="Q343" i="5"/>
  <c r="M343" i="5"/>
  <c r="J343" i="5"/>
  <c r="I343" i="5"/>
  <c r="F343" i="5"/>
  <c r="Q397" i="5"/>
  <c r="M397" i="5"/>
  <c r="T397" i="5" s="1"/>
  <c r="J397" i="5"/>
  <c r="I397" i="5"/>
  <c r="F397" i="5"/>
  <c r="Q118" i="5"/>
  <c r="M118" i="5"/>
  <c r="J118" i="5"/>
  <c r="I118" i="5"/>
  <c r="F118" i="5"/>
  <c r="Q439" i="5"/>
  <c r="M439" i="5"/>
  <c r="J439" i="5"/>
  <c r="I439" i="5"/>
  <c r="F439" i="5"/>
  <c r="Q349" i="5"/>
  <c r="M349" i="5"/>
  <c r="J349" i="5"/>
  <c r="I349" i="5"/>
  <c r="F349" i="5"/>
  <c r="Q486" i="5"/>
  <c r="M486" i="5"/>
  <c r="J486" i="5"/>
  <c r="I486" i="5"/>
  <c r="F486" i="5"/>
  <c r="Q376" i="5"/>
  <c r="M376" i="5"/>
  <c r="J376" i="5"/>
  <c r="I376" i="5"/>
  <c r="F376" i="5"/>
  <c r="Q301" i="5"/>
  <c r="M301" i="5"/>
  <c r="J301" i="5"/>
  <c r="I301" i="5"/>
  <c r="F301" i="5"/>
  <c r="Q304" i="5"/>
  <c r="M304" i="5"/>
  <c r="J304" i="5"/>
  <c r="I304" i="5"/>
  <c r="F304" i="5"/>
  <c r="Q211" i="5"/>
  <c r="M211" i="5"/>
  <c r="J211" i="5"/>
  <c r="I211" i="5"/>
  <c r="F211" i="5"/>
  <c r="Q313" i="5"/>
  <c r="M313" i="5"/>
  <c r="J313" i="5"/>
  <c r="I313" i="5"/>
  <c r="F313" i="5"/>
  <c r="Q484" i="5"/>
  <c r="M484" i="5"/>
  <c r="J484" i="5"/>
  <c r="I484" i="5"/>
  <c r="F484" i="5"/>
  <c r="Q266" i="5"/>
  <c r="M266" i="5"/>
  <c r="J266" i="5"/>
  <c r="I266" i="5"/>
  <c r="F266" i="5"/>
  <c r="Q312" i="5"/>
  <c r="M312" i="5"/>
  <c r="J312" i="5"/>
  <c r="I312" i="5"/>
  <c r="F312" i="5"/>
  <c r="Q176" i="5"/>
  <c r="M176" i="5"/>
  <c r="J176" i="5"/>
  <c r="I176" i="5"/>
  <c r="F176" i="5"/>
  <c r="Q151" i="5"/>
  <c r="M151" i="5"/>
  <c r="J151" i="5"/>
  <c r="I151" i="5"/>
  <c r="F151" i="5"/>
  <c r="Q360" i="5"/>
  <c r="M360" i="5"/>
  <c r="J360" i="5"/>
  <c r="I360" i="5"/>
  <c r="F360" i="5"/>
  <c r="Q194" i="5"/>
  <c r="M194" i="5"/>
  <c r="T194" i="5" s="1"/>
  <c r="J194" i="5"/>
  <c r="I194" i="5"/>
  <c r="F194" i="5"/>
  <c r="Q315" i="5"/>
  <c r="M315" i="5"/>
  <c r="J315" i="5"/>
  <c r="I315" i="5"/>
  <c r="F315" i="5"/>
  <c r="Q149" i="5"/>
  <c r="M149" i="5"/>
  <c r="J149" i="5"/>
  <c r="I149" i="5"/>
  <c r="F149" i="5"/>
  <c r="Q175" i="5"/>
  <c r="M175" i="5"/>
  <c r="J175" i="5"/>
  <c r="I175" i="5"/>
  <c r="F175" i="5"/>
  <c r="Q274" i="5"/>
  <c r="M274" i="5"/>
  <c r="J274" i="5"/>
  <c r="I274" i="5"/>
  <c r="F274" i="5"/>
  <c r="Q221" i="5"/>
  <c r="M221" i="5"/>
  <c r="J221" i="5"/>
  <c r="I221" i="5"/>
  <c r="F221" i="5"/>
  <c r="Q288" i="5"/>
  <c r="M288" i="5"/>
  <c r="J288" i="5"/>
  <c r="I288" i="5"/>
  <c r="F288" i="5"/>
  <c r="Q199" i="5"/>
  <c r="M199" i="5"/>
  <c r="J199" i="5"/>
  <c r="I199" i="5"/>
  <c r="F199" i="5"/>
  <c r="Q264" i="5"/>
  <c r="M264" i="5"/>
  <c r="J264" i="5"/>
  <c r="I264" i="5"/>
  <c r="F264" i="5"/>
  <c r="Q426" i="5"/>
  <c r="M426" i="5"/>
  <c r="J426" i="5"/>
  <c r="I426" i="5"/>
  <c r="F426" i="5"/>
  <c r="Q375" i="5"/>
  <c r="M375" i="5"/>
  <c r="J375" i="5"/>
  <c r="I375" i="5"/>
  <c r="F375" i="5"/>
  <c r="Q424" i="5"/>
  <c r="M424" i="5"/>
  <c r="J424" i="5"/>
  <c r="I424" i="5"/>
  <c r="F424" i="5"/>
  <c r="Q277" i="5"/>
  <c r="M277" i="5"/>
  <c r="J277" i="5"/>
  <c r="I277" i="5"/>
  <c r="F277" i="5"/>
  <c r="Q371" i="5"/>
  <c r="M371" i="5"/>
  <c r="J371" i="5"/>
  <c r="I371" i="5"/>
  <c r="F371" i="5"/>
  <c r="Q240" i="5"/>
  <c r="M240" i="5"/>
  <c r="J240" i="5"/>
  <c r="I240" i="5"/>
  <c r="F240" i="5"/>
  <c r="Q390" i="5"/>
  <c r="M390" i="5"/>
  <c r="J390" i="5"/>
  <c r="I390" i="5"/>
  <c r="F390" i="5"/>
  <c r="Q102" i="5"/>
  <c r="M102" i="5"/>
  <c r="J102" i="5"/>
  <c r="I102" i="5"/>
  <c r="F102" i="5"/>
  <c r="Q282" i="5"/>
  <c r="M282" i="5"/>
  <c r="J282" i="5"/>
  <c r="I282" i="5"/>
  <c r="F282" i="5"/>
  <c r="Q365" i="5"/>
  <c r="M365" i="5"/>
  <c r="J365" i="5"/>
  <c r="I365" i="5"/>
  <c r="F365" i="5"/>
  <c r="Q413" i="5"/>
  <c r="M413" i="5"/>
  <c r="J413" i="5"/>
  <c r="I413" i="5"/>
  <c r="F413" i="5"/>
  <c r="Q341" i="5"/>
  <c r="M341" i="5"/>
  <c r="J341" i="5"/>
  <c r="I341" i="5"/>
  <c r="F341" i="5"/>
  <c r="Q186" i="5"/>
  <c r="M186" i="5"/>
  <c r="T186" i="5" s="1"/>
  <c r="J186" i="5"/>
  <c r="I186" i="5"/>
  <c r="F186" i="5"/>
  <c r="Q43" i="5"/>
  <c r="M43" i="5"/>
  <c r="J43" i="5"/>
  <c r="I43" i="5"/>
  <c r="F43" i="5"/>
  <c r="Q216" i="5"/>
  <c r="M216" i="5"/>
  <c r="J216" i="5"/>
  <c r="I216" i="5"/>
  <c r="F216" i="5"/>
  <c r="Q300" i="5"/>
  <c r="M300" i="5"/>
  <c r="J300" i="5"/>
  <c r="I300" i="5"/>
  <c r="F300" i="5"/>
  <c r="Q169" i="5"/>
  <c r="M169" i="5"/>
  <c r="J169" i="5"/>
  <c r="I169" i="5"/>
  <c r="F169" i="5"/>
  <c r="Q279" i="5"/>
  <c r="T279" i="5" s="1"/>
  <c r="M279" i="5"/>
  <c r="J279" i="5"/>
  <c r="I279" i="5"/>
  <c r="F279" i="5"/>
  <c r="Q384" i="5"/>
  <c r="M384" i="5"/>
  <c r="J384" i="5"/>
  <c r="I384" i="5"/>
  <c r="F384" i="5"/>
  <c r="Q311" i="5"/>
  <c r="M311" i="5"/>
  <c r="J311" i="5"/>
  <c r="I311" i="5"/>
  <c r="F311" i="5"/>
  <c r="Q91" i="5"/>
  <c r="M91" i="5"/>
  <c r="J91" i="5"/>
  <c r="I91" i="5"/>
  <c r="F91" i="5"/>
  <c r="Q110" i="5"/>
  <c r="M110" i="5"/>
  <c r="J110" i="5"/>
  <c r="I110" i="5"/>
  <c r="F110" i="5"/>
  <c r="Q328" i="5"/>
  <c r="M328" i="5"/>
  <c r="J328" i="5"/>
  <c r="I328" i="5"/>
  <c r="F328" i="5"/>
  <c r="Q372" i="5"/>
  <c r="M372" i="5"/>
  <c r="J372" i="5"/>
  <c r="I372" i="5"/>
  <c r="F372" i="5"/>
  <c r="Q295" i="5"/>
  <c r="T295" i="5" s="1"/>
  <c r="M295" i="5"/>
  <c r="J295" i="5"/>
  <c r="I295" i="5"/>
  <c r="F295" i="5"/>
  <c r="Q273" i="5"/>
  <c r="M273" i="5"/>
  <c r="J273" i="5"/>
  <c r="I273" i="5"/>
  <c r="F273" i="5"/>
  <c r="Q195" i="5"/>
  <c r="M195" i="5"/>
  <c r="J195" i="5"/>
  <c r="I195" i="5"/>
  <c r="F195" i="5"/>
  <c r="Q281" i="5"/>
  <c r="T281" i="5" s="1"/>
  <c r="M281" i="5"/>
  <c r="J281" i="5"/>
  <c r="I281" i="5"/>
  <c r="F281" i="5"/>
  <c r="Q303" i="5"/>
  <c r="M303" i="5"/>
  <c r="T303" i="5" s="1"/>
  <c r="J303" i="5"/>
  <c r="I303" i="5"/>
  <c r="F303" i="5"/>
  <c r="Q336" i="5"/>
  <c r="M336" i="5"/>
  <c r="J336" i="5"/>
  <c r="I336" i="5"/>
  <c r="F336" i="5"/>
  <c r="Q204" i="5"/>
  <c r="M204" i="5"/>
  <c r="J204" i="5"/>
  <c r="I204" i="5"/>
  <c r="F204" i="5"/>
  <c r="Q193" i="5"/>
  <c r="M193" i="5"/>
  <c r="J193" i="5"/>
  <c r="I193" i="5"/>
  <c r="F193" i="5"/>
  <c r="Q421" i="5"/>
  <c r="M421" i="5"/>
  <c r="J421" i="5"/>
  <c r="I421" i="5"/>
  <c r="F421" i="5"/>
  <c r="Q330" i="5"/>
  <c r="M330" i="5"/>
  <c r="J330" i="5"/>
  <c r="I330" i="5"/>
  <c r="F330" i="5"/>
  <c r="Q357" i="5"/>
  <c r="M357" i="5"/>
  <c r="J357" i="5"/>
  <c r="I357" i="5"/>
  <c r="F357" i="5"/>
  <c r="Q197" i="5"/>
  <c r="M197" i="5"/>
  <c r="J197" i="5"/>
  <c r="I197" i="5"/>
  <c r="F197" i="5"/>
  <c r="Q214" i="5"/>
  <c r="M214" i="5"/>
  <c r="J214" i="5"/>
  <c r="I214" i="5"/>
  <c r="F214" i="5"/>
  <c r="Q145" i="5"/>
  <c r="M145" i="5"/>
  <c r="J145" i="5"/>
  <c r="I145" i="5"/>
  <c r="F145" i="5"/>
  <c r="Q237" i="5"/>
  <c r="M237" i="5"/>
  <c r="J237" i="5"/>
  <c r="I237" i="5"/>
  <c r="F237" i="5"/>
  <c r="Q215" i="5"/>
  <c r="M215" i="5"/>
  <c r="T215" i="5" s="1"/>
  <c r="J215" i="5"/>
  <c r="I215" i="5"/>
  <c r="F215" i="5"/>
  <c r="Q392" i="5"/>
  <c r="M392" i="5"/>
  <c r="J392" i="5"/>
  <c r="I392" i="5"/>
  <c r="F392" i="5"/>
  <c r="Q326" i="5"/>
  <c r="M326" i="5"/>
  <c r="J326" i="5"/>
  <c r="I326" i="5"/>
  <c r="F326" i="5"/>
  <c r="Q275" i="5"/>
  <c r="M275" i="5"/>
  <c r="J275" i="5"/>
  <c r="I275" i="5"/>
  <c r="F275" i="5"/>
  <c r="Q183" i="5"/>
  <c r="M183" i="5"/>
  <c r="J183" i="5"/>
  <c r="I183" i="5"/>
  <c r="F183" i="5"/>
  <c r="Q239" i="5"/>
  <c r="M239" i="5"/>
  <c r="J239" i="5"/>
  <c r="I239" i="5"/>
  <c r="F239" i="5"/>
  <c r="Q220" i="5"/>
  <c r="M220" i="5"/>
  <c r="J220" i="5"/>
  <c r="I220" i="5"/>
  <c r="F220" i="5"/>
  <c r="Q152" i="5"/>
  <c r="M152" i="5"/>
  <c r="J152" i="5"/>
  <c r="I152" i="5"/>
  <c r="F152" i="5"/>
  <c r="Q177" i="5"/>
  <c r="M177" i="5"/>
  <c r="J177" i="5"/>
  <c r="I177" i="5"/>
  <c r="F177" i="5"/>
  <c r="Q302" i="5"/>
  <c r="M302" i="5"/>
  <c r="J302" i="5"/>
  <c r="I302" i="5"/>
  <c r="F302" i="5"/>
  <c r="Q174" i="5"/>
  <c r="M174" i="5"/>
  <c r="J174" i="5"/>
  <c r="I174" i="5"/>
  <c r="F174" i="5"/>
  <c r="Q104" i="5"/>
  <c r="M104" i="5"/>
  <c r="J104" i="5"/>
  <c r="I104" i="5"/>
  <c r="F104" i="5"/>
  <c r="Q53" i="5"/>
  <c r="M53" i="5"/>
  <c r="J53" i="5"/>
  <c r="I53" i="5"/>
  <c r="F53" i="5"/>
  <c r="Q230" i="5"/>
  <c r="M230" i="5"/>
  <c r="J230" i="5"/>
  <c r="I230" i="5"/>
  <c r="F230" i="5"/>
  <c r="Q284" i="5"/>
  <c r="M284" i="5"/>
  <c r="J284" i="5"/>
  <c r="I284" i="5"/>
  <c r="F284" i="5"/>
  <c r="Q70" i="5"/>
  <c r="M70" i="5"/>
  <c r="J70" i="5"/>
  <c r="I70" i="5"/>
  <c r="F70" i="5"/>
  <c r="Q290" i="5"/>
  <c r="M290" i="5"/>
  <c r="T290" i="5" s="1"/>
  <c r="J290" i="5"/>
  <c r="I290" i="5"/>
  <c r="F290" i="5"/>
  <c r="Q405" i="5"/>
  <c r="M405" i="5"/>
  <c r="J405" i="5"/>
  <c r="I405" i="5"/>
  <c r="F405" i="5"/>
  <c r="Q340" i="5"/>
  <c r="M340" i="5"/>
  <c r="J340" i="5"/>
  <c r="I340" i="5"/>
  <c r="F340" i="5"/>
  <c r="Q160" i="5"/>
  <c r="M160" i="5"/>
  <c r="J160" i="5"/>
  <c r="I160" i="5"/>
  <c r="F160" i="5"/>
  <c r="Q346" i="5"/>
  <c r="M346" i="5"/>
  <c r="J346" i="5"/>
  <c r="I346" i="5"/>
  <c r="F346" i="5"/>
  <c r="Q278" i="5"/>
  <c r="M278" i="5"/>
  <c r="J278" i="5"/>
  <c r="I278" i="5"/>
  <c r="F278" i="5"/>
  <c r="Q331" i="5"/>
  <c r="M331" i="5"/>
  <c r="J331" i="5"/>
  <c r="I331" i="5"/>
  <c r="F331" i="5"/>
  <c r="Q323" i="5"/>
  <c r="T323" i="5" s="1"/>
  <c r="M323" i="5"/>
  <c r="J323" i="5"/>
  <c r="I323" i="5"/>
  <c r="F323" i="5"/>
  <c r="Q88" i="5"/>
  <c r="M88" i="5"/>
  <c r="J88" i="5"/>
  <c r="I88" i="5"/>
  <c r="F88" i="5"/>
  <c r="Q310" i="5"/>
  <c r="M310" i="5"/>
  <c r="J310" i="5"/>
  <c r="I310" i="5"/>
  <c r="F310" i="5"/>
  <c r="Q245" i="5"/>
  <c r="M245" i="5"/>
  <c r="J245" i="5"/>
  <c r="I245" i="5"/>
  <c r="F245" i="5"/>
  <c r="Q270" i="5"/>
  <c r="M270" i="5"/>
  <c r="J270" i="5"/>
  <c r="I270" i="5"/>
  <c r="F270" i="5"/>
  <c r="Q185" i="5"/>
  <c r="M185" i="5"/>
  <c r="J185" i="5"/>
  <c r="I185" i="5"/>
  <c r="F185" i="5"/>
  <c r="Q196" i="5"/>
  <c r="M196" i="5"/>
  <c r="J196" i="5"/>
  <c r="I196" i="5"/>
  <c r="F196" i="5"/>
  <c r="Q427" i="5"/>
  <c r="M427" i="5"/>
  <c r="J427" i="5"/>
  <c r="I427" i="5"/>
  <c r="F427" i="5"/>
  <c r="Q85" i="5"/>
  <c r="M85" i="5"/>
  <c r="J85" i="5"/>
  <c r="I85" i="5"/>
  <c r="F85" i="5"/>
  <c r="Q342" i="5"/>
  <c r="M342" i="5"/>
  <c r="T342" i="5" s="1"/>
  <c r="J342" i="5"/>
  <c r="I342" i="5"/>
  <c r="F342" i="5"/>
  <c r="Q265" i="5"/>
  <c r="M265" i="5"/>
  <c r="J265" i="5"/>
  <c r="I265" i="5"/>
  <c r="F265" i="5"/>
  <c r="Q170" i="5"/>
  <c r="M170" i="5"/>
  <c r="J170" i="5"/>
  <c r="I170" i="5"/>
  <c r="F170" i="5"/>
  <c r="Q260" i="5"/>
  <c r="M260" i="5"/>
  <c r="J260" i="5"/>
  <c r="I260" i="5"/>
  <c r="F260" i="5"/>
  <c r="Q292" i="5"/>
  <c r="M292" i="5"/>
  <c r="J292" i="5"/>
  <c r="I292" i="5"/>
  <c r="F292" i="5"/>
  <c r="Q252" i="5"/>
  <c r="M252" i="5"/>
  <c r="T252" i="5" s="1"/>
  <c r="J252" i="5"/>
  <c r="I252" i="5"/>
  <c r="F252" i="5"/>
  <c r="Q285" i="5"/>
  <c r="M285" i="5"/>
  <c r="J285" i="5"/>
  <c r="I285" i="5"/>
  <c r="F285" i="5"/>
  <c r="Q388" i="5"/>
  <c r="M388" i="5"/>
  <c r="J388" i="5"/>
  <c r="I388" i="5"/>
  <c r="F388" i="5"/>
  <c r="Q256" i="5"/>
  <c r="M256" i="5"/>
  <c r="J256" i="5"/>
  <c r="I256" i="5"/>
  <c r="F256" i="5"/>
  <c r="Q138" i="5"/>
  <c r="M138" i="5"/>
  <c r="J138" i="5"/>
  <c r="I138" i="5"/>
  <c r="F138" i="5"/>
  <c r="Q117" i="5"/>
  <c r="T117" i="5" s="1"/>
  <c r="M117" i="5"/>
  <c r="J117" i="5"/>
  <c r="I117" i="5"/>
  <c r="F117" i="5"/>
  <c r="Q92" i="5"/>
  <c r="M92" i="5"/>
  <c r="J92" i="5"/>
  <c r="I92" i="5"/>
  <c r="F92" i="5"/>
  <c r="Q255" i="5"/>
  <c r="M255" i="5"/>
  <c r="J255" i="5"/>
  <c r="I255" i="5"/>
  <c r="F255" i="5"/>
  <c r="Q30" i="5"/>
  <c r="M30" i="5"/>
  <c r="J30" i="5"/>
  <c r="I30" i="5"/>
  <c r="F30" i="5"/>
  <c r="Q181" i="5"/>
  <c r="M181" i="5"/>
  <c r="J181" i="5"/>
  <c r="I181" i="5"/>
  <c r="F181" i="5"/>
  <c r="Q236" i="5"/>
  <c r="M236" i="5"/>
  <c r="J236" i="5"/>
  <c r="I236" i="5"/>
  <c r="F236" i="5"/>
  <c r="Q164" i="5"/>
  <c r="M164" i="5"/>
  <c r="T164" i="5" s="1"/>
  <c r="J164" i="5"/>
  <c r="I164" i="5"/>
  <c r="F164" i="5"/>
  <c r="Q141" i="5"/>
  <c r="M141" i="5"/>
  <c r="J141" i="5"/>
  <c r="I141" i="5"/>
  <c r="F141" i="5"/>
  <c r="Q130" i="5"/>
  <c r="M130" i="5"/>
  <c r="J130" i="5"/>
  <c r="I130" i="5"/>
  <c r="F130" i="5"/>
  <c r="Q246" i="5"/>
  <c r="M246" i="5"/>
  <c r="J246" i="5"/>
  <c r="I246" i="5"/>
  <c r="F246" i="5"/>
  <c r="Q147" i="5"/>
  <c r="M147" i="5"/>
  <c r="J147" i="5"/>
  <c r="I147" i="5"/>
  <c r="F147" i="5"/>
  <c r="Q198" i="5"/>
  <c r="M198" i="5"/>
  <c r="J198" i="5"/>
  <c r="I198" i="5"/>
  <c r="F198" i="5"/>
  <c r="Q231" i="5"/>
  <c r="M231" i="5"/>
  <c r="J231" i="5"/>
  <c r="I231" i="5"/>
  <c r="F231" i="5"/>
  <c r="Q299" i="5"/>
  <c r="M299" i="5"/>
  <c r="J299" i="5"/>
  <c r="I299" i="5"/>
  <c r="F299" i="5"/>
  <c r="Q294" i="5"/>
  <c r="M294" i="5"/>
  <c r="J294" i="5"/>
  <c r="I294" i="5"/>
  <c r="F294" i="5"/>
  <c r="Q114" i="5"/>
  <c r="M114" i="5"/>
  <c r="J114" i="5"/>
  <c r="I114" i="5"/>
  <c r="F114" i="5"/>
  <c r="Q269" i="5"/>
  <c r="T269" i="5" s="1"/>
  <c r="M269" i="5"/>
  <c r="J269" i="5"/>
  <c r="I269" i="5"/>
  <c r="F269" i="5"/>
  <c r="Q201" i="5"/>
  <c r="M201" i="5"/>
  <c r="J201" i="5"/>
  <c r="I201" i="5"/>
  <c r="F201" i="5"/>
  <c r="Q219" i="5"/>
  <c r="M219" i="5"/>
  <c r="J219" i="5"/>
  <c r="I219" i="5"/>
  <c r="F219" i="5"/>
  <c r="Q136" i="5"/>
  <c r="M136" i="5"/>
  <c r="J136" i="5"/>
  <c r="I136" i="5"/>
  <c r="F136" i="5"/>
  <c r="Q153" i="5"/>
  <c r="M153" i="5"/>
  <c r="J153" i="5"/>
  <c r="I153" i="5"/>
  <c r="F153" i="5"/>
  <c r="Q322" i="5"/>
  <c r="M322" i="5"/>
  <c r="J322" i="5"/>
  <c r="I322" i="5"/>
  <c r="F322" i="5"/>
  <c r="Q218" i="5"/>
  <c r="M218" i="5"/>
  <c r="T218" i="5" s="1"/>
  <c r="J218" i="5"/>
  <c r="I218" i="5"/>
  <c r="F218" i="5"/>
  <c r="Q233" i="5"/>
  <c r="M233" i="5"/>
  <c r="J233" i="5"/>
  <c r="I233" i="5"/>
  <c r="F233" i="5"/>
  <c r="Q463" i="5"/>
  <c r="M463" i="5"/>
  <c r="J463" i="5"/>
  <c r="I463" i="5"/>
  <c r="F463" i="5"/>
  <c r="Q162" i="5"/>
  <c r="M162" i="5"/>
  <c r="J162" i="5"/>
  <c r="I162" i="5"/>
  <c r="F162" i="5"/>
  <c r="Q217" i="5"/>
  <c r="M217" i="5"/>
  <c r="J217" i="5"/>
  <c r="I217" i="5"/>
  <c r="F217" i="5"/>
  <c r="Q38" i="5"/>
  <c r="M38" i="5"/>
  <c r="J38" i="5"/>
  <c r="I38" i="5"/>
  <c r="F38" i="5"/>
  <c r="Q78" i="5"/>
  <c r="M78" i="5"/>
  <c r="J78" i="5"/>
  <c r="I78" i="5"/>
  <c r="F78" i="5"/>
  <c r="Q84" i="5"/>
  <c r="M84" i="5"/>
  <c r="J84" i="5"/>
  <c r="I84" i="5"/>
  <c r="F84" i="5"/>
  <c r="Q172" i="5"/>
  <c r="M172" i="5"/>
  <c r="J172" i="5"/>
  <c r="I172" i="5"/>
  <c r="F172" i="5"/>
  <c r="Q105" i="5"/>
  <c r="M105" i="5"/>
  <c r="J105" i="5"/>
  <c r="I105" i="5"/>
  <c r="F105" i="5"/>
  <c r="Q180" i="5"/>
  <c r="M180" i="5"/>
  <c r="J180" i="5"/>
  <c r="I180" i="5"/>
  <c r="F180" i="5"/>
  <c r="Q382" i="5"/>
  <c r="M382" i="5"/>
  <c r="J382" i="5"/>
  <c r="I382" i="5"/>
  <c r="F382" i="5"/>
  <c r="Q179" i="5"/>
  <c r="M179" i="5"/>
  <c r="J179" i="5"/>
  <c r="I179" i="5"/>
  <c r="F179" i="5"/>
  <c r="Q234" i="5"/>
  <c r="M234" i="5"/>
  <c r="J234" i="5"/>
  <c r="I234" i="5"/>
  <c r="F234" i="5"/>
  <c r="Q150" i="5"/>
  <c r="M150" i="5"/>
  <c r="J150" i="5"/>
  <c r="I150" i="5"/>
  <c r="F150" i="5"/>
  <c r="Q190" i="5"/>
  <c r="M190" i="5"/>
  <c r="J190" i="5"/>
  <c r="I190" i="5"/>
  <c r="F190" i="5"/>
  <c r="Q261" i="5"/>
  <c r="M261" i="5"/>
  <c r="J261" i="5"/>
  <c r="I261" i="5"/>
  <c r="F261" i="5"/>
  <c r="Q124" i="5"/>
  <c r="M124" i="5"/>
  <c r="J124" i="5"/>
  <c r="I124" i="5"/>
  <c r="F124" i="5"/>
  <c r="Q161" i="5"/>
  <c r="M161" i="5"/>
  <c r="J161" i="5"/>
  <c r="I161" i="5"/>
  <c r="F161" i="5"/>
  <c r="Q123" i="5"/>
  <c r="M123" i="5"/>
  <c r="J123" i="5"/>
  <c r="I123" i="5"/>
  <c r="F123" i="5"/>
  <c r="Q191" i="5"/>
  <c r="M191" i="5"/>
  <c r="J191" i="5"/>
  <c r="I191" i="5"/>
  <c r="F191" i="5"/>
  <c r="Q159" i="5"/>
  <c r="M159" i="5"/>
  <c r="J159" i="5"/>
  <c r="I159" i="5"/>
  <c r="F159" i="5"/>
  <c r="Q134" i="5"/>
  <c r="M134" i="5"/>
  <c r="J134" i="5"/>
  <c r="I134" i="5"/>
  <c r="F134" i="5"/>
  <c r="Q168" i="5"/>
  <c r="M168" i="5"/>
  <c r="J168" i="5"/>
  <c r="I168" i="5"/>
  <c r="F168" i="5"/>
  <c r="Q158" i="5"/>
  <c r="M158" i="5"/>
  <c r="J158" i="5"/>
  <c r="I158" i="5"/>
  <c r="F158" i="5"/>
  <c r="Q289" i="5"/>
  <c r="M289" i="5"/>
  <c r="J289" i="5"/>
  <c r="I289" i="5"/>
  <c r="F289" i="5"/>
  <c r="Q350" i="5"/>
  <c r="M350" i="5"/>
  <c r="J350" i="5"/>
  <c r="I350" i="5"/>
  <c r="F350" i="5"/>
  <c r="Q166" i="5"/>
  <c r="M166" i="5"/>
  <c r="J166" i="5"/>
  <c r="I166" i="5"/>
  <c r="F166" i="5"/>
  <c r="Q155" i="5"/>
  <c r="M155" i="5"/>
  <c r="J155" i="5"/>
  <c r="I155" i="5"/>
  <c r="F155" i="5"/>
  <c r="Q79" i="5"/>
  <c r="M79" i="5"/>
  <c r="J79" i="5"/>
  <c r="I79" i="5"/>
  <c r="F79" i="5"/>
  <c r="Q108" i="5"/>
  <c r="M108" i="5"/>
  <c r="J108" i="5"/>
  <c r="I108" i="5"/>
  <c r="F108" i="5"/>
  <c r="Q167" i="5"/>
  <c r="M167" i="5"/>
  <c r="J167" i="5"/>
  <c r="I167" i="5"/>
  <c r="F167" i="5"/>
  <c r="Q223" i="5"/>
  <c r="M223" i="5"/>
  <c r="J223" i="5"/>
  <c r="I223" i="5"/>
  <c r="F223" i="5"/>
  <c r="Q188" i="5"/>
  <c r="M188" i="5"/>
  <c r="J188" i="5"/>
  <c r="I188" i="5"/>
  <c r="F188" i="5"/>
  <c r="Q250" i="5"/>
  <c r="M250" i="5"/>
  <c r="J250" i="5"/>
  <c r="I250" i="5"/>
  <c r="F250" i="5"/>
  <c r="Q454" i="5"/>
  <c r="M454" i="5"/>
  <c r="J454" i="5"/>
  <c r="I454" i="5"/>
  <c r="F454" i="5"/>
  <c r="Q298" i="5"/>
  <c r="M298" i="5"/>
  <c r="J298" i="5"/>
  <c r="I298" i="5"/>
  <c r="F298" i="5"/>
  <c r="Q271" i="5"/>
  <c r="M271" i="5"/>
  <c r="J271" i="5"/>
  <c r="I271" i="5"/>
  <c r="F271" i="5"/>
  <c r="Q99" i="5"/>
  <c r="M99" i="5"/>
  <c r="J99" i="5"/>
  <c r="I99" i="5"/>
  <c r="F99" i="5"/>
  <c r="Q77" i="5"/>
  <c r="M77" i="5"/>
  <c r="J77" i="5"/>
  <c r="I77" i="5"/>
  <c r="F77" i="5"/>
  <c r="Q66" i="5"/>
  <c r="M66" i="5"/>
  <c r="J66" i="5"/>
  <c r="I66" i="5"/>
  <c r="F66" i="5"/>
  <c r="Q257" i="5"/>
  <c r="M257" i="5"/>
  <c r="J257" i="5"/>
  <c r="I257" i="5"/>
  <c r="F257" i="5"/>
  <c r="Q143" i="5"/>
  <c r="T143" i="5" s="1"/>
  <c r="M143" i="5"/>
  <c r="J143" i="5"/>
  <c r="I143" i="5"/>
  <c r="F143" i="5"/>
  <c r="Q192" i="5"/>
  <c r="M192" i="5"/>
  <c r="J192" i="5"/>
  <c r="I192" i="5"/>
  <c r="F192" i="5"/>
  <c r="Q184" i="5"/>
  <c r="M184" i="5"/>
  <c r="J184" i="5"/>
  <c r="I184" i="5"/>
  <c r="F184" i="5"/>
  <c r="Q57" i="5"/>
  <c r="M57" i="5"/>
  <c r="J57" i="5"/>
  <c r="I57" i="5"/>
  <c r="F57" i="5"/>
  <c r="Q247" i="5"/>
  <c r="M247" i="5"/>
  <c r="J247" i="5"/>
  <c r="I247" i="5"/>
  <c r="F247" i="5"/>
  <c r="Q36" i="5"/>
  <c r="M36" i="5"/>
  <c r="J36" i="5"/>
  <c r="I36" i="5"/>
  <c r="F36" i="5"/>
  <c r="Q173" i="5"/>
  <c r="M173" i="5"/>
  <c r="T173" i="5" s="1"/>
  <c r="J173" i="5"/>
  <c r="I173" i="5"/>
  <c r="F173" i="5"/>
  <c r="Q154" i="5"/>
  <c r="M154" i="5"/>
  <c r="J154" i="5"/>
  <c r="I154" i="5"/>
  <c r="F154" i="5"/>
  <c r="Q109" i="5"/>
  <c r="M109" i="5"/>
  <c r="J109" i="5"/>
  <c r="I109" i="5"/>
  <c r="F109" i="5"/>
  <c r="Q249" i="5"/>
  <c r="M249" i="5"/>
  <c r="J249" i="5"/>
  <c r="I249" i="5"/>
  <c r="F249" i="5"/>
  <c r="Q235" i="5"/>
  <c r="M235" i="5"/>
  <c r="J235" i="5"/>
  <c r="I235" i="5"/>
  <c r="F235" i="5"/>
  <c r="Q132" i="5"/>
  <c r="M132" i="5"/>
  <c r="J132" i="5"/>
  <c r="I132" i="5"/>
  <c r="F132" i="5"/>
  <c r="Q222" i="5"/>
  <c r="M222" i="5"/>
  <c r="J222" i="5"/>
  <c r="I222" i="5"/>
  <c r="F222" i="5"/>
  <c r="Q83" i="5"/>
  <c r="M83" i="5"/>
  <c r="J83" i="5"/>
  <c r="I83" i="5"/>
  <c r="F83" i="5"/>
  <c r="Q120" i="5"/>
  <c r="M120" i="5"/>
  <c r="J120" i="5"/>
  <c r="I120" i="5"/>
  <c r="F120" i="5"/>
  <c r="Q126" i="5"/>
  <c r="M126" i="5"/>
  <c r="J126" i="5"/>
  <c r="I126" i="5"/>
  <c r="F126" i="5"/>
  <c r="Q55" i="5"/>
  <c r="T55" i="5" s="1"/>
  <c r="M55" i="5"/>
  <c r="J55" i="5"/>
  <c r="I55" i="5"/>
  <c r="F55" i="5"/>
  <c r="Q171" i="5"/>
  <c r="M171" i="5"/>
  <c r="J171" i="5"/>
  <c r="I171" i="5"/>
  <c r="F171" i="5"/>
  <c r="Q93" i="5"/>
  <c r="M93" i="5"/>
  <c r="J93" i="5"/>
  <c r="I93" i="5"/>
  <c r="F93" i="5"/>
  <c r="Q156" i="5"/>
  <c r="M156" i="5"/>
  <c r="J156" i="5"/>
  <c r="I156" i="5"/>
  <c r="F156" i="5"/>
  <c r="Q41" i="5"/>
  <c r="M41" i="5"/>
  <c r="J41" i="5"/>
  <c r="I41" i="5"/>
  <c r="F41" i="5"/>
  <c r="Q137" i="5"/>
  <c r="M137" i="5"/>
  <c r="J137" i="5"/>
  <c r="I137" i="5"/>
  <c r="F137" i="5"/>
  <c r="Q100" i="5"/>
  <c r="M100" i="5"/>
  <c r="J100" i="5"/>
  <c r="I100" i="5"/>
  <c r="F100" i="5"/>
  <c r="Q351" i="5"/>
  <c r="M351" i="5"/>
  <c r="J351" i="5"/>
  <c r="I351" i="5"/>
  <c r="F351" i="5"/>
  <c r="Q207" i="5"/>
  <c r="M207" i="5"/>
  <c r="J207" i="5"/>
  <c r="I207" i="5"/>
  <c r="F207" i="5"/>
  <c r="Q80" i="5"/>
  <c r="M80" i="5"/>
  <c r="J80" i="5"/>
  <c r="I80" i="5"/>
  <c r="F80" i="5"/>
  <c r="Q97" i="5"/>
  <c r="M97" i="5"/>
  <c r="J97" i="5"/>
  <c r="I97" i="5"/>
  <c r="F97" i="5"/>
  <c r="Q106" i="5"/>
  <c r="M106" i="5"/>
  <c r="J106" i="5"/>
  <c r="I106" i="5"/>
  <c r="F106" i="5"/>
  <c r="Q95" i="5"/>
  <c r="M95" i="5"/>
  <c r="J95" i="5"/>
  <c r="I95" i="5"/>
  <c r="F95" i="5"/>
  <c r="Q229" i="5"/>
  <c r="M229" i="5"/>
  <c r="J229" i="5"/>
  <c r="I229" i="5"/>
  <c r="F229" i="5"/>
  <c r="Q208" i="5"/>
  <c r="M208" i="5"/>
  <c r="J208" i="5"/>
  <c r="I208" i="5"/>
  <c r="F208" i="5"/>
  <c r="Q98" i="5"/>
  <c r="M98" i="5"/>
  <c r="J98" i="5"/>
  <c r="I98" i="5"/>
  <c r="F98" i="5"/>
  <c r="Q241" i="5"/>
  <c r="T241" i="5" s="1"/>
  <c r="M241" i="5"/>
  <c r="J241" i="5"/>
  <c r="I241" i="5"/>
  <c r="F241" i="5"/>
  <c r="Q90" i="5"/>
  <c r="M90" i="5"/>
  <c r="J90" i="5"/>
  <c r="I90" i="5"/>
  <c r="F90" i="5"/>
  <c r="Q127" i="5"/>
  <c r="M127" i="5"/>
  <c r="T127" i="5" s="1"/>
  <c r="J127" i="5"/>
  <c r="I127" i="5"/>
  <c r="F127" i="5"/>
  <c r="Q115" i="5"/>
  <c r="M115" i="5"/>
  <c r="J115" i="5"/>
  <c r="I115" i="5"/>
  <c r="F115" i="5"/>
  <c r="Q75" i="5"/>
  <c r="M75" i="5"/>
  <c r="J75" i="5"/>
  <c r="I75" i="5"/>
  <c r="F75" i="5"/>
  <c r="Q131" i="5"/>
  <c r="M131" i="5"/>
  <c r="J131" i="5"/>
  <c r="I131" i="5"/>
  <c r="F131" i="5"/>
  <c r="Q140" i="5"/>
  <c r="M140" i="5"/>
  <c r="T140" i="5" s="1"/>
  <c r="J140" i="5"/>
  <c r="I140" i="5"/>
  <c r="F140" i="5"/>
  <c r="Q52" i="5"/>
  <c r="T52" i="5" s="1"/>
  <c r="M52" i="5"/>
  <c r="J52" i="5"/>
  <c r="I52" i="5"/>
  <c r="F52" i="5"/>
  <c r="Q139" i="5"/>
  <c r="M139" i="5"/>
  <c r="J139" i="5"/>
  <c r="I139" i="5"/>
  <c r="F139" i="5"/>
  <c r="Q129" i="5"/>
  <c r="M129" i="5"/>
  <c r="J129" i="5"/>
  <c r="I129" i="5"/>
  <c r="F129" i="5"/>
  <c r="Q81" i="5"/>
  <c r="M81" i="5"/>
  <c r="J81" i="5"/>
  <c r="I81" i="5"/>
  <c r="F81" i="5"/>
  <c r="Q89" i="5"/>
  <c r="M89" i="5"/>
  <c r="J89" i="5"/>
  <c r="I89" i="5"/>
  <c r="F89" i="5"/>
  <c r="Q51" i="5"/>
  <c r="M51" i="5"/>
  <c r="J51" i="5"/>
  <c r="I51" i="5"/>
  <c r="F51" i="5"/>
  <c r="Q86" i="5"/>
  <c r="M86" i="5"/>
  <c r="J86" i="5"/>
  <c r="I86" i="5"/>
  <c r="F86" i="5"/>
  <c r="Q121" i="5"/>
  <c r="M121" i="5"/>
  <c r="J121" i="5"/>
  <c r="I121" i="5"/>
  <c r="F121" i="5"/>
  <c r="Q74" i="5"/>
  <c r="M74" i="5"/>
  <c r="J74" i="5"/>
  <c r="I74" i="5"/>
  <c r="F74" i="5"/>
  <c r="Q60" i="5"/>
  <c r="T60" i="5" s="1"/>
  <c r="M60" i="5"/>
  <c r="J60" i="5"/>
  <c r="I60" i="5"/>
  <c r="F60" i="5"/>
  <c r="Q22" i="5"/>
  <c r="M22" i="5"/>
  <c r="J22" i="5"/>
  <c r="I22" i="5"/>
  <c r="F22" i="5"/>
  <c r="Q61" i="5"/>
  <c r="M61" i="5"/>
  <c r="J61" i="5"/>
  <c r="I61" i="5"/>
  <c r="F61" i="5"/>
  <c r="Q39" i="5"/>
  <c r="M39" i="5"/>
  <c r="J39" i="5"/>
  <c r="I39" i="5"/>
  <c r="F39" i="5"/>
  <c r="Q135" i="5"/>
  <c r="M135" i="5"/>
  <c r="J135" i="5"/>
  <c r="I135" i="5"/>
  <c r="F135" i="5"/>
  <c r="Q113" i="5"/>
  <c r="M113" i="5"/>
  <c r="J113" i="5"/>
  <c r="I113" i="5"/>
  <c r="F113" i="5"/>
  <c r="Q87" i="5"/>
  <c r="M87" i="5"/>
  <c r="J87" i="5"/>
  <c r="I87" i="5"/>
  <c r="F87" i="5"/>
  <c r="Q182" i="5"/>
  <c r="M182" i="5"/>
  <c r="J182" i="5"/>
  <c r="I182" i="5"/>
  <c r="F182" i="5"/>
  <c r="Q69" i="5"/>
  <c r="T69" i="5" s="1"/>
  <c r="M69" i="5"/>
  <c r="J69" i="5"/>
  <c r="I69" i="5"/>
  <c r="F69" i="5"/>
  <c r="Q96" i="5"/>
  <c r="M96" i="5"/>
  <c r="J96" i="5"/>
  <c r="I96" i="5"/>
  <c r="F96" i="5"/>
  <c r="Q165" i="5"/>
  <c r="M165" i="5"/>
  <c r="J165" i="5"/>
  <c r="I165" i="5"/>
  <c r="F165" i="5"/>
  <c r="Q72" i="5"/>
  <c r="M72" i="5"/>
  <c r="J72" i="5"/>
  <c r="I72" i="5"/>
  <c r="F72" i="5"/>
  <c r="Q63" i="5"/>
  <c r="M63" i="5"/>
  <c r="J63" i="5"/>
  <c r="I63" i="5"/>
  <c r="F63" i="5"/>
  <c r="Q37" i="5"/>
  <c r="M37" i="5"/>
  <c r="J37" i="5"/>
  <c r="I37" i="5"/>
  <c r="F37" i="5"/>
  <c r="Q64" i="5"/>
  <c r="M64" i="5"/>
  <c r="J64" i="5"/>
  <c r="I64" i="5"/>
  <c r="F64" i="5"/>
  <c r="Q112" i="5"/>
  <c r="M112" i="5"/>
  <c r="J112" i="5"/>
  <c r="I112" i="5"/>
  <c r="F112" i="5"/>
  <c r="Q47" i="5"/>
  <c r="M47" i="5"/>
  <c r="J47" i="5"/>
  <c r="I47" i="5"/>
  <c r="F47" i="5"/>
  <c r="Q68" i="5"/>
  <c r="T68" i="5" s="1"/>
  <c r="M68" i="5"/>
  <c r="J68" i="5"/>
  <c r="I68" i="5"/>
  <c r="F68" i="5"/>
  <c r="Q35" i="5"/>
  <c r="M35" i="5"/>
  <c r="J35" i="5"/>
  <c r="I35" i="5"/>
  <c r="F35" i="5"/>
  <c r="Q76" i="5"/>
  <c r="M76" i="5"/>
  <c r="J76" i="5"/>
  <c r="I76" i="5"/>
  <c r="F76" i="5"/>
  <c r="Q73" i="5"/>
  <c r="M73" i="5"/>
  <c r="J73" i="5"/>
  <c r="I73" i="5"/>
  <c r="F73" i="5"/>
  <c r="Q48" i="5"/>
  <c r="M48" i="5"/>
  <c r="J48" i="5"/>
  <c r="I48" i="5"/>
  <c r="F48" i="5"/>
  <c r="Q107" i="5"/>
  <c r="M107" i="5"/>
  <c r="J107" i="5"/>
  <c r="I107" i="5"/>
  <c r="F107" i="5"/>
  <c r="Q46" i="5"/>
  <c r="M46" i="5"/>
  <c r="J46" i="5"/>
  <c r="I46" i="5"/>
  <c r="F46" i="5"/>
  <c r="Q67" i="5"/>
  <c r="M67" i="5"/>
  <c r="J67" i="5"/>
  <c r="I67" i="5"/>
  <c r="F67" i="5"/>
  <c r="Q125" i="5"/>
  <c r="M125" i="5"/>
  <c r="J125" i="5"/>
  <c r="I125" i="5"/>
  <c r="F125" i="5"/>
  <c r="Q58" i="5"/>
  <c r="M58" i="5"/>
  <c r="J58" i="5"/>
  <c r="I58" i="5"/>
  <c r="F58" i="5"/>
  <c r="Q62" i="5"/>
  <c r="M62" i="5"/>
  <c r="J62" i="5"/>
  <c r="I62" i="5"/>
  <c r="F62" i="5"/>
  <c r="Q148" i="5"/>
  <c r="M148" i="5"/>
  <c r="J148" i="5"/>
  <c r="I148" i="5"/>
  <c r="F148" i="5"/>
  <c r="Q116" i="5"/>
  <c r="M116" i="5"/>
  <c r="J116" i="5"/>
  <c r="I116" i="5"/>
  <c r="F116" i="5"/>
  <c r="Q82" i="5"/>
  <c r="M82" i="5"/>
  <c r="J82" i="5"/>
  <c r="I82" i="5"/>
  <c r="F82" i="5"/>
  <c r="Q178" i="5"/>
  <c r="M178" i="5"/>
  <c r="J178" i="5"/>
  <c r="I178" i="5"/>
  <c r="F178" i="5"/>
  <c r="Q44" i="5"/>
  <c r="T44" i="5" s="1"/>
  <c r="M44" i="5"/>
  <c r="J44" i="5"/>
  <c r="I44" i="5"/>
  <c r="F44" i="5"/>
  <c r="Q32" i="5"/>
  <c r="M32" i="5"/>
  <c r="J32" i="5"/>
  <c r="I32" i="5"/>
  <c r="F32" i="5"/>
  <c r="Q49" i="5"/>
  <c r="M49" i="5"/>
  <c r="J49" i="5"/>
  <c r="I49" i="5"/>
  <c r="F49" i="5"/>
  <c r="Q42" i="5"/>
  <c r="M42" i="5"/>
  <c r="J42" i="5"/>
  <c r="I42" i="5"/>
  <c r="F42" i="5"/>
  <c r="Q133" i="5"/>
  <c r="M133" i="5"/>
  <c r="J133" i="5"/>
  <c r="I133" i="5"/>
  <c r="F133" i="5"/>
  <c r="Q146" i="5"/>
  <c r="M146" i="5"/>
  <c r="J146" i="5"/>
  <c r="I146" i="5"/>
  <c r="F146" i="5"/>
  <c r="Q34" i="5"/>
  <c r="M34" i="5"/>
  <c r="T34" i="5" s="1"/>
  <c r="J34" i="5"/>
  <c r="I34" i="5"/>
  <c r="F34" i="5"/>
  <c r="Q54" i="5"/>
  <c r="M54" i="5"/>
  <c r="J54" i="5"/>
  <c r="I54" i="5"/>
  <c r="F54" i="5"/>
  <c r="Q29" i="5"/>
  <c r="M29" i="5"/>
  <c r="J29" i="5"/>
  <c r="I29" i="5"/>
  <c r="F29" i="5"/>
  <c r="Q21" i="5"/>
  <c r="M21" i="5"/>
  <c r="J21" i="5"/>
  <c r="I21" i="5"/>
  <c r="F21" i="5"/>
  <c r="Q65" i="5"/>
  <c r="M65" i="5"/>
  <c r="J65" i="5"/>
  <c r="I65" i="5"/>
  <c r="F65" i="5"/>
  <c r="Q56" i="5"/>
  <c r="M56" i="5"/>
  <c r="J56" i="5"/>
  <c r="I56" i="5"/>
  <c r="F56" i="5"/>
  <c r="Q23" i="5"/>
  <c r="M23" i="5"/>
  <c r="J23" i="5"/>
  <c r="I23" i="5"/>
  <c r="F23" i="5"/>
  <c r="Q50" i="5"/>
  <c r="M50" i="5"/>
  <c r="J50" i="5"/>
  <c r="I50" i="5"/>
  <c r="F50" i="5"/>
  <c r="Q25" i="5"/>
  <c r="M25" i="5"/>
  <c r="J25" i="5"/>
  <c r="I25" i="5"/>
  <c r="F25" i="5"/>
  <c r="Q27" i="5"/>
  <c r="M27" i="5"/>
  <c r="J27" i="5"/>
  <c r="I27" i="5"/>
  <c r="F27" i="5"/>
  <c r="Q31" i="5"/>
  <c r="M31" i="5"/>
  <c r="J31" i="5"/>
  <c r="I31" i="5"/>
  <c r="F31" i="5"/>
  <c r="Q40" i="5"/>
  <c r="M40" i="5"/>
  <c r="J40" i="5"/>
  <c r="I40" i="5"/>
  <c r="F40" i="5"/>
  <c r="Q26" i="5"/>
  <c r="M26" i="5"/>
  <c r="J26" i="5"/>
  <c r="I26" i="5"/>
  <c r="F26" i="5"/>
  <c r="Q59" i="5"/>
  <c r="M59" i="5"/>
  <c r="J59" i="5"/>
  <c r="I59" i="5"/>
  <c r="F59" i="5"/>
  <c r="Q19" i="5"/>
  <c r="M19" i="5"/>
  <c r="J19" i="5"/>
  <c r="I19" i="5"/>
  <c r="F19" i="5"/>
  <c r="Q45" i="5"/>
  <c r="M45" i="5"/>
  <c r="J45" i="5"/>
  <c r="I45" i="5"/>
  <c r="F45" i="5"/>
  <c r="Q20" i="5"/>
  <c r="M20" i="5"/>
  <c r="J20" i="5"/>
  <c r="I20" i="5"/>
  <c r="F20" i="5"/>
  <c r="Q12" i="5"/>
  <c r="M12" i="5"/>
  <c r="J12" i="5"/>
  <c r="I12" i="5"/>
  <c r="F12" i="5"/>
  <c r="Q71" i="5"/>
  <c r="M71" i="5"/>
  <c r="J71" i="5"/>
  <c r="I71" i="5"/>
  <c r="F71" i="5"/>
  <c r="Q33" i="5"/>
  <c r="M33" i="5"/>
  <c r="J33" i="5"/>
  <c r="I33" i="5"/>
  <c r="F33" i="5"/>
  <c r="Q24" i="5"/>
  <c r="M24" i="5"/>
  <c r="J24" i="5"/>
  <c r="I24" i="5"/>
  <c r="F24" i="5"/>
  <c r="Q17" i="5"/>
  <c r="M17" i="5"/>
  <c r="J17" i="5"/>
  <c r="I17" i="5"/>
  <c r="F17" i="5"/>
  <c r="Q15" i="5"/>
  <c r="M15" i="5"/>
  <c r="J15" i="5"/>
  <c r="I15" i="5"/>
  <c r="F15" i="5"/>
  <c r="Q10" i="5"/>
  <c r="M10" i="5"/>
  <c r="J10" i="5"/>
  <c r="I10" i="5"/>
  <c r="F10" i="5"/>
  <c r="Q28" i="5"/>
  <c r="M28" i="5"/>
  <c r="J28" i="5"/>
  <c r="I28" i="5"/>
  <c r="F28" i="5"/>
  <c r="Q9" i="5"/>
  <c r="M9" i="5"/>
  <c r="J9" i="5"/>
  <c r="I9" i="5"/>
  <c r="F9" i="5"/>
  <c r="Q14" i="5"/>
  <c r="T14" i="5" s="1"/>
  <c r="M14" i="5"/>
  <c r="J14" i="5"/>
  <c r="I14" i="5"/>
  <c r="F14" i="5"/>
  <c r="Q18" i="5"/>
  <c r="M18" i="5"/>
  <c r="J18" i="5"/>
  <c r="I18" i="5"/>
  <c r="F18" i="5"/>
  <c r="Q16" i="5"/>
  <c r="M16" i="5"/>
  <c r="J16" i="5"/>
  <c r="I16" i="5"/>
  <c r="F16" i="5"/>
  <c r="Q11" i="5"/>
  <c r="M11" i="5"/>
  <c r="J11" i="5"/>
  <c r="I11" i="5"/>
  <c r="F11" i="5"/>
  <c r="Q13" i="5"/>
  <c r="M13" i="5"/>
  <c r="J13" i="5"/>
  <c r="I13" i="5"/>
  <c r="F13" i="5"/>
  <c r="P707" i="4"/>
  <c r="L707" i="4"/>
  <c r="I707" i="4"/>
  <c r="H707" i="4"/>
  <c r="E707" i="4"/>
  <c r="M707" i="4" s="1"/>
  <c r="P681" i="4"/>
  <c r="L681" i="4"/>
  <c r="I681" i="4"/>
  <c r="H681" i="4"/>
  <c r="E681" i="4"/>
  <c r="P586" i="4"/>
  <c r="L586" i="4"/>
  <c r="I586" i="4"/>
  <c r="H586" i="4"/>
  <c r="E586" i="4"/>
  <c r="P778" i="4"/>
  <c r="L778" i="4"/>
  <c r="I778" i="4"/>
  <c r="H778" i="4"/>
  <c r="E778" i="4"/>
  <c r="M778" i="4" s="1"/>
  <c r="P531" i="4"/>
  <c r="L531" i="4"/>
  <c r="I531" i="4"/>
  <c r="H531" i="4"/>
  <c r="E531" i="4"/>
  <c r="P626" i="4"/>
  <c r="L626" i="4"/>
  <c r="I626" i="4"/>
  <c r="H626" i="4"/>
  <c r="E626" i="4"/>
  <c r="M626" i="4" s="1"/>
  <c r="P725" i="4"/>
  <c r="L725" i="4"/>
  <c r="I725" i="4"/>
  <c r="H725" i="4"/>
  <c r="E725" i="4"/>
  <c r="P730" i="4"/>
  <c r="L730" i="4"/>
  <c r="I730" i="4"/>
  <c r="H730" i="4"/>
  <c r="E730" i="4"/>
  <c r="P645" i="4"/>
  <c r="L645" i="4"/>
  <c r="I645" i="4"/>
  <c r="H645" i="4"/>
  <c r="E645" i="4"/>
  <c r="M645" i="4" s="1"/>
  <c r="P763" i="4"/>
  <c r="L763" i="4"/>
  <c r="I763" i="4"/>
  <c r="H763" i="4"/>
  <c r="E763" i="4"/>
  <c r="P407" i="4"/>
  <c r="L407" i="4"/>
  <c r="I407" i="4"/>
  <c r="H407" i="4"/>
  <c r="E407" i="4"/>
  <c r="P636" i="4"/>
  <c r="L636" i="4"/>
  <c r="I636" i="4"/>
  <c r="H636" i="4"/>
  <c r="E636" i="4"/>
  <c r="P783" i="4"/>
  <c r="L783" i="4"/>
  <c r="I783" i="4"/>
  <c r="H783" i="4"/>
  <c r="E783" i="4"/>
  <c r="P603" i="4"/>
  <c r="L603" i="4"/>
  <c r="I603" i="4"/>
  <c r="H603" i="4"/>
  <c r="E603" i="4"/>
  <c r="M603" i="4" s="1"/>
  <c r="P770" i="4"/>
  <c r="L770" i="4"/>
  <c r="I770" i="4"/>
  <c r="H770" i="4"/>
  <c r="E770" i="4"/>
  <c r="P756" i="4"/>
  <c r="L756" i="4"/>
  <c r="I756" i="4"/>
  <c r="H756" i="4"/>
  <c r="E756" i="4"/>
  <c r="P718" i="4"/>
  <c r="L718" i="4"/>
  <c r="I718" i="4"/>
  <c r="H718" i="4"/>
  <c r="E718" i="4"/>
  <c r="M718" i="4" s="1"/>
  <c r="P747" i="4"/>
  <c r="L747" i="4"/>
  <c r="I747" i="4"/>
  <c r="H747" i="4"/>
  <c r="E747" i="4"/>
  <c r="M747" i="4" s="1"/>
  <c r="P784" i="4"/>
  <c r="L784" i="4"/>
  <c r="I784" i="4"/>
  <c r="H784" i="4"/>
  <c r="E784" i="4"/>
  <c r="P193" i="4"/>
  <c r="L193" i="4"/>
  <c r="I193" i="4"/>
  <c r="H193" i="4"/>
  <c r="E193" i="4"/>
  <c r="M193" i="4" s="1"/>
  <c r="P781" i="4"/>
  <c r="L781" i="4"/>
  <c r="I781" i="4"/>
  <c r="H781" i="4"/>
  <c r="E781" i="4"/>
  <c r="P657" i="4"/>
  <c r="L657" i="4"/>
  <c r="I657" i="4"/>
  <c r="H657" i="4"/>
  <c r="E657" i="4"/>
  <c r="M657" i="4" s="1"/>
  <c r="P641" i="4"/>
  <c r="L641" i="4"/>
  <c r="I641" i="4"/>
  <c r="H641" i="4"/>
  <c r="E641" i="4"/>
  <c r="P687" i="4"/>
  <c r="L687" i="4"/>
  <c r="I687" i="4"/>
  <c r="H687" i="4"/>
  <c r="E687" i="4"/>
  <c r="P592" i="4"/>
  <c r="L592" i="4"/>
  <c r="I592" i="4"/>
  <c r="H592" i="4"/>
  <c r="E592" i="4"/>
  <c r="P643" i="4"/>
  <c r="L643" i="4"/>
  <c r="I643" i="4"/>
  <c r="H643" i="4"/>
  <c r="E643" i="4"/>
  <c r="M643" i="4" s="1"/>
  <c r="P746" i="4"/>
  <c r="L746" i="4"/>
  <c r="I746" i="4"/>
  <c r="H746" i="4"/>
  <c r="E746" i="4"/>
  <c r="P339" i="4"/>
  <c r="L339" i="4"/>
  <c r="I339" i="4"/>
  <c r="H339" i="4"/>
  <c r="E339" i="4"/>
  <c r="P714" i="4"/>
  <c r="L714" i="4"/>
  <c r="I714" i="4"/>
  <c r="H714" i="4"/>
  <c r="E714" i="4"/>
  <c r="P509" i="4"/>
  <c r="L509" i="4"/>
  <c r="I509" i="4"/>
  <c r="H509" i="4"/>
  <c r="E509" i="4"/>
  <c r="M509" i="4" s="1"/>
  <c r="P425" i="4"/>
  <c r="L425" i="4"/>
  <c r="I425" i="4"/>
  <c r="M425" i="4" s="1"/>
  <c r="H425" i="4"/>
  <c r="E425" i="4"/>
  <c r="P533" i="4"/>
  <c r="L533" i="4"/>
  <c r="I533" i="4"/>
  <c r="H533" i="4"/>
  <c r="E533" i="4"/>
  <c r="P782" i="4"/>
  <c r="L782" i="4"/>
  <c r="I782" i="4"/>
  <c r="H782" i="4"/>
  <c r="E782" i="4"/>
  <c r="M782" i="4" s="1"/>
  <c r="P343" i="4"/>
  <c r="L343" i="4"/>
  <c r="I343" i="4"/>
  <c r="H343" i="4"/>
  <c r="E343" i="4"/>
  <c r="P743" i="4"/>
  <c r="L743" i="4"/>
  <c r="I743" i="4"/>
  <c r="H743" i="4"/>
  <c r="E743" i="4"/>
  <c r="P255" i="4"/>
  <c r="L255" i="4"/>
  <c r="I255" i="4"/>
  <c r="H255" i="4"/>
  <c r="E255" i="4"/>
  <c r="P772" i="4"/>
  <c r="L772" i="4"/>
  <c r="I772" i="4"/>
  <c r="H772" i="4"/>
  <c r="E772" i="4"/>
  <c r="P749" i="4"/>
  <c r="L749" i="4"/>
  <c r="I749" i="4"/>
  <c r="H749" i="4"/>
  <c r="E749" i="4"/>
  <c r="M749" i="4" s="1"/>
  <c r="P452" i="4"/>
  <c r="L452" i="4"/>
  <c r="I452" i="4"/>
  <c r="H452" i="4"/>
  <c r="E452" i="4"/>
  <c r="P690" i="4"/>
  <c r="L690" i="4"/>
  <c r="I690" i="4"/>
  <c r="M690" i="4" s="1"/>
  <c r="H690" i="4"/>
  <c r="E690" i="4"/>
  <c r="P758" i="4"/>
  <c r="L758" i="4"/>
  <c r="I758" i="4"/>
  <c r="H758" i="4"/>
  <c r="E758" i="4"/>
  <c r="M758" i="4" s="1"/>
  <c r="P742" i="4"/>
  <c r="L742" i="4"/>
  <c r="I742" i="4"/>
  <c r="H742" i="4"/>
  <c r="E742" i="4"/>
  <c r="M742" i="4" s="1"/>
  <c r="P448" i="4"/>
  <c r="L448" i="4"/>
  <c r="I448" i="4"/>
  <c r="H448" i="4"/>
  <c r="E448" i="4"/>
  <c r="P221" i="4"/>
  <c r="L221" i="4"/>
  <c r="I221" i="4"/>
  <c r="H221" i="4"/>
  <c r="E221" i="4"/>
  <c r="M221" i="4" s="1"/>
  <c r="P587" i="4"/>
  <c r="L587" i="4"/>
  <c r="I587" i="4"/>
  <c r="H587" i="4"/>
  <c r="E587" i="4"/>
  <c r="P606" i="4"/>
  <c r="L606" i="4"/>
  <c r="I606" i="4"/>
  <c r="H606" i="4"/>
  <c r="E606" i="4"/>
  <c r="P176" i="4"/>
  <c r="L176" i="4"/>
  <c r="I176" i="4"/>
  <c r="H176" i="4"/>
  <c r="E176" i="4"/>
  <c r="P539" i="4"/>
  <c r="L539" i="4"/>
  <c r="I539" i="4"/>
  <c r="H539" i="4"/>
  <c r="E539" i="4"/>
  <c r="P473" i="4"/>
  <c r="L473" i="4"/>
  <c r="I473" i="4"/>
  <c r="H473" i="4"/>
  <c r="E473" i="4"/>
  <c r="P248" i="4"/>
  <c r="L248" i="4"/>
  <c r="I248" i="4"/>
  <c r="H248" i="4"/>
  <c r="E248" i="4"/>
  <c r="P760" i="4"/>
  <c r="L760" i="4"/>
  <c r="I760" i="4"/>
  <c r="H760" i="4"/>
  <c r="E760" i="4"/>
  <c r="P400" i="4"/>
  <c r="L400" i="4"/>
  <c r="I400" i="4"/>
  <c r="H400" i="4"/>
  <c r="E400" i="4"/>
  <c r="M400" i="4" s="1"/>
  <c r="P648" i="4"/>
  <c r="L648" i="4"/>
  <c r="I648" i="4"/>
  <c r="H648" i="4"/>
  <c r="E648" i="4"/>
  <c r="P494" i="4"/>
  <c r="L494" i="4"/>
  <c r="I494" i="4"/>
  <c r="H494" i="4"/>
  <c r="E494" i="4"/>
  <c r="M494" i="4" s="1"/>
  <c r="P35" i="4"/>
  <c r="L35" i="4"/>
  <c r="I35" i="4"/>
  <c r="H35" i="4"/>
  <c r="E35" i="4"/>
  <c r="P497" i="4"/>
  <c r="L497" i="4"/>
  <c r="I497" i="4"/>
  <c r="H497" i="4"/>
  <c r="E497" i="4"/>
  <c r="P491" i="4"/>
  <c r="L491" i="4"/>
  <c r="I491" i="4"/>
  <c r="H491" i="4"/>
  <c r="E491" i="4"/>
  <c r="P629" i="4"/>
  <c r="L629" i="4"/>
  <c r="I629" i="4"/>
  <c r="H629" i="4"/>
  <c r="E629" i="4"/>
  <c r="M629" i="4" s="1"/>
  <c r="P722" i="4"/>
  <c r="L722" i="4"/>
  <c r="I722" i="4"/>
  <c r="H722" i="4"/>
  <c r="E722" i="4"/>
  <c r="M722" i="4" s="1"/>
  <c r="P526" i="4"/>
  <c r="L526" i="4"/>
  <c r="I526" i="4"/>
  <c r="H526" i="4"/>
  <c r="E526" i="4"/>
  <c r="P644" i="4"/>
  <c r="L644" i="4"/>
  <c r="I644" i="4"/>
  <c r="H644" i="4"/>
  <c r="E644" i="4"/>
  <c r="M644" i="4" s="1"/>
  <c r="P386" i="4"/>
  <c r="L386" i="4"/>
  <c r="I386" i="4"/>
  <c r="H386" i="4"/>
  <c r="E386" i="4"/>
  <c r="M386" i="4" s="1"/>
  <c r="P604" i="4"/>
  <c r="L604" i="4"/>
  <c r="I604" i="4"/>
  <c r="H604" i="4"/>
  <c r="E604" i="4"/>
  <c r="M604" i="4" s="1"/>
  <c r="P180" i="4"/>
  <c r="L180" i="4"/>
  <c r="I180" i="4"/>
  <c r="H180" i="4"/>
  <c r="E180" i="4"/>
  <c r="M180" i="4" s="1"/>
  <c r="P753" i="4"/>
  <c r="L753" i="4"/>
  <c r="I753" i="4"/>
  <c r="H753" i="4"/>
  <c r="E753" i="4"/>
  <c r="P297" i="4"/>
  <c r="L297" i="4"/>
  <c r="I297" i="4"/>
  <c r="H297" i="4"/>
  <c r="E297" i="4"/>
  <c r="M297" i="4" s="1"/>
  <c r="P156" i="4"/>
  <c r="L156" i="4"/>
  <c r="I156" i="4"/>
  <c r="H156" i="4"/>
  <c r="E156" i="4"/>
  <c r="P727" i="4"/>
  <c r="L727" i="4"/>
  <c r="I727" i="4"/>
  <c r="H727" i="4"/>
  <c r="E727" i="4"/>
  <c r="P683" i="4"/>
  <c r="L683" i="4"/>
  <c r="I683" i="4"/>
  <c r="H683" i="4"/>
  <c r="E683" i="4"/>
  <c r="P635" i="4"/>
  <c r="L635" i="4"/>
  <c r="I635" i="4"/>
  <c r="H635" i="4"/>
  <c r="E635" i="4"/>
  <c r="P741" i="4"/>
  <c r="L741" i="4"/>
  <c r="I741" i="4"/>
  <c r="H741" i="4"/>
  <c r="E741" i="4"/>
  <c r="P560" i="4"/>
  <c r="L560" i="4"/>
  <c r="I560" i="4"/>
  <c r="H560" i="4"/>
  <c r="E560" i="4"/>
  <c r="P317" i="4"/>
  <c r="L317" i="4"/>
  <c r="I317" i="4"/>
  <c r="H317" i="4"/>
  <c r="E317" i="4"/>
  <c r="M317" i="4" s="1"/>
  <c r="P570" i="4"/>
  <c r="L570" i="4"/>
  <c r="I570" i="4"/>
  <c r="H570" i="4"/>
  <c r="E570" i="4"/>
  <c r="M570" i="4" s="1"/>
  <c r="P577" i="4"/>
  <c r="L577" i="4"/>
  <c r="I577" i="4"/>
  <c r="H577" i="4"/>
  <c r="E577" i="4"/>
  <c r="P420" i="4"/>
  <c r="L420" i="4"/>
  <c r="I420" i="4"/>
  <c r="H420" i="4"/>
  <c r="E420" i="4"/>
  <c r="M420" i="4" s="1"/>
  <c r="P247" i="4"/>
  <c r="L247" i="4"/>
  <c r="I247" i="4"/>
  <c r="H247" i="4"/>
  <c r="E247" i="4"/>
  <c r="P185" i="4"/>
  <c r="L185" i="4"/>
  <c r="I185" i="4"/>
  <c r="H185" i="4"/>
  <c r="E185" i="4"/>
  <c r="P438" i="4"/>
  <c r="L438" i="4"/>
  <c r="I438" i="4"/>
  <c r="H438" i="4"/>
  <c r="E438" i="4"/>
  <c r="M438" i="4" s="1"/>
  <c r="P765" i="4"/>
  <c r="L765" i="4"/>
  <c r="I765" i="4"/>
  <c r="H765" i="4"/>
  <c r="E765" i="4"/>
  <c r="P697" i="4"/>
  <c r="L697" i="4"/>
  <c r="I697" i="4"/>
  <c r="H697" i="4"/>
  <c r="E697" i="4"/>
  <c r="M697" i="4" s="1"/>
  <c r="P621" i="4"/>
  <c r="L621" i="4"/>
  <c r="I621" i="4"/>
  <c r="H621" i="4"/>
  <c r="E621" i="4"/>
  <c r="M621" i="4" s="1"/>
  <c r="P385" i="4"/>
  <c r="M385" i="4"/>
  <c r="L385" i="4"/>
  <c r="I385" i="4"/>
  <c r="H385" i="4"/>
  <c r="E385" i="4"/>
  <c r="P266" i="4"/>
  <c r="L266" i="4"/>
  <c r="I266" i="4"/>
  <c r="H266" i="4"/>
  <c r="E266" i="4"/>
  <c r="M266" i="4" s="1"/>
  <c r="P585" i="4"/>
  <c r="L585" i="4"/>
  <c r="I585" i="4"/>
  <c r="H585" i="4"/>
  <c r="E585" i="4"/>
  <c r="M585" i="4" s="1"/>
  <c r="P776" i="4"/>
  <c r="M776" i="4"/>
  <c r="L776" i="4"/>
  <c r="I776" i="4"/>
  <c r="H776" i="4"/>
  <c r="E776" i="4"/>
  <c r="P682" i="4"/>
  <c r="L682" i="4"/>
  <c r="I682" i="4"/>
  <c r="H682" i="4"/>
  <c r="E682" i="4"/>
  <c r="P422" i="4"/>
  <c r="L422" i="4"/>
  <c r="I422" i="4"/>
  <c r="H422" i="4"/>
  <c r="E422" i="4"/>
  <c r="M422" i="4" s="1"/>
  <c r="P447" i="4"/>
  <c r="L447" i="4"/>
  <c r="I447" i="4"/>
  <c r="H447" i="4"/>
  <c r="E447" i="4"/>
  <c r="P654" i="4"/>
  <c r="L654" i="4"/>
  <c r="I654" i="4"/>
  <c r="H654" i="4"/>
  <c r="E654" i="4"/>
  <c r="M654" i="4" s="1"/>
  <c r="P515" i="4"/>
  <c r="L515" i="4"/>
  <c r="I515" i="4"/>
  <c r="H515" i="4"/>
  <c r="E515" i="4"/>
  <c r="P167" i="4"/>
  <c r="L167" i="4"/>
  <c r="I167" i="4"/>
  <c r="H167" i="4"/>
  <c r="E167" i="4"/>
  <c r="P363" i="4"/>
  <c r="L363" i="4"/>
  <c r="I363" i="4"/>
  <c r="H363" i="4"/>
  <c r="E363" i="4"/>
  <c r="P745" i="4"/>
  <c r="L745" i="4"/>
  <c r="I745" i="4"/>
  <c r="H745" i="4"/>
  <c r="E745" i="4"/>
  <c r="P147" i="4"/>
  <c r="L147" i="4"/>
  <c r="I147" i="4"/>
  <c r="H147" i="4"/>
  <c r="E147" i="4"/>
  <c r="P720" i="4"/>
  <c r="L720" i="4"/>
  <c r="I720" i="4"/>
  <c r="H720" i="4"/>
  <c r="E720" i="4"/>
  <c r="M720" i="4" s="1"/>
  <c r="P123" i="4"/>
  <c r="L123" i="4"/>
  <c r="I123" i="4"/>
  <c r="H123" i="4"/>
  <c r="E123" i="4"/>
  <c r="M123" i="4" s="1"/>
  <c r="P608" i="4"/>
  <c r="L608" i="4"/>
  <c r="I608" i="4"/>
  <c r="H608" i="4"/>
  <c r="E608" i="4"/>
  <c r="P640" i="4"/>
  <c r="L640" i="4"/>
  <c r="I640" i="4"/>
  <c r="H640" i="4"/>
  <c r="E640" i="4"/>
  <c r="P594" i="4"/>
  <c r="L594" i="4"/>
  <c r="I594" i="4"/>
  <c r="H594" i="4"/>
  <c r="E594" i="4"/>
  <c r="P656" i="4"/>
  <c r="L656" i="4"/>
  <c r="I656" i="4"/>
  <c r="H656" i="4"/>
  <c r="E656" i="4"/>
  <c r="P576" i="4"/>
  <c r="L576" i="4"/>
  <c r="I576" i="4"/>
  <c r="H576" i="4"/>
  <c r="E576" i="4"/>
  <c r="M576" i="4" s="1"/>
  <c r="P410" i="4"/>
  <c r="L410" i="4"/>
  <c r="I410" i="4"/>
  <c r="H410" i="4"/>
  <c r="E410" i="4"/>
  <c r="M410" i="4" s="1"/>
  <c r="P672" i="4"/>
  <c r="L672" i="4"/>
  <c r="I672" i="4"/>
  <c r="H672" i="4"/>
  <c r="E672" i="4"/>
  <c r="P768" i="4"/>
  <c r="L768" i="4"/>
  <c r="I768" i="4"/>
  <c r="H768" i="4"/>
  <c r="E768" i="4"/>
  <c r="P610" i="4"/>
  <c r="L610" i="4"/>
  <c r="I610" i="4"/>
  <c r="H610" i="4"/>
  <c r="E610" i="4"/>
  <c r="M610" i="4" s="1"/>
  <c r="P431" i="4"/>
  <c r="L431" i="4"/>
  <c r="I431" i="4"/>
  <c r="M431" i="4" s="1"/>
  <c r="H431" i="4"/>
  <c r="E431" i="4"/>
  <c r="P671" i="4"/>
  <c r="L671" i="4"/>
  <c r="I671" i="4"/>
  <c r="H671" i="4"/>
  <c r="E671" i="4"/>
  <c r="P424" i="4"/>
  <c r="L424" i="4"/>
  <c r="I424" i="4"/>
  <c r="H424" i="4"/>
  <c r="E424" i="4"/>
  <c r="M424" i="4" s="1"/>
  <c r="P755" i="4"/>
  <c r="L755" i="4"/>
  <c r="I755" i="4"/>
  <c r="M755" i="4" s="1"/>
  <c r="H755" i="4"/>
  <c r="E755" i="4"/>
  <c r="P184" i="4"/>
  <c r="L184" i="4"/>
  <c r="I184" i="4"/>
  <c r="H184" i="4"/>
  <c r="E184" i="4"/>
  <c r="P254" i="4"/>
  <c r="L254" i="4"/>
  <c r="I254" i="4"/>
  <c r="H254" i="4"/>
  <c r="E254" i="4"/>
  <c r="M254" i="4" s="1"/>
  <c r="P775" i="4"/>
  <c r="L775" i="4"/>
  <c r="I775" i="4"/>
  <c r="H775" i="4"/>
  <c r="E775" i="4"/>
  <c r="P710" i="4"/>
  <c r="L710" i="4"/>
  <c r="I710" i="4"/>
  <c r="H710" i="4"/>
  <c r="E710" i="4"/>
  <c r="M710" i="4" s="1"/>
  <c r="P201" i="4"/>
  <c r="L201" i="4"/>
  <c r="I201" i="4"/>
  <c r="H201" i="4"/>
  <c r="E201" i="4"/>
  <c r="P144" i="4"/>
  <c r="L144" i="4"/>
  <c r="I144" i="4"/>
  <c r="H144" i="4"/>
  <c r="E144" i="4"/>
  <c r="P500" i="4"/>
  <c r="L500" i="4"/>
  <c r="I500" i="4"/>
  <c r="H500" i="4"/>
  <c r="E500" i="4"/>
  <c r="P652" i="4"/>
  <c r="L652" i="4"/>
  <c r="I652" i="4"/>
  <c r="H652" i="4"/>
  <c r="E652" i="4"/>
  <c r="M652" i="4" s="1"/>
  <c r="P225" i="4"/>
  <c r="L225" i="4"/>
  <c r="I225" i="4"/>
  <c r="H225" i="4"/>
  <c r="E225" i="4"/>
  <c r="P237" i="4"/>
  <c r="L237" i="4"/>
  <c r="I237" i="4"/>
  <c r="H237" i="4"/>
  <c r="E237" i="4"/>
  <c r="M237" i="4" s="1"/>
  <c r="P732" i="4"/>
  <c r="L732" i="4"/>
  <c r="I732" i="4"/>
  <c r="H732" i="4"/>
  <c r="E732" i="4"/>
  <c r="P724" i="4"/>
  <c r="L724" i="4"/>
  <c r="I724" i="4"/>
  <c r="H724" i="4"/>
  <c r="E724" i="4"/>
  <c r="P142" i="4"/>
  <c r="L142" i="4"/>
  <c r="I142" i="4"/>
  <c r="H142" i="4"/>
  <c r="E142" i="4"/>
  <c r="P242" i="4"/>
  <c r="L242" i="4"/>
  <c r="I242" i="4"/>
  <c r="H242" i="4"/>
  <c r="E242" i="4"/>
  <c r="P716" i="4"/>
  <c r="L716" i="4"/>
  <c r="I716" i="4"/>
  <c r="H716" i="4"/>
  <c r="E716" i="4"/>
  <c r="P637" i="4"/>
  <c r="L637" i="4"/>
  <c r="I637" i="4"/>
  <c r="H637" i="4"/>
  <c r="E637" i="4"/>
  <c r="P613" i="4"/>
  <c r="L613" i="4"/>
  <c r="I613" i="4"/>
  <c r="H613" i="4"/>
  <c r="E613" i="4"/>
  <c r="P552" i="4"/>
  <c r="L552" i="4"/>
  <c r="I552" i="4"/>
  <c r="H552" i="4"/>
  <c r="E552" i="4"/>
  <c r="P713" i="4"/>
  <c r="L713" i="4"/>
  <c r="I713" i="4"/>
  <c r="H713" i="4"/>
  <c r="E713" i="4"/>
  <c r="M713" i="4" s="1"/>
  <c r="P584" i="4"/>
  <c r="L584" i="4"/>
  <c r="I584" i="4"/>
  <c r="H584" i="4"/>
  <c r="E584" i="4"/>
  <c r="P475" i="4"/>
  <c r="L475" i="4"/>
  <c r="I475" i="4"/>
  <c r="M475" i="4" s="1"/>
  <c r="H475" i="4"/>
  <c r="E475" i="4"/>
  <c r="P766" i="4"/>
  <c r="L766" i="4"/>
  <c r="I766" i="4"/>
  <c r="H766" i="4"/>
  <c r="E766" i="4"/>
  <c r="P338" i="4"/>
  <c r="L338" i="4"/>
  <c r="I338" i="4"/>
  <c r="H338" i="4"/>
  <c r="E338" i="4"/>
  <c r="P403" i="4"/>
  <c r="L403" i="4"/>
  <c r="I403" i="4"/>
  <c r="H403" i="4"/>
  <c r="E403" i="4"/>
  <c r="P734" i="4"/>
  <c r="L734" i="4"/>
  <c r="I734" i="4"/>
  <c r="H734" i="4"/>
  <c r="E734" i="4"/>
  <c r="P63" i="4"/>
  <c r="L63" i="4"/>
  <c r="I63" i="4"/>
  <c r="H63" i="4"/>
  <c r="E63" i="4"/>
  <c r="P406" i="4"/>
  <c r="L406" i="4"/>
  <c r="I406" i="4"/>
  <c r="H406" i="4"/>
  <c r="E406" i="4"/>
  <c r="P739" i="4"/>
  <c r="L739" i="4"/>
  <c r="I739" i="4"/>
  <c r="H739" i="4"/>
  <c r="E739" i="4"/>
  <c r="P651" i="4"/>
  <c r="L651" i="4"/>
  <c r="I651" i="4"/>
  <c r="M651" i="4" s="1"/>
  <c r="H651" i="4"/>
  <c r="E651" i="4"/>
  <c r="P692" i="4"/>
  <c r="L692" i="4"/>
  <c r="I692" i="4"/>
  <c r="H692" i="4"/>
  <c r="E692" i="4"/>
  <c r="P748" i="4"/>
  <c r="L748" i="4"/>
  <c r="I748" i="4"/>
  <c r="H748" i="4"/>
  <c r="E748" i="4"/>
  <c r="M748" i="4" s="1"/>
  <c r="P579" i="4"/>
  <c r="L579" i="4"/>
  <c r="I579" i="4"/>
  <c r="H579" i="4"/>
  <c r="E579" i="4"/>
  <c r="P442" i="4"/>
  <c r="L442" i="4"/>
  <c r="I442" i="4"/>
  <c r="H442" i="4"/>
  <c r="E442" i="4"/>
  <c r="M442" i="4" s="1"/>
  <c r="P241" i="4"/>
  <c r="L241" i="4"/>
  <c r="I241" i="4"/>
  <c r="H241" i="4"/>
  <c r="E241" i="4"/>
  <c r="P744" i="4"/>
  <c r="L744" i="4"/>
  <c r="I744" i="4"/>
  <c r="H744" i="4"/>
  <c r="E744" i="4"/>
  <c r="P674" i="4"/>
  <c r="L674" i="4"/>
  <c r="I674" i="4"/>
  <c r="H674" i="4"/>
  <c r="E674" i="4"/>
  <c r="M674" i="4" s="1"/>
  <c r="P87" i="4"/>
  <c r="L87" i="4"/>
  <c r="I87" i="4"/>
  <c r="H87" i="4"/>
  <c r="E87" i="4"/>
  <c r="P771" i="4"/>
  <c r="L771" i="4"/>
  <c r="I771" i="4"/>
  <c r="H771" i="4"/>
  <c r="E771" i="4"/>
  <c r="P267" i="4"/>
  <c r="L267" i="4"/>
  <c r="I267" i="4"/>
  <c r="H267" i="4"/>
  <c r="E267" i="4"/>
  <c r="M267" i="4" s="1"/>
  <c r="P92" i="4"/>
  <c r="M92" i="4"/>
  <c r="L92" i="4"/>
  <c r="I92" i="4"/>
  <c r="H92" i="4"/>
  <c r="E92" i="4"/>
  <c r="P192" i="4"/>
  <c r="L192" i="4"/>
  <c r="I192" i="4"/>
  <c r="H192" i="4"/>
  <c r="E192" i="4"/>
  <c r="P530" i="4"/>
  <c r="L530" i="4"/>
  <c r="I530" i="4"/>
  <c r="H530" i="4"/>
  <c r="E530" i="4"/>
  <c r="M530" i="4" s="1"/>
  <c r="P736" i="4"/>
  <c r="L736" i="4"/>
  <c r="I736" i="4"/>
  <c r="H736" i="4"/>
  <c r="E736" i="4"/>
  <c r="M736" i="4" s="1"/>
  <c r="P662" i="4"/>
  <c r="L662" i="4"/>
  <c r="I662" i="4"/>
  <c r="H662" i="4"/>
  <c r="E662" i="4"/>
  <c r="M662" i="4" s="1"/>
  <c r="P134" i="4"/>
  <c r="L134" i="4"/>
  <c r="I134" i="4"/>
  <c r="H134" i="4"/>
  <c r="E134" i="4"/>
  <c r="P327" i="4"/>
  <c r="L327" i="4"/>
  <c r="I327" i="4"/>
  <c r="H327" i="4"/>
  <c r="E327" i="4"/>
  <c r="P361" i="4"/>
  <c r="L361" i="4"/>
  <c r="I361" i="4"/>
  <c r="H361" i="4"/>
  <c r="E361" i="4"/>
  <c r="P152" i="4"/>
  <c r="L152" i="4"/>
  <c r="I152" i="4"/>
  <c r="H152" i="4"/>
  <c r="E152" i="4"/>
  <c r="P553" i="4"/>
  <c r="L553" i="4"/>
  <c r="I553" i="4"/>
  <c r="H553" i="4"/>
  <c r="E553" i="4"/>
  <c r="P168" i="4"/>
  <c r="L168" i="4"/>
  <c r="I168" i="4"/>
  <c r="H168" i="4"/>
  <c r="E168" i="4"/>
  <c r="M168" i="4" s="1"/>
  <c r="P660" i="4"/>
  <c r="L660" i="4"/>
  <c r="I660" i="4"/>
  <c r="H660" i="4"/>
  <c r="E660" i="4"/>
  <c r="P752" i="4"/>
  <c r="L752" i="4"/>
  <c r="I752" i="4"/>
  <c r="H752" i="4"/>
  <c r="E752" i="4"/>
  <c r="M752" i="4" s="1"/>
  <c r="P220" i="4"/>
  <c r="L220" i="4"/>
  <c r="I220" i="4"/>
  <c r="H220" i="4"/>
  <c r="E220" i="4"/>
  <c r="P477" i="4"/>
  <c r="L477" i="4"/>
  <c r="I477" i="4"/>
  <c r="H477" i="4"/>
  <c r="E477" i="4"/>
  <c r="P522" i="4"/>
  <c r="L522" i="4"/>
  <c r="I522" i="4"/>
  <c r="H522" i="4"/>
  <c r="E522" i="4"/>
  <c r="P774" i="4"/>
  <c r="L774" i="4"/>
  <c r="I774" i="4"/>
  <c r="H774" i="4"/>
  <c r="E774" i="4"/>
  <c r="P485" i="4"/>
  <c r="L485" i="4"/>
  <c r="I485" i="4"/>
  <c r="H485" i="4"/>
  <c r="E485" i="4"/>
  <c r="P754" i="4"/>
  <c r="L754" i="4"/>
  <c r="I754" i="4"/>
  <c r="H754" i="4"/>
  <c r="E754" i="4"/>
  <c r="P521" i="4"/>
  <c r="L521" i="4"/>
  <c r="I521" i="4"/>
  <c r="H521" i="4"/>
  <c r="E521" i="4"/>
  <c r="M521" i="4" s="1"/>
  <c r="P205" i="4"/>
  <c r="L205" i="4"/>
  <c r="I205" i="4"/>
  <c r="H205" i="4"/>
  <c r="E205" i="4"/>
  <c r="M205" i="4" s="1"/>
  <c r="P751" i="4"/>
  <c r="L751" i="4"/>
  <c r="I751" i="4"/>
  <c r="H751" i="4"/>
  <c r="E751" i="4"/>
  <c r="P489" i="4"/>
  <c r="L489" i="4"/>
  <c r="I489" i="4"/>
  <c r="H489" i="4"/>
  <c r="E489" i="4"/>
  <c r="P472" i="4"/>
  <c r="L472" i="4"/>
  <c r="I472" i="4"/>
  <c r="H472" i="4"/>
  <c r="E472" i="4"/>
  <c r="M472" i="4" s="1"/>
  <c r="P591" i="4"/>
  <c r="L591" i="4"/>
  <c r="I591" i="4"/>
  <c r="M591" i="4" s="1"/>
  <c r="H591" i="4"/>
  <c r="E591" i="4"/>
  <c r="P451" i="4"/>
  <c r="L451" i="4"/>
  <c r="I451" i="4"/>
  <c r="H451" i="4"/>
  <c r="E451" i="4"/>
  <c r="P493" i="4"/>
  <c r="L493" i="4"/>
  <c r="I493" i="4"/>
  <c r="H493" i="4"/>
  <c r="E493" i="4"/>
  <c r="M493" i="4" s="1"/>
  <c r="P589" i="4"/>
  <c r="L589" i="4"/>
  <c r="I589" i="4"/>
  <c r="H589" i="4"/>
  <c r="E589" i="4"/>
  <c r="P617" i="4"/>
  <c r="L617" i="4"/>
  <c r="I617" i="4"/>
  <c r="H617" i="4"/>
  <c r="E617" i="4"/>
  <c r="P699" i="4"/>
  <c r="L699" i="4"/>
  <c r="I699" i="4"/>
  <c r="M699" i="4" s="1"/>
  <c r="H699" i="4"/>
  <c r="E699" i="4"/>
  <c r="P230" i="4"/>
  <c r="L230" i="4"/>
  <c r="I230" i="4"/>
  <c r="H230" i="4"/>
  <c r="E230" i="4"/>
  <c r="M230" i="4" s="1"/>
  <c r="P150" i="4"/>
  <c r="L150" i="4"/>
  <c r="I150" i="4"/>
  <c r="H150" i="4"/>
  <c r="E150" i="4"/>
  <c r="P706" i="4"/>
  <c r="L706" i="4"/>
  <c r="I706" i="4"/>
  <c r="H706" i="4"/>
  <c r="E706" i="4"/>
  <c r="M706" i="4" s="1"/>
  <c r="P703" i="4"/>
  <c r="L703" i="4"/>
  <c r="I703" i="4"/>
  <c r="H703" i="4"/>
  <c r="E703" i="4"/>
  <c r="P337" i="4"/>
  <c r="L337" i="4"/>
  <c r="I337" i="4"/>
  <c r="H337" i="4"/>
  <c r="E337" i="4"/>
  <c r="P299" i="4"/>
  <c r="L299" i="4"/>
  <c r="I299" i="4"/>
  <c r="H299" i="4"/>
  <c r="E299" i="4"/>
  <c r="P534" i="4"/>
  <c r="L534" i="4"/>
  <c r="I534" i="4"/>
  <c r="H534" i="4"/>
  <c r="E534" i="4"/>
  <c r="M534" i="4" s="1"/>
  <c r="P437" i="4"/>
  <c r="L437" i="4"/>
  <c r="I437" i="4"/>
  <c r="H437" i="4"/>
  <c r="E437" i="4"/>
  <c r="M437" i="4" s="1"/>
  <c r="P762" i="4"/>
  <c r="L762" i="4"/>
  <c r="I762" i="4"/>
  <c r="H762" i="4"/>
  <c r="E762" i="4"/>
  <c r="P677" i="4"/>
  <c r="L677" i="4"/>
  <c r="I677" i="4"/>
  <c r="H677" i="4"/>
  <c r="E677" i="4"/>
  <c r="M677" i="4" s="1"/>
  <c r="P625" i="4"/>
  <c r="L625" i="4"/>
  <c r="I625" i="4"/>
  <c r="H625" i="4"/>
  <c r="E625" i="4"/>
  <c r="M625" i="4" s="1"/>
  <c r="P551" i="4"/>
  <c r="L551" i="4"/>
  <c r="I551" i="4"/>
  <c r="H551" i="4"/>
  <c r="E551" i="4"/>
  <c r="P380" i="4"/>
  <c r="L380" i="4"/>
  <c r="I380" i="4"/>
  <c r="H380" i="4"/>
  <c r="E380" i="4"/>
  <c r="M380" i="4" s="1"/>
  <c r="P499" i="4"/>
  <c r="L499" i="4"/>
  <c r="I499" i="4"/>
  <c r="H499" i="4"/>
  <c r="E499" i="4"/>
  <c r="M499" i="4" s="1"/>
  <c r="P320" i="4"/>
  <c r="L320" i="4"/>
  <c r="I320" i="4"/>
  <c r="H320" i="4"/>
  <c r="E320" i="4"/>
  <c r="P252" i="4"/>
  <c r="L252" i="4"/>
  <c r="I252" i="4"/>
  <c r="H252" i="4"/>
  <c r="E252" i="4"/>
  <c r="P240" i="4"/>
  <c r="L240" i="4"/>
  <c r="I240" i="4"/>
  <c r="H240" i="4"/>
  <c r="E240" i="4"/>
  <c r="P735" i="4"/>
  <c r="L735" i="4"/>
  <c r="I735" i="4"/>
  <c r="H735" i="4"/>
  <c r="E735" i="4"/>
  <c r="P488" i="4"/>
  <c r="L488" i="4"/>
  <c r="I488" i="4"/>
  <c r="H488" i="4"/>
  <c r="E488" i="4"/>
  <c r="M488" i="4" s="1"/>
  <c r="P173" i="4"/>
  <c r="L173" i="4"/>
  <c r="I173" i="4"/>
  <c r="H173" i="4"/>
  <c r="E173" i="4"/>
  <c r="P399" i="4"/>
  <c r="L399" i="4"/>
  <c r="I399" i="4"/>
  <c r="H399" i="4"/>
  <c r="E399" i="4"/>
  <c r="M399" i="4" s="1"/>
  <c r="P686" i="4"/>
  <c r="L686" i="4"/>
  <c r="I686" i="4"/>
  <c r="H686" i="4"/>
  <c r="E686" i="4"/>
  <c r="P312" i="4"/>
  <c r="L312" i="4"/>
  <c r="I312" i="4"/>
  <c r="H312" i="4"/>
  <c r="E312" i="4"/>
  <c r="P616" i="4"/>
  <c r="L616" i="4"/>
  <c r="I616" i="4"/>
  <c r="H616" i="4"/>
  <c r="E616" i="4"/>
  <c r="P214" i="4"/>
  <c r="L214" i="4"/>
  <c r="I214" i="4"/>
  <c r="H214" i="4"/>
  <c r="E214" i="4"/>
  <c r="M214" i="4" s="1"/>
  <c r="P769" i="4"/>
  <c r="L769" i="4"/>
  <c r="I769" i="4"/>
  <c r="H769" i="4"/>
  <c r="E769" i="4"/>
  <c r="P496" i="4"/>
  <c r="L496" i="4"/>
  <c r="I496" i="4"/>
  <c r="H496" i="4"/>
  <c r="E496" i="4"/>
  <c r="M496" i="4" s="1"/>
  <c r="P670" i="4"/>
  <c r="L670" i="4"/>
  <c r="I670" i="4"/>
  <c r="H670" i="4"/>
  <c r="E670" i="4"/>
  <c r="M670" i="4" s="1"/>
  <c r="P357" i="4"/>
  <c r="L357" i="4"/>
  <c r="I357" i="4"/>
  <c r="H357" i="4"/>
  <c r="E357" i="4"/>
  <c r="P212" i="4"/>
  <c r="L212" i="4"/>
  <c r="I212" i="4"/>
  <c r="H212" i="4"/>
  <c r="E212" i="4"/>
  <c r="M212" i="4" s="1"/>
  <c r="P614" i="4"/>
  <c r="L614" i="4"/>
  <c r="I614" i="4"/>
  <c r="H614" i="4"/>
  <c r="E614" i="4"/>
  <c r="P462" i="4"/>
  <c r="L462" i="4"/>
  <c r="I462" i="4"/>
  <c r="H462" i="4"/>
  <c r="E462" i="4"/>
  <c r="M462" i="4" s="1"/>
  <c r="P344" i="4"/>
  <c r="L344" i="4"/>
  <c r="I344" i="4"/>
  <c r="H344" i="4"/>
  <c r="E344" i="4"/>
  <c r="M344" i="4" s="1"/>
  <c r="P398" i="4"/>
  <c r="L398" i="4"/>
  <c r="I398" i="4"/>
  <c r="H398" i="4"/>
  <c r="E398" i="4"/>
  <c r="P172" i="4"/>
  <c r="L172" i="4"/>
  <c r="I172" i="4"/>
  <c r="H172" i="4"/>
  <c r="E172" i="4"/>
  <c r="M172" i="4" s="1"/>
  <c r="P100" i="4"/>
  <c r="L100" i="4"/>
  <c r="I100" i="4"/>
  <c r="H100" i="4"/>
  <c r="E100" i="4"/>
  <c r="P634" i="4"/>
  <c r="L634" i="4"/>
  <c r="I634" i="4"/>
  <c r="H634" i="4"/>
  <c r="E634" i="4"/>
  <c r="P333" i="4"/>
  <c r="L333" i="4"/>
  <c r="I333" i="4"/>
  <c r="H333" i="4"/>
  <c r="E333" i="4"/>
  <c r="P767" i="4"/>
  <c r="L767" i="4"/>
  <c r="I767" i="4"/>
  <c r="H767" i="4"/>
  <c r="E767" i="4"/>
  <c r="P595" i="4"/>
  <c r="L595" i="4"/>
  <c r="I595" i="4"/>
  <c r="H595" i="4"/>
  <c r="E595" i="4"/>
  <c r="P121" i="4"/>
  <c r="L121" i="4"/>
  <c r="I121" i="4"/>
  <c r="H121" i="4"/>
  <c r="E121" i="4"/>
  <c r="P21" i="4"/>
  <c r="L21" i="4"/>
  <c r="I21" i="4"/>
  <c r="H21" i="4"/>
  <c r="E21" i="4"/>
  <c r="P481" i="4"/>
  <c r="L481" i="4"/>
  <c r="I481" i="4"/>
  <c r="H481" i="4"/>
  <c r="E481" i="4"/>
  <c r="M481" i="4" s="1"/>
  <c r="P28" i="4"/>
  <c r="L28" i="4"/>
  <c r="I28" i="4"/>
  <c r="M28" i="4" s="1"/>
  <c r="H28" i="4"/>
  <c r="E28" i="4"/>
  <c r="P246" i="4"/>
  <c r="L246" i="4"/>
  <c r="I246" i="4"/>
  <c r="H246" i="4"/>
  <c r="E246" i="4"/>
  <c r="M246" i="4" s="1"/>
  <c r="P599" i="4"/>
  <c r="L599" i="4"/>
  <c r="I599" i="4"/>
  <c r="H599" i="4"/>
  <c r="E599" i="4"/>
  <c r="M599" i="4" s="1"/>
  <c r="P415" i="4"/>
  <c r="L415" i="4"/>
  <c r="I415" i="4"/>
  <c r="H415" i="4"/>
  <c r="E415" i="4"/>
  <c r="P664" i="4"/>
  <c r="L664" i="4"/>
  <c r="I664" i="4"/>
  <c r="M664" i="4" s="1"/>
  <c r="H664" i="4"/>
  <c r="E664" i="4"/>
  <c r="P286" i="4"/>
  <c r="L286" i="4"/>
  <c r="I286" i="4"/>
  <c r="H286" i="4"/>
  <c r="E286" i="4"/>
  <c r="P102" i="4"/>
  <c r="L102" i="4"/>
  <c r="I102" i="4"/>
  <c r="H102" i="4"/>
  <c r="E102" i="4"/>
  <c r="M102" i="4" s="1"/>
  <c r="P84" i="4"/>
  <c r="L84" i="4"/>
  <c r="I84" i="4"/>
  <c r="H84" i="4"/>
  <c r="E84" i="4"/>
  <c r="M84" i="4" s="1"/>
  <c r="P562" i="4"/>
  <c r="L562" i="4"/>
  <c r="I562" i="4"/>
  <c r="H562" i="4"/>
  <c r="E562" i="4"/>
  <c r="M562" i="4" s="1"/>
  <c r="P567" i="4"/>
  <c r="L567" i="4"/>
  <c r="I567" i="4"/>
  <c r="H567" i="4"/>
  <c r="E567" i="4"/>
  <c r="P538" i="4"/>
  <c r="L538" i="4"/>
  <c r="I538" i="4"/>
  <c r="H538" i="4"/>
  <c r="E538" i="4"/>
  <c r="P275" i="4"/>
  <c r="L275" i="4"/>
  <c r="I275" i="4"/>
  <c r="H275" i="4"/>
  <c r="E275" i="4"/>
  <c r="P272" i="4"/>
  <c r="L272" i="4"/>
  <c r="I272" i="4"/>
  <c r="M272" i="4" s="1"/>
  <c r="H272" i="4"/>
  <c r="E272" i="4"/>
  <c r="P523" i="4"/>
  <c r="L523" i="4"/>
  <c r="I523" i="4"/>
  <c r="H523" i="4"/>
  <c r="E523" i="4"/>
  <c r="P419" i="4"/>
  <c r="L419" i="4"/>
  <c r="I419" i="4"/>
  <c r="H419" i="4"/>
  <c r="E419" i="4"/>
  <c r="P691" i="4"/>
  <c r="L691" i="4"/>
  <c r="I691" i="4"/>
  <c r="H691" i="4"/>
  <c r="E691" i="4"/>
  <c r="P390" i="4"/>
  <c r="L390" i="4"/>
  <c r="I390" i="4"/>
  <c r="H390" i="4"/>
  <c r="E390" i="4"/>
  <c r="P131" i="4"/>
  <c r="L131" i="4"/>
  <c r="I131" i="4"/>
  <c r="H131" i="4"/>
  <c r="E131" i="4"/>
  <c r="P480" i="4"/>
  <c r="L480" i="4"/>
  <c r="I480" i="4"/>
  <c r="H480" i="4"/>
  <c r="E480" i="4"/>
  <c r="M480" i="4" s="1"/>
  <c r="P612" i="4"/>
  <c r="L612" i="4"/>
  <c r="I612" i="4"/>
  <c r="H612" i="4"/>
  <c r="E612" i="4"/>
  <c r="P761" i="4"/>
  <c r="L761" i="4"/>
  <c r="I761" i="4"/>
  <c r="M761" i="4" s="1"/>
  <c r="H761" i="4"/>
  <c r="E761" i="4"/>
  <c r="P411" i="4"/>
  <c r="L411" i="4"/>
  <c r="I411" i="4"/>
  <c r="H411" i="4"/>
  <c r="E411" i="4"/>
  <c r="M411" i="4" s="1"/>
  <c r="P441" i="4"/>
  <c r="L441" i="4"/>
  <c r="I441" i="4"/>
  <c r="H441" i="4"/>
  <c r="E441" i="4"/>
  <c r="P79" i="4"/>
  <c r="L79" i="4"/>
  <c r="I79" i="4"/>
  <c r="H79" i="4"/>
  <c r="E79" i="4"/>
  <c r="M79" i="4" s="1"/>
  <c r="P117" i="4"/>
  <c r="L117" i="4"/>
  <c r="I117" i="4"/>
  <c r="H117" i="4"/>
  <c r="E117" i="4"/>
  <c r="P514" i="4"/>
  <c r="L514" i="4"/>
  <c r="I514" i="4"/>
  <c r="H514" i="4"/>
  <c r="E514" i="4"/>
  <c r="P373" i="4"/>
  <c r="L373" i="4"/>
  <c r="I373" i="4"/>
  <c r="H373" i="4"/>
  <c r="E373" i="4"/>
  <c r="P590" i="4"/>
  <c r="L590" i="4"/>
  <c r="I590" i="4"/>
  <c r="H590" i="4"/>
  <c r="E590" i="4"/>
  <c r="P700" i="4"/>
  <c r="L700" i="4"/>
  <c r="I700" i="4"/>
  <c r="H700" i="4"/>
  <c r="E700" i="4"/>
  <c r="P356" i="4"/>
  <c r="L356" i="4"/>
  <c r="I356" i="4"/>
  <c r="H356" i="4"/>
  <c r="E356" i="4"/>
  <c r="P409" i="4"/>
  <c r="L409" i="4"/>
  <c r="I409" i="4"/>
  <c r="H409" i="4"/>
  <c r="E409" i="4"/>
  <c r="P518" i="4"/>
  <c r="L518" i="4"/>
  <c r="I518" i="4"/>
  <c r="H518" i="4"/>
  <c r="E518" i="4"/>
  <c r="M518" i="4" s="1"/>
  <c r="P694" i="4"/>
  <c r="L694" i="4"/>
  <c r="I694" i="4"/>
  <c r="M694" i="4" s="1"/>
  <c r="H694" i="4"/>
  <c r="E694" i="4"/>
  <c r="P179" i="4"/>
  <c r="L179" i="4"/>
  <c r="I179" i="4"/>
  <c r="H179" i="4"/>
  <c r="E179" i="4"/>
  <c r="M179" i="4" s="1"/>
  <c r="P601" i="4"/>
  <c r="L601" i="4"/>
  <c r="I601" i="4"/>
  <c r="H601" i="4"/>
  <c r="E601" i="4"/>
  <c r="P251" i="4"/>
  <c r="L251" i="4"/>
  <c r="I251" i="4"/>
  <c r="H251" i="4"/>
  <c r="E251" i="4"/>
  <c r="P50" i="4"/>
  <c r="L50" i="4"/>
  <c r="I50" i="4"/>
  <c r="H50" i="4"/>
  <c r="E50" i="4"/>
  <c r="P271" i="4"/>
  <c r="L271" i="4"/>
  <c r="I271" i="4"/>
  <c r="H271" i="4"/>
  <c r="E271" i="4"/>
  <c r="M271" i="4" s="1"/>
  <c r="P395" i="4"/>
  <c r="L395" i="4"/>
  <c r="I395" i="4"/>
  <c r="H395" i="4"/>
  <c r="E395" i="4"/>
  <c r="M395" i="4" s="1"/>
  <c r="P638" i="4"/>
  <c r="L638" i="4"/>
  <c r="I638" i="4"/>
  <c r="H638" i="4"/>
  <c r="E638" i="4"/>
  <c r="M638" i="4" s="1"/>
  <c r="P669" i="4"/>
  <c r="L669" i="4"/>
  <c r="I669" i="4"/>
  <c r="H669" i="4"/>
  <c r="E669" i="4"/>
  <c r="P93" i="4"/>
  <c r="L93" i="4"/>
  <c r="I93" i="4"/>
  <c r="H93" i="4"/>
  <c r="E93" i="4"/>
  <c r="P387" i="4"/>
  <c r="L387" i="4"/>
  <c r="I387" i="4"/>
  <c r="H387" i="4"/>
  <c r="E387" i="4"/>
  <c r="M387" i="4" s="1"/>
  <c r="P659" i="4"/>
  <c r="L659" i="4"/>
  <c r="I659" i="4"/>
  <c r="H659" i="4"/>
  <c r="E659" i="4"/>
  <c r="P508" i="4"/>
  <c r="L508" i="4"/>
  <c r="I508" i="4"/>
  <c r="H508" i="4"/>
  <c r="E508" i="4"/>
  <c r="P566" i="4"/>
  <c r="L566" i="4"/>
  <c r="I566" i="4"/>
  <c r="H566" i="4"/>
  <c r="E566" i="4"/>
  <c r="M566" i="4" s="1"/>
  <c r="P298" i="4"/>
  <c r="L298" i="4"/>
  <c r="I298" i="4"/>
  <c r="H298" i="4"/>
  <c r="E298" i="4"/>
  <c r="P353" i="4"/>
  <c r="L353" i="4"/>
  <c r="I353" i="4"/>
  <c r="H353" i="4"/>
  <c r="E353" i="4"/>
  <c r="M353" i="4" s="1"/>
  <c r="P310" i="4"/>
  <c r="L310" i="4"/>
  <c r="I310" i="4"/>
  <c r="H310" i="4"/>
  <c r="E310" i="4"/>
  <c r="M310" i="4" s="1"/>
  <c r="P615" i="4"/>
  <c r="L615" i="4"/>
  <c r="I615" i="4"/>
  <c r="H615" i="4"/>
  <c r="E615" i="4"/>
  <c r="P712" i="4"/>
  <c r="L712" i="4"/>
  <c r="I712" i="4"/>
  <c r="H712" i="4"/>
  <c r="E712" i="4"/>
  <c r="M712" i="4" s="1"/>
  <c r="P89" i="4"/>
  <c r="L89" i="4"/>
  <c r="I89" i="4"/>
  <c r="H89" i="4"/>
  <c r="E89" i="4"/>
  <c r="P620" i="4"/>
  <c r="L620" i="4"/>
  <c r="I620" i="4"/>
  <c r="H620" i="4"/>
  <c r="E620" i="4"/>
  <c r="M620" i="4" s="1"/>
  <c r="P698" i="4"/>
  <c r="L698" i="4"/>
  <c r="I698" i="4"/>
  <c r="H698" i="4"/>
  <c r="E698" i="4"/>
  <c r="M698" i="4" s="1"/>
  <c r="P394" i="4"/>
  <c r="L394" i="4"/>
  <c r="I394" i="4"/>
  <c r="H394" i="4"/>
  <c r="E394" i="4"/>
  <c r="P701" i="4"/>
  <c r="L701" i="4"/>
  <c r="I701" i="4"/>
  <c r="H701" i="4"/>
  <c r="E701" i="4"/>
  <c r="M701" i="4" s="1"/>
  <c r="P639" i="4"/>
  <c r="L639" i="4"/>
  <c r="I639" i="4"/>
  <c r="H639" i="4"/>
  <c r="E639" i="4"/>
  <c r="P459" i="4"/>
  <c r="L459" i="4"/>
  <c r="I459" i="4"/>
  <c r="H459" i="4"/>
  <c r="E459" i="4"/>
  <c r="P667" i="4"/>
  <c r="L667" i="4"/>
  <c r="I667" i="4"/>
  <c r="H667" i="4"/>
  <c r="E667" i="4"/>
  <c r="P389" i="4"/>
  <c r="L389" i="4"/>
  <c r="I389" i="4"/>
  <c r="H389" i="4"/>
  <c r="E389" i="4"/>
  <c r="M389" i="4" s="1"/>
  <c r="P507" i="4"/>
  <c r="L507" i="4"/>
  <c r="I507" i="4"/>
  <c r="H507" i="4"/>
  <c r="E507" i="4"/>
  <c r="P141" i="4"/>
  <c r="L141" i="4"/>
  <c r="I141" i="4"/>
  <c r="H141" i="4"/>
  <c r="E141" i="4"/>
  <c r="P126" i="4"/>
  <c r="L126" i="4"/>
  <c r="I126" i="4"/>
  <c r="H126" i="4"/>
  <c r="E126" i="4"/>
  <c r="P346" i="4"/>
  <c r="L346" i="4"/>
  <c r="I346" i="4"/>
  <c r="H346" i="4"/>
  <c r="E346" i="4"/>
  <c r="P668" i="4"/>
  <c r="L668" i="4"/>
  <c r="I668" i="4"/>
  <c r="H668" i="4"/>
  <c r="E668" i="4"/>
  <c r="P711" i="4"/>
  <c r="L711" i="4"/>
  <c r="I711" i="4"/>
  <c r="H711" i="4"/>
  <c r="E711" i="4"/>
  <c r="P482" i="4"/>
  <c r="L482" i="4"/>
  <c r="I482" i="4"/>
  <c r="H482" i="4"/>
  <c r="E482" i="4"/>
  <c r="P68" i="4"/>
  <c r="L68" i="4"/>
  <c r="I68" i="4"/>
  <c r="H68" i="4"/>
  <c r="E68" i="4"/>
  <c r="P355" i="4"/>
  <c r="L355" i="4"/>
  <c r="I355" i="4"/>
  <c r="H355" i="4"/>
  <c r="E355" i="4"/>
  <c r="P650" i="4"/>
  <c r="L650" i="4"/>
  <c r="I650" i="4"/>
  <c r="H650" i="4"/>
  <c r="E650" i="4"/>
  <c r="P569" i="4"/>
  <c r="L569" i="4"/>
  <c r="I569" i="4"/>
  <c r="H569" i="4"/>
  <c r="E569" i="4"/>
  <c r="P777" i="4"/>
  <c r="L777" i="4"/>
  <c r="I777" i="4"/>
  <c r="H777" i="4"/>
  <c r="E777" i="4"/>
  <c r="M777" i="4" s="1"/>
  <c r="P137" i="4"/>
  <c r="L137" i="4"/>
  <c r="I137" i="4"/>
  <c r="H137" i="4"/>
  <c r="E137" i="4"/>
  <c r="P709" i="4"/>
  <c r="L709" i="4"/>
  <c r="I709" i="4"/>
  <c r="M709" i="4" s="1"/>
  <c r="H709" i="4"/>
  <c r="E709" i="4"/>
  <c r="P434" i="4"/>
  <c r="L434" i="4"/>
  <c r="I434" i="4"/>
  <c r="H434" i="4"/>
  <c r="E434" i="4"/>
  <c r="P469" i="4"/>
  <c r="L469" i="4"/>
  <c r="I469" i="4"/>
  <c r="H469" i="4"/>
  <c r="E469" i="4"/>
  <c r="P543" i="4"/>
  <c r="L543" i="4"/>
  <c r="I543" i="4"/>
  <c r="H543" i="4"/>
  <c r="E543" i="4"/>
  <c r="P593" i="4"/>
  <c r="L593" i="4"/>
  <c r="I593" i="4"/>
  <c r="H593" i="4"/>
  <c r="E593" i="4"/>
  <c r="P371" i="4"/>
  <c r="L371" i="4"/>
  <c r="I371" i="4"/>
  <c r="H371" i="4"/>
  <c r="E371" i="4"/>
  <c r="P556" i="4"/>
  <c r="L556" i="4"/>
  <c r="I556" i="4"/>
  <c r="H556" i="4"/>
  <c r="E556" i="4"/>
  <c r="P575" i="4"/>
  <c r="L575" i="4"/>
  <c r="I575" i="4"/>
  <c r="H575" i="4"/>
  <c r="E575" i="4"/>
  <c r="P506" i="4"/>
  <c r="L506" i="4"/>
  <c r="I506" i="4"/>
  <c r="H506" i="4"/>
  <c r="E506" i="4"/>
  <c r="P738" i="4"/>
  <c r="L738" i="4"/>
  <c r="I738" i="4"/>
  <c r="H738" i="4"/>
  <c r="E738" i="4"/>
  <c r="P151" i="4"/>
  <c r="L151" i="4"/>
  <c r="I151" i="4"/>
  <c r="H151" i="4"/>
  <c r="E151" i="4"/>
  <c r="M151" i="4" s="1"/>
  <c r="P529" i="4"/>
  <c r="L529" i="4"/>
  <c r="I529" i="4"/>
  <c r="H529" i="4"/>
  <c r="E529" i="4"/>
  <c r="P559" i="4"/>
  <c r="L559" i="4"/>
  <c r="I559" i="4"/>
  <c r="H559" i="4"/>
  <c r="E559" i="4"/>
  <c r="M559" i="4" s="1"/>
  <c r="P528" i="4"/>
  <c r="L528" i="4"/>
  <c r="I528" i="4"/>
  <c r="H528" i="4"/>
  <c r="E528" i="4"/>
  <c r="P49" i="4"/>
  <c r="L49" i="4"/>
  <c r="I49" i="4"/>
  <c r="H49" i="4"/>
  <c r="E49" i="4"/>
  <c r="M49" i="4" s="1"/>
  <c r="P511" i="4"/>
  <c r="L511" i="4"/>
  <c r="I511" i="4"/>
  <c r="H511" i="4"/>
  <c r="E511" i="4"/>
  <c r="P512" i="4"/>
  <c r="L512" i="4"/>
  <c r="I512" i="4"/>
  <c r="H512" i="4"/>
  <c r="E512" i="4"/>
  <c r="P175" i="4"/>
  <c r="L175" i="4"/>
  <c r="I175" i="4"/>
  <c r="H175" i="4"/>
  <c r="E175" i="4"/>
  <c r="P465" i="4"/>
  <c r="L465" i="4"/>
  <c r="I465" i="4"/>
  <c r="H465" i="4"/>
  <c r="E465" i="4"/>
  <c r="M465" i="4" s="1"/>
  <c r="P487" i="4"/>
  <c r="M487" i="4"/>
  <c r="L487" i="4"/>
  <c r="I487" i="4"/>
  <c r="H487" i="4"/>
  <c r="E487" i="4"/>
  <c r="P723" i="4"/>
  <c r="L723" i="4"/>
  <c r="I723" i="4"/>
  <c r="H723" i="4"/>
  <c r="E723" i="4"/>
  <c r="P233" i="4"/>
  <c r="L233" i="4"/>
  <c r="I233" i="4"/>
  <c r="H233" i="4"/>
  <c r="E233" i="4"/>
  <c r="M233" i="4" s="1"/>
  <c r="P558" i="4"/>
  <c r="M558" i="4"/>
  <c r="L558" i="4"/>
  <c r="I558" i="4"/>
  <c r="H558" i="4"/>
  <c r="E558" i="4"/>
  <c r="P750" i="4"/>
  <c r="L750" i="4"/>
  <c r="I750" i="4"/>
  <c r="H750" i="4"/>
  <c r="E750" i="4"/>
  <c r="P397" i="4"/>
  <c r="L397" i="4"/>
  <c r="I397" i="4"/>
  <c r="H397" i="4"/>
  <c r="E397" i="4"/>
  <c r="M397" i="4" s="1"/>
  <c r="P57" i="4"/>
  <c r="L57" i="4"/>
  <c r="I57" i="4"/>
  <c r="H57" i="4"/>
  <c r="E57" i="4"/>
  <c r="P696" i="4"/>
  <c r="L696" i="4"/>
  <c r="I696" i="4"/>
  <c r="H696" i="4"/>
  <c r="E696" i="4"/>
  <c r="M696" i="4" s="1"/>
  <c r="P527" i="4"/>
  <c r="L527" i="4"/>
  <c r="I527" i="4"/>
  <c r="H527" i="4"/>
  <c r="E527" i="4"/>
  <c r="P211" i="4"/>
  <c r="L211" i="4"/>
  <c r="I211" i="4"/>
  <c r="H211" i="4"/>
  <c r="E211" i="4"/>
  <c r="P280" i="4"/>
  <c r="L280" i="4"/>
  <c r="I280" i="4"/>
  <c r="H280" i="4"/>
  <c r="E280" i="4"/>
  <c r="M280" i="4" s="1"/>
  <c r="P673" i="4"/>
  <c r="L673" i="4"/>
  <c r="I673" i="4"/>
  <c r="H673" i="4"/>
  <c r="E673" i="4"/>
  <c r="P631" i="4"/>
  <c r="L631" i="4"/>
  <c r="I631" i="4"/>
  <c r="M631" i="4" s="1"/>
  <c r="H631" i="4"/>
  <c r="E631" i="4"/>
  <c r="P118" i="4"/>
  <c r="L118" i="4"/>
  <c r="I118" i="4"/>
  <c r="H118" i="4"/>
  <c r="E118" i="4"/>
  <c r="M118" i="4" s="1"/>
  <c r="P689" i="4"/>
  <c r="L689" i="4"/>
  <c r="I689" i="4"/>
  <c r="H689" i="4"/>
  <c r="E689" i="4"/>
  <c r="P306" i="4"/>
  <c r="L306" i="4"/>
  <c r="I306" i="4"/>
  <c r="H306" i="4"/>
  <c r="E306" i="4"/>
  <c r="P764" i="4"/>
  <c r="L764" i="4"/>
  <c r="I764" i="4"/>
  <c r="H764" i="4"/>
  <c r="E764" i="4"/>
  <c r="P513" i="4"/>
  <c r="L513" i="4"/>
  <c r="I513" i="4"/>
  <c r="H513" i="4"/>
  <c r="E513" i="4"/>
  <c r="M513" i="4" s="1"/>
  <c r="P471" i="4"/>
  <c r="L471" i="4"/>
  <c r="I471" i="4"/>
  <c r="H471" i="4"/>
  <c r="E471" i="4"/>
  <c r="P759" i="4"/>
  <c r="L759" i="4"/>
  <c r="I759" i="4"/>
  <c r="H759" i="4"/>
  <c r="E759" i="4"/>
  <c r="M759" i="4" s="1"/>
  <c r="P619" i="4"/>
  <c r="L619" i="4"/>
  <c r="I619" i="4"/>
  <c r="H619" i="4"/>
  <c r="E619" i="4"/>
  <c r="P548" i="4"/>
  <c r="L548" i="4"/>
  <c r="I548" i="4"/>
  <c r="H548" i="4"/>
  <c r="E548" i="4"/>
  <c r="P331" i="4"/>
  <c r="L331" i="4"/>
  <c r="I331" i="4"/>
  <c r="H331" i="4"/>
  <c r="E331" i="4"/>
  <c r="M331" i="4" s="1"/>
  <c r="P598" i="4"/>
  <c r="L598" i="4"/>
  <c r="I598" i="4"/>
  <c r="H598" i="4"/>
  <c r="E598" i="4"/>
  <c r="M598" i="4" s="1"/>
  <c r="P733" i="4"/>
  <c r="L733" i="4"/>
  <c r="I733" i="4"/>
  <c r="H733" i="4"/>
  <c r="E733" i="4"/>
  <c r="P140" i="4"/>
  <c r="L140" i="4"/>
  <c r="I140" i="4"/>
  <c r="H140" i="4"/>
  <c r="E140" i="4"/>
  <c r="P486" i="4"/>
  <c r="L486" i="4"/>
  <c r="I486" i="4"/>
  <c r="H486" i="4"/>
  <c r="E486" i="4"/>
  <c r="M486" i="4" s="1"/>
  <c r="P125" i="4"/>
  <c r="L125" i="4"/>
  <c r="I125" i="4"/>
  <c r="M125" i="4" s="1"/>
  <c r="H125" i="4"/>
  <c r="E125" i="4"/>
  <c r="P253" i="4"/>
  <c r="L253" i="4"/>
  <c r="I253" i="4"/>
  <c r="H253" i="4"/>
  <c r="E253" i="4"/>
  <c r="P278" i="4"/>
  <c r="L278" i="4"/>
  <c r="I278" i="4"/>
  <c r="H278" i="4"/>
  <c r="E278" i="4"/>
  <c r="M278" i="4" s="1"/>
  <c r="P685" i="4"/>
  <c r="L685" i="4"/>
  <c r="I685" i="4"/>
  <c r="H685" i="4"/>
  <c r="E685" i="4"/>
  <c r="P524" i="4"/>
  <c r="L524" i="4"/>
  <c r="I524" i="4"/>
  <c r="H524" i="4"/>
  <c r="E524" i="4"/>
  <c r="M524" i="4" s="1"/>
  <c r="P780" i="4"/>
  <c r="L780" i="4"/>
  <c r="I780" i="4"/>
  <c r="H780" i="4"/>
  <c r="E780" i="4"/>
  <c r="P262" i="4"/>
  <c r="L262" i="4"/>
  <c r="I262" i="4"/>
  <c r="H262" i="4"/>
  <c r="E262" i="4"/>
  <c r="P666" i="4"/>
  <c r="L666" i="4"/>
  <c r="I666" i="4"/>
  <c r="H666" i="4"/>
  <c r="E666" i="4"/>
  <c r="P108" i="4"/>
  <c r="L108" i="4"/>
  <c r="I108" i="4"/>
  <c r="H108" i="4"/>
  <c r="E108" i="4"/>
  <c r="M108" i="4" s="1"/>
  <c r="P350" i="4"/>
  <c r="L350" i="4"/>
  <c r="I350" i="4"/>
  <c r="M350" i="4" s="1"/>
  <c r="H350" i="4"/>
  <c r="E350" i="4"/>
  <c r="P384" i="4"/>
  <c r="L384" i="4"/>
  <c r="I384" i="4"/>
  <c r="H384" i="4"/>
  <c r="E384" i="4"/>
  <c r="P740" i="4"/>
  <c r="L740" i="4"/>
  <c r="I740" i="4"/>
  <c r="H740" i="4"/>
  <c r="E740" i="4"/>
  <c r="P210" i="4"/>
  <c r="L210" i="4"/>
  <c r="I210" i="4"/>
  <c r="H210" i="4"/>
  <c r="E210" i="4"/>
  <c r="M210" i="4" s="1"/>
  <c r="P574" i="4"/>
  <c r="L574" i="4"/>
  <c r="I574" i="4"/>
  <c r="H574" i="4"/>
  <c r="E574" i="4"/>
  <c r="P588" i="4"/>
  <c r="L588" i="4"/>
  <c r="I588" i="4"/>
  <c r="H588" i="4"/>
  <c r="E588" i="4"/>
  <c r="P30" i="4"/>
  <c r="L30" i="4"/>
  <c r="I30" i="4"/>
  <c r="H30" i="4"/>
  <c r="E30" i="4"/>
  <c r="M30" i="4" s="1"/>
  <c r="P229" i="4"/>
  <c r="L229" i="4"/>
  <c r="I229" i="4"/>
  <c r="H229" i="4"/>
  <c r="E229" i="4"/>
  <c r="M229" i="4" s="1"/>
  <c r="P112" i="4"/>
  <c r="L112" i="4"/>
  <c r="I112" i="4"/>
  <c r="H112" i="4"/>
  <c r="E112" i="4"/>
  <c r="P129" i="4"/>
  <c r="L129" i="4"/>
  <c r="I129" i="4"/>
  <c r="H129" i="4"/>
  <c r="E129" i="4"/>
  <c r="M129" i="4" s="1"/>
  <c r="P360" i="4"/>
  <c r="L360" i="4"/>
  <c r="I360" i="4"/>
  <c r="H360" i="4"/>
  <c r="E360" i="4"/>
  <c r="P622" i="4"/>
  <c r="L622" i="4"/>
  <c r="I622" i="4"/>
  <c r="H622" i="4"/>
  <c r="E622" i="4"/>
  <c r="P136" i="4"/>
  <c r="L136" i="4"/>
  <c r="I136" i="4"/>
  <c r="H136" i="4"/>
  <c r="E136" i="4"/>
  <c r="P43" i="4"/>
  <c r="L43" i="4"/>
  <c r="I43" i="4"/>
  <c r="H43" i="4"/>
  <c r="E43" i="4"/>
  <c r="P402" i="4"/>
  <c r="L402" i="4"/>
  <c r="I402" i="4"/>
  <c r="H402" i="4"/>
  <c r="E402" i="4"/>
  <c r="P46" i="4"/>
  <c r="L46" i="4"/>
  <c r="I46" i="4"/>
  <c r="H46" i="4"/>
  <c r="E46" i="4"/>
  <c r="M46" i="4" s="1"/>
  <c r="P458" i="4"/>
  <c r="L458" i="4"/>
  <c r="I458" i="4"/>
  <c r="H458" i="4"/>
  <c r="E458" i="4"/>
  <c r="P414" i="4"/>
  <c r="L414" i="4"/>
  <c r="I414" i="4"/>
  <c r="H414" i="4"/>
  <c r="E414" i="4"/>
  <c r="P555" i="4"/>
  <c r="L555" i="4"/>
  <c r="I555" i="4"/>
  <c r="H555" i="4"/>
  <c r="E555" i="4"/>
  <c r="M555" i="4" s="1"/>
  <c r="P166" i="4"/>
  <c r="L166" i="4"/>
  <c r="I166" i="4"/>
  <c r="H166" i="4"/>
  <c r="E166" i="4"/>
  <c r="M166" i="4" s="1"/>
  <c r="P171" i="4"/>
  <c r="L171" i="4"/>
  <c r="I171" i="4"/>
  <c r="H171" i="4"/>
  <c r="E171" i="4"/>
  <c r="P316" i="4"/>
  <c r="L316" i="4"/>
  <c r="I316" i="4"/>
  <c r="H316" i="4"/>
  <c r="E316" i="4"/>
  <c r="M316" i="4" s="1"/>
  <c r="P388" i="4"/>
  <c r="L388" i="4"/>
  <c r="I388" i="4"/>
  <c r="H388" i="4"/>
  <c r="E388" i="4"/>
  <c r="P474" i="4"/>
  <c r="L474" i="4"/>
  <c r="I474" i="4"/>
  <c r="H474" i="4"/>
  <c r="E474" i="4"/>
  <c r="M474" i="4" s="1"/>
  <c r="P546" i="4"/>
  <c r="L546" i="4"/>
  <c r="I546" i="4"/>
  <c r="H546" i="4"/>
  <c r="E546" i="4"/>
  <c r="P421" i="4"/>
  <c r="L421" i="4"/>
  <c r="I421" i="4"/>
  <c r="H421" i="4"/>
  <c r="E421" i="4"/>
  <c r="M421" i="4" s="1"/>
  <c r="P502" i="4"/>
  <c r="L502" i="4"/>
  <c r="I502" i="4"/>
  <c r="H502" i="4"/>
  <c r="E502" i="4"/>
  <c r="P270" i="4"/>
  <c r="L270" i="4"/>
  <c r="I270" i="4"/>
  <c r="H270" i="4"/>
  <c r="E270" i="4"/>
  <c r="M270" i="4" s="1"/>
  <c r="P55" i="4"/>
  <c r="L55" i="4"/>
  <c r="I55" i="4"/>
  <c r="H55" i="4"/>
  <c r="E55" i="4"/>
  <c r="M55" i="4" s="1"/>
  <c r="P308" i="4"/>
  <c r="L308" i="4"/>
  <c r="I308" i="4"/>
  <c r="H308" i="4"/>
  <c r="E308" i="4"/>
  <c r="P602" i="4"/>
  <c r="L602" i="4"/>
  <c r="I602" i="4"/>
  <c r="H602" i="4"/>
  <c r="E602" i="4"/>
  <c r="M602" i="4" s="1"/>
  <c r="P132" i="4"/>
  <c r="L132" i="4"/>
  <c r="I132" i="4"/>
  <c r="H132" i="4"/>
  <c r="E132" i="4"/>
  <c r="M132" i="4" s="1"/>
  <c r="P401" i="4"/>
  <c r="L401" i="4"/>
  <c r="I401" i="4"/>
  <c r="H401" i="4"/>
  <c r="E401" i="4"/>
  <c r="P468" i="4"/>
  <c r="L468" i="4"/>
  <c r="I468" i="4"/>
  <c r="H468" i="4"/>
  <c r="E468" i="4"/>
  <c r="P717" i="4"/>
  <c r="L717" i="4"/>
  <c r="I717" i="4"/>
  <c r="H717" i="4"/>
  <c r="E717" i="4"/>
  <c r="M717" i="4" s="1"/>
  <c r="P283" i="4"/>
  <c r="L283" i="4"/>
  <c r="I283" i="4"/>
  <c r="H283" i="4"/>
  <c r="E283" i="4"/>
  <c r="M283" i="4" s="1"/>
  <c r="P342" i="4"/>
  <c r="L342" i="4"/>
  <c r="I342" i="4"/>
  <c r="H342" i="4"/>
  <c r="E342" i="4"/>
  <c r="P445" i="4"/>
  <c r="L445" i="4"/>
  <c r="I445" i="4"/>
  <c r="H445" i="4"/>
  <c r="E445" i="4"/>
  <c r="P430" i="4"/>
  <c r="L430" i="4"/>
  <c r="I430" i="4"/>
  <c r="H430" i="4"/>
  <c r="E430" i="4"/>
  <c r="P282" i="4"/>
  <c r="L282" i="4"/>
  <c r="I282" i="4"/>
  <c r="H282" i="4"/>
  <c r="E282" i="4"/>
  <c r="P542" i="4"/>
  <c r="L542" i="4"/>
  <c r="I542" i="4"/>
  <c r="H542" i="4"/>
  <c r="E542" i="4"/>
  <c r="P680" i="4"/>
  <c r="L680" i="4"/>
  <c r="I680" i="4"/>
  <c r="H680" i="4"/>
  <c r="E680" i="4"/>
  <c r="P456" i="4"/>
  <c r="L456" i="4"/>
  <c r="I456" i="4"/>
  <c r="H456" i="4"/>
  <c r="E456" i="4"/>
  <c r="M456" i="4" s="1"/>
  <c r="P630" i="4"/>
  <c r="L630" i="4"/>
  <c r="I630" i="4"/>
  <c r="H630" i="4"/>
  <c r="E630" i="4"/>
  <c r="P679" i="4"/>
  <c r="L679" i="4"/>
  <c r="I679" i="4"/>
  <c r="H679" i="4"/>
  <c r="E679" i="4"/>
  <c r="P618" i="4"/>
  <c r="L618" i="4"/>
  <c r="I618" i="4"/>
  <c r="H618" i="4"/>
  <c r="E618" i="4"/>
  <c r="M618" i="4" s="1"/>
  <c r="P729" i="4"/>
  <c r="L729" i="4"/>
  <c r="I729" i="4"/>
  <c r="H729" i="4"/>
  <c r="E729" i="4"/>
  <c r="P307" i="4"/>
  <c r="L307" i="4"/>
  <c r="I307" i="4"/>
  <c r="H307" i="4"/>
  <c r="E307" i="4"/>
  <c r="P70" i="4"/>
  <c r="L70" i="4"/>
  <c r="I70" i="4"/>
  <c r="H70" i="4"/>
  <c r="E70" i="4"/>
  <c r="M70" i="4" s="1"/>
  <c r="P292" i="4"/>
  <c r="L292" i="4"/>
  <c r="I292" i="4"/>
  <c r="H292" i="4"/>
  <c r="E292" i="4"/>
  <c r="P550" i="4"/>
  <c r="L550" i="4"/>
  <c r="I550" i="4"/>
  <c r="H550" i="4"/>
  <c r="E550" i="4"/>
  <c r="M550" i="4" s="1"/>
  <c r="P505" i="4"/>
  <c r="L505" i="4"/>
  <c r="I505" i="4"/>
  <c r="H505" i="4"/>
  <c r="E505" i="4"/>
  <c r="M505" i="4" s="1"/>
  <c r="P269" i="4"/>
  <c r="L269" i="4"/>
  <c r="I269" i="4"/>
  <c r="M269" i="4" s="1"/>
  <c r="H269" i="4"/>
  <c r="E269" i="4"/>
  <c r="P236" i="4"/>
  <c r="L236" i="4"/>
  <c r="I236" i="4"/>
  <c r="H236" i="4"/>
  <c r="E236" i="4"/>
  <c r="P581" i="4"/>
  <c r="L581" i="4"/>
  <c r="I581" i="4"/>
  <c r="H581" i="4"/>
  <c r="E581" i="4"/>
  <c r="P436" i="4"/>
  <c r="L436" i="4"/>
  <c r="I436" i="4"/>
  <c r="M436" i="4" s="1"/>
  <c r="H436" i="4"/>
  <c r="E436" i="4"/>
  <c r="P191" i="4"/>
  <c r="L191" i="4"/>
  <c r="I191" i="4"/>
  <c r="H191" i="4"/>
  <c r="E191" i="4"/>
  <c r="M191" i="4" s="1"/>
  <c r="P195" i="4"/>
  <c r="L195" i="4"/>
  <c r="I195" i="4"/>
  <c r="H195" i="4"/>
  <c r="E195" i="4"/>
  <c r="P165" i="4"/>
  <c r="L165" i="4"/>
  <c r="I165" i="4"/>
  <c r="H165" i="4"/>
  <c r="E165" i="4"/>
  <c r="P535" i="4"/>
  <c r="L535" i="4"/>
  <c r="I535" i="4"/>
  <c r="H535" i="4"/>
  <c r="E535" i="4"/>
  <c r="P133" i="4"/>
  <c r="L133" i="4"/>
  <c r="I133" i="4"/>
  <c r="H133" i="4"/>
  <c r="E133" i="4"/>
  <c r="P708" i="4"/>
  <c r="L708" i="4"/>
  <c r="I708" i="4"/>
  <c r="H708" i="4"/>
  <c r="E708" i="4"/>
  <c r="P549" i="4"/>
  <c r="L549" i="4"/>
  <c r="I549" i="4"/>
  <c r="H549" i="4"/>
  <c r="E549" i="4"/>
  <c r="P219" i="4"/>
  <c r="L219" i="4"/>
  <c r="I219" i="4"/>
  <c r="H219" i="4"/>
  <c r="E219" i="4"/>
  <c r="P227" i="4"/>
  <c r="L227" i="4"/>
  <c r="I227" i="4"/>
  <c r="H227" i="4"/>
  <c r="E227" i="4"/>
  <c r="P779" i="4"/>
  <c r="L779" i="4"/>
  <c r="I779" i="4"/>
  <c r="H779" i="4"/>
  <c r="E779" i="4"/>
  <c r="M779" i="4" s="1"/>
  <c r="P187" i="4"/>
  <c r="L187" i="4"/>
  <c r="I187" i="4"/>
  <c r="H187" i="4"/>
  <c r="E187" i="4"/>
  <c r="M187" i="4" s="1"/>
  <c r="P413" i="4"/>
  <c r="L413" i="4"/>
  <c r="I413" i="4"/>
  <c r="H413" i="4"/>
  <c r="E413" i="4"/>
  <c r="P319" i="4"/>
  <c r="L319" i="4"/>
  <c r="I319" i="4"/>
  <c r="M319" i="4" s="1"/>
  <c r="H319" i="4"/>
  <c r="E319" i="4"/>
  <c r="P495" i="4"/>
  <c r="L495" i="4"/>
  <c r="I495" i="4"/>
  <c r="H495" i="4"/>
  <c r="E495" i="4"/>
  <c r="P305" i="4"/>
  <c r="L305" i="4"/>
  <c r="I305" i="4"/>
  <c r="H305" i="4"/>
  <c r="E305" i="4"/>
  <c r="P349" i="4"/>
  <c r="L349" i="4"/>
  <c r="I349" i="4"/>
  <c r="H349" i="4"/>
  <c r="E349" i="4"/>
  <c r="P224" i="4"/>
  <c r="L224" i="4"/>
  <c r="I224" i="4"/>
  <c r="H224" i="4"/>
  <c r="E224" i="4"/>
  <c r="P525" i="4"/>
  <c r="L525" i="4"/>
  <c r="I525" i="4"/>
  <c r="H525" i="4"/>
  <c r="E525" i="4"/>
  <c r="P295" i="4"/>
  <c r="L295" i="4"/>
  <c r="I295" i="4"/>
  <c r="H295" i="4"/>
  <c r="E295" i="4"/>
  <c r="P261" i="4"/>
  <c r="L261" i="4"/>
  <c r="I261" i="4"/>
  <c r="H261" i="4"/>
  <c r="E261" i="4"/>
  <c r="P597" i="4"/>
  <c r="L597" i="4"/>
  <c r="I597" i="4"/>
  <c r="H597" i="4"/>
  <c r="E597" i="4"/>
  <c r="P646" i="4"/>
  <c r="L646" i="4"/>
  <c r="I646" i="4"/>
  <c r="H646" i="4"/>
  <c r="E646" i="4"/>
  <c r="M646" i="4" s="1"/>
  <c r="P336" i="4"/>
  <c r="L336" i="4"/>
  <c r="I336" i="4"/>
  <c r="H336" i="4"/>
  <c r="E336" i="4"/>
  <c r="M336" i="4" s="1"/>
  <c r="P375" i="4"/>
  <c r="L375" i="4"/>
  <c r="I375" i="4"/>
  <c r="H375" i="4"/>
  <c r="E375" i="4"/>
  <c r="P178" i="4"/>
  <c r="L178" i="4"/>
  <c r="I178" i="4"/>
  <c r="H178" i="4"/>
  <c r="E178" i="4"/>
  <c r="P665" i="4"/>
  <c r="L665" i="4"/>
  <c r="I665" i="4"/>
  <c r="H665" i="4"/>
  <c r="E665" i="4"/>
  <c r="M665" i="4" s="1"/>
  <c r="P554" i="4"/>
  <c r="L554" i="4"/>
  <c r="I554" i="4"/>
  <c r="H554" i="4"/>
  <c r="E554" i="4"/>
  <c r="M554" i="4" s="1"/>
  <c r="P464" i="4"/>
  <c r="L464" i="4"/>
  <c r="I464" i="4"/>
  <c r="H464" i="4"/>
  <c r="E464" i="4"/>
  <c r="P260" i="4"/>
  <c r="L260" i="4"/>
  <c r="I260" i="4"/>
  <c r="H260" i="4"/>
  <c r="E260" i="4"/>
  <c r="P573" i="4"/>
  <c r="L573" i="4"/>
  <c r="I573" i="4"/>
  <c r="H573" i="4"/>
  <c r="E573" i="4"/>
  <c r="M573" i="4" s="1"/>
  <c r="P359" i="4"/>
  <c r="L359" i="4"/>
  <c r="I359" i="4"/>
  <c r="H359" i="4"/>
  <c r="E359" i="4"/>
  <c r="P258" i="4"/>
  <c r="L258" i="4"/>
  <c r="I258" i="4"/>
  <c r="H258" i="4"/>
  <c r="E258" i="4"/>
  <c r="P467" i="4"/>
  <c r="L467" i="4"/>
  <c r="I467" i="4"/>
  <c r="H467" i="4"/>
  <c r="E467" i="4"/>
  <c r="P183" i="4"/>
  <c r="L183" i="4"/>
  <c r="I183" i="4"/>
  <c r="H183" i="4"/>
  <c r="E183" i="4"/>
  <c r="P301" i="4"/>
  <c r="L301" i="4"/>
  <c r="I301" i="4"/>
  <c r="H301" i="4"/>
  <c r="E301" i="4"/>
  <c r="M301" i="4" s="1"/>
  <c r="P284" i="4"/>
  <c r="L284" i="4"/>
  <c r="I284" i="4"/>
  <c r="H284" i="4"/>
  <c r="E284" i="4"/>
  <c r="M284" i="4" s="1"/>
  <c r="P285" i="4"/>
  <c r="L285" i="4"/>
  <c r="I285" i="4"/>
  <c r="H285" i="4"/>
  <c r="E285" i="4"/>
  <c r="P578" i="4"/>
  <c r="L578" i="4"/>
  <c r="I578" i="4"/>
  <c r="H578" i="4"/>
  <c r="E578" i="4"/>
  <c r="P695" i="4"/>
  <c r="L695" i="4"/>
  <c r="I695" i="4"/>
  <c r="H695" i="4"/>
  <c r="E695" i="4"/>
  <c r="P358" i="4"/>
  <c r="L358" i="4"/>
  <c r="I358" i="4"/>
  <c r="M358" i="4" s="1"/>
  <c r="H358" i="4"/>
  <c r="E358" i="4"/>
  <c r="P256" i="4"/>
  <c r="L256" i="4"/>
  <c r="I256" i="4"/>
  <c r="H256" i="4"/>
  <c r="E256" i="4"/>
  <c r="P484" i="4"/>
  <c r="L484" i="4"/>
  <c r="I484" i="4"/>
  <c r="H484" i="4"/>
  <c r="E484" i="4"/>
  <c r="M484" i="4" s="1"/>
  <c r="P450" i="4"/>
  <c r="L450" i="4"/>
  <c r="I450" i="4"/>
  <c r="H450" i="4"/>
  <c r="E450" i="4"/>
  <c r="P757" i="4"/>
  <c r="L757" i="4"/>
  <c r="I757" i="4"/>
  <c r="H757" i="4"/>
  <c r="E757" i="4"/>
  <c r="M757" i="4" s="1"/>
  <c r="P705" i="4"/>
  <c r="L705" i="4"/>
  <c r="I705" i="4"/>
  <c r="H705" i="4"/>
  <c r="E705" i="4"/>
  <c r="P223" i="4"/>
  <c r="L223" i="4"/>
  <c r="I223" i="4"/>
  <c r="H223" i="4"/>
  <c r="E223" i="4"/>
  <c r="P370" i="4"/>
  <c r="L370" i="4"/>
  <c r="I370" i="4"/>
  <c r="H370" i="4"/>
  <c r="E370" i="4"/>
  <c r="P218" i="4"/>
  <c r="L218" i="4"/>
  <c r="I218" i="4"/>
  <c r="H218" i="4"/>
  <c r="E218" i="4"/>
  <c r="P107" i="4"/>
  <c r="L107" i="4"/>
  <c r="I107" i="4"/>
  <c r="H107" i="4"/>
  <c r="E107" i="4"/>
  <c r="P383" i="4"/>
  <c r="L383" i="4"/>
  <c r="I383" i="4"/>
  <c r="H383" i="4"/>
  <c r="E383" i="4"/>
  <c r="P676" i="4"/>
  <c r="L676" i="4"/>
  <c r="I676" i="4"/>
  <c r="H676" i="4"/>
  <c r="E676" i="4"/>
  <c r="P268" i="4"/>
  <c r="L268" i="4"/>
  <c r="I268" i="4"/>
  <c r="H268" i="4"/>
  <c r="E268" i="4"/>
  <c r="M268" i="4" s="1"/>
  <c r="P728" i="4"/>
  <c r="L728" i="4"/>
  <c r="I728" i="4"/>
  <c r="H728" i="4"/>
  <c r="E728" i="4"/>
  <c r="P239" i="4"/>
  <c r="L239" i="4"/>
  <c r="I239" i="4"/>
  <c r="H239" i="4"/>
  <c r="E239" i="4"/>
  <c r="P565" i="4"/>
  <c r="L565" i="4"/>
  <c r="I565" i="4"/>
  <c r="H565" i="4"/>
  <c r="E565" i="4"/>
  <c r="M565" i="4" s="1"/>
  <c r="P365" i="4"/>
  <c r="L365" i="4"/>
  <c r="I365" i="4"/>
  <c r="H365" i="4"/>
  <c r="E365" i="4"/>
  <c r="M365" i="4" s="1"/>
  <c r="P332" i="4"/>
  <c r="L332" i="4"/>
  <c r="I332" i="4"/>
  <c r="H332" i="4"/>
  <c r="E332" i="4"/>
  <c r="M332" i="4" s="1"/>
  <c r="P429" i="4"/>
  <c r="L429" i="4"/>
  <c r="I429" i="4"/>
  <c r="H429" i="4"/>
  <c r="E429" i="4"/>
  <c r="P628" i="4"/>
  <c r="L628" i="4"/>
  <c r="I628" i="4"/>
  <c r="H628" i="4"/>
  <c r="E628" i="4"/>
  <c r="P116" i="4"/>
  <c r="L116" i="4"/>
  <c r="I116" i="4"/>
  <c r="H116" i="4"/>
  <c r="E116" i="4"/>
  <c r="P259" i="4"/>
  <c r="L259" i="4"/>
  <c r="I259" i="4"/>
  <c r="H259" i="4"/>
  <c r="E259" i="4"/>
  <c r="M259" i="4" s="1"/>
  <c r="P154" i="4"/>
  <c r="L154" i="4"/>
  <c r="I154" i="4"/>
  <c r="H154" i="4"/>
  <c r="E154" i="4"/>
  <c r="P114" i="4"/>
  <c r="L114" i="4"/>
  <c r="I114" i="4"/>
  <c r="H114" i="4"/>
  <c r="E114" i="4"/>
  <c r="P461" i="4"/>
  <c r="L461" i="4"/>
  <c r="I461" i="4"/>
  <c r="H461" i="4"/>
  <c r="E461" i="4"/>
  <c r="P454" i="4"/>
  <c r="L454" i="4"/>
  <c r="I454" i="4"/>
  <c r="H454" i="4"/>
  <c r="E454" i="4"/>
  <c r="P719" i="4"/>
  <c r="L719" i="4"/>
  <c r="I719" i="4"/>
  <c r="H719" i="4"/>
  <c r="E719" i="4"/>
  <c r="P455" i="4"/>
  <c r="L455" i="4"/>
  <c r="I455" i="4"/>
  <c r="H455" i="4"/>
  <c r="E455" i="4"/>
  <c r="P52" i="4"/>
  <c r="L52" i="4"/>
  <c r="I52" i="4"/>
  <c r="H52" i="4"/>
  <c r="E52" i="4"/>
  <c r="M52" i="4" s="1"/>
  <c r="P318" i="4"/>
  <c r="L318" i="4"/>
  <c r="I318" i="4"/>
  <c r="M318" i="4" s="1"/>
  <c r="H318" i="4"/>
  <c r="E318" i="4"/>
  <c r="P96" i="4"/>
  <c r="L96" i="4"/>
  <c r="I96" i="4"/>
  <c r="H96" i="4"/>
  <c r="E96" i="4"/>
  <c r="P72" i="4"/>
  <c r="L72" i="4"/>
  <c r="I72" i="4"/>
  <c r="H72" i="4"/>
  <c r="E72" i="4"/>
  <c r="P426" i="4"/>
  <c r="L426" i="4"/>
  <c r="I426" i="4"/>
  <c r="M426" i="4" s="1"/>
  <c r="H426" i="4"/>
  <c r="E426" i="4"/>
  <c r="P773" i="4"/>
  <c r="L773" i="4"/>
  <c r="I773" i="4"/>
  <c r="H773" i="4"/>
  <c r="E773" i="4"/>
  <c r="P520" i="4"/>
  <c r="L520" i="4"/>
  <c r="I520" i="4"/>
  <c r="H520" i="4"/>
  <c r="E520" i="4"/>
  <c r="P85" i="4"/>
  <c r="L85" i="4"/>
  <c r="I85" i="4"/>
  <c r="H85" i="4"/>
  <c r="E85" i="4"/>
  <c r="M85" i="4" s="1"/>
  <c r="P561" i="4"/>
  <c r="L561" i="4"/>
  <c r="I561" i="4"/>
  <c r="H561" i="4"/>
  <c r="E561" i="4"/>
  <c r="M561" i="4" s="1"/>
  <c r="P545" i="4"/>
  <c r="L545" i="4"/>
  <c r="I545" i="4"/>
  <c r="M545" i="4" s="1"/>
  <c r="H545" i="4"/>
  <c r="E545" i="4"/>
  <c r="P186" i="4"/>
  <c r="L186" i="4"/>
  <c r="I186" i="4"/>
  <c r="H186" i="4"/>
  <c r="E186" i="4"/>
  <c r="P649" i="4"/>
  <c r="L649" i="4"/>
  <c r="I649" i="4"/>
  <c r="H649" i="4"/>
  <c r="E649" i="4"/>
  <c r="M649" i="4" s="1"/>
  <c r="P245" i="4"/>
  <c r="M245" i="4"/>
  <c r="L245" i="4"/>
  <c r="I245" i="4"/>
  <c r="H245" i="4"/>
  <c r="E245" i="4"/>
  <c r="P501" i="4"/>
  <c r="L501" i="4"/>
  <c r="I501" i="4"/>
  <c r="H501" i="4"/>
  <c r="E501" i="4"/>
  <c r="P149" i="4"/>
  <c r="L149" i="4"/>
  <c r="I149" i="4"/>
  <c r="H149" i="4"/>
  <c r="E149" i="4"/>
  <c r="M149" i="4" s="1"/>
  <c r="P169" i="4"/>
  <c r="L169" i="4"/>
  <c r="I169" i="4"/>
  <c r="H169" i="4"/>
  <c r="E169" i="4"/>
  <c r="P731" i="4"/>
  <c r="L731" i="4"/>
  <c r="I731" i="4"/>
  <c r="H731" i="4"/>
  <c r="E731" i="4"/>
  <c r="M731" i="4" s="1"/>
  <c r="P367" i="4"/>
  <c r="L367" i="4"/>
  <c r="I367" i="4"/>
  <c r="H367" i="4"/>
  <c r="E367" i="4"/>
  <c r="P405" i="4"/>
  <c r="L405" i="4"/>
  <c r="I405" i="4"/>
  <c r="H405" i="4"/>
  <c r="E405" i="4"/>
  <c r="P170" i="4"/>
  <c r="L170" i="4"/>
  <c r="I170" i="4"/>
  <c r="H170" i="4"/>
  <c r="E170" i="4"/>
  <c r="M170" i="4" s="1"/>
  <c r="P605" i="4"/>
  <c r="L605" i="4"/>
  <c r="I605" i="4"/>
  <c r="H605" i="4"/>
  <c r="E605" i="4"/>
  <c r="P457" i="4"/>
  <c r="L457" i="4"/>
  <c r="I457" i="4"/>
  <c r="M457" i="4" s="1"/>
  <c r="H457" i="4"/>
  <c r="E457" i="4"/>
  <c r="P135" i="4"/>
  <c r="L135" i="4"/>
  <c r="I135" i="4"/>
  <c r="H135" i="4"/>
  <c r="E135" i="4"/>
  <c r="M135" i="4" s="1"/>
  <c r="P217" i="4"/>
  <c r="L217" i="4"/>
  <c r="I217" i="4"/>
  <c r="H217" i="4"/>
  <c r="E217" i="4"/>
  <c r="P354" i="4"/>
  <c r="L354" i="4"/>
  <c r="I354" i="4"/>
  <c r="M354" i="4" s="1"/>
  <c r="H354" i="4"/>
  <c r="E354" i="4"/>
  <c r="P206" i="4"/>
  <c r="L206" i="4"/>
  <c r="I206" i="4"/>
  <c r="H206" i="4"/>
  <c r="E206" i="4"/>
  <c r="P288" i="4"/>
  <c r="L288" i="4"/>
  <c r="I288" i="4"/>
  <c r="H288" i="4"/>
  <c r="E288" i="4"/>
  <c r="P51" i="4"/>
  <c r="L51" i="4"/>
  <c r="I51" i="4"/>
  <c r="H51" i="4"/>
  <c r="E51" i="4"/>
  <c r="P335" i="4"/>
  <c r="L335" i="4"/>
  <c r="I335" i="4"/>
  <c r="H335" i="4"/>
  <c r="E335" i="4"/>
  <c r="P470" i="4"/>
  <c r="L470" i="4"/>
  <c r="I470" i="4"/>
  <c r="H470" i="4"/>
  <c r="E470" i="4"/>
  <c r="P73" i="4"/>
  <c r="L73" i="4"/>
  <c r="I73" i="4"/>
  <c r="H73" i="4"/>
  <c r="E73" i="4"/>
  <c r="M73" i="4" s="1"/>
  <c r="P444" i="4"/>
  <c r="L444" i="4"/>
  <c r="I444" i="4"/>
  <c r="H444" i="4"/>
  <c r="E444" i="4"/>
  <c r="P348" i="4"/>
  <c r="L348" i="4"/>
  <c r="I348" i="4"/>
  <c r="H348" i="4"/>
  <c r="E348" i="4"/>
  <c r="M348" i="4" s="1"/>
  <c r="P296" i="4"/>
  <c r="L296" i="4"/>
  <c r="I296" i="4"/>
  <c r="H296" i="4"/>
  <c r="E296" i="4"/>
  <c r="M296" i="4" s="1"/>
  <c r="P56" i="4"/>
  <c r="L56" i="4"/>
  <c r="I56" i="4"/>
  <c r="H56" i="4"/>
  <c r="E56" i="4"/>
  <c r="P633" i="4"/>
  <c r="L633" i="4"/>
  <c r="I633" i="4"/>
  <c r="H633" i="4"/>
  <c r="E633" i="4"/>
  <c r="M633" i="4" s="1"/>
  <c r="P202" i="4"/>
  <c r="L202" i="4"/>
  <c r="I202" i="4"/>
  <c r="H202" i="4"/>
  <c r="E202" i="4"/>
  <c r="M202" i="4" s="1"/>
  <c r="P404" i="4"/>
  <c r="L404" i="4"/>
  <c r="I404" i="4"/>
  <c r="H404" i="4"/>
  <c r="E404" i="4"/>
  <c r="P653" i="4"/>
  <c r="L653" i="4"/>
  <c r="I653" i="4"/>
  <c r="H653" i="4"/>
  <c r="E653" i="4"/>
  <c r="M653" i="4" s="1"/>
  <c r="P26" i="4"/>
  <c r="L26" i="4"/>
  <c r="I26" i="4"/>
  <c r="H26" i="4"/>
  <c r="E26" i="4"/>
  <c r="P541" i="4"/>
  <c r="L541" i="4"/>
  <c r="I541" i="4"/>
  <c r="H541" i="4"/>
  <c r="E541" i="4"/>
  <c r="M541" i="4" s="1"/>
  <c r="P291" i="4"/>
  <c r="L291" i="4"/>
  <c r="I291" i="4"/>
  <c r="H291" i="4"/>
  <c r="E291" i="4"/>
  <c r="P642" i="4"/>
  <c r="L642" i="4"/>
  <c r="I642" i="4"/>
  <c r="H642" i="4"/>
  <c r="E642" i="4"/>
  <c r="P460" i="4"/>
  <c r="L460" i="4"/>
  <c r="I460" i="4"/>
  <c r="H460" i="4"/>
  <c r="E460" i="4"/>
  <c r="P37" i="4"/>
  <c r="L37" i="4"/>
  <c r="I37" i="4"/>
  <c r="H37" i="4"/>
  <c r="E37" i="4"/>
  <c r="M37" i="4" s="1"/>
  <c r="P352" i="4"/>
  <c r="L352" i="4"/>
  <c r="I352" i="4"/>
  <c r="H352" i="4"/>
  <c r="E352" i="4"/>
  <c r="P294" i="4"/>
  <c r="L294" i="4"/>
  <c r="I294" i="4"/>
  <c r="H294" i="4"/>
  <c r="E294" i="4"/>
  <c r="P428" i="4"/>
  <c r="L428" i="4"/>
  <c r="I428" i="4"/>
  <c r="H428" i="4"/>
  <c r="E428" i="4"/>
  <c r="P94" i="4"/>
  <c r="L94" i="4"/>
  <c r="I94" i="4"/>
  <c r="H94" i="4"/>
  <c r="E94" i="4"/>
  <c r="P103" i="4"/>
  <c r="L103" i="4"/>
  <c r="I103" i="4"/>
  <c r="M103" i="4" s="1"/>
  <c r="H103" i="4"/>
  <c r="E103" i="4"/>
  <c r="P326" i="4"/>
  <c r="L326" i="4"/>
  <c r="I326" i="4"/>
  <c r="H326" i="4"/>
  <c r="E326" i="4"/>
  <c r="P148" i="4"/>
  <c r="L148" i="4"/>
  <c r="I148" i="4"/>
  <c r="H148" i="4"/>
  <c r="E148" i="4"/>
  <c r="P273" i="4"/>
  <c r="L273" i="4"/>
  <c r="I273" i="4"/>
  <c r="M273" i="4" s="1"/>
  <c r="H273" i="4"/>
  <c r="E273" i="4"/>
  <c r="P564" i="4"/>
  <c r="L564" i="4"/>
  <c r="I564" i="4"/>
  <c r="H564" i="4"/>
  <c r="E564" i="4"/>
  <c r="M564" i="4" s="1"/>
  <c r="P427" i="4"/>
  <c r="L427" i="4"/>
  <c r="I427" i="4"/>
  <c r="H427" i="4"/>
  <c r="E427" i="4"/>
  <c r="P479" i="4"/>
  <c r="L479" i="4"/>
  <c r="I479" i="4"/>
  <c r="H479" i="4"/>
  <c r="E479" i="4"/>
  <c r="P120" i="4"/>
  <c r="L120" i="4"/>
  <c r="I120" i="4"/>
  <c r="H120" i="4"/>
  <c r="E120" i="4"/>
  <c r="P715" i="4"/>
  <c r="L715" i="4"/>
  <c r="I715" i="4"/>
  <c r="H715" i="4"/>
  <c r="E715" i="4"/>
  <c r="P95" i="4"/>
  <c r="L95" i="4"/>
  <c r="I95" i="4"/>
  <c r="H95" i="4"/>
  <c r="E95" i="4"/>
  <c r="M95" i="4" s="1"/>
  <c r="P478" i="4"/>
  <c r="L478" i="4"/>
  <c r="I478" i="4"/>
  <c r="H478" i="4"/>
  <c r="E478" i="4"/>
  <c r="M478" i="4" s="1"/>
  <c r="P596" i="4"/>
  <c r="L596" i="4"/>
  <c r="I596" i="4"/>
  <c r="H596" i="4"/>
  <c r="E596" i="4"/>
  <c r="P204" i="4"/>
  <c r="L204" i="4"/>
  <c r="I204" i="4"/>
  <c r="H204" i="4"/>
  <c r="E204" i="4"/>
  <c r="P62" i="4"/>
  <c r="L62" i="4"/>
  <c r="I62" i="4"/>
  <c r="H62" i="4"/>
  <c r="E62" i="4"/>
  <c r="M62" i="4" s="1"/>
  <c r="P111" i="4"/>
  <c r="L111" i="4"/>
  <c r="I111" i="4"/>
  <c r="H111" i="4"/>
  <c r="E111" i="4"/>
  <c r="M111" i="4" s="1"/>
  <c r="P216" i="4"/>
  <c r="L216" i="4"/>
  <c r="I216" i="4"/>
  <c r="H216" i="4"/>
  <c r="E216" i="4"/>
  <c r="M216" i="4" s="1"/>
  <c r="P303" i="4"/>
  <c r="L303" i="4"/>
  <c r="I303" i="4"/>
  <c r="H303" i="4"/>
  <c r="E303" i="4"/>
  <c r="P393" i="4"/>
  <c r="L393" i="4"/>
  <c r="I393" i="4"/>
  <c r="H393" i="4"/>
  <c r="E393" i="4"/>
  <c r="M393" i="4" s="1"/>
  <c r="P661" i="4"/>
  <c r="L661" i="4"/>
  <c r="I661" i="4"/>
  <c r="H661" i="4"/>
  <c r="E661" i="4"/>
  <c r="P369" i="4"/>
  <c r="L369" i="4"/>
  <c r="I369" i="4"/>
  <c r="H369" i="4"/>
  <c r="E369" i="4"/>
  <c r="P315" i="4"/>
  <c r="L315" i="4"/>
  <c r="I315" i="4"/>
  <c r="H315" i="4"/>
  <c r="E315" i="4"/>
  <c r="P537" i="4"/>
  <c r="L537" i="4"/>
  <c r="I537" i="4"/>
  <c r="H537" i="4"/>
  <c r="E537" i="4"/>
  <c r="M537" i="4" s="1"/>
  <c r="P396" i="4"/>
  <c r="L396" i="4"/>
  <c r="I396" i="4"/>
  <c r="H396" i="4"/>
  <c r="E396" i="4"/>
  <c r="P36" i="4"/>
  <c r="L36" i="4"/>
  <c r="I36" i="4"/>
  <c r="H36" i="4"/>
  <c r="E36" i="4"/>
  <c r="M36" i="4" s="1"/>
  <c r="P627" i="4"/>
  <c r="L627" i="4"/>
  <c r="I627" i="4"/>
  <c r="M627" i="4" s="1"/>
  <c r="H627" i="4"/>
  <c r="E627" i="4"/>
  <c r="P29" i="4"/>
  <c r="L29" i="4"/>
  <c r="I29" i="4"/>
  <c r="H29" i="4"/>
  <c r="E29" i="4"/>
  <c r="P177" i="4"/>
  <c r="L177" i="4"/>
  <c r="I177" i="4"/>
  <c r="H177" i="4"/>
  <c r="E177" i="4"/>
  <c r="M177" i="4" s="1"/>
  <c r="P77" i="4"/>
  <c r="L77" i="4"/>
  <c r="I77" i="4"/>
  <c r="H77" i="4"/>
  <c r="E77" i="4"/>
  <c r="M77" i="4" s="1"/>
  <c r="P449" i="4"/>
  <c r="L449" i="4"/>
  <c r="I449" i="4"/>
  <c r="H449" i="4"/>
  <c r="E449" i="4"/>
  <c r="P433" i="4"/>
  <c r="L433" i="4"/>
  <c r="I433" i="4"/>
  <c r="H433" i="4"/>
  <c r="E433" i="4"/>
  <c r="P22" i="4"/>
  <c r="L22" i="4"/>
  <c r="I22" i="4"/>
  <c r="H22" i="4"/>
  <c r="E22" i="4"/>
  <c r="P71" i="4"/>
  <c r="L71" i="4"/>
  <c r="I71" i="4"/>
  <c r="H71" i="4"/>
  <c r="E71" i="4"/>
  <c r="M71" i="4" s="1"/>
  <c r="P12" i="4"/>
  <c r="L12" i="4"/>
  <c r="I12" i="4"/>
  <c r="H12" i="4"/>
  <c r="E12" i="4"/>
  <c r="P658" i="4"/>
  <c r="L658" i="4"/>
  <c r="I658" i="4"/>
  <c r="H658" i="4"/>
  <c r="E658" i="4"/>
  <c r="P226" i="4"/>
  <c r="L226" i="4"/>
  <c r="I226" i="4"/>
  <c r="H226" i="4"/>
  <c r="E226" i="4"/>
  <c r="P325" i="4"/>
  <c r="L325" i="4"/>
  <c r="I325" i="4"/>
  <c r="H325" i="4"/>
  <c r="E325" i="4"/>
  <c r="M325" i="4" s="1"/>
  <c r="P197" i="4"/>
  <c r="L197" i="4"/>
  <c r="I197" i="4"/>
  <c r="M197" i="4" s="1"/>
  <c r="H197" i="4"/>
  <c r="E197" i="4"/>
  <c r="P678" i="4"/>
  <c r="L678" i="4"/>
  <c r="I678" i="4"/>
  <c r="H678" i="4"/>
  <c r="E678" i="4"/>
  <c r="P281" i="4"/>
  <c r="L281" i="4"/>
  <c r="I281" i="4"/>
  <c r="H281" i="4"/>
  <c r="E281" i="4"/>
  <c r="P378" i="4"/>
  <c r="L378" i="4"/>
  <c r="I378" i="4"/>
  <c r="H378" i="4"/>
  <c r="E378" i="4"/>
  <c r="M378" i="4" s="1"/>
  <c r="P432" i="4"/>
  <c r="L432" i="4"/>
  <c r="I432" i="4"/>
  <c r="H432" i="4"/>
  <c r="E432" i="4"/>
  <c r="P412" i="4"/>
  <c r="L412" i="4"/>
  <c r="I412" i="4"/>
  <c r="H412" i="4"/>
  <c r="E412" i="4"/>
  <c r="P439" i="4"/>
  <c r="L439" i="4"/>
  <c r="I439" i="4"/>
  <c r="H439" i="4"/>
  <c r="E439" i="4"/>
  <c r="M439" i="4" s="1"/>
  <c r="P443" i="4"/>
  <c r="L443" i="4"/>
  <c r="I443" i="4"/>
  <c r="H443" i="4"/>
  <c r="E443" i="4"/>
  <c r="M443" i="4" s="1"/>
  <c r="P238" i="4"/>
  <c r="L238" i="4"/>
  <c r="I238" i="4"/>
  <c r="M238" i="4" s="1"/>
  <c r="H238" i="4"/>
  <c r="E238" i="4"/>
  <c r="P265" i="4"/>
  <c r="L265" i="4"/>
  <c r="I265" i="4"/>
  <c r="H265" i="4"/>
  <c r="E265" i="4"/>
  <c r="M265" i="4" s="1"/>
  <c r="P684" i="4"/>
  <c r="L684" i="4"/>
  <c r="I684" i="4"/>
  <c r="H684" i="4"/>
  <c r="E684" i="4"/>
  <c r="P324" i="4"/>
  <c r="L324" i="4"/>
  <c r="I324" i="4"/>
  <c r="H324" i="4"/>
  <c r="E324" i="4"/>
  <c r="P568" i="4"/>
  <c r="L568" i="4"/>
  <c r="I568" i="4"/>
  <c r="H568" i="4"/>
  <c r="E568" i="4"/>
  <c r="M568" i="4" s="1"/>
  <c r="P45" i="4"/>
  <c r="L45" i="4"/>
  <c r="I45" i="4"/>
  <c r="H45" i="4"/>
  <c r="E45" i="4"/>
  <c r="P243" i="4"/>
  <c r="L243" i="4"/>
  <c r="I243" i="4"/>
  <c r="H243" i="4"/>
  <c r="E243" i="4"/>
  <c r="M243" i="4" s="1"/>
  <c r="P60" i="4"/>
  <c r="L60" i="4"/>
  <c r="I60" i="4"/>
  <c r="H60" i="4"/>
  <c r="E60" i="4"/>
  <c r="P504" i="4"/>
  <c r="L504" i="4"/>
  <c r="I504" i="4"/>
  <c r="H504" i="4"/>
  <c r="E504" i="4"/>
  <c r="P66" i="4"/>
  <c r="L66" i="4"/>
  <c r="I66" i="4"/>
  <c r="H66" i="4"/>
  <c r="E66" i="4"/>
  <c r="M66" i="4" s="1"/>
  <c r="P244" i="4"/>
  <c r="L244" i="4"/>
  <c r="I244" i="4"/>
  <c r="H244" i="4"/>
  <c r="E244" i="4"/>
  <c r="M244" i="4" s="1"/>
  <c r="P81" i="4"/>
  <c r="L81" i="4"/>
  <c r="I81" i="4"/>
  <c r="H81" i="4"/>
  <c r="E81" i="4"/>
  <c r="M81" i="4" s="1"/>
  <c r="P655" i="4"/>
  <c r="L655" i="4"/>
  <c r="I655" i="4"/>
  <c r="H655" i="4"/>
  <c r="E655" i="4"/>
  <c r="P74" i="4"/>
  <c r="L74" i="4"/>
  <c r="I74" i="4"/>
  <c r="H74" i="4"/>
  <c r="E74" i="4"/>
  <c r="M74" i="4" s="1"/>
  <c r="P157" i="4"/>
  <c r="L157" i="4"/>
  <c r="I157" i="4"/>
  <c r="H157" i="4"/>
  <c r="E157" i="4"/>
  <c r="P557" i="4"/>
  <c r="L557" i="4"/>
  <c r="I557" i="4"/>
  <c r="H557" i="4"/>
  <c r="E557" i="4"/>
  <c r="M557" i="4" s="1"/>
  <c r="P382" i="4"/>
  <c r="L382" i="4"/>
  <c r="I382" i="4"/>
  <c r="H382" i="4"/>
  <c r="E382" i="4"/>
  <c r="P40" i="4"/>
  <c r="L40" i="4"/>
  <c r="I40" i="4"/>
  <c r="H40" i="4"/>
  <c r="E40" i="4"/>
  <c r="P158" i="4"/>
  <c r="L158" i="4"/>
  <c r="I158" i="4"/>
  <c r="H158" i="4"/>
  <c r="E158" i="4"/>
  <c r="M158" i="4" s="1"/>
  <c r="P190" i="4"/>
  <c r="L190" i="4"/>
  <c r="I190" i="4"/>
  <c r="H190" i="4"/>
  <c r="E190" i="4"/>
  <c r="P90" i="4"/>
  <c r="L90" i="4"/>
  <c r="I90" i="4"/>
  <c r="H90" i="4"/>
  <c r="E90" i="4"/>
  <c r="P41" i="4"/>
  <c r="L41" i="4"/>
  <c r="I41" i="4"/>
  <c r="H41" i="4"/>
  <c r="E41" i="4"/>
  <c r="P340" i="4"/>
  <c r="L340" i="4"/>
  <c r="I340" i="4"/>
  <c r="H340" i="4"/>
  <c r="E340" i="4"/>
  <c r="P517" i="4"/>
  <c r="L517" i="4"/>
  <c r="I517" i="4"/>
  <c r="H517" i="4"/>
  <c r="E517" i="4"/>
  <c r="P609" i="4"/>
  <c r="L609" i="4"/>
  <c r="I609" i="4"/>
  <c r="H609" i="4"/>
  <c r="E609" i="4"/>
  <c r="P67" i="4"/>
  <c r="L67" i="4"/>
  <c r="I67" i="4"/>
  <c r="H67" i="4"/>
  <c r="E67" i="4"/>
  <c r="M67" i="4" s="1"/>
  <c r="P563" i="4"/>
  <c r="L563" i="4"/>
  <c r="I563" i="4"/>
  <c r="H563" i="4"/>
  <c r="E563" i="4"/>
  <c r="P38" i="4"/>
  <c r="L38" i="4"/>
  <c r="I38" i="4"/>
  <c r="H38" i="4"/>
  <c r="E38" i="4"/>
  <c r="M38" i="4" s="1"/>
  <c r="P194" i="4"/>
  <c r="L194" i="4"/>
  <c r="I194" i="4"/>
  <c r="H194" i="4"/>
  <c r="E194" i="4"/>
  <c r="M194" i="4" s="1"/>
  <c r="P222" i="4"/>
  <c r="L222" i="4"/>
  <c r="I222" i="4"/>
  <c r="H222" i="4"/>
  <c r="E222" i="4"/>
  <c r="P146" i="4"/>
  <c r="L146" i="4"/>
  <c r="I146" i="4"/>
  <c r="H146" i="4"/>
  <c r="E146" i="4"/>
  <c r="P209" i="4"/>
  <c r="L209" i="4"/>
  <c r="I209" i="4"/>
  <c r="H209" i="4"/>
  <c r="E209" i="4"/>
  <c r="M209" i="4" s="1"/>
  <c r="P199" i="4"/>
  <c r="L199" i="4"/>
  <c r="I199" i="4"/>
  <c r="H199" i="4"/>
  <c r="E199" i="4"/>
  <c r="P510" i="4"/>
  <c r="L510" i="4"/>
  <c r="I510" i="4"/>
  <c r="H510" i="4"/>
  <c r="E510" i="4"/>
  <c r="M510" i="4" s="1"/>
  <c r="P366" i="4"/>
  <c r="L366" i="4"/>
  <c r="I366" i="4"/>
  <c r="H366" i="4"/>
  <c r="E366" i="4"/>
  <c r="M366" i="4" s="1"/>
  <c r="P632" i="4"/>
  <c r="M632" i="4"/>
  <c r="L632" i="4"/>
  <c r="I632" i="4"/>
  <c r="H632" i="4"/>
  <c r="E632" i="4"/>
  <c r="P721" i="4"/>
  <c r="L721" i="4"/>
  <c r="I721" i="4"/>
  <c r="H721" i="4"/>
  <c r="E721" i="4"/>
  <c r="P139" i="4"/>
  <c r="L139" i="4"/>
  <c r="I139" i="4"/>
  <c r="H139" i="4"/>
  <c r="E139" i="4"/>
  <c r="M139" i="4" s="1"/>
  <c r="P113" i="4"/>
  <c r="L113" i="4"/>
  <c r="I113" i="4"/>
  <c r="H113" i="4"/>
  <c r="E113" i="4"/>
  <c r="P583" i="4"/>
  <c r="L583" i="4"/>
  <c r="I583" i="4"/>
  <c r="H583" i="4"/>
  <c r="E583" i="4"/>
  <c r="M583" i="4" s="1"/>
  <c r="P208" i="4"/>
  <c r="L208" i="4"/>
  <c r="I208" i="4"/>
  <c r="H208" i="4"/>
  <c r="E208" i="4"/>
  <c r="P323" i="4"/>
  <c r="L323" i="4"/>
  <c r="I323" i="4"/>
  <c r="H323" i="4"/>
  <c r="E323" i="4"/>
  <c r="P145" i="4"/>
  <c r="L145" i="4"/>
  <c r="I145" i="4"/>
  <c r="H145" i="4"/>
  <c r="E145" i="4"/>
  <c r="M145" i="4" s="1"/>
  <c r="P274" i="4"/>
  <c r="L274" i="4"/>
  <c r="I274" i="4"/>
  <c r="H274" i="4"/>
  <c r="E274" i="4"/>
  <c r="P58" i="4"/>
  <c r="L58" i="4"/>
  <c r="I58" i="4"/>
  <c r="H58" i="4"/>
  <c r="E58" i="4"/>
  <c r="P314" i="4"/>
  <c r="L314" i="4"/>
  <c r="I314" i="4"/>
  <c r="H314" i="4"/>
  <c r="E314" i="4"/>
  <c r="P24" i="4"/>
  <c r="L24" i="4"/>
  <c r="I24" i="4"/>
  <c r="H24" i="4"/>
  <c r="E24" i="4"/>
  <c r="P14" i="4"/>
  <c r="L14" i="4"/>
  <c r="I14" i="4"/>
  <c r="H14" i="4"/>
  <c r="E14" i="4"/>
  <c r="P65" i="4"/>
  <c r="L65" i="4"/>
  <c r="I65" i="4"/>
  <c r="H65" i="4"/>
  <c r="E65" i="4"/>
  <c r="P547" i="4"/>
  <c r="L547" i="4"/>
  <c r="I547" i="4"/>
  <c r="H547" i="4"/>
  <c r="E547" i="4"/>
  <c r="P498" i="4"/>
  <c r="L498" i="4"/>
  <c r="I498" i="4"/>
  <c r="H498" i="4"/>
  <c r="E498" i="4"/>
  <c r="P47" i="4"/>
  <c r="L47" i="4"/>
  <c r="I47" i="4"/>
  <c r="H47" i="4"/>
  <c r="E47" i="4"/>
  <c r="M47" i="4" s="1"/>
  <c r="P250" i="4"/>
  <c r="L250" i="4"/>
  <c r="I250" i="4"/>
  <c r="H250" i="4"/>
  <c r="E250" i="4"/>
  <c r="P392" i="4"/>
  <c r="L392" i="4"/>
  <c r="I392" i="4"/>
  <c r="H392" i="4"/>
  <c r="E392" i="4"/>
  <c r="P364" i="4"/>
  <c r="L364" i="4"/>
  <c r="I364" i="4"/>
  <c r="H364" i="4"/>
  <c r="E364" i="4"/>
  <c r="P232" i="4"/>
  <c r="L232" i="4"/>
  <c r="I232" i="4"/>
  <c r="H232" i="4"/>
  <c r="E232" i="4"/>
  <c r="M232" i="4" s="1"/>
  <c r="P97" i="4"/>
  <c r="L97" i="4"/>
  <c r="I97" i="4"/>
  <c r="M97" i="4" s="1"/>
  <c r="H97" i="4"/>
  <c r="E97" i="4"/>
  <c r="P623" i="4"/>
  <c r="L623" i="4"/>
  <c r="I623" i="4"/>
  <c r="H623" i="4"/>
  <c r="E623" i="4"/>
  <c r="P540" i="4"/>
  <c r="L540" i="4"/>
  <c r="I540" i="4"/>
  <c r="H540" i="4"/>
  <c r="E540" i="4"/>
  <c r="P536" i="4"/>
  <c r="L536" i="4"/>
  <c r="I536" i="4"/>
  <c r="M536" i="4" s="1"/>
  <c r="H536" i="4"/>
  <c r="E536" i="4"/>
  <c r="P215" i="4"/>
  <c r="L215" i="4"/>
  <c r="I215" i="4"/>
  <c r="H215" i="4"/>
  <c r="E215" i="4"/>
  <c r="P75" i="4"/>
  <c r="L75" i="4"/>
  <c r="I75" i="4"/>
  <c r="H75" i="4"/>
  <c r="E75" i="4"/>
  <c r="P115" i="4"/>
  <c r="L115" i="4"/>
  <c r="I115" i="4"/>
  <c r="H115" i="4"/>
  <c r="E115" i="4"/>
  <c r="P198" i="4"/>
  <c r="L198" i="4"/>
  <c r="I198" i="4"/>
  <c r="H198" i="4"/>
  <c r="E198" i="4"/>
  <c r="M198" i="4" s="1"/>
  <c r="P106" i="4"/>
  <c r="L106" i="4"/>
  <c r="I106" i="4"/>
  <c r="H106" i="4"/>
  <c r="E106" i="4"/>
  <c r="P726" i="4"/>
  <c r="L726" i="4"/>
  <c r="I726" i="4"/>
  <c r="M726" i="4" s="1"/>
  <c r="H726" i="4"/>
  <c r="E726" i="4"/>
  <c r="P600" i="4"/>
  <c r="L600" i="4"/>
  <c r="I600" i="4"/>
  <c r="H600" i="4"/>
  <c r="E600" i="4"/>
  <c r="M600" i="4" s="1"/>
  <c r="P302" i="4"/>
  <c r="L302" i="4"/>
  <c r="I302" i="4"/>
  <c r="H302" i="4"/>
  <c r="E302" i="4"/>
  <c r="P345" i="4"/>
  <c r="L345" i="4"/>
  <c r="I345" i="4"/>
  <c r="H345" i="4"/>
  <c r="E345" i="4"/>
  <c r="P372" i="4"/>
  <c r="L372" i="4"/>
  <c r="I372" i="4"/>
  <c r="H372" i="4"/>
  <c r="E372" i="4"/>
  <c r="M372" i="4" s="1"/>
  <c r="P138" i="4"/>
  <c r="L138" i="4"/>
  <c r="I138" i="4"/>
  <c r="H138" i="4"/>
  <c r="E138" i="4"/>
  <c r="P624" i="4"/>
  <c r="L624" i="4"/>
  <c r="I624" i="4"/>
  <c r="H624" i="4"/>
  <c r="E624" i="4"/>
  <c r="P110" i="4"/>
  <c r="L110" i="4"/>
  <c r="I110" i="4"/>
  <c r="M110" i="4" s="1"/>
  <c r="H110" i="4"/>
  <c r="E110" i="4"/>
  <c r="P164" i="4"/>
  <c r="L164" i="4"/>
  <c r="I164" i="4"/>
  <c r="H164" i="4"/>
  <c r="E164" i="4"/>
  <c r="P423" i="4"/>
  <c r="L423" i="4"/>
  <c r="I423" i="4"/>
  <c r="H423" i="4"/>
  <c r="E423" i="4"/>
  <c r="M423" i="4" s="1"/>
  <c r="P124" i="4"/>
  <c r="L124" i="4"/>
  <c r="I124" i="4"/>
  <c r="H124" i="4"/>
  <c r="E124" i="4"/>
  <c r="P119" i="4"/>
  <c r="L119" i="4"/>
  <c r="I119" i="4"/>
  <c r="H119" i="4"/>
  <c r="E119" i="4"/>
  <c r="P257" i="4"/>
  <c r="L257" i="4"/>
  <c r="I257" i="4"/>
  <c r="H257" i="4"/>
  <c r="E257" i="4"/>
  <c r="P311" i="4"/>
  <c r="L311" i="4"/>
  <c r="I311" i="4"/>
  <c r="H311" i="4"/>
  <c r="E311" i="4"/>
  <c r="M311" i="4" s="1"/>
  <c r="P105" i="4"/>
  <c r="L105" i="4"/>
  <c r="I105" i="4"/>
  <c r="H105" i="4"/>
  <c r="E105" i="4"/>
  <c r="M105" i="4" s="1"/>
  <c r="P279" i="4"/>
  <c r="L279" i="4"/>
  <c r="I279" i="4"/>
  <c r="H279" i="4"/>
  <c r="E279" i="4"/>
  <c r="P492" i="4"/>
  <c r="L492" i="4"/>
  <c r="I492" i="4"/>
  <c r="H492" i="4"/>
  <c r="E492" i="4"/>
  <c r="P544" i="4"/>
  <c r="L544" i="4"/>
  <c r="I544" i="4"/>
  <c r="H544" i="4"/>
  <c r="E544" i="4"/>
  <c r="M544" i="4" s="1"/>
  <c r="P163" i="4"/>
  <c r="L163" i="4"/>
  <c r="I163" i="4"/>
  <c r="H163" i="4"/>
  <c r="E163" i="4"/>
  <c r="M163" i="4" s="1"/>
  <c r="P329" i="4"/>
  <c r="L329" i="4"/>
  <c r="I329" i="4"/>
  <c r="H329" i="4"/>
  <c r="E329" i="4"/>
  <c r="P607" i="4"/>
  <c r="L607" i="4"/>
  <c r="I607" i="4"/>
  <c r="H607" i="4"/>
  <c r="E607" i="4"/>
  <c r="M607" i="4" s="1"/>
  <c r="P293" i="4"/>
  <c r="L293" i="4"/>
  <c r="I293" i="4"/>
  <c r="H293" i="4"/>
  <c r="E293" i="4"/>
  <c r="P19" i="4"/>
  <c r="L19" i="4"/>
  <c r="I19" i="4"/>
  <c r="H19" i="4"/>
  <c r="E19" i="4"/>
  <c r="M19" i="4" s="1"/>
  <c r="P704" i="4"/>
  <c r="L704" i="4"/>
  <c r="I704" i="4"/>
  <c r="H704" i="4"/>
  <c r="E704" i="4"/>
  <c r="M704" i="4" s="1"/>
  <c r="P702" i="4"/>
  <c r="L702" i="4"/>
  <c r="I702" i="4"/>
  <c r="H702" i="4"/>
  <c r="E702" i="4"/>
  <c r="P503" i="4"/>
  <c r="L503" i="4"/>
  <c r="I503" i="4"/>
  <c r="H503" i="4"/>
  <c r="E503" i="4"/>
  <c r="P160" i="4"/>
  <c r="L160" i="4"/>
  <c r="I160" i="4"/>
  <c r="H160" i="4"/>
  <c r="E160" i="4"/>
  <c r="P341" i="4"/>
  <c r="L341" i="4"/>
  <c r="I341" i="4"/>
  <c r="H341" i="4"/>
  <c r="E341" i="4"/>
  <c r="P362" i="4"/>
  <c r="L362" i="4"/>
  <c r="I362" i="4"/>
  <c r="H362" i="4"/>
  <c r="E362" i="4"/>
  <c r="P188" i="4"/>
  <c r="L188" i="4"/>
  <c r="I188" i="4"/>
  <c r="H188" i="4"/>
  <c r="E188" i="4"/>
  <c r="P235" i="4"/>
  <c r="L235" i="4"/>
  <c r="I235" i="4"/>
  <c r="H235" i="4"/>
  <c r="E235" i="4"/>
  <c r="M235" i="4" s="1"/>
  <c r="P231" i="4"/>
  <c r="L231" i="4"/>
  <c r="I231" i="4"/>
  <c r="M231" i="4" s="1"/>
  <c r="H231" i="4"/>
  <c r="E231" i="4"/>
  <c r="P440" i="4"/>
  <c r="L440" i="4"/>
  <c r="I440" i="4"/>
  <c r="H440" i="4"/>
  <c r="E440" i="4"/>
  <c r="M440" i="4" s="1"/>
  <c r="P418" i="4"/>
  <c r="L418" i="4"/>
  <c r="I418" i="4"/>
  <c r="H418" i="4"/>
  <c r="E418" i="4"/>
  <c r="M418" i="4" s="1"/>
  <c r="P347" i="4"/>
  <c r="L347" i="4"/>
  <c r="I347" i="4"/>
  <c r="H347" i="4"/>
  <c r="E347" i="4"/>
  <c r="P391" i="4"/>
  <c r="L391" i="4"/>
  <c r="I391" i="4"/>
  <c r="H391" i="4"/>
  <c r="E391" i="4"/>
  <c r="P61" i="4"/>
  <c r="L61" i="4"/>
  <c r="I61" i="4"/>
  <c r="H61" i="4"/>
  <c r="E61" i="4"/>
  <c r="M61" i="4" s="1"/>
  <c r="P101" i="4"/>
  <c r="L101" i="4"/>
  <c r="I101" i="4"/>
  <c r="H101" i="4"/>
  <c r="E101" i="4"/>
  <c r="P330" i="4"/>
  <c r="L330" i="4"/>
  <c r="I330" i="4"/>
  <c r="H330" i="4"/>
  <c r="E330" i="4"/>
  <c r="M330" i="4" s="1"/>
  <c r="P737" i="4"/>
  <c r="L737" i="4"/>
  <c r="I737" i="4"/>
  <c r="H737" i="4"/>
  <c r="E737" i="4"/>
  <c r="M737" i="4" s="1"/>
  <c r="P328" i="4"/>
  <c r="L328" i="4"/>
  <c r="I328" i="4"/>
  <c r="H328" i="4"/>
  <c r="E328" i="4"/>
  <c r="P582" i="4"/>
  <c r="L582" i="4"/>
  <c r="I582" i="4"/>
  <c r="H582" i="4"/>
  <c r="E582" i="4"/>
  <c r="M582" i="4" s="1"/>
  <c r="P99" i="4"/>
  <c r="L99" i="4"/>
  <c r="I99" i="4"/>
  <c r="H99" i="4"/>
  <c r="E99" i="4"/>
  <c r="P300" i="4"/>
  <c r="L300" i="4"/>
  <c r="I300" i="4"/>
  <c r="H300" i="4"/>
  <c r="E300" i="4"/>
  <c r="P143" i="4"/>
  <c r="L143" i="4"/>
  <c r="I143" i="4"/>
  <c r="H143" i="4"/>
  <c r="E143" i="4"/>
  <c r="M143" i="4" s="1"/>
  <c r="P663" i="4"/>
  <c r="L663" i="4"/>
  <c r="I663" i="4"/>
  <c r="H663" i="4"/>
  <c r="E663" i="4"/>
  <c r="P675" i="4"/>
  <c r="L675" i="4"/>
  <c r="I675" i="4"/>
  <c r="H675" i="4"/>
  <c r="E675" i="4"/>
  <c r="P313" i="4"/>
  <c r="L313" i="4"/>
  <c r="I313" i="4"/>
  <c r="H313" i="4"/>
  <c r="E313" i="4"/>
  <c r="P463" i="4"/>
  <c r="L463" i="4"/>
  <c r="I463" i="4"/>
  <c r="H463" i="4"/>
  <c r="E463" i="4"/>
  <c r="P572" i="4"/>
  <c r="L572" i="4"/>
  <c r="I572" i="4"/>
  <c r="H572" i="4"/>
  <c r="E572" i="4"/>
  <c r="M572" i="4" s="1"/>
  <c r="P54" i="4"/>
  <c r="L54" i="4"/>
  <c r="I54" i="4"/>
  <c r="H54" i="4"/>
  <c r="E54" i="4"/>
  <c r="P483" i="4"/>
  <c r="L483" i="4"/>
  <c r="I483" i="4"/>
  <c r="H483" i="4"/>
  <c r="E483" i="4"/>
  <c r="P27" i="4"/>
  <c r="L27" i="4"/>
  <c r="I27" i="4"/>
  <c r="H27" i="4"/>
  <c r="E27" i="4"/>
  <c r="M27" i="4" s="1"/>
  <c r="P189" i="4"/>
  <c r="M189" i="4"/>
  <c r="L189" i="4"/>
  <c r="I189" i="4"/>
  <c r="H189" i="4"/>
  <c r="E189" i="4"/>
  <c r="P446" i="4"/>
  <c r="L446" i="4"/>
  <c r="I446" i="4"/>
  <c r="M446" i="4" s="1"/>
  <c r="H446" i="4"/>
  <c r="E446" i="4"/>
  <c r="P377" i="4"/>
  <c r="L377" i="4"/>
  <c r="I377" i="4"/>
  <c r="H377" i="4"/>
  <c r="E377" i="4"/>
  <c r="M377" i="4" s="1"/>
  <c r="P203" i="4"/>
  <c r="L203" i="4"/>
  <c r="I203" i="4"/>
  <c r="H203" i="4"/>
  <c r="E203" i="4"/>
  <c r="M203" i="4" s="1"/>
  <c r="P15" i="4"/>
  <c r="L15" i="4"/>
  <c r="I15" i="4"/>
  <c r="H15" i="4"/>
  <c r="E15" i="4"/>
  <c r="M15" i="4" s="1"/>
  <c r="P78" i="4"/>
  <c r="L78" i="4"/>
  <c r="I78" i="4"/>
  <c r="H78" i="4"/>
  <c r="E78" i="4"/>
  <c r="P417" i="4"/>
  <c r="L417" i="4"/>
  <c r="I417" i="4"/>
  <c r="H417" i="4"/>
  <c r="E417" i="4"/>
  <c r="P249" i="4"/>
  <c r="L249" i="4"/>
  <c r="I249" i="4"/>
  <c r="H249" i="4"/>
  <c r="E249" i="4"/>
  <c r="M249" i="4" s="1"/>
  <c r="P83" i="4"/>
  <c r="L83" i="4"/>
  <c r="I83" i="4"/>
  <c r="H83" i="4"/>
  <c r="E83" i="4"/>
  <c r="P88" i="4"/>
  <c r="L88" i="4"/>
  <c r="I88" i="4"/>
  <c r="M88" i="4" s="1"/>
  <c r="H88" i="4"/>
  <c r="E88" i="4"/>
  <c r="P234" i="4"/>
  <c r="L234" i="4"/>
  <c r="I234" i="4"/>
  <c r="H234" i="4"/>
  <c r="E234" i="4"/>
  <c r="M234" i="4" s="1"/>
  <c r="P334" i="4"/>
  <c r="L334" i="4"/>
  <c r="I334" i="4"/>
  <c r="H334" i="4"/>
  <c r="E334" i="4"/>
  <c r="P53" i="4"/>
  <c r="L53" i="4"/>
  <c r="I53" i="4"/>
  <c r="H53" i="4"/>
  <c r="E53" i="4"/>
  <c r="P122" i="4"/>
  <c r="L122" i="4"/>
  <c r="I122" i="4"/>
  <c r="H122" i="4"/>
  <c r="E122" i="4"/>
  <c r="P153" i="4"/>
  <c r="L153" i="4"/>
  <c r="I153" i="4"/>
  <c r="H153" i="4"/>
  <c r="E153" i="4"/>
  <c r="M153" i="4" s="1"/>
  <c r="P34" i="4"/>
  <c r="L34" i="4"/>
  <c r="I34" i="4"/>
  <c r="H34" i="4"/>
  <c r="E34" i="4"/>
  <c r="P59" i="4"/>
  <c r="L59" i="4"/>
  <c r="I59" i="4"/>
  <c r="H59" i="4"/>
  <c r="E59" i="4"/>
  <c r="M59" i="4" s="1"/>
  <c r="P351" i="4"/>
  <c r="L351" i="4"/>
  <c r="I351" i="4"/>
  <c r="H351" i="4"/>
  <c r="E351" i="4"/>
  <c r="P104" i="4"/>
  <c r="L104" i="4"/>
  <c r="I104" i="4"/>
  <c r="H104" i="4"/>
  <c r="E104" i="4"/>
  <c r="P519" i="4"/>
  <c r="L519" i="4"/>
  <c r="I519" i="4"/>
  <c r="H519" i="4"/>
  <c r="E519" i="4"/>
  <c r="M519" i="4" s="1"/>
  <c r="P82" i="4"/>
  <c r="L82" i="4"/>
  <c r="I82" i="4"/>
  <c r="H82" i="4"/>
  <c r="E82" i="4"/>
  <c r="M82" i="4" s="1"/>
  <c r="P23" i="4"/>
  <c r="L23" i="4"/>
  <c r="I23" i="4"/>
  <c r="H23" i="4"/>
  <c r="E23" i="4"/>
  <c r="P435" i="4"/>
  <c r="L435" i="4"/>
  <c r="I435" i="4"/>
  <c r="H435" i="4"/>
  <c r="E435" i="4"/>
  <c r="P98" i="4"/>
  <c r="L98" i="4"/>
  <c r="I98" i="4"/>
  <c r="H98" i="4"/>
  <c r="E98" i="4"/>
  <c r="M98" i="4" s="1"/>
  <c r="P18" i="4"/>
  <c r="L18" i="4"/>
  <c r="I18" i="4"/>
  <c r="M18" i="4" s="1"/>
  <c r="H18" i="4"/>
  <c r="E18" i="4"/>
  <c r="P109" i="4"/>
  <c r="L109" i="4"/>
  <c r="I109" i="4"/>
  <c r="H109" i="4"/>
  <c r="E109" i="4"/>
  <c r="P33" i="4"/>
  <c r="L33" i="4"/>
  <c r="I33" i="4"/>
  <c r="H33" i="4"/>
  <c r="E33" i="4"/>
  <c r="M33" i="4" s="1"/>
  <c r="P13" i="4"/>
  <c r="L13" i="4"/>
  <c r="I13" i="4"/>
  <c r="H13" i="4"/>
  <c r="E13" i="4"/>
  <c r="P321" i="4"/>
  <c r="L321" i="4"/>
  <c r="I321" i="4"/>
  <c r="H321" i="4"/>
  <c r="E321" i="4"/>
  <c r="P374" i="4"/>
  <c r="L374" i="4"/>
  <c r="I374" i="4"/>
  <c r="M374" i="4" s="1"/>
  <c r="H374" i="4"/>
  <c r="E374" i="4"/>
  <c r="P32" i="4"/>
  <c r="L32" i="4"/>
  <c r="I32" i="4"/>
  <c r="H32" i="4"/>
  <c r="E32" i="4"/>
  <c r="M32" i="4" s="1"/>
  <c r="P11" i="4"/>
  <c r="L11" i="4"/>
  <c r="I11" i="4"/>
  <c r="H11" i="4"/>
  <c r="E11" i="4"/>
  <c r="P86" i="4"/>
  <c r="L86" i="4"/>
  <c r="I86" i="4"/>
  <c r="H86" i="4"/>
  <c r="E86" i="4"/>
  <c r="M86" i="4" s="1"/>
  <c r="P611" i="4"/>
  <c r="L611" i="4"/>
  <c r="I611" i="4"/>
  <c r="H611" i="4"/>
  <c r="E611" i="4"/>
  <c r="P309" i="4"/>
  <c r="L309" i="4"/>
  <c r="I309" i="4"/>
  <c r="H309" i="4"/>
  <c r="E309" i="4"/>
  <c r="P130" i="4"/>
  <c r="L130" i="4"/>
  <c r="I130" i="4"/>
  <c r="H130" i="4"/>
  <c r="E130" i="4"/>
  <c r="P277" i="4"/>
  <c r="L277" i="4"/>
  <c r="I277" i="4"/>
  <c r="H277" i="4"/>
  <c r="E277" i="4"/>
  <c r="M277" i="4" s="1"/>
  <c r="P322" i="4"/>
  <c r="L322" i="4"/>
  <c r="I322" i="4"/>
  <c r="H322" i="4"/>
  <c r="E322" i="4"/>
  <c r="P571" i="4"/>
  <c r="L571" i="4"/>
  <c r="I571" i="4"/>
  <c r="H571" i="4"/>
  <c r="E571" i="4"/>
  <c r="P379" i="4"/>
  <c r="L379" i="4"/>
  <c r="I379" i="4"/>
  <c r="H379" i="4"/>
  <c r="E379" i="4"/>
  <c r="M379" i="4" s="1"/>
  <c r="P80" i="4"/>
  <c r="L80" i="4"/>
  <c r="I80" i="4"/>
  <c r="H80" i="4"/>
  <c r="E80" i="4"/>
  <c r="M80" i="4" s="1"/>
  <c r="P532" i="4"/>
  <c r="L532" i="4"/>
  <c r="I532" i="4"/>
  <c r="H532" i="4"/>
  <c r="E532" i="4"/>
  <c r="P17" i="4"/>
  <c r="L17" i="4"/>
  <c r="I17" i="4"/>
  <c r="H17" i="4"/>
  <c r="E17" i="4"/>
  <c r="P48" i="4"/>
  <c r="L48" i="4"/>
  <c r="I48" i="4"/>
  <c r="H48" i="4"/>
  <c r="E48" i="4"/>
  <c r="P159" i="4"/>
  <c r="L159" i="4"/>
  <c r="I159" i="4"/>
  <c r="H159" i="4"/>
  <c r="E159" i="4"/>
  <c r="P213" i="4"/>
  <c r="L213" i="4"/>
  <c r="I213" i="4"/>
  <c r="H213" i="4"/>
  <c r="E213" i="4"/>
  <c r="M213" i="4" s="1"/>
  <c r="P580" i="4"/>
  <c r="L580" i="4"/>
  <c r="I580" i="4"/>
  <c r="H580" i="4"/>
  <c r="E580" i="4"/>
  <c r="P196" i="4"/>
  <c r="L196" i="4"/>
  <c r="I196" i="4"/>
  <c r="H196" i="4"/>
  <c r="E196" i="4"/>
  <c r="M196" i="4" s="1"/>
  <c r="P264" i="4"/>
  <c r="L264" i="4"/>
  <c r="I264" i="4"/>
  <c r="H264" i="4"/>
  <c r="E264" i="4"/>
  <c r="P416" i="4"/>
  <c r="L416" i="4"/>
  <c r="I416" i="4"/>
  <c r="H416" i="4"/>
  <c r="E416" i="4"/>
  <c r="P91" i="4"/>
  <c r="L91" i="4"/>
  <c r="I91" i="4"/>
  <c r="H91" i="4"/>
  <c r="E91" i="4"/>
  <c r="M91" i="4" s="1"/>
  <c r="P207" i="4"/>
  <c r="L207" i="4"/>
  <c r="I207" i="4"/>
  <c r="H207" i="4"/>
  <c r="E207" i="4"/>
  <c r="M207" i="4" s="1"/>
  <c r="P476" i="4"/>
  <c r="L476" i="4"/>
  <c r="I476" i="4"/>
  <c r="H476" i="4"/>
  <c r="E476" i="4"/>
  <c r="P490" i="4"/>
  <c r="L490" i="4"/>
  <c r="I490" i="4"/>
  <c r="H490" i="4"/>
  <c r="E490" i="4"/>
  <c r="M490" i="4" s="1"/>
  <c r="P688" i="4"/>
  <c r="L688" i="4"/>
  <c r="I688" i="4"/>
  <c r="H688" i="4"/>
  <c r="E688" i="4"/>
  <c r="M688" i="4" s="1"/>
  <c r="P128" i="4"/>
  <c r="L128" i="4"/>
  <c r="I128" i="4"/>
  <c r="H128" i="4"/>
  <c r="E128" i="4"/>
  <c r="P408" i="4"/>
  <c r="L408" i="4"/>
  <c r="I408" i="4"/>
  <c r="H408" i="4"/>
  <c r="E408" i="4"/>
  <c r="M408" i="4" s="1"/>
  <c r="P200" i="4"/>
  <c r="L200" i="4"/>
  <c r="I200" i="4"/>
  <c r="H200" i="4"/>
  <c r="E200" i="4"/>
  <c r="P25" i="4"/>
  <c r="L25" i="4"/>
  <c r="I25" i="4"/>
  <c r="H25" i="4"/>
  <c r="E25" i="4"/>
  <c r="P381" i="4"/>
  <c r="L381" i="4"/>
  <c r="I381" i="4"/>
  <c r="H381" i="4"/>
  <c r="E381" i="4"/>
  <c r="P10" i="4"/>
  <c r="L10" i="4"/>
  <c r="I10" i="4"/>
  <c r="H10" i="4"/>
  <c r="E10" i="4"/>
  <c r="P44" i="4"/>
  <c r="L44" i="4"/>
  <c r="I44" i="4"/>
  <c r="H44" i="4"/>
  <c r="E44" i="4"/>
  <c r="P162" i="4"/>
  <c r="L162" i="4"/>
  <c r="I162" i="4"/>
  <c r="H162" i="4"/>
  <c r="E162" i="4"/>
  <c r="P155" i="4"/>
  <c r="L155" i="4"/>
  <c r="I155" i="4"/>
  <c r="H155" i="4"/>
  <c r="E155" i="4"/>
  <c r="P693" i="4"/>
  <c r="L693" i="4"/>
  <c r="I693" i="4"/>
  <c r="M693" i="4" s="1"/>
  <c r="H693" i="4"/>
  <c r="E693" i="4"/>
  <c r="P516" i="4"/>
  <c r="L516" i="4"/>
  <c r="I516" i="4"/>
  <c r="H516" i="4"/>
  <c r="E516" i="4"/>
  <c r="P69" i="4"/>
  <c r="L69" i="4"/>
  <c r="I69" i="4"/>
  <c r="H69" i="4"/>
  <c r="E69" i="4"/>
  <c r="P647" i="4"/>
  <c r="L647" i="4"/>
  <c r="I647" i="4"/>
  <c r="H647" i="4"/>
  <c r="E647" i="4"/>
  <c r="M647" i="4" s="1"/>
  <c r="P290" i="4"/>
  <c r="L290" i="4"/>
  <c r="I290" i="4"/>
  <c r="H290" i="4"/>
  <c r="E290" i="4"/>
  <c r="P182" i="4"/>
  <c r="L182" i="4"/>
  <c r="I182" i="4"/>
  <c r="H182" i="4"/>
  <c r="E182" i="4"/>
  <c r="M182" i="4" s="1"/>
  <c r="P76" i="4"/>
  <c r="L76" i="4"/>
  <c r="I76" i="4"/>
  <c r="H76" i="4"/>
  <c r="E76" i="4"/>
  <c r="M76" i="4" s="1"/>
  <c r="P181" i="4"/>
  <c r="L181" i="4"/>
  <c r="I181" i="4"/>
  <c r="H181" i="4"/>
  <c r="E181" i="4"/>
  <c r="P161" i="4"/>
  <c r="L161" i="4"/>
  <c r="I161" i="4"/>
  <c r="H161" i="4"/>
  <c r="E161" i="4"/>
  <c r="M161" i="4" s="1"/>
  <c r="P453" i="4"/>
  <c r="L453" i="4"/>
  <c r="I453" i="4"/>
  <c r="H453" i="4"/>
  <c r="E453" i="4"/>
  <c r="P287" i="4"/>
  <c r="L287" i="4"/>
  <c r="I287" i="4"/>
  <c r="H287" i="4"/>
  <c r="E287" i="4"/>
  <c r="P174" i="4"/>
  <c r="L174" i="4"/>
  <c r="I174" i="4"/>
  <c r="H174" i="4"/>
  <c r="E174" i="4"/>
  <c r="P39" i="4"/>
  <c r="L39" i="4"/>
  <c r="I39" i="4"/>
  <c r="H39" i="4"/>
  <c r="E39" i="4"/>
  <c r="P466" i="4"/>
  <c r="L466" i="4"/>
  <c r="I466" i="4"/>
  <c r="H466" i="4"/>
  <c r="E466" i="4"/>
  <c r="P289" i="4"/>
  <c r="L289" i="4"/>
  <c r="I289" i="4"/>
  <c r="H289" i="4"/>
  <c r="E289" i="4"/>
  <c r="P276" i="4"/>
  <c r="L276" i="4"/>
  <c r="I276" i="4"/>
  <c r="H276" i="4"/>
  <c r="E276" i="4"/>
  <c r="P64" i="4"/>
  <c r="L64" i="4"/>
  <c r="I64" i="4"/>
  <c r="H64" i="4"/>
  <c r="E64" i="4"/>
  <c r="M64" i="4" s="1"/>
  <c r="P20" i="4"/>
  <c r="L20" i="4"/>
  <c r="I20" i="4"/>
  <c r="H20" i="4"/>
  <c r="E20" i="4"/>
  <c r="P42" i="4"/>
  <c r="L42" i="4"/>
  <c r="I42" i="4"/>
  <c r="H42" i="4"/>
  <c r="E42" i="4"/>
  <c r="P31" i="4"/>
  <c r="L31" i="4"/>
  <c r="I31" i="4"/>
  <c r="H31" i="4"/>
  <c r="E31" i="4"/>
  <c r="P16" i="4"/>
  <c r="L16" i="4"/>
  <c r="I16" i="4"/>
  <c r="H16" i="4"/>
  <c r="E16" i="4"/>
  <c r="M16" i="4" s="1"/>
  <c r="P368" i="4"/>
  <c r="L368" i="4"/>
  <c r="I368" i="4"/>
  <c r="H368" i="4"/>
  <c r="E368" i="4"/>
  <c r="P127" i="4"/>
  <c r="L127" i="4"/>
  <c r="I127" i="4"/>
  <c r="H127" i="4"/>
  <c r="E127" i="4"/>
  <c r="P263" i="4"/>
  <c r="L263" i="4"/>
  <c r="I263" i="4"/>
  <c r="H263" i="4"/>
  <c r="E263" i="4"/>
  <c r="P9" i="4"/>
  <c r="L9" i="4"/>
  <c r="I9" i="4"/>
  <c r="H9" i="4"/>
  <c r="E9" i="4"/>
  <c r="M9" i="4" s="1"/>
  <c r="P304" i="4"/>
  <c r="L304" i="4"/>
  <c r="I304" i="4"/>
  <c r="H304" i="4"/>
  <c r="E304" i="4"/>
  <c r="P376" i="4"/>
  <c r="L376" i="4"/>
  <c r="I376" i="4"/>
  <c r="H376" i="4"/>
  <c r="E376" i="4"/>
  <c r="M376" i="4" s="1"/>
  <c r="P228" i="4"/>
  <c r="L228" i="4"/>
  <c r="I228" i="4"/>
  <c r="H228" i="4"/>
  <c r="E228" i="4"/>
  <c r="M228" i="4" s="1"/>
  <c r="P784" i="3"/>
  <c r="P783" i="3"/>
  <c r="P782" i="3"/>
  <c r="P781" i="3"/>
  <c r="P780" i="3"/>
  <c r="P779" i="3"/>
  <c r="P778" i="3"/>
  <c r="P777" i="3"/>
  <c r="P776" i="3"/>
  <c r="P775" i="3"/>
  <c r="P774" i="3"/>
  <c r="P773" i="3"/>
  <c r="P772" i="3"/>
  <c r="P771" i="3"/>
  <c r="P770" i="3"/>
  <c r="P769" i="3"/>
  <c r="P768" i="3"/>
  <c r="P767" i="3"/>
  <c r="P766" i="3"/>
  <c r="P765" i="3"/>
  <c r="P764" i="3"/>
  <c r="P763" i="3"/>
  <c r="P762" i="3"/>
  <c r="P761" i="3"/>
  <c r="P760" i="3"/>
  <c r="P759" i="3"/>
  <c r="P758" i="3"/>
  <c r="P757" i="3"/>
  <c r="P756" i="3"/>
  <c r="P755" i="3"/>
  <c r="P754" i="3"/>
  <c r="P753" i="3"/>
  <c r="P752" i="3"/>
  <c r="P751" i="3"/>
  <c r="P750" i="3"/>
  <c r="P749" i="3"/>
  <c r="P748" i="3"/>
  <c r="P747" i="3"/>
  <c r="P746" i="3"/>
  <c r="P745" i="3"/>
  <c r="P744" i="3"/>
  <c r="P743" i="3"/>
  <c r="P742" i="3"/>
  <c r="P741" i="3"/>
  <c r="P740" i="3"/>
  <c r="P739" i="3"/>
  <c r="P738" i="3"/>
  <c r="P737" i="3"/>
  <c r="P736" i="3"/>
  <c r="P735" i="3"/>
  <c r="P734" i="3"/>
  <c r="P733" i="3"/>
  <c r="P732" i="3"/>
  <c r="P731" i="3"/>
  <c r="P730" i="3"/>
  <c r="P729" i="3"/>
  <c r="P728" i="3"/>
  <c r="P727" i="3"/>
  <c r="P726" i="3"/>
  <c r="P725" i="3"/>
  <c r="P724" i="3"/>
  <c r="P723" i="3"/>
  <c r="P722" i="3"/>
  <c r="P721" i="3"/>
  <c r="P720" i="3"/>
  <c r="P719" i="3"/>
  <c r="P718" i="3"/>
  <c r="P717" i="3"/>
  <c r="P716" i="3"/>
  <c r="P715" i="3"/>
  <c r="P714" i="3"/>
  <c r="P713" i="3"/>
  <c r="P712" i="3"/>
  <c r="P711" i="3"/>
  <c r="P710" i="3"/>
  <c r="P709" i="3"/>
  <c r="P708" i="3"/>
  <c r="P707" i="3"/>
  <c r="P706" i="3"/>
  <c r="P705" i="3"/>
  <c r="P704" i="3"/>
  <c r="P703" i="3"/>
  <c r="P702" i="3"/>
  <c r="P701" i="3"/>
  <c r="P700" i="3"/>
  <c r="P699" i="3"/>
  <c r="P698" i="3"/>
  <c r="P697" i="3"/>
  <c r="P696" i="3"/>
  <c r="P695" i="3"/>
  <c r="P694" i="3"/>
  <c r="P693" i="3"/>
  <c r="P692" i="3"/>
  <c r="P691" i="3"/>
  <c r="P690" i="3"/>
  <c r="P689" i="3"/>
  <c r="P688" i="3"/>
  <c r="P687" i="3"/>
  <c r="P686" i="3"/>
  <c r="P685" i="3"/>
  <c r="P684" i="3"/>
  <c r="P683" i="3"/>
  <c r="P682" i="3"/>
  <c r="P681" i="3"/>
  <c r="P680" i="3"/>
  <c r="P679" i="3"/>
  <c r="P678" i="3"/>
  <c r="P677" i="3"/>
  <c r="P676" i="3"/>
  <c r="P675" i="3"/>
  <c r="P674" i="3"/>
  <c r="P673" i="3"/>
  <c r="P672" i="3"/>
  <c r="P671" i="3"/>
  <c r="P670" i="3"/>
  <c r="P669" i="3"/>
  <c r="P668" i="3"/>
  <c r="P667" i="3"/>
  <c r="P666" i="3"/>
  <c r="P665" i="3"/>
  <c r="P664" i="3"/>
  <c r="P663" i="3"/>
  <c r="P662" i="3"/>
  <c r="P661" i="3"/>
  <c r="P660" i="3"/>
  <c r="P659" i="3"/>
  <c r="P658" i="3"/>
  <c r="P657" i="3"/>
  <c r="P656" i="3"/>
  <c r="P655" i="3"/>
  <c r="P654" i="3"/>
  <c r="P653" i="3"/>
  <c r="P652" i="3"/>
  <c r="P651" i="3"/>
  <c r="P650" i="3"/>
  <c r="P649" i="3"/>
  <c r="P648" i="3"/>
  <c r="P647" i="3"/>
  <c r="P646" i="3"/>
  <c r="P645" i="3"/>
  <c r="P644" i="3"/>
  <c r="P643" i="3"/>
  <c r="P642" i="3"/>
  <c r="P641" i="3"/>
  <c r="P640" i="3"/>
  <c r="P639" i="3"/>
  <c r="P638" i="3"/>
  <c r="P637" i="3"/>
  <c r="P636" i="3"/>
  <c r="P635" i="3"/>
  <c r="P634" i="3"/>
  <c r="P633" i="3"/>
  <c r="P632" i="3"/>
  <c r="P631" i="3"/>
  <c r="P630" i="3"/>
  <c r="P629" i="3"/>
  <c r="P628" i="3"/>
  <c r="P627" i="3"/>
  <c r="P626" i="3"/>
  <c r="P625" i="3"/>
  <c r="P624" i="3"/>
  <c r="P623" i="3"/>
  <c r="P622" i="3"/>
  <c r="P621" i="3"/>
  <c r="P620" i="3"/>
  <c r="P619" i="3"/>
  <c r="P618" i="3"/>
  <c r="P617" i="3"/>
  <c r="P616" i="3"/>
  <c r="P615" i="3"/>
  <c r="P614" i="3"/>
  <c r="P613" i="3"/>
  <c r="P612" i="3"/>
  <c r="P611" i="3"/>
  <c r="P610" i="3"/>
  <c r="P609" i="3"/>
  <c r="P608" i="3"/>
  <c r="P607" i="3"/>
  <c r="P606" i="3"/>
  <c r="P605" i="3"/>
  <c r="P604" i="3"/>
  <c r="P603" i="3"/>
  <c r="P602" i="3"/>
  <c r="P601" i="3"/>
  <c r="P600" i="3"/>
  <c r="P599" i="3"/>
  <c r="P598" i="3"/>
  <c r="P597" i="3"/>
  <c r="P596" i="3"/>
  <c r="P595" i="3"/>
  <c r="P594" i="3"/>
  <c r="P593" i="3"/>
  <c r="P592" i="3"/>
  <c r="P591" i="3"/>
  <c r="P590" i="3"/>
  <c r="P589" i="3"/>
  <c r="P588" i="3"/>
  <c r="P587" i="3"/>
  <c r="P586" i="3"/>
  <c r="P585" i="3"/>
  <c r="P584" i="3"/>
  <c r="P583" i="3"/>
  <c r="P582" i="3"/>
  <c r="P581" i="3"/>
  <c r="P580" i="3"/>
  <c r="P579" i="3"/>
  <c r="P578" i="3"/>
  <c r="P577" i="3"/>
  <c r="P576" i="3"/>
  <c r="P575" i="3"/>
  <c r="P574" i="3"/>
  <c r="P573" i="3"/>
  <c r="P572" i="3"/>
  <c r="P571" i="3"/>
  <c r="P570" i="3"/>
  <c r="P569" i="3"/>
  <c r="P568" i="3"/>
  <c r="P567" i="3"/>
  <c r="P566" i="3"/>
  <c r="P565" i="3"/>
  <c r="P564" i="3"/>
  <c r="P563" i="3"/>
  <c r="P562" i="3"/>
  <c r="P561" i="3"/>
  <c r="P560" i="3"/>
  <c r="P559" i="3"/>
  <c r="P558" i="3"/>
  <c r="P557" i="3"/>
  <c r="P556" i="3"/>
  <c r="P555" i="3"/>
  <c r="P554" i="3"/>
  <c r="P553" i="3"/>
  <c r="P552" i="3"/>
  <c r="P551" i="3"/>
  <c r="P550" i="3"/>
  <c r="P549" i="3"/>
  <c r="P548" i="3"/>
  <c r="P547" i="3"/>
  <c r="P546" i="3"/>
  <c r="P545" i="3"/>
  <c r="P544" i="3"/>
  <c r="P543" i="3"/>
  <c r="P542" i="3"/>
  <c r="P541" i="3"/>
  <c r="P540" i="3"/>
  <c r="P539" i="3"/>
  <c r="P538" i="3"/>
  <c r="P537" i="3"/>
  <c r="P536" i="3"/>
  <c r="P535" i="3"/>
  <c r="P534" i="3"/>
  <c r="P533" i="3"/>
  <c r="P532" i="3"/>
  <c r="P531" i="3"/>
  <c r="P530" i="3"/>
  <c r="P529" i="3"/>
  <c r="P528" i="3"/>
  <c r="P527" i="3"/>
  <c r="P526" i="3"/>
  <c r="P525" i="3"/>
  <c r="P524" i="3"/>
  <c r="P523" i="3"/>
  <c r="P522" i="3"/>
  <c r="P521" i="3"/>
  <c r="P520" i="3"/>
  <c r="P519" i="3"/>
  <c r="P518" i="3"/>
  <c r="P517" i="3"/>
  <c r="P516" i="3"/>
  <c r="P515" i="3"/>
  <c r="P514" i="3"/>
  <c r="P513" i="3"/>
  <c r="P512" i="3"/>
  <c r="P511" i="3"/>
  <c r="P510" i="3"/>
  <c r="P509" i="3"/>
  <c r="P508" i="3"/>
  <c r="P507" i="3"/>
  <c r="P506" i="3"/>
  <c r="P505" i="3"/>
  <c r="P504" i="3"/>
  <c r="P503" i="3"/>
  <c r="P502" i="3"/>
  <c r="P501" i="3"/>
  <c r="P500" i="3"/>
  <c r="P499" i="3"/>
  <c r="P498" i="3"/>
  <c r="P497" i="3"/>
  <c r="P496" i="3"/>
  <c r="P495" i="3"/>
  <c r="P494" i="3"/>
  <c r="P493" i="3"/>
  <c r="P492" i="3"/>
  <c r="P491" i="3"/>
  <c r="P490" i="3"/>
  <c r="P489" i="3"/>
  <c r="P488" i="3"/>
  <c r="P487" i="3"/>
  <c r="P486" i="3"/>
  <c r="P485" i="3"/>
  <c r="P484" i="3"/>
  <c r="P483" i="3"/>
  <c r="P482" i="3"/>
  <c r="P481" i="3"/>
  <c r="P480" i="3"/>
  <c r="P479" i="3"/>
  <c r="P478" i="3"/>
  <c r="P477" i="3"/>
  <c r="P476" i="3"/>
  <c r="P475" i="3"/>
  <c r="P474" i="3"/>
  <c r="P473" i="3"/>
  <c r="P472" i="3"/>
  <c r="P471" i="3"/>
  <c r="P470" i="3"/>
  <c r="P469" i="3"/>
  <c r="P468" i="3"/>
  <c r="P467" i="3"/>
  <c r="P466" i="3"/>
  <c r="P465" i="3"/>
  <c r="P464" i="3"/>
  <c r="P463" i="3"/>
  <c r="P462" i="3"/>
  <c r="P461" i="3"/>
  <c r="P460" i="3"/>
  <c r="P459" i="3"/>
  <c r="P458" i="3"/>
  <c r="P457" i="3"/>
  <c r="P456" i="3"/>
  <c r="P455" i="3"/>
  <c r="P454" i="3"/>
  <c r="P453" i="3"/>
  <c r="P452" i="3"/>
  <c r="P451" i="3"/>
  <c r="P450" i="3"/>
  <c r="P449" i="3"/>
  <c r="P448" i="3"/>
  <c r="P447" i="3"/>
  <c r="P446" i="3"/>
  <c r="P445" i="3"/>
  <c r="P444" i="3"/>
  <c r="P443" i="3"/>
  <c r="P442" i="3"/>
  <c r="P441" i="3"/>
  <c r="P440" i="3"/>
  <c r="P439" i="3"/>
  <c r="P438" i="3"/>
  <c r="P437" i="3"/>
  <c r="P436" i="3"/>
  <c r="P435" i="3"/>
  <c r="P434" i="3"/>
  <c r="P433" i="3"/>
  <c r="P432" i="3"/>
  <c r="P431" i="3"/>
  <c r="P430" i="3"/>
  <c r="P429" i="3"/>
  <c r="P428" i="3"/>
  <c r="P427" i="3"/>
  <c r="P426" i="3"/>
  <c r="P425" i="3"/>
  <c r="P424" i="3"/>
  <c r="P423" i="3"/>
  <c r="P422" i="3"/>
  <c r="P421" i="3"/>
  <c r="P420" i="3"/>
  <c r="P419" i="3"/>
  <c r="P418" i="3"/>
  <c r="P417" i="3"/>
  <c r="P416" i="3"/>
  <c r="P415" i="3"/>
  <c r="P414" i="3"/>
  <c r="P413" i="3"/>
  <c r="P412" i="3"/>
  <c r="P411" i="3"/>
  <c r="P410" i="3"/>
  <c r="P409" i="3"/>
  <c r="P408" i="3"/>
  <c r="P407" i="3"/>
  <c r="P406" i="3"/>
  <c r="P405" i="3"/>
  <c r="P404" i="3"/>
  <c r="P403" i="3"/>
  <c r="P402" i="3"/>
  <c r="P401" i="3"/>
  <c r="P400" i="3"/>
  <c r="P399" i="3"/>
  <c r="P398" i="3"/>
  <c r="P397" i="3"/>
  <c r="P396" i="3"/>
  <c r="P395" i="3"/>
  <c r="P394" i="3"/>
  <c r="P393" i="3"/>
  <c r="P392" i="3"/>
  <c r="P391" i="3"/>
  <c r="P390" i="3"/>
  <c r="P389" i="3"/>
  <c r="P388" i="3"/>
  <c r="P387" i="3"/>
  <c r="P386" i="3"/>
  <c r="P385" i="3"/>
  <c r="P384" i="3"/>
  <c r="P383" i="3"/>
  <c r="P382" i="3"/>
  <c r="P381" i="3"/>
  <c r="P380" i="3"/>
  <c r="P379" i="3"/>
  <c r="P378" i="3"/>
  <c r="P377" i="3"/>
  <c r="P376" i="3"/>
  <c r="P375" i="3"/>
  <c r="P374" i="3"/>
  <c r="P373" i="3"/>
  <c r="P372" i="3"/>
  <c r="P371" i="3"/>
  <c r="P370" i="3"/>
  <c r="P369" i="3"/>
  <c r="P368" i="3"/>
  <c r="P367" i="3"/>
  <c r="P366" i="3"/>
  <c r="P365" i="3"/>
  <c r="P364" i="3"/>
  <c r="P363" i="3"/>
  <c r="P362" i="3"/>
  <c r="P361" i="3"/>
  <c r="P360" i="3"/>
  <c r="P359" i="3"/>
  <c r="P358" i="3"/>
  <c r="P357" i="3"/>
  <c r="P356" i="3"/>
  <c r="P355" i="3"/>
  <c r="P354" i="3"/>
  <c r="P353" i="3"/>
  <c r="P352" i="3"/>
  <c r="P351" i="3"/>
  <c r="P350" i="3"/>
  <c r="P349" i="3"/>
  <c r="P348" i="3"/>
  <c r="P347" i="3"/>
  <c r="P346" i="3"/>
  <c r="P345" i="3"/>
  <c r="P344" i="3"/>
  <c r="P343" i="3"/>
  <c r="P342" i="3"/>
  <c r="P341" i="3"/>
  <c r="P340" i="3"/>
  <c r="P339" i="3"/>
  <c r="P338" i="3"/>
  <c r="P337" i="3"/>
  <c r="P336" i="3"/>
  <c r="P335" i="3"/>
  <c r="P334" i="3"/>
  <c r="P333" i="3"/>
  <c r="P332" i="3"/>
  <c r="P331" i="3"/>
  <c r="P330" i="3"/>
  <c r="P329" i="3"/>
  <c r="P328" i="3"/>
  <c r="P327" i="3"/>
  <c r="P326" i="3"/>
  <c r="P325" i="3"/>
  <c r="P324" i="3"/>
  <c r="P323" i="3"/>
  <c r="P322" i="3"/>
  <c r="P321" i="3"/>
  <c r="P320" i="3"/>
  <c r="P319" i="3"/>
  <c r="P318" i="3"/>
  <c r="P317" i="3"/>
  <c r="P316" i="3"/>
  <c r="P315" i="3"/>
  <c r="P314" i="3"/>
  <c r="P313" i="3"/>
  <c r="P312" i="3"/>
  <c r="P311" i="3"/>
  <c r="P310" i="3"/>
  <c r="P309" i="3"/>
  <c r="P308" i="3"/>
  <c r="P307" i="3"/>
  <c r="P306" i="3"/>
  <c r="P305" i="3"/>
  <c r="P304" i="3"/>
  <c r="P303" i="3"/>
  <c r="P302" i="3"/>
  <c r="P301" i="3"/>
  <c r="P300" i="3"/>
  <c r="P299" i="3"/>
  <c r="P298" i="3"/>
  <c r="P297" i="3"/>
  <c r="P296" i="3"/>
  <c r="P295" i="3"/>
  <c r="P294" i="3"/>
  <c r="P293" i="3"/>
  <c r="P292" i="3"/>
  <c r="P291" i="3"/>
  <c r="P290" i="3"/>
  <c r="P289" i="3"/>
  <c r="P288" i="3"/>
  <c r="P287" i="3"/>
  <c r="P286" i="3"/>
  <c r="P285" i="3"/>
  <c r="P284" i="3"/>
  <c r="P283" i="3"/>
  <c r="P282" i="3"/>
  <c r="P281" i="3"/>
  <c r="P280" i="3"/>
  <c r="P279" i="3"/>
  <c r="P278" i="3"/>
  <c r="P277" i="3"/>
  <c r="P276" i="3"/>
  <c r="P275" i="3"/>
  <c r="P274" i="3"/>
  <c r="P273" i="3"/>
  <c r="P272" i="3"/>
  <c r="P271" i="3"/>
  <c r="P270" i="3"/>
  <c r="P269" i="3"/>
  <c r="P268" i="3"/>
  <c r="P267" i="3"/>
  <c r="P266" i="3"/>
  <c r="P265" i="3"/>
  <c r="P264" i="3"/>
  <c r="P263" i="3"/>
  <c r="P262" i="3"/>
  <c r="P261" i="3"/>
  <c r="P260" i="3"/>
  <c r="P259" i="3"/>
  <c r="P258" i="3"/>
  <c r="P257" i="3"/>
  <c r="P256" i="3"/>
  <c r="P255" i="3"/>
  <c r="P254" i="3"/>
  <c r="P253" i="3"/>
  <c r="P252" i="3"/>
  <c r="P251" i="3"/>
  <c r="P250" i="3"/>
  <c r="P249" i="3"/>
  <c r="P248" i="3"/>
  <c r="P247" i="3"/>
  <c r="P246" i="3"/>
  <c r="P245" i="3"/>
  <c r="P244" i="3"/>
  <c r="P243" i="3"/>
  <c r="P242" i="3"/>
  <c r="P241" i="3"/>
  <c r="P240" i="3"/>
  <c r="P239" i="3"/>
  <c r="P238" i="3"/>
  <c r="P237" i="3"/>
  <c r="P236" i="3"/>
  <c r="P235" i="3"/>
  <c r="P234" i="3"/>
  <c r="P233" i="3"/>
  <c r="P232" i="3"/>
  <c r="P231" i="3"/>
  <c r="P230" i="3"/>
  <c r="P229" i="3"/>
  <c r="P228" i="3"/>
  <c r="P227" i="3"/>
  <c r="P226" i="3"/>
  <c r="P225" i="3"/>
  <c r="P224" i="3"/>
  <c r="P223" i="3"/>
  <c r="P222" i="3"/>
  <c r="P221" i="3"/>
  <c r="P220" i="3"/>
  <c r="P219" i="3"/>
  <c r="P218" i="3"/>
  <c r="P217" i="3"/>
  <c r="P216" i="3"/>
  <c r="P215" i="3"/>
  <c r="P214" i="3"/>
  <c r="P213" i="3"/>
  <c r="P212" i="3"/>
  <c r="P211" i="3"/>
  <c r="P210" i="3"/>
  <c r="P209" i="3"/>
  <c r="P208" i="3"/>
  <c r="P207" i="3"/>
  <c r="P206" i="3"/>
  <c r="P205" i="3"/>
  <c r="P204" i="3"/>
  <c r="P203" i="3"/>
  <c r="P202" i="3"/>
  <c r="P201" i="3"/>
  <c r="P200" i="3"/>
  <c r="P199" i="3"/>
  <c r="P198" i="3"/>
  <c r="P197" i="3"/>
  <c r="P196" i="3"/>
  <c r="P195" i="3"/>
  <c r="P194" i="3"/>
  <c r="P193" i="3"/>
  <c r="P192" i="3"/>
  <c r="P191" i="3"/>
  <c r="P190" i="3"/>
  <c r="P189" i="3"/>
  <c r="P188" i="3"/>
  <c r="P187" i="3"/>
  <c r="P186" i="3"/>
  <c r="P185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8" i="3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P95" i="3"/>
  <c r="P94" i="3"/>
  <c r="P93" i="3"/>
  <c r="P92" i="3"/>
  <c r="P91" i="3"/>
  <c r="P90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L99" i="3"/>
  <c r="I99" i="3"/>
  <c r="H99" i="3"/>
  <c r="E99" i="3"/>
  <c r="L371" i="3"/>
  <c r="I371" i="3"/>
  <c r="H371" i="3"/>
  <c r="E371" i="3"/>
  <c r="L240" i="3"/>
  <c r="I240" i="3"/>
  <c r="H240" i="3"/>
  <c r="E240" i="3"/>
  <c r="L180" i="3"/>
  <c r="I180" i="3"/>
  <c r="H180" i="3"/>
  <c r="E180" i="3"/>
  <c r="L328" i="3"/>
  <c r="I328" i="3"/>
  <c r="H328" i="3"/>
  <c r="E328" i="3"/>
  <c r="L47" i="3"/>
  <c r="I47" i="3"/>
  <c r="H47" i="3"/>
  <c r="E47" i="3"/>
  <c r="L94" i="3"/>
  <c r="I94" i="3"/>
  <c r="H94" i="3"/>
  <c r="E94" i="3"/>
  <c r="L74" i="3"/>
  <c r="I74" i="3"/>
  <c r="H74" i="3"/>
  <c r="E74" i="3"/>
  <c r="L196" i="3"/>
  <c r="I196" i="3"/>
  <c r="H196" i="3"/>
  <c r="E196" i="3"/>
  <c r="L564" i="3"/>
  <c r="I564" i="3"/>
  <c r="H564" i="3"/>
  <c r="E564" i="3"/>
  <c r="M564" i="3" s="1"/>
  <c r="L730" i="3"/>
  <c r="I730" i="3"/>
  <c r="H730" i="3"/>
  <c r="E730" i="3"/>
  <c r="L714" i="3"/>
  <c r="I714" i="3"/>
  <c r="H714" i="3"/>
  <c r="E714" i="3"/>
  <c r="L360" i="3"/>
  <c r="I360" i="3"/>
  <c r="H360" i="3"/>
  <c r="E360" i="3"/>
  <c r="L43" i="3"/>
  <c r="I43" i="3"/>
  <c r="H43" i="3"/>
  <c r="E43" i="3"/>
  <c r="L731" i="3"/>
  <c r="I731" i="3"/>
  <c r="H731" i="3"/>
  <c r="E731" i="3"/>
  <c r="L750" i="3"/>
  <c r="I750" i="3"/>
  <c r="H750" i="3"/>
  <c r="E750" i="3"/>
  <c r="L16" i="3"/>
  <c r="I16" i="3"/>
  <c r="H16" i="3"/>
  <c r="E16" i="3"/>
  <c r="L559" i="3"/>
  <c r="I559" i="3"/>
  <c r="H559" i="3"/>
  <c r="E559" i="3"/>
  <c r="L595" i="3"/>
  <c r="I595" i="3"/>
  <c r="H595" i="3"/>
  <c r="E595" i="3"/>
  <c r="L613" i="3"/>
  <c r="I613" i="3"/>
  <c r="H613" i="3"/>
  <c r="E613" i="3"/>
  <c r="L599" i="3"/>
  <c r="I599" i="3"/>
  <c r="H599" i="3"/>
  <c r="E599" i="3"/>
  <c r="L253" i="3"/>
  <c r="I253" i="3"/>
  <c r="H253" i="3"/>
  <c r="E253" i="3"/>
  <c r="L389" i="3"/>
  <c r="I389" i="3"/>
  <c r="H389" i="3"/>
  <c r="E389" i="3"/>
  <c r="L659" i="3"/>
  <c r="I659" i="3"/>
  <c r="H659" i="3"/>
  <c r="E659" i="3"/>
  <c r="L431" i="3"/>
  <c r="I431" i="3"/>
  <c r="H431" i="3"/>
  <c r="E431" i="3"/>
  <c r="L133" i="3"/>
  <c r="I133" i="3"/>
  <c r="H133" i="3"/>
  <c r="E133" i="3"/>
  <c r="L782" i="3"/>
  <c r="I782" i="3"/>
  <c r="H782" i="3"/>
  <c r="E782" i="3"/>
  <c r="M782" i="3" s="1"/>
  <c r="L369" i="3"/>
  <c r="I369" i="3"/>
  <c r="H369" i="3"/>
  <c r="E369" i="3"/>
  <c r="L728" i="3"/>
  <c r="I728" i="3"/>
  <c r="H728" i="3"/>
  <c r="E728" i="3"/>
  <c r="L364" i="3"/>
  <c r="I364" i="3"/>
  <c r="H364" i="3"/>
  <c r="E364" i="3"/>
  <c r="L108" i="3"/>
  <c r="I108" i="3"/>
  <c r="H108" i="3"/>
  <c r="E108" i="3"/>
  <c r="M108" i="3" s="1"/>
  <c r="L675" i="3"/>
  <c r="I675" i="3"/>
  <c r="H675" i="3"/>
  <c r="E675" i="3"/>
  <c r="L432" i="3"/>
  <c r="I432" i="3"/>
  <c r="H432" i="3"/>
  <c r="E432" i="3"/>
  <c r="L408" i="3"/>
  <c r="I408" i="3"/>
  <c r="H408" i="3"/>
  <c r="E408" i="3"/>
  <c r="L589" i="3"/>
  <c r="I589" i="3"/>
  <c r="H589" i="3"/>
  <c r="E589" i="3"/>
  <c r="L152" i="3"/>
  <c r="I152" i="3"/>
  <c r="H152" i="3"/>
  <c r="E152" i="3"/>
  <c r="L169" i="3"/>
  <c r="I169" i="3"/>
  <c r="H169" i="3"/>
  <c r="E169" i="3"/>
  <c r="L584" i="3"/>
  <c r="I584" i="3"/>
  <c r="H584" i="3"/>
  <c r="E584" i="3"/>
  <c r="L370" i="3"/>
  <c r="I370" i="3"/>
  <c r="H370" i="3"/>
  <c r="E370" i="3"/>
  <c r="L403" i="3"/>
  <c r="I403" i="3"/>
  <c r="H403" i="3"/>
  <c r="E403" i="3"/>
  <c r="L413" i="3"/>
  <c r="I413" i="3"/>
  <c r="H413" i="3"/>
  <c r="E413" i="3"/>
  <c r="L243" i="3"/>
  <c r="I243" i="3"/>
  <c r="H243" i="3"/>
  <c r="E243" i="3"/>
  <c r="L727" i="3"/>
  <c r="I727" i="3"/>
  <c r="H727" i="3"/>
  <c r="E727" i="3"/>
  <c r="M727" i="3" s="1"/>
  <c r="L331" i="3"/>
  <c r="I331" i="3"/>
  <c r="H331" i="3"/>
  <c r="E331" i="3"/>
  <c r="L756" i="3"/>
  <c r="I756" i="3"/>
  <c r="H756" i="3"/>
  <c r="E756" i="3"/>
  <c r="L721" i="3"/>
  <c r="I721" i="3"/>
  <c r="H721" i="3"/>
  <c r="E721" i="3"/>
  <c r="L22" i="3"/>
  <c r="I22" i="3"/>
  <c r="H22" i="3"/>
  <c r="E22" i="3"/>
  <c r="L651" i="3"/>
  <c r="I651" i="3"/>
  <c r="H651" i="3"/>
  <c r="E651" i="3"/>
  <c r="L103" i="3"/>
  <c r="I103" i="3"/>
  <c r="H103" i="3"/>
  <c r="E103" i="3"/>
  <c r="L402" i="3"/>
  <c r="I402" i="3"/>
  <c r="H402" i="3"/>
  <c r="E402" i="3"/>
  <c r="L520" i="3"/>
  <c r="I520" i="3"/>
  <c r="H520" i="3"/>
  <c r="E520" i="3"/>
  <c r="L569" i="3"/>
  <c r="I569" i="3"/>
  <c r="H569" i="3"/>
  <c r="E569" i="3"/>
  <c r="L421" i="3"/>
  <c r="I421" i="3"/>
  <c r="H421" i="3"/>
  <c r="E421" i="3"/>
  <c r="L294" i="3"/>
  <c r="I294" i="3"/>
  <c r="H294" i="3"/>
  <c r="E294" i="3"/>
  <c r="L197" i="3"/>
  <c r="I197" i="3"/>
  <c r="H197" i="3"/>
  <c r="E197" i="3"/>
  <c r="L205" i="3"/>
  <c r="I205" i="3"/>
  <c r="H205" i="3"/>
  <c r="E205" i="3"/>
  <c r="L449" i="3"/>
  <c r="I449" i="3"/>
  <c r="H449" i="3"/>
  <c r="E449" i="3"/>
  <c r="L153" i="3"/>
  <c r="I153" i="3"/>
  <c r="H153" i="3"/>
  <c r="E153" i="3"/>
  <c r="L501" i="3"/>
  <c r="I501" i="3"/>
  <c r="H501" i="3"/>
  <c r="E501" i="3"/>
  <c r="M501" i="3" s="1"/>
  <c r="L200" i="3"/>
  <c r="I200" i="3"/>
  <c r="H200" i="3"/>
  <c r="E200" i="3"/>
  <c r="L752" i="3"/>
  <c r="I752" i="3"/>
  <c r="H752" i="3"/>
  <c r="E752" i="3"/>
  <c r="L255" i="3"/>
  <c r="I255" i="3"/>
  <c r="H255" i="3"/>
  <c r="E255" i="3"/>
  <c r="L483" i="3"/>
  <c r="I483" i="3"/>
  <c r="H483" i="3"/>
  <c r="E483" i="3"/>
  <c r="M483" i="3" s="1"/>
  <c r="L698" i="3"/>
  <c r="I698" i="3"/>
  <c r="H698" i="3"/>
  <c r="E698" i="3"/>
  <c r="L339" i="3"/>
  <c r="I339" i="3"/>
  <c r="H339" i="3"/>
  <c r="E339" i="3"/>
  <c r="L283" i="3"/>
  <c r="I283" i="3"/>
  <c r="H283" i="3"/>
  <c r="E283" i="3"/>
  <c r="L337" i="3"/>
  <c r="I337" i="3"/>
  <c r="H337" i="3"/>
  <c r="E337" i="3"/>
  <c r="L573" i="3"/>
  <c r="I573" i="3"/>
  <c r="H573" i="3"/>
  <c r="E573" i="3"/>
  <c r="L344" i="3"/>
  <c r="I344" i="3"/>
  <c r="H344" i="3"/>
  <c r="E344" i="3"/>
  <c r="L500" i="3"/>
  <c r="I500" i="3"/>
  <c r="H500" i="3"/>
  <c r="E500" i="3"/>
  <c r="L638" i="3"/>
  <c r="I638" i="3"/>
  <c r="H638" i="3"/>
  <c r="E638" i="3"/>
  <c r="L704" i="3"/>
  <c r="I704" i="3"/>
  <c r="H704" i="3"/>
  <c r="E704" i="3"/>
  <c r="L498" i="3"/>
  <c r="I498" i="3"/>
  <c r="H498" i="3"/>
  <c r="E498" i="3"/>
  <c r="L209" i="3"/>
  <c r="I209" i="3"/>
  <c r="H209" i="3"/>
  <c r="E209" i="3"/>
  <c r="L340" i="3"/>
  <c r="I340" i="3"/>
  <c r="H340" i="3"/>
  <c r="E340" i="3"/>
  <c r="L112" i="3"/>
  <c r="I112" i="3"/>
  <c r="H112" i="3"/>
  <c r="E112" i="3"/>
  <c r="L31" i="3"/>
  <c r="I31" i="3"/>
  <c r="H31" i="3"/>
  <c r="E31" i="3"/>
  <c r="L211" i="3"/>
  <c r="I211" i="3"/>
  <c r="H211" i="3"/>
  <c r="E211" i="3"/>
  <c r="L508" i="3"/>
  <c r="I508" i="3"/>
  <c r="H508" i="3"/>
  <c r="E508" i="3"/>
  <c r="L645" i="3"/>
  <c r="I645" i="3"/>
  <c r="H645" i="3"/>
  <c r="E645" i="3"/>
  <c r="L524" i="3"/>
  <c r="I524" i="3"/>
  <c r="H524" i="3"/>
  <c r="E524" i="3"/>
  <c r="L764" i="3"/>
  <c r="I764" i="3"/>
  <c r="H764" i="3"/>
  <c r="E764" i="3"/>
  <c r="L131" i="3"/>
  <c r="I131" i="3"/>
  <c r="H131" i="3"/>
  <c r="E131" i="3"/>
  <c r="L101" i="3"/>
  <c r="I101" i="3"/>
  <c r="H101" i="3"/>
  <c r="E101" i="3"/>
  <c r="L305" i="3"/>
  <c r="I305" i="3"/>
  <c r="H305" i="3"/>
  <c r="E305" i="3"/>
  <c r="L232" i="3"/>
  <c r="I232" i="3"/>
  <c r="H232" i="3"/>
  <c r="E232" i="3"/>
  <c r="L121" i="3"/>
  <c r="I121" i="3"/>
  <c r="H121" i="3"/>
  <c r="E121" i="3"/>
  <c r="L554" i="3"/>
  <c r="I554" i="3"/>
  <c r="H554" i="3"/>
  <c r="E554" i="3"/>
  <c r="L556" i="3"/>
  <c r="I556" i="3"/>
  <c r="H556" i="3"/>
  <c r="E556" i="3"/>
  <c r="L373" i="3"/>
  <c r="I373" i="3"/>
  <c r="H373" i="3"/>
  <c r="E373" i="3"/>
  <c r="L658" i="3"/>
  <c r="I658" i="3"/>
  <c r="H658" i="3"/>
  <c r="E658" i="3"/>
  <c r="L576" i="3"/>
  <c r="I576" i="3"/>
  <c r="H576" i="3"/>
  <c r="E576" i="3"/>
  <c r="L709" i="3"/>
  <c r="I709" i="3"/>
  <c r="H709" i="3"/>
  <c r="E709" i="3"/>
  <c r="L129" i="3"/>
  <c r="I129" i="3"/>
  <c r="H129" i="3"/>
  <c r="E129" i="3"/>
  <c r="L316" i="3"/>
  <c r="I316" i="3"/>
  <c r="H316" i="3"/>
  <c r="E316" i="3"/>
  <c r="L214" i="3"/>
  <c r="I214" i="3"/>
  <c r="H214" i="3"/>
  <c r="E214" i="3"/>
  <c r="L496" i="3"/>
  <c r="I496" i="3"/>
  <c r="H496" i="3"/>
  <c r="E496" i="3"/>
  <c r="L174" i="3"/>
  <c r="I174" i="3"/>
  <c r="H174" i="3"/>
  <c r="E174" i="3"/>
  <c r="L436" i="3"/>
  <c r="I436" i="3"/>
  <c r="H436" i="3"/>
  <c r="E436" i="3"/>
  <c r="L703" i="3"/>
  <c r="I703" i="3"/>
  <c r="H703" i="3"/>
  <c r="E703" i="3"/>
  <c r="L506" i="3"/>
  <c r="I506" i="3"/>
  <c r="H506" i="3"/>
  <c r="E506" i="3"/>
  <c r="L707" i="3"/>
  <c r="I707" i="3"/>
  <c r="H707" i="3"/>
  <c r="E707" i="3"/>
  <c r="L293" i="3"/>
  <c r="I293" i="3"/>
  <c r="H293" i="3"/>
  <c r="E293" i="3"/>
  <c r="L9" i="3"/>
  <c r="I9" i="3"/>
  <c r="H9" i="3"/>
  <c r="E9" i="3"/>
  <c r="E3" i="3" s="1"/>
  <c r="L84" i="3"/>
  <c r="I84" i="3"/>
  <c r="H84" i="3"/>
  <c r="E84" i="3"/>
  <c r="L355" i="3"/>
  <c r="I355" i="3"/>
  <c r="H355" i="3"/>
  <c r="E355" i="3"/>
  <c r="L343" i="3"/>
  <c r="I343" i="3"/>
  <c r="H343" i="3"/>
  <c r="E343" i="3"/>
  <c r="L215" i="3"/>
  <c r="I215" i="3"/>
  <c r="H215" i="3"/>
  <c r="E215" i="3"/>
  <c r="L221" i="3"/>
  <c r="I221" i="3"/>
  <c r="H221" i="3"/>
  <c r="E221" i="3"/>
  <c r="L458" i="3"/>
  <c r="I458" i="3"/>
  <c r="H458" i="3"/>
  <c r="E458" i="3"/>
  <c r="L525" i="3"/>
  <c r="I525" i="3"/>
  <c r="H525" i="3"/>
  <c r="E525" i="3"/>
  <c r="L743" i="3"/>
  <c r="I743" i="3"/>
  <c r="H743" i="3"/>
  <c r="E743" i="3"/>
  <c r="L82" i="3"/>
  <c r="I82" i="3"/>
  <c r="H82" i="3"/>
  <c r="E82" i="3"/>
  <c r="L678" i="3"/>
  <c r="I678" i="3"/>
  <c r="H678" i="3"/>
  <c r="E678" i="3"/>
  <c r="L697" i="3"/>
  <c r="I697" i="3"/>
  <c r="H697" i="3"/>
  <c r="E697" i="3"/>
  <c r="L723" i="3"/>
  <c r="I723" i="3"/>
  <c r="H723" i="3"/>
  <c r="E723" i="3"/>
  <c r="L302" i="3"/>
  <c r="I302" i="3"/>
  <c r="H302" i="3"/>
  <c r="E302" i="3"/>
  <c r="L217" i="3"/>
  <c r="I217" i="3"/>
  <c r="H217" i="3"/>
  <c r="E217" i="3"/>
  <c r="L342" i="3"/>
  <c r="I342" i="3"/>
  <c r="H342" i="3"/>
  <c r="E342" i="3"/>
  <c r="L469" i="3"/>
  <c r="I469" i="3"/>
  <c r="H469" i="3"/>
  <c r="E469" i="3"/>
  <c r="L139" i="3"/>
  <c r="I139" i="3"/>
  <c r="H139" i="3"/>
  <c r="E139" i="3"/>
  <c r="L771" i="3"/>
  <c r="I771" i="3"/>
  <c r="H771" i="3"/>
  <c r="E771" i="3"/>
  <c r="L297" i="3"/>
  <c r="I297" i="3"/>
  <c r="H297" i="3"/>
  <c r="E297" i="3"/>
  <c r="L776" i="3"/>
  <c r="I776" i="3"/>
  <c r="H776" i="3"/>
  <c r="E776" i="3"/>
  <c r="L164" i="3"/>
  <c r="I164" i="3"/>
  <c r="H164" i="3"/>
  <c r="E164" i="3"/>
  <c r="L15" i="3"/>
  <c r="I15" i="3"/>
  <c r="H15" i="3"/>
  <c r="E15" i="3"/>
  <c r="L40" i="3"/>
  <c r="I40" i="3"/>
  <c r="H40" i="3"/>
  <c r="E40" i="3"/>
  <c r="L115" i="3"/>
  <c r="I115" i="3"/>
  <c r="H115" i="3"/>
  <c r="E115" i="3"/>
  <c r="L346" i="3"/>
  <c r="I346" i="3"/>
  <c r="H346" i="3"/>
  <c r="E346" i="3"/>
  <c r="L137" i="3"/>
  <c r="I137" i="3"/>
  <c r="H137" i="3"/>
  <c r="E137" i="3"/>
  <c r="L705" i="3"/>
  <c r="I705" i="3"/>
  <c r="H705" i="3"/>
  <c r="E705" i="3"/>
  <c r="L620" i="3"/>
  <c r="I620" i="3"/>
  <c r="H620" i="3"/>
  <c r="E620" i="3"/>
  <c r="L536" i="3"/>
  <c r="I536" i="3"/>
  <c r="H536" i="3"/>
  <c r="E536" i="3"/>
  <c r="L231" i="3"/>
  <c r="I231" i="3"/>
  <c r="H231" i="3"/>
  <c r="E231" i="3"/>
  <c r="L332" i="3"/>
  <c r="I332" i="3"/>
  <c r="H332" i="3"/>
  <c r="E332" i="3"/>
  <c r="L286" i="3"/>
  <c r="I286" i="3"/>
  <c r="H286" i="3"/>
  <c r="E286" i="3"/>
  <c r="L444" i="3"/>
  <c r="I444" i="3"/>
  <c r="H444" i="3"/>
  <c r="E444" i="3"/>
  <c r="L292" i="3"/>
  <c r="I292" i="3"/>
  <c r="H292" i="3"/>
  <c r="E292" i="3"/>
  <c r="L775" i="3"/>
  <c r="I775" i="3"/>
  <c r="H775" i="3"/>
  <c r="E775" i="3"/>
  <c r="L523" i="3"/>
  <c r="I523" i="3"/>
  <c r="H523" i="3"/>
  <c r="E523" i="3"/>
  <c r="L591" i="3"/>
  <c r="I591" i="3"/>
  <c r="H591" i="3"/>
  <c r="E591" i="3"/>
  <c r="L313" i="3"/>
  <c r="I313" i="3"/>
  <c r="H313" i="3"/>
  <c r="E313" i="3"/>
  <c r="L278" i="3"/>
  <c r="I278" i="3"/>
  <c r="H278" i="3"/>
  <c r="E278" i="3"/>
  <c r="L179" i="3"/>
  <c r="I179" i="3"/>
  <c r="H179" i="3"/>
  <c r="E179" i="3"/>
  <c r="L636" i="3"/>
  <c r="I636" i="3"/>
  <c r="H636" i="3"/>
  <c r="E636" i="3"/>
  <c r="L20" i="3"/>
  <c r="I20" i="3"/>
  <c r="H20" i="3"/>
  <c r="E20" i="3"/>
  <c r="L290" i="3"/>
  <c r="I290" i="3"/>
  <c r="H290" i="3"/>
  <c r="E290" i="3"/>
  <c r="L296" i="3"/>
  <c r="I296" i="3"/>
  <c r="H296" i="3"/>
  <c r="E296" i="3"/>
  <c r="L779" i="3"/>
  <c r="I779" i="3"/>
  <c r="H779" i="3"/>
  <c r="E779" i="3"/>
  <c r="L575" i="3"/>
  <c r="I575" i="3"/>
  <c r="H575" i="3"/>
  <c r="E575" i="3"/>
  <c r="L173" i="3"/>
  <c r="I173" i="3"/>
  <c r="H173" i="3"/>
  <c r="E173" i="3"/>
  <c r="L670" i="3"/>
  <c r="I670" i="3"/>
  <c r="H670" i="3"/>
  <c r="E670" i="3"/>
  <c r="L783" i="3"/>
  <c r="I783" i="3"/>
  <c r="H783" i="3"/>
  <c r="E783" i="3"/>
  <c r="L298" i="3"/>
  <c r="I298" i="3"/>
  <c r="H298" i="3"/>
  <c r="E298" i="3"/>
  <c r="L104" i="3"/>
  <c r="I104" i="3"/>
  <c r="H104" i="3"/>
  <c r="E104" i="3"/>
  <c r="L171" i="3"/>
  <c r="I171" i="3"/>
  <c r="H171" i="3"/>
  <c r="E171" i="3"/>
  <c r="L134" i="3"/>
  <c r="I134" i="3"/>
  <c r="H134" i="3"/>
  <c r="E134" i="3"/>
  <c r="L281" i="3"/>
  <c r="I281" i="3"/>
  <c r="H281" i="3"/>
  <c r="E281" i="3"/>
  <c r="L41" i="3"/>
  <c r="I41" i="3"/>
  <c r="H41" i="3"/>
  <c r="E41" i="3"/>
  <c r="L10" i="3"/>
  <c r="I10" i="3"/>
  <c r="H10" i="3"/>
  <c r="E10" i="3"/>
  <c r="L443" i="3"/>
  <c r="I443" i="3"/>
  <c r="H443" i="3"/>
  <c r="E443" i="3"/>
  <c r="L741" i="3"/>
  <c r="I741" i="3"/>
  <c r="H741" i="3"/>
  <c r="E741" i="3"/>
  <c r="L522" i="3"/>
  <c r="I522" i="3"/>
  <c r="H522" i="3"/>
  <c r="E522" i="3"/>
  <c r="L628" i="3"/>
  <c r="I628" i="3"/>
  <c r="H628" i="3"/>
  <c r="E628" i="3"/>
  <c r="L62" i="3"/>
  <c r="I62" i="3"/>
  <c r="H62" i="3"/>
  <c r="E62" i="3"/>
  <c r="L423" i="3"/>
  <c r="I423" i="3"/>
  <c r="H423" i="3"/>
  <c r="E423" i="3"/>
  <c r="L422" i="3"/>
  <c r="I422" i="3"/>
  <c r="H422" i="3"/>
  <c r="E422" i="3"/>
  <c r="L643" i="3"/>
  <c r="I643" i="3"/>
  <c r="H643" i="3"/>
  <c r="E643" i="3"/>
  <c r="L610" i="3"/>
  <c r="I610" i="3"/>
  <c r="H610" i="3"/>
  <c r="E610" i="3"/>
  <c r="L660" i="3"/>
  <c r="I660" i="3"/>
  <c r="H660" i="3"/>
  <c r="E660" i="3"/>
  <c r="L303" i="3"/>
  <c r="I303" i="3"/>
  <c r="H303" i="3"/>
  <c r="E303" i="3"/>
  <c r="L769" i="3"/>
  <c r="I769" i="3"/>
  <c r="H769" i="3"/>
  <c r="E769" i="3"/>
  <c r="L382" i="3"/>
  <c r="I382" i="3"/>
  <c r="H382" i="3"/>
  <c r="E382" i="3"/>
  <c r="L271" i="3"/>
  <c r="I271" i="3"/>
  <c r="H271" i="3"/>
  <c r="E271" i="3"/>
  <c r="L54" i="3"/>
  <c r="I54" i="3"/>
  <c r="H54" i="3"/>
  <c r="E54" i="3"/>
  <c r="L685" i="3"/>
  <c r="I685" i="3"/>
  <c r="H685" i="3"/>
  <c r="E685" i="3"/>
  <c r="L239" i="3"/>
  <c r="I239" i="3"/>
  <c r="H239" i="3"/>
  <c r="E239" i="3"/>
  <c r="L135" i="3"/>
  <c r="I135" i="3"/>
  <c r="H135" i="3"/>
  <c r="E135" i="3"/>
  <c r="L695" i="3"/>
  <c r="I695" i="3"/>
  <c r="H695" i="3"/>
  <c r="E695" i="3"/>
  <c r="L412" i="3"/>
  <c r="I412" i="3"/>
  <c r="H412" i="3"/>
  <c r="E412" i="3"/>
  <c r="L512" i="3"/>
  <c r="I512" i="3"/>
  <c r="H512" i="3"/>
  <c r="E512" i="3"/>
  <c r="L146" i="3"/>
  <c r="I146" i="3"/>
  <c r="H146" i="3"/>
  <c r="E146" i="3"/>
  <c r="L85" i="3"/>
  <c r="I85" i="3"/>
  <c r="H85" i="3"/>
  <c r="E85" i="3"/>
  <c r="L517" i="3"/>
  <c r="I517" i="3"/>
  <c r="H517" i="3"/>
  <c r="E517" i="3"/>
  <c r="L452" i="3"/>
  <c r="I452" i="3"/>
  <c r="H452" i="3"/>
  <c r="E452" i="3"/>
  <c r="L347" i="3"/>
  <c r="I347" i="3"/>
  <c r="H347" i="3"/>
  <c r="E347" i="3"/>
  <c r="L682" i="3"/>
  <c r="I682" i="3"/>
  <c r="H682" i="3"/>
  <c r="E682" i="3"/>
  <c r="L259" i="3"/>
  <c r="I259" i="3"/>
  <c r="H259" i="3"/>
  <c r="E259" i="3"/>
  <c r="L513" i="3"/>
  <c r="I513" i="3"/>
  <c r="H513" i="3"/>
  <c r="E513" i="3"/>
  <c r="L76" i="3"/>
  <c r="I76" i="3"/>
  <c r="H76" i="3"/>
  <c r="E76" i="3"/>
  <c r="L265" i="3"/>
  <c r="I265" i="3"/>
  <c r="H265" i="3"/>
  <c r="E265" i="3"/>
  <c r="L699" i="3"/>
  <c r="I699" i="3"/>
  <c r="H699" i="3"/>
  <c r="E699" i="3"/>
  <c r="L763" i="3"/>
  <c r="I763" i="3"/>
  <c r="H763" i="3"/>
  <c r="E763" i="3"/>
  <c r="L475" i="3"/>
  <c r="I475" i="3"/>
  <c r="H475" i="3"/>
  <c r="E475" i="3"/>
  <c r="L295" i="3"/>
  <c r="I295" i="3"/>
  <c r="H295" i="3"/>
  <c r="E295" i="3"/>
  <c r="L400" i="3"/>
  <c r="I400" i="3"/>
  <c r="H400" i="3"/>
  <c r="E400" i="3"/>
  <c r="L52" i="3"/>
  <c r="I52" i="3"/>
  <c r="H52" i="3"/>
  <c r="E52" i="3"/>
  <c r="L461" i="3"/>
  <c r="I461" i="3"/>
  <c r="H461" i="3"/>
  <c r="E461" i="3"/>
  <c r="L56" i="3"/>
  <c r="I56" i="3"/>
  <c r="H56" i="3"/>
  <c r="E56" i="3"/>
  <c r="L213" i="3"/>
  <c r="I213" i="3"/>
  <c r="H213" i="3"/>
  <c r="E213" i="3"/>
  <c r="L542" i="3"/>
  <c r="I542" i="3"/>
  <c r="H542" i="3"/>
  <c r="E542" i="3"/>
  <c r="L770" i="3"/>
  <c r="I770" i="3"/>
  <c r="H770" i="3"/>
  <c r="E770" i="3"/>
  <c r="L34" i="3"/>
  <c r="I34" i="3"/>
  <c r="H34" i="3"/>
  <c r="E34" i="3"/>
  <c r="L760" i="3"/>
  <c r="I760" i="3"/>
  <c r="H760" i="3"/>
  <c r="E760" i="3"/>
  <c r="L203" i="3"/>
  <c r="I203" i="3"/>
  <c r="H203" i="3"/>
  <c r="E203" i="3"/>
  <c r="L744" i="3"/>
  <c r="I744" i="3"/>
  <c r="H744" i="3"/>
  <c r="E744" i="3"/>
  <c r="L38" i="3"/>
  <c r="I38" i="3"/>
  <c r="H38" i="3"/>
  <c r="E38" i="3"/>
  <c r="L387" i="3"/>
  <c r="I387" i="3"/>
  <c r="H387" i="3"/>
  <c r="E387" i="3"/>
  <c r="L600" i="3"/>
  <c r="I600" i="3"/>
  <c r="H600" i="3"/>
  <c r="E600" i="3"/>
  <c r="L220" i="3"/>
  <c r="I220" i="3"/>
  <c r="H220" i="3"/>
  <c r="E220" i="3"/>
  <c r="L579" i="3"/>
  <c r="I579" i="3"/>
  <c r="H579" i="3"/>
  <c r="E579" i="3"/>
  <c r="L719" i="3"/>
  <c r="I719" i="3"/>
  <c r="H719" i="3"/>
  <c r="E719" i="3"/>
  <c r="L178" i="3"/>
  <c r="I178" i="3"/>
  <c r="H178" i="3"/>
  <c r="E178" i="3"/>
  <c r="L149" i="3"/>
  <c r="I149" i="3"/>
  <c r="H149" i="3"/>
  <c r="E149" i="3"/>
  <c r="L321" i="3"/>
  <c r="I321" i="3"/>
  <c r="H321" i="3"/>
  <c r="E321" i="3"/>
  <c r="L236" i="3"/>
  <c r="I236" i="3"/>
  <c r="H236" i="3"/>
  <c r="E236" i="3"/>
  <c r="L450" i="3"/>
  <c r="I450" i="3"/>
  <c r="H450" i="3"/>
  <c r="E450" i="3"/>
  <c r="L110" i="3"/>
  <c r="I110" i="3"/>
  <c r="H110" i="3"/>
  <c r="E110" i="3"/>
  <c r="L487" i="3"/>
  <c r="I487" i="3"/>
  <c r="H487" i="3"/>
  <c r="E487" i="3"/>
  <c r="L448" i="3"/>
  <c r="I448" i="3"/>
  <c r="H448" i="3"/>
  <c r="E448" i="3"/>
  <c r="L608" i="3"/>
  <c r="I608" i="3"/>
  <c r="H608" i="3"/>
  <c r="E608" i="3"/>
  <c r="L732" i="3"/>
  <c r="I732" i="3"/>
  <c r="H732" i="3"/>
  <c r="E732" i="3"/>
  <c r="L509" i="3"/>
  <c r="I509" i="3"/>
  <c r="H509" i="3"/>
  <c r="E509" i="3"/>
  <c r="L514" i="3"/>
  <c r="I514" i="3"/>
  <c r="H514" i="3"/>
  <c r="E514" i="3"/>
  <c r="L537" i="3"/>
  <c r="I537" i="3"/>
  <c r="H537" i="3"/>
  <c r="E537" i="3"/>
  <c r="L492" i="3"/>
  <c r="I492" i="3"/>
  <c r="H492" i="3"/>
  <c r="E492" i="3"/>
  <c r="L362" i="3"/>
  <c r="I362" i="3"/>
  <c r="H362" i="3"/>
  <c r="E362" i="3"/>
  <c r="L39" i="3"/>
  <c r="I39" i="3"/>
  <c r="H39" i="3"/>
  <c r="E39" i="3"/>
  <c r="L571" i="3"/>
  <c r="I571" i="3"/>
  <c r="H571" i="3"/>
  <c r="E571" i="3"/>
  <c r="L397" i="3"/>
  <c r="I397" i="3"/>
  <c r="H397" i="3"/>
  <c r="E397" i="3"/>
  <c r="L350" i="3"/>
  <c r="I350" i="3"/>
  <c r="H350" i="3"/>
  <c r="E350" i="3"/>
  <c r="L315" i="3"/>
  <c r="I315" i="3"/>
  <c r="H315" i="3"/>
  <c r="E315" i="3"/>
  <c r="L142" i="3"/>
  <c r="I142" i="3"/>
  <c r="H142" i="3"/>
  <c r="E142" i="3"/>
  <c r="L739" i="3"/>
  <c r="I739" i="3"/>
  <c r="H739" i="3"/>
  <c r="E739" i="3"/>
  <c r="L353" i="3"/>
  <c r="I353" i="3"/>
  <c r="H353" i="3"/>
  <c r="E353" i="3"/>
  <c r="L251" i="3"/>
  <c r="I251" i="3"/>
  <c r="H251" i="3"/>
  <c r="E251" i="3"/>
  <c r="L312" i="3"/>
  <c r="I312" i="3"/>
  <c r="H312" i="3"/>
  <c r="E312" i="3"/>
  <c r="L268" i="3"/>
  <c r="I268" i="3"/>
  <c r="H268" i="3"/>
  <c r="E268" i="3"/>
  <c r="L674" i="3"/>
  <c r="I674" i="3"/>
  <c r="H674" i="3"/>
  <c r="E674" i="3"/>
  <c r="L166" i="3"/>
  <c r="I166" i="3"/>
  <c r="H166" i="3"/>
  <c r="E166" i="3"/>
  <c r="L358" i="3"/>
  <c r="I358" i="3"/>
  <c r="H358" i="3"/>
  <c r="E358" i="3"/>
  <c r="L735" i="3"/>
  <c r="I735" i="3"/>
  <c r="H735" i="3"/>
  <c r="E735" i="3"/>
  <c r="L503" i="3"/>
  <c r="I503" i="3"/>
  <c r="H503" i="3"/>
  <c r="E503" i="3"/>
  <c r="L601" i="3"/>
  <c r="I601" i="3"/>
  <c r="H601" i="3"/>
  <c r="E601" i="3"/>
  <c r="L63" i="3"/>
  <c r="I63" i="3"/>
  <c r="H63" i="3"/>
  <c r="E63" i="3"/>
  <c r="L299" i="3"/>
  <c r="I299" i="3"/>
  <c r="H299" i="3"/>
  <c r="E299" i="3"/>
  <c r="L183" i="3"/>
  <c r="I183" i="3"/>
  <c r="H183" i="3"/>
  <c r="E183" i="3"/>
  <c r="L464" i="3"/>
  <c r="I464" i="3"/>
  <c r="H464" i="3"/>
  <c r="E464" i="3"/>
  <c r="L687" i="3"/>
  <c r="I687" i="3"/>
  <c r="H687" i="3"/>
  <c r="E687" i="3"/>
  <c r="L612" i="3"/>
  <c r="I612" i="3"/>
  <c r="H612" i="3"/>
  <c r="E612" i="3"/>
  <c r="L639" i="3"/>
  <c r="I639" i="3"/>
  <c r="H639" i="3"/>
  <c r="E639" i="3"/>
  <c r="L90" i="3"/>
  <c r="I90" i="3"/>
  <c r="H90" i="3"/>
  <c r="E90" i="3"/>
  <c r="L380" i="3"/>
  <c r="I380" i="3"/>
  <c r="H380" i="3"/>
  <c r="E380" i="3"/>
  <c r="L83" i="3"/>
  <c r="I83" i="3"/>
  <c r="H83" i="3"/>
  <c r="E83" i="3"/>
  <c r="L226" i="3"/>
  <c r="I226" i="3"/>
  <c r="H226" i="3"/>
  <c r="E226" i="3"/>
  <c r="L633" i="3"/>
  <c r="I633" i="3"/>
  <c r="H633" i="3"/>
  <c r="E633" i="3"/>
  <c r="L594" i="3"/>
  <c r="I594" i="3"/>
  <c r="H594" i="3"/>
  <c r="E594" i="3"/>
  <c r="L291" i="3"/>
  <c r="I291" i="3"/>
  <c r="H291" i="3"/>
  <c r="E291" i="3"/>
  <c r="L117" i="3"/>
  <c r="I117" i="3"/>
  <c r="H117" i="3"/>
  <c r="E117" i="3"/>
  <c r="L96" i="3"/>
  <c r="I96" i="3"/>
  <c r="H96" i="3"/>
  <c r="E96" i="3"/>
  <c r="L187" i="3"/>
  <c r="I187" i="3"/>
  <c r="H187" i="3"/>
  <c r="E187" i="3"/>
  <c r="L566" i="3"/>
  <c r="I566" i="3"/>
  <c r="H566" i="3"/>
  <c r="E566" i="3"/>
  <c r="L285" i="3"/>
  <c r="I285" i="3"/>
  <c r="H285" i="3"/>
  <c r="E285" i="3"/>
  <c r="L781" i="3"/>
  <c r="I781" i="3"/>
  <c r="H781" i="3"/>
  <c r="E781" i="3"/>
  <c r="L17" i="3"/>
  <c r="I17" i="3"/>
  <c r="H17" i="3"/>
  <c r="E17" i="3"/>
  <c r="L78" i="3"/>
  <c r="I78" i="3"/>
  <c r="H78" i="3"/>
  <c r="E78" i="3"/>
  <c r="L754" i="3"/>
  <c r="I754" i="3"/>
  <c r="H754" i="3"/>
  <c r="E754" i="3"/>
  <c r="L686" i="3"/>
  <c r="I686" i="3"/>
  <c r="H686" i="3"/>
  <c r="E686" i="3"/>
  <c r="L71" i="3"/>
  <c r="I71" i="3"/>
  <c r="H71" i="3"/>
  <c r="E71" i="3"/>
  <c r="L657" i="3"/>
  <c r="I657" i="3"/>
  <c r="H657" i="3"/>
  <c r="E657" i="3"/>
  <c r="L111" i="3"/>
  <c r="I111" i="3"/>
  <c r="H111" i="3"/>
  <c r="E111" i="3"/>
  <c r="L495" i="3"/>
  <c r="I495" i="3"/>
  <c r="H495" i="3"/>
  <c r="E495" i="3"/>
  <c r="L539" i="3"/>
  <c r="I539" i="3"/>
  <c r="H539" i="3"/>
  <c r="E539" i="3"/>
  <c r="L272" i="3"/>
  <c r="I272" i="3"/>
  <c r="H272" i="3"/>
  <c r="E272" i="3"/>
  <c r="L244" i="3"/>
  <c r="I244" i="3"/>
  <c r="H244" i="3"/>
  <c r="E244" i="3"/>
  <c r="L227" i="3"/>
  <c r="I227" i="3"/>
  <c r="H227" i="3"/>
  <c r="E227" i="3"/>
  <c r="L663" i="3"/>
  <c r="I663" i="3"/>
  <c r="H663" i="3"/>
  <c r="E663" i="3"/>
  <c r="L206" i="3"/>
  <c r="I206" i="3"/>
  <c r="H206" i="3"/>
  <c r="E206" i="3"/>
  <c r="L46" i="3"/>
  <c r="I46" i="3"/>
  <c r="H46" i="3"/>
  <c r="E46" i="3"/>
  <c r="L79" i="3"/>
  <c r="I79" i="3"/>
  <c r="H79" i="3"/>
  <c r="E79" i="3"/>
  <c r="L418" i="3"/>
  <c r="I418" i="3"/>
  <c r="H418" i="3"/>
  <c r="E418" i="3"/>
  <c r="L518" i="3"/>
  <c r="I518" i="3"/>
  <c r="H518" i="3"/>
  <c r="E518" i="3"/>
  <c r="L773" i="3"/>
  <c r="I773" i="3"/>
  <c r="H773" i="3"/>
  <c r="E773" i="3"/>
  <c r="L229" i="3"/>
  <c r="I229" i="3"/>
  <c r="H229" i="3"/>
  <c r="E229" i="3"/>
  <c r="L667" i="3"/>
  <c r="I667" i="3"/>
  <c r="H667" i="3"/>
  <c r="E667" i="3"/>
  <c r="L338" i="3"/>
  <c r="I338" i="3"/>
  <c r="H338" i="3"/>
  <c r="E338" i="3"/>
  <c r="L182" i="3"/>
  <c r="I182" i="3"/>
  <c r="H182" i="3"/>
  <c r="E182" i="3"/>
  <c r="L515" i="3"/>
  <c r="I515" i="3"/>
  <c r="H515" i="3"/>
  <c r="E515" i="3"/>
  <c r="L233" i="3"/>
  <c r="I233" i="3"/>
  <c r="H233" i="3"/>
  <c r="E233" i="3"/>
  <c r="L394" i="3"/>
  <c r="I394" i="3"/>
  <c r="H394" i="3"/>
  <c r="E394" i="3"/>
  <c r="L376" i="3"/>
  <c r="I376" i="3"/>
  <c r="H376" i="3"/>
  <c r="E376" i="3"/>
  <c r="L459" i="3"/>
  <c r="I459" i="3"/>
  <c r="H459" i="3"/>
  <c r="E459" i="3"/>
  <c r="L611" i="3"/>
  <c r="I611" i="3"/>
  <c r="H611" i="3"/>
  <c r="E611" i="3"/>
  <c r="L372" i="3"/>
  <c r="I372" i="3"/>
  <c r="H372" i="3"/>
  <c r="E372" i="3"/>
  <c r="L198" i="3"/>
  <c r="I198" i="3"/>
  <c r="H198" i="3"/>
  <c r="E198" i="3"/>
  <c r="L529" i="3"/>
  <c r="I529" i="3"/>
  <c r="H529" i="3"/>
  <c r="E529" i="3"/>
  <c r="L755" i="3"/>
  <c r="I755" i="3"/>
  <c r="H755" i="3"/>
  <c r="E755" i="3"/>
  <c r="L726" i="3"/>
  <c r="I726" i="3"/>
  <c r="H726" i="3"/>
  <c r="E726" i="3"/>
  <c r="L37" i="3"/>
  <c r="I37" i="3"/>
  <c r="H37" i="3"/>
  <c r="E37" i="3"/>
  <c r="L68" i="3"/>
  <c r="I68" i="3"/>
  <c r="H68" i="3"/>
  <c r="E68" i="3"/>
  <c r="L252" i="3"/>
  <c r="I252" i="3"/>
  <c r="H252" i="3"/>
  <c r="E252" i="3"/>
  <c r="L767" i="3"/>
  <c r="I767" i="3"/>
  <c r="H767" i="3"/>
  <c r="E767" i="3"/>
  <c r="L155" i="3"/>
  <c r="I155" i="3"/>
  <c r="H155" i="3"/>
  <c r="E155" i="3"/>
  <c r="L419" i="3"/>
  <c r="I419" i="3"/>
  <c r="H419" i="3"/>
  <c r="E419" i="3"/>
  <c r="L530" i="3"/>
  <c r="I530" i="3"/>
  <c r="H530" i="3"/>
  <c r="E530" i="3"/>
  <c r="L314" i="3"/>
  <c r="I314" i="3"/>
  <c r="H314" i="3"/>
  <c r="E314" i="3"/>
  <c r="L491" i="3"/>
  <c r="I491" i="3"/>
  <c r="H491" i="3"/>
  <c r="E491" i="3"/>
  <c r="L766" i="3"/>
  <c r="I766" i="3"/>
  <c r="H766" i="3"/>
  <c r="E766" i="3"/>
  <c r="L544" i="3"/>
  <c r="I544" i="3"/>
  <c r="H544" i="3"/>
  <c r="E544" i="3"/>
  <c r="L722" i="3"/>
  <c r="I722" i="3"/>
  <c r="H722" i="3"/>
  <c r="E722" i="3"/>
  <c r="L519" i="3"/>
  <c r="I519" i="3"/>
  <c r="H519" i="3"/>
  <c r="E519" i="3"/>
  <c r="L476" i="3"/>
  <c r="I476" i="3"/>
  <c r="H476" i="3"/>
  <c r="E476" i="3"/>
  <c r="L609" i="3"/>
  <c r="I609" i="3"/>
  <c r="H609" i="3"/>
  <c r="E609" i="3"/>
  <c r="L93" i="3"/>
  <c r="I93" i="3"/>
  <c r="H93" i="3"/>
  <c r="E93" i="3"/>
  <c r="L170" i="3"/>
  <c r="I170" i="3"/>
  <c r="H170" i="3"/>
  <c r="E170" i="3"/>
  <c r="L14" i="3"/>
  <c r="I14" i="3"/>
  <c r="H14" i="3"/>
  <c r="E14" i="3"/>
  <c r="L429" i="3"/>
  <c r="I429" i="3"/>
  <c r="H429" i="3"/>
  <c r="E429" i="3"/>
  <c r="L368" i="3"/>
  <c r="I368" i="3"/>
  <c r="H368" i="3"/>
  <c r="E368" i="3"/>
  <c r="L477" i="3"/>
  <c r="I477" i="3"/>
  <c r="H477" i="3"/>
  <c r="E477" i="3"/>
  <c r="L425" i="3"/>
  <c r="I425" i="3"/>
  <c r="H425" i="3"/>
  <c r="E425" i="3"/>
  <c r="L12" i="3"/>
  <c r="I12" i="3"/>
  <c r="H12" i="3"/>
  <c r="E12" i="3"/>
  <c r="L260" i="3"/>
  <c r="I260" i="3"/>
  <c r="H260" i="3"/>
  <c r="E260" i="3"/>
  <c r="L352" i="3"/>
  <c r="I352" i="3"/>
  <c r="H352" i="3"/>
  <c r="E352" i="3"/>
  <c r="L207" i="3"/>
  <c r="I207" i="3"/>
  <c r="H207" i="3"/>
  <c r="E207" i="3"/>
  <c r="L407" i="3"/>
  <c r="I407" i="3"/>
  <c r="H407" i="3"/>
  <c r="E407" i="3"/>
  <c r="L35" i="3"/>
  <c r="I35" i="3"/>
  <c r="H35" i="3"/>
  <c r="E35" i="3"/>
  <c r="L445" i="3"/>
  <c r="I445" i="3"/>
  <c r="H445" i="3"/>
  <c r="E445" i="3"/>
  <c r="L482" i="3"/>
  <c r="I482" i="3"/>
  <c r="H482" i="3"/>
  <c r="E482" i="3"/>
  <c r="L561" i="3"/>
  <c r="I561" i="3"/>
  <c r="H561" i="3"/>
  <c r="E561" i="3"/>
  <c r="L661" i="3"/>
  <c r="I661" i="3"/>
  <c r="H661" i="3"/>
  <c r="E661" i="3"/>
  <c r="L130" i="3"/>
  <c r="I130" i="3"/>
  <c r="H130" i="3"/>
  <c r="E130" i="3"/>
  <c r="L696" i="3"/>
  <c r="I696" i="3"/>
  <c r="H696" i="3"/>
  <c r="E696" i="3"/>
  <c r="L453" i="3"/>
  <c r="I453" i="3"/>
  <c r="H453" i="3"/>
  <c r="E453" i="3"/>
  <c r="L642" i="3"/>
  <c r="I642" i="3"/>
  <c r="H642" i="3"/>
  <c r="E642" i="3"/>
  <c r="L582" i="3"/>
  <c r="I582" i="3"/>
  <c r="H582" i="3"/>
  <c r="E582" i="3"/>
  <c r="L555" i="3"/>
  <c r="I555" i="3"/>
  <c r="H555" i="3"/>
  <c r="E555" i="3"/>
  <c r="L348" i="3"/>
  <c r="I348" i="3"/>
  <c r="H348" i="3"/>
  <c r="E348" i="3"/>
  <c r="L341" i="3"/>
  <c r="I341" i="3"/>
  <c r="H341" i="3"/>
  <c r="E341" i="3"/>
  <c r="L420" i="3"/>
  <c r="I420" i="3"/>
  <c r="H420" i="3"/>
  <c r="E420" i="3"/>
  <c r="L598" i="3"/>
  <c r="I598" i="3"/>
  <c r="H598" i="3"/>
  <c r="E598" i="3"/>
  <c r="L391" i="3"/>
  <c r="I391" i="3"/>
  <c r="H391" i="3"/>
  <c r="E391" i="3"/>
  <c r="L223" i="3"/>
  <c r="I223" i="3"/>
  <c r="H223" i="3"/>
  <c r="E223" i="3"/>
  <c r="L668" i="3"/>
  <c r="I668" i="3"/>
  <c r="H668" i="3"/>
  <c r="E668" i="3"/>
  <c r="L505" i="3"/>
  <c r="I505" i="3"/>
  <c r="H505" i="3"/>
  <c r="E505" i="3"/>
  <c r="L87" i="3"/>
  <c r="I87" i="3"/>
  <c r="H87" i="3"/>
  <c r="E87" i="3"/>
  <c r="L50" i="3"/>
  <c r="I50" i="3"/>
  <c r="H50" i="3"/>
  <c r="E50" i="3"/>
  <c r="L602" i="3"/>
  <c r="I602" i="3"/>
  <c r="H602" i="3"/>
  <c r="E602" i="3"/>
  <c r="L605" i="3"/>
  <c r="I605" i="3"/>
  <c r="H605" i="3"/>
  <c r="E605" i="3"/>
  <c r="L712" i="3"/>
  <c r="I712" i="3"/>
  <c r="H712" i="3"/>
  <c r="E712" i="3"/>
  <c r="L27" i="3"/>
  <c r="I27" i="3"/>
  <c r="H27" i="3"/>
  <c r="E27" i="3"/>
  <c r="L201" i="3"/>
  <c r="I201" i="3"/>
  <c r="H201" i="3"/>
  <c r="E201" i="3"/>
  <c r="L762" i="3"/>
  <c r="I762" i="3"/>
  <c r="H762" i="3"/>
  <c r="E762" i="3"/>
  <c r="L535" i="3"/>
  <c r="I535" i="3"/>
  <c r="H535" i="3"/>
  <c r="E535" i="3"/>
  <c r="L284" i="3"/>
  <c r="I284" i="3"/>
  <c r="H284" i="3"/>
  <c r="E284" i="3"/>
  <c r="L415" i="3"/>
  <c r="I415" i="3"/>
  <c r="H415" i="3"/>
  <c r="E415" i="3"/>
  <c r="L354" i="3"/>
  <c r="I354" i="3"/>
  <c r="H354" i="3"/>
  <c r="E354" i="3"/>
  <c r="L276" i="3"/>
  <c r="I276" i="3"/>
  <c r="H276" i="3"/>
  <c r="E276" i="3"/>
  <c r="L33" i="3"/>
  <c r="I33" i="3"/>
  <c r="H33" i="3"/>
  <c r="E33" i="3"/>
  <c r="L548" i="3"/>
  <c r="I548" i="3"/>
  <c r="H548" i="3"/>
  <c r="E548" i="3"/>
  <c r="L70" i="3"/>
  <c r="I70" i="3"/>
  <c r="H70" i="3"/>
  <c r="E70" i="3"/>
  <c r="L467" i="3"/>
  <c r="I467" i="3"/>
  <c r="H467" i="3"/>
  <c r="E467" i="3"/>
  <c r="L107" i="3"/>
  <c r="I107" i="3"/>
  <c r="H107" i="3"/>
  <c r="E107" i="3"/>
  <c r="L615" i="3"/>
  <c r="I615" i="3"/>
  <c r="H615" i="3"/>
  <c r="E615" i="3"/>
  <c r="L309" i="3"/>
  <c r="I309" i="3"/>
  <c r="H309" i="3"/>
  <c r="E309" i="3"/>
  <c r="L740" i="3"/>
  <c r="I740" i="3"/>
  <c r="H740" i="3"/>
  <c r="E740" i="3"/>
  <c r="L154" i="3"/>
  <c r="I154" i="3"/>
  <c r="H154" i="3"/>
  <c r="E154" i="3"/>
  <c r="L409" i="3"/>
  <c r="I409" i="3"/>
  <c r="H409" i="3"/>
  <c r="E409" i="3"/>
  <c r="L141" i="3"/>
  <c r="I141" i="3"/>
  <c r="H141" i="3"/>
  <c r="E141" i="3"/>
  <c r="L650" i="3"/>
  <c r="I650" i="3"/>
  <c r="H650" i="3"/>
  <c r="E650" i="3"/>
  <c r="L270" i="3"/>
  <c r="I270" i="3"/>
  <c r="H270" i="3"/>
  <c r="E270" i="3"/>
  <c r="L560" i="3"/>
  <c r="I560" i="3"/>
  <c r="H560" i="3"/>
  <c r="E560" i="3"/>
  <c r="L336" i="3"/>
  <c r="I336" i="3"/>
  <c r="H336" i="3"/>
  <c r="E336" i="3"/>
  <c r="L778" i="3"/>
  <c r="I778" i="3"/>
  <c r="H778" i="3"/>
  <c r="E778" i="3"/>
  <c r="L734" i="3"/>
  <c r="I734" i="3"/>
  <c r="H734" i="3"/>
  <c r="E734" i="3"/>
  <c r="L427" i="3"/>
  <c r="I427" i="3"/>
  <c r="H427" i="3"/>
  <c r="E427" i="3"/>
  <c r="L58" i="3"/>
  <c r="I58" i="3"/>
  <c r="H58" i="3"/>
  <c r="E58" i="3"/>
  <c r="L202" i="3"/>
  <c r="I202" i="3"/>
  <c r="H202" i="3"/>
  <c r="E202" i="3"/>
  <c r="L565" i="3"/>
  <c r="I565" i="3"/>
  <c r="H565" i="3"/>
  <c r="E565" i="3"/>
  <c r="L191" i="3"/>
  <c r="I191" i="3"/>
  <c r="H191" i="3"/>
  <c r="E191" i="3"/>
  <c r="L308" i="3"/>
  <c r="I308" i="3"/>
  <c r="H308" i="3"/>
  <c r="E308" i="3"/>
  <c r="L665" i="3"/>
  <c r="I665" i="3"/>
  <c r="H665" i="3"/>
  <c r="E665" i="3"/>
  <c r="L580" i="3"/>
  <c r="I580" i="3"/>
  <c r="H580" i="3"/>
  <c r="E580" i="3"/>
  <c r="L324" i="3"/>
  <c r="I324" i="3"/>
  <c r="H324" i="3"/>
  <c r="E324" i="3"/>
  <c r="L248" i="3"/>
  <c r="I248" i="3"/>
  <c r="H248" i="3"/>
  <c r="E248" i="3"/>
  <c r="L258" i="3"/>
  <c r="I258" i="3"/>
  <c r="H258" i="3"/>
  <c r="E258" i="3"/>
  <c r="L275" i="3"/>
  <c r="I275" i="3"/>
  <c r="H275" i="3"/>
  <c r="E275" i="3"/>
  <c r="L150" i="3"/>
  <c r="I150" i="3"/>
  <c r="H150" i="3"/>
  <c r="E150" i="3"/>
  <c r="L23" i="3"/>
  <c r="I23" i="3"/>
  <c r="H23" i="3"/>
  <c r="E23" i="3"/>
  <c r="L680" i="3"/>
  <c r="I680" i="3"/>
  <c r="H680" i="3"/>
  <c r="E680" i="3"/>
  <c r="L550" i="3"/>
  <c r="I550" i="3"/>
  <c r="H550" i="3"/>
  <c r="E550" i="3"/>
  <c r="L720" i="3"/>
  <c r="I720" i="3"/>
  <c r="H720" i="3"/>
  <c r="E720" i="3"/>
  <c r="L175" i="3"/>
  <c r="I175" i="3"/>
  <c r="H175" i="3"/>
  <c r="E175" i="3"/>
  <c r="L637" i="3"/>
  <c r="I637" i="3"/>
  <c r="H637" i="3"/>
  <c r="E637" i="3"/>
  <c r="L424" i="3"/>
  <c r="I424" i="3"/>
  <c r="H424" i="3"/>
  <c r="E424" i="3"/>
  <c r="L379" i="3"/>
  <c r="I379" i="3"/>
  <c r="H379" i="3"/>
  <c r="E379" i="3"/>
  <c r="L280" i="3"/>
  <c r="I280" i="3"/>
  <c r="H280" i="3"/>
  <c r="E280" i="3"/>
  <c r="L241" i="3"/>
  <c r="I241" i="3"/>
  <c r="H241" i="3"/>
  <c r="E241" i="3"/>
  <c r="L136" i="3"/>
  <c r="I136" i="3"/>
  <c r="H136" i="3"/>
  <c r="E136" i="3"/>
  <c r="L588" i="3"/>
  <c r="I588" i="3"/>
  <c r="H588" i="3"/>
  <c r="E588" i="3"/>
  <c r="L718" i="3"/>
  <c r="I718" i="3"/>
  <c r="H718" i="3"/>
  <c r="E718" i="3"/>
  <c r="L318" i="3"/>
  <c r="I318" i="3"/>
  <c r="H318" i="3"/>
  <c r="E318" i="3"/>
  <c r="L653" i="3"/>
  <c r="I653" i="3"/>
  <c r="H653" i="3"/>
  <c r="E653" i="3"/>
  <c r="L655" i="3"/>
  <c r="I655" i="3"/>
  <c r="H655" i="3"/>
  <c r="E655" i="3"/>
  <c r="L261" i="3"/>
  <c r="I261" i="3"/>
  <c r="H261" i="3"/>
  <c r="E261" i="3"/>
  <c r="L69" i="3"/>
  <c r="I69" i="3"/>
  <c r="H69" i="3"/>
  <c r="E69" i="3"/>
  <c r="L158" i="3"/>
  <c r="I158" i="3"/>
  <c r="H158" i="3"/>
  <c r="E158" i="3"/>
  <c r="L330" i="3"/>
  <c r="I330" i="3"/>
  <c r="H330" i="3"/>
  <c r="E330" i="3"/>
  <c r="L648" i="3"/>
  <c r="I648" i="3"/>
  <c r="H648" i="3"/>
  <c r="E648" i="3"/>
  <c r="L688" i="3"/>
  <c r="I688" i="3"/>
  <c r="H688" i="3"/>
  <c r="E688" i="3"/>
  <c r="L751" i="3"/>
  <c r="I751" i="3"/>
  <c r="H751" i="3"/>
  <c r="E751" i="3"/>
  <c r="L97" i="3"/>
  <c r="I97" i="3"/>
  <c r="H97" i="3"/>
  <c r="E97" i="3"/>
  <c r="L470" i="3"/>
  <c r="I470" i="3"/>
  <c r="H470" i="3"/>
  <c r="E470" i="3"/>
  <c r="L143" i="3"/>
  <c r="I143" i="3"/>
  <c r="H143" i="3"/>
  <c r="E143" i="3"/>
  <c r="L222" i="3"/>
  <c r="I222" i="3"/>
  <c r="H222" i="3"/>
  <c r="E222" i="3"/>
  <c r="L710" i="3"/>
  <c r="I710" i="3"/>
  <c r="H710" i="3"/>
  <c r="E710" i="3"/>
  <c r="L123" i="3"/>
  <c r="I123" i="3"/>
  <c r="H123" i="3"/>
  <c r="E123" i="3"/>
  <c r="L81" i="3"/>
  <c r="I81" i="3"/>
  <c r="H81" i="3"/>
  <c r="E81" i="3"/>
  <c r="L144" i="3"/>
  <c r="I144" i="3"/>
  <c r="H144" i="3"/>
  <c r="E144" i="3"/>
  <c r="L282" i="3"/>
  <c r="I282" i="3"/>
  <c r="H282" i="3"/>
  <c r="E282" i="3"/>
  <c r="L235" i="3"/>
  <c r="I235" i="3"/>
  <c r="H235" i="3"/>
  <c r="E235" i="3"/>
  <c r="L617" i="3"/>
  <c r="I617" i="3"/>
  <c r="H617" i="3"/>
  <c r="E617" i="3"/>
  <c r="L219" i="3"/>
  <c r="I219" i="3"/>
  <c r="H219" i="3"/>
  <c r="E219" i="3"/>
  <c r="L619" i="3"/>
  <c r="I619" i="3"/>
  <c r="H619" i="3"/>
  <c r="E619" i="3"/>
  <c r="L193" i="3"/>
  <c r="I193" i="3"/>
  <c r="H193" i="3"/>
  <c r="E193" i="3"/>
  <c r="L247" i="3"/>
  <c r="I247" i="3"/>
  <c r="H247" i="3"/>
  <c r="E247" i="3"/>
  <c r="L729" i="3"/>
  <c r="I729" i="3"/>
  <c r="H729" i="3"/>
  <c r="E729" i="3"/>
  <c r="L334" i="3"/>
  <c r="I334" i="3"/>
  <c r="H334" i="3"/>
  <c r="E334" i="3"/>
  <c r="L784" i="3"/>
  <c r="I784" i="3"/>
  <c r="H784" i="3"/>
  <c r="E784" i="3"/>
  <c r="L157" i="3"/>
  <c r="I157" i="3"/>
  <c r="H157" i="3"/>
  <c r="E157" i="3"/>
  <c r="L327" i="3"/>
  <c r="I327" i="3"/>
  <c r="H327" i="3"/>
  <c r="E327" i="3"/>
  <c r="L749" i="3"/>
  <c r="I749" i="3"/>
  <c r="H749" i="3"/>
  <c r="E749" i="3"/>
  <c r="L681" i="3"/>
  <c r="I681" i="3"/>
  <c r="H681" i="3"/>
  <c r="E681" i="3"/>
  <c r="L114" i="3"/>
  <c r="I114" i="3"/>
  <c r="H114" i="3"/>
  <c r="E114" i="3"/>
  <c r="L618" i="3"/>
  <c r="I618" i="3"/>
  <c r="H618" i="3"/>
  <c r="E618" i="3"/>
  <c r="L684" i="3"/>
  <c r="I684" i="3"/>
  <c r="H684" i="3"/>
  <c r="E684" i="3"/>
  <c r="L479" i="3"/>
  <c r="I479" i="3"/>
  <c r="H479" i="3"/>
  <c r="E479" i="3"/>
  <c r="L77" i="3"/>
  <c r="I77" i="3"/>
  <c r="H77" i="3"/>
  <c r="E77" i="3"/>
  <c r="L24" i="3"/>
  <c r="I24" i="3"/>
  <c r="H24" i="3"/>
  <c r="E24" i="3"/>
  <c r="L257" i="3"/>
  <c r="I257" i="3"/>
  <c r="H257" i="3"/>
  <c r="E257" i="3"/>
  <c r="L237" i="3"/>
  <c r="I237" i="3"/>
  <c r="H237" i="3"/>
  <c r="E237" i="3"/>
  <c r="L325" i="3"/>
  <c r="I325" i="3"/>
  <c r="H325" i="3"/>
  <c r="E325" i="3"/>
  <c r="L647" i="3"/>
  <c r="I647" i="3"/>
  <c r="H647" i="3"/>
  <c r="E647" i="3"/>
  <c r="L67" i="3"/>
  <c r="I67" i="3"/>
  <c r="H67" i="3"/>
  <c r="E67" i="3"/>
  <c r="L574" i="3"/>
  <c r="I574" i="3"/>
  <c r="H574" i="3"/>
  <c r="E574" i="3"/>
  <c r="L322" i="3"/>
  <c r="I322" i="3"/>
  <c r="H322" i="3"/>
  <c r="E322" i="3"/>
  <c r="L48" i="3"/>
  <c r="I48" i="3"/>
  <c r="H48" i="3"/>
  <c r="E48" i="3"/>
  <c r="L521" i="3"/>
  <c r="I521" i="3"/>
  <c r="H521" i="3"/>
  <c r="E521" i="3"/>
  <c r="L438" i="3"/>
  <c r="I438" i="3"/>
  <c r="H438" i="3"/>
  <c r="E438" i="3"/>
  <c r="L433" i="3"/>
  <c r="I433" i="3"/>
  <c r="H433" i="3"/>
  <c r="E433" i="3"/>
  <c r="L526" i="3"/>
  <c r="I526" i="3"/>
  <c r="H526" i="3"/>
  <c r="E526" i="3"/>
  <c r="L254" i="3"/>
  <c r="I254" i="3"/>
  <c r="H254" i="3"/>
  <c r="E254" i="3"/>
  <c r="L100" i="3"/>
  <c r="I100" i="3"/>
  <c r="H100" i="3"/>
  <c r="E100" i="3"/>
  <c r="L614" i="3"/>
  <c r="I614" i="3"/>
  <c r="H614" i="3"/>
  <c r="E614" i="3"/>
  <c r="L55" i="3"/>
  <c r="I55" i="3"/>
  <c r="H55" i="3"/>
  <c r="E55" i="3"/>
  <c r="L640" i="3"/>
  <c r="I640" i="3"/>
  <c r="H640" i="3"/>
  <c r="E640" i="3"/>
  <c r="L162" i="3"/>
  <c r="I162" i="3"/>
  <c r="H162" i="3"/>
  <c r="E162" i="3"/>
  <c r="L245" i="3"/>
  <c r="I245" i="3"/>
  <c r="H245" i="3"/>
  <c r="E245" i="3"/>
  <c r="L724" i="3"/>
  <c r="I724" i="3"/>
  <c r="H724" i="3"/>
  <c r="E724" i="3"/>
  <c r="L733" i="3"/>
  <c r="I733" i="3"/>
  <c r="H733" i="3"/>
  <c r="E733" i="3"/>
  <c r="L91" i="3"/>
  <c r="I91" i="3"/>
  <c r="H91" i="3"/>
  <c r="E91" i="3"/>
  <c r="L502" i="3"/>
  <c r="I502" i="3"/>
  <c r="H502" i="3"/>
  <c r="E502" i="3"/>
  <c r="L176" i="3"/>
  <c r="I176" i="3"/>
  <c r="H176" i="3"/>
  <c r="E176" i="3"/>
  <c r="L384" i="3"/>
  <c r="I384" i="3"/>
  <c r="H384" i="3"/>
  <c r="E384" i="3"/>
  <c r="L772" i="3"/>
  <c r="I772" i="3"/>
  <c r="H772" i="3"/>
  <c r="E772" i="3"/>
  <c r="L694" i="3"/>
  <c r="I694" i="3"/>
  <c r="H694" i="3"/>
  <c r="E694" i="3"/>
  <c r="L662" i="3"/>
  <c r="I662" i="3"/>
  <c r="H662" i="3"/>
  <c r="E662" i="3"/>
  <c r="L553" i="3"/>
  <c r="I553" i="3"/>
  <c r="H553" i="3"/>
  <c r="E553" i="3"/>
  <c r="L472" i="3"/>
  <c r="I472" i="3"/>
  <c r="H472" i="3"/>
  <c r="E472" i="3"/>
  <c r="L396" i="3"/>
  <c r="I396" i="3"/>
  <c r="H396" i="3"/>
  <c r="E396" i="3"/>
  <c r="L485" i="3"/>
  <c r="I485" i="3"/>
  <c r="H485" i="3"/>
  <c r="E485" i="3"/>
  <c r="L716" i="3"/>
  <c r="I716" i="3"/>
  <c r="H716" i="3"/>
  <c r="E716" i="3"/>
  <c r="L266" i="3"/>
  <c r="I266" i="3"/>
  <c r="H266" i="3"/>
  <c r="E266" i="3"/>
  <c r="L474" i="3"/>
  <c r="I474" i="3"/>
  <c r="H474" i="3"/>
  <c r="E474" i="3"/>
  <c r="L701" i="3"/>
  <c r="I701" i="3"/>
  <c r="H701" i="3"/>
  <c r="E701" i="3"/>
  <c r="L73" i="3"/>
  <c r="I73" i="3"/>
  <c r="H73" i="3"/>
  <c r="E73" i="3"/>
  <c r="L301" i="3"/>
  <c r="I301" i="3"/>
  <c r="H301" i="3"/>
  <c r="E301" i="3"/>
  <c r="L311" i="3"/>
  <c r="I311" i="3"/>
  <c r="H311" i="3"/>
  <c r="E311" i="3"/>
  <c r="L49" i="3"/>
  <c r="I49" i="3"/>
  <c r="H49" i="3"/>
  <c r="E49" i="3"/>
  <c r="L465" i="3"/>
  <c r="I465" i="3"/>
  <c r="H465" i="3"/>
  <c r="E465" i="3"/>
  <c r="L29" i="3"/>
  <c r="I29" i="3"/>
  <c r="H29" i="3"/>
  <c r="E29" i="3"/>
  <c r="L543" i="3"/>
  <c r="I543" i="3"/>
  <c r="H543" i="3"/>
  <c r="E543" i="3"/>
  <c r="L616" i="3"/>
  <c r="I616" i="3"/>
  <c r="H616" i="3"/>
  <c r="E616" i="3"/>
  <c r="L75" i="3"/>
  <c r="I75" i="3"/>
  <c r="H75" i="3"/>
  <c r="E75" i="3"/>
  <c r="L745" i="3"/>
  <c r="I745" i="3"/>
  <c r="H745" i="3"/>
  <c r="E745" i="3"/>
  <c r="L717" i="3"/>
  <c r="I717" i="3"/>
  <c r="H717" i="3"/>
  <c r="E717" i="3"/>
  <c r="L460" i="3"/>
  <c r="I460" i="3"/>
  <c r="H460" i="3"/>
  <c r="E460" i="3"/>
  <c r="L359" i="3"/>
  <c r="I359" i="3"/>
  <c r="H359" i="3"/>
  <c r="E359" i="3"/>
  <c r="L664" i="3"/>
  <c r="I664" i="3"/>
  <c r="H664" i="3"/>
  <c r="E664" i="3"/>
  <c r="L581" i="3"/>
  <c r="I581" i="3"/>
  <c r="H581" i="3"/>
  <c r="E581" i="3"/>
  <c r="L486" i="3"/>
  <c r="I486" i="3"/>
  <c r="H486" i="3"/>
  <c r="E486" i="3"/>
  <c r="L568" i="3"/>
  <c r="I568" i="3"/>
  <c r="H568" i="3"/>
  <c r="E568" i="3"/>
  <c r="L127" i="3"/>
  <c r="I127" i="3"/>
  <c r="H127" i="3"/>
  <c r="E127" i="3"/>
  <c r="L748" i="3"/>
  <c r="I748" i="3"/>
  <c r="H748" i="3"/>
  <c r="E748" i="3"/>
  <c r="L626" i="3"/>
  <c r="I626" i="3"/>
  <c r="H626" i="3"/>
  <c r="E626" i="3"/>
  <c r="L399" i="3"/>
  <c r="I399" i="3"/>
  <c r="H399" i="3"/>
  <c r="E399" i="3"/>
  <c r="L484" i="3"/>
  <c r="I484" i="3"/>
  <c r="H484" i="3"/>
  <c r="E484" i="3"/>
  <c r="L120" i="3"/>
  <c r="I120" i="3"/>
  <c r="H120" i="3"/>
  <c r="E120" i="3"/>
  <c r="L132" i="3"/>
  <c r="I132" i="3"/>
  <c r="H132" i="3"/>
  <c r="E132" i="3"/>
  <c r="L30" i="3"/>
  <c r="I30" i="3"/>
  <c r="H30" i="3"/>
  <c r="E30" i="3"/>
  <c r="L466" i="3"/>
  <c r="I466" i="3"/>
  <c r="H466" i="3"/>
  <c r="E466" i="3"/>
  <c r="L208" i="3"/>
  <c r="I208" i="3"/>
  <c r="H208" i="3"/>
  <c r="E208" i="3"/>
  <c r="L758" i="3"/>
  <c r="I758" i="3"/>
  <c r="H758" i="3"/>
  <c r="E758" i="3"/>
  <c r="L349" i="3"/>
  <c r="I349" i="3"/>
  <c r="H349" i="3"/>
  <c r="E349" i="3"/>
  <c r="L288" i="3"/>
  <c r="I288" i="3"/>
  <c r="H288" i="3"/>
  <c r="E288" i="3"/>
  <c r="L18" i="3"/>
  <c r="I18" i="3"/>
  <c r="H18" i="3"/>
  <c r="E18" i="3"/>
  <c r="L172" i="3"/>
  <c r="I172" i="3"/>
  <c r="H172" i="3"/>
  <c r="E172" i="3"/>
  <c r="L51" i="3"/>
  <c r="I51" i="3"/>
  <c r="H51" i="3"/>
  <c r="E51" i="3"/>
  <c r="L541" i="3"/>
  <c r="I541" i="3"/>
  <c r="H541" i="3"/>
  <c r="E541" i="3"/>
  <c r="L527" i="3"/>
  <c r="I527" i="3"/>
  <c r="H527" i="3"/>
  <c r="E527" i="3"/>
  <c r="L499" i="3"/>
  <c r="I499" i="3"/>
  <c r="H499" i="3"/>
  <c r="E499" i="3"/>
  <c r="L623" i="3"/>
  <c r="I623" i="3"/>
  <c r="H623" i="3"/>
  <c r="E623" i="3"/>
  <c r="L442" i="3"/>
  <c r="I442" i="3"/>
  <c r="H442" i="3"/>
  <c r="E442" i="3"/>
  <c r="L383" i="3"/>
  <c r="I383" i="3"/>
  <c r="H383" i="3"/>
  <c r="E383" i="3"/>
  <c r="L190" i="3"/>
  <c r="I190" i="3"/>
  <c r="H190" i="3"/>
  <c r="E190" i="3"/>
  <c r="L631" i="3"/>
  <c r="I631" i="3"/>
  <c r="H631" i="3"/>
  <c r="E631" i="3"/>
  <c r="L590" i="3"/>
  <c r="I590" i="3"/>
  <c r="H590" i="3"/>
  <c r="E590" i="3"/>
  <c r="L398" i="3"/>
  <c r="I398" i="3"/>
  <c r="H398" i="3"/>
  <c r="E398" i="3"/>
  <c r="L426" i="3"/>
  <c r="I426" i="3"/>
  <c r="H426" i="3"/>
  <c r="E426" i="3"/>
  <c r="L406" i="3"/>
  <c r="I406" i="3"/>
  <c r="H406" i="3"/>
  <c r="E406" i="3"/>
  <c r="L540" i="3"/>
  <c r="I540" i="3"/>
  <c r="H540" i="3"/>
  <c r="E540" i="3"/>
  <c r="L596" i="3"/>
  <c r="I596" i="3"/>
  <c r="H596" i="3"/>
  <c r="E596" i="3"/>
  <c r="L95" i="3"/>
  <c r="I95" i="3"/>
  <c r="H95" i="3"/>
  <c r="E95" i="3"/>
  <c r="L411" i="3"/>
  <c r="I411" i="3"/>
  <c r="H411" i="3"/>
  <c r="E411" i="3"/>
  <c r="L691" i="3"/>
  <c r="I691" i="3"/>
  <c r="H691" i="3"/>
  <c r="E691" i="3"/>
  <c r="L711" i="3"/>
  <c r="I711" i="3"/>
  <c r="H711" i="3"/>
  <c r="E711" i="3"/>
  <c r="L279" i="3"/>
  <c r="I279" i="3"/>
  <c r="H279" i="3"/>
  <c r="E279" i="3"/>
  <c r="L567" i="3"/>
  <c r="I567" i="3"/>
  <c r="H567" i="3"/>
  <c r="E567" i="3"/>
  <c r="L57" i="3"/>
  <c r="I57" i="3"/>
  <c r="H57" i="3"/>
  <c r="E57" i="3"/>
  <c r="L335" i="3"/>
  <c r="I335" i="3"/>
  <c r="H335" i="3"/>
  <c r="E335" i="3"/>
  <c r="L592" i="3"/>
  <c r="I592" i="3"/>
  <c r="H592" i="3"/>
  <c r="E592" i="3"/>
  <c r="L357" i="3"/>
  <c r="I357" i="3"/>
  <c r="H357" i="3"/>
  <c r="E357" i="3"/>
  <c r="L632" i="3"/>
  <c r="I632" i="3"/>
  <c r="H632" i="3"/>
  <c r="E632" i="3"/>
  <c r="L439" i="3"/>
  <c r="I439" i="3"/>
  <c r="H439" i="3"/>
  <c r="E439" i="3"/>
  <c r="L89" i="3"/>
  <c r="I89" i="3"/>
  <c r="H89" i="3"/>
  <c r="E89" i="3"/>
  <c r="L92" i="3"/>
  <c r="I92" i="3"/>
  <c r="H92" i="3"/>
  <c r="E92" i="3"/>
  <c r="L230" i="3"/>
  <c r="I230" i="3"/>
  <c r="H230" i="3"/>
  <c r="E230" i="3"/>
  <c r="L310" i="3"/>
  <c r="I310" i="3"/>
  <c r="H310" i="3"/>
  <c r="E310" i="3"/>
  <c r="L593" i="3"/>
  <c r="I593" i="3"/>
  <c r="H593" i="3"/>
  <c r="E593" i="3"/>
  <c r="L319" i="3"/>
  <c r="I319" i="3"/>
  <c r="H319" i="3"/>
  <c r="E319" i="3"/>
  <c r="L262" i="3"/>
  <c r="I262" i="3"/>
  <c r="H262" i="3"/>
  <c r="E262" i="3"/>
  <c r="L119" i="3"/>
  <c r="I119" i="3"/>
  <c r="H119" i="3"/>
  <c r="E119" i="3"/>
  <c r="L742" i="3"/>
  <c r="I742" i="3"/>
  <c r="H742" i="3"/>
  <c r="E742" i="3"/>
  <c r="L780" i="3"/>
  <c r="I780" i="3"/>
  <c r="H780" i="3"/>
  <c r="E780" i="3"/>
  <c r="L274" i="3"/>
  <c r="I274" i="3"/>
  <c r="H274" i="3"/>
  <c r="E274" i="3"/>
  <c r="L317" i="3"/>
  <c r="I317" i="3"/>
  <c r="H317" i="3"/>
  <c r="E317" i="3"/>
  <c r="L106" i="3"/>
  <c r="I106" i="3"/>
  <c r="H106" i="3"/>
  <c r="E106" i="3"/>
  <c r="L140" i="3"/>
  <c r="I140" i="3"/>
  <c r="H140" i="3"/>
  <c r="E140" i="3"/>
  <c r="L304" i="3"/>
  <c r="I304" i="3"/>
  <c r="H304" i="3"/>
  <c r="E304" i="3"/>
  <c r="L604" i="3"/>
  <c r="I604" i="3"/>
  <c r="H604" i="3"/>
  <c r="E604" i="3"/>
  <c r="L708" i="3"/>
  <c r="I708" i="3"/>
  <c r="H708" i="3"/>
  <c r="E708" i="3"/>
  <c r="L430" i="3"/>
  <c r="I430" i="3"/>
  <c r="H430" i="3"/>
  <c r="E430" i="3"/>
  <c r="L381" i="3"/>
  <c r="I381" i="3"/>
  <c r="H381" i="3"/>
  <c r="E381" i="3"/>
  <c r="L13" i="3"/>
  <c r="I13" i="3"/>
  <c r="H13" i="3"/>
  <c r="E13" i="3"/>
  <c r="L463" i="3"/>
  <c r="I463" i="3"/>
  <c r="H463" i="3"/>
  <c r="E463" i="3"/>
  <c r="L105" i="3"/>
  <c r="I105" i="3"/>
  <c r="H105" i="3"/>
  <c r="E105" i="3"/>
  <c r="L672" i="3"/>
  <c r="I672" i="3"/>
  <c r="H672" i="3"/>
  <c r="E672" i="3"/>
  <c r="L646" i="3"/>
  <c r="I646" i="3"/>
  <c r="H646" i="3"/>
  <c r="E646" i="3"/>
  <c r="L629" i="3"/>
  <c r="I629" i="3"/>
  <c r="H629" i="3"/>
  <c r="E629" i="3"/>
  <c r="L216" i="3"/>
  <c r="I216" i="3"/>
  <c r="H216" i="3"/>
  <c r="E216" i="3"/>
  <c r="L504" i="3"/>
  <c r="I504" i="3"/>
  <c r="H504" i="3"/>
  <c r="E504" i="3"/>
  <c r="L375" i="3"/>
  <c r="I375" i="3"/>
  <c r="H375" i="3"/>
  <c r="E375" i="3"/>
  <c r="L263" i="3"/>
  <c r="I263" i="3"/>
  <c r="H263" i="3"/>
  <c r="E263" i="3"/>
  <c r="L634" i="3"/>
  <c r="I634" i="3"/>
  <c r="H634" i="3"/>
  <c r="E634" i="3"/>
  <c r="L455" i="3"/>
  <c r="I455" i="3"/>
  <c r="H455" i="3"/>
  <c r="E455" i="3"/>
  <c r="L641" i="3"/>
  <c r="I641" i="3"/>
  <c r="H641" i="3"/>
  <c r="E641" i="3"/>
  <c r="L42" i="3"/>
  <c r="I42" i="3"/>
  <c r="H42" i="3"/>
  <c r="E42" i="3"/>
  <c r="L306" i="3"/>
  <c r="I306" i="3"/>
  <c r="H306" i="3"/>
  <c r="E306" i="3"/>
  <c r="L125" i="3"/>
  <c r="I125" i="3"/>
  <c r="H125" i="3"/>
  <c r="E125" i="3"/>
  <c r="L494" i="3"/>
  <c r="I494" i="3"/>
  <c r="H494" i="3"/>
  <c r="E494" i="3"/>
  <c r="L273" i="3"/>
  <c r="I273" i="3"/>
  <c r="H273" i="3"/>
  <c r="E273" i="3"/>
  <c r="L225" i="3"/>
  <c r="I225" i="3"/>
  <c r="H225" i="3"/>
  <c r="E225" i="3"/>
  <c r="L212" i="3"/>
  <c r="I212" i="3"/>
  <c r="H212" i="3"/>
  <c r="E212" i="3"/>
  <c r="L122" i="3"/>
  <c r="I122" i="3"/>
  <c r="H122" i="3"/>
  <c r="E122" i="3"/>
  <c r="L577" i="3"/>
  <c r="I577" i="3"/>
  <c r="H577" i="3"/>
  <c r="E577" i="3"/>
  <c r="L757" i="3"/>
  <c r="I757" i="3"/>
  <c r="H757" i="3"/>
  <c r="E757" i="3"/>
  <c r="L656" i="3"/>
  <c r="I656" i="3"/>
  <c r="H656" i="3"/>
  <c r="E656" i="3"/>
  <c r="L98" i="3"/>
  <c r="I98" i="3"/>
  <c r="H98" i="3"/>
  <c r="E98" i="3"/>
  <c r="L218" i="3"/>
  <c r="I218" i="3"/>
  <c r="H218" i="3"/>
  <c r="E218" i="3"/>
  <c r="L124" i="3"/>
  <c r="I124" i="3"/>
  <c r="H124" i="3"/>
  <c r="E124" i="3"/>
  <c r="L689" i="3"/>
  <c r="I689" i="3"/>
  <c r="H689" i="3"/>
  <c r="E689" i="3"/>
  <c r="L395" i="3"/>
  <c r="I395" i="3"/>
  <c r="H395" i="3"/>
  <c r="E395" i="3"/>
  <c r="L138" i="3"/>
  <c r="I138" i="3"/>
  <c r="H138" i="3"/>
  <c r="E138" i="3"/>
  <c r="L194" i="3"/>
  <c r="I194" i="3"/>
  <c r="H194" i="3"/>
  <c r="E194" i="3"/>
  <c r="L256" i="3"/>
  <c r="I256" i="3"/>
  <c r="H256" i="3"/>
  <c r="E256" i="3"/>
  <c r="L510" i="3"/>
  <c r="I510" i="3"/>
  <c r="H510" i="3"/>
  <c r="E510" i="3"/>
  <c r="L25" i="3"/>
  <c r="I25" i="3"/>
  <c r="H25" i="3"/>
  <c r="E25" i="3"/>
  <c r="L753" i="3"/>
  <c r="I753" i="3"/>
  <c r="H753" i="3"/>
  <c r="E753" i="3"/>
  <c r="L264" i="3"/>
  <c r="I264" i="3"/>
  <c r="H264" i="3"/>
  <c r="E264" i="3"/>
  <c r="L351" i="3"/>
  <c r="I351" i="3"/>
  <c r="H351" i="3"/>
  <c r="E351" i="3"/>
  <c r="L287" i="3"/>
  <c r="I287" i="3"/>
  <c r="H287" i="3"/>
  <c r="E287" i="3"/>
  <c r="L679" i="3"/>
  <c r="I679" i="3"/>
  <c r="H679" i="3"/>
  <c r="E679" i="3"/>
  <c r="L192" i="3"/>
  <c r="I192" i="3"/>
  <c r="H192" i="3"/>
  <c r="E192" i="3"/>
  <c r="L435" i="3"/>
  <c r="I435" i="3"/>
  <c r="H435" i="3"/>
  <c r="E435" i="3"/>
  <c r="L462" i="3"/>
  <c r="I462" i="3"/>
  <c r="H462" i="3"/>
  <c r="E462" i="3"/>
  <c r="L19" i="3"/>
  <c r="I19" i="3"/>
  <c r="H19" i="3"/>
  <c r="E19" i="3"/>
  <c r="L627" i="3"/>
  <c r="I627" i="3"/>
  <c r="H627" i="3"/>
  <c r="E627" i="3"/>
  <c r="L765" i="3"/>
  <c r="I765" i="3"/>
  <c r="H765" i="3"/>
  <c r="E765" i="3"/>
  <c r="L161" i="3"/>
  <c r="I161" i="3"/>
  <c r="H161" i="3"/>
  <c r="E161" i="3"/>
  <c r="L774" i="3"/>
  <c r="I774" i="3"/>
  <c r="H774" i="3"/>
  <c r="E774" i="3"/>
  <c r="L159" i="3"/>
  <c r="I159" i="3"/>
  <c r="H159" i="3"/>
  <c r="E159" i="3"/>
  <c r="L725" i="3"/>
  <c r="I725" i="3"/>
  <c r="H725" i="3"/>
  <c r="E725" i="3"/>
  <c r="L11" i="3"/>
  <c r="I11" i="3"/>
  <c r="H11" i="3"/>
  <c r="E11" i="3"/>
  <c r="L761" i="3"/>
  <c r="I761" i="3"/>
  <c r="H761" i="3"/>
  <c r="E761" i="3"/>
  <c r="L184" i="3"/>
  <c r="I184" i="3"/>
  <c r="H184" i="3"/>
  <c r="E184" i="3"/>
  <c r="L156" i="3"/>
  <c r="I156" i="3"/>
  <c r="H156" i="3"/>
  <c r="E156" i="3"/>
  <c r="L557" i="3"/>
  <c r="I557" i="3"/>
  <c r="H557" i="3"/>
  <c r="E557" i="3"/>
  <c r="L36" i="3"/>
  <c r="I36" i="3"/>
  <c r="H36" i="3"/>
  <c r="E36" i="3"/>
  <c r="L546" i="3"/>
  <c r="I546" i="3"/>
  <c r="H546" i="3"/>
  <c r="E546" i="3"/>
  <c r="L168" i="3"/>
  <c r="I168" i="3"/>
  <c r="H168" i="3"/>
  <c r="E168" i="3"/>
  <c r="L563" i="3"/>
  <c r="I563" i="3"/>
  <c r="H563" i="3"/>
  <c r="E563" i="3"/>
  <c r="L456" i="3"/>
  <c r="I456" i="3"/>
  <c r="H456" i="3"/>
  <c r="E456" i="3"/>
  <c r="L28" i="3"/>
  <c r="I28" i="3"/>
  <c r="H28" i="3"/>
  <c r="E28" i="3"/>
  <c r="L86" i="3"/>
  <c r="I86" i="3"/>
  <c r="H86" i="3"/>
  <c r="E86" i="3"/>
  <c r="L603" i="3"/>
  <c r="I603" i="3"/>
  <c r="H603" i="3"/>
  <c r="E603" i="3"/>
  <c r="L199" i="3"/>
  <c r="I199" i="3"/>
  <c r="H199" i="3"/>
  <c r="E199" i="3"/>
  <c r="L414" i="3"/>
  <c r="I414" i="3"/>
  <c r="H414" i="3"/>
  <c r="E414" i="3"/>
  <c r="L690" i="3"/>
  <c r="I690" i="3"/>
  <c r="H690" i="3"/>
  <c r="E690" i="3"/>
  <c r="L676" i="3"/>
  <c r="I676" i="3"/>
  <c r="H676" i="3"/>
  <c r="E676" i="3"/>
  <c r="L267" i="3"/>
  <c r="I267" i="3"/>
  <c r="H267" i="3"/>
  <c r="E267" i="3"/>
  <c r="L759" i="3"/>
  <c r="I759" i="3"/>
  <c r="H759" i="3"/>
  <c r="E759" i="3"/>
  <c r="L587" i="3"/>
  <c r="I587" i="3"/>
  <c r="H587" i="3"/>
  <c r="E587" i="3"/>
  <c r="L677" i="3"/>
  <c r="I677" i="3"/>
  <c r="H677" i="3"/>
  <c r="E677" i="3"/>
  <c r="L65" i="3"/>
  <c r="I65" i="3"/>
  <c r="H65" i="3"/>
  <c r="E65" i="3"/>
  <c r="L165" i="3"/>
  <c r="I165" i="3"/>
  <c r="H165" i="3"/>
  <c r="E165" i="3"/>
  <c r="L186" i="3"/>
  <c r="I186" i="3"/>
  <c r="H186" i="3"/>
  <c r="E186" i="3"/>
  <c r="L163" i="3"/>
  <c r="I163" i="3"/>
  <c r="H163" i="3"/>
  <c r="E163" i="3"/>
  <c r="L570" i="3"/>
  <c r="I570" i="3"/>
  <c r="H570" i="3"/>
  <c r="E570" i="3"/>
  <c r="L702" i="3"/>
  <c r="I702" i="3"/>
  <c r="H702" i="3"/>
  <c r="E702" i="3"/>
  <c r="L700" i="3"/>
  <c r="I700" i="3"/>
  <c r="H700" i="3"/>
  <c r="E700" i="3"/>
  <c r="L558" i="3"/>
  <c r="I558" i="3"/>
  <c r="H558" i="3"/>
  <c r="E558" i="3"/>
  <c r="L44" i="3"/>
  <c r="I44" i="3"/>
  <c r="H44" i="3"/>
  <c r="E44" i="3"/>
  <c r="L624" i="3"/>
  <c r="I624" i="3"/>
  <c r="H624" i="3"/>
  <c r="E624" i="3"/>
  <c r="L673" i="3"/>
  <c r="I673" i="3"/>
  <c r="H673" i="3"/>
  <c r="E673" i="3"/>
  <c r="L60" i="3"/>
  <c r="I60" i="3"/>
  <c r="H60" i="3"/>
  <c r="E60" i="3"/>
  <c r="L706" i="3"/>
  <c r="I706" i="3"/>
  <c r="H706" i="3"/>
  <c r="E706" i="3"/>
  <c r="L118" i="3"/>
  <c r="I118" i="3"/>
  <c r="H118" i="3"/>
  <c r="E118" i="3"/>
  <c r="L606" i="3"/>
  <c r="I606" i="3"/>
  <c r="H606" i="3"/>
  <c r="E606" i="3"/>
  <c r="L116" i="3"/>
  <c r="I116" i="3"/>
  <c r="H116" i="3"/>
  <c r="E116" i="3"/>
  <c r="L61" i="3"/>
  <c r="I61" i="3"/>
  <c r="H61" i="3"/>
  <c r="E61" i="3"/>
  <c r="L238" i="3"/>
  <c r="I238" i="3"/>
  <c r="H238" i="3"/>
  <c r="E238" i="3"/>
  <c r="L497" i="3"/>
  <c r="I497" i="3"/>
  <c r="H497" i="3"/>
  <c r="E497" i="3"/>
  <c r="L644" i="3"/>
  <c r="I644" i="3"/>
  <c r="H644" i="3"/>
  <c r="E644" i="3"/>
  <c r="L26" i="3"/>
  <c r="I26" i="3"/>
  <c r="H26" i="3"/>
  <c r="E26" i="3"/>
  <c r="L538" i="3"/>
  <c r="I538" i="3"/>
  <c r="H538" i="3"/>
  <c r="E538" i="3"/>
  <c r="L621" i="3"/>
  <c r="I621" i="3"/>
  <c r="H621" i="3"/>
  <c r="E621" i="3"/>
  <c r="L374" i="3"/>
  <c r="I374" i="3"/>
  <c r="H374" i="3"/>
  <c r="E374" i="3"/>
  <c r="L669" i="3"/>
  <c r="I669" i="3"/>
  <c r="H669" i="3"/>
  <c r="E669" i="3"/>
  <c r="L242" i="3"/>
  <c r="I242" i="3"/>
  <c r="H242" i="3"/>
  <c r="E242" i="3"/>
  <c r="L552" i="3"/>
  <c r="I552" i="3"/>
  <c r="H552" i="3"/>
  <c r="E552" i="3"/>
  <c r="L345" i="3"/>
  <c r="I345" i="3"/>
  <c r="H345" i="3"/>
  <c r="E345" i="3"/>
  <c r="L607" i="3"/>
  <c r="I607" i="3"/>
  <c r="H607" i="3"/>
  <c r="E607" i="3"/>
  <c r="L468" i="3"/>
  <c r="I468" i="3"/>
  <c r="H468" i="3"/>
  <c r="E468" i="3"/>
  <c r="L250" i="3"/>
  <c r="I250" i="3"/>
  <c r="H250" i="3"/>
  <c r="E250" i="3"/>
  <c r="L181" i="3"/>
  <c r="I181" i="3"/>
  <c r="H181" i="3"/>
  <c r="E181" i="3"/>
  <c r="L249" i="3"/>
  <c r="I249" i="3"/>
  <c r="H249" i="3"/>
  <c r="E249" i="3"/>
  <c r="L528" i="3"/>
  <c r="I528" i="3"/>
  <c r="H528" i="3"/>
  <c r="E528" i="3"/>
  <c r="L145" i="3"/>
  <c r="I145" i="3"/>
  <c r="H145" i="3"/>
  <c r="E145" i="3"/>
  <c r="L768" i="3"/>
  <c r="I768" i="3"/>
  <c r="H768" i="3"/>
  <c r="E768" i="3"/>
  <c r="L246" i="3"/>
  <c r="I246" i="3"/>
  <c r="H246" i="3"/>
  <c r="E246" i="3"/>
  <c r="L671" i="3"/>
  <c r="I671" i="3"/>
  <c r="H671" i="3"/>
  <c r="E671" i="3"/>
  <c r="L393" i="3"/>
  <c r="I393" i="3"/>
  <c r="H393" i="3"/>
  <c r="E393" i="3"/>
  <c r="L45" i="3"/>
  <c r="I45" i="3"/>
  <c r="H45" i="3"/>
  <c r="E45" i="3"/>
  <c r="L195" i="3"/>
  <c r="I195" i="3"/>
  <c r="H195" i="3"/>
  <c r="E195" i="3"/>
  <c r="L583" i="3"/>
  <c r="I583" i="3"/>
  <c r="H583" i="3"/>
  <c r="E583" i="3"/>
  <c r="L746" i="3"/>
  <c r="I746" i="3"/>
  <c r="H746" i="3"/>
  <c r="E746" i="3"/>
  <c r="L377" i="3"/>
  <c r="I377" i="3"/>
  <c r="H377" i="3"/>
  <c r="E377" i="3"/>
  <c r="L72" i="3"/>
  <c r="I72" i="3"/>
  <c r="H72" i="3"/>
  <c r="E72" i="3"/>
  <c r="L507" i="3"/>
  <c r="I507" i="3"/>
  <c r="H507" i="3"/>
  <c r="E507" i="3"/>
  <c r="L404" i="3"/>
  <c r="I404" i="3"/>
  <c r="H404" i="3"/>
  <c r="E404" i="3"/>
  <c r="L471" i="3"/>
  <c r="I471" i="3"/>
  <c r="H471" i="3"/>
  <c r="E471" i="3"/>
  <c r="L148" i="3"/>
  <c r="I148" i="3"/>
  <c r="H148" i="3"/>
  <c r="E148" i="3"/>
  <c r="L363" i="3"/>
  <c r="I363" i="3"/>
  <c r="H363" i="3"/>
  <c r="E363" i="3"/>
  <c r="L585" i="3"/>
  <c r="I585" i="3"/>
  <c r="H585" i="3"/>
  <c r="E585" i="3"/>
  <c r="L289" i="3"/>
  <c r="I289" i="3"/>
  <c r="H289" i="3"/>
  <c r="E289" i="3"/>
  <c r="L654" i="3"/>
  <c r="I654" i="3"/>
  <c r="H654" i="3"/>
  <c r="E654" i="3"/>
  <c r="L490" i="3"/>
  <c r="I490" i="3"/>
  <c r="H490" i="3"/>
  <c r="E490" i="3"/>
  <c r="L204" i="3"/>
  <c r="I204" i="3"/>
  <c r="H204" i="3"/>
  <c r="E204" i="3"/>
  <c r="L88" i="3"/>
  <c r="I88" i="3"/>
  <c r="H88" i="3"/>
  <c r="E88" i="3"/>
  <c r="L390" i="3"/>
  <c r="I390" i="3"/>
  <c r="H390" i="3"/>
  <c r="E390" i="3"/>
  <c r="L167" i="3"/>
  <c r="I167" i="3"/>
  <c r="H167" i="3"/>
  <c r="E167" i="3"/>
  <c r="L572" i="3"/>
  <c r="I572" i="3"/>
  <c r="H572" i="3"/>
  <c r="E572" i="3"/>
  <c r="L578" i="3"/>
  <c r="I578" i="3"/>
  <c r="H578" i="3"/>
  <c r="E578" i="3"/>
  <c r="L738" i="3"/>
  <c r="I738" i="3"/>
  <c r="H738" i="3"/>
  <c r="E738" i="3"/>
  <c r="L511" i="3"/>
  <c r="I511" i="3"/>
  <c r="H511" i="3"/>
  <c r="E511" i="3"/>
  <c r="L489" i="3"/>
  <c r="I489" i="3"/>
  <c r="H489" i="3"/>
  <c r="E489" i="3"/>
  <c r="L210" i="3"/>
  <c r="I210" i="3"/>
  <c r="H210" i="3"/>
  <c r="E210" i="3"/>
  <c r="L388" i="3"/>
  <c r="I388" i="3"/>
  <c r="H388" i="3"/>
  <c r="E388" i="3"/>
  <c r="L481" i="3"/>
  <c r="I481" i="3"/>
  <c r="H481" i="3"/>
  <c r="E481" i="3"/>
  <c r="L326" i="3"/>
  <c r="I326" i="3"/>
  <c r="H326" i="3"/>
  <c r="E326" i="3"/>
  <c r="L488" i="3"/>
  <c r="I488" i="3"/>
  <c r="H488" i="3"/>
  <c r="E488" i="3"/>
  <c r="L516" i="3"/>
  <c r="I516" i="3"/>
  <c r="H516" i="3"/>
  <c r="E516" i="3"/>
  <c r="L401" i="3"/>
  <c r="I401" i="3"/>
  <c r="H401" i="3"/>
  <c r="E401" i="3"/>
  <c r="L434" i="3"/>
  <c r="I434" i="3"/>
  <c r="H434" i="3"/>
  <c r="E434" i="3"/>
  <c r="L113" i="3"/>
  <c r="I113" i="3"/>
  <c r="H113" i="3"/>
  <c r="E113" i="3"/>
  <c r="L366" i="3"/>
  <c r="I366" i="3"/>
  <c r="H366" i="3"/>
  <c r="E366" i="3"/>
  <c r="L307" i="3"/>
  <c r="I307" i="3"/>
  <c r="H307" i="3"/>
  <c r="E307" i="3"/>
  <c r="L428" i="3"/>
  <c r="I428" i="3"/>
  <c r="H428" i="3"/>
  <c r="E428" i="3"/>
  <c r="L385" i="3"/>
  <c r="I385" i="3"/>
  <c r="H385" i="3"/>
  <c r="E385" i="3"/>
  <c r="L323" i="3"/>
  <c r="I323" i="3"/>
  <c r="H323" i="3"/>
  <c r="E323" i="3"/>
  <c r="L416" i="3"/>
  <c r="I416" i="3"/>
  <c r="H416" i="3"/>
  <c r="E416" i="3"/>
  <c r="L437" i="3"/>
  <c r="I437" i="3"/>
  <c r="H437" i="3"/>
  <c r="E437" i="3"/>
  <c r="L777" i="3"/>
  <c r="I777" i="3"/>
  <c r="H777" i="3"/>
  <c r="E777" i="3"/>
  <c r="L80" i="3"/>
  <c r="I80" i="3"/>
  <c r="H80" i="3"/>
  <c r="E80" i="3"/>
  <c r="L356" i="3"/>
  <c r="I356" i="3"/>
  <c r="H356" i="3"/>
  <c r="E356" i="3"/>
  <c r="L446" i="3"/>
  <c r="I446" i="3"/>
  <c r="H446" i="3"/>
  <c r="E446" i="3"/>
  <c r="L713" i="3"/>
  <c r="I713" i="3"/>
  <c r="H713" i="3"/>
  <c r="E713" i="3"/>
  <c r="L188" i="3"/>
  <c r="I188" i="3"/>
  <c r="H188" i="3"/>
  <c r="E188" i="3"/>
  <c r="L597" i="3"/>
  <c r="I597" i="3"/>
  <c r="H597" i="3"/>
  <c r="E597" i="3"/>
  <c r="L683" i="3"/>
  <c r="I683" i="3"/>
  <c r="H683" i="3"/>
  <c r="E683" i="3"/>
  <c r="L635" i="3"/>
  <c r="I635" i="3"/>
  <c r="H635" i="3"/>
  <c r="E635" i="3"/>
  <c r="L361" i="3"/>
  <c r="I361" i="3"/>
  <c r="H361" i="3"/>
  <c r="E361" i="3"/>
  <c r="L630" i="3"/>
  <c r="I630" i="3"/>
  <c r="H630" i="3"/>
  <c r="E630" i="3"/>
  <c r="L451" i="3"/>
  <c r="I451" i="3"/>
  <c r="H451" i="3"/>
  <c r="E451" i="3"/>
  <c r="L545" i="3"/>
  <c r="I545" i="3"/>
  <c r="H545" i="3"/>
  <c r="E545" i="3"/>
  <c r="L320" i="3"/>
  <c r="I320" i="3"/>
  <c r="H320" i="3"/>
  <c r="E320" i="3"/>
  <c r="L102" i="3"/>
  <c r="I102" i="3"/>
  <c r="H102" i="3"/>
  <c r="E102" i="3"/>
  <c r="L66" i="3"/>
  <c r="I66" i="3"/>
  <c r="H66" i="3"/>
  <c r="E66" i="3"/>
  <c r="L64" i="3"/>
  <c r="I64" i="3"/>
  <c r="H64" i="3"/>
  <c r="E64" i="3"/>
  <c r="L367" i="3"/>
  <c r="I367" i="3"/>
  <c r="H367" i="3"/>
  <c r="E367" i="3"/>
  <c r="L365" i="3"/>
  <c r="I365" i="3"/>
  <c r="H365" i="3"/>
  <c r="E365" i="3"/>
  <c r="L177" i="3"/>
  <c r="I177" i="3"/>
  <c r="H177" i="3"/>
  <c r="E177" i="3"/>
  <c r="L737" i="3"/>
  <c r="I737" i="3"/>
  <c r="H737" i="3"/>
  <c r="E737" i="3"/>
  <c r="L473" i="3"/>
  <c r="I473" i="3"/>
  <c r="H473" i="3"/>
  <c r="E473" i="3"/>
  <c r="L386" i="3"/>
  <c r="I386" i="3"/>
  <c r="H386" i="3"/>
  <c r="E386" i="3"/>
  <c r="L457" i="3"/>
  <c r="I457" i="3"/>
  <c r="H457" i="3"/>
  <c r="E457" i="3"/>
  <c r="L652" i="3"/>
  <c r="I652" i="3"/>
  <c r="H652" i="3"/>
  <c r="E652" i="3"/>
  <c r="L666" i="3"/>
  <c r="I666" i="3"/>
  <c r="H666" i="3"/>
  <c r="E666" i="3"/>
  <c r="L551" i="3"/>
  <c r="I551" i="3"/>
  <c r="H551" i="3"/>
  <c r="E551" i="3"/>
  <c r="L300" i="3"/>
  <c r="I300" i="3"/>
  <c r="H300" i="3"/>
  <c r="E300" i="3"/>
  <c r="L532" i="3"/>
  <c r="I532" i="3"/>
  <c r="H532" i="3"/>
  <c r="E532" i="3"/>
  <c r="L447" i="3"/>
  <c r="I447" i="3"/>
  <c r="H447" i="3"/>
  <c r="E447" i="3"/>
  <c r="L333" i="3"/>
  <c r="I333" i="3"/>
  <c r="H333" i="3"/>
  <c r="E333" i="3"/>
  <c r="L410" i="3"/>
  <c r="I410" i="3"/>
  <c r="H410" i="3"/>
  <c r="E410" i="3"/>
  <c r="L147" i="3"/>
  <c r="I147" i="3"/>
  <c r="H147" i="3"/>
  <c r="E147" i="3"/>
  <c r="L625" i="3"/>
  <c r="I625" i="3"/>
  <c r="H625" i="3"/>
  <c r="E625" i="3"/>
  <c r="L478" i="3"/>
  <c r="I478" i="3"/>
  <c r="H478" i="3"/>
  <c r="E478" i="3"/>
  <c r="L392" i="3"/>
  <c r="I392" i="3"/>
  <c r="H392" i="3"/>
  <c r="E392" i="3"/>
  <c r="L269" i="3"/>
  <c r="I269" i="3"/>
  <c r="H269" i="3"/>
  <c r="E269" i="3"/>
  <c r="L747" i="3"/>
  <c r="I747" i="3"/>
  <c r="H747" i="3"/>
  <c r="E747" i="3"/>
  <c r="L151" i="3"/>
  <c r="I151" i="3"/>
  <c r="H151" i="3"/>
  <c r="E151" i="3"/>
  <c r="L160" i="3"/>
  <c r="I160" i="3"/>
  <c r="H160" i="3"/>
  <c r="E160" i="3"/>
  <c r="L53" i="3"/>
  <c r="I53" i="3"/>
  <c r="H53" i="3"/>
  <c r="E53" i="3"/>
  <c r="L622" i="3"/>
  <c r="I622" i="3"/>
  <c r="H622" i="3"/>
  <c r="E622" i="3"/>
  <c r="L126" i="3"/>
  <c r="I126" i="3"/>
  <c r="H126" i="3"/>
  <c r="E126" i="3"/>
  <c r="L405" i="3"/>
  <c r="I405" i="3"/>
  <c r="H405" i="3"/>
  <c r="E405" i="3"/>
  <c r="L277" i="3"/>
  <c r="I277" i="3"/>
  <c r="H277" i="3"/>
  <c r="E277" i="3"/>
  <c r="L59" i="3"/>
  <c r="I59" i="3"/>
  <c r="H59" i="3"/>
  <c r="E59" i="3"/>
  <c r="L692" i="3"/>
  <c r="I692" i="3"/>
  <c r="H692" i="3"/>
  <c r="E692" i="3"/>
  <c r="L531" i="3"/>
  <c r="I531" i="3"/>
  <c r="H531" i="3"/>
  <c r="E531" i="3"/>
  <c r="L562" i="3"/>
  <c r="I562" i="3"/>
  <c r="H562" i="3"/>
  <c r="E562" i="3"/>
  <c r="L441" i="3"/>
  <c r="I441" i="3"/>
  <c r="H441" i="3"/>
  <c r="E441" i="3"/>
  <c r="L128" i="3"/>
  <c r="I128" i="3"/>
  <c r="H128" i="3"/>
  <c r="E128" i="3"/>
  <c r="L736" i="3"/>
  <c r="I736" i="3"/>
  <c r="H736" i="3"/>
  <c r="E736" i="3"/>
  <c r="L586" i="3"/>
  <c r="I586" i="3"/>
  <c r="H586" i="3"/>
  <c r="E586" i="3"/>
  <c r="L693" i="3"/>
  <c r="I693" i="3"/>
  <c r="H693" i="3"/>
  <c r="E693" i="3"/>
  <c r="L109" i="3"/>
  <c r="I109" i="3"/>
  <c r="H109" i="3"/>
  <c r="E109" i="3"/>
  <c r="L189" i="3"/>
  <c r="I189" i="3"/>
  <c r="H189" i="3"/>
  <c r="E189" i="3"/>
  <c r="L493" i="3"/>
  <c r="I493" i="3"/>
  <c r="H493" i="3"/>
  <c r="E493" i="3"/>
  <c r="L533" i="3"/>
  <c r="I533" i="3"/>
  <c r="H533" i="3"/>
  <c r="E533" i="3"/>
  <c r="L440" i="3"/>
  <c r="I440" i="3"/>
  <c r="H440" i="3"/>
  <c r="E440" i="3"/>
  <c r="L185" i="3"/>
  <c r="I185" i="3"/>
  <c r="H185" i="3"/>
  <c r="E185" i="3"/>
  <c r="L378" i="3"/>
  <c r="I378" i="3"/>
  <c r="H378" i="3"/>
  <c r="E378" i="3"/>
  <c r="L228" i="3"/>
  <c r="I228" i="3"/>
  <c r="H228" i="3"/>
  <c r="E228" i="3"/>
  <c r="L32" i="3"/>
  <c r="I32" i="3"/>
  <c r="H32" i="3"/>
  <c r="E32" i="3"/>
  <c r="L547" i="3"/>
  <c r="I547" i="3"/>
  <c r="H547" i="3"/>
  <c r="E547" i="3"/>
  <c r="L329" i="3"/>
  <c r="I329" i="3"/>
  <c r="H329" i="3"/>
  <c r="E329" i="3"/>
  <c r="L649" i="3"/>
  <c r="I649" i="3"/>
  <c r="H649" i="3"/>
  <c r="E649" i="3"/>
  <c r="L454" i="3"/>
  <c r="I454" i="3"/>
  <c r="H454" i="3"/>
  <c r="E454" i="3"/>
  <c r="L715" i="3"/>
  <c r="I715" i="3"/>
  <c r="H715" i="3"/>
  <c r="E715" i="3"/>
  <c r="L21" i="3"/>
  <c r="I21" i="3"/>
  <c r="H21" i="3"/>
  <c r="E21" i="3"/>
  <c r="L417" i="3"/>
  <c r="I417" i="3"/>
  <c r="H417" i="3"/>
  <c r="E417" i="3"/>
  <c r="L224" i="3"/>
  <c r="I224" i="3"/>
  <c r="H224" i="3"/>
  <c r="E224" i="3"/>
  <c r="L534" i="3"/>
  <c r="I534" i="3"/>
  <c r="H534" i="3"/>
  <c r="E534" i="3"/>
  <c r="L549" i="3"/>
  <c r="I549" i="3"/>
  <c r="H549" i="3"/>
  <c r="E549" i="3"/>
  <c r="L234" i="3"/>
  <c r="I234" i="3"/>
  <c r="H234" i="3"/>
  <c r="E234" i="3"/>
  <c r="L480" i="3"/>
  <c r="I480" i="3"/>
  <c r="H480" i="3"/>
  <c r="E480" i="3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E3" i="1"/>
  <c r="I3" i="1"/>
  <c r="E4" i="1"/>
  <c r="I4" i="1"/>
  <c r="E5" i="1"/>
  <c r="I5" i="1"/>
  <c r="E6" i="1"/>
  <c r="I6" i="1"/>
  <c r="E7" i="1"/>
  <c r="I7" i="1"/>
  <c r="E8" i="1"/>
  <c r="I8" i="1"/>
  <c r="E9" i="1"/>
  <c r="I9" i="1"/>
  <c r="E10" i="1"/>
  <c r="I10" i="1"/>
  <c r="E11" i="1"/>
  <c r="I11" i="1"/>
  <c r="E12" i="1"/>
  <c r="I12" i="1"/>
  <c r="E13" i="1"/>
  <c r="I13" i="1"/>
  <c r="E14" i="1"/>
  <c r="I14" i="1"/>
  <c r="E15" i="1"/>
  <c r="I15" i="1"/>
  <c r="E16" i="1"/>
  <c r="I16" i="1"/>
  <c r="E17" i="1"/>
  <c r="I17" i="1"/>
  <c r="E18" i="1"/>
  <c r="I18" i="1"/>
  <c r="E19" i="1"/>
  <c r="I19" i="1"/>
  <c r="E20" i="1"/>
  <c r="I20" i="1"/>
  <c r="E21" i="1"/>
  <c r="I21" i="1"/>
  <c r="E22" i="1"/>
  <c r="I22" i="1"/>
  <c r="E23" i="1"/>
  <c r="I23" i="1"/>
  <c r="E24" i="1"/>
  <c r="I24" i="1"/>
  <c r="E25" i="1"/>
  <c r="I25" i="1"/>
  <c r="E26" i="1"/>
  <c r="I26" i="1"/>
  <c r="E27" i="1"/>
  <c r="I27" i="1"/>
  <c r="E28" i="1"/>
  <c r="I28" i="1"/>
  <c r="E29" i="1"/>
  <c r="I29" i="1"/>
  <c r="E30" i="1"/>
  <c r="I30" i="1"/>
  <c r="E31" i="1"/>
  <c r="I31" i="1"/>
  <c r="E32" i="1"/>
  <c r="I32" i="1"/>
  <c r="E33" i="1"/>
  <c r="I33" i="1"/>
  <c r="E34" i="1"/>
  <c r="I34" i="1"/>
  <c r="E35" i="1"/>
  <c r="I35" i="1"/>
  <c r="E36" i="1"/>
  <c r="I36" i="1"/>
  <c r="E37" i="1"/>
  <c r="I37" i="1"/>
  <c r="E38" i="1"/>
  <c r="I38" i="1"/>
  <c r="E39" i="1"/>
  <c r="I39" i="1"/>
  <c r="E40" i="1"/>
  <c r="I40" i="1"/>
  <c r="E41" i="1"/>
  <c r="I41" i="1"/>
  <c r="E42" i="1"/>
  <c r="I42" i="1"/>
  <c r="E43" i="1"/>
  <c r="I43" i="1"/>
  <c r="E44" i="1"/>
  <c r="I44" i="1"/>
  <c r="E45" i="1"/>
  <c r="I45" i="1"/>
  <c r="E46" i="1"/>
  <c r="I46" i="1"/>
  <c r="E47" i="1"/>
  <c r="I47" i="1"/>
  <c r="E48" i="1"/>
  <c r="I48" i="1"/>
  <c r="E49" i="1"/>
  <c r="I49" i="1"/>
  <c r="E50" i="1"/>
  <c r="I50" i="1"/>
  <c r="E51" i="1"/>
  <c r="I51" i="1"/>
  <c r="E52" i="1"/>
  <c r="I52" i="1"/>
  <c r="E53" i="1"/>
  <c r="I53" i="1"/>
  <c r="E54" i="1"/>
  <c r="I54" i="1"/>
  <c r="E55" i="1"/>
  <c r="I55" i="1"/>
  <c r="E56" i="1"/>
  <c r="I56" i="1"/>
  <c r="E57" i="1"/>
  <c r="I57" i="1"/>
  <c r="E58" i="1"/>
  <c r="I58" i="1"/>
  <c r="E59" i="1"/>
  <c r="I59" i="1"/>
  <c r="E60" i="1"/>
  <c r="I60" i="1"/>
  <c r="E61" i="1"/>
  <c r="I61" i="1"/>
  <c r="E62" i="1"/>
  <c r="I62" i="1"/>
  <c r="E63" i="1"/>
  <c r="I63" i="1"/>
  <c r="E64" i="1"/>
  <c r="I64" i="1"/>
  <c r="E65" i="1"/>
  <c r="I65" i="1"/>
  <c r="E66" i="1"/>
  <c r="I66" i="1"/>
  <c r="E67" i="1"/>
  <c r="I67" i="1"/>
  <c r="E68" i="1"/>
  <c r="I68" i="1"/>
  <c r="E69" i="1"/>
  <c r="I69" i="1"/>
  <c r="E70" i="1"/>
  <c r="I70" i="1"/>
  <c r="E71" i="1"/>
  <c r="I71" i="1"/>
  <c r="E72" i="1"/>
  <c r="I72" i="1"/>
  <c r="E73" i="1"/>
  <c r="I73" i="1"/>
  <c r="E74" i="1"/>
  <c r="I74" i="1"/>
  <c r="E75" i="1"/>
  <c r="I75" i="1"/>
  <c r="E76" i="1"/>
  <c r="I76" i="1"/>
  <c r="E77" i="1"/>
  <c r="I77" i="1"/>
  <c r="E78" i="1"/>
  <c r="I78" i="1"/>
  <c r="E79" i="1"/>
  <c r="I79" i="1"/>
  <c r="E80" i="1"/>
  <c r="I80" i="1"/>
  <c r="E81" i="1"/>
  <c r="I81" i="1"/>
  <c r="E82" i="1"/>
  <c r="I82" i="1"/>
  <c r="E83" i="1"/>
  <c r="I83" i="1"/>
  <c r="E84" i="1"/>
  <c r="I84" i="1"/>
  <c r="E85" i="1"/>
  <c r="I85" i="1"/>
  <c r="E86" i="1"/>
  <c r="I86" i="1"/>
  <c r="E87" i="1"/>
  <c r="I87" i="1"/>
  <c r="E88" i="1"/>
  <c r="I88" i="1"/>
  <c r="E89" i="1"/>
  <c r="I89" i="1"/>
  <c r="E90" i="1"/>
  <c r="I90" i="1"/>
  <c r="E91" i="1"/>
  <c r="I91" i="1"/>
  <c r="E92" i="1"/>
  <c r="I92" i="1"/>
  <c r="E93" i="1"/>
  <c r="I93" i="1"/>
  <c r="E94" i="1"/>
  <c r="I94" i="1"/>
  <c r="E95" i="1"/>
  <c r="I95" i="1"/>
  <c r="E96" i="1"/>
  <c r="I96" i="1"/>
  <c r="E97" i="1"/>
  <c r="I97" i="1"/>
  <c r="E98" i="1"/>
  <c r="I98" i="1"/>
  <c r="E99" i="1"/>
  <c r="I99" i="1"/>
  <c r="E100" i="1"/>
  <c r="I100" i="1"/>
  <c r="E101" i="1"/>
  <c r="I101" i="1"/>
  <c r="E102" i="1"/>
  <c r="I102" i="1"/>
  <c r="E103" i="1"/>
  <c r="I103" i="1"/>
  <c r="E104" i="1"/>
  <c r="I104" i="1"/>
  <c r="E105" i="1"/>
  <c r="I105" i="1"/>
  <c r="E106" i="1"/>
  <c r="I106" i="1"/>
  <c r="E107" i="1"/>
  <c r="I107" i="1"/>
  <c r="E108" i="1"/>
  <c r="I108" i="1"/>
  <c r="E109" i="1"/>
  <c r="I109" i="1"/>
  <c r="E110" i="1"/>
  <c r="I110" i="1"/>
  <c r="E111" i="1"/>
  <c r="I111" i="1"/>
  <c r="E112" i="1"/>
  <c r="I112" i="1"/>
  <c r="E113" i="1"/>
  <c r="I113" i="1"/>
  <c r="E114" i="1"/>
  <c r="I114" i="1"/>
  <c r="E115" i="1"/>
  <c r="I115" i="1"/>
  <c r="E116" i="1"/>
  <c r="I116" i="1"/>
  <c r="E117" i="1"/>
  <c r="I117" i="1"/>
  <c r="E118" i="1"/>
  <c r="I118" i="1"/>
  <c r="E119" i="1"/>
  <c r="I119" i="1"/>
  <c r="E120" i="1"/>
  <c r="I120" i="1"/>
  <c r="E121" i="1"/>
  <c r="I121" i="1"/>
  <c r="E122" i="1"/>
  <c r="I122" i="1"/>
  <c r="E123" i="1"/>
  <c r="I123" i="1"/>
  <c r="E124" i="1"/>
  <c r="I124" i="1"/>
  <c r="E125" i="1"/>
  <c r="I125" i="1"/>
  <c r="E126" i="1"/>
  <c r="I126" i="1"/>
  <c r="E127" i="1"/>
  <c r="I127" i="1"/>
  <c r="E128" i="1"/>
  <c r="I128" i="1"/>
  <c r="E129" i="1"/>
  <c r="I129" i="1"/>
  <c r="E130" i="1"/>
  <c r="I130" i="1"/>
  <c r="E131" i="1"/>
  <c r="I131" i="1"/>
  <c r="E132" i="1"/>
  <c r="I132" i="1"/>
  <c r="E133" i="1"/>
  <c r="I133" i="1"/>
  <c r="E134" i="1"/>
  <c r="I134" i="1"/>
  <c r="E135" i="1"/>
  <c r="I135" i="1"/>
  <c r="E136" i="1"/>
  <c r="I136" i="1"/>
  <c r="E137" i="1"/>
  <c r="I137" i="1"/>
  <c r="E138" i="1"/>
  <c r="I138" i="1"/>
  <c r="E139" i="1"/>
  <c r="I139" i="1"/>
  <c r="E140" i="1"/>
  <c r="I140" i="1"/>
  <c r="E141" i="1"/>
  <c r="I141" i="1"/>
  <c r="E142" i="1"/>
  <c r="I142" i="1"/>
  <c r="E143" i="1"/>
  <c r="I143" i="1"/>
  <c r="E144" i="1"/>
  <c r="I144" i="1"/>
  <c r="E145" i="1"/>
  <c r="I145" i="1"/>
  <c r="E146" i="1"/>
  <c r="I146" i="1"/>
  <c r="E147" i="1"/>
  <c r="I147" i="1"/>
  <c r="E148" i="1"/>
  <c r="I148" i="1"/>
  <c r="E149" i="1"/>
  <c r="I149" i="1"/>
  <c r="E150" i="1"/>
  <c r="I150" i="1"/>
  <c r="E151" i="1"/>
  <c r="I151" i="1"/>
  <c r="E152" i="1"/>
  <c r="I152" i="1"/>
  <c r="E153" i="1"/>
  <c r="I153" i="1"/>
  <c r="E154" i="1"/>
  <c r="I154" i="1"/>
  <c r="E155" i="1"/>
  <c r="I155" i="1"/>
  <c r="E156" i="1"/>
  <c r="I156" i="1"/>
  <c r="E157" i="1"/>
  <c r="I157" i="1"/>
  <c r="E158" i="1"/>
  <c r="I158" i="1"/>
  <c r="E159" i="1"/>
  <c r="I159" i="1"/>
  <c r="E160" i="1"/>
  <c r="I160" i="1"/>
  <c r="E161" i="1"/>
  <c r="I161" i="1"/>
  <c r="E162" i="1"/>
  <c r="I162" i="1"/>
  <c r="E163" i="1"/>
  <c r="I163" i="1"/>
  <c r="E164" i="1"/>
  <c r="I164" i="1"/>
  <c r="E165" i="1"/>
  <c r="I165" i="1"/>
  <c r="E166" i="1"/>
  <c r="I166" i="1"/>
  <c r="E167" i="1"/>
  <c r="I167" i="1"/>
  <c r="E168" i="1"/>
  <c r="I168" i="1"/>
  <c r="E169" i="1"/>
  <c r="I169" i="1"/>
  <c r="E170" i="1"/>
  <c r="I170" i="1"/>
  <c r="E171" i="1"/>
  <c r="I171" i="1"/>
  <c r="E172" i="1"/>
  <c r="I172" i="1"/>
  <c r="E173" i="1"/>
  <c r="I173" i="1"/>
  <c r="E174" i="1"/>
  <c r="I174" i="1"/>
  <c r="E175" i="1"/>
  <c r="I175" i="1"/>
  <c r="E176" i="1"/>
  <c r="I176" i="1"/>
  <c r="E177" i="1"/>
  <c r="I177" i="1"/>
  <c r="E178" i="1"/>
  <c r="I178" i="1"/>
  <c r="E179" i="1"/>
  <c r="I179" i="1"/>
  <c r="E180" i="1"/>
  <c r="I180" i="1"/>
  <c r="E181" i="1"/>
  <c r="I181" i="1"/>
  <c r="E182" i="1"/>
  <c r="I182" i="1"/>
  <c r="E183" i="1"/>
  <c r="I183" i="1"/>
  <c r="E184" i="1"/>
  <c r="I184" i="1"/>
  <c r="E185" i="1"/>
  <c r="I185" i="1"/>
  <c r="E186" i="1"/>
  <c r="I186" i="1"/>
  <c r="E187" i="1"/>
  <c r="I187" i="1"/>
  <c r="E188" i="1"/>
  <c r="I188" i="1"/>
  <c r="E189" i="1"/>
  <c r="I189" i="1"/>
  <c r="E190" i="1"/>
  <c r="I190" i="1"/>
  <c r="E191" i="1"/>
  <c r="I191" i="1"/>
  <c r="E192" i="1"/>
  <c r="I192" i="1"/>
  <c r="E193" i="1"/>
  <c r="I193" i="1"/>
  <c r="E194" i="1"/>
  <c r="I194" i="1"/>
  <c r="E195" i="1"/>
  <c r="I195" i="1"/>
  <c r="E196" i="1"/>
  <c r="I196" i="1"/>
  <c r="E197" i="1"/>
  <c r="I197" i="1"/>
  <c r="E198" i="1"/>
  <c r="I198" i="1"/>
  <c r="E199" i="1"/>
  <c r="I199" i="1"/>
  <c r="E200" i="1"/>
  <c r="I200" i="1"/>
  <c r="E201" i="1"/>
  <c r="I201" i="1"/>
  <c r="E202" i="1"/>
  <c r="I202" i="1"/>
  <c r="E203" i="1"/>
  <c r="I203" i="1"/>
  <c r="E204" i="1"/>
  <c r="I204" i="1"/>
  <c r="E205" i="1"/>
  <c r="I205" i="1"/>
  <c r="E206" i="1"/>
  <c r="I206" i="1"/>
  <c r="E207" i="1"/>
  <c r="I207" i="1"/>
  <c r="E208" i="1"/>
  <c r="I208" i="1"/>
  <c r="E209" i="1"/>
  <c r="I209" i="1"/>
  <c r="E210" i="1"/>
  <c r="I210" i="1"/>
  <c r="E211" i="1"/>
  <c r="I211" i="1"/>
  <c r="E212" i="1"/>
  <c r="I212" i="1"/>
  <c r="E213" i="1"/>
  <c r="I213" i="1"/>
  <c r="E214" i="1"/>
  <c r="I214" i="1"/>
  <c r="E215" i="1"/>
  <c r="I215" i="1"/>
  <c r="E216" i="1"/>
  <c r="I216" i="1"/>
  <c r="E217" i="1"/>
  <c r="I217" i="1"/>
  <c r="E218" i="1"/>
  <c r="I218" i="1"/>
  <c r="E219" i="1"/>
  <c r="I219" i="1"/>
  <c r="E220" i="1"/>
  <c r="I220" i="1"/>
  <c r="E221" i="1"/>
  <c r="I221" i="1"/>
  <c r="E222" i="1"/>
  <c r="I222" i="1"/>
  <c r="E223" i="1"/>
  <c r="I223" i="1"/>
  <c r="E224" i="1"/>
  <c r="I224" i="1"/>
  <c r="E225" i="1"/>
  <c r="I225" i="1"/>
  <c r="E226" i="1"/>
  <c r="I226" i="1"/>
  <c r="E227" i="1"/>
  <c r="I227" i="1"/>
  <c r="E228" i="1"/>
  <c r="I228" i="1"/>
  <c r="E229" i="1"/>
  <c r="I229" i="1"/>
  <c r="E230" i="1"/>
  <c r="I230" i="1"/>
  <c r="E231" i="1"/>
  <c r="I231" i="1"/>
  <c r="E232" i="1"/>
  <c r="I232" i="1"/>
  <c r="E233" i="1"/>
  <c r="I233" i="1"/>
  <c r="E234" i="1"/>
  <c r="I234" i="1"/>
  <c r="E235" i="1"/>
  <c r="I235" i="1"/>
  <c r="E236" i="1"/>
  <c r="I236" i="1"/>
  <c r="E237" i="1"/>
  <c r="I237" i="1"/>
  <c r="E238" i="1"/>
  <c r="I238" i="1"/>
  <c r="E239" i="1"/>
  <c r="I239" i="1"/>
  <c r="E240" i="1"/>
  <c r="I240" i="1"/>
  <c r="E241" i="1"/>
  <c r="I241" i="1"/>
  <c r="E242" i="1"/>
  <c r="I242" i="1"/>
  <c r="E243" i="1"/>
  <c r="I243" i="1"/>
  <c r="E244" i="1"/>
  <c r="I244" i="1"/>
  <c r="E245" i="1"/>
  <c r="I245" i="1"/>
  <c r="E246" i="1"/>
  <c r="I246" i="1"/>
  <c r="E247" i="1"/>
  <c r="I247" i="1"/>
  <c r="E248" i="1"/>
  <c r="I248" i="1"/>
  <c r="E249" i="1"/>
  <c r="I249" i="1"/>
  <c r="E250" i="1"/>
  <c r="I250" i="1"/>
  <c r="E251" i="1"/>
  <c r="I251" i="1"/>
  <c r="E252" i="1"/>
  <c r="I252" i="1"/>
  <c r="E253" i="1"/>
  <c r="I253" i="1"/>
  <c r="E254" i="1"/>
  <c r="I254" i="1"/>
  <c r="E255" i="1"/>
  <c r="I255" i="1"/>
  <c r="E256" i="1"/>
  <c r="I256" i="1"/>
  <c r="E257" i="1"/>
  <c r="I257" i="1"/>
  <c r="E258" i="1"/>
  <c r="I258" i="1"/>
  <c r="E259" i="1"/>
  <c r="I259" i="1"/>
  <c r="E260" i="1"/>
  <c r="I260" i="1"/>
  <c r="E261" i="1"/>
  <c r="I261" i="1"/>
  <c r="E262" i="1"/>
  <c r="I262" i="1"/>
  <c r="E263" i="1"/>
  <c r="I263" i="1"/>
  <c r="E264" i="1"/>
  <c r="I264" i="1"/>
  <c r="E265" i="1"/>
  <c r="I265" i="1"/>
  <c r="E266" i="1"/>
  <c r="I266" i="1"/>
  <c r="E267" i="1"/>
  <c r="I267" i="1"/>
  <c r="E268" i="1"/>
  <c r="I268" i="1"/>
  <c r="E269" i="1"/>
  <c r="I269" i="1"/>
  <c r="E270" i="1"/>
  <c r="I270" i="1"/>
  <c r="E271" i="1"/>
  <c r="I271" i="1"/>
  <c r="E272" i="1"/>
  <c r="I272" i="1"/>
  <c r="E273" i="1"/>
  <c r="I273" i="1"/>
  <c r="E274" i="1"/>
  <c r="I274" i="1"/>
  <c r="E275" i="1"/>
  <c r="I275" i="1"/>
  <c r="E276" i="1"/>
  <c r="I276" i="1"/>
  <c r="E277" i="1"/>
  <c r="I277" i="1"/>
  <c r="E278" i="1"/>
  <c r="I278" i="1"/>
  <c r="E279" i="1"/>
  <c r="I279" i="1"/>
  <c r="E280" i="1"/>
  <c r="I280" i="1"/>
  <c r="E281" i="1"/>
  <c r="I281" i="1"/>
  <c r="E282" i="1"/>
  <c r="I282" i="1"/>
  <c r="E283" i="1"/>
  <c r="I283" i="1"/>
  <c r="E284" i="1"/>
  <c r="I284" i="1"/>
  <c r="E285" i="1"/>
  <c r="I285" i="1"/>
  <c r="E286" i="1"/>
  <c r="I286" i="1"/>
  <c r="E287" i="1"/>
  <c r="I287" i="1"/>
  <c r="E288" i="1"/>
  <c r="I288" i="1"/>
  <c r="E289" i="1"/>
  <c r="I289" i="1"/>
  <c r="E290" i="1"/>
  <c r="I290" i="1"/>
  <c r="E291" i="1"/>
  <c r="I291" i="1"/>
  <c r="E292" i="1"/>
  <c r="I292" i="1"/>
  <c r="E293" i="1"/>
  <c r="I293" i="1"/>
  <c r="E294" i="1"/>
  <c r="I294" i="1"/>
  <c r="E295" i="1"/>
  <c r="I295" i="1"/>
  <c r="E296" i="1"/>
  <c r="I296" i="1"/>
  <c r="E297" i="1"/>
  <c r="I297" i="1"/>
  <c r="E298" i="1"/>
  <c r="I298" i="1"/>
  <c r="E299" i="1"/>
  <c r="I299" i="1"/>
  <c r="E300" i="1"/>
  <c r="I300" i="1"/>
  <c r="E301" i="1"/>
  <c r="I301" i="1"/>
  <c r="E302" i="1"/>
  <c r="I302" i="1"/>
  <c r="E303" i="1"/>
  <c r="I303" i="1"/>
  <c r="E304" i="1"/>
  <c r="I304" i="1"/>
  <c r="E305" i="1"/>
  <c r="I305" i="1"/>
  <c r="E306" i="1"/>
  <c r="I306" i="1"/>
  <c r="E307" i="1"/>
  <c r="I307" i="1"/>
  <c r="E308" i="1"/>
  <c r="I308" i="1"/>
  <c r="E309" i="1"/>
  <c r="I309" i="1"/>
  <c r="E310" i="1"/>
  <c r="I310" i="1"/>
  <c r="E311" i="1"/>
  <c r="I311" i="1"/>
  <c r="E312" i="1"/>
  <c r="I312" i="1"/>
  <c r="E313" i="1"/>
  <c r="I313" i="1"/>
  <c r="E314" i="1"/>
  <c r="I314" i="1"/>
  <c r="E315" i="1"/>
  <c r="I315" i="1"/>
  <c r="E316" i="1"/>
  <c r="I316" i="1"/>
  <c r="E317" i="1"/>
  <c r="I317" i="1"/>
  <c r="E318" i="1"/>
  <c r="I318" i="1"/>
  <c r="E319" i="1"/>
  <c r="I319" i="1"/>
  <c r="E320" i="1"/>
  <c r="I320" i="1"/>
  <c r="E321" i="1"/>
  <c r="I321" i="1"/>
  <c r="E322" i="1"/>
  <c r="I322" i="1"/>
  <c r="E323" i="1"/>
  <c r="I323" i="1"/>
  <c r="E324" i="1"/>
  <c r="I324" i="1"/>
  <c r="E325" i="1"/>
  <c r="I325" i="1"/>
  <c r="E326" i="1"/>
  <c r="I326" i="1"/>
  <c r="E327" i="1"/>
  <c r="I327" i="1"/>
  <c r="E328" i="1"/>
  <c r="I328" i="1"/>
  <c r="E329" i="1"/>
  <c r="I329" i="1"/>
  <c r="E330" i="1"/>
  <c r="I330" i="1"/>
  <c r="E331" i="1"/>
  <c r="I331" i="1"/>
  <c r="E332" i="1"/>
  <c r="I332" i="1"/>
  <c r="E333" i="1"/>
  <c r="I333" i="1"/>
  <c r="E334" i="1"/>
  <c r="I334" i="1"/>
  <c r="E335" i="1"/>
  <c r="I335" i="1"/>
  <c r="E336" i="1"/>
  <c r="I336" i="1"/>
  <c r="E337" i="1"/>
  <c r="I337" i="1"/>
  <c r="E338" i="1"/>
  <c r="I338" i="1"/>
  <c r="E339" i="1"/>
  <c r="I339" i="1"/>
  <c r="E340" i="1"/>
  <c r="I340" i="1"/>
  <c r="E341" i="1"/>
  <c r="I341" i="1"/>
  <c r="E342" i="1"/>
  <c r="I342" i="1"/>
  <c r="E343" i="1"/>
  <c r="I343" i="1"/>
  <c r="E344" i="1"/>
  <c r="I344" i="1"/>
  <c r="E345" i="1"/>
  <c r="I345" i="1"/>
  <c r="E346" i="1"/>
  <c r="I346" i="1"/>
  <c r="E347" i="1"/>
  <c r="I347" i="1"/>
  <c r="E348" i="1"/>
  <c r="I348" i="1"/>
  <c r="E349" i="1"/>
  <c r="I349" i="1"/>
  <c r="E350" i="1"/>
  <c r="I350" i="1"/>
  <c r="E351" i="1"/>
  <c r="I351" i="1"/>
  <c r="E352" i="1"/>
  <c r="I352" i="1"/>
  <c r="E353" i="1"/>
  <c r="I353" i="1"/>
  <c r="E354" i="1"/>
  <c r="I354" i="1"/>
  <c r="E355" i="1"/>
  <c r="I355" i="1"/>
  <c r="E356" i="1"/>
  <c r="I356" i="1"/>
  <c r="E357" i="1"/>
  <c r="I357" i="1"/>
  <c r="E358" i="1"/>
  <c r="I358" i="1"/>
  <c r="E359" i="1"/>
  <c r="I359" i="1"/>
  <c r="E360" i="1"/>
  <c r="I360" i="1"/>
  <c r="E361" i="1"/>
  <c r="I361" i="1"/>
  <c r="E362" i="1"/>
  <c r="I362" i="1"/>
  <c r="E363" i="1"/>
  <c r="I363" i="1"/>
  <c r="E364" i="1"/>
  <c r="I364" i="1"/>
  <c r="E365" i="1"/>
  <c r="I365" i="1"/>
  <c r="E366" i="1"/>
  <c r="I366" i="1"/>
  <c r="E367" i="1"/>
  <c r="I367" i="1"/>
  <c r="E368" i="1"/>
  <c r="I368" i="1"/>
  <c r="E369" i="1"/>
  <c r="I369" i="1"/>
  <c r="E370" i="1"/>
  <c r="I370" i="1"/>
  <c r="E371" i="1"/>
  <c r="I371" i="1"/>
  <c r="E372" i="1"/>
  <c r="I372" i="1"/>
  <c r="E373" i="1"/>
  <c r="I373" i="1"/>
  <c r="E374" i="1"/>
  <c r="I374" i="1"/>
  <c r="E375" i="1"/>
  <c r="I375" i="1"/>
  <c r="E376" i="1"/>
  <c r="I376" i="1"/>
  <c r="E377" i="1"/>
  <c r="I377" i="1"/>
  <c r="E378" i="1"/>
  <c r="I378" i="1"/>
  <c r="E379" i="1"/>
  <c r="I379" i="1"/>
  <c r="E380" i="1"/>
  <c r="I380" i="1"/>
  <c r="E381" i="1"/>
  <c r="I381" i="1"/>
  <c r="E382" i="1"/>
  <c r="I382" i="1"/>
  <c r="E383" i="1"/>
  <c r="I383" i="1"/>
  <c r="E384" i="1"/>
  <c r="I384" i="1"/>
  <c r="E385" i="1"/>
  <c r="I385" i="1"/>
  <c r="E386" i="1"/>
  <c r="I386" i="1"/>
  <c r="E387" i="1"/>
  <c r="I387" i="1"/>
  <c r="E388" i="1"/>
  <c r="I388" i="1"/>
  <c r="E389" i="1"/>
  <c r="I389" i="1"/>
  <c r="E390" i="1"/>
  <c r="I390" i="1"/>
  <c r="E391" i="1"/>
  <c r="I391" i="1"/>
  <c r="E392" i="1"/>
  <c r="I392" i="1"/>
  <c r="E393" i="1"/>
  <c r="I393" i="1"/>
  <c r="E394" i="1"/>
  <c r="I394" i="1"/>
  <c r="E395" i="1"/>
  <c r="I395" i="1"/>
  <c r="E396" i="1"/>
  <c r="I396" i="1"/>
  <c r="E397" i="1"/>
  <c r="I397" i="1"/>
  <c r="E398" i="1"/>
  <c r="I398" i="1"/>
  <c r="E399" i="1"/>
  <c r="I399" i="1"/>
  <c r="E400" i="1"/>
  <c r="I400" i="1"/>
  <c r="E401" i="1"/>
  <c r="I401" i="1"/>
  <c r="E402" i="1"/>
  <c r="I402" i="1"/>
  <c r="E403" i="1"/>
  <c r="I403" i="1"/>
  <c r="E404" i="1"/>
  <c r="I404" i="1"/>
  <c r="E405" i="1"/>
  <c r="I405" i="1"/>
  <c r="E406" i="1"/>
  <c r="I406" i="1"/>
  <c r="E407" i="1"/>
  <c r="I407" i="1"/>
  <c r="E408" i="1"/>
  <c r="I408" i="1"/>
  <c r="E409" i="1"/>
  <c r="I409" i="1"/>
  <c r="E410" i="1"/>
  <c r="I410" i="1"/>
  <c r="E411" i="1"/>
  <c r="I411" i="1"/>
  <c r="E412" i="1"/>
  <c r="I412" i="1"/>
  <c r="E413" i="1"/>
  <c r="I413" i="1"/>
  <c r="E414" i="1"/>
  <c r="I414" i="1"/>
  <c r="E415" i="1"/>
  <c r="I415" i="1"/>
  <c r="E416" i="1"/>
  <c r="I416" i="1"/>
  <c r="E417" i="1"/>
  <c r="I417" i="1"/>
  <c r="E418" i="1"/>
  <c r="I418" i="1"/>
  <c r="E419" i="1"/>
  <c r="I419" i="1"/>
  <c r="E420" i="1"/>
  <c r="I420" i="1"/>
  <c r="E421" i="1"/>
  <c r="I421" i="1"/>
  <c r="E422" i="1"/>
  <c r="I422" i="1"/>
  <c r="E423" i="1"/>
  <c r="I423" i="1"/>
  <c r="E424" i="1"/>
  <c r="I424" i="1"/>
  <c r="E425" i="1"/>
  <c r="I425" i="1"/>
  <c r="E426" i="1"/>
  <c r="I426" i="1"/>
  <c r="E427" i="1"/>
  <c r="I427" i="1"/>
  <c r="E428" i="1"/>
  <c r="I428" i="1"/>
  <c r="E429" i="1"/>
  <c r="I429" i="1"/>
  <c r="E430" i="1"/>
  <c r="I430" i="1"/>
  <c r="E431" i="1"/>
  <c r="I431" i="1"/>
  <c r="E432" i="1"/>
  <c r="I432" i="1"/>
  <c r="E433" i="1"/>
  <c r="I433" i="1"/>
  <c r="E434" i="1"/>
  <c r="I434" i="1"/>
  <c r="E435" i="1"/>
  <c r="I435" i="1"/>
  <c r="E436" i="1"/>
  <c r="I436" i="1"/>
  <c r="E437" i="1"/>
  <c r="I437" i="1"/>
  <c r="E438" i="1"/>
  <c r="I438" i="1"/>
  <c r="E439" i="1"/>
  <c r="I439" i="1"/>
  <c r="E440" i="1"/>
  <c r="I440" i="1"/>
  <c r="E441" i="1"/>
  <c r="I441" i="1"/>
  <c r="E442" i="1"/>
  <c r="I442" i="1"/>
  <c r="E443" i="1"/>
  <c r="I443" i="1"/>
  <c r="E444" i="1"/>
  <c r="I444" i="1"/>
  <c r="E445" i="1"/>
  <c r="I445" i="1"/>
  <c r="E446" i="1"/>
  <c r="I446" i="1"/>
  <c r="E447" i="1"/>
  <c r="I447" i="1"/>
  <c r="E448" i="1"/>
  <c r="I448" i="1"/>
  <c r="E449" i="1"/>
  <c r="I449" i="1"/>
  <c r="E450" i="1"/>
  <c r="I450" i="1"/>
  <c r="E451" i="1"/>
  <c r="I451" i="1"/>
  <c r="E452" i="1"/>
  <c r="I452" i="1"/>
  <c r="E453" i="1"/>
  <c r="I453" i="1"/>
  <c r="E454" i="1"/>
  <c r="I454" i="1"/>
  <c r="E455" i="1"/>
  <c r="I455" i="1"/>
  <c r="E456" i="1"/>
  <c r="I456" i="1"/>
  <c r="E457" i="1"/>
  <c r="I457" i="1"/>
  <c r="E458" i="1"/>
  <c r="I458" i="1"/>
  <c r="E459" i="1"/>
  <c r="I459" i="1"/>
  <c r="E460" i="1"/>
  <c r="I460" i="1"/>
  <c r="E461" i="1"/>
  <c r="I461" i="1"/>
  <c r="E462" i="1"/>
  <c r="I462" i="1"/>
  <c r="E463" i="1"/>
  <c r="I463" i="1"/>
  <c r="E464" i="1"/>
  <c r="I464" i="1"/>
  <c r="E465" i="1"/>
  <c r="I465" i="1"/>
  <c r="E466" i="1"/>
  <c r="I466" i="1"/>
  <c r="E467" i="1"/>
  <c r="I467" i="1"/>
  <c r="E468" i="1"/>
  <c r="I468" i="1"/>
  <c r="E469" i="1"/>
  <c r="I469" i="1"/>
  <c r="E470" i="1"/>
  <c r="I470" i="1"/>
  <c r="E471" i="1"/>
  <c r="I471" i="1"/>
  <c r="E472" i="1"/>
  <c r="I472" i="1"/>
  <c r="E473" i="1"/>
  <c r="I473" i="1"/>
  <c r="E474" i="1"/>
  <c r="I474" i="1"/>
  <c r="E475" i="1"/>
  <c r="I475" i="1"/>
  <c r="E476" i="1"/>
  <c r="I476" i="1"/>
  <c r="E477" i="1"/>
  <c r="I477" i="1"/>
  <c r="E478" i="1"/>
  <c r="I478" i="1"/>
  <c r="E479" i="1"/>
  <c r="I479" i="1"/>
  <c r="E480" i="1"/>
  <c r="I480" i="1"/>
  <c r="E481" i="1"/>
  <c r="I481" i="1"/>
  <c r="E482" i="1"/>
  <c r="I482" i="1"/>
  <c r="E483" i="1"/>
  <c r="I483" i="1"/>
  <c r="E484" i="1"/>
  <c r="I484" i="1"/>
  <c r="E485" i="1"/>
  <c r="I485" i="1"/>
  <c r="E486" i="1"/>
  <c r="I486" i="1"/>
  <c r="E487" i="1"/>
  <c r="I487" i="1"/>
  <c r="E488" i="1"/>
  <c r="I488" i="1"/>
  <c r="E489" i="1"/>
  <c r="I489" i="1"/>
  <c r="E490" i="1"/>
  <c r="I490" i="1"/>
  <c r="E491" i="1"/>
  <c r="I491" i="1"/>
  <c r="E492" i="1"/>
  <c r="I492" i="1"/>
  <c r="E493" i="1"/>
  <c r="I493" i="1"/>
  <c r="E494" i="1"/>
  <c r="I494" i="1"/>
  <c r="E495" i="1"/>
  <c r="I495" i="1"/>
  <c r="E496" i="1"/>
  <c r="I496" i="1"/>
  <c r="E497" i="1"/>
  <c r="I497" i="1"/>
  <c r="E498" i="1"/>
  <c r="I498" i="1"/>
  <c r="E499" i="1"/>
  <c r="I499" i="1"/>
  <c r="E500" i="1"/>
  <c r="I500" i="1"/>
  <c r="E501" i="1"/>
  <c r="I501" i="1"/>
  <c r="E502" i="1"/>
  <c r="I502" i="1"/>
  <c r="E503" i="1"/>
  <c r="I503" i="1"/>
  <c r="E504" i="1"/>
  <c r="I504" i="1"/>
  <c r="E505" i="1"/>
  <c r="I505" i="1"/>
  <c r="E506" i="1"/>
  <c r="I506" i="1"/>
  <c r="E507" i="1"/>
  <c r="I507" i="1"/>
  <c r="E508" i="1"/>
  <c r="I508" i="1"/>
  <c r="E509" i="1"/>
  <c r="I509" i="1"/>
  <c r="E510" i="1"/>
  <c r="I510" i="1"/>
  <c r="E511" i="1"/>
  <c r="I511" i="1"/>
  <c r="E512" i="1"/>
  <c r="I512" i="1"/>
  <c r="E513" i="1"/>
  <c r="I513" i="1"/>
  <c r="E514" i="1"/>
  <c r="I514" i="1"/>
  <c r="E515" i="1"/>
  <c r="I515" i="1"/>
  <c r="E516" i="1"/>
  <c r="I516" i="1"/>
  <c r="E517" i="1"/>
  <c r="I517" i="1"/>
  <c r="E518" i="1"/>
  <c r="I518" i="1"/>
  <c r="E519" i="1"/>
  <c r="I519" i="1"/>
  <c r="E520" i="1"/>
  <c r="I520" i="1"/>
  <c r="E521" i="1"/>
  <c r="I521" i="1"/>
  <c r="E522" i="1"/>
  <c r="I522" i="1"/>
  <c r="E523" i="1"/>
  <c r="I523" i="1"/>
  <c r="E524" i="1"/>
  <c r="I524" i="1"/>
  <c r="E525" i="1"/>
  <c r="I525" i="1"/>
  <c r="E526" i="1"/>
  <c r="I526" i="1"/>
  <c r="E527" i="1"/>
  <c r="I527" i="1"/>
  <c r="E528" i="1"/>
  <c r="I528" i="1"/>
  <c r="E529" i="1"/>
  <c r="I529" i="1"/>
  <c r="E530" i="1"/>
  <c r="I530" i="1"/>
  <c r="E531" i="1"/>
  <c r="I531" i="1"/>
  <c r="E532" i="1"/>
  <c r="I532" i="1"/>
  <c r="E533" i="1"/>
  <c r="I533" i="1"/>
  <c r="E534" i="1"/>
  <c r="I534" i="1"/>
  <c r="E535" i="1"/>
  <c r="I535" i="1"/>
  <c r="E536" i="1"/>
  <c r="I536" i="1"/>
  <c r="E537" i="1"/>
  <c r="I537" i="1"/>
  <c r="E538" i="1"/>
  <c r="I538" i="1"/>
  <c r="E539" i="1"/>
  <c r="I539" i="1"/>
  <c r="E540" i="1"/>
  <c r="I540" i="1"/>
  <c r="E541" i="1"/>
  <c r="I541" i="1"/>
  <c r="E542" i="1"/>
  <c r="I542" i="1"/>
  <c r="E543" i="1"/>
  <c r="I543" i="1"/>
  <c r="E544" i="1"/>
  <c r="I544" i="1"/>
  <c r="E545" i="1"/>
  <c r="I545" i="1"/>
  <c r="E546" i="1"/>
  <c r="I546" i="1"/>
  <c r="E547" i="1"/>
  <c r="I547" i="1"/>
  <c r="E548" i="1"/>
  <c r="I548" i="1"/>
  <c r="E549" i="1"/>
  <c r="I549" i="1"/>
  <c r="E550" i="1"/>
  <c r="I550" i="1"/>
  <c r="E551" i="1"/>
  <c r="I551" i="1"/>
  <c r="E552" i="1"/>
  <c r="I552" i="1"/>
  <c r="E553" i="1"/>
  <c r="I553" i="1"/>
  <c r="E554" i="1"/>
  <c r="I554" i="1"/>
  <c r="E555" i="1"/>
  <c r="I555" i="1"/>
  <c r="E556" i="1"/>
  <c r="I556" i="1"/>
  <c r="E557" i="1"/>
  <c r="I557" i="1"/>
  <c r="E558" i="1"/>
  <c r="I558" i="1"/>
  <c r="E559" i="1"/>
  <c r="I559" i="1"/>
  <c r="E560" i="1"/>
  <c r="I560" i="1"/>
  <c r="E561" i="1"/>
  <c r="I561" i="1"/>
  <c r="E562" i="1"/>
  <c r="I562" i="1"/>
  <c r="E563" i="1"/>
  <c r="I563" i="1"/>
  <c r="E564" i="1"/>
  <c r="I564" i="1"/>
  <c r="E565" i="1"/>
  <c r="I565" i="1"/>
  <c r="E566" i="1"/>
  <c r="I566" i="1"/>
  <c r="E567" i="1"/>
  <c r="I567" i="1"/>
  <c r="E568" i="1"/>
  <c r="I568" i="1"/>
  <c r="E569" i="1"/>
  <c r="I569" i="1"/>
  <c r="E570" i="1"/>
  <c r="I570" i="1"/>
  <c r="E571" i="1"/>
  <c r="I571" i="1"/>
  <c r="E572" i="1"/>
  <c r="I572" i="1"/>
  <c r="E573" i="1"/>
  <c r="I573" i="1"/>
  <c r="E574" i="1"/>
  <c r="I574" i="1"/>
  <c r="E575" i="1"/>
  <c r="I575" i="1"/>
  <c r="E576" i="1"/>
  <c r="I576" i="1"/>
  <c r="E577" i="1"/>
  <c r="I577" i="1"/>
  <c r="E578" i="1"/>
  <c r="I578" i="1"/>
  <c r="E579" i="1"/>
  <c r="I579" i="1"/>
  <c r="E580" i="1"/>
  <c r="I580" i="1"/>
  <c r="E581" i="1"/>
  <c r="I581" i="1"/>
  <c r="E582" i="1"/>
  <c r="I582" i="1"/>
  <c r="E583" i="1"/>
  <c r="I583" i="1"/>
  <c r="E584" i="1"/>
  <c r="I584" i="1"/>
  <c r="E585" i="1"/>
  <c r="I585" i="1"/>
  <c r="E586" i="1"/>
  <c r="I586" i="1"/>
  <c r="E587" i="1"/>
  <c r="I587" i="1"/>
  <c r="E588" i="1"/>
  <c r="I588" i="1"/>
  <c r="E589" i="1"/>
  <c r="I589" i="1"/>
  <c r="E590" i="1"/>
  <c r="I590" i="1"/>
  <c r="E591" i="1"/>
  <c r="I591" i="1"/>
  <c r="E592" i="1"/>
  <c r="I592" i="1"/>
  <c r="E593" i="1"/>
  <c r="I593" i="1"/>
  <c r="E594" i="1"/>
  <c r="I594" i="1"/>
  <c r="E595" i="1"/>
  <c r="I595" i="1"/>
  <c r="E596" i="1"/>
  <c r="I596" i="1"/>
  <c r="E597" i="1"/>
  <c r="I597" i="1"/>
  <c r="E598" i="1"/>
  <c r="I598" i="1"/>
  <c r="E599" i="1"/>
  <c r="I599" i="1"/>
  <c r="E600" i="1"/>
  <c r="I600" i="1"/>
  <c r="E601" i="1"/>
  <c r="I601" i="1"/>
  <c r="E602" i="1"/>
  <c r="I602" i="1"/>
  <c r="E603" i="1"/>
  <c r="I603" i="1"/>
  <c r="E604" i="1"/>
  <c r="I604" i="1"/>
  <c r="E605" i="1"/>
  <c r="I605" i="1"/>
  <c r="E606" i="1"/>
  <c r="I606" i="1"/>
  <c r="E607" i="1"/>
  <c r="I607" i="1"/>
  <c r="E608" i="1"/>
  <c r="I608" i="1"/>
  <c r="E609" i="1"/>
  <c r="I609" i="1"/>
  <c r="E610" i="1"/>
  <c r="I610" i="1"/>
  <c r="E611" i="1"/>
  <c r="I611" i="1"/>
  <c r="E612" i="1"/>
  <c r="I612" i="1"/>
  <c r="E613" i="1"/>
  <c r="I613" i="1"/>
  <c r="E614" i="1"/>
  <c r="I614" i="1"/>
  <c r="E615" i="1"/>
  <c r="I615" i="1"/>
  <c r="E616" i="1"/>
  <c r="I616" i="1"/>
  <c r="E617" i="1"/>
  <c r="I617" i="1"/>
  <c r="E618" i="1"/>
  <c r="I618" i="1"/>
  <c r="E619" i="1"/>
  <c r="I619" i="1"/>
  <c r="E620" i="1"/>
  <c r="I620" i="1"/>
  <c r="E621" i="1"/>
  <c r="I621" i="1"/>
  <c r="E622" i="1"/>
  <c r="I622" i="1"/>
  <c r="E623" i="1"/>
  <c r="I623" i="1"/>
  <c r="E624" i="1"/>
  <c r="I624" i="1"/>
  <c r="E625" i="1"/>
  <c r="I625" i="1"/>
  <c r="E626" i="1"/>
  <c r="I626" i="1"/>
  <c r="E627" i="1"/>
  <c r="I627" i="1"/>
  <c r="E628" i="1"/>
  <c r="I628" i="1"/>
  <c r="E629" i="1"/>
  <c r="I629" i="1"/>
  <c r="E630" i="1"/>
  <c r="I630" i="1"/>
  <c r="E631" i="1"/>
  <c r="I631" i="1"/>
  <c r="E632" i="1"/>
  <c r="I632" i="1"/>
  <c r="E633" i="1"/>
  <c r="I633" i="1"/>
  <c r="E634" i="1"/>
  <c r="I634" i="1"/>
  <c r="E635" i="1"/>
  <c r="I635" i="1"/>
  <c r="E636" i="1"/>
  <c r="I636" i="1"/>
  <c r="E637" i="1"/>
  <c r="I637" i="1"/>
  <c r="E638" i="1"/>
  <c r="I638" i="1"/>
  <c r="E639" i="1"/>
  <c r="I639" i="1"/>
  <c r="E640" i="1"/>
  <c r="I640" i="1"/>
  <c r="E641" i="1"/>
  <c r="I641" i="1"/>
  <c r="E642" i="1"/>
  <c r="I642" i="1"/>
  <c r="E643" i="1"/>
  <c r="I643" i="1"/>
  <c r="E644" i="1"/>
  <c r="I644" i="1"/>
  <c r="E645" i="1"/>
  <c r="I645" i="1"/>
  <c r="E646" i="1"/>
  <c r="I646" i="1"/>
  <c r="E647" i="1"/>
  <c r="I647" i="1"/>
  <c r="E648" i="1"/>
  <c r="I648" i="1"/>
  <c r="E649" i="1"/>
  <c r="I649" i="1"/>
  <c r="E650" i="1"/>
  <c r="I650" i="1"/>
  <c r="E651" i="1"/>
  <c r="I651" i="1"/>
  <c r="E652" i="1"/>
  <c r="I652" i="1"/>
  <c r="E653" i="1"/>
  <c r="I653" i="1"/>
  <c r="E654" i="1"/>
  <c r="I654" i="1"/>
  <c r="E655" i="1"/>
  <c r="I655" i="1"/>
  <c r="E656" i="1"/>
  <c r="I656" i="1"/>
  <c r="E657" i="1"/>
  <c r="I657" i="1"/>
  <c r="E658" i="1"/>
  <c r="I658" i="1"/>
  <c r="E659" i="1"/>
  <c r="I659" i="1"/>
  <c r="E660" i="1"/>
  <c r="I660" i="1"/>
  <c r="E661" i="1"/>
  <c r="I661" i="1"/>
  <c r="E662" i="1"/>
  <c r="I662" i="1"/>
  <c r="E663" i="1"/>
  <c r="I663" i="1"/>
  <c r="E664" i="1"/>
  <c r="I664" i="1"/>
  <c r="E665" i="1"/>
  <c r="I665" i="1"/>
  <c r="E666" i="1"/>
  <c r="I666" i="1"/>
  <c r="E667" i="1"/>
  <c r="I667" i="1"/>
  <c r="E668" i="1"/>
  <c r="I668" i="1"/>
  <c r="E669" i="1"/>
  <c r="I669" i="1"/>
  <c r="E670" i="1"/>
  <c r="I670" i="1"/>
  <c r="E671" i="1"/>
  <c r="I671" i="1"/>
  <c r="E672" i="1"/>
  <c r="I672" i="1"/>
  <c r="E673" i="1"/>
  <c r="I673" i="1"/>
  <c r="E674" i="1"/>
  <c r="I674" i="1"/>
  <c r="E675" i="1"/>
  <c r="I675" i="1"/>
  <c r="E676" i="1"/>
  <c r="I676" i="1"/>
  <c r="E677" i="1"/>
  <c r="I677" i="1"/>
  <c r="E678" i="1"/>
  <c r="I678" i="1"/>
  <c r="E679" i="1"/>
  <c r="I679" i="1"/>
  <c r="E680" i="1"/>
  <c r="I680" i="1"/>
  <c r="E681" i="1"/>
  <c r="I681" i="1"/>
  <c r="E682" i="1"/>
  <c r="I682" i="1"/>
  <c r="E683" i="1"/>
  <c r="I683" i="1"/>
  <c r="E684" i="1"/>
  <c r="I684" i="1"/>
  <c r="E685" i="1"/>
  <c r="I685" i="1"/>
  <c r="E686" i="1"/>
  <c r="I686" i="1"/>
  <c r="E687" i="1"/>
  <c r="I687" i="1"/>
  <c r="E688" i="1"/>
  <c r="I688" i="1"/>
  <c r="E689" i="1"/>
  <c r="I689" i="1"/>
  <c r="E690" i="1"/>
  <c r="I690" i="1"/>
  <c r="E691" i="1"/>
  <c r="I691" i="1"/>
  <c r="E692" i="1"/>
  <c r="I692" i="1"/>
  <c r="E693" i="1"/>
  <c r="I693" i="1"/>
  <c r="E694" i="1"/>
  <c r="I694" i="1"/>
  <c r="E695" i="1"/>
  <c r="I695" i="1"/>
  <c r="E696" i="1"/>
  <c r="I696" i="1"/>
  <c r="E697" i="1"/>
  <c r="I697" i="1"/>
  <c r="E698" i="1"/>
  <c r="I698" i="1"/>
  <c r="E699" i="1"/>
  <c r="I699" i="1"/>
  <c r="E700" i="1"/>
  <c r="I700" i="1"/>
  <c r="E701" i="1"/>
  <c r="I701" i="1"/>
  <c r="E702" i="1"/>
  <c r="I702" i="1"/>
  <c r="E703" i="1"/>
  <c r="I703" i="1"/>
  <c r="E704" i="1"/>
  <c r="I704" i="1"/>
  <c r="E705" i="1"/>
  <c r="I705" i="1"/>
  <c r="E706" i="1"/>
  <c r="I706" i="1"/>
  <c r="E707" i="1"/>
  <c r="I707" i="1"/>
  <c r="E708" i="1"/>
  <c r="I708" i="1"/>
  <c r="E709" i="1"/>
  <c r="I709" i="1"/>
  <c r="E710" i="1"/>
  <c r="I710" i="1"/>
  <c r="E711" i="1"/>
  <c r="I711" i="1"/>
  <c r="E712" i="1"/>
  <c r="I712" i="1"/>
  <c r="E713" i="1"/>
  <c r="I713" i="1"/>
  <c r="E714" i="1"/>
  <c r="I714" i="1"/>
  <c r="E715" i="1"/>
  <c r="I715" i="1"/>
  <c r="E716" i="1"/>
  <c r="I716" i="1"/>
  <c r="E717" i="1"/>
  <c r="I717" i="1"/>
  <c r="E718" i="1"/>
  <c r="I718" i="1"/>
  <c r="E719" i="1"/>
  <c r="I719" i="1"/>
  <c r="E720" i="1"/>
  <c r="I720" i="1"/>
  <c r="E721" i="1"/>
  <c r="I721" i="1"/>
  <c r="E722" i="1"/>
  <c r="I722" i="1"/>
  <c r="E723" i="1"/>
  <c r="I723" i="1"/>
  <c r="E724" i="1"/>
  <c r="I724" i="1"/>
  <c r="E725" i="1"/>
  <c r="I725" i="1"/>
  <c r="E726" i="1"/>
  <c r="I726" i="1"/>
  <c r="E727" i="1"/>
  <c r="I727" i="1"/>
  <c r="E728" i="1"/>
  <c r="I728" i="1"/>
  <c r="E729" i="1"/>
  <c r="I729" i="1"/>
  <c r="E730" i="1"/>
  <c r="I730" i="1"/>
  <c r="E731" i="1"/>
  <c r="I731" i="1"/>
  <c r="E732" i="1"/>
  <c r="I732" i="1"/>
  <c r="E733" i="1"/>
  <c r="I733" i="1"/>
  <c r="E734" i="1"/>
  <c r="I734" i="1"/>
  <c r="E735" i="1"/>
  <c r="I735" i="1"/>
  <c r="E736" i="1"/>
  <c r="I736" i="1"/>
  <c r="E737" i="1"/>
  <c r="I737" i="1"/>
  <c r="E738" i="1"/>
  <c r="I738" i="1"/>
  <c r="E739" i="1"/>
  <c r="I739" i="1"/>
  <c r="E740" i="1"/>
  <c r="I740" i="1"/>
  <c r="E741" i="1"/>
  <c r="I741" i="1"/>
  <c r="E742" i="1"/>
  <c r="I742" i="1"/>
  <c r="E743" i="1"/>
  <c r="I743" i="1"/>
  <c r="E744" i="1"/>
  <c r="I744" i="1"/>
  <c r="E745" i="1"/>
  <c r="I745" i="1"/>
  <c r="E746" i="1"/>
  <c r="I746" i="1"/>
  <c r="E747" i="1"/>
  <c r="I747" i="1"/>
  <c r="E748" i="1"/>
  <c r="I748" i="1"/>
  <c r="E749" i="1"/>
  <c r="I749" i="1"/>
  <c r="E750" i="1"/>
  <c r="I750" i="1"/>
  <c r="E751" i="1"/>
  <c r="I751" i="1"/>
  <c r="E752" i="1"/>
  <c r="I752" i="1"/>
  <c r="E753" i="1"/>
  <c r="I753" i="1"/>
  <c r="E754" i="1"/>
  <c r="I754" i="1"/>
  <c r="E755" i="1"/>
  <c r="I755" i="1"/>
  <c r="E756" i="1"/>
  <c r="I756" i="1"/>
  <c r="E757" i="1"/>
  <c r="I757" i="1"/>
  <c r="E758" i="1"/>
  <c r="I758" i="1"/>
  <c r="E759" i="1"/>
  <c r="I759" i="1"/>
  <c r="E760" i="1"/>
  <c r="I760" i="1"/>
  <c r="E761" i="1"/>
  <c r="I761" i="1"/>
  <c r="E762" i="1"/>
  <c r="I762" i="1"/>
  <c r="E763" i="1"/>
  <c r="I763" i="1"/>
  <c r="E764" i="1"/>
  <c r="I764" i="1"/>
  <c r="E765" i="1"/>
  <c r="I765" i="1"/>
  <c r="E766" i="1"/>
  <c r="I766" i="1"/>
  <c r="E767" i="1"/>
  <c r="I767" i="1"/>
  <c r="E768" i="1"/>
  <c r="I768" i="1"/>
  <c r="E769" i="1"/>
  <c r="I769" i="1"/>
  <c r="E770" i="1"/>
  <c r="I770" i="1"/>
  <c r="E771" i="1"/>
  <c r="I771" i="1"/>
  <c r="E772" i="1"/>
  <c r="I772" i="1"/>
  <c r="E773" i="1"/>
  <c r="I773" i="1"/>
  <c r="E774" i="1"/>
  <c r="I774" i="1"/>
  <c r="E775" i="1"/>
  <c r="I775" i="1"/>
  <c r="E776" i="1"/>
  <c r="I776" i="1"/>
  <c r="E777" i="1"/>
  <c r="I777" i="1"/>
  <c r="I2" i="1"/>
  <c r="E2" i="1"/>
  <c r="H2" i="1"/>
  <c r="L2" i="1"/>
  <c r="T72" i="5" l="1"/>
  <c r="T193" i="5"/>
  <c r="T211" i="5"/>
  <c r="T363" i="5"/>
  <c r="T189" i="5"/>
  <c r="T317" i="5"/>
  <c r="T642" i="5"/>
  <c r="T145" i="5"/>
  <c r="T540" i="5"/>
  <c r="T429" i="5"/>
  <c r="T272" i="5"/>
  <c r="T459" i="5"/>
  <c r="T723" i="5"/>
  <c r="T389" i="5"/>
  <c r="T24" i="5"/>
  <c r="T165" i="5"/>
  <c r="T298" i="5"/>
  <c r="T191" i="5"/>
  <c r="T147" i="5"/>
  <c r="T267" i="5"/>
  <c r="T283" i="5"/>
  <c r="T441" i="5"/>
  <c r="T471" i="5"/>
  <c r="T610" i="5"/>
  <c r="T665" i="5"/>
  <c r="T749" i="5"/>
  <c r="T688" i="5"/>
  <c r="T37" i="5"/>
  <c r="T299" i="5"/>
  <c r="T216" i="5"/>
  <c r="T468" i="5"/>
  <c r="T435" i="5"/>
  <c r="T448" i="5"/>
  <c r="T586" i="5"/>
  <c r="T588" i="5"/>
  <c r="T739" i="5"/>
  <c r="T753" i="5"/>
  <c r="T784" i="5"/>
  <c r="T174" i="5"/>
  <c r="T375" i="5"/>
  <c r="T348" i="5"/>
  <c r="T308" i="5"/>
  <c r="T200" i="5"/>
  <c r="T640" i="5"/>
  <c r="T576" i="5"/>
  <c r="T648" i="5"/>
  <c r="T597" i="5"/>
  <c r="T733" i="5"/>
  <c r="T455" i="5"/>
  <c r="T617" i="5"/>
  <c r="N9" i="5"/>
  <c r="N138" i="5"/>
  <c r="N426" i="5"/>
  <c r="N470" i="5"/>
  <c r="T620" i="5"/>
  <c r="T462" i="5"/>
  <c r="T573" i="5"/>
  <c r="T80" i="5"/>
  <c r="T123" i="5"/>
  <c r="T515" i="5"/>
  <c r="T115" i="5"/>
  <c r="T398" i="5"/>
  <c r="T162" i="5"/>
  <c r="T157" i="5"/>
  <c r="T659" i="5"/>
  <c r="T404" i="5"/>
  <c r="T47" i="5"/>
  <c r="T129" i="5"/>
  <c r="T175" i="5"/>
  <c r="T190" i="5"/>
  <c r="T237" i="5"/>
  <c r="T409" i="5"/>
  <c r="T248" i="5"/>
  <c r="T622" i="5"/>
  <c r="T29" i="5"/>
  <c r="T67" i="5"/>
  <c r="T139" i="5"/>
  <c r="T109" i="5"/>
  <c r="T250" i="5"/>
  <c r="T161" i="5"/>
  <c r="T463" i="5"/>
  <c r="T130" i="5"/>
  <c r="T170" i="5"/>
  <c r="T340" i="5"/>
  <c r="T273" i="5"/>
  <c r="T365" i="5"/>
  <c r="T149" i="5"/>
  <c r="T276" i="5"/>
  <c r="T287" i="5"/>
  <c r="T103" i="5"/>
  <c r="T238" i="5"/>
  <c r="T465" i="5"/>
  <c r="T612" i="5"/>
  <c r="T408" i="5"/>
  <c r="T520" i="5"/>
  <c r="T518" i="5"/>
  <c r="T565" i="5"/>
  <c r="T513" i="5"/>
  <c r="T436" i="5"/>
  <c r="T487" i="5"/>
  <c r="T433" i="5"/>
  <c r="T656" i="5"/>
  <c r="T639" i="5"/>
  <c r="T619" i="5"/>
  <c r="T735" i="5"/>
  <c r="T674" i="5"/>
  <c r="T765" i="5"/>
  <c r="T763" i="5"/>
  <c r="T717" i="5"/>
  <c r="T692" i="5"/>
  <c r="T776" i="5"/>
  <c r="T350" i="5"/>
  <c r="T330" i="5"/>
  <c r="T466" i="5"/>
  <c r="T535" i="5"/>
  <c r="T534" i="5"/>
  <c r="T17" i="5"/>
  <c r="T89" i="5"/>
  <c r="T106" i="5"/>
  <c r="T132" i="5"/>
  <c r="T271" i="5"/>
  <c r="T239" i="5"/>
  <c r="T415" i="5"/>
  <c r="T770" i="5"/>
  <c r="T11" i="5"/>
  <c r="T490" i="5"/>
  <c r="T686" i="5"/>
  <c r="T40" i="5"/>
  <c r="T171" i="5"/>
  <c r="T172" i="5"/>
  <c r="T256" i="5"/>
  <c r="T88" i="5"/>
  <c r="T101" i="5"/>
  <c r="T327" i="5"/>
  <c r="T494" i="5"/>
  <c r="T232" i="5"/>
  <c r="T598" i="5"/>
  <c r="T638" i="5"/>
  <c r="T570" i="5"/>
  <c r="T713" i="5"/>
  <c r="T571" i="5"/>
  <c r="T671" i="5"/>
  <c r="T654" i="5"/>
  <c r="T609" i="5"/>
  <c r="T635" i="5"/>
  <c r="T754" i="5"/>
  <c r="T783" i="5"/>
  <c r="T122" i="5"/>
  <c r="T396" i="5"/>
  <c r="T664" i="5"/>
  <c r="T30" i="5"/>
  <c r="T214" i="5"/>
  <c r="T437" i="5"/>
  <c r="T524" i="5"/>
  <c r="T406" i="5"/>
  <c r="T550" i="5"/>
  <c r="T579" i="5"/>
  <c r="T715" i="5"/>
  <c r="T760" i="5"/>
  <c r="T181" i="5"/>
  <c r="T489" i="5"/>
  <c r="T402" i="5"/>
  <c r="T745" i="5"/>
  <c r="T557" i="5"/>
  <c r="T757" i="5"/>
  <c r="T637" i="5"/>
  <c r="T347" i="5"/>
  <c r="T59" i="5"/>
  <c r="T76" i="5"/>
  <c r="T39" i="5"/>
  <c r="T57" i="5"/>
  <c r="T498" i="5"/>
  <c r="T506" i="5"/>
  <c r="T698" i="5"/>
  <c r="T352" i="5"/>
  <c r="T669" i="5"/>
  <c r="N733" i="5"/>
  <c r="T42" i="5"/>
  <c r="T156" i="5"/>
  <c r="T79" i="5"/>
  <c r="T136" i="5"/>
  <c r="T196" i="5"/>
  <c r="T230" i="5"/>
  <c r="T91" i="5"/>
  <c r="T371" i="5"/>
  <c r="T176" i="5"/>
  <c r="T410" i="5"/>
  <c r="T508" i="5"/>
  <c r="T205" i="5"/>
  <c r="T781" i="5"/>
  <c r="T12" i="5"/>
  <c r="T54" i="5"/>
  <c r="T46" i="5"/>
  <c r="T182" i="5"/>
  <c r="T351" i="5"/>
  <c r="T154" i="5"/>
  <c r="T188" i="5"/>
  <c r="T124" i="5"/>
  <c r="T233" i="5"/>
  <c r="T141" i="5"/>
  <c r="T265" i="5"/>
  <c r="T405" i="5"/>
  <c r="T392" i="5"/>
  <c r="T341" i="5"/>
  <c r="T282" i="5"/>
  <c r="T315" i="5"/>
  <c r="T486" i="5"/>
  <c r="T118" i="5"/>
  <c r="T253" i="5"/>
  <c r="T605" i="5"/>
  <c r="T387" i="5"/>
  <c r="T647" i="5"/>
  <c r="T495" i="5"/>
  <c r="T561" i="5"/>
  <c r="T614" i="5"/>
  <c r="T593" i="5"/>
  <c r="T657" i="5"/>
  <c r="T499" i="5"/>
  <c r="T481" i="5"/>
  <c r="T414" i="5"/>
  <c r="T590" i="5"/>
  <c r="T373" i="5"/>
  <c r="T417" i="5"/>
  <c r="T693" i="5"/>
  <c r="T675" i="5"/>
  <c r="T378" i="5"/>
  <c r="T704" i="5"/>
  <c r="T682" i="5"/>
  <c r="T552" i="5"/>
  <c r="T651" i="5"/>
  <c r="T666" i="5"/>
  <c r="T234" i="5"/>
  <c r="T386" i="5"/>
  <c r="T578" i="5"/>
  <c r="T696" i="5"/>
  <c r="T697" i="5"/>
  <c r="T649" i="5"/>
  <c r="T587" i="5"/>
  <c r="T746" i="5"/>
  <c r="T774" i="5"/>
  <c r="T744" i="5"/>
  <c r="T326" i="5"/>
  <c r="N20" i="5"/>
  <c r="N34" i="5"/>
  <c r="T116" i="5"/>
  <c r="N107" i="5"/>
  <c r="T229" i="5"/>
  <c r="N100" i="5"/>
  <c r="T83" i="5"/>
  <c r="T388" i="5"/>
  <c r="N342" i="5"/>
  <c r="T152" i="5"/>
  <c r="N397" i="5"/>
  <c r="T202" i="5"/>
  <c r="N453" i="5"/>
  <c r="T258" i="5"/>
  <c r="N307" i="5"/>
  <c r="N507" i="5"/>
  <c r="N286" i="5"/>
  <c r="N510" i="5"/>
  <c r="N206" i="5"/>
  <c r="N422" i="5"/>
  <c r="N353" i="5"/>
  <c r="N536" i="5"/>
  <c r="T684" i="5"/>
  <c r="T477" i="5"/>
  <c r="T509" i="5"/>
  <c r="T677" i="5"/>
  <c r="T716" i="5"/>
  <c r="N620" i="5"/>
  <c r="N370" i="5"/>
  <c r="T628" i="5"/>
  <c r="N626" i="5"/>
  <c r="N740" i="5"/>
  <c r="N705" i="5"/>
  <c r="T725" i="5"/>
  <c r="N747" i="5"/>
  <c r="N711" i="5"/>
  <c r="T768" i="5"/>
  <c r="N751" i="5"/>
  <c r="T23" i="5"/>
  <c r="T9" i="5"/>
  <c r="T27" i="5"/>
  <c r="T178" i="5"/>
  <c r="T112" i="5"/>
  <c r="T74" i="5"/>
  <c r="T98" i="5"/>
  <c r="T126" i="5"/>
  <c r="T257" i="5"/>
  <c r="T289" i="5"/>
  <c r="T105" i="5"/>
  <c r="T114" i="5"/>
  <c r="T138" i="5"/>
  <c r="T310" i="5"/>
  <c r="T302" i="5"/>
  <c r="T421" i="5"/>
  <c r="T169" i="5"/>
  <c r="T426" i="5"/>
  <c r="T313" i="5"/>
  <c r="T359" i="5"/>
  <c r="T291" i="5"/>
  <c r="T445" i="5"/>
  <c r="T321" i="5"/>
  <c r="T243" i="5"/>
  <c r="T187" i="5"/>
  <c r="T470" i="5"/>
  <c r="T319" i="5"/>
  <c r="T142" i="5"/>
  <c r="T566" i="5"/>
  <c r="T488" i="5"/>
  <c r="T603" i="5"/>
  <c r="T575" i="5"/>
  <c r="T601" i="5"/>
  <c r="T689" i="5"/>
  <c r="T627" i="5"/>
  <c r="T399" i="5"/>
  <c r="T548" i="5"/>
  <c r="T616" i="5"/>
  <c r="T673" i="5"/>
  <c r="T458" i="5"/>
  <c r="T708" i="5"/>
  <c r="T676" i="5"/>
  <c r="T595" i="5"/>
  <c r="T662" i="5"/>
  <c r="T694" i="5"/>
  <c r="T752" i="5"/>
  <c r="T762" i="5"/>
  <c r="T782" i="5"/>
  <c r="T16" i="5"/>
  <c r="T26" i="5"/>
  <c r="T49" i="5"/>
  <c r="T35" i="5"/>
  <c r="T61" i="5"/>
  <c r="T93" i="5"/>
  <c r="T184" i="5"/>
  <c r="T155" i="5"/>
  <c r="T179" i="5"/>
  <c r="T219" i="5"/>
  <c r="T255" i="5"/>
  <c r="T185" i="5"/>
  <c r="T53" i="5"/>
  <c r="T197" i="5"/>
  <c r="T311" i="5"/>
  <c r="T277" i="5"/>
  <c r="T312" i="5"/>
  <c r="T502" i="5"/>
  <c r="T431" i="5"/>
  <c r="T316" i="5"/>
  <c r="T163" i="5"/>
  <c r="T338" i="5"/>
  <c r="T479" i="5"/>
  <c r="T493" i="5"/>
  <c r="T528" i="5"/>
  <c r="T643" i="5"/>
  <c r="T736" i="5"/>
  <c r="T111" i="5"/>
  <c r="T227" i="5"/>
  <c r="T137" i="5"/>
  <c r="T322" i="5"/>
  <c r="T236" i="5"/>
  <c r="T517" i="5"/>
  <c r="T107" i="5"/>
  <c r="T100" i="5"/>
  <c r="T263" i="5"/>
  <c r="T710" i="5"/>
  <c r="T711" i="5"/>
  <c r="T160" i="5"/>
  <c r="T419" i="5"/>
  <c r="T393" i="5"/>
  <c r="T381" i="5"/>
  <c r="T714" i="5"/>
  <c r="T729" i="5"/>
  <c r="T748" i="5"/>
  <c r="T743" i="5"/>
  <c r="T148" i="5"/>
  <c r="T99" i="5"/>
  <c r="T285" i="5"/>
  <c r="T297" i="5"/>
  <c r="T491" i="5"/>
  <c r="T228" i="5"/>
  <c r="T438" i="5"/>
  <c r="T469" i="5"/>
  <c r="T56" i="5"/>
  <c r="T62" i="5"/>
  <c r="T751" i="5"/>
  <c r="T349" i="5"/>
  <c r="T159" i="5"/>
  <c r="T198" i="5"/>
  <c r="T87" i="5"/>
  <c r="T731" i="5"/>
  <c r="T63" i="5"/>
  <c r="T231" i="5"/>
  <c r="T220" i="5"/>
  <c r="T288" i="5"/>
  <c r="T259" i="5"/>
  <c r="T423" i="5"/>
  <c r="T554" i="5"/>
  <c r="T624" i="5"/>
  <c r="T444" i="5"/>
  <c r="T646" i="5"/>
  <c r="T607" i="5"/>
  <c r="T734" i="5"/>
  <c r="T655" i="5"/>
  <c r="T683" i="5"/>
  <c r="T756" i="5"/>
  <c r="T769" i="5"/>
  <c r="T28" i="5"/>
  <c r="T25" i="5"/>
  <c r="T82" i="5"/>
  <c r="T64" i="5"/>
  <c r="T121" i="5"/>
  <c r="T120" i="5"/>
  <c r="T66" i="5"/>
  <c r="T261" i="5"/>
  <c r="T102" i="5"/>
  <c r="T453" i="5"/>
  <c r="T307" i="5"/>
  <c r="T206" i="5"/>
  <c r="T370" i="5"/>
  <c r="T705" i="5"/>
  <c r="T33" i="5"/>
  <c r="T454" i="5"/>
  <c r="T246" i="5"/>
  <c r="T260" i="5"/>
  <c r="T275" i="5"/>
  <c r="T413" i="5"/>
  <c r="T318" i="5"/>
  <c r="T511" i="5"/>
  <c r="T15" i="5"/>
  <c r="T678" i="5"/>
  <c r="T472" i="5"/>
  <c r="T286" i="5"/>
  <c r="T422" i="5"/>
  <c r="T353" i="5"/>
  <c r="T536" i="5"/>
  <c r="T225" i="5"/>
  <c r="T667" i="5"/>
  <c r="T551" i="5"/>
  <c r="T681" i="5"/>
  <c r="T613" i="5"/>
  <c r="T740" i="5"/>
  <c r="T21" i="5"/>
  <c r="T96" i="5"/>
  <c r="T249" i="5"/>
  <c r="T354" i="5"/>
  <c r="T450" i="5"/>
  <c r="T416" i="5"/>
  <c r="T483" i="5"/>
  <c r="T280" i="5"/>
  <c r="T262" i="5"/>
  <c r="T293" i="5"/>
  <c r="T134" i="5"/>
  <c r="T336" i="5"/>
  <c r="T43" i="5"/>
  <c r="T301" i="5"/>
  <c r="T464" i="5"/>
  <c r="T504" i="5"/>
  <c r="T546" i="5"/>
  <c r="T379" i="5"/>
  <c r="T478" i="5"/>
  <c r="T223" i="5"/>
  <c r="T507" i="5"/>
  <c r="T510" i="5"/>
  <c r="T621" i="5"/>
  <c r="T460" i="5"/>
  <c r="T585" i="5"/>
  <c r="T224" i="5"/>
  <c r="T364" i="5"/>
  <c r="T523" i="5"/>
  <c r="T701" i="5"/>
  <c r="T687" i="5"/>
  <c r="T95" i="5"/>
  <c r="T222" i="5"/>
  <c r="T78" i="5"/>
  <c r="T380" i="5"/>
  <c r="T623" i="5"/>
  <c r="T20" i="5"/>
  <c r="T372" i="5"/>
  <c r="T125" i="5"/>
  <c r="T195" i="5"/>
  <c r="T600" i="5"/>
  <c r="T51" i="5"/>
  <c r="T331" i="5"/>
  <c r="T618" i="5"/>
  <c r="T611" i="5"/>
  <c r="T589" i="5"/>
  <c r="T480" i="5"/>
  <c r="T496" i="5"/>
  <c r="T529" i="5"/>
  <c r="T695" i="5"/>
  <c r="T556" i="5"/>
  <c r="T604" i="5"/>
  <c r="T560" i="5"/>
  <c r="T602" i="5"/>
  <c r="T555" i="5"/>
  <c r="T629" i="5"/>
  <c r="T543" i="5"/>
  <c r="T672" i="5"/>
  <c r="T738" i="5"/>
  <c r="T658" i="5"/>
  <c r="T625" i="5"/>
  <c r="T767" i="5"/>
  <c r="T772" i="5"/>
  <c r="T766" i="5"/>
  <c r="T71" i="5"/>
  <c r="T45" i="5"/>
  <c r="T146" i="5"/>
  <c r="T48" i="5"/>
  <c r="T113" i="5"/>
  <c r="T131" i="5"/>
  <c r="T207" i="5"/>
  <c r="T36" i="5"/>
  <c r="T167" i="5"/>
  <c r="T85" i="5"/>
  <c r="T70" i="5"/>
  <c r="T328" i="5"/>
  <c r="T390" i="5"/>
  <c r="T360" i="5"/>
  <c r="T439" i="5"/>
  <c r="T343" i="5"/>
  <c r="T268" i="5"/>
  <c r="T443" i="5"/>
  <c r="T564" i="5"/>
  <c r="T94" i="5"/>
  <c r="T395" i="5"/>
  <c r="T385" i="5"/>
  <c r="T521" i="5"/>
  <c r="T144" i="5"/>
  <c r="T482" i="5"/>
  <c r="T591" i="5"/>
  <c r="T461" i="5"/>
  <c r="T407" i="5"/>
  <c r="T512" i="5"/>
  <c r="T544" i="5"/>
  <c r="T503" i="5"/>
  <c r="T568" i="5"/>
  <c r="T574" i="5"/>
  <c r="T567" i="5"/>
  <c r="T420" i="5"/>
  <c r="T653" i="5"/>
  <c r="T606" i="5"/>
  <c r="T583" i="5"/>
  <c r="T663" i="5"/>
  <c r="T599" i="5"/>
  <c r="T497" i="5"/>
  <c r="T582" i="5"/>
  <c r="T679" i="5"/>
  <c r="T702" i="5"/>
  <c r="T720" i="5"/>
  <c r="T719" i="5"/>
  <c r="T779" i="5"/>
  <c r="T38" i="5"/>
  <c r="T278" i="5"/>
  <c r="T221" i="5"/>
  <c r="T376" i="5"/>
  <c r="T400" i="5"/>
  <c r="T128" i="5"/>
  <c r="T296" i="5"/>
  <c r="T254" i="5"/>
  <c r="T516" i="5"/>
  <c r="T361" i="5"/>
  <c r="T432" i="5"/>
  <c r="T569" i="5"/>
  <c r="T608" i="5"/>
  <c r="T727" i="5"/>
  <c r="T549" i="5"/>
  <c r="T641" i="5"/>
  <c r="T661" i="5"/>
  <c r="T703" i="5"/>
  <c r="T724" i="5"/>
  <c r="T208" i="5"/>
  <c r="T158" i="5"/>
  <c r="T177" i="5"/>
  <c r="T300" i="5"/>
  <c r="T264" i="5"/>
  <c r="T309" i="5"/>
  <c r="T306" i="5"/>
  <c r="T434" i="5"/>
  <c r="T430" i="5"/>
  <c r="T362" i="5"/>
  <c r="T545" i="5"/>
  <c r="T650" i="5"/>
  <c r="T632" i="5"/>
  <c r="T660" i="5"/>
  <c r="T22" i="5"/>
  <c r="T339" i="5"/>
  <c r="T449" i="5"/>
  <c r="T305" i="5"/>
  <c r="T425" i="5"/>
  <c r="T332" i="5"/>
  <c r="T476" i="5"/>
  <c r="T242" i="5"/>
  <c r="T251" i="5"/>
  <c r="T473" i="5"/>
  <c r="T538" i="5"/>
  <c r="T377" i="5"/>
  <c r="T514" i="5"/>
  <c r="T334" i="5"/>
  <c r="T700" i="5"/>
  <c r="T563" i="5"/>
  <c r="T531" i="5"/>
  <c r="T718" i="5"/>
  <c r="T730" i="5"/>
  <c r="T759" i="5"/>
  <c r="T13" i="5"/>
  <c r="T19" i="5"/>
  <c r="T133" i="5"/>
  <c r="T73" i="5"/>
  <c r="T135" i="5"/>
  <c r="T75" i="5"/>
  <c r="T41" i="5"/>
  <c r="T247" i="5"/>
  <c r="T108" i="5"/>
  <c r="T150" i="5"/>
  <c r="T153" i="5"/>
  <c r="T427" i="5"/>
  <c r="T284" i="5"/>
  <c r="T110" i="5"/>
  <c r="T240" i="5"/>
  <c r="T151" i="5"/>
  <c r="T452" i="5"/>
  <c r="T226" i="5"/>
  <c r="T519" i="5"/>
  <c r="T314" i="5"/>
  <c r="T355" i="5"/>
  <c r="T244" i="5"/>
  <c r="T685" i="5"/>
  <c r="T636" i="5"/>
  <c r="T428" i="5"/>
  <c r="T670" i="5"/>
  <c r="T542" i="5"/>
  <c r="T581" i="5"/>
  <c r="T644" i="5"/>
  <c r="T721" i="5"/>
  <c r="T596" i="5"/>
  <c r="T706" i="5"/>
  <c r="T761" i="5"/>
  <c r="T726" i="5"/>
  <c r="T771" i="5"/>
  <c r="T18" i="5"/>
  <c r="T166" i="5"/>
  <c r="T382" i="5"/>
  <c r="T92" i="5"/>
  <c r="T270" i="5"/>
  <c r="T442" i="5"/>
  <c r="T485" i="5"/>
  <c r="T755" i="5"/>
  <c r="T773" i="5"/>
  <c r="T32" i="5"/>
  <c r="T65" i="5"/>
  <c r="T58" i="5"/>
  <c r="T81" i="5"/>
  <c r="T97" i="5"/>
  <c r="T235" i="5"/>
  <c r="T217" i="5"/>
  <c r="T292" i="5"/>
  <c r="T346" i="5"/>
  <c r="T274" i="5"/>
  <c r="T492" i="5"/>
  <c r="T559" i="5"/>
  <c r="T212" i="5"/>
  <c r="T324" i="5"/>
  <c r="T501" i="5"/>
  <c r="T526" i="5"/>
  <c r="T634" i="5"/>
  <c r="T505" i="5"/>
  <c r="T594" i="5"/>
  <c r="T631" i="5"/>
  <c r="T709" i="5"/>
  <c r="T633" i="5"/>
  <c r="T547" i="5"/>
  <c r="T764" i="5"/>
  <c r="T732" i="5"/>
  <c r="T777" i="5"/>
  <c r="T90" i="5"/>
  <c r="T192" i="5"/>
  <c r="T201" i="5"/>
  <c r="T104" i="5"/>
  <c r="T357" i="5"/>
  <c r="T384" i="5"/>
  <c r="T424" i="5"/>
  <c r="T266" i="5"/>
  <c r="T369" i="5"/>
  <c r="T447" i="5"/>
  <c r="T10" i="5"/>
  <c r="T50" i="5"/>
  <c r="T86" i="5"/>
  <c r="T77" i="5"/>
  <c r="T168" i="5"/>
  <c r="T84" i="5"/>
  <c r="T204" i="5"/>
  <c r="T199" i="5"/>
  <c r="T304" i="5"/>
  <c r="T500" i="5"/>
  <c r="T119" i="5"/>
  <c r="T572" i="5"/>
  <c r="T645" i="5"/>
  <c r="T467" i="5"/>
  <c r="T457" i="5"/>
  <c r="T451" i="5"/>
  <c r="T533" i="5"/>
  <c r="T690" i="5"/>
  <c r="T707" i="5"/>
  <c r="T31" i="5"/>
  <c r="T180" i="5"/>
  <c r="T245" i="5"/>
  <c r="T484" i="5"/>
  <c r="T367" i="5"/>
  <c r="T592" i="5"/>
  <c r="T394" i="5"/>
  <c r="T630" i="5"/>
  <c r="T446" i="5"/>
  <c r="T358" i="5"/>
  <c r="T668" i="5"/>
  <c r="T741" i="5"/>
  <c r="T780" i="5"/>
  <c r="N40" i="5"/>
  <c r="N192" i="5"/>
  <c r="N166" i="5"/>
  <c r="N270" i="5"/>
  <c r="N104" i="5"/>
  <c r="N384" i="5"/>
  <c r="N317" i="5"/>
  <c r="N449" i="5"/>
  <c r="N403" i="5"/>
  <c r="N682" i="5"/>
  <c r="N125" i="5"/>
  <c r="N80" i="5"/>
  <c r="N349" i="5"/>
  <c r="N320" i="5"/>
  <c r="N354" i="5"/>
  <c r="N450" i="5"/>
  <c r="N416" i="5"/>
  <c r="N157" i="5"/>
  <c r="N483" i="5"/>
  <c r="N280" i="5"/>
  <c r="N262" i="5"/>
  <c r="N585" i="5"/>
  <c r="N224" i="5"/>
  <c r="N600" i="5"/>
  <c r="N462" i="5"/>
  <c r="N731" i="5"/>
  <c r="N714" i="5"/>
  <c r="N729" i="5"/>
  <c r="N748" i="5"/>
  <c r="N15" i="5"/>
  <c r="N285" i="5"/>
  <c r="N220" i="5"/>
  <c r="N336" i="5"/>
  <c r="N288" i="5"/>
  <c r="N301" i="5"/>
  <c r="N297" i="5"/>
  <c r="N423" i="5"/>
  <c r="N111" i="5"/>
  <c r="N228" i="5"/>
  <c r="N464" i="5"/>
  <c r="N438" i="5"/>
  <c r="N227" i="5"/>
  <c r="N444" i="5"/>
  <c r="N646" i="5"/>
  <c r="N678" i="5"/>
  <c r="N734" i="5"/>
  <c r="N655" i="5"/>
  <c r="N775" i="5"/>
  <c r="N59" i="5"/>
  <c r="N42" i="5"/>
  <c r="N115" i="5"/>
  <c r="N156" i="5"/>
  <c r="N57" i="5"/>
  <c r="N136" i="5"/>
  <c r="N91" i="5"/>
  <c r="N366" i="5"/>
  <c r="N386" i="5"/>
  <c r="N490" i="5"/>
  <c r="N67" i="5"/>
  <c r="N674" i="5"/>
  <c r="N606" i="5"/>
  <c r="N497" i="5"/>
  <c r="N717" i="5"/>
  <c r="N776" i="5"/>
  <c r="N62" i="5"/>
  <c r="N72" i="5"/>
  <c r="N89" i="5"/>
  <c r="N106" i="5"/>
  <c r="N159" i="5"/>
  <c r="N432" i="5"/>
  <c r="N680" i="5"/>
  <c r="N25" i="5"/>
  <c r="N82" i="5"/>
  <c r="N64" i="5"/>
  <c r="N208" i="5"/>
  <c r="N66" i="5"/>
  <c r="N158" i="5"/>
  <c r="N172" i="5"/>
  <c r="N256" i="5"/>
  <c r="N88" i="5"/>
  <c r="N177" i="5"/>
  <c r="N300" i="5"/>
  <c r="N264" i="5"/>
  <c r="N211" i="5"/>
  <c r="N434" i="5"/>
  <c r="N430" i="5"/>
  <c r="N474" i="5"/>
  <c r="N232" i="5"/>
  <c r="N545" i="5"/>
  <c r="N411" i="5"/>
  <c r="N632" i="5"/>
  <c r="N383" i="5"/>
  <c r="N638" i="5"/>
  <c r="N570" i="5"/>
  <c r="N654" i="5"/>
  <c r="N609" i="5"/>
  <c r="N635" i="5"/>
  <c r="N660" i="5"/>
  <c r="N13" i="5"/>
  <c r="N19" i="5"/>
  <c r="N247" i="5"/>
  <c r="N150" i="5"/>
  <c r="N181" i="5"/>
  <c r="N284" i="5"/>
  <c r="N110" i="5"/>
  <c r="N240" i="5"/>
  <c r="N519" i="5"/>
  <c r="N540" i="5"/>
  <c r="N213" i="5"/>
  <c r="N355" i="5"/>
  <c r="N553" i="5"/>
  <c r="N723" i="5"/>
  <c r="N771" i="5"/>
  <c r="N54" i="5"/>
  <c r="N46" i="5"/>
  <c r="N182" i="5"/>
  <c r="N52" i="5"/>
  <c r="N118" i="5"/>
  <c r="N687" i="5"/>
  <c r="N16" i="5"/>
  <c r="N184" i="5"/>
  <c r="N179" i="5"/>
  <c r="N219" i="5"/>
  <c r="N255" i="5"/>
  <c r="N185" i="5"/>
  <c r="N53" i="5"/>
  <c r="N197" i="5"/>
  <c r="N277" i="5"/>
  <c r="N312" i="5"/>
  <c r="N502" i="5"/>
  <c r="N431" i="5"/>
  <c r="N316" i="5"/>
  <c r="N163" i="5"/>
  <c r="N338" i="5"/>
  <c r="N479" i="5"/>
  <c r="N528" i="5"/>
  <c r="N556" i="5"/>
  <c r="N604" i="5"/>
  <c r="N643" i="5"/>
  <c r="N602" i="5"/>
  <c r="N555" i="5"/>
  <c r="N736" i="5"/>
  <c r="N404" i="5"/>
  <c r="N629" i="5"/>
  <c r="N543" i="5"/>
  <c r="N738" i="5"/>
  <c r="N658" i="5"/>
  <c r="N625" i="5"/>
  <c r="N63" i="5"/>
  <c r="N85" i="5"/>
  <c r="N70" i="5"/>
  <c r="N237" i="5"/>
  <c r="N390" i="5"/>
  <c r="N360" i="5"/>
  <c r="N343" i="5"/>
  <c r="N517" i="5"/>
  <c r="N443" i="5"/>
  <c r="N385" i="5"/>
  <c r="N455" i="5"/>
  <c r="N617" i="5"/>
  <c r="N407" i="5"/>
  <c r="N503" i="5"/>
  <c r="N568" i="5"/>
  <c r="N574" i="5"/>
  <c r="N567" i="5"/>
  <c r="N653" i="5"/>
  <c r="N583" i="5"/>
  <c r="N599" i="5"/>
  <c r="N582" i="5"/>
  <c r="N679" i="5"/>
  <c r="N772" i="5"/>
  <c r="N778" i="5"/>
  <c r="N69" i="5"/>
  <c r="N139" i="5"/>
  <c r="N207" i="5"/>
  <c r="N170" i="5"/>
  <c r="N326" i="5"/>
  <c r="N365" i="5"/>
  <c r="N149" i="5"/>
  <c r="N518" i="5"/>
  <c r="N565" i="5"/>
  <c r="N436" i="5"/>
  <c r="N433" i="5"/>
  <c r="N389" i="5"/>
  <c r="N544" i="5"/>
  <c r="N656" i="5"/>
  <c r="N619" i="5"/>
  <c r="N720" i="5"/>
  <c r="N779" i="5"/>
  <c r="N728" i="5"/>
  <c r="N298" i="5"/>
  <c r="N191" i="5"/>
  <c r="N147" i="5"/>
  <c r="N526" i="5"/>
  <c r="N505" i="5"/>
  <c r="N594" i="5"/>
  <c r="N722" i="5"/>
  <c r="N631" i="5"/>
  <c r="N527" i="5"/>
  <c r="N610" i="5"/>
  <c r="N669" i="5"/>
  <c r="N50" i="5"/>
  <c r="N116" i="5"/>
  <c r="N37" i="5"/>
  <c r="N86" i="5"/>
  <c r="N83" i="5"/>
  <c r="N77" i="5"/>
  <c r="N168" i="5"/>
  <c r="N299" i="5"/>
  <c r="N412" i="5"/>
  <c r="N457" i="5"/>
  <c r="N684" i="5"/>
  <c r="N477" i="5"/>
  <c r="N509" i="5"/>
  <c r="N677" i="5"/>
  <c r="N716" i="5"/>
  <c r="N533" i="5"/>
  <c r="N448" i="5"/>
  <c r="N732" i="5"/>
  <c r="N688" i="5"/>
  <c r="N777" i="5"/>
  <c r="N31" i="5"/>
  <c r="N44" i="5"/>
  <c r="N47" i="5"/>
  <c r="N55" i="5"/>
  <c r="N269" i="5"/>
  <c r="N367" i="5"/>
  <c r="N396" i="5"/>
  <c r="N630" i="5"/>
  <c r="N358" i="5"/>
  <c r="N640" i="5"/>
  <c r="N615" i="5"/>
  <c r="N664" i="5"/>
  <c r="N691" i="5"/>
  <c r="N725" i="5"/>
  <c r="N707" i="5"/>
  <c r="N768" i="5"/>
  <c r="N784" i="5"/>
  <c r="N485" i="5"/>
  <c r="N456" i="5"/>
  <c r="N589" i="5"/>
  <c r="N781" i="5"/>
  <c r="N534" i="5"/>
  <c r="N696" i="5"/>
  <c r="N697" i="5"/>
  <c r="N746" i="5"/>
  <c r="N171" i="5"/>
  <c r="N65" i="5"/>
  <c r="N58" i="5"/>
  <c r="N165" i="5"/>
  <c r="N81" i="5"/>
  <c r="N41" i="5"/>
  <c r="N235" i="5"/>
  <c r="N141" i="5"/>
  <c r="N278" i="5"/>
  <c r="N221" i="5"/>
  <c r="N276" i="5"/>
  <c r="N287" i="5"/>
  <c r="N142" i="5"/>
  <c r="N601" i="5"/>
  <c r="N399" i="5"/>
  <c r="N708" i="5"/>
  <c r="N683" i="5"/>
  <c r="N756" i="5"/>
  <c r="N480" i="5"/>
  <c r="N695" i="5"/>
  <c r="N120" i="5"/>
  <c r="N762" i="5"/>
  <c r="N749" i="5"/>
  <c r="N388" i="5"/>
  <c r="N452" i="5"/>
  <c r="N429" i="5"/>
  <c r="N425" i="5"/>
  <c r="N332" i="5"/>
  <c r="N476" i="5"/>
  <c r="N590" i="5"/>
  <c r="N145" i="5"/>
  <c r="N151" i="5"/>
  <c r="N651" i="5"/>
  <c r="N51" i="5"/>
  <c r="N95" i="5"/>
  <c r="N152" i="5"/>
  <c r="N392" i="5"/>
  <c r="N204" i="5"/>
  <c r="N216" i="5"/>
  <c r="N199" i="5"/>
  <c r="N486" i="5"/>
  <c r="N267" i="5"/>
  <c r="N283" i="5"/>
  <c r="N647" i="5"/>
  <c r="N440" i="5"/>
  <c r="N492" i="5"/>
  <c r="N441" i="5"/>
  <c r="N414" i="5"/>
  <c r="N428" i="5"/>
  <c r="N473" i="5"/>
  <c r="N537" i="5"/>
  <c r="N402" i="5"/>
  <c r="N334" i="5"/>
  <c r="N642" i="5"/>
  <c r="N700" i="5"/>
  <c r="N563" i="5"/>
  <c r="N637" i="5"/>
  <c r="N74" i="5"/>
  <c r="N98" i="5"/>
  <c r="N99" i="5"/>
  <c r="N78" i="5"/>
  <c r="N231" i="5"/>
  <c r="N245" i="5"/>
  <c r="N346" i="5"/>
  <c r="N174" i="5"/>
  <c r="N183" i="5"/>
  <c r="N330" i="5"/>
  <c r="N375" i="5"/>
  <c r="N274" i="5"/>
  <c r="N368" i="5"/>
  <c r="N209" i="5"/>
  <c r="N471" i="5"/>
  <c r="N324" i="5"/>
  <c r="N501" i="5"/>
  <c r="N272" i="5"/>
  <c r="N581" i="5"/>
  <c r="N721" i="5"/>
  <c r="N584" i="5"/>
  <c r="N596" i="5"/>
  <c r="N671" i="5"/>
  <c r="N706" i="5"/>
  <c r="N761" i="5"/>
  <c r="N726" i="5"/>
  <c r="N742" i="5"/>
  <c r="N311" i="5"/>
  <c r="N259" i="5"/>
  <c r="N233" i="5"/>
  <c r="N45" i="5"/>
  <c r="N26" i="5"/>
  <c r="N27" i="5"/>
  <c r="N23" i="5"/>
  <c r="N148" i="5"/>
  <c r="N71" i="5"/>
  <c r="N178" i="5"/>
  <c r="N49" i="5"/>
  <c r="N35" i="5"/>
  <c r="N306" i="5"/>
  <c r="N363" i="5"/>
  <c r="N494" i="5"/>
  <c r="N144" i="5"/>
  <c r="N482" i="5"/>
  <c r="N591" i="5"/>
  <c r="N461" i="5"/>
  <c r="N618" i="5"/>
  <c r="N379" i="5"/>
  <c r="N623" i="5"/>
  <c r="N478" i="5"/>
  <c r="N611" i="5"/>
  <c r="N624" i="5"/>
  <c r="N381" i="5"/>
  <c r="N755" i="5"/>
  <c r="N28" i="5"/>
  <c r="N146" i="5"/>
  <c r="N369" i="5"/>
  <c r="N447" i="5"/>
  <c r="N356" i="5"/>
  <c r="N410" i="5"/>
  <c r="N627" i="5"/>
  <c r="N134" i="5"/>
  <c r="N560" i="5"/>
  <c r="N22" i="5"/>
  <c r="N257" i="5"/>
  <c r="N167" i="5"/>
  <c r="N289" i="5"/>
  <c r="N190" i="5"/>
  <c r="N322" i="5"/>
  <c r="N236" i="5"/>
  <c r="N290" i="5"/>
  <c r="N215" i="5"/>
  <c r="N372" i="5"/>
  <c r="N102" i="5"/>
  <c r="N484" i="5"/>
  <c r="N304" i="5"/>
  <c r="N202" i="5"/>
  <c r="N500" i="5"/>
  <c r="N387" i="5"/>
  <c r="N258" i="5"/>
  <c r="N119" i="5"/>
  <c r="N468" i="5"/>
  <c r="N614" i="5"/>
  <c r="N593" i="5"/>
  <c r="N489" i="5"/>
  <c r="N636" i="5"/>
  <c r="N329" i="5"/>
  <c r="N608" i="5"/>
  <c r="N735" i="5"/>
  <c r="N420" i="5"/>
  <c r="N205" i="5"/>
  <c r="N498" i="5"/>
  <c r="N169" i="5"/>
  <c r="N558" i="5"/>
  <c r="N133" i="5"/>
  <c r="N73" i="5"/>
  <c r="N135" i="5"/>
  <c r="N75" i="5"/>
  <c r="N250" i="5"/>
  <c r="N155" i="5"/>
  <c r="N161" i="5"/>
  <c r="N130" i="5"/>
  <c r="N331" i="5"/>
  <c r="N160" i="5"/>
  <c r="N275" i="5"/>
  <c r="N195" i="5"/>
  <c r="N194" i="5"/>
  <c r="N348" i="5"/>
  <c r="N605" i="5"/>
  <c r="N335" i="5"/>
  <c r="N345" i="5"/>
  <c r="N559" i="5"/>
  <c r="N672" i="5"/>
  <c r="N499" i="5"/>
  <c r="N481" i="5"/>
  <c r="N650" i="5"/>
  <c r="N765" i="5"/>
  <c r="N524" i="5"/>
  <c r="N391" i="5"/>
  <c r="N212" i="5"/>
  <c r="N394" i="5"/>
  <c r="N435" i="5"/>
  <c r="N373" i="5"/>
  <c r="N675" i="5"/>
  <c r="N713" i="5"/>
  <c r="N571" i="5"/>
  <c r="N763" i="5"/>
  <c r="N702" i="5"/>
  <c r="N767" i="5"/>
  <c r="N352" i="5"/>
  <c r="N641" i="5"/>
  <c r="N350" i="5"/>
  <c r="N217" i="5"/>
  <c r="N427" i="5"/>
  <c r="N303" i="5"/>
  <c r="N424" i="5"/>
  <c r="N291" i="5"/>
  <c r="N564" i="5"/>
  <c r="N622" i="5"/>
  <c r="N337" i="5"/>
  <c r="N634" i="5"/>
  <c r="N347" i="5"/>
  <c r="N766" i="5"/>
  <c r="N96" i="5"/>
  <c r="N173" i="5"/>
  <c r="N292" i="5"/>
  <c r="N193" i="5"/>
  <c r="N203" i="5"/>
  <c r="N238" i="5"/>
  <c r="N94" i="5"/>
  <c r="N395" i="5"/>
  <c r="N493" i="5"/>
  <c r="N418" i="5"/>
  <c r="N506" i="5"/>
  <c r="N668" i="5"/>
  <c r="N709" i="5"/>
  <c r="N459" i="5"/>
  <c r="N547" i="5"/>
  <c r="N61" i="5"/>
  <c r="N127" i="5"/>
  <c r="N249" i="5"/>
  <c r="N223" i="5"/>
  <c r="N218" i="5"/>
  <c r="N164" i="5"/>
  <c r="N296" i="5"/>
  <c r="N465" i="5"/>
  <c r="N612" i="5"/>
  <c r="N408" i="5"/>
  <c r="N488" i="5"/>
  <c r="N504" i="5"/>
  <c r="N225" i="5"/>
  <c r="N667" i="5"/>
  <c r="N551" i="5"/>
  <c r="N652" i="5"/>
  <c r="N681" i="5"/>
  <c r="N613" i="5"/>
  <c r="N621" i="5"/>
  <c r="N586" i="5"/>
  <c r="N628" i="5"/>
  <c r="N665" i="5"/>
  <c r="N764" i="5"/>
  <c r="N754" i="5"/>
  <c r="N783" i="5"/>
  <c r="N48" i="5"/>
  <c r="N113" i="5"/>
  <c r="N131" i="5"/>
  <c r="N137" i="5"/>
  <c r="N93" i="5"/>
  <c r="N126" i="5"/>
  <c r="N222" i="5"/>
  <c r="N123" i="5"/>
  <c r="N234" i="5"/>
  <c r="N162" i="5"/>
  <c r="N246" i="5"/>
  <c r="N323" i="5"/>
  <c r="N281" i="5"/>
  <c r="N341" i="5"/>
  <c r="N309" i="5"/>
  <c r="N530" i="5"/>
  <c r="N101" i="5"/>
  <c r="N327" i="5"/>
  <c r="N210" i="5"/>
  <c r="N521" i="5"/>
  <c r="N380" i="5"/>
  <c r="N496" i="5"/>
  <c r="N529" i="5"/>
  <c r="N419" i="5"/>
  <c r="N293" i="5"/>
  <c r="N515" i="5"/>
  <c r="N393" i="5"/>
  <c r="N523" i="5"/>
  <c r="N633" i="5"/>
  <c r="N597" i="5"/>
  <c r="N588" i="5"/>
  <c r="N739" i="5"/>
  <c r="N753" i="5"/>
  <c r="N699" i="5"/>
  <c r="N759" i="5"/>
  <c r="N33" i="5"/>
  <c r="N105" i="5"/>
  <c r="N295" i="5"/>
  <c r="N226" i="5"/>
  <c r="N128" i="5"/>
  <c r="N445" i="5"/>
  <c r="N566" i="5"/>
  <c r="N546" i="5"/>
  <c r="N550" i="5"/>
  <c r="N578" i="5"/>
  <c r="N607" i="5"/>
  <c r="N649" i="5"/>
  <c r="N129" i="5"/>
  <c r="N68" i="5"/>
  <c r="N214" i="5"/>
  <c r="N577" i="5"/>
  <c r="N415" i="5"/>
  <c r="N244" i="5"/>
  <c r="N361" i="5"/>
  <c r="N548" i="5"/>
  <c r="N712" i="5"/>
  <c r="N744" i="5"/>
  <c r="N188" i="5"/>
  <c r="N302" i="5"/>
  <c r="N495" i="5"/>
  <c r="N657" i="5"/>
  <c r="N532" i="5"/>
  <c r="N542" i="5"/>
  <c r="N333" i="5"/>
  <c r="N549" i="5"/>
  <c r="N313" i="5"/>
  <c r="N442" i="5"/>
  <c r="N580" i="5"/>
  <c r="N378" i="5"/>
  <c r="N587" i="5"/>
  <c r="N661" i="5"/>
  <c r="N694" i="5"/>
  <c r="N401" i="5"/>
  <c r="N475" i="5"/>
  <c r="N770" i="5"/>
  <c r="N21" i="5"/>
  <c r="N30" i="5"/>
  <c r="N265" i="5"/>
  <c r="N282" i="5"/>
  <c r="N263" i="5"/>
  <c r="N321" i="5"/>
  <c r="N562" i="5"/>
  <c r="N645" i="5"/>
  <c r="N406" i="5"/>
  <c r="N538" i="5"/>
  <c r="N598" i="5"/>
  <c r="N715" i="5"/>
  <c r="N773" i="5"/>
  <c r="N686" i="5"/>
  <c r="N693" i="5"/>
  <c r="N750" i="5"/>
  <c r="N554" i="5"/>
  <c r="N662" i="5"/>
  <c r="N38" i="5"/>
  <c r="N114" i="5"/>
  <c r="N248" i="5"/>
  <c r="N253" i="5"/>
  <c r="N689" i="5"/>
  <c r="N616" i="5"/>
  <c r="N676" i="5"/>
  <c r="N760" i="5"/>
  <c r="N14" i="5"/>
  <c r="N271" i="5"/>
  <c r="N458" i="5"/>
  <c r="N90" i="5"/>
  <c r="N79" i="5"/>
  <c r="N124" i="5"/>
  <c r="N239" i="5"/>
  <c r="N421" i="5"/>
  <c r="N561" i="5"/>
  <c r="N552" i="5"/>
  <c r="N752" i="5"/>
  <c r="N400" i="5"/>
  <c r="N176" i="5"/>
  <c r="N525" i="5"/>
  <c r="N252" i="5"/>
  <c r="N508" i="5"/>
  <c r="N398" i="5"/>
  <c r="N18" i="5"/>
  <c r="N29" i="5"/>
  <c r="N87" i="5"/>
  <c r="N39" i="5"/>
  <c r="N60" i="5"/>
  <c r="N109" i="5"/>
  <c r="N36" i="5"/>
  <c r="N344" i="5"/>
  <c r="N579" i="5"/>
  <c r="N417" i="5"/>
  <c r="N737" i="5"/>
  <c r="N698" i="5"/>
  <c r="N230" i="5"/>
  <c r="N516" i="5"/>
  <c r="N666" i="5"/>
  <c r="N782" i="5"/>
  <c r="N774" i="5"/>
  <c r="N186" i="5"/>
  <c r="N437" i="5"/>
  <c r="N704" i="5"/>
  <c r="N12" i="5"/>
  <c r="N229" i="5"/>
  <c r="N97" i="5"/>
  <c r="N351" i="5"/>
  <c r="N153" i="5"/>
  <c r="N294" i="5"/>
  <c r="N43" i="5"/>
  <c r="N371" i="5"/>
  <c r="N376" i="5"/>
  <c r="N359" i="5"/>
  <c r="N314" i="5"/>
  <c r="N339" i="5"/>
  <c r="N254" i="5"/>
  <c r="N243" i="5"/>
  <c r="N573" i="5"/>
  <c r="N572" i="5"/>
  <c r="N685" i="5"/>
  <c r="N242" i="5"/>
  <c r="N362" i="5"/>
  <c r="N409" i="5"/>
  <c r="N539" i="5"/>
  <c r="N663" i="5"/>
  <c r="N595" i="5"/>
  <c r="N741" i="5"/>
  <c r="N703" i="5"/>
  <c r="N692" i="5"/>
  <c r="N719" i="5"/>
  <c r="N769" i="5"/>
  <c r="N743" i="5"/>
  <c r="N758" i="5"/>
  <c r="N541" i="5"/>
  <c r="N32" i="5"/>
  <c r="N187" i="5"/>
  <c r="N154" i="5"/>
  <c r="N310" i="5"/>
  <c r="N575" i="5"/>
  <c r="N10" i="5"/>
  <c r="N24" i="5"/>
  <c r="N112" i="5"/>
  <c r="N241" i="5"/>
  <c r="N132" i="5"/>
  <c r="N261" i="5"/>
  <c r="N180" i="5"/>
  <c r="N84" i="5"/>
  <c r="N201" i="5"/>
  <c r="N198" i="5"/>
  <c r="N196" i="5"/>
  <c r="N405" i="5"/>
  <c r="N273" i="5"/>
  <c r="N328" i="5"/>
  <c r="N315" i="5"/>
  <c r="N268" i="5"/>
  <c r="N325" i="5"/>
  <c r="N472" i="5"/>
  <c r="N374" i="5"/>
  <c r="N319" i="5"/>
  <c r="N466" i="5"/>
  <c r="N467" i="5"/>
  <c r="N569" i="5"/>
  <c r="N603" i="5"/>
  <c r="N522" i="5"/>
  <c r="N451" i="5"/>
  <c r="N644" i="5"/>
  <c r="N745" i="5"/>
  <c r="N727" i="5"/>
  <c r="N673" i="5"/>
  <c r="N648" i="5"/>
  <c r="N690" i="5"/>
  <c r="N710" i="5"/>
  <c r="N724" i="5"/>
  <c r="N17" i="5"/>
  <c r="N140" i="5"/>
  <c r="N491" i="5"/>
  <c r="N487" i="5"/>
  <c r="F3" i="5"/>
  <c r="N11" i="5"/>
  <c r="N56" i="5"/>
  <c r="N121" i="5"/>
  <c r="N108" i="5"/>
  <c r="N92" i="5"/>
  <c r="N469" i="5"/>
  <c r="J3" i="5"/>
  <c r="N76" i="5"/>
  <c r="N200" i="5"/>
  <c r="N175" i="5"/>
  <c r="N670" i="5"/>
  <c r="N514" i="5"/>
  <c r="N463" i="5"/>
  <c r="N357" i="5"/>
  <c r="N439" i="5"/>
  <c r="N189" i="5"/>
  <c r="N520" i="5"/>
  <c r="N251" i="5"/>
  <c r="N512" i="5"/>
  <c r="N557" i="5"/>
  <c r="N454" i="5"/>
  <c r="N117" i="5"/>
  <c r="N413" i="5"/>
  <c r="N308" i="5"/>
  <c r="N460" i="5"/>
  <c r="N592" i="5"/>
  <c r="N511" i="5"/>
  <c r="N446" i="5"/>
  <c r="N701" i="5"/>
  <c r="N382" i="5"/>
  <c r="N340" i="5"/>
  <c r="N266" i="5"/>
  <c r="N103" i="5"/>
  <c r="N305" i="5"/>
  <c r="N513" i="5"/>
  <c r="N377" i="5"/>
  <c r="N639" i="5"/>
  <c r="N757" i="5"/>
  <c r="N531" i="5"/>
  <c r="N718" i="5"/>
  <c r="N730" i="5"/>
  <c r="N143" i="5"/>
  <c r="N260" i="5"/>
  <c r="N279" i="5"/>
  <c r="N318" i="5"/>
  <c r="N122" i="5"/>
  <c r="N659" i="5"/>
  <c r="N535" i="5"/>
  <c r="N364" i="5"/>
  <c r="N576" i="5"/>
  <c r="M784" i="4"/>
  <c r="M41" i="4"/>
  <c r="M684" i="4"/>
  <c r="M94" i="4"/>
  <c r="M605" i="4"/>
  <c r="M305" i="4"/>
  <c r="M227" i="4"/>
  <c r="M430" i="4"/>
  <c r="M401" i="4"/>
  <c r="M548" i="4"/>
  <c r="M673" i="4"/>
  <c r="M711" i="4"/>
  <c r="M590" i="4"/>
  <c r="M275" i="4"/>
  <c r="M767" i="4"/>
  <c r="M240" i="4"/>
  <c r="M754" i="4"/>
  <c r="M152" i="4"/>
  <c r="M142" i="4"/>
  <c r="M636" i="4"/>
  <c r="M14" i="4"/>
  <c r="M171" i="4"/>
  <c r="M381" i="4"/>
  <c r="M83" i="4"/>
  <c r="M99" i="4"/>
  <c r="M160" i="4"/>
  <c r="M289" i="4"/>
  <c r="M23" i="4"/>
  <c r="M334" i="4"/>
  <c r="M663" i="4"/>
  <c r="M188" i="4"/>
  <c r="M274" i="4"/>
  <c r="M609" i="4"/>
  <c r="M432" i="4"/>
  <c r="M148" i="4"/>
  <c r="M352" i="4"/>
  <c r="M288" i="4"/>
  <c r="M217" i="4"/>
  <c r="M195" i="4"/>
  <c r="M680" i="4"/>
  <c r="M574" i="4"/>
  <c r="M733" i="4"/>
  <c r="M689" i="4"/>
  <c r="M409" i="4"/>
  <c r="M751" i="4"/>
  <c r="M660" i="4"/>
  <c r="M579" i="4"/>
  <c r="M637" i="4"/>
  <c r="M745" i="4"/>
  <c r="M770" i="4"/>
  <c r="M147" i="4"/>
  <c r="M263" i="4"/>
  <c r="M492" i="4"/>
  <c r="M547" i="4"/>
  <c r="M146" i="4"/>
  <c r="M596" i="4"/>
  <c r="M501" i="4"/>
  <c r="M375" i="4"/>
  <c r="M219" i="4"/>
  <c r="M307" i="4"/>
  <c r="M619" i="4"/>
  <c r="M750" i="4"/>
  <c r="M175" i="4"/>
  <c r="M434" i="4"/>
  <c r="M192" i="4"/>
  <c r="M771" i="4"/>
  <c r="M766" i="4"/>
  <c r="M185" i="4"/>
  <c r="M497" i="4"/>
  <c r="M687" i="4"/>
  <c r="M781" i="4"/>
  <c r="M760" i="4"/>
  <c r="M516" i="4"/>
  <c r="M416" i="4"/>
  <c r="M728" i="4"/>
  <c r="M285" i="4"/>
  <c r="M458" i="4"/>
  <c r="M615" i="4"/>
  <c r="M329" i="4"/>
  <c r="M345" i="4"/>
  <c r="M357" i="4"/>
  <c r="M734" i="4"/>
  <c r="M225" i="4"/>
  <c r="M448" i="4"/>
  <c r="M25" i="4"/>
  <c r="M264" i="4"/>
  <c r="M122" i="4"/>
  <c r="M257" i="4"/>
  <c r="M624" i="4"/>
  <c r="M90" i="4"/>
  <c r="M60" i="4"/>
  <c r="M56" i="4"/>
  <c r="M444" i="4"/>
  <c r="M335" i="4"/>
  <c r="M520" i="4"/>
  <c r="M454" i="4"/>
  <c r="M535" i="4"/>
  <c r="M575" i="4"/>
  <c r="M668" i="4"/>
  <c r="M686" i="4"/>
  <c r="M606" i="4"/>
  <c r="M44" i="4"/>
  <c r="M65" i="4"/>
  <c r="M517" i="4"/>
  <c r="M107" i="4"/>
  <c r="M695" i="4"/>
  <c r="M224" i="4"/>
  <c r="M542" i="4"/>
  <c r="M459" i="4"/>
  <c r="M394" i="4"/>
  <c r="M89" i="4"/>
  <c r="M612" i="4"/>
  <c r="M774" i="4"/>
  <c r="M741" i="4"/>
  <c r="M675" i="4"/>
  <c r="M119" i="4"/>
  <c r="M215" i="4"/>
  <c r="M58" i="4"/>
  <c r="M691" i="4"/>
  <c r="M390" i="4"/>
  <c r="M241" i="4"/>
  <c r="M571" i="4"/>
  <c r="M435" i="4"/>
  <c r="M54" i="4"/>
  <c r="M347" i="4"/>
  <c r="M293" i="4"/>
  <c r="M106" i="4"/>
  <c r="M190" i="4"/>
  <c r="M396" i="4"/>
  <c r="M369" i="4"/>
  <c r="M461" i="4"/>
  <c r="M112" i="4"/>
  <c r="M140" i="4"/>
  <c r="M556" i="4"/>
  <c r="M346" i="4"/>
  <c r="M93" i="4"/>
  <c r="M514" i="4"/>
  <c r="M634" i="4"/>
  <c r="M398" i="4"/>
  <c r="M614" i="4"/>
  <c r="M320" i="4"/>
  <c r="M489" i="4"/>
  <c r="M327" i="4"/>
  <c r="M406" i="4"/>
  <c r="M732" i="4"/>
  <c r="M768" i="4"/>
  <c r="M587" i="4"/>
  <c r="M763" i="4"/>
  <c r="M304" i="4"/>
  <c r="M39" i="4"/>
  <c r="M10" i="4"/>
  <c r="M159" i="4"/>
  <c r="M199" i="4"/>
  <c r="M324" i="4"/>
  <c r="M96" i="4"/>
  <c r="M455" i="4"/>
  <c r="M218" i="4"/>
  <c r="M258" i="4"/>
  <c r="M349" i="4"/>
  <c r="M292" i="4"/>
  <c r="M282" i="4"/>
  <c r="M622" i="4"/>
  <c r="M738" i="4"/>
  <c r="M482" i="4"/>
  <c r="M700" i="4"/>
  <c r="M735" i="4"/>
  <c r="M551" i="4"/>
  <c r="M692" i="4"/>
  <c r="M403" i="4"/>
  <c r="M671" i="4"/>
  <c r="M635" i="4"/>
  <c r="M539" i="4"/>
  <c r="M533" i="4"/>
  <c r="M13" i="4"/>
  <c r="M300" i="4"/>
  <c r="M328" i="4"/>
  <c r="M101" i="4"/>
  <c r="M392" i="4"/>
  <c r="M498" i="4"/>
  <c r="M658" i="4"/>
  <c r="M642" i="4"/>
  <c r="M223" i="4"/>
  <c r="M450" i="4"/>
  <c r="M413" i="4"/>
  <c r="M708" i="4"/>
  <c r="M165" i="4"/>
  <c r="M729" i="4"/>
  <c r="M262" i="4"/>
  <c r="M685" i="4"/>
  <c r="M471" i="4"/>
  <c r="M569" i="4"/>
  <c r="M567" i="4"/>
  <c r="M415" i="4"/>
  <c r="M589" i="4"/>
  <c r="M552" i="4"/>
  <c r="M716" i="4"/>
  <c r="M724" i="4"/>
  <c r="M144" i="4"/>
  <c r="M775" i="4"/>
  <c r="M656" i="4"/>
  <c r="M473" i="4"/>
  <c r="M586" i="4"/>
  <c r="M279" i="4"/>
  <c r="M342" i="4"/>
  <c r="M368" i="4"/>
  <c r="M69" i="4"/>
  <c r="M200" i="4"/>
  <c r="M463" i="4"/>
  <c r="M341" i="4"/>
  <c r="M138" i="4"/>
  <c r="M302" i="4"/>
  <c r="M75" i="4"/>
  <c r="M540" i="4"/>
  <c r="M24" i="4"/>
  <c r="M208" i="4"/>
  <c r="M281" i="4"/>
  <c r="M433" i="4"/>
  <c r="M428" i="4"/>
  <c r="M470" i="4"/>
  <c r="M676" i="4"/>
  <c r="M467" i="4"/>
  <c r="M581" i="4"/>
  <c r="M740" i="4"/>
  <c r="M469" i="4"/>
  <c r="M507" i="4"/>
  <c r="M373" i="4"/>
  <c r="M131" i="4"/>
  <c r="M419" i="4"/>
  <c r="M595" i="4"/>
  <c r="M63" i="4"/>
  <c r="M338" i="4"/>
  <c r="M584" i="4"/>
  <c r="M746" i="4"/>
  <c r="M681" i="4"/>
  <c r="M42" i="4"/>
  <c r="M78" i="4"/>
  <c r="M702" i="4"/>
  <c r="M382" i="4"/>
  <c r="M315" i="4"/>
  <c r="M367" i="4"/>
  <c r="M527" i="4"/>
  <c r="M511" i="4"/>
  <c r="M485" i="4"/>
  <c r="M515" i="4"/>
  <c r="M351" i="4"/>
  <c r="M174" i="4"/>
  <c r="M130" i="4"/>
  <c r="M483" i="4"/>
  <c r="M250" i="4"/>
  <c r="M412" i="4"/>
  <c r="M12" i="4"/>
  <c r="M120" i="4"/>
  <c r="M326" i="4"/>
  <c r="M291" i="4"/>
  <c r="M114" i="4"/>
  <c r="M116" i="4"/>
  <c r="M239" i="4"/>
  <c r="M705" i="4"/>
  <c r="M261" i="4"/>
  <c r="M133" i="4"/>
  <c r="M502" i="4"/>
  <c r="M414" i="4"/>
  <c r="M402" i="4"/>
  <c r="M780" i="4"/>
  <c r="M506" i="4"/>
  <c r="M371" i="4"/>
  <c r="M137" i="4"/>
  <c r="M251" i="4"/>
  <c r="M299" i="4"/>
  <c r="M744" i="4"/>
  <c r="M613" i="4"/>
  <c r="M201" i="4"/>
  <c r="M560" i="4"/>
  <c r="M683" i="4"/>
  <c r="M491" i="4"/>
  <c r="M452" i="4"/>
  <c r="M730" i="4"/>
  <c r="M531" i="4"/>
  <c r="M453" i="4"/>
  <c r="M427" i="4"/>
  <c r="M429" i="4"/>
  <c r="M117" i="4"/>
  <c r="M703" i="4"/>
  <c r="M35" i="4"/>
  <c r="M773" i="4"/>
  <c r="M134" i="4"/>
  <c r="M20" i="4"/>
  <c r="M532" i="4"/>
  <c r="M655" i="4"/>
  <c r="M303" i="4"/>
  <c r="M529" i="4"/>
  <c r="M220" i="4"/>
  <c r="M682" i="4"/>
  <c r="M577" i="4"/>
  <c r="M407" i="4"/>
  <c r="M525" i="4"/>
  <c r="M546" i="4"/>
  <c r="M252" i="4"/>
  <c r="M162" i="4"/>
  <c r="M321" i="4"/>
  <c r="M313" i="4"/>
  <c r="M623" i="4"/>
  <c r="M364" i="4"/>
  <c r="M721" i="4"/>
  <c r="M678" i="4"/>
  <c r="M226" i="4"/>
  <c r="M449" i="4"/>
  <c r="M294" i="4"/>
  <c r="M460" i="4"/>
  <c r="M404" i="4"/>
  <c r="M206" i="4"/>
  <c r="M383" i="4"/>
  <c r="M370" i="4"/>
  <c r="M260" i="4"/>
  <c r="M384" i="4"/>
  <c r="M639" i="4"/>
  <c r="M508" i="4"/>
  <c r="M523" i="4"/>
  <c r="M538" i="4"/>
  <c r="M100" i="4"/>
  <c r="M616" i="4"/>
  <c r="M617" i="4"/>
  <c r="M248" i="4"/>
  <c r="M641" i="4"/>
  <c r="M287" i="4"/>
  <c r="M181" i="4"/>
  <c r="M290" i="4"/>
  <c r="M11" i="4"/>
  <c r="M109" i="4"/>
  <c r="M391" i="4"/>
  <c r="M124" i="4"/>
  <c r="M479" i="4"/>
  <c r="M154" i="4"/>
  <c r="M628" i="4"/>
  <c r="M256" i="4"/>
  <c r="M295" i="4"/>
  <c r="M679" i="4"/>
  <c r="M43" i="4"/>
  <c r="M360" i="4"/>
  <c r="M253" i="4"/>
  <c r="M764" i="4"/>
  <c r="M593" i="4"/>
  <c r="M355" i="4"/>
  <c r="M601" i="4"/>
  <c r="M337" i="4"/>
  <c r="M451" i="4"/>
  <c r="M739" i="4"/>
  <c r="M184" i="4"/>
  <c r="M640" i="4"/>
  <c r="M727" i="4"/>
  <c r="M753" i="4"/>
  <c r="M176" i="4"/>
  <c r="M743" i="4"/>
  <c r="M31" i="4"/>
  <c r="M580" i="4"/>
  <c r="M48" i="4"/>
  <c r="M417" i="4"/>
  <c r="M503" i="4"/>
  <c r="M222" i="4"/>
  <c r="M563" i="4"/>
  <c r="M40" i="4"/>
  <c r="M157" i="4"/>
  <c r="M405" i="4"/>
  <c r="M169" i="4"/>
  <c r="M464" i="4"/>
  <c r="M445" i="4"/>
  <c r="M211" i="4"/>
  <c r="M57" i="4"/>
  <c r="M512" i="4"/>
  <c r="M528" i="4"/>
  <c r="M659" i="4"/>
  <c r="M312" i="4"/>
  <c r="M522" i="4"/>
  <c r="M167" i="4"/>
  <c r="M447" i="4"/>
  <c r="M247" i="4"/>
  <c r="M783" i="4"/>
  <c r="M725" i="4"/>
  <c r="M611" i="4"/>
  <c r="M136" i="4"/>
  <c r="M543" i="4"/>
  <c r="M156" i="4"/>
  <c r="M715" i="4"/>
  <c r="M597" i="4"/>
  <c r="M50" i="4"/>
  <c r="M127" i="4"/>
  <c r="M466" i="4"/>
  <c r="M128" i="4"/>
  <c r="M476" i="4"/>
  <c r="M322" i="4"/>
  <c r="M104" i="4"/>
  <c r="M34" i="4"/>
  <c r="M53" i="4"/>
  <c r="M323" i="4"/>
  <c r="M504" i="4"/>
  <c r="M22" i="4"/>
  <c r="M204" i="4"/>
  <c r="M26" i="4"/>
  <c r="M183" i="4"/>
  <c r="M359" i="4"/>
  <c r="M178" i="4"/>
  <c r="M630" i="4"/>
  <c r="M306" i="4"/>
  <c r="M68" i="4"/>
  <c r="M141" i="4"/>
  <c r="M667" i="4"/>
  <c r="M298" i="4"/>
  <c r="M669" i="4"/>
  <c r="M121" i="4"/>
  <c r="M333" i="4"/>
  <c r="M769" i="4"/>
  <c r="M173" i="4"/>
  <c r="M553" i="4"/>
  <c r="M87" i="4"/>
  <c r="M672" i="4"/>
  <c r="M608" i="4"/>
  <c r="M765" i="4"/>
  <c r="M343" i="4"/>
  <c r="M339" i="4"/>
  <c r="M592" i="4"/>
  <c r="M756" i="4"/>
  <c r="M155" i="4"/>
  <c r="M17" i="4"/>
  <c r="M719" i="4"/>
  <c r="M468" i="4"/>
  <c r="M362" i="4"/>
  <c r="E3" i="4"/>
  <c r="M340" i="4"/>
  <c r="M236" i="4"/>
  <c r="M772" i="4"/>
  <c r="M276" i="4"/>
  <c r="M309" i="4"/>
  <c r="M164" i="4"/>
  <c r="M113" i="4"/>
  <c r="M29" i="4"/>
  <c r="M72" i="4"/>
  <c r="M495" i="4"/>
  <c r="M666" i="4"/>
  <c r="M650" i="4"/>
  <c r="M21" i="4"/>
  <c r="M477" i="4"/>
  <c r="M363" i="4"/>
  <c r="M255" i="4"/>
  <c r="M308" i="4"/>
  <c r="M356" i="4"/>
  <c r="M150" i="4"/>
  <c r="M242" i="4"/>
  <c r="M648" i="4"/>
  <c r="I3" i="4"/>
  <c r="M314" i="4"/>
  <c r="M661" i="4"/>
  <c r="M186" i="4"/>
  <c r="M549" i="4"/>
  <c r="M588" i="4"/>
  <c r="M126" i="4"/>
  <c r="M286" i="4"/>
  <c r="M361" i="4"/>
  <c r="M594" i="4"/>
  <c r="M714" i="4"/>
  <c r="M115" i="4"/>
  <c r="M45" i="4"/>
  <c r="M51" i="4"/>
  <c r="M578" i="4"/>
  <c r="M388" i="4"/>
  <c r="M723" i="4"/>
  <c r="M441" i="4"/>
  <c r="M762" i="4"/>
  <c r="M500" i="4"/>
  <c r="M526" i="4"/>
  <c r="M385" i="3"/>
  <c r="M377" i="3"/>
  <c r="M676" i="3"/>
  <c r="M486" i="3"/>
  <c r="M724" i="3"/>
  <c r="M751" i="3"/>
  <c r="M107" i="3"/>
  <c r="M661" i="3"/>
  <c r="M518" i="3"/>
  <c r="M739" i="3"/>
  <c r="M770" i="3"/>
  <c r="M298" i="3"/>
  <c r="M771" i="3"/>
  <c r="M373" i="3"/>
  <c r="M153" i="3"/>
  <c r="M23" i="3"/>
  <c r="M248" i="3"/>
  <c r="M308" i="3"/>
  <c r="M58" i="3"/>
  <c r="M336" i="3"/>
  <c r="M141" i="3"/>
  <c r="M309" i="3"/>
  <c r="M70" i="3"/>
  <c r="M448" i="3"/>
  <c r="M576" i="3"/>
  <c r="M554" i="3"/>
  <c r="M205" i="3"/>
  <c r="M331" i="3"/>
  <c r="M287" i="3"/>
  <c r="M462" i="3"/>
  <c r="M534" i="3"/>
  <c r="M715" i="3"/>
  <c r="M547" i="3"/>
  <c r="M185" i="3"/>
  <c r="M189" i="3"/>
  <c r="M736" i="3"/>
  <c r="M531" i="3"/>
  <c r="M405" i="3"/>
  <c r="M160" i="3"/>
  <c r="M410" i="3"/>
  <c r="M177" i="3"/>
  <c r="M66" i="3"/>
  <c r="M451" i="3"/>
  <c r="M683" i="3"/>
  <c r="M446" i="3"/>
  <c r="M437" i="3"/>
  <c r="M428" i="3"/>
  <c r="M434" i="3"/>
  <c r="M326" i="3"/>
  <c r="M489" i="3"/>
  <c r="M572" i="3"/>
  <c r="M204" i="3"/>
  <c r="M585" i="3"/>
  <c r="M404" i="3"/>
  <c r="M746" i="3"/>
  <c r="M393" i="3"/>
  <c r="M145" i="3"/>
  <c r="M250" i="3"/>
  <c r="M552" i="3"/>
  <c r="M621" i="3"/>
  <c r="M497" i="3"/>
  <c r="M606" i="3"/>
  <c r="M673" i="3"/>
  <c r="M700" i="3"/>
  <c r="M186" i="3"/>
  <c r="M587" i="3"/>
  <c r="M690" i="3"/>
  <c r="M86" i="3"/>
  <c r="M168" i="3"/>
  <c r="M156" i="3"/>
  <c r="M725" i="3"/>
  <c r="M765" i="3"/>
  <c r="M435" i="3"/>
  <c r="M351" i="3"/>
  <c r="M510" i="3"/>
  <c r="M395" i="3"/>
  <c r="M98" i="3"/>
  <c r="M122" i="3"/>
  <c r="M494" i="3"/>
  <c r="M641" i="3"/>
  <c r="M375" i="3"/>
  <c r="M646" i="3"/>
  <c r="M13" i="3"/>
  <c r="M604" i="3"/>
  <c r="M317" i="3"/>
  <c r="M119" i="3"/>
  <c r="M310" i="3"/>
  <c r="M439" i="3"/>
  <c r="M335" i="3"/>
  <c r="M711" i="3"/>
  <c r="M596" i="3"/>
  <c r="M398" i="3"/>
  <c r="M383" i="3"/>
  <c r="M527" i="3"/>
  <c r="M18" i="3"/>
  <c r="M208" i="3"/>
  <c r="M120" i="3"/>
  <c r="M748" i="3"/>
  <c r="M581" i="3"/>
  <c r="M717" i="3"/>
  <c r="M543" i="3"/>
  <c r="M311" i="3"/>
  <c r="M474" i="3"/>
  <c r="M396" i="3"/>
  <c r="M694" i="3"/>
  <c r="M502" i="3"/>
  <c r="M245" i="3"/>
  <c r="M614" i="3"/>
  <c r="M433" i="3"/>
  <c r="M322" i="3"/>
  <c r="M325" i="3"/>
  <c r="M77" i="3"/>
  <c r="M114" i="3"/>
  <c r="M157" i="3"/>
  <c r="M247" i="3"/>
  <c r="M617" i="3"/>
  <c r="M81" i="3"/>
  <c r="M143" i="3"/>
  <c r="M688" i="3"/>
  <c r="M69" i="3"/>
  <c r="M318" i="3"/>
  <c r="M241" i="3"/>
  <c r="M637" i="3"/>
  <c r="M202" i="3"/>
  <c r="M467" i="3"/>
  <c r="M87" i="3"/>
  <c r="M561" i="3"/>
  <c r="M755" i="3"/>
  <c r="M418" i="3"/>
  <c r="M687" i="3"/>
  <c r="M142" i="3"/>
  <c r="M542" i="3"/>
  <c r="M513" i="3"/>
  <c r="M610" i="3"/>
  <c r="M134" i="3"/>
  <c r="M139" i="3"/>
  <c r="M84" i="3"/>
  <c r="M709" i="3"/>
  <c r="M31" i="3"/>
  <c r="M449" i="3"/>
  <c r="M756" i="3"/>
  <c r="M431" i="3"/>
  <c r="M360" i="3"/>
  <c r="M265" i="3"/>
  <c r="M682" i="3"/>
  <c r="M41" i="3"/>
  <c r="M104" i="3"/>
  <c r="M278" i="3"/>
  <c r="M775" i="3"/>
  <c r="M40" i="3"/>
  <c r="M297" i="3"/>
  <c r="M525" i="3"/>
  <c r="M316" i="3"/>
  <c r="M508" i="3"/>
  <c r="M340" i="3"/>
  <c r="M562" i="3"/>
  <c r="M263" i="3"/>
  <c r="M742" i="3"/>
  <c r="M279" i="3"/>
  <c r="M132" i="3"/>
  <c r="M190" i="3"/>
  <c r="M218" i="3"/>
  <c r="M172" i="3"/>
  <c r="M301" i="3"/>
  <c r="M329" i="3"/>
  <c r="M586" i="3"/>
  <c r="M532" i="3"/>
  <c r="M116" i="3"/>
  <c r="M106" i="3"/>
  <c r="M25" i="3"/>
  <c r="M277" i="3"/>
  <c r="M737" i="3"/>
  <c r="M713" i="3"/>
  <c r="M210" i="3"/>
  <c r="M345" i="3"/>
  <c r="M273" i="3"/>
  <c r="M463" i="3"/>
  <c r="M499" i="3"/>
  <c r="M21" i="3"/>
  <c r="M488" i="3"/>
  <c r="M557" i="3"/>
  <c r="M592" i="3"/>
  <c r="M193" i="3"/>
  <c r="M147" i="3"/>
  <c r="M64" i="3"/>
  <c r="M289" i="3"/>
  <c r="M60" i="3"/>
  <c r="M11" i="3"/>
  <c r="M629" i="3"/>
  <c r="M95" i="3"/>
  <c r="M378" i="3"/>
  <c r="M269" i="3"/>
  <c r="M545" i="3"/>
  <c r="M777" i="3"/>
  <c r="M578" i="3"/>
  <c r="M471" i="3"/>
  <c r="M768" i="3"/>
  <c r="M181" i="3"/>
  <c r="M644" i="3"/>
  <c r="M163" i="3"/>
  <c r="M677" i="3"/>
  <c r="M563" i="3"/>
  <c r="M577" i="3"/>
  <c r="M593" i="3"/>
  <c r="M626" i="3"/>
  <c r="M409" i="3"/>
  <c r="M111" i="3"/>
  <c r="M754" i="3"/>
  <c r="M674" i="3"/>
  <c r="M509" i="3"/>
  <c r="M487" i="3"/>
  <c r="M54" i="3"/>
  <c r="M303" i="3"/>
  <c r="M343" i="3"/>
  <c r="M658" i="3"/>
  <c r="M22" i="3"/>
  <c r="M731" i="3"/>
  <c r="M730" i="3"/>
  <c r="M616" i="3"/>
  <c r="M49" i="3"/>
  <c r="M701" i="3"/>
  <c r="M662" i="3"/>
  <c r="M176" i="3"/>
  <c r="M526" i="3"/>
  <c r="M48" i="3"/>
  <c r="M647" i="3"/>
  <c r="M618" i="3"/>
  <c r="M327" i="3"/>
  <c r="M729" i="3"/>
  <c r="M144" i="3"/>
  <c r="M222" i="3"/>
  <c r="M653" i="3"/>
  <c r="M136" i="3"/>
  <c r="M424" i="3"/>
  <c r="M275" i="3"/>
  <c r="M580" i="3"/>
  <c r="M565" i="3"/>
  <c r="M270" i="3"/>
  <c r="M154" i="3"/>
  <c r="M284" i="3"/>
  <c r="M27" i="3"/>
  <c r="M50" i="3"/>
  <c r="M341" i="3"/>
  <c r="M642" i="3"/>
  <c r="M260" i="3"/>
  <c r="M368" i="3"/>
  <c r="M93" i="3"/>
  <c r="M314" i="3"/>
  <c r="M767" i="3"/>
  <c r="M726" i="3"/>
  <c r="M394" i="3"/>
  <c r="M338" i="3"/>
  <c r="M272" i="3"/>
  <c r="M657" i="3"/>
  <c r="M78" i="3"/>
  <c r="M291" i="3"/>
  <c r="M83" i="3"/>
  <c r="M612" i="3"/>
  <c r="M735" i="3"/>
  <c r="M268" i="3"/>
  <c r="M492" i="3"/>
  <c r="M732" i="3"/>
  <c r="M110" i="3"/>
  <c r="M220" i="3"/>
  <c r="M744" i="3"/>
  <c r="M475" i="3"/>
  <c r="M76" i="3"/>
  <c r="M347" i="3"/>
  <c r="M135" i="3"/>
  <c r="M271" i="3"/>
  <c r="M660" i="3"/>
  <c r="M741" i="3"/>
  <c r="M281" i="3"/>
  <c r="M20" i="3"/>
  <c r="M313" i="3"/>
  <c r="M292" i="3"/>
  <c r="M137" i="3"/>
  <c r="M15" i="3"/>
  <c r="M678" i="3"/>
  <c r="M458" i="3"/>
  <c r="M355" i="3"/>
  <c r="M174" i="3"/>
  <c r="M129" i="3"/>
  <c r="M232" i="3"/>
  <c r="M764" i="3"/>
  <c r="M211" i="3"/>
  <c r="M209" i="3"/>
  <c r="M500" i="3"/>
  <c r="M283" i="3"/>
  <c r="M255" i="3"/>
  <c r="M294" i="3"/>
  <c r="M402" i="3"/>
  <c r="M721" i="3"/>
  <c r="M243" i="3"/>
  <c r="M584" i="3"/>
  <c r="M408" i="3"/>
  <c r="M364" i="3"/>
  <c r="M133" i="3"/>
  <c r="M253" i="3"/>
  <c r="M559" i="3"/>
  <c r="M43" i="3"/>
  <c r="M47" i="3"/>
  <c r="M371" i="3"/>
  <c r="M450" i="3"/>
  <c r="M382" i="3"/>
  <c r="M444" i="3"/>
  <c r="M164" i="3"/>
  <c r="M556" i="3"/>
  <c r="M752" i="3"/>
  <c r="M196" i="3"/>
  <c r="M354" i="3"/>
  <c r="M762" i="3"/>
  <c r="M605" i="3"/>
  <c r="M505" i="3"/>
  <c r="M598" i="3"/>
  <c r="M555" i="3"/>
  <c r="M696" i="3"/>
  <c r="M482" i="3"/>
  <c r="M207" i="3"/>
  <c r="M425" i="3"/>
  <c r="M14" i="3"/>
  <c r="M476" i="3"/>
  <c r="M766" i="3"/>
  <c r="M419" i="3"/>
  <c r="M68" i="3"/>
  <c r="M529" i="3"/>
  <c r="M459" i="3"/>
  <c r="M515" i="3"/>
  <c r="M229" i="3"/>
  <c r="M79" i="3"/>
  <c r="M227" i="3"/>
  <c r="M495" i="3"/>
  <c r="M686" i="3"/>
  <c r="M781" i="3"/>
  <c r="M96" i="3"/>
  <c r="M633" i="3"/>
  <c r="M90" i="3"/>
  <c r="M464" i="3"/>
  <c r="M601" i="3"/>
  <c r="M166" i="3"/>
  <c r="M251" i="3"/>
  <c r="M315" i="3"/>
  <c r="M39" i="3"/>
  <c r="M514" i="3"/>
  <c r="M236" i="3"/>
  <c r="M719" i="3"/>
  <c r="M387" i="3"/>
  <c r="M760" i="3"/>
  <c r="M213" i="3"/>
  <c r="M400" i="3"/>
  <c r="M699" i="3"/>
  <c r="M259" i="3"/>
  <c r="M517" i="3"/>
  <c r="M412" i="3"/>
  <c r="M685" i="3"/>
  <c r="M769" i="3"/>
  <c r="M643" i="3"/>
  <c r="M628" i="3"/>
  <c r="M171" i="3"/>
  <c r="M670" i="3"/>
  <c r="M296" i="3"/>
  <c r="M179" i="3"/>
  <c r="M523" i="3"/>
  <c r="M286" i="3"/>
  <c r="M620" i="3"/>
  <c r="M115" i="3"/>
  <c r="M776" i="3"/>
  <c r="M469" i="3"/>
  <c r="M723" i="3"/>
  <c r="M743" i="3"/>
  <c r="M215" i="3"/>
  <c r="M9" i="3"/>
  <c r="M703" i="3"/>
  <c r="M214" i="3"/>
  <c r="M101" i="3"/>
  <c r="M645" i="3"/>
  <c r="M112" i="3"/>
  <c r="M704" i="3"/>
  <c r="M573" i="3"/>
  <c r="M698" i="3"/>
  <c r="M200" i="3"/>
  <c r="M569" i="3"/>
  <c r="M651" i="3"/>
  <c r="M403" i="3"/>
  <c r="M152" i="3"/>
  <c r="M675" i="3"/>
  <c r="M369" i="3"/>
  <c r="M659" i="3"/>
  <c r="M613" i="3"/>
  <c r="M750" i="3"/>
  <c r="M714" i="3"/>
  <c r="M74" i="3"/>
  <c r="M180" i="3"/>
  <c r="M392" i="3"/>
  <c r="M300" i="3"/>
  <c r="M457" i="3"/>
  <c r="M480" i="3"/>
  <c r="M224" i="3"/>
  <c r="M454" i="3"/>
  <c r="M32" i="3"/>
  <c r="M440" i="3"/>
  <c r="M109" i="3"/>
  <c r="M128" i="3"/>
  <c r="M692" i="3"/>
  <c r="M356" i="3"/>
  <c r="M511" i="3"/>
  <c r="M184" i="3"/>
  <c r="M381" i="3"/>
  <c r="M234" i="3"/>
  <c r="M417" i="3"/>
  <c r="M649" i="3"/>
  <c r="M228" i="3"/>
  <c r="M533" i="3"/>
  <c r="M693" i="3"/>
  <c r="M441" i="3"/>
  <c r="M59" i="3"/>
  <c r="M622" i="3"/>
  <c r="M747" i="3"/>
  <c r="M625" i="3"/>
  <c r="M447" i="3"/>
  <c r="M666" i="3"/>
  <c r="M473" i="3"/>
  <c r="M367" i="3"/>
  <c r="M320" i="3"/>
  <c r="M361" i="3"/>
  <c r="M188" i="3"/>
  <c r="M80" i="3"/>
  <c r="M323" i="3"/>
  <c r="M366" i="3"/>
  <c r="M516" i="3"/>
  <c r="M388" i="3"/>
  <c r="M738" i="3"/>
  <c r="M390" i="3"/>
  <c r="M654" i="3"/>
  <c r="M148" i="3"/>
  <c r="M72" i="3"/>
  <c r="M195" i="3"/>
  <c r="M246" i="3"/>
  <c r="M249" i="3"/>
  <c r="M607" i="3"/>
  <c r="M669" i="3"/>
  <c r="M26" i="3"/>
  <c r="M61" i="3"/>
  <c r="M706" i="3"/>
  <c r="M44" i="3"/>
  <c r="M570" i="3"/>
  <c r="M65" i="3"/>
  <c r="M267" i="3"/>
  <c r="M199" i="3"/>
  <c r="M456" i="3"/>
  <c r="M36" i="3"/>
  <c r="M761" i="3"/>
  <c r="M774" i="3"/>
  <c r="M19" i="3"/>
  <c r="M679" i="3"/>
  <c r="M753" i="3"/>
  <c r="M194" i="3"/>
  <c r="M124" i="3"/>
  <c r="M757" i="3"/>
  <c r="M225" i="3"/>
  <c r="M306" i="3"/>
  <c r="M634" i="3"/>
  <c r="M216" i="3"/>
  <c r="M105" i="3"/>
  <c r="M430" i="3"/>
  <c r="M140" i="3"/>
  <c r="M780" i="3"/>
  <c r="M319" i="3"/>
  <c r="M92" i="3"/>
  <c r="M357" i="3"/>
  <c r="M567" i="3"/>
  <c r="M411" i="3"/>
  <c r="M406" i="3"/>
  <c r="M631" i="3"/>
  <c r="M623" i="3"/>
  <c r="M51" i="3"/>
  <c r="M349" i="3"/>
  <c r="M399" i="3"/>
  <c r="M30" i="3"/>
  <c r="M568" i="3"/>
  <c r="M359" i="3"/>
  <c r="M75" i="3"/>
  <c r="M465" i="3"/>
  <c r="M73" i="3"/>
  <c r="M716" i="3"/>
  <c r="M553" i="3"/>
  <c r="M384" i="3"/>
  <c r="M733" i="3"/>
  <c r="M640" i="3"/>
  <c r="M254" i="3"/>
  <c r="M521" i="3"/>
  <c r="M67" i="3"/>
  <c r="M257" i="3"/>
  <c r="M684" i="3"/>
  <c r="M749" i="3"/>
  <c r="M334" i="3"/>
  <c r="M619" i="3"/>
  <c r="M282" i="3"/>
  <c r="M710" i="3"/>
  <c r="M97" i="3"/>
  <c r="M330" i="3"/>
  <c r="M655" i="3"/>
  <c r="M588" i="3"/>
  <c r="M379" i="3"/>
  <c r="M324" i="3"/>
  <c r="M191" i="3"/>
  <c r="M615" i="3"/>
  <c r="M201" i="3"/>
  <c r="M602" i="3"/>
  <c r="M582" i="3"/>
  <c r="M130" i="3"/>
  <c r="M477" i="3"/>
  <c r="M170" i="3"/>
  <c r="M155" i="3"/>
  <c r="M37" i="3"/>
  <c r="M182" i="3"/>
  <c r="M773" i="3"/>
  <c r="M226" i="3"/>
  <c r="M639" i="3"/>
  <c r="M353" i="3"/>
  <c r="M38" i="3"/>
  <c r="M34" i="3"/>
  <c r="M126" i="3"/>
  <c r="M151" i="3"/>
  <c r="M478" i="3"/>
  <c r="M333" i="3"/>
  <c r="M551" i="3"/>
  <c r="M386" i="3"/>
  <c r="M365" i="3"/>
  <c r="M102" i="3"/>
  <c r="M630" i="3"/>
  <c r="M597" i="3"/>
  <c r="M416" i="3"/>
  <c r="M307" i="3"/>
  <c r="M401" i="3"/>
  <c r="M481" i="3"/>
  <c r="M167" i="3"/>
  <c r="M490" i="3"/>
  <c r="M363" i="3"/>
  <c r="M507" i="3"/>
  <c r="M583" i="3"/>
  <c r="M671" i="3"/>
  <c r="M528" i="3"/>
  <c r="M468" i="3"/>
  <c r="M242" i="3"/>
  <c r="M538" i="3"/>
  <c r="M238" i="3"/>
  <c r="M118" i="3"/>
  <c r="M624" i="3"/>
  <c r="M702" i="3"/>
  <c r="M165" i="3"/>
  <c r="M759" i="3"/>
  <c r="M414" i="3"/>
  <c r="M28" i="3"/>
  <c r="M546" i="3"/>
  <c r="M159" i="3"/>
  <c r="M627" i="3"/>
  <c r="M192" i="3"/>
  <c r="M264" i="3"/>
  <c r="M256" i="3"/>
  <c r="M689" i="3"/>
  <c r="M656" i="3"/>
  <c r="M212" i="3"/>
  <c r="M125" i="3"/>
  <c r="M455" i="3"/>
  <c r="M504" i="3"/>
  <c r="M672" i="3"/>
  <c r="M304" i="3"/>
  <c r="M274" i="3"/>
  <c r="M262" i="3"/>
  <c r="M230" i="3"/>
  <c r="M632" i="3"/>
  <c r="M57" i="3"/>
  <c r="M691" i="3"/>
  <c r="M540" i="3"/>
  <c r="M590" i="3"/>
  <c r="M442" i="3"/>
  <c r="M541" i="3"/>
  <c r="M288" i="3"/>
  <c r="M466" i="3"/>
  <c r="M484" i="3"/>
  <c r="M127" i="3"/>
  <c r="M664" i="3"/>
  <c r="M745" i="3"/>
  <c r="M29" i="3"/>
  <c r="M266" i="3"/>
  <c r="M472" i="3"/>
  <c r="M772" i="3"/>
  <c r="M91" i="3"/>
  <c r="M162" i="3"/>
  <c r="M100" i="3"/>
  <c r="M438" i="3"/>
  <c r="M574" i="3"/>
  <c r="M237" i="3"/>
  <c r="M479" i="3"/>
  <c r="M681" i="3"/>
  <c r="M784" i="3"/>
  <c r="M235" i="3"/>
  <c r="M123" i="3"/>
  <c r="M470" i="3"/>
  <c r="M648" i="3"/>
  <c r="M261" i="3"/>
  <c r="M718" i="3"/>
  <c r="M280" i="3"/>
  <c r="M175" i="3"/>
  <c r="M680" i="3"/>
  <c r="M258" i="3"/>
  <c r="M665" i="3"/>
  <c r="M778" i="3"/>
  <c r="M650" i="3"/>
  <c r="M740" i="3"/>
  <c r="M276" i="3"/>
  <c r="M535" i="3"/>
  <c r="M712" i="3"/>
  <c r="M391" i="3"/>
  <c r="M348" i="3"/>
  <c r="M453" i="3"/>
  <c r="M407" i="3"/>
  <c r="M12" i="3"/>
  <c r="M429" i="3"/>
  <c r="M609" i="3"/>
  <c r="M544" i="3"/>
  <c r="M530" i="3"/>
  <c r="M252" i="3"/>
  <c r="M611" i="3"/>
  <c r="M233" i="3"/>
  <c r="M667" i="3"/>
  <c r="M663" i="3"/>
  <c r="M539" i="3"/>
  <c r="M71" i="3"/>
  <c r="M17" i="3"/>
  <c r="M187" i="3"/>
  <c r="M594" i="3"/>
  <c r="M380" i="3"/>
  <c r="M63" i="3"/>
  <c r="M358" i="3"/>
  <c r="M312" i="3"/>
  <c r="M571" i="3"/>
  <c r="M537" i="3"/>
  <c r="M608" i="3"/>
  <c r="M178" i="3"/>
  <c r="M600" i="3"/>
  <c r="M203" i="3"/>
  <c r="M52" i="3"/>
  <c r="M763" i="3"/>
  <c r="M452" i="3"/>
  <c r="M512" i="3"/>
  <c r="M239" i="3"/>
  <c r="M62" i="3"/>
  <c r="M443" i="3"/>
  <c r="M783" i="3"/>
  <c r="M779" i="3"/>
  <c r="M636" i="3"/>
  <c r="M591" i="3"/>
  <c r="M536" i="3"/>
  <c r="M346" i="3"/>
  <c r="M302" i="3"/>
  <c r="M82" i="3"/>
  <c r="M221" i="3"/>
  <c r="M506" i="3"/>
  <c r="M496" i="3"/>
  <c r="M305" i="3"/>
  <c r="M524" i="3"/>
  <c r="M498" i="3"/>
  <c r="M344" i="3"/>
  <c r="M339" i="3"/>
  <c r="M421" i="3"/>
  <c r="M103" i="3"/>
  <c r="M413" i="3"/>
  <c r="M169" i="3"/>
  <c r="M432" i="3"/>
  <c r="M728" i="3"/>
  <c r="M599" i="3"/>
  <c r="M16" i="3"/>
  <c r="M328" i="3"/>
  <c r="M99" i="3"/>
  <c r="M720" i="3"/>
  <c r="M150" i="3"/>
  <c r="M427" i="3"/>
  <c r="M560" i="3"/>
  <c r="M548" i="3"/>
  <c r="M415" i="3"/>
  <c r="M668" i="3"/>
  <c r="M420" i="3"/>
  <c r="M445" i="3"/>
  <c r="M352" i="3"/>
  <c r="M519" i="3"/>
  <c r="M491" i="3"/>
  <c r="M198" i="3"/>
  <c r="M376" i="3"/>
  <c r="M46" i="3"/>
  <c r="M244" i="3"/>
  <c r="M285" i="3"/>
  <c r="M117" i="3"/>
  <c r="M183" i="3"/>
  <c r="M503" i="3"/>
  <c r="M350" i="3"/>
  <c r="M362" i="3"/>
  <c r="M321" i="3"/>
  <c r="M579" i="3"/>
  <c r="M56" i="3"/>
  <c r="M295" i="3"/>
  <c r="M85" i="3"/>
  <c r="M695" i="3"/>
  <c r="M422" i="3"/>
  <c r="M522" i="3"/>
  <c r="M173" i="3"/>
  <c r="M290" i="3"/>
  <c r="M332" i="3"/>
  <c r="M705" i="3"/>
  <c r="M342" i="3"/>
  <c r="M697" i="3"/>
  <c r="M293" i="3"/>
  <c r="M436" i="3"/>
  <c r="M121" i="3"/>
  <c r="M131" i="3"/>
  <c r="M638" i="3"/>
  <c r="M337" i="3"/>
  <c r="M197" i="3"/>
  <c r="M520" i="3"/>
  <c r="M370" i="3"/>
  <c r="M589" i="3"/>
  <c r="M389" i="3"/>
  <c r="M595" i="3"/>
  <c r="M94" i="3"/>
  <c r="M240" i="3"/>
  <c r="M549" i="3"/>
  <c r="M493" i="3"/>
  <c r="M53" i="3"/>
  <c r="M652" i="3"/>
  <c r="M635" i="3"/>
  <c r="M113" i="3"/>
  <c r="M88" i="3"/>
  <c r="M45" i="3"/>
  <c r="M374" i="3"/>
  <c r="M558" i="3"/>
  <c r="M603" i="3"/>
  <c r="M161" i="3"/>
  <c r="M138" i="3"/>
  <c r="M42" i="3"/>
  <c r="M708" i="3"/>
  <c r="M89" i="3"/>
  <c r="M426" i="3"/>
  <c r="M758" i="3"/>
  <c r="M460" i="3"/>
  <c r="M485" i="3"/>
  <c r="M55" i="3"/>
  <c r="M24" i="3"/>
  <c r="M219" i="3"/>
  <c r="M158" i="3"/>
  <c r="M550" i="3"/>
  <c r="M734" i="3"/>
  <c r="M33" i="3"/>
  <c r="M223" i="3"/>
  <c r="M35" i="3"/>
  <c r="M722" i="3"/>
  <c r="M372" i="3"/>
  <c r="M206" i="3"/>
  <c r="M566" i="3"/>
  <c r="M299" i="3"/>
  <c r="M397" i="3"/>
  <c r="M149" i="3"/>
  <c r="M461" i="3"/>
  <c r="M146" i="3"/>
  <c r="M423" i="3"/>
  <c r="M575" i="3"/>
  <c r="M231" i="3"/>
  <c r="M217" i="3"/>
  <c r="M707" i="3"/>
  <c r="I3" i="3"/>
  <c r="M10" i="3"/>
  <c r="N4" i="5" l="1"/>
  <c r="N3" i="5"/>
  <c r="M4" i="4"/>
  <c r="M3" i="4"/>
  <c r="M4" i="3"/>
  <c r="M3" i="3"/>
</calcChain>
</file>

<file path=xl/sharedStrings.xml><?xml version="1.0" encoding="utf-8"?>
<sst xmlns="http://schemas.openxmlformats.org/spreadsheetml/2006/main" count="6277" uniqueCount="83">
  <si>
    <t>season</t>
  </si>
  <si>
    <t>team</t>
  </si>
  <si>
    <t>wins</t>
  </si>
  <si>
    <t>losses</t>
  </si>
  <si>
    <t>2000-01</t>
  </si>
  <si>
    <t>Atlanta Hawks</t>
  </si>
  <si>
    <t>Boston Celtics</t>
  </si>
  <si>
    <t>Charlotte Hornets</t>
  </si>
  <si>
    <t>Chicago Bulls</t>
  </si>
  <si>
    <t>Cleveland Cavaliers</t>
  </si>
  <si>
    <t>Dallas Mavericks</t>
  </si>
  <si>
    <t>Denver Nuggets</t>
  </si>
  <si>
    <t>Detroit Pistons</t>
  </si>
  <si>
    <t>Golden State Warriors</t>
  </si>
  <si>
    <t>Houston Rockets</t>
  </si>
  <si>
    <t>Indiana Pacers</t>
  </si>
  <si>
    <t>Los Angeles Clippers</t>
  </si>
  <si>
    <t>Los Angeles Lakers</t>
  </si>
  <si>
    <t>Miami Heat</t>
  </si>
  <si>
    <t>Milwaukee Bucks</t>
  </si>
  <si>
    <t>Minnesota Timberwolves</t>
  </si>
  <si>
    <t>New Jersey Nets</t>
  </si>
  <si>
    <t>New York Knicks</t>
  </si>
  <si>
    <t>Orlando Magic</t>
  </si>
  <si>
    <t>Philadelphia 76ers</t>
  </si>
  <si>
    <t>Phoenix Suns</t>
  </si>
  <si>
    <t>Portland Trail Blazers</t>
  </si>
  <si>
    <t>Sacramento Kings</t>
  </si>
  <si>
    <t>San Antonio Spurs</t>
  </si>
  <si>
    <t>Seattle SuperSonics</t>
  </si>
  <si>
    <t>Toronto Raptors</t>
  </si>
  <si>
    <t>Utah Jazz</t>
  </si>
  <si>
    <t>Vancouver Grizzlies</t>
  </si>
  <si>
    <t>Washington Wizards</t>
  </si>
  <si>
    <t>2001-02</t>
  </si>
  <si>
    <t>Memphis Grizzlies</t>
  </si>
  <si>
    <t>2002-03</t>
  </si>
  <si>
    <t>New Orleans Hornets</t>
  </si>
  <si>
    <t>2003-04</t>
  </si>
  <si>
    <t>2004-05</t>
  </si>
  <si>
    <t>Charlotte Bobcats</t>
  </si>
  <si>
    <t>2005-06</t>
  </si>
  <si>
    <t>New Orleans/Oklahoma City Hornets</t>
  </si>
  <si>
    <t>2006-07</t>
  </si>
  <si>
    <t>2007-08</t>
  </si>
  <si>
    <t>2008-09</t>
  </si>
  <si>
    <t>Oklahoma City Thunder</t>
  </si>
  <si>
    <t>2009-10</t>
  </si>
  <si>
    <t>2010-11</t>
  </si>
  <si>
    <t>2011-12</t>
  </si>
  <si>
    <t>2012-13</t>
  </si>
  <si>
    <t>Brooklyn Nets</t>
  </si>
  <si>
    <t>2013-14</t>
  </si>
  <si>
    <t>New Orleans Pelicans</t>
  </si>
  <si>
    <t>2014-15</t>
  </si>
  <si>
    <t>2015-16</t>
  </si>
  <si>
    <t>LA Clippers</t>
  </si>
  <si>
    <t>2016-17</t>
  </si>
  <si>
    <t>2017-18</t>
  </si>
  <si>
    <t>2018-19</t>
  </si>
  <si>
    <t>2019-20</t>
  </si>
  <si>
    <t>2020-21</t>
  </si>
  <si>
    <t>2021-22</t>
  </si>
  <si>
    <t>2022-23</t>
  </si>
  <si>
    <t>2023-24</t>
  </si>
  <si>
    <t>2024-25</t>
  </si>
  <si>
    <t>2025-26</t>
  </si>
  <si>
    <t>ortg</t>
  </si>
  <si>
    <t>drtg</t>
  </si>
  <si>
    <t>net rtg</t>
  </si>
  <si>
    <t>pts scored</t>
  </si>
  <si>
    <t>pts allow</t>
  </si>
  <si>
    <t>net diff</t>
  </si>
  <si>
    <t>pythag</t>
  </si>
  <si>
    <t>pct</t>
  </si>
  <si>
    <t>resid</t>
  </si>
  <si>
    <t>clutch ortg</t>
  </si>
  <si>
    <t>clutch drtg</t>
  </si>
  <si>
    <t>Q4 diff</t>
  </si>
  <si>
    <t>clutch diff</t>
  </si>
  <si>
    <t>Q4 nrtg</t>
  </si>
  <si>
    <t>Z</t>
  </si>
  <si>
    <t>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</si>
</sst>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0.000"/>
    <numFmt numFmtId="169" formatCode="0.0"/>
  </numFmts>
  <fonts count="18">
    <font>
      <sz val="14"/>
      <color theme="1"/>
      <name val="AndaleMono"/>
      <family val="2"/>
    </font>
    <font>
      <sz val="14"/>
      <color theme="1"/>
      <name val="AndaleMono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ndaleMono"/>
      <family val="2"/>
    </font>
    <font>
      <b/>
      <sz val="13"/>
      <color theme="3"/>
      <name val="AndaleMono"/>
      <family val="2"/>
    </font>
    <font>
      <b/>
      <sz val="11"/>
      <color theme="3"/>
      <name val="AndaleMono"/>
      <family val="2"/>
    </font>
    <font>
      <sz val="14"/>
      <color rgb="FF006100"/>
      <name val="AndaleMono"/>
      <family val="2"/>
    </font>
    <font>
      <sz val="14"/>
      <color rgb="FF9C0006"/>
      <name val="AndaleMono"/>
      <family val="2"/>
    </font>
    <font>
      <sz val="14"/>
      <color rgb="FF9C5700"/>
      <name val="AndaleMono"/>
      <family val="2"/>
    </font>
    <font>
      <sz val="14"/>
      <color rgb="FF3F3F76"/>
      <name val="AndaleMono"/>
      <family val="2"/>
    </font>
    <font>
      <b/>
      <sz val="14"/>
      <color rgb="FF3F3F3F"/>
      <name val="AndaleMono"/>
      <family val="2"/>
    </font>
    <font>
      <b/>
      <sz val="14"/>
      <color rgb="FFFA7D00"/>
      <name val="AndaleMono"/>
      <family val="2"/>
    </font>
    <font>
      <sz val="14"/>
      <color rgb="FFFA7D00"/>
      <name val="AndaleMono"/>
      <family val="2"/>
    </font>
    <font>
      <b/>
      <sz val="14"/>
      <color theme="0"/>
      <name val="AndaleMono"/>
      <family val="2"/>
    </font>
    <font>
      <sz val="14"/>
      <color rgb="FFFF0000"/>
      <name val="AndaleMono"/>
      <family val="2"/>
    </font>
    <font>
      <i/>
      <sz val="14"/>
      <color rgb="FF7F7F7F"/>
      <name val="AndaleMono"/>
      <family val="2"/>
    </font>
    <font>
      <b/>
      <sz val="14"/>
      <color theme="1"/>
      <name val="AndaleMono"/>
      <family val="2"/>
    </font>
    <font>
      <sz val="14"/>
      <color theme="0"/>
      <name val="AndaleMono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/>
    </xf>
    <xf numFmtId="10" fontId="0" fillId="0" borderId="0" xfId="1" applyNumberFormat="1" applyFont="1"/>
    <xf numFmtId="0" fontId="0" fillId="33" borderId="0" xfId="0" applyFill="1"/>
    <xf numFmtId="0" fontId="0" fillId="0" borderId="0" xfId="0" applyAlignment="1">
      <alignment horizontal="left"/>
    </xf>
    <xf numFmtId="0" fontId="0" fillId="0" borderId="0" xfId="0" applyFill="1" applyAlignment="1">
      <alignment horizontal="left"/>
    </xf>
    <xf numFmtId="0" fontId="0" fillId="0" borderId="0" xfId="0" applyFill="1"/>
    <xf numFmtId="168" fontId="0" fillId="0" borderId="0" xfId="0" applyNumberFormat="1" applyFill="1"/>
    <xf numFmtId="169" fontId="0" fillId="0" borderId="0" xfId="0" applyNumberFormat="1" applyFill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B007-B350-0541-8BBD-2A99716098C3}">
  <dimension ref="A1:O777"/>
  <sheetViews>
    <sheetView tabSelected="1" workbookViewId="0">
      <selection activeCell="E9" sqref="E9"/>
    </sheetView>
  </sheetViews>
  <sheetFormatPr baseColWidth="10" defaultRowHeight="18"/>
  <cols>
    <col min="2" max="2" width="20.625" customWidth="1"/>
    <col min="3" max="12" width="12.625" customWidth="1"/>
  </cols>
  <sheetData>
    <row r="1" spans="1:15">
      <c r="A1" t="s">
        <v>0</v>
      </c>
      <c r="B1" t="s">
        <v>1</v>
      </c>
      <c r="C1" s="3" t="s">
        <v>2</v>
      </c>
      <c r="D1" s="3" t="s">
        <v>3</v>
      </c>
      <c r="E1" s="3" t="s">
        <v>74</v>
      </c>
      <c r="F1" s="3" t="s">
        <v>70</v>
      </c>
      <c r="G1" s="3" t="s">
        <v>71</v>
      </c>
      <c r="H1" s="3" t="s">
        <v>72</v>
      </c>
      <c r="I1" s="3" t="s">
        <v>73</v>
      </c>
      <c r="J1" s="3" t="s">
        <v>67</v>
      </c>
      <c r="K1" s="3" t="s">
        <v>68</v>
      </c>
      <c r="L1" s="3" t="s">
        <v>69</v>
      </c>
      <c r="M1" t="s">
        <v>76</v>
      </c>
      <c r="N1" t="s">
        <v>77</v>
      </c>
      <c r="O1" t="s">
        <v>78</v>
      </c>
    </row>
    <row r="2" spans="1:15">
      <c r="A2" t="s">
        <v>4</v>
      </c>
      <c r="B2" t="s">
        <v>5</v>
      </c>
      <c r="C2">
        <v>25</v>
      </c>
      <c r="D2">
        <v>57</v>
      </c>
      <c r="E2" s="1">
        <f>+C2/(C2+D2)</f>
        <v>0.3048780487804878</v>
      </c>
      <c r="F2" s="2">
        <v>91</v>
      </c>
      <c r="G2" s="2">
        <v>96.2</v>
      </c>
      <c r="H2" s="2">
        <f>+F2-G2</f>
        <v>-5.2000000000000028</v>
      </c>
      <c r="I2" s="1">
        <f>+(F2^14)/((F2^14+G2^14))</f>
        <v>0.31475585496453756</v>
      </c>
      <c r="J2" s="2">
        <v>96.9</v>
      </c>
      <c r="K2" s="2">
        <v>102.4</v>
      </c>
      <c r="L2" s="2">
        <f>+J2-K2</f>
        <v>-5.5</v>
      </c>
      <c r="M2">
        <v>87</v>
      </c>
      <c r="N2">
        <v>104.5</v>
      </c>
      <c r="O2">
        <v>-0.9</v>
      </c>
    </row>
    <row r="3" spans="1:15">
      <c r="A3" t="s">
        <v>4</v>
      </c>
      <c r="B3" t="s">
        <v>6</v>
      </c>
      <c r="C3">
        <v>36</v>
      </c>
      <c r="D3">
        <v>46</v>
      </c>
      <c r="E3" s="1">
        <f t="shared" ref="E3:E66" si="0">+C3/(C3+D3)</f>
        <v>0.43902439024390244</v>
      </c>
      <c r="F3" s="2">
        <v>94.6</v>
      </c>
      <c r="G3" s="2">
        <v>96.8</v>
      </c>
      <c r="H3" s="2">
        <f t="shared" ref="H3:H66" si="1">+F3-G3</f>
        <v>-2.2000000000000028</v>
      </c>
      <c r="I3" s="1">
        <f>+(F3^14)/((F3^14+G3^14))</f>
        <v>0.42022416188672446</v>
      </c>
      <c r="J3" s="2">
        <v>100.1</v>
      </c>
      <c r="K3" s="2">
        <v>102.3</v>
      </c>
      <c r="L3" s="2">
        <f t="shared" ref="L3:L66" si="2">+J3-K3</f>
        <v>-2.2000000000000028</v>
      </c>
      <c r="M3">
        <v>95.1</v>
      </c>
      <c r="N3">
        <v>96.9</v>
      </c>
      <c r="O3">
        <v>-0.8</v>
      </c>
    </row>
    <row r="4" spans="1:15">
      <c r="A4" t="s">
        <v>4</v>
      </c>
      <c r="B4" t="s">
        <v>7</v>
      </c>
      <c r="C4">
        <v>46</v>
      </c>
      <c r="D4">
        <v>36</v>
      </c>
      <c r="E4" s="1">
        <f t="shared" si="0"/>
        <v>0.56097560975609762</v>
      </c>
      <c r="F4" s="2">
        <v>91.9</v>
      </c>
      <c r="G4" s="2">
        <v>89.8</v>
      </c>
      <c r="H4" s="2">
        <f t="shared" si="1"/>
        <v>2.1000000000000085</v>
      </c>
      <c r="I4" s="1">
        <f>+(F4^14)/((F4^14+G4^14))</f>
        <v>0.58020737825185043</v>
      </c>
      <c r="J4" s="2">
        <v>99.7</v>
      </c>
      <c r="K4" s="2">
        <v>97.6</v>
      </c>
      <c r="L4" s="2">
        <f t="shared" si="2"/>
        <v>2.1000000000000085</v>
      </c>
      <c r="M4">
        <v>91.6</v>
      </c>
      <c r="N4">
        <v>96.4</v>
      </c>
      <c r="O4">
        <v>-0.2</v>
      </c>
    </row>
    <row r="5" spans="1:15">
      <c r="A5" t="s">
        <v>4</v>
      </c>
      <c r="B5" t="s">
        <v>8</v>
      </c>
      <c r="C5">
        <v>15</v>
      </c>
      <c r="D5">
        <v>67</v>
      </c>
      <c r="E5" s="1">
        <f t="shared" si="0"/>
        <v>0.18292682926829268</v>
      </c>
      <c r="F5" s="2">
        <v>87.6</v>
      </c>
      <c r="G5" s="2">
        <v>96.7</v>
      </c>
      <c r="H5" s="2">
        <f t="shared" si="1"/>
        <v>-9.1000000000000085</v>
      </c>
      <c r="I5" s="1">
        <f>+(F5^14)/((F5^14+G5^14))</f>
        <v>0.20042284639847754</v>
      </c>
      <c r="J5" s="2">
        <v>95.9</v>
      </c>
      <c r="K5" s="2">
        <v>105.9</v>
      </c>
      <c r="L5" s="2">
        <f t="shared" si="2"/>
        <v>-10</v>
      </c>
      <c r="M5">
        <v>93.5</v>
      </c>
      <c r="N5">
        <v>107.4</v>
      </c>
      <c r="O5">
        <v>-2.8</v>
      </c>
    </row>
    <row r="6" spans="1:15">
      <c r="A6" t="s">
        <v>4</v>
      </c>
      <c r="B6" t="s">
        <v>9</v>
      </c>
      <c r="C6">
        <v>30</v>
      </c>
      <c r="D6">
        <v>52</v>
      </c>
      <c r="E6" s="1">
        <f t="shared" si="0"/>
        <v>0.36585365853658536</v>
      </c>
      <c r="F6" s="2">
        <v>92.2</v>
      </c>
      <c r="G6" s="2">
        <v>96.5</v>
      </c>
      <c r="H6" s="2">
        <f t="shared" si="1"/>
        <v>-4.2999999999999972</v>
      </c>
      <c r="I6" s="1">
        <f>+(F6^14)/((F6^14+G6^14))</f>
        <v>0.34566252690458571</v>
      </c>
      <c r="J6" s="2">
        <v>99.3</v>
      </c>
      <c r="K6" s="2">
        <v>103.5</v>
      </c>
      <c r="L6" s="2">
        <f t="shared" si="2"/>
        <v>-4.2000000000000028</v>
      </c>
      <c r="M6">
        <v>91.3</v>
      </c>
      <c r="N6">
        <v>86.8</v>
      </c>
      <c r="O6">
        <v>1</v>
      </c>
    </row>
    <row r="7" spans="1:15">
      <c r="A7" t="s">
        <v>4</v>
      </c>
      <c r="B7" t="s">
        <v>10</v>
      </c>
      <c r="C7">
        <v>53</v>
      </c>
      <c r="D7">
        <v>29</v>
      </c>
      <c r="E7" s="1">
        <f t="shared" si="0"/>
        <v>0.64634146341463417</v>
      </c>
      <c r="F7" s="2">
        <v>100.5</v>
      </c>
      <c r="G7" s="2">
        <v>96.2</v>
      </c>
      <c r="H7" s="2">
        <f t="shared" si="1"/>
        <v>4.2999999999999972</v>
      </c>
      <c r="I7" s="1">
        <f>+(F7^14)/((F7^14+G7^14))</f>
        <v>0.64844184492485568</v>
      </c>
      <c r="J7" s="2">
        <v>105.6</v>
      </c>
      <c r="K7" s="2">
        <v>101.2</v>
      </c>
      <c r="L7" s="2">
        <f t="shared" si="2"/>
        <v>4.3999999999999915</v>
      </c>
      <c r="M7">
        <v>103.3</v>
      </c>
      <c r="N7">
        <v>104</v>
      </c>
      <c r="O7">
        <v>1</v>
      </c>
    </row>
    <row r="8" spans="1:15">
      <c r="A8" t="s">
        <v>4</v>
      </c>
      <c r="B8" t="s">
        <v>11</v>
      </c>
      <c r="C8">
        <v>40</v>
      </c>
      <c r="D8">
        <v>42</v>
      </c>
      <c r="E8" s="1">
        <f t="shared" si="0"/>
        <v>0.48780487804878048</v>
      </c>
      <c r="F8" s="2">
        <v>96.6</v>
      </c>
      <c r="G8" s="2">
        <v>99</v>
      </c>
      <c r="H8" s="2">
        <f t="shared" si="1"/>
        <v>-2.4000000000000057</v>
      </c>
      <c r="I8" s="1">
        <f>+(F8^14)/((F8^14+G8^14))</f>
        <v>0.41494120163391823</v>
      </c>
      <c r="J8" s="2">
        <v>102.2</v>
      </c>
      <c r="K8" s="2">
        <v>104.9</v>
      </c>
      <c r="L8" s="2">
        <f t="shared" si="2"/>
        <v>-2.7000000000000028</v>
      </c>
      <c r="M8">
        <v>100.5</v>
      </c>
      <c r="N8">
        <v>95.5</v>
      </c>
      <c r="O8">
        <v>0.1</v>
      </c>
    </row>
    <row r="9" spans="1:15">
      <c r="A9" t="s">
        <v>4</v>
      </c>
      <c r="B9" t="s">
        <v>12</v>
      </c>
      <c r="C9">
        <v>32</v>
      </c>
      <c r="D9">
        <v>50</v>
      </c>
      <c r="E9" s="1">
        <f t="shared" si="0"/>
        <v>0.3902439024390244</v>
      </c>
      <c r="F9" s="2">
        <v>95.6</v>
      </c>
      <c r="G9" s="2">
        <v>97.3</v>
      </c>
      <c r="H9" s="2">
        <f t="shared" si="1"/>
        <v>-1.7000000000000028</v>
      </c>
      <c r="I9" s="1">
        <f>+(F9^14)/((F9^14+G9^14))</f>
        <v>0.43861956554908621</v>
      </c>
      <c r="J9" s="2">
        <v>98.5</v>
      </c>
      <c r="K9" s="2">
        <v>100.3</v>
      </c>
      <c r="L9" s="2">
        <f t="shared" si="2"/>
        <v>-1.7999999999999972</v>
      </c>
      <c r="M9">
        <v>91.8</v>
      </c>
      <c r="N9">
        <v>101.5</v>
      </c>
      <c r="O9">
        <v>-0.7</v>
      </c>
    </row>
    <row r="10" spans="1:15">
      <c r="A10" t="s">
        <v>4</v>
      </c>
      <c r="B10" t="s">
        <v>13</v>
      </c>
      <c r="C10">
        <v>17</v>
      </c>
      <c r="D10">
        <v>65</v>
      </c>
      <c r="E10" s="1">
        <f t="shared" si="0"/>
        <v>0.2073170731707317</v>
      </c>
      <c r="F10" s="2">
        <v>92.5</v>
      </c>
      <c r="G10" s="2">
        <v>101.5</v>
      </c>
      <c r="H10" s="2">
        <f t="shared" si="1"/>
        <v>-9</v>
      </c>
      <c r="I10" s="1">
        <f>+(F10^14)/((F10^14+G10^14))</f>
        <v>0.21418148448904825</v>
      </c>
      <c r="J10" s="2">
        <v>96.3</v>
      </c>
      <c r="K10" s="2">
        <v>105.5</v>
      </c>
      <c r="L10" s="2">
        <f t="shared" si="2"/>
        <v>-9.2000000000000028</v>
      </c>
      <c r="M10">
        <v>84.6</v>
      </c>
      <c r="N10">
        <v>107.8</v>
      </c>
      <c r="O10">
        <v>-1.1000000000000001</v>
      </c>
    </row>
    <row r="11" spans="1:15">
      <c r="A11" t="s">
        <v>4</v>
      </c>
      <c r="B11" t="s">
        <v>14</v>
      </c>
      <c r="C11">
        <v>45</v>
      </c>
      <c r="D11">
        <v>37</v>
      </c>
      <c r="E11" s="1">
        <f t="shared" si="0"/>
        <v>0.54878048780487809</v>
      </c>
      <c r="F11" s="2">
        <v>97.2</v>
      </c>
      <c r="G11" s="2">
        <v>94.9</v>
      </c>
      <c r="H11" s="2">
        <f t="shared" si="1"/>
        <v>2.2999999999999972</v>
      </c>
      <c r="I11" s="1">
        <f>+(F11^14)/((F11^14+G11^14))</f>
        <v>0.58303819645921595</v>
      </c>
      <c r="J11" s="2">
        <v>105.2</v>
      </c>
      <c r="K11" s="2">
        <v>102.8</v>
      </c>
      <c r="L11" s="2">
        <f t="shared" si="2"/>
        <v>2.4000000000000057</v>
      </c>
      <c r="M11">
        <v>104.5</v>
      </c>
      <c r="N11">
        <v>88.1</v>
      </c>
      <c r="O11">
        <v>1.4</v>
      </c>
    </row>
    <row r="12" spans="1:15">
      <c r="A12" t="s">
        <v>4</v>
      </c>
      <c r="B12" t="s">
        <v>15</v>
      </c>
      <c r="C12">
        <v>41</v>
      </c>
      <c r="D12">
        <v>41</v>
      </c>
      <c r="E12" s="1">
        <f t="shared" si="0"/>
        <v>0.5</v>
      </c>
      <c r="F12" s="2">
        <v>92.6</v>
      </c>
      <c r="G12" s="2">
        <v>92.8</v>
      </c>
      <c r="H12" s="2">
        <f t="shared" si="1"/>
        <v>-0.20000000000000284</v>
      </c>
      <c r="I12" s="1">
        <f>+(F12^14)/((F12^14+G12^14))</f>
        <v>0.49244933056629364</v>
      </c>
      <c r="J12" s="2">
        <v>100.3</v>
      </c>
      <c r="K12" s="2">
        <v>100.5</v>
      </c>
      <c r="L12" s="2">
        <f t="shared" si="2"/>
        <v>-0.20000000000000284</v>
      </c>
      <c r="M12">
        <v>93.1</v>
      </c>
      <c r="N12">
        <v>92.3</v>
      </c>
      <c r="O12">
        <v>0</v>
      </c>
    </row>
    <row r="13" spans="1:15">
      <c r="A13" t="s">
        <v>4</v>
      </c>
      <c r="B13" t="s">
        <v>16</v>
      </c>
      <c r="C13">
        <v>31</v>
      </c>
      <c r="D13">
        <v>51</v>
      </c>
      <c r="E13" s="1">
        <f t="shared" si="0"/>
        <v>0.37804878048780488</v>
      </c>
      <c r="F13" s="2">
        <v>92.5</v>
      </c>
      <c r="G13" s="2">
        <v>95.3</v>
      </c>
      <c r="H13" s="2">
        <f t="shared" si="1"/>
        <v>-2.7999999999999972</v>
      </c>
      <c r="I13" s="1">
        <f>+(F13^14)/((F13^14+G13^14))</f>
        <v>0.39711601228610965</v>
      </c>
      <c r="J13" s="2">
        <v>100.3</v>
      </c>
      <c r="K13" s="2">
        <v>103.2</v>
      </c>
      <c r="L13" s="2">
        <f t="shared" si="2"/>
        <v>-2.9000000000000057</v>
      </c>
      <c r="M13">
        <v>95.7</v>
      </c>
      <c r="N13">
        <v>108.7</v>
      </c>
      <c r="O13">
        <v>0.4</v>
      </c>
    </row>
    <row r="14" spans="1:15">
      <c r="A14" t="s">
        <v>4</v>
      </c>
      <c r="B14" t="s">
        <v>17</v>
      </c>
      <c r="C14">
        <v>56</v>
      </c>
      <c r="D14">
        <v>26</v>
      </c>
      <c r="E14" s="1">
        <f t="shared" si="0"/>
        <v>0.68292682926829273</v>
      </c>
      <c r="F14" s="2">
        <v>100.6</v>
      </c>
      <c r="G14" s="2">
        <v>97.2</v>
      </c>
      <c r="H14" s="2">
        <f t="shared" si="1"/>
        <v>3.3999999999999915</v>
      </c>
      <c r="I14" s="1">
        <f>+(F14^14)/((F14^14+G14^14))</f>
        <v>0.61806463503344422</v>
      </c>
      <c r="J14" s="2">
        <v>107</v>
      </c>
      <c r="K14" s="2">
        <v>103.6</v>
      </c>
      <c r="L14" s="2">
        <f t="shared" si="2"/>
        <v>3.4000000000000057</v>
      </c>
      <c r="M14">
        <v>103.2</v>
      </c>
      <c r="N14">
        <v>99.2</v>
      </c>
      <c r="O14">
        <v>-1</v>
      </c>
    </row>
    <row r="15" spans="1:15">
      <c r="A15" t="s">
        <v>4</v>
      </c>
      <c r="B15" t="s">
        <v>18</v>
      </c>
      <c r="C15">
        <v>50</v>
      </c>
      <c r="D15">
        <v>32</v>
      </c>
      <c r="E15" s="1">
        <f t="shared" si="0"/>
        <v>0.6097560975609756</v>
      </c>
      <c r="F15" s="2">
        <v>88.9</v>
      </c>
      <c r="G15" s="2">
        <v>86.6</v>
      </c>
      <c r="H15" s="2">
        <f t="shared" si="1"/>
        <v>2.3000000000000114</v>
      </c>
      <c r="I15" s="1">
        <f>+(F15^14)/((F15^14+G15^14))</f>
        <v>0.59072724433353874</v>
      </c>
      <c r="J15" s="2">
        <v>99.4</v>
      </c>
      <c r="K15" s="2">
        <v>97.1</v>
      </c>
      <c r="L15" s="2">
        <f t="shared" si="2"/>
        <v>2.3000000000000114</v>
      </c>
      <c r="M15">
        <v>99.1</v>
      </c>
      <c r="N15">
        <v>92.1</v>
      </c>
      <c r="O15">
        <v>-0.3</v>
      </c>
    </row>
    <row r="16" spans="1:15">
      <c r="A16" t="s">
        <v>4</v>
      </c>
      <c r="B16" t="s">
        <v>19</v>
      </c>
      <c r="C16">
        <v>52</v>
      </c>
      <c r="D16">
        <v>30</v>
      </c>
      <c r="E16" s="1">
        <f t="shared" si="0"/>
        <v>0.63414634146341464</v>
      </c>
      <c r="F16" s="2">
        <v>100.7</v>
      </c>
      <c r="G16" s="2">
        <v>96.9</v>
      </c>
      <c r="H16" s="2">
        <f t="shared" si="1"/>
        <v>3.7999999999999972</v>
      </c>
      <c r="I16" s="1">
        <f>+(F16^14)/((F16^14+G16^14))</f>
        <v>0.63146991070867009</v>
      </c>
      <c r="J16" s="2">
        <v>106.8</v>
      </c>
      <c r="K16" s="2">
        <v>102.6</v>
      </c>
      <c r="L16" s="2">
        <f t="shared" si="2"/>
        <v>4.2000000000000028</v>
      </c>
      <c r="M16">
        <v>112.2</v>
      </c>
      <c r="N16">
        <v>103.8</v>
      </c>
      <c r="O16">
        <v>0.2</v>
      </c>
    </row>
    <row r="17" spans="1:15">
      <c r="A17" t="s">
        <v>4</v>
      </c>
      <c r="B17" t="s">
        <v>20</v>
      </c>
      <c r="C17">
        <v>47</v>
      </c>
      <c r="D17">
        <v>35</v>
      </c>
      <c r="E17" s="1">
        <f t="shared" si="0"/>
        <v>0.57317073170731703</v>
      </c>
      <c r="F17" s="2">
        <v>97.3</v>
      </c>
      <c r="G17" s="2">
        <v>96</v>
      </c>
      <c r="H17" s="2">
        <f t="shared" si="1"/>
        <v>1.2999999999999972</v>
      </c>
      <c r="I17" s="1">
        <f>+(F17^14)/((F17^14+G17^14))</f>
        <v>0.546939164426965</v>
      </c>
      <c r="J17" s="2">
        <v>103.9</v>
      </c>
      <c r="K17" s="2">
        <v>102.4</v>
      </c>
      <c r="L17" s="2">
        <f t="shared" si="2"/>
        <v>1.5</v>
      </c>
      <c r="M17">
        <v>102.8</v>
      </c>
      <c r="N17">
        <v>106.9</v>
      </c>
      <c r="O17">
        <v>-0.5</v>
      </c>
    </row>
    <row r="18" spans="1:15">
      <c r="A18" t="s">
        <v>4</v>
      </c>
      <c r="B18" t="s">
        <v>21</v>
      </c>
      <c r="C18">
        <v>26</v>
      </c>
      <c r="D18">
        <v>56</v>
      </c>
      <c r="E18" s="1">
        <f t="shared" si="0"/>
        <v>0.31707317073170732</v>
      </c>
      <c r="F18" s="2">
        <v>92.1</v>
      </c>
      <c r="G18" s="2">
        <v>97.1</v>
      </c>
      <c r="H18" s="2">
        <f t="shared" si="1"/>
        <v>-5</v>
      </c>
      <c r="I18" s="1">
        <f>+(F18^14)/((F18^14+G18^14))</f>
        <v>0.32297570638885176</v>
      </c>
      <c r="J18" s="2">
        <v>98.4</v>
      </c>
      <c r="K18" s="2">
        <v>103.8</v>
      </c>
      <c r="L18" s="2">
        <f t="shared" si="2"/>
        <v>-5.3999999999999915</v>
      </c>
      <c r="M18">
        <v>93.1</v>
      </c>
      <c r="N18">
        <v>105.7</v>
      </c>
      <c r="O18">
        <v>-1.8</v>
      </c>
    </row>
    <row r="19" spans="1:15">
      <c r="A19" t="s">
        <v>4</v>
      </c>
      <c r="B19" t="s">
        <v>22</v>
      </c>
      <c r="C19">
        <v>48</v>
      </c>
      <c r="D19">
        <v>34</v>
      </c>
      <c r="E19" s="1">
        <f t="shared" si="0"/>
        <v>0.58536585365853655</v>
      </c>
      <c r="F19" s="2">
        <v>88.7</v>
      </c>
      <c r="G19" s="2">
        <v>86.1</v>
      </c>
      <c r="H19" s="2">
        <f t="shared" si="1"/>
        <v>2.6000000000000085</v>
      </c>
      <c r="I19" s="1">
        <f>+(F19^14)/((F19^14+G19^14))</f>
        <v>0.6026470301039869</v>
      </c>
      <c r="J19" s="2">
        <v>100</v>
      </c>
      <c r="K19" s="2">
        <v>97</v>
      </c>
      <c r="L19" s="2">
        <f t="shared" si="2"/>
        <v>3</v>
      </c>
      <c r="M19">
        <v>82.7</v>
      </c>
      <c r="N19">
        <v>81</v>
      </c>
      <c r="O19">
        <v>1.3</v>
      </c>
    </row>
    <row r="20" spans="1:15">
      <c r="A20" t="s">
        <v>4</v>
      </c>
      <c r="B20" t="s">
        <v>23</v>
      </c>
      <c r="C20">
        <v>43</v>
      </c>
      <c r="D20">
        <v>39</v>
      </c>
      <c r="E20" s="1">
        <f t="shared" si="0"/>
        <v>0.52439024390243905</v>
      </c>
      <c r="F20" s="2">
        <v>97.5</v>
      </c>
      <c r="G20" s="2">
        <v>96.5</v>
      </c>
      <c r="H20" s="2">
        <f t="shared" si="1"/>
        <v>1</v>
      </c>
      <c r="I20" s="1">
        <f>+(F20^14)/((F20^14+G20^14))</f>
        <v>0.5360202858252715</v>
      </c>
      <c r="J20" s="2">
        <v>102.1</v>
      </c>
      <c r="K20" s="2">
        <v>101.1</v>
      </c>
      <c r="L20" s="2">
        <f t="shared" si="2"/>
        <v>1</v>
      </c>
      <c r="M20">
        <v>93.5</v>
      </c>
      <c r="N20">
        <v>104.3</v>
      </c>
      <c r="O20">
        <v>-0.6</v>
      </c>
    </row>
    <row r="21" spans="1:15">
      <c r="A21" t="s">
        <v>4</v>
      </c>
      <c r="B21" t="s">
        <v>24</v>
      </c>
      <c r="C21">
        <v>56</v>
      </c>
      <c r="D21">
        <v>26</v>
      </c>
      <c r="E21" s="1">
        <f t="shared" si="0"/>
        <v>0.68292682926829273</v>
      </c>
      <c r="F21" s="2">
        <v>94.7</v>
      </c>
      <c r="G21" s="2">
        <v>90.4</v>
      </c>
      <c r="H21" s="2">
        <f t="shared" si="1"/>
        <v>4.2999999999999972</v>
      </c>
      <c r="I21" s="1">
        <f>+(F21^14)/((F21^14+G21^14))</f>
        <v>0.65714030959602765</v>
      </c>
      <c r="J21" s="2">
        <v>101.9</v>
      </c>
      <c r="K21" s="2">
        <v>97.3</v>
      </c>
      <c r="L21" s="2">
        <f t="shared" si="2"/>
        <v>4.6000000000000085</v>
      </c>
      <c r="M21">
        <v>101.9</v>
      </c>
      <c r="N21">
        <v>94.6</v>
      </c>
      <c r="O21">
        <v>0.4</v>
      </c>
    </row>
    <row r="22" spans="1:15">
      <c r="A22" t="s">
        <v>4</v>
      </c>
      <c r="B22" t="s">
        <v>25</v>
      </c>
      <c r="C22">
        <v>51</v>
      </c>
      <c r="D22">
        <v>31</v>
      </c>
      <c r="E22" s="1">
        <f t="shared" si="0"/>
        <v>0.62195121951219512</v>
      </c>
      <c r="F22" s="2">
        <v>94</v>
      </c>
      <c r="G22" s="2">
        <v>91.8</v>
      </c>
      <c r="H22" s="2">
        <f t="shared" si="1"/>
        <v>2.2000000000000028</v>
      </c>
      <c r="I22" s="1">
        <f>+(F22^14)/((F22^14+G22^14))</f>
        <v>0.58213763182578848</v>
      </c>
      <c r="J22" s="2">
        <v>98.9</v>
      </c>
      <c r="K22" s="2">
        <v>96.7</v>
      </c>
      <c r="L22" s="2">
        <f t="shared" si="2"/>
        <v>2.2000000000000028</v>
      </c>
      <c r="M22">
        <v>97.7</v>
      </c>
      <c r="N22">
        <v>87.1</v>
      </c>
      <c r="O22">
        <v>1.7</v>
      </c>
    </row>
    <row r="23" spans="1:15">
      <c r="A23" t="s">
        <v>4</v>
      </c>
      <c r="B23" t="s">
        <v>26</v>
      </c>
      <c r="C23">
        <v>50</v>
      </c>
      <c r="D23">
        <v>32</v>
      </c>
      <c r="E23" s="1">
        <f t="shared" si="0"/>
        <v>0.6097560975609756</v>
      </c>
      <c r="F23" s="2">
        <v>95.4</v>
      </c>
      <c r="G23" s="2">
        <v>91.2</v>
      </c>
      <c r="H23" s="2">
        <f t="shared" si="1"/>
        <v>4.2000000000000028</v>
      </c>
      <c r="I23" s="1">
        <f>+(F23^14)/((F23^14+G23^14))</f>
        <v>0.65256463390669783</v>
      </c>
      <c r="J23" s="2">
        <v>104.7</v>
      </c>
      <c r="K23" s="2">
        <v>100.5</v>
      </c>
      <c r="L23" s="2">
        <f t="shared" si="2"/>
        <v>4.2000000000000028</v>
      </c>
      <c r="M23">
        <v>109.3</v>
      </c>
      <c r="N23">
        <v>99.6</v>
      </c>
      <c r="O23">
        <v>0.3</v>
      </c>
    </row>
    <row r="24" spans="1:15">
      <c r="A24" t="s">
        <v>4</v>
      </c>
      <c r="B24" t="s">
        <v>27</v>
      </c>
      <c r="C24">
        <v>55</v>
      </c>
      <c r="D24">
        <v>27</v>
      </c>
      <c r="E24" s="1">
        <f t="shared" si="0"/>
        <v>0.67073170731707321</v>
      </c>
      <c r="F24" s="2">
        <v>101.7</v>
      </c>
      <c r="G24" s="2">
        <v>95.9</v>
      </c>
      <c r="H24" s="2">
        <f t="shared" si="1"/>
        <v>5.7999999999999972</v>
      </c>
      <c r="I24" s="1">
        <f>+(F24^14)/((F24^14+G24^14))</f>
        <v>0.69468161097182612</v>
      </c>
      <c r="J24" s="2">
        <v>104.2</v>
      </c>
      <c r="K24" s="2">
        <v>98.5</v>
      </c>
      <c r="L24" s="2">
        <f t="shared" si="2"/>
        <v>5.7000000000000028</v>
      </c>
      <c r="M24">
        <v>94</v>
      </c>
      <c r="N24">
        <v>84.6</v>
      </c>
      <c r="O24">
        <v>1.4</v>
      </c>
    </row>
    <row r="25" spans="1:15">
      <c r="A25" t="s">
        <v>4</v>
      </c>
      <c r="B25" t="s">
        <v>28</v>
      </c>
      <c r="C25">
        <v>58</v>
      </c>
      <c r="D25">
        <v>24</v>
      </c>
      <c r="E25" s="1">
        <f t="shared" si="0"/>
        <v>0.70731707317073167</v>
      </c>
      <c r="F25" s="2">
        <v>96.2</v>
      </c>
      <c r="G25" s="2">
        <v>88.4</v>
      </c>
      <c r="H25" s="2">
        <f t="shared" si="1"/>
        <v>7.7999999999999972</v>
      </c>
      <c r="I25" s="1">
        <f>+(F25^14)/((F25^14+G25^14))</f>
        <v>0.76563098176040723</v>
      </c>
      <c r="J25" s="2">
        <v>105</v>
      </c>
      <c r="K25" s="2">
        <v>96.6</v>
      </c>
      <c r="L25" s="2">
        <f t="shared" si="2"/>
        <v>8.4000000000000057</v>
      </c>
      <c r="M25">
        <v>97.7</v>
      </c>
      <c r="N25">
        <v>100.4</v>
      </c>
      <c r="O25">
        <v>0.9</v>
      </c>
    </row>
    <row r="26" spans="1:15">
      <c r="A26" t="s">
        <v>4</v>
      </c>
      <c r="B26" t="s">
        <v>29</v>
      </c>
      <c r="C26">
        <v>44</v>
      </c>
      <c r="D26">
        <v>38</v>
      </c>
      <c r="E26" s="1">
        <f t="shared" si="0"/>
        <v>0.53658536585365857</v>
      </c>
      <c r="F26" s="2">
        <v>97.3</v>
      </c>
      <c r="G26" s="2">
        <v>97.3</v>
      </c>
      <c r="H26" s="2">
        <f t="shared" si="1"/>
        <v>0</v>
      </c>
      <c r="I26" s="1">
        <f>+(F26^14)/((F26^14+G26^14))</f>
        <v>0.5</v>
      </c>
      <c r="J26" s="2">
        <v>104.4</v>
      </c>
      <c r="K26" s="2">
        <v>104.2</v>
      </c>
      <c r="L26" s="2">
        <f t="shared" si="2"/>
        <v>0.20000000000000284</v>
      </c>
      <c r="M26">
        <v>98.3</v>
      </c>
      <c r="N26">
        <v>102.3</v>
      </c>
      <c r="O26">
        <v>-0.4</v>
      </c>
    </row>
    <row r="27" spans="1:15">
      <c r="A27" t="s">
        <v>4</v>
      </c>
      <c r="B27" t="s">
        <v>30</v>
      </c>
      <c r="C27">
        <v>47</v>
      </c>
      <c r="D27">
        <v>35</v>
      </c>
      <c r="E27" s="1">
        <f t="shared" si="0"/>
        <v>0.57317073170731703</v>
      </c>
      <c r="F27" s="2">
        <v>97.6</v>
      </c>
      <c r="G27" s="2">
        <v>95.4</v>
      </c>
      <c r="H27" s="2">
        <f t="shared" si="1"/>
        <v>2.1999999999999886</v>
      </c>
      <c r="I27" s="1">
        <f>+(F27^14)/((F27^14+G27^14))</f>
        <v>0.57912557114227126</v>
      </c>
      <c r="J27" s="2">
        <v>104.4</v>
      </c>
      <c r="K27" s="2">
        <v>102</v>
      </c>
      <c r="L27" s="2">
        <f t="shared" si="2"/>
        <v>2.4000000000000057</v>
      </c>
      <c r="M27">
        <v>96.8</v>
      </c>
      <c r="N27">
        <v>92.1</v>
      </c>
      <c r="O27">
        <v>0.7</v>
      </c>
    </row>
    <row r="28" spans="1:15">
      <c r="A28" t="s">
        <v>4</v>
      </c>
      <c r="B28" t="s">
        <v>31</v>
      </c>
      <c r="C28">
        <v>53</v>
      </c>
      <c r="D28">
        <v>29</v>
      </c>
      <c r="E28" s="1">
        <f t="shared" si="0"/>
        <v>0.64634146341463417</v>
      </c>
      <c r="F28" s="2">
        <v>97.1</v>
      </c>
      <c r="G28" s="2">
        <v>92.4</v>
      </c>
      <c r="H28" s="2">
        <f t="shared" si="1"/>
        <v>4.6999999999999886</v>
      </c>
      <c r="I28" s="1">
        <f>+(F28^14)/((F28^14+G28^14))</f>
        <v>0.66698978218466165</v>
      </c>
      <c r="J28" s="2">
        <v>106.1</v>
      </c>
      <c r="K28" s="2">
        <v>100.9</v>
      </c>
      <c r="L28" s="2">
        <f t="shared" si="2"/>
        <v>5.1999999999999886</v>
      </c>
      <c r="M28">
        <v>118.4</v>
      </c>
      <c r="N28">
        <v>96.8</v>
      </c>
      <c r="O28">
        <v>2.5</v>
      </c>
    </row>
    <row r="29" spans="1:15">
      <c r="A29" t="s">
        <v>4</v>
      </c>
      <c r="B29" t="s">
        <v>32</v>
      </c>
      <c r="C29">
        <v>23</v>
      </c>
      <c r="D29">
        <v>59</v>
      </c>
      <c r="E29" s="1">
        <f t="shared" si="0"/>
        <v>0.28048780487804881</v>
      </c>
      <c r="F29" s="2">
        <v>91.7</v>
      </c>
      <c r="G29" s="2">
        <v>97.5</v>
      </c>
      <c r="H29" s="2">
        <f t="shared" si="1"/>
        <v>-5.7999999999999972</v>
      </c>
      <c r="I29" s="1">
        <f>+(F29^14)/((F29^14+G29^14))</f>
        <v>0.29762775150060888</v>
      </c>
      <c r="J29" s="2">
        <v>98.2</v>
      </c>
      <c r="K29" s="2">
        <v>104.2</v>
      </c>
      <c r="L29" s="2">
        <f t="shared" si="2"/>
        <v>-6</v>
      </c>
      <c r="M29">
        <v>102.1</v>
      </c>
      <c r="N29">
        <v>106.7</v>
      </c>
      <c r="O29">
        <v>-1.3</v>
      </c>
    </row>
    <row r="30" spans="1:15">
      <c r="A30" t="s">
        <v>4</v>
      </c>
      <c r="B30" t="s">
        <v>33</v>
      </c>
      <c r="C30">
        <v>19</v>
      </c>
      <c r="D30">
        <v>63</v>
      </c>
      <c r="E30" s="1">
        <f t="shared" si="0"/>
        <v>0.23170731707317074</v>
      </c>
      <c r="F30" s="2">
        <v>93.2</v>
      </c>
      <c r="G30" s="2">
        <v>99.9</v>
      </c>
      <c r="H30" s="2">
        <f t="shared" si="1"/>
        <v>-6.7000000000000028</v>
      </c>
      <c r="I30" s="1">
        <f>+(F30^14)/((F30^14+G30^14))</f>
        <v>0.27450046120978927</v>
      </c>
      <c r="J30" s="2">
        <v>99.4</v>
      </c>
      <c r="K30" s="2">
        <v>106.2</v>
      </c>
      <c r="L30" s="2">
        <f t="shared" si="2"/>
        <v>-6.7999999999999972</v>
      </c>
      <c r="M30">
        <v>101.4</v>
      </c>
      <c r="N30">
        <v>100</v>
      </c>
      <c r="O30">
        <v>-1.1000000000000001</v>
      </c>
    </row>
    <row r="31" spans="1:15">
      <c r="A31" t="s">
        <v>34</v>
      </c>
      <c r="B31" t="s">
        <v>5</v>
      </c>
      <c r="C31">
        <v>33</v>
      </c>
      <c r="D31">
        <v>49</v>
      </c>
      <c r="E31" s="1">
        <f t="shared" si="0"/>
        <v>0.40243902439024393</v>
      </c>
      <c r="F31" s="2">
        <v>94</v>
      </c>
      <c r="G31" s="2">
        <v>98.3</v>
      </c>
      <c r="H31" s="2">
        <f t="shared" si="1"/>
        <v>-4.2999999999999972</v>
      </c>
      <c r="I31" s="1">
        <f>+(F31^14)/((F31^14+G31^14))</f>
        <v>0.34837053448478683</v>
      </c>
      <c r="J31" s="2">
        <v>100.4</v>
      </c>
      <c r="K31" s="2">
        <v>104.8</v>
      </c>
      <c r="L31" s="2">
        <f t="shared" si="2"/>
        <v>-4.3999999999999915</v>
      </c>
      <c r="M31">
        <v>95.5</v>
      </c>
      <c r="N31">
        <v>100.6</v>
      </c>
      <c r="O31">
        <v>-1.2</v>
      </c>
    </row>
    <row r="32" spans="1:15">
      <c r="A32" t="s">
        <v>34</v>
      </c>
      <c r="B32" t="s">
        <v>6</v>
      </c>
      <c r="C32">
        <v>49</v>
      </c>
      <c r="D32">
        <v>33</v>
      </c>
      <c r="E32" s="1">
        <f t="shared" si="0"/>
        <v>0.59756097560975607</v>
      </c>
      <c r="F32" s="2">
        <v>96.4</v>
      </c>
      <c r="G32" s="2">
        <v>94.1</v>
      </c>
      <c r="H32" s="2">
        <f t="shared" si="1"/>
        <v>2.3000000000000114</v>
      </c>
      <c r="I32" s="1">
        <f>+(F32^14)/((F32^14+G32^14))</f>
        <v>0.58372264017274567</v>
      </c>
      <c r="J32" s="2">
        <v>102.1</v>
      </c>
      <c r="K32" s="2">
        <v>99.9</v>
      </c>
      <c r="L32" s="2">
        <f t="shared" si="2"/>
        <v>2.1999999999999886</v>
      </c>
      <c r="M32">
        <v>107.8</v>
      </c>
      <c r="N32">
        <v>90.2</v>
      </c>
      <c r="O32">
        <v>1</v>
      </c>
    </row>
    <row r="33" spans="1:15">
      <c r="A33" t="s">
        <v>34</v>
      </c>
      <c r="B33" t="s">
        <v>7</v>
      </c>
      <c r="C33">
        <v>44</v>
      </c>
      <c r="D33">
        <v>38</v>
      </c>
      <c r="E33" s="1">
        <f t="shared" si="0"/>
        <v>0.53658536585365857</v>
      </c>
      <c r="F33" s="2">
        <v>93.9</v>
      </c>
      <c r="G33" s="2">
        <v>92.9</v>
      </c>
      <c r="H33" s="2">
        <f t="shared" si="1"/>
        <v>1</v>
      </c>
      <c r="I33" s="1">
        <f>+(F33^14)/((F33^14+G33^14))</f>
        <v>0.5374035846136257</v>
      </c>
      <c r="J33" s="2">
        <v>102.9</v>
      </c>
      <c r="K33" s="2">
        <v>101.8</v>
      </c>
      <c r="L33" s="2">
        <f t="shared" si="2"/>
        <v>1.1000000000000085</v>
      </c>
      <c r="M33">
        <v>101.1</v>
      </c>
      <c r="N33">
        <v>97.9</v>
      </c>
      <c r="O33">
        <v>-0.5</v>
      </c>
    </row>
    <row r="34" spans="1:15">
      <c r="A34" t="s">
        <v>34</v>
      </c>
      <c r="B34" t="s">
        <v>8</v>
      </c>
      <c r="C34">
        <v>21</v>
      </c>
      <c r="D34">
        <v>61</v>
      </c>
      <c r="E34" s="1">
        <f t="shared" si="0"/>
        <v>0.25609756097560976</v>
      </c>
      <c r="F34" s="2">
        <v>89.5</v>
      </c>
      <c r="G34" s="2">
        <v>98</v>
      </c>
      <c r="H34" s="2">
        <f t="shared" si="1"/>
        <v>-8.5</v>
      </c>
      <c r="I34" s="1">
        <f>+(F34^14)/((F34^14+G34^14))</f>
        <v>0.21922234164546633</v>
      </c>
      <c r="J34" s="2">
        <v>97.2</v>
      </c>
      <c r="K34" s="2">
        <v>106.2</v>
      </c>
      <c r="L34" s="2">
        <f t="shared" si="2"/>
        <v>-9</v>
      </c>
      <c r="M34">
        <v>99.7</v>
      </c>
      <c r="N34">
        <v>97.6</v>
      </c>
      <c r="O34">
        <v>0</v>
      </c>
    </row>
    <row r="35" spans="1:15">
      <c r="A35" t="s">
        <v>34</v>
      </c>
      <c r="B35" t="s">
        <v>9</v>
      </c>
      <c r="C35">
        <v>29</v>
      </c>
      <c r="D35">
        <v>53</v>
      </c>
      <c r="E35" s="1">
        <f t="shared" si="0"/>
        <v>0.35365853658536583</v>
      </c>
      <c r="F35" s="2">
        <v>95.3</v>
      </c>
      <c r="G35" s="2">
        <v>98.6</v>
      </c>
      <c r="H35" s="2">
        <f t="shared" si="1"/>
        <v>-3.2999999999999972</v>
      </c>
      <c r="I35" s="1">
        <f>+(F35^14)/((F35^14+G35^14))</f>
        <v>0.38305995894836997</v>
      </c>
      <c r="J35" s="2">
        <v>103.4</v>
      </c>
      <c r="K35" s="2">
        <v>107</v>
      </c>
      <c r="L35" s="2">
        <f t="shared" si="2"/>
        <v>-3.5999999999999943</v>
      </c>
      <c r="M35">
        <v>107.2</v>
      </c>
      <c r="N35">
        <v>99.7</v>
      </c>
      <c r="O35">
        <v>-0.7</v>
      </c>
    </row>
    <row r="36" spans="1:15">
      <c r="A36" t="s">
        <v>34</v>
      </c>
      <c r="B36" t="s">
        <v>10</v>
      </c>
      <c r="C36">
        <v>57</v>
      </c>
      <c r="D36">
        <v>25</v>
      </c>
      <c r="E36" s="1">
        <f t="shared" si="0"/>
        <v>0.69512195121951215</v>
      </c>
      <c r="F36" s="2">
        <v>105.2</v>
      </c>
      <c r="G36" s="2">
        <v>101</v>
      </c>
      <c r="H36" s="2">
        <f t="shared" si="1"/>
        <v>4.2000000000000028</v>
      </c>
      <c r="I36" s="1">
        <f>+(F36^14)/((F36^14+G36^14))</f>
        <v>0.63885522994426547</v>
      </c>
      <c r="J36" s="2">
        <v>110.3</v>
      </c>
      <c r="K36" s="2">
        <v>106</v>
      </c>
      <c r="L36" s="2">
        <f t="shared" si="2"/>
        <v>4.2999999999999972</v>
      </c>
      <c r="M36">
        <v>115.5</v>
      </c>
      <c r="N36">
        <v>107.2</v>
      </c>
      <c r="O36">
        <v>1.5</v>
      </c>
    </row>
    <row r="37" spans="1:15">
      <c r="A37" t="s">
        <v>34</v>
      </c>
      <c r="B37" t="s">
        <v>11</v>
      </c>
      <c r="C37">
        <v>27</v>
      </c>
      <c r="D37">
        <v>55</v>
      </c>
      <c r="E37" s="1">
        <f t="shared" si="0"/>
        <v>0.32926829268292684</v>
      </c>
      <c r="F37" s="2">
        <v>92.2</v>
      </c>
      <c r="G37" s="2">
        <v>98</v>
      </c>
      <c r="H37" s="2">
        <f t="shared" si="1"/>
        <v>-5.7999999999999972</v>
      </c>
      <c r="I37" s="1">
        <f>+(F37^14)/((F37^14+G37^14))</f>
        <v>0.29857289504453155</v>
      </c>
      <c r="J37" s="2">
        <v>100.3</v>
      </c>
      <c r="K37" s="2">
        <v>106.6</v>
      </c>
      <c r="L37" s="2">
        <f t="shared" si="2"/>
        <v>-6.2999999999999972</v>
      </c>
      <c r="M37">
        <v>89.7</v>
      </c>
      <c r="N37">
        <v>95.4</v>
      </c>
      <c r="O37">
        <v>0.1</v>
      </c>
    </row>
    <row r="38" spans="1:15">
      <c r="A38" t="s">
        <v>34</v>
      </c>
      <c r="B38" t="s">
        <v>12</v>
      </c>
      <c r="C38">
        <v>50</v>
      </c>
      <c r="D38">
        <v>32</v>
      </c>
      <c r="E38" s="1">
        <f t="shared" si="0"/>
        <v>0.6097560975609756</v>
      </c>
      <c r="F38" s="2">
        <v>94.3</v>
      </c>
      <c r="G38" s="2">
        <v>92.2</v>
      </c>
      <c r="H38" s="2">
        <f t="shared" si="1"/>
        <v>2.0999999999999943</v>
      </c>
      <c r="I38" s="1">
        <f>+(F38^14)/((F38^14+G38^14))</f>
        <v>0.57817713942580595</v>
      </c>
      <c r="J38" s="2">
        <v>103.2</v>
      </c>
      <c r="K38" s="2">
        <v>100.9</v>
      </c>
      <c r="L38" s="2">
        <f t="shared" si="2"/>
        <v>2.2999999999999972</v>
      </c>
      <c r="M38">
        <v>96.6</v>
      </c>
      <c r="N38">
        <v>93.2</v>
      </c>
      <c r="O38">
        <v>1</v>
      </c>
    </row>
    <row r="39" spans="1:15">
      <c r="A39" t="s">
        <v>34</v>
      </c>
      <c r="B39" t="s">
        <v>13</v>
      </c>
      <c r="C39">
        <v>21</v>
      </c>
      <c r="D39">
        <v>61</v>
      </c>
      <c r="E39" s="1">
        <f t="shared" si="0"/>
        <v>0.25609756097560976</v>
      </c>
      <c r="F39" s="2">
        <v>97.7</v>
      </c>
      <c r="G39" s="2">
        <v>103.1</v>
      </c>
      <c r="H39" s="2">
        <f t="shared" si="1"/>
        <v>-5.3999999999999915</v>
      </c>
      <c r="I39" s="1">
        <f>+(F39^14)/((F39^14+G39^14))</f>
        <v>0.32013104307048473</v>
      </c>
      <c r="J39" s="2">
        <v>101.5</v>
      </c>
      <c r="K39" s="2">
        <v>107.1</v>
      </c>
      <c r="L39" s="2">
        <f t="shared" si="2"/>
        <v>-5.5999999999999943</v>
      </c>
      <c r="M39">
        <v>85.4</v>
      </c>
      <c r="N39">
        <v>105.3</v>
      </c>
      <c r="O39">
        <v>0</v>
      </c>
    </row>
    <row r="40" spans="1:15">
      <c r="A40" t="s">
        <v>34</v>
      </c>
      <c r="B40" t="s">
        <v>14</v>
      </c>
      <c r="C40">
        <v>28</v>
      </c>
      <c r="D40">
        <v>54</v>
      </c>
      <c r="E40" s="1">
        <f t="shared" si="0"/>
        <v>0.34146341463414637</v>
      </c>
      <c r="F40" s="2">
        <v>92.3</v>
      </c>
      <c r="G40" s="2">
        <v>97.2</v>
      </c>
      <c r="H40" s="2">
        <f t="shared" si="1"/>
        <v>-4.9000000000000057</v>
      </c>
      <c r="I40" s="1">
        <f>+(F40^14)/((F40^14+G40^14))</f>
        <v>0.3264749470449273</v>
      </c>
      <c r="J40" s="2">
        <v>101.6</v>
      </c>
      <c r="K40" s="2">
        <v>106.9</v>
      </c>
      <c r="L40" s="2">
        <f t="shared" si="2"/>
        <v>-5.3000000000000114</v>
      </c>
      <c r="M40">
        <v>96.6</v>
      </c>
      <c r="N40">
        <v>106.7</v>
      </c>
      <c r="O40">
        <v>-1</v>
      </c>
    </row>
    <row r="41" spans="1:15">
      <c r="A41" t="s">
        <v>34</v>
      </c>
      <c r="B41" t="s">
        <v>15</v>
      </c>
      <c r="C41">
        <v>42</v>
      </c>
      <c r="D41">
        <v>40</v>
      </c>
      <c r="E41" s="1">
        <f t="shared" si="0"/>
        <v>0.51219512195121952</v>
      </c>
      <c r="F41" s="2">
        <v>96.8</v>
      </c>
      <c r="G41" s="2">
        <v>96.5</v>
      </c>
      <c r="H41" s="2">
        <f t="shared" si="1"/>
        <v>0.29999999999999716</v>
      </c>
      <c r="I41" s="1">
        <f>+(F41^14)/((F41^14+G41^14))</f>
        <v>0.51086224147445425</v>
      </c>
      <c r="J41" s="2">
        <v>102.8</v>
      </c>
      <c r="K41" s="2">
        <v>102.4</v>
      </c>
      <c r="L41" s="2">
        <f t="shared" si="2"/>
        <v>0.39999999999999147</v>
      </c>
      <c r="M41">
        <v>101.1</v>
      </c>
      <c r="N41">
        <v>103</v>
      </c>
      <c r="O41">
        <v>-0.1</v>
      </c>
    </row>
    <row r="42" spans="1:15">
      <c r="A42" t="s">
        <v>34</v>
      </c>
      <c r="B42" t="s">
        <v>16</v>
      </c>
      <c r="C42">
        <v>39</v>
      </c>
      <c r="D42">
        <v>43</v>
      </c>
      <c r="E42" s="1">
        <f t="shared" si="0"/>
        <v>0.47560975609756095</v>
      </c>
      <c r="F42" s="2">
        <v>95.7</v>
      </c>
      <c r="G42" s="2">
        <v>96.1</v>
      </c>
      <c r="H42" s="2">
        <f t="shared" si="1"/>
        <v>-0.39999999999999147</v>
      </c>
      <c r="I42" s="1">
        <f>+(F42^14)/((F42^14+G42^14))</f>
        <v>0.48540558556338809</v>
      </c>
      <c r="J42" s="2">
        <v>104.3</v>
      </c>
      <c r="K42" s="2">
        <v>104.7</v>
      </c>
      <c r="L42" s="2">
        <f t="shared" si="2"/>
        <v>-0.40000000000000568</v>
      </c>
      <c r="M42">
        <v>95.3</v>
      </c>
      <c r="N42">
        <v>100.3</v>
      </c>
      <c r="O42">
        <v>-0.5</v>
      </c>
    </row>
    <row r="43" spans="1:15">
      <c r="A43" t="s">
        <v>34</v>
      </c>
      <c r="B43" t="s">
        <v>17</v>
      </c>
      <c r="C43">
        <v>58</v>
      </c>
      <c r="D43">
        <v>24</v>
      </c>
      <c r="E43" s="1">
        <f t="shared" si="0"/>
        <v>0.70731707317073167</v>
      </c>
      <c r="F43" s="2">
        <v>101.3</v>
      </c>
      <c r="G43" s="2">
        <v>94.1</v>
      </c>
      <c r="H43" s="2">
        <f t="shared" si="1"/>
        <v>7.2000000000000028</v>
      </c>
      <c r="I43" s="1">
        <f>+(F43^14)/((F43^14+G43^14))</f>
        <v>0.73734162874338682</v>
      </c>
      <c r="J43" s="2">
        <v>108</v>
      </c>
      <c r="K43" s="2">
        <v>100.4</v>
      </c>
      <c r="L43" s="2">
        <f t="shared" si="2"/>
        <v>7.5999999999999943</v>
      </c>
      <c r="M43">
        <v>104.2</v>
      </c>
      <c r="N43">
        <v>94.6</v>
      </c>
      <c r="O43">
        <v>2.5</v>
      </c>
    </row>
    <row r="44" spans="1:15">
      <c r="A44" t="s">
        <v>34</v>
      </c>
      <c r="B44" t="s">
        <v>35</v>
      </c>
      <c r="C44">
        <v>23</v>
      </c>
      <c r="D44">
        <v>59</v>
      </c>
      <c r="E44" s="1">
        <f t="shared" si="0"/>
        <v>0.28048780487804881</v>
      </c>
      <c r="F44" s="2">
        <v>89.9</v>
      </c>
      <c r="G44" s="2">
        <v>97.3</v>
      </c>
      <c r="H44" s="2">
        <f t="shared" si="1"/>
        <v>-7.3999999999999915</v>
      </c>
      <c r="I44" s="1">
        <f>+(F44^14)/((F44^14+G44^14))</f>
        <v>0.24835318847310597</v>
      </c>
      <c r="J44" s="2">
        <v>96.6</v>
      </c>
      <c r="K44" s="2">
        <v>104.7</v>
      </c>
      <c r="L44" s="2">
        <f t="shared" si="2"/>
        <v>-8.1000000000000085</v>
      </c>
      <c r="M44">
        <v>89.1</v>
      </c>
      <c r="N44">
        <v>98.5</v>
      </c>
      <c r="O44">
        <v>-1.2</v>
      </c>
    </row>
    <row r="45" spans="1:15">
      <c r="A45" t="s">
        <v>34</v>
      </c>
      <c r="B45" t="s">
        <v>18</v>
      </c>
      <c r="C45">
        <v>36</v>
      </c>
      <c r="D45">
        <v>46</v>
      </c>
      <c r="E45" s="1">
        <f t="shared" si="0"/>
        <v>0.43902439024390244</v>
      </c>
      <c r="F45" s="2">
        <v>87.2</v>
      </c>
      <c r="G45" s="2">
        <v>88.7</v>
      </c>
      <c r="H45" s="2">
        <f t="shared" si="1"/>
        <v>-1.5</v>
      </c>
      <c r="I45" s="1">
        <f>+(F45^14)/((F45^14+G45^14))</f>
        <v>0.44058756031569546</v>
      </c>
      <c r="J45" s="2">
        <v>97.3</v>
      </c>
      <c r="K45" s="2">
        <v>99</v>
      </c>
      <c r="L45" s="2">
        <f t="shared" si="2"/>
        <v>-1.7000000000000028</v>
      </c>
      <c r="M45">
        <v>86.1</v>
      </c>
      <c r="N45">
        <v>92</v>
      </c>
      <c r="O45">
        <v>-0.4</v>
      </c>
    </row>
    <row r="46" spans="1:15">
      <c r="A46" t="s">
        <v>34</v>
      </c>
      <c r="B46" t="s">
        <v>19</v>
      </c>
      <c r="C46">
        <v>41</v>
      </c>
      <c r="D46">
        <v>41</v>
      </c>
      <c r="E46" s="1">
        <f t="shared" si="0"/>
        <v>0.5</v>
      </c>
      <c r="F46" s="2">
        <v>97.5</v>
      </c>
      <c r="G46" s="2">
        <v>97.7</v>
      </c>
      <c r="H46" s="2">
        <f t="shared" si="1"/>
        <v>-0.20000000000000284</v>
      </c>
      <c r="I46" s="1">
        <f>+(F46^14)/((F46^14+G46^14))</f>
        <v>0.49282835821021359</v>
      </c>
      <c r="J46" s="2">
        <v>105.3</v>
      </c>
      <c r="K46" s="2">
        <v>105.6</v>
      </c>
      <c r="L46" s="2">
        <f t="shared" si="2"/>
        <v>-0.29999999999999716</v>
      </c>
      <c r="M46">
        <v>107.5</v>
      </c>
      <c r="N46">
        <v>100.2</v>
      </c>
      <c r="O46">
        <v>0.4</v>
      </c>
    </row>
    <row r="47" spans="1:15">
      <c r="A47" t="s">
        <v>34</v>
      </c>
      <c r="B47" t="s">
        <v>20</v>
      </c>
      <c r="C47">
        <v>50</v>
      </c>
      <c r="D47">
        <v>32</v>
      </c>
      <c r="E47" s="1">
        <f t="shared" si="0"/>
        <v>0.6097560975609756</v>
      </c>
      <c r="F47" s="2">
        <v>99.3</v>
      </c>
      <c r="G47" s="2">
        <v>96</v>
      </c>
      <c r="H47" s="2">
        <f t="shared" si="1"/>
        <v>3.2999999999999972</v>
      </c>
      <c r="I47" s="1">
        <f>+(F47^14)/((F47^14+G47^14))</f>
        <v>0.6161321966292217</v>
      </c>
      <c r="J47" s="2">
        <v>107.5</v>
      </c>
      <c r="K47" s="2">
        <v>104.1</v>
      </c>
      <c r="L47" s="2">
        <f t="shared" si="2"/>
        <v>3.4000000000000057</v>
      </c>
      <c r="M47">
        <v>94.3</v>
      </c>
      <c r="N47">
        <v>102.6</v>
      </c>
      <c r="O47">
        <v>-0.2</v>
      </c>
    </row>
    <row r="48" spans="1:15">
      <c r="A48" t="s">
        <v>34</v>
      </c>
      <c r="B48" t="s">
        <v>21</v>
      </c>
      <c r="C48">
        <v>52</v>
      </c>
      <c r="D48">
        <v>30</v>
      </c>
      <c r="E48" s="1">
        <f t="shared" si="0"/>
        <v>0.63414634146341464</v>
      </c>
      <c r="F48" s="2">
        <v>96.2</v>
      </c>
      <c r="G48" s="2">
        <v>92</v>
      </c>
      <c r="H48" s="2">
        <f t="shared" si="1"/>
        <v>4.2000000000000028</v>
      </c>
      <c r="I48" s="1">
        <f>+(F48^14)/((F48^14+G48^14))</f>
        <v>0.65134826278971358</v>
      </c>
      <c r="J48" s="2">
        <v>102.4</v>
      </c>
      <c r="K48" s="2">
        <v>98.1</v>
      </c>
      <c r="L48" s="2">
        <f t="shared" si="2"/>
        <v>4.3000000000000114</v>
      </c>
      <c r="M48">
        <v>98.1</v>
      </c>
      <c r="N48">
        <v>98.6</v>
      </c>
      <c r="O48">
        <v>1</v>
      </c>
    </row>
    <row r="49" spans="1:15">
      <c r="A49" t="s">
        <v>34</v>
      </c>
      <c r="B49" t="s">
        <v>22</v>
      </c>
      <c r="C49">
        <v>30</v>
      </c>
      <c r="D49">
        <v>52</v>
      </c>
      <c r="E49" s="1">
        <f t="shared" si="0"/>
        <v>0.36585365853658536</v>
      </c>
      <c r="F49" s="2">
        <v>91.6</v>
      </c>
      <c r="G49" s="2">
        <v>95.6</v>
      </c>
      <c r="H49" s="2">
        <f t="shared" si="1"/>
        <v>-4</v>
      </c>
      <c r="I49" s="1">
        <f>+(F49^14)/((F49^14+G49^14))</f>
        <v>0.35471402772199295</v>
      </c>
      <c r="J49" s="2">
        <v>100.4</v>
      </c>
      <c r="K49" s="2">
        <v>104.6</v>
      </c>
      <c r="L49" s="2">
        <f t="shared" si="2"/>
        <v>-4.1999999999999886</v>
      </c>
      <c r="M49">
        <v>89.8</v>
      </c>
      <c r="N49">
        <v>100.5</v>
      </c>
      <c r="O49">
        <v>-1.2</v>
      </c>
    </row>
    <row r="50" spans="1:15">
      <c r="A50" t="s">
        <v>34</v>
      </c>
      <c r="B50" t="s">
        <v>23</v>
      </c>
      <c r="C50">
        <v>44</v>
      </c>
      <c r="D50">
        <v>38</v>
      </c>
      <c r="E50" s="1">
        <f t="shared" si="0"/>
        <v>0.53658536585365857</v>
      </c>
      <c r="F50" s="2">
        <v>100.5</v>
      </c>
      <c r="G50" s="2">
        <v>98.9</v>
      </c>
      <c r="H50" s="2">
        <f t="shared" si="1"/>
        <v>1.5999999999999943</v>
      </c>
      <c r="I50" s="1">
        <f>+(F50^14)/((F50^14+G50^14))</f>
        <v>0.5559346078100218</v>
      </c>
      <c r="J50" s="2">
        <v>105.6</v>
      </c>
      <c r="K50" s="2">
        <v>104.1</v>
      </c>
      <c r="L50" s="2">
        <f t="shared" si="2"/>
        <v>1.5</v>
      </c>
      <c r="M50">
        <v>105.5</v>
      </c>
      <c r="N50">
        <v>100.4</v>
      </c>
      <c r="O50">
        <v>-1</v>
      </c>
    </row>
    <row r="51" spans="1:15">
      <c r="A51" t="s">
        <v>34</v>
      </c>
      <c r="B51" t="s">
        <v>24</v>
      </c>
      <c r="C51">
        <v>43</v>
      </c>
      <c r="D51">
        <v>39</v>
      </c>
      <c r="E51" s="1">
        <f t="shared" si="0"/>
        <v>0.52439024390243905</v>
      </c>
      <c r="F51" s="2">
        <v>91</v>
      </c>
      <c r="G51" s="2">
        <v>89.4</v>
      </c>
      <c r="H51" s="2">
        <f t="shared" si="1"/>
        <v>1.5999999999999943</v>
      </c>
      <c r="I51" s="1">
        <f>+(F51^14)/((F51^14+G51^14))</f>
        <v>0.56176874789874143</v>
      </c>
      <c r="J51" s="2">
        <v>100.5</v>
      </c>
      <c r="K51" s="2">
        <v>98.7</v>
      </c>
      <c r="L51" s="2">
        <f t="shared" si="2"/>
        <v>1.7999999999999972</v>
      </c>
      <c r="M51">
        <v>90.2</v>
      </c>
      <c r="N51">
        <v>83</v>
      </c>
      <c r="O51">
        <v>0</v>
      </c>
    </row>
    <row r="52" spans="1:15">
      <c r="A52" t="s">
        <v>34</v>
      </c>
      <c r="B52" t="s">
        <v>25</v>
      </c>
      <c r="C52">
        <v>36</v>
      </c>
      <c r="D52">
        <v>46</v>
      </c>
      <c r="E52" s="1">
        <f t="shared" si="0"/>
        <v>0.43902439024390244</v>
      </c>
      <c r="F52" s="2">
        <v>95.1</v>
      </c>
      <c r="G52" s="2">
        <v>95.8</v>
      </c>
      <c r="H52" s="2">
        <f t="shared" si="1"/>
        <v>-0.70000000000000284</v>
      </c>
      <c r="I52" s="1">
        <f>+(F52^14)/((F52^14+G52^14))</f>
        <v>0.47435452063041067</v>
      </c>
      <c r="J52" s="2">
        <v>101.8</v>
      </c>
      <c r="K52" s="2">
        <v>102.6</v>
      </c>
      <c r="L52" s="2">
        <f t="shared" si="2"/>
        <v>-0.79999999999999716</v>
      </c>
      <c r="M52">
        <v>104</v>
      </c>
      <c r="N52">
        <v>101.8</v>
      </c>
      <c r="O52">
        <v>0.1</v>
      </c>
    </row>
    <row r="53" spans="1:15">
      <c r="A53" t="s">
        <v>34</v>
      </c>
      <c r="B53" t="s">
        <v>26</v>
      </c>
      <c r="C53">
        <v>49</v>
      </c>
      <c r="D53">
        <v>33</v>
      </c>
      <c r="E53" s="1">
        <f t="shared" si="0"/>
        <v>0.59756097560975607</v>
      </c>
      <c r="F53" s="2">
        <v>96.6</v>
      </c>
      <c r="G53" s="2">
        <v>93.7</v>
      </c>
      <c r="H53" s="2">
        <f t="shared" si="1"/>
        <v>2.8999999999999915</v>
      </c>
      <c r="I53" s="1">
        <f>+(F53^14)/((F53^14+G53^14))</f>
        <v>0.60509200990048839</v>
      </c>
      <c r="J53" s="2">
        <v>105.9</v>
      </c>
      <c r="K53" s="2">
        <v>102.6</v>
      </c>
      <c r="L53" s="2">
        <f t="shared" si="2"/>
        <v>3.3000000000000114</v>
      </c>
      <c r="M53">
        <v>111.7</v>
      </c>
      <c r="N53">
        <v>99.7</v>
      </c>
      <c r="O53">
        <v>-0.2</v>
      </c>
    </row>
    <row r="54" spans="1:15">
      <c r="A54" t="s">
        <v>34</v>
      </c>
      <c r="B54" t="s">
        <v>27</v>
      </c>
      <c r="C54">
        <v>61</v>
      </c>
      <c r="D54">
        <v>21</v>
      </c>
      <c r="E54" s="1">
        <f t="shared" si="0"/>
        <v>0.74390243902439024</v>
      </c>
      <c r="F54" s="2">
        <v>104.6</v>
      </c>
      <c r="G54" s="2">
        <v>97</v>
      </c>
      <c r="H54" s="2">
        <f t="shared" si="1"/>
        <v>7.5999999999999943</v>
      </c>
      <c r="I54" s="1">
        <f>+(F54^14)/((F54^14+G54^14))</f>
        <v>0.74193612519657792</v>
      </c>
      <c r="J54" s="2">
        <v>107.9</v>
      </c>
      <c r="K54" s="2">
        <v>99.7</v>
      </c>
      <c r="L54" s="2">
        <f t="shared" si="2"/>
        <v>8.2000000000000028</v>
      </c>
      <c r="M54">
        <v>105</v>
      </c>
      <c r="N54">
        <v>89.6</v>
      </c>
      <c r="O54">
        <v>0.8</v>
      </c>
    </row>
    <row r="55" spans="1:15">
      <c r="A55" t="s">
        <v>34</v>
      </c>
      <c r="B55" t="s">
        <v>28</v>
      </c>
      <c r="C55">
        <v>58</v>
      </c>
      <c r="D55">
        <v>24</v>
      </c>
      <c r="E55" s="1">
        <f t="shared" si="0"/>
        <v>0.70731707317073167</v>
      </c>
      <c r="F55" s="2">
        <v>96.7</v>
      </c>
      <c r="G55" s="2">
        <v>90.5</v>
      </c>
      <c r="H55" s="2">
        <f t="shared" si="1"/>
        <v>6.2000000000000028</v>
      </c>
      <c r="I55" s="1">
        <f>+(F55^14)/((F55^14+G55^14))</f>
        <v>0.71660634572291726</v>
      </c>
      <c r="J55" s="2">
        <v>105.4</v>
      </c>
      <c r="K55" s="2">
        <v>98.5</v>
      </c>
      <c r="L55" s="2">
        <f t="shared" si="2"/>
        <v>6.9000000000000057</v>
      </c>
      <c r="M55">
        <v>92.5</v>
      </c>
      <c r="N55">
        <v>96.7</v>
      </c>
      <c r="O55">
        <v>0.2</v>
      </c>
    </row>
    <row r="56" spans="1:15">
      <c r="A56" t="s">
        <v>34</v>
      </c>
      <c r="B56" t="s">
        <v>29</v>
      </c>
      <c r="C56">
        <v>45</v>
      </c>
      <c r="D56">
        <v>37</v>
      </c>
      <c r="E56" s="1">
        <f t="shared" si="0"/>
        <v>0.54878048780487809</v>
      </c>
      <c r="F56" s="2">
        <v>97.7</v>
      </c>
      <c r="G56" s="2">
        <v>94.7</v>
      </c>
      <c r="H56" s="2">
        <f t="shared" si="1"/>
        <v>3</v>
      </c>
      <c r="I56" s="1">
        <f>+(F56^14)/((F56^14+G56^14))</f>
        <v>0.60745473911501191</v>
      </c>
      <c r="J56" s="2">
        <v>107.3</v>
      </c>
      <c r="K56" s="2">
        <v>104.1</v>
      </c>
      <c r="L56" s="2">
        <f t="shared" si="2"/>
        <v>3.2000000000000028</v>
      </c>
      <c r="M56">
        <v>92.6</v>
      </c>
      <c r="N56">
        <v>98.2</v>
      </c>
      <c r="O56">
        <v>0.3</v>
      </c>
    </row>
    <row r="57" spans="1:15">
      <c r="A57" t="s">
        <v>34</v>
      </c>
      <c r="B57" t="s">
        <v>30</v>
      </c>
      <c r="C57">
        <v>42</v>
      </c>
      <c r="D57">
        <v>40</v>
      </c>
      <c r="E57" s="1">
        <f t="shared" si="0"/>
        <v>0.51219512195121952</v>
      </c>
      <c r="F57" s="2">
        <v>91.4</v>
      </c>
      <c r="G57" s="2">
        <v>91.8</v>
      </c>
      <c r="H57" s="2">
        <f t="shared" si="1"/>
        <v>-0.39999999999999147</v>
      </c>
      <c r="I57" s="1">
        <f>+(F57^14)/((F57^14+G57^14))</f>
        <v>0.48472089148498448</v>
      </c>
      <c r="J57" s="2">
        <v>101.1</v>
      </c>
      <c r="K57" s="2">
        <v>101.7</v>
      </c>
      <c r="L57" s="2">
        <f t="shared" si="2"/>
        <v>-0.60000000000000853</v>
      </c>
      <c r="M57">
        <v>93</v>
      </c>
      <c r="N57">
        <v>90.4</v>
      </c>
      <c r="O57">
        <v>-0.8</v>
      </c>
    </row>
    <row r="58" spans="1:15">
      <c r="A58" t="s">
        <v>34</v>
      </c>
      <c r="B58" t="s">
        <v>31</v>
      </c>
      <c r="C58">
        <v>44</v>
      </c>
      <c r="D58">
        <v>38</v>
      </c>
      <c r="E58" s="1">
        <f t="shared" si="0"/>
        <v>0.53658536585365857</v>
      </c>
      <c r="F58" s="2">
        <v>96</v>
      </c>
      <c r="G58" s="2">
        <v>95.1</v>
      </c>
      <c r="H58" s="2">
        <f t="shared" si="1"/>
        <v>0.90000000000000568</v>
      </c>
      <c r="I58" s="1">
        <f>+(F58^14)/((F58^14+G58^14))</f>
        <v>0.53291958603886924</v>
      </c>
      <c r="J58" s="2">
        <v>103.8</v>
      </c>
      <c r="K58" s="2">
        <v>102.9</v>
      </c>
      <c r="L58" s="2">
        <f t="shared" si="2"/>
        <v>0.89999999999999147</v>
      </c>
      <c r="M58">
        <v>102.8</v>
      </c>
      <c r="N58">
        <v>106.5</v>
      </c>
      <c r="O58">
        <v>0.6</v>
      </c>
    </row>
    <row r="59" spans="1:15">
      <c r="A59" t="s">
        <v>34</v>
      </c>
      <c r="B59" t="s">
        <v>33</v>
      </c>
      <c r="C59">
        <v>37</v>
      </c>
      <c r="D59">
        <v>45</v>
      </c>
      <c r="E59" s="1">
        <f t="shared" si="0"/>
        <v>0.45121951219512196</v>
      </c>
      <c r="F59" s="2">
        <v>92.8</v>
      </c>
      <c r="G59" s="2">
        <v>94.2</v>
      </c>
      <c r="H59" s="2">
        <f t="shared" si="1"/>
        <v>-1.4000000000000057</v>
      </c>
      <c r="I59" s="1">
        <f>+(F59^14)/((F59^14+G59^14))</f>
        <v>0.4477836824349537</v>
      </c>
      <c r="J59" s="2">
        <v>102.9</v>
      </c>
      <c r="K59" s="2">
        <v>104.5</v>
      </c>
      <c r="L59" s="2">
        <f t="shared" si="2"/>
        <v>-1.5999999999999943</v>
      </c>
      <c r="M59">
        <v>100.3</v>
      </c>
      <c r="N59">
        <v>101</v>
      </c>
      <c r="O59">
        <v>-0.4</v>
      </c>
    </row>
    <row r="60" spans="1:15">
      <c r="A60" t="s">
        <v>36</v>
      </c>
      <c r="B60" t="s">
        <v>5</v>
      </c>
      <c r="C60">
        <v>35</v>
      </c>
      <c r="D60">
        <v>47</v>
      </c>
      <c r="E60" s="1">
        <f t="shared" si="0"/>
        <v>0.42682926829268292</v>
      </c>
      <c r="F60" s="2">
        <v>94.1</v>
      </c>
      <c r="G60" s="2">
        <v>97.6</v>
      </c>
      <c r="H60" s="2">
        <f t="shared" si="1"/>
        <v>-3.5</v>
      </c>
      <c r="I60" s="1">
        <f>+(F60^14)/((F60^14+G60^14))</f>
        <v>0.37489532651227531</v>
      </c>
      <c r="J60" s="2">
        <v>100.4</v>
      </c>
      <c r="K60" s="2">
        <v>104.2</v>
      </c>
      <c r="L60" s="2">
        <f t="shared" si="2"/>
        <v>-3.7999999999999972</v>
      </c>
      <c r="M60">
        <v>102</v>
      </c>
      <c r="N60">
        <v>97.1</v>
      </c>
      <c r="O60">
        <v>-2</v>
      </c>
    </row>
    <row r="61" spans="1:15">
      <c r="A61" t="s">
        <v>36</v>
      </c>
      <c r="B61" t="s">
        <v>6</v>
      </c>
      <c r="C61">
        <v>44</v>
      </c>
      <c r="D61">
        <v>38</v>
      </c>
      <c r="E61" s="1">
        <f t="shared" si="0"/>
        <v>0.53658536585365857</v>
      </c>
      <c r="F61" s="2">
        <v>92.7</v>
      </c>
      <c r="G61" s="2">
        <v>93.1</v>
      </c>
      <c r="H61" s="2">
        <f t="shared" si="1"/>
        <v>-0.39999999999999147</v>
      </c>
      <c r="I61" s="1">
        <f>+(F61^14)/((F61^14+G61^14))</f>
        <v>0.48493457063949058</v>
      </c>
      <c r="J61" s="2">
        <v>100</v>
      </c>
      <c r="K61" s="2">
        <v>100.5</v>
      </c>
      <c r="L61" s="2">
        <f t="shared" si="2"/>
        <v>-0.5</v>
      </c>
      <c r="M61">
        <v>93.4</v>
      </c>
      <c r="N61">
        <v>90.4</v>
      </c>
      <c r="O61">
        <v>0</v>
      </c>
    </row>
    <row r="62" spans="1:15">
      <c r="A62" t="s">
        <v>36</v>
      </c>
      <c r="B62" t="s">
        <v>8</v>
      </c>
      <c r="C62">
        <v>30</v>
      </c>
      <c r="D62">
        <v>52</v>
      </c>
      <c r="E62" s="1">
        <f t="shared" si="0"/>
        <v>0.36585365853658536</v>
      </c>
      <c r="F62" s="2">
        <v>95</v>
      </c>
      <c r="G62" s="2">
        <v>100.1</v>
      </c>
      <c r="H62" s="2">
        <f t="shared" si="1"/>
        <v>-5.0999999999999943</v>
      </c>
      <c r="I62" s="1">
        <f>+(F62^14)/((F62^14+G62^14))</f>
        <v>0.32473425777947651</v>
      </c>
      <c r="J62" s="2">
        <v>99.1</v>
      </c>
      <c r="K62" s="2">
        <v>104.2</v>
      </c>
      <c r="L62" s="2">
        <f t="shared" si="2"/>
        <v>-5.1000000000000085</v>
      </c>
      <c r="M62">
        <v>100.6</v>
      </c>
      <c r="N62">
        <v>103.8</v>
      </c>
      <c r="O62">
        <v>1.6</v>
      </c>
    </row>
    <row r="63" spans="1:15">
      <c r="A63" t="s">
        <v>36</v>
      </c>
      <c r="B63" t="s">
        <v>9</v>
      </c>
      <c r="C63">
        <v>17</v>
      </c>
      <c r="D63">
        <v>65</v>
      </c>
      <c r="E63" s="1">
        <f t="shared" si="0"/>
        <v>0.2073170731707317</v>
      </c>
      <c r="F63" s="2">
        <v>91.4</v>
      </c>
      <c r="G63" s="2">
        <v>101</v>
      </c>
      <c r="H63" s="2">
        <f t="shared" si="1"/>
        <v>-9.5999999999999943</v>
      </c>
      <c r="I63" s="1">
        <f>+(F63^14)/((F63^14+G63^14))</f>
        <v>0.19809387151453933</v>
      </c>
      <c r="J63" s="2">
        <v>95.2</v>
      </c>
      <c r="K63" s="2">
        <v>105.1</v>
      </c>
      <c r="L63" s="2">
        <f t="shared" si="2"/>
        <v>-9.8999999999999915</v>
      </c>
      <c r="M63">
        <v>86.6</v>
      </c>
      <c r="N63">
        <v>96.1</v>
      </c>
      <c r="O63">
        <v>-0.2</v>
      </c>
    </row>
    <row r="64" spans="1:15">
      <c r="A64" t="s">
        <v>36</v>
      </c>
      <c r="B64" t="s">
        <v>10</v>
      </c>
      <c r="C64">
        <v>60</v>
      </c>
      <c r="D64">
        <v>22</v>
      </c>
      <c r="E64" s="1">
        <f t="shared" si="0"/>
        <v>0.73170731707317072</v>
      </c>
      <c r="F64" s="2">
        <v>103</v>
      </c>
      <c r="G64" s="2">
        <v>95.2</v>
      </c>
      <c r="H64" s="2">
        <f t="shared" si="1"/>
        <v>7.7999999999999972</v>
      </c>
      <c r="I64" s="1">
        <f>+(F64^14)/((F64^14+G64^14))</f>
        <v>0.75072573890804006</v>
      </c>
      <c r="J64" s="2">
        <v>109.3</v>
      </c>
      <c r="K64" s="2">
        <v>101</v>
      </c>
      <c r="L64" s="2">
        <f t="shared" si="2"/>
        <v>8.2999999999999972</v>
      </c>
      <c r="M64">
        <v>112.2</v>
      </c>
      <c r="N64">
        <v>101</v>
      </c>
      <c r="O64">
        <v>0.5</v>
      </c>
    </row>
    <row r="65" spans="1:15">
      <c r="A65" t="s">
        <v>36</v>
      </c>
      <c r="B65" t="s">
        <v>11</v>
      </c>
      <c r="C65">
        <v>17</v>
      </c>
      <c r="D65">
        <v>65</v>
      </c>
      <c r="E65" s="1">
        <f t="shared" si="0"/>
        <v>0.2073170731707317</v>
      </c>
      <c r="F65" s="2">
        <v>84.2</v>
      </c>
      <c r="G65" s="2">
        <v>92.4</v>
      </c>
      <c r="H65" s="2">
        <f t="shared" si="1"/>
        <v>-8.2000000000000028</v>
      </c>
      <c r="I65" s="1">
        <f>+(F65^14)/((F65^14+G65^14))</f>
        <v>0.21398855794642072</v>
      </c>
      <c r="J65" s="2">
        <v>91.2</v>
      </c>
      <c r="K65" s="2">
        <v>100.1</v>
      </c>
      <c r="L65" s="2">
        <f t="shared" si="2"/>
        <v>-8.8999999999999915</v>
      </c>
      <c r="M65">
        <v>89.6</v>
      </c>
      <c r="N65">
        <v>110.9</v>
      </c>
      <c r="O65">
        <v>-0.5</v>
      </c>
    </row>
    <row r="66" spans="1:15">
      <c r="A66" t="s">
        <v>36</v>
      </c>
      <c r="B66" t="s">
        <v>12</v>
      </c>
      <c r="C66">
        <v>50</v>
      </c>
      <c r="D66">
        <v>32</v>
      </c>
      <c r="E66" s="1">
        <f t="shared" si="0"/>
        <v>0.6097560975609756</v>
      </c>
      <c r="F66" s="2">
        <v>91.4</v>
      </c>
      <c r="G66" s="2">
        <v>87.7</v>
      </c>
      <c r="H66" s="2">
        <f t="shared" si="1"/>
        <v>3.7000000000000028</v>
      </c>
      <c r="I66" s="1">
        <f>+(F66^14)/((F66^14+G66^14))</f>
        <v>0.64072911392339904</v>
      </c>
      <c r="J66" s="2">
        <v>102.4</v>
      </c>
      <c r="K66" s="2">
        <v>98.2</v>
      </c>
      <c r="L66" s="2">
        <f t="shared" si="2"/>
        <v>4.2000000000000028</v>
      </c>
      <c r="M66">
        <v>103.1</v>
      </c>
      <c r="N66">
        <v>92</v>
      </c>
      <c r="O66">
        <v>1.6</v>
      </c>
    </row>
    <row r="67" spans="1:15">
      <c r="A67" t="s">
        <v>36</v>
      </c>
      <c r="B67" t="s">
        <v>13</v>
      </c>
      <c r="C67">
        <v>38</v>
      </c>
      <c r="D67">
        <v>44</v>
      </c>
      <c r="E67" s="1">
        <f t="shared" ref="E67:E130" si="3">+C67/(C67+D67)</f>
        <v>0.46341463414634149</v>
      </c>
      <c r="F67" s="2">
        <v>102.4</v>
      </c>
      <c r="G67" s="2">
        <v>103.6</v>
      </c>
      <c r="H67" s="2">
        <f t="shared" ref="H67:H130" si="4">+F67-G67</f>
        <v>-1.1999999999999886</v>
      </c>
      <c r="I67" s="1">
        <f>+(F67^14)/((F67^14+G67^14))</f>
        <v>0.45931300428144822</v>
      </c>
      <c r="J67" s="2">
        <v>106.4</v>
      </c>
      <c r="K67" s="2">
        <v>107.7</v>
      </c>
      <c r="L67" s="2">
        <f t="shared" ref="L67:L130" si="5">+J67-K67</f>
        <v>-1.2999999999999972</v>
      </c>
      <c r="M67">
        <v>100.3</v>
      </c>
      <c r="N67">
        <v>105.2</v>
      </c>
      <c r="O67">
        <v>-0.2</v>
      </c>
    </row>
    <row r="68" spans="1:15">
      <c r="A68" t="s">
        <v>36</v>
      </c>
      <c r="B68" t="s">
        <v>14</v>
      </c>
      <c r="C68">
        <v>43</v>
      </c>
      <c r="D68">
        <v>39</v>
      </c>
      <c r="E68" s="1">
        <f t="shared" si="3"/>
        <v>0.52439024390243905</v>
      </c>
      <c r="F68" s="2">
        <v>93.8</v>
      </c>
      <c r="G68" s="2">
        <v>92.3</v>
      </c>
      <c r="H68" s="2">
        <f t="shared" si="4"/>
        <v>1.5</v>
      </c>
      <c r="I68" s="1">
        <f>+(F68^14)/((F68^14+G68^14))</f>
        <v>0.55618421979332688</v>
      </c>
      <c r="J68" s="2">
        <v>102.4</v>
      </c>
      <c r="K68" s="2">
        <v>100.9</v>
      </c>
      <c r="L68" s="2">
        <f t="shared" si="5"/>
        <v>1.5</v>
      </c>
      <c r="M68">
        <v>114.4</v>
      </c>
      <c r="N68">
        <v>100.9</v>
      </c>
      <c r="O68">
        <v>0.4</v>
      </c>
    </row>
    <row r="69" spans="1:15">
      <c r="A69" t="s">
        <v>36</v>
      </c>
      <c r="B69" t="s">
        <v>15</v>
      </c>
      <c r="C69">
        <v>48</v>
      </c>
      <c r="D69">
        <v>34</v>
      </c>
      <c r="E69" s="1">
        <f t="shared" si="3"/>
        <v>0.58536585365853655</v>
      </c>
      <c r="F69" s="2">
        <v>96.8</v>
      </c>
      <c r="G69" s="2">
        <v>93.3</v>
      </c>
      <c r="H69" s="2">
        <f t="shared" si="4"/>
        <v>3.5</v>
      </c>
      <c r="I69" s="1">
        <f>+(F69^14)/((F69^14+G69^14))</f>
        <v>0.62611280259686619</v>
      </c>
      <c r="J69" s="2">
        <v>103.2</v>
      </c>
      <c r="K69" s="2">
        <v>99.6</v>
      </c>
      <c r="L69" s="2">
        <f t="shared" si="5"/>
        <v>3.6000000000000085</v>
      </c>
      <c r="M69">
        <v>90.7</v>
      </c>
      <c r="N69">
        <v>97.8</v>
      </c>
      <c r="O69">
        <v>-0.6</v>
      </c>
    </row>
    <row r="70" spans="1:15">
      <c r="A70" t="s">
        <v>36</v>
      </c>
      <c r="B70" t="s">
        <v>16</v>
      </c>
      <c r="C70">
        <v>27</v>
      </c>
      <c r="D70">
        <v>55</v>
      </c>
      <c r="E70" s="1">
        <f t="shared" si="3"/>
        <v>0.32926829268292684</v>
      </c>
      <c r="F70" s="2">
        <v>93.8</v>
      </c>
      <c r="G70" s="2">
        <v>97.9</v>
      </c>
      <c r="H70" s="2">
        <f t="shared" si="4"/>
        <v>-4.1000000000000085</v>
      </c>
      <c r="I70" s="1">
        <f>+(F70^14)/((F70^14+G70^14))</f>
        <v>0.3545853935949021</v>
      </c>
      <c r="J70" s="2">
        <v>101.1</v>
      </c>
      <c r="K70" s="2">
        <v>105.1</v>
      </c>
      <c r="L70" s="2">
        <f t="shared" si="5"/>
        <v>-4</v>
      </c>
      <c r="M70">
        <v>94</v>
      </c>
      <c r="N70">
        <v>116.5</v>
      </c>
      <c r="O70">
        <v>-0.5</v>
      </c>
    </row>
    <row r="71" spans="1:15">
      <c r="A71" t="s">
        <v>36</v>
      </c>
      <c r="B71" t="s">
        <v>17</v>
      </c>
      <c r="C71">
        <v>50</v>
      </c>
      <c r="D71">
        <v>32</v>
      </c>
      <c r="E71" s="1">
        <f t="shared" si="3"/>
        <v>0.6097560975609756</v>
      </c>
      <c r="F71" s="2">
        <v>100.4</v>
      </c>
      <c r="G71" s="2">
        <v>98</v>
      </c>
      <c r="H71" s="2">
        <f t="shared" si="4"/>
        <v>2.4000000000000057</v>
      </c>
      <c r="I71" s="1">
        <f>+(F71^14)/((F71^14+G71^14))</f>
        <v>0.58388106859457733</v>
      </c>
      <c r="J71" s="2">
        <v>105.6</v>
      </c>
      <c r="K71" s="2">
        <v>103.4</v>
      </c>
      <c r="L71" s="2">
        <f t="shared" si="5"/>
        <v>2.1999999999999886</v>
      </c>
      <c r="M71">
        <v>111.5</v>
      </c>
      <c r="N71">
        <v>100.9</v>
      </c>
      <c r="O71">
        <v>0.5</v>
      </c>
    </row>
    <row r="72" spans="1:15">
      <c r="A72" t="s">
        <v>36</v>
      </c>
      <c r="B72" t="s">
        <v>35</v>
      </c>
      <c r="C72">
        <v>28</v>
      </c>
      <c r="D72">
        <v>54</v>
      </c>
      <c r="E72" s="1">
        <f t="shared" si="3"/>
        <v>0.34146341463414637</v>
      </c>
      <c r="F72" s="2">
        <v>97.5</v>
      </c>
      <c r="G72" s="2">
        <v>100.7</v>
      </c>
      <c r="H72" s="2">
        <f t="shared" si="4"/>
        <v>-3.2000000000000028</v>
      </c>
      <c r="I72" s="1">
        <f>+(F72^14)/((F72^14+G72^14))</f>
        <v>0.38885971000700537</v>
      </c>
      <c r="J72" s="2">
        <v>102.3</v>
      </c>
      <c r="K72" s="2">
        <v>105.9</v>
      </c>
      <c r="L72" s="2">
        <f t="shared" si="5"/>
        <v>-3.6000000000000085</v>
      </c>
      <c r="M72">
        <v>97.8</v>
      </c>
      <c r="N72">
        <v>104.4</v>
      </c>
      <c r="O72">
        <v>0.2</v>
      </c>
    </row>
    <row r="73" spans="1:15">
      <c r="A73" t="s">
        <v>36</v>
      </c>
      <c r="B73" t="s">
        <v>18</v>
      </c>
      <c r="C73">
        <v>25</v>
      </c>
      <c r="D73">
        <v>57</v>
      </c>
      <c r="E73" s="1">
        <f t="shared" si="3"/>
        <v>0.3048780487804878</v>
      </c>
      <c r="F73" s="2">
        <v>85.6</v>
      </c>
      <c r="G73" s="2">
        <v>90.6</v>
      </c>
      <c r="H73" s="2">
        <f t="shared" si="4"/>
        <v>-5</v>
      </c>
      <c r="I73" s="1">
        <f>+(F73^14)/((F73^14+G73^14))</f>
        <v>0.31114644436616246</v>
      </c>
      <c r="J73" s="2">
        <v>95.4</v>
      </c>
      <c r="K73" s="2">
        <v>101.2</v>
      </c>
      <c r="L73" s="2">
        <f t="shared" si="5"/>
        <v>-5.7999999999999972</v>
      </c>
      <c r="M73">
        <v>85.2</v>
      </c>
      <c r="N73">
        <v>102.5</v>
      </c>
      <c r="O73">
        <v>-0.9</v>
      </c>
    </row>
    <row r="74" spans="1:15">
      <c r="A74" t="s">
        <v>36</v>
      </c>
      <c r="B74" t="s">
        <v>19</v>
      </c>
      <c r="C74">
        <v>42</v>
      </c>
      <c r="D74">
        <v>40</v>
      </c>
      <c r="E74" s="1">
        <f t="shared" si="3"/>
        <v>0.51219512195121952</v>
      </c>
      <c r="F74" s="2">
        <v>99.5</v>
      </c>
      <c r="G74" s="2">
        <v>99.3</v>
      </c>
      <c r="H74" s="2">
        <f t="shared" si="4"/>
        <v>0.20000000000000284</v>
      </c>
      <c r="I74" s="1">
        <f>+(F74^14)/((F74^14+G74^14))</f>
        <v>0.50704179026833252</v>
      </c>
      <c r="J74" s="2">
        <v>107.2</v>
      </c>
      <c r="K74" s="2">
        <v>106.9</v>
      </c>
      <c r="L74" s="2">
        <f t="shared" si="5"/>
        <v>0.29999999999999716</v>
      </c>
      <c r="M74">
        <v>104.2</v>
      </c>
      <c r="N74">
        <v>102</v>
      </c>
      <c r="O74">
        <v>1.8</v>
      </c>
    </row>
    <row r="75" spans="1:15">
      <c r="A75" t="s">
        <v>36</v>
      </c>
      <c r="B75" t="s">
        <v>20</v>
      </c>
      <c r="C75">
        <v>51</v>
      </c>
      <c r="D75">
        <v>31</v>
      </c>
      <c r="E75" s="1">
        <f t="shared" si="3"/>
        <v>0.62195121951219512</v>
      </c>
      <c r="F75" s="2">
        <v>98.1</v>
      </c>
      <c r="G75" s="2">
        <v>96</v>
      </c>
      <c r="H75" s="2">
        <f t="shared" si="4"/>
        <v>2.0999999999999943</v>
      </c>
      <c r="I75" s="1">
        <f>+(F75^14)/((F75^14+G75^14))</f>
        <v>0.57516313158502963</v>
      </c>
      <c r="J75" s="2">
        <v>104.8</v>
      </c>
      <c r="K75" s="2">
        <v>102.5</v>
      </c>
      <c r="L75" s="2">
        <f t="shared" si="5"/>
        <v>2.2999999999999972</v>
      </c>
      <c r="M75">
        <v>107.7</v>
      </c>
      <c r="N75">
        <v>93.4</v>
      </c>
      <c r="O75">
        <v>0.1</v>
      </c>
    </row>
    <row r="76" spans="1:15">
      <c r="A76" t="s">
        <v>36</v>
      </c>
      <c r="B76" t="s">
        <v>21</v>
      </c>
      <c r="C76">
        <v>49</v>
      </c>
      <c r="D76">
        <v>33</v>
      </c>
      <c r="E76" s="1">
        <f t="shared" si="3"/>
        <v>0.59756097560975607</v>
      </c>
      <c r="F76" s="2">
        <v>95.4</v>
      </c>
      <c r="G76" s="2">
        <v>90.1</v>
      </c>
      <c r="H76" s="2">
        <f t="shared" si="4"/>
        <v>5.3000000000000114</v>
      </c>
      <c r="I76" s="1">
        <f>+(F76^14)/((F76^14+G76^14))</f>
        <v>0.69002106739686153</v>
      </c>
      <c r="J76" s="2">
        <v>102.1</v>
      </c>
      <c r="K76" s="2">
        <v>96.6</v>
      </c>
      <c r="L76" s="2">
        <f t="shared" si="5"/>
        <v>5.5</v>
      </c>
      <c r="M76">
        <v>83.1</v>
      </c>
      <c r="N76">
        <v>100</v>
      </c>
      <c r="O76">
        <v>-0.7</v>
      </c>
    </row>
    <row r="77" spans="1:15">
      <c r="A77" t="s">
        <v>36</v>
      </c>
      <c r="B77" t="s">
        <v>37</v>
      </c>
      <c r="C77">
        <v>47</v>
      </c>
      <c r="D77">
        <v>35</v>
      </c>
      <c r="E77" s="1">
        <f t="shared" si="3"/>
        <v>0.57317073170731703</v>
      </c>
      <c r="F77" s="2">
        <v>93.9</v>
      </c>
      <c r="G77" s="2">
        <v>91.8</v>
      </c>
      <c r="H77" s="2">
        <f t="shared" si="4"/>
        <v>2.1000000000000085</v>
      </c>
      <c r="I77" s="1">
        <f>+(F77^14)/((F77^14+G77^14))</f>
        <v>0.57850840531735526</v>
      </c>
      <c r="J77" s="2">
        <v>102.4</v>
      </c>
      <c r="K77" s="2">
        <v>100</v>
      </c>
      <c r="L77" s="2">
        <f t="shared" si="5"/>
        <v>2.4000000000000057</v>
      </c>
      <c r="M77">
        <v>101.5</v>
      </c>
      <c r="N77">
        <v>95.7</v>
      </c>
      <c r="O77">
        <v>0.3</v>
      </c>
    </row>
    <row r="78" spans="1:15">
      <c r="A78" t="s">
        <v>36</v>
      </c>
      <c r="B78" t="s">
        <v>22</v>
      </c>
      <c r="C78">
        <v>37</v>
      </c>
      <c r="D78">
        <v>45</v>
      </c>
      <c r="E78" s="1">
        <f t="shared" si="3"/>
        <v>0.45121951219512196</v>
      </c>
      <c r="F78" s="2">
        <v>95.9</v>
      </c>
      <c r="G78" s="2">
        <v>97.2</v>
      </c>
      <c r="H78" s="2">
        <f t="shared" si="4"/>
        <v>-1.2999999999999972</v>
      </c>
      <c r="I78" s="1">
        <f>+(F78^14)/((F78^14+G78^14))</f>
        <v>0.45301250427242873</v>
      </c>
      <c r="J78" s="2">
        <v>103.3</v>
      </c>
      <c r="K78" s="2">
        <v>104.6</v>
      </c>
      <c r="L78" s="2">
        <f t="shared" si="5"/>
        <v>-1.2999999999999972</v>
      </c>
      <c r="M78">
        <v>100</v>
      </c>
      <c r="N78">
        <v>106.3</v>
      </c>
      <c r="O78">
        <v>-0.3</v>
      </c>
    </row>
    <row r="79" spans="1:15">
      <c r="A79" t="s">
        <v>36</v>
      </c>
      <c r="B79" t="s">
        <v>23</v>
      </c>
      <c r="C79">
        <v>42</v>
      </c>
      <c r="D79">
        <v>40</v>
      </c>
      <c r="E79" s="1">
        <f t="shared" si="3"/>
        <v>0.51219512195121952</v>
      </c>
      <c r="F79" s="2">
        <v>98.5</v>
      </c>
      <c r="G79" s="2">
        <v>98.4</v>
      </c>
      <c r="H79" s="2">
        <f t="shared" si="4"/>
        <v>9.9999999999994316E-2</v>
      </c>
      <c r="I79" s="1">
        <f>+(F79^14)/((F79^14+G79^14))</f>
        <v>0.5035550445111181</v>
      </c>
      <c r="J79" s="2">
        <v>103.7</v>
      </c>
      <c r="K79" s="2">
        <v>103.7</v>
      </c>
      <c r="L79" s="2">
        <f t="shared" si="5"/>
        <v>0</v>
      </c>
      <c r="M79">
        <v>95.9</v>
      </c>
      <c r="N79">
        <v>94.6</v>
      </c>
      <c r="O79">
        <v>-1</v>
      </c>
    </row>
    <row r="80" spans="1:15">
      <c r="A80" t="s">
        <v>36</v>
      </c>
      <c r="B80" t="s">
        <v>24</v>
      </c>
      <c r="C80">
        <v>48</v>
      </c>
      <c r="D80">
        <v>34</v>
      </c>
      <c r="E80" s="1">
        <f t="shared" si="3"/>
        <v>0.58536585365853655</v>
      </c>
      <c r="F80" s="2">
        <v>96.8</v>
      </c>
      <c r="G80" s="2">
        <v>94.5</v>
      </c>
      <c r="H80" s="2">
        <f t="shared" si="4"/>
        <v>2.2999999999999972</v>
      </c>
      <c r="I80" s="1">
        <f>+(F80^14)/((F80^14+G80^14))</f>
        <v>0.58337902714403844</v>
      </c>
      <c r="J80" s="2">
        <v>103.2</v>
      </c>
      <c r="K80" s="2">
        <v>100.6</v>
      </c>
      <c r="L80" s="2">
        <f t="shared" si="5"/>
        <v>2.6000000000000085</v>
      </c>
      <c r="M80">
        <v>102.4</v>
      </c>
      <c r="N80">
        <v>98.5</v>
      </c>
      <c r="O80">
        <v>1.1000000000000001</v>
      </c>
    </row>
    <row r="81" spans="1:15">
      <c r="A81" t="s">
        <v>36</v>
      </c>
      <c r="B81" t="s">
        <v>25</v>
      </c>
      <c r="C81">
        <v>44</v>
      </c>
      <c r="D81">
        <v>38</v>
      </c>
      <c r="E81" s="1">
        <f t="shared" si="3"/>
        <v>0.53658536585365857</v>
      </c>
      <c r="F81" s="2">
        <v>95.5</v>
      </c>
      <c r="G81" s="2">
        <v>94.4</v>
      </c>
      <c r="H81" s="2">
        <f t="shared" si="4"/>
        <v>1.0999999999999943</v>
      </c>
      <c r="I81" s="1">
        <f>+(F81^14)/((F81^14+G81^14))</f>
        <v>0.5404594538627715</v>
      </c>
      <c r="J81" s="2">
        <v>102.6</v>
      </c>
      <c r="K81" s="2">
        <v>101.3</v>
      </c>
      <c r="L81" s="2">
        <f t="shared" si="5"/>
        <v>1.2999999999999972</v>
      </c>
      <c r="M81">
        <v>109</v>
      </c>
      <c r="N81">
        <v>88.1</v>
      </c>
      <c r="O81">
        <v>2.7</v>
      </c>
    </row>
    <row r="82" spans="1:15">
      <c r="A82" t="s">
        <v>36</v>
      </c>
      <c r="B82" t="s">
        <v>26</v>
      </c>
      <c r="C82">
        <v>50</v>
      </c>
      <c r="D82">
        <v>32</v>
      </c>
      <c r="E82" s="1">
        <f t="shared" si="3"/>
        <v>0.6097560975609756</v>
      </c>
      <c r="F82" s="2">
        <v>95.2</v>
      </c>
      <c r="G82" s="2">
        <v>92.5</v>
      </c>
      <c r="H82" s="2">
        <f t="shared" si="4"/>
        <v>2.7000000000000028</v>
      </c>
      <c r="I82" s="1">
        <f>+(F82^14)/((F82^14+G82^14))</f>
        <v>0.59935976254287349</v>
      </c>
      <c r="J82" s="2">
        <v>104.2</v>
      </c>
      <c r="K82" s="2">
        <v>101.5</v>
      </c>
      <c r="L82" s="2">
        <f t="shared" si="5"/>
        <v>2.7000000000000028</v>
      </c>
      <c r="M82">
        <v>97.3</v>
      </c>
      <c r="N82">
        <v>98.3</v>
      </c>
      <c r="O82">
        <v>-1</v>
      </c>
    </row>
    <row r="83" spans="1:15">
      <c r="A83" t="s">
        <v>36</v>
      </c>
      <c r="B83" t="s">
        <v>27</v>
      </c>
      <c r="C83">
        <v>59</v>
      </c>
      <c r="D83">
        <v>23</v>
      </c>
      <c r="E83" s="1">
        <f t="shared" si="3"/>
        <v>0.71951219512195119</v>
      </c>
      <c r="F83" s="2">
        <v>101.7</v>
      </c>
      <c r="G83" s="2">
        <v>95.2</v>
      </c>
      <c r="H83" s="2">
        <f t="shared" si="4"/>
        <v>6.5</v>
      </c>
      <c r="I83" s="1">
        <f>+(F83^14)/((F83^14+G83^14))</f>
        <v>0.71599128231824272</v>
      </c>
      <c r="J83" s="2">
        <v>104.4</v>
      </c>
      <c r="K83" s="2">
        <v>97.8</v>
      </c>
      <c r="L83" s="2">
        <f t="shared" si="5"/>
        <v>6.6000000000000085</v>
      </c>
      <c r="M83">
        <v>104.5</v>
      </c>
      <c r="N83">
        <v>101.8</v>
      </c>
      <c r="O83">
        <v>0.4</v>
      </c>
    </row>
    <row r="84" spans="1:15">
      <c r="A84" t="s">
        <v>36</v>
      </c>
      <c r="B84" t="s">
        <v>28</v>
      </c>
      <c r="C84">
        <v>60</v>
      </c>
      <c r="D84">
        <v>22</v>
      </c>
      <c r="E84" s="1">
        <f t="shared" si="3"/>
        <v>0.73170731707317072</v>
      </c>
      <c r="F84" s="2">
        <v>95.8</v>
      </c>
      <c r="G84" s="2">
        <v>90.4</v>
      </c>
      <c r="H84" s="2">
        <f t="shared" si="4"/>
        <v>5.3999999999999915</v>
      </c>
      <c r="I84" s="1">
        <f>+(F84^14)/((F84^14+G84^14))</f>
        <v>0.6925904288126854</v>
      </c>
      <c r="J84" s="2">
        <v>103.9</v>
      </c>
      <c r="K84" s="2">
        <v>98.1</v>
      </c>
      <c r="L84" s="2">
        <f t="shared" si="5"/>
        <v>5.8000000000000114</v>
      </c>
      <c r="M84">
        <v>102.4</v>
      </c>
      <c r="N84">
        <v>100</v>
      </c>
      <c r="O84">
        <v>-1.9</v>
      </c>
    </row>
    <row r="85" spans="1:15">
      <c r="A85" t="s">
        <v>36</v>
      </c>
      <c r="B85" t="s">
        <v>29</v>
      </c>
      <c r="C85">
        <v>40</v>
      </c>
      <c r="D85">
        <v>42</v>
      </c>
      <c r="E85" s="1">
        <f t="shared" si="3"/>
        <v>0.48780487804878048</v>
      </c>
      <c r="F85" s="2">
        <v>92.1</v>
      </c>
      <c r="G85" s="2">
        <v>92.3</v>
      </c>
      <c r="H85" s="2">
        <f t="shared" si="4"/>
        <v>-0.20000000000000284</v>
      </c>
      <c r="I85" s="1">
        <f>+(F85^14)/((F85^14+G85^14))</f>
        <v>0.49240838957943855</v>
      </c>
      <c r="J85" s="2">
        <v>102.4</v>
      </c>
      <c r="K85" s="2">
        <v>102.6</v>
      </c>
      <c r="L85" s="2">
        <f t="shared" si="5"/>
        <v>-0.19999999999998863</v>
      </c>
      <c r="M85">
        <v>101.6</v>
      </c>
      <c r="N85">
        <v>99.7</v>
      </c>
      <c r="O85">
        <v>-0.5</v>
      </c>
    </row>
    <row r="86" spans="1:15">
      <c r="A86" t="s">
        <v>36</v>
      </c>
      <c r="B86" t="s">
        <v>30</v>
      </c>
      <c r="C86">
        <v>24</v>
      </c>
      <c r="D86">
        <v>58</v>
      </c>
      <c r="E86" s="1">
        <f t="shared" si="3"/>
        <v>0.29268292682926828</v>
      </c>
      <c r="F86" s="2">
        <v>90.9</v>
      </c>
      <c r="G86" s="2">
        <v>96.8</v>
      </c>
      <c r="H86" s="2">
        <f t="shared" si="4"/>
        <v>-5.8999999999999915</v>
      </c>
      <c r="I86" s="1">
        <f>+(F86^14)/((F86^14+G86^14))</f>
        <v>0.29309118654274396</v>
      </c>
      <c r="J86" s="2">
        <v>99.3</v>
      </c>
      <c r="K86" s="2">
        <v>105.6</v>
      </c>
      <c r="L86" s="2">
        <f t="shared" si="5"/>
        <v>-6.2999999999999972</v>
      </c>
      <c r="M86">
        <v>101.2</v>
      </c>
      <c r="N86">
        <v>103.7</v>
      </c>
      <c r="O86">
        <v>-1</v>
      </c>
    </row>
    <row r="87" spans="1:15">
      <c r="A87" t="s">
        <v>36</v>
      </c>
      <c r="B87" t="s">
        <v>31</v>
      </c>
      <c r="C87">
        <v>47</v>
      </c>
      <c r="D87">
        <v>35</v>
      </c>
      <c r="E87" s="1">
        <f t="shared" si="3"/>
        <v>0.57317073170731703</v>
      </c>
      <c r="F87" s="2">
        <v>94.7</v>
      </c>
      <c r="G87" s="2">
        <v>92.3</v>
      </c>
      <c r="H87" s="2">
        <f t="shared" si="4"/>
        <v>2.4000000000000057</v>
      </c>
      <c r="I87" s="1">
        <f>+(F87^14)/((F87^14+G87^14))</f>
        <v>0.58888986228470186</v>
      </c>
      <c r="J87" s="2">
        <v>103.7</v>
      </c>
      <c r="K87" s="2">
        <v>101.1</v>
      </c>
      <c r="L87" s="2">
        <f t="shared" si="5"/>
        <v>2.6000000000000085</v>
      </c>
      <c r="M87">
        <v>102.6</v>
      </c>
      <c r="N87">
        <v>99</v>
      </c>
      <c r="O87">
        <v>0.3</v>
      </c>
    </row>
    <row r="88" spans="1:15">
      <c r="A88" t="s">
        <v>36</v>
      </c>
      <c r="B88" t="s">
        <v>33</v>
      </c>
      <c r="C88">
        <v>37</v>
      </c>
      <c r="D88">
        <v>45</v>
      </c>
      <c r="E88" s="1">
        <f t="shared" si="3"/>
        <v>0.45121951219512196</v>
      </c>
      <c r="F88" s="2">
        <v>91.5</v>
      </c>
      <c r="G88" s="2">
        <v>92.5</v>
      </c>
      <c r="H88" s="2">
        <f t="shared" si="4"/>
        <v>-1</v>
      </c>
      <c r="I88" s="1">
        <f>+(F88^14)/((F88^14+G88^14))</f>
        <v>0.4620293938086929</v>
      </c>
      <c r="J88" s="2">
        <v>101.5</v>
      </c>
      <c r="K88" s="2">
        <v>102.6</v>
      </c>
      <c r="L88" s="2">
        <f t="shared" si="5"/>
        <v>-1.0999999999999943</v>
      </c>
      <c r="M88">
        <v>103.1</v>
      </c>
      <c r="N88">
        <v>104.3</v>
      </c>
      <c r="O88">
        <v>-0.3</v>
      </c>
    </row>
    <row r="89" spans="1:15">
      <c r="A89" t="s">
        <v>38</v>
      </c>
      <c r="B89" t="s">
        <v>5</v>
      </c>
      <c r="C89">
        <v>28</v>
      </c>
      <c r="D89">
        <v>54</v>
      </c>
      <c r="E89" s="1">
        <f t="shared" si="3"/>
        <v>0.34146341463414637</v>
      </c>
      <c r="F89" s="2">
        <v>92.8</v>
      </c>
      <c r="G89" s="2">
        <v>97.5</v>
      </c>
      <c r="H89" s="2">
        <f t="shared" si="4"/>
        <v>-4.7000000000000028</v>
      </c>
      <c r="I89" s="1">
        <f>+(F89^14)/((F89^14+G89^14))</f>
        <v>0.33365937867276591</v>
      </c>
      <c r="J89" s="2">
        <v>99.1</v>
      </c>
      <c r="K89" s="2">
        <v>103.9</v>
      </c>
      <c r="L89" s="2">
        <f t="shared" si="5"/>
        <v>-4.8000000000000114</v>
      </c>
      <c r="M89">
        <v>89.9</v>
      </c>
      <c r="N89">
        <v>106.7</v>
      </c>
      <c r="O89">
        <v>-1.9</v>
      </c>
    </row>
    <row r="90" spans="1:15">
      <c r="A90" t="s">
        <v>38</v>
      </c>
      <c r="B90" t="s">
        <v>6</v>
      </c>
      <c r="C90">
        <v>36</v>
      </c>
      <c r="D90">
        <v>46</v>
      </c>
      <c r="E90" s="1">
        <f t="shared" si="3"/>
        <v>0.43902439024390244</v>
      </c>
      <c r="F90" s="2">
        <v>95.3</v>
      </c>
      <c r="G90" s="2">
        <v>96.7</v>
      </c>
      <c r="H90" s="2">
        <f t="shared" si="4"/>
        <v>-1.4000000000000057</v>
      </c>
      <c r="I90" s="1">
        <f>+(F90^14)/((F90^14+G90^14))</f>
        <v>0.44913400395840042</v>
      </c>
      <c r="J90" s="2">
        <v>100.7</v>
      </c>
      <c r="K90" s="2">
        <v>102.2</v>
      </c>
      <c r="L90" s="2">
        <f t="shared" si="5"/>
        <v>-1.5</v>
      </c>
      <c r="M90">
        <v>100.3</v>
      </c>
      <c r="N90">
        <v>104.3</v>
      </c>
      <c r="O90">
        <v>-0.4</v>
      </c>
    </row>
    <row r="91" spans="1:15">
      <c r="A91" t="s">
        <v>38</v>
      </c>
      <c r="B91" t="s">
        <v>8</v>
      </c>
      <c r="C91">
        <v>23</v>
      </c>
      <c r="D91">
        <v>59</v>
      </c>
      <c r="E91" s="1">
        <f t="shared" si="3"/>
        <v>0.28048780487804881</v>
      </c>
      <c r="F91" s="2">
        <v>89.7</v>
      </c>
      <c r="G91" s="2">
        <v>96</v>
      </c>
      <c r="H91" s="2">
        <f t="shared" si="4"/>
        <v>-6.2999999999999972</v>
      </c>
      <c r="I91" s="1">
        <f>+(F91^14)/((F91^14+G91^14))</f>
        <v>0.27882772823461371</v>
      </c>
      <c r="J91" s="2">
        <v>95.6</v>
      </c>
      <c r="K91" s="2">
        <v>102.1</v>
      </c>
      <c r="L91" s="2">
        <f t="shared" si="5"/>
        <v>-6.5</v>
      </c>
      <c r="M91">
        <v>84</v>
      </c>
      <c r="N91">
        <v>100.8</v>
      </c>
      <c r="O91">
        <v>-2.2000000000000002</v>
      </c>
    </row>
    <row r="92" spans="1:15">
      <c r="A92" t="s">
        <v>38</v>
      </c>
      <c r="B92" t="s">
        <v>9</v>
      </c>
      <c r="C92">
        <v>35</v>
      </c>
      <c r="D92">
        <v>47</v>
      </c>
      <c r="E92" s="1">
        <f t="shared" si="3"/>
        <v>0.42682926829268292</v>
      </c>
      <c r="F92" s="2">
        <v>92.9</v>
      </c>
      <c r="G92" s="2">
        <v>95.5</v>
      </c>
      <c r="H92" s="2">
        <f t="shared" si="4"/>
        <v>-2.5999999999999943</v>
      </c>
      <c r="I92" s="1">
        <f>+(F92^14)/((F92^14+G92^14))</f>
        <v>0.40457545277008533</v>
      </c>
      <c r="J92" s="2">
        <v>100.6</v>
      </c>
      <c r="K92" s="2">
        <v>103.1</v>
      </c>
      <c r="L92" s="2">
        <f t="shared" si="5"/>
        <v>-2.5</v>
      </c>
      <c r="M92">
        <v>93.1</v>
      </c>
      <c r="N92">
        <v>97.1</v>
      </c>
      <c r="O92">
        <v>-0.5</v>
      </c>
    </row>
    <row r="93" spans="1:15">
      <c r="A93" t="s">
        <v>38</v>
      </c>
      <c r="B93" t="s">
        <v>10</v>
      </c>
      <c r="C93">
        <v>52</v>
      </c>
      <c r="D93">
        <v>30</v>
      </c>
      <c r="E93" s="1">
        <f t="shared" si="3"/>
        <v>0.63414634146341464</v>
      </c>
      <c r="F93" s="2">
        <v>105.2</v>
      </c>
      <c r="G93" s="2">
        <v>100.8</v>
      </c>
      <c r="H93" s="2">
        <f t="shared" si="4"/>
        <v>4.4000000000000057</v>
      </c>
      <c r="I93" s="1">
        <f>+(F93^14)/((F93^14+G93^14))</f>
        <v>0.64523276409206387</v>
      </c>
      <c r="J93" s="2">
        <v>110.4</v>
      </c>
      <c r="K93" s="2">
        <v>105.9</v>
      </c>
      <c r="L93" s="2">
        <f t="shared" si="5"/>
        <v>4.5</v>
      </c>
      <c r="M93">
        <v>95.7</v>
      </c>
      <c r="N93">
        <v>110.5</v>
      </c>
      <c r="O93">
        <v>0.4</v>
      </c>
    </row>
    <row r="94" spans="1:15">
      <c r="A94" t="s">
        <v>38</v>
      </c>
      <c r="B94" t="s">
        <v>11</v>
      </c>
      <c r="C94">
        <v>43</v>
      </c>
      <c r="D94">
        <v>39</v>
      </c>
      <c r="E94" s="1">
        <f t="shared" si="3"/>
        <v>0.52439024390243905</v>
      </c>
      <c r="F94" s="2">
        <v>97.2</v>
      </c>
      <c r="G94" s="2">
        <v>96.1</v>
      </c>
      <c r="H94" s="2">
        <f t="shared" si="4"/>
        <v>1.1000000000000085</v>
      </c>
      <c r="I94" s="1">
        <f>+(F94^14)/((F94^14+G94^14))</f>
        <v>0.53975081670039182</v>
      </c>
      <c r="J94" s="2">
        <v>102.4</v>
      </c>
      <c r="K94" s="2">
        <v>101.4</v>
      </c>
      <c r="L94" s="2">
        <f t="shared" si="5"/>
        <v>1</v>
      </c>
      <c r="M94">
        <v>103.3</v>
      </c>
      <c r="N94">
        <v>89.6</v>
      </c>
      <c r="O94">
        <v>0.1</v>
      </c>
    </row>
    <row r="95" spans="1:15">
      <c r="A95" t="s">
        <v>38</v>
      </c>
      <c r="B95" t="s">
        <v>12</v>
      </c>
      <c r="C95">
        <v>54</v>
      </c>
      <c r="D95">
        <v>28</v>
      </c>
      <c r="E95" s="1">
        <f t="shared" si="3"/>
        <v>0.65853658536585369</v>
      </c>
      <c r="F95" s="2">
        <v>90.1</v>
      </c>
      <c r="G95" s="2">
        <v>84.3</v>
      </c>
      <c r="H95" s="2">
        <f t="shared" si="4"/>
        <v>5.7999999999999972</v>
      </c>
      <c r="I95" s="1">
        <f>+(F95^14)/((F95^14+G95^14))</f>
        <v>0.71738684209510184</v>
      </c>
      <c r="J95" s="2">
        <v>100.3</v>
      </c>
      <c r="K95" s="2">
        <v>93.9</v>
      </c>
      <c r="L95" s="2">
        <f t="shared" si="5"/>
        <v>6.3999999999999915</v>
      </c>
      <c r="M95">
        <v>103.8</v>
      </c>
      <c r="N95">
        <v>94.5</v>
      </c>
      <c r="O95">
        <v>1.3</v>
      </c>
    </row>
    <row r="96" spans="1:15">
      <c r="A96" t="s">
        <v>38</v>
      </c>
      <c r="B96" t="s">
        <v>13</v>
      </c>
      <c r="C96">
        <v>37</v>
      </c>
      <c r="D96">
        <v>45</v>
      </c>
      <c r="E96" s="1">
        <f t="shared" si="3"/>
        <v>0.45121951219512196</v>
      </c>
      <c r="F96" s="2">
        <v>93.3</v>
      </c>
      <c r="G96" s="2">
        <v>94</v>
      </c>
      <c r="H96" s="2">
        <f t="shared" si="4"/>
        <v>-0.70000000000000284</v>
      </c>
      <c r="I96" s="1">
        <f>+(F96^14)/((F96^14+G96^14))</f>
        <v>0.47386248712598766</v>
      </c>
      <c r="J96" s="2">
        <v>101.5</v>
      </c>
      <c r="K96" s="2">
        <v>102.6</v>
      </c>
      <c r="L96" s="2">
        <f t="shared" si="5"/>
        <v>-1.0999999999999943</v>
      </c>
      <c r="M96">
        <v>90.8</v>
      </c>
      <c r="N96">
        <v>102.6</v>
      </c>
      <c r="O96">
        <v>-0.3</v>
      </c>
    </row>
    <row r="97" spans="1:15">
      <c r="A97" t="s">
        <v>38</v>
      </c>
      <c r="B97" t="s">
        <v>14</v>
      </c>
      <c r="C97">
        <v>45</v>
      </c>
      <c r="D97">
        <v>37</v>
      </c>
      <c r="E97" s="1">
        <f t="shared" si="3"/>
        <v>0.54878048780487809</v>
      </c>
      <c r="F97" s="2">
        <v>89.8</v>
      </c>
      <c r="G97" s="2">
        <v>88</v>
      </c>
      <c r="H97" s="2">
        <f t="shared" si="4"/>
        <v>1.7999999999999972</v>
      </c>
      <c r="I97" s="1">
        <f>+(F97^14)/((F97^14+G97^14))</f>
        <v>0.5703977764006517</v>
      </c>
      <c r="J97" s="2">
        <v>99.7</v>
      </c>
      <c r="K97" s="2">
        <v>97.8</v>
      </c>
      <c r="L97" s="2">
        <f t="shared" si="5"/>
        <v>1.9000000000000057</v>
      </c>
      <c r="M97">
        <v>105.8</v>
      </c>
      <c r="N97">
        <v>105.7</v>
      </c>
      <c r="O97">
        <v>-0.1</v>
      </c>
    </row>
    <row r="98" spans="1:15">
      <c r="A98" t="s">
        <v>38</v>
      </c>
      <c r="B98" t="s">
        <v>15</v>
      </c>
      <c r="C98">
        <v>61</v>
      </c>
      <c r="D98">
        <v>21</v>
      </c>
      <c r="E98" s="1">
        <f t="shared" si="3"/>
        <v>0.74390243902439024</v>
      </c>
      <c r="F98" s="2">
        <v>91.4</v>
      </c>
      <c r="G98" s="2">
        <v>85.6</v>
      </c>
      <c r="H98" s="2">
        <f t="shared" si="4"/>
        <v>5.8000000000000114</v>
      </c>
      <c r="I98" s="1">
        <f>+(F98^14)/((F98^14+G98^14))</f>
        <v>0.71460234412394263</v>
      </c>
      <c r="J98" s="2">
        <v>102.5</v>
      </c>
      <c r="K98" s="2">
        <v>96.2</v>
      </c>
      <c r="L98" s="2">
        <f t="shared" si="5"/>
        <v>6.2999999999999972</v>
      </c>
      <c r="M98">
        <v>103.6</v>
      </c>
      <c r="N98">
        <v>85</v>
      </c>
      <c r="O98">
        <v>1.5</v>
      </c>
    </row>
    <row r="99" spans="1:15">
      <c r="A99" t="s">
        <v>38</v>
      </c>
      <c r="B99" t="s">
        <v>16</v>
      </c>
      <c r="C99">
        <v>28</v>
      </c>
      <c r="D99">
        <v>54</v>
      </c>
      <c r="E99" s="1">
        <f t="shared" si="3"/>
        <v>0.34146341463414637</v>
      </c>
      <c r="F99" s="2">
        <v>94.8</v>
      </c>
      <c r="G99" s="2">
        <v>99.4</v>
      </c>
      <c r="H99" s="2">
        <f t="shared" si="4"/>
        <v>-4.6000000000000085</v>
      </c>
      <c r="I99" s="1">
        <f>+(F99^14)/((F99^14+G99^14))</f>
        <v>0.33998571838438196</v>
      </c>
      <c r="J99" s="2">
        <v>101.9</v>
      </c>
      <c r="K99" s="2">
        <v>106.6</v>
      </c>
      <c r="L99" s="2">
        <f t="shared" si="5"/>
        <v>-4.6999999999999886</v>
      </c>
      <c r="M99">
        <v>93</v>
      </c>
      <c r="N99">
        <v>105.5</v>
      </c>
      <c r="O99">
        <v>-1.3</v>
      </c>
    </row>
    <row r="100" spans="1:15">
      <c r="A100" t="s">
        <v>38</v>
      </c>
      <c r="B100" t="s">
        <v>17</v>
      </c>
      <c r="C100">
        <v>56</v>
      </c>
      <c r="D100">
        <v>26</v>
      </c>
      <c r="E100" s="1">
        <f t="shared" si="3"/>
        <v>0.68292682926829273</v>
      </c>
      <c r="F100" s="2">
        <v>98.2</v>
      </c>
      <c r="G100" s="2">
        <v>94.3</v>
      </c>
      <c r="H100" s="2">
        <f t="shared" si="4"/>
        <v>3.9000000000000057</v>
      </c>
      <c r="I100" s="1">
        <f>+(F100^14)/((F100^14+G100^14))</f>
        <v>0.63815156005224649</v>
      </c>
      <c r="J100" s="2">
        <v>104.2</v>
      </c>
      <c r="K100" s="2">
        <v>100.1</v>
      </c>
      <c r="L100" s="2">
        <f t="shared" si="5"/>
        <v>4.1000000000000085</v>
      </c>
      <c r="M100">
        <v>102.8</v>
      </c>
      <c r="N100">
        <v>85.1</v>
      </c>
      <c r="O100">
        <v>1.5</v>
      </c>
    </row>
    <row r="101" spans="1:15">
      <c r="A101" t="s">
        <v>38</v>
      </c>
      <c r="B101" t="s">
        <v>35</v>
      </c>
      <c r="C101">
        <v>50</v>
      </c>
      <c r="D101">
        <v>32</v>
      </c>
      <c r="E101" s="1">
        <f t="shared" si="3"/>
        <v>0.6097560975609756</v>
      </c>
      <c r="F101" s="2">
        <v>96.7</v>
      </c>
      <c r="G101" s="2">
        <v>94.3</v>
      </c>
      <c r="H101" s="2">
        <f t="shared" si="4"/>
        <v>2.4000000000000057</v>
      </c>
      <c r="I101" s="1">
        <f>+(F101^14)/((F101^14+G101^14))</f>
        <v>0.58706636453816929</v>
      </c>
      <c r="J101" s="2">
        <v>103.4</v>
      </c>
      <c r="K101" s="2">
        <v>100.8</v>
      </c>
      <c r="L101" s="2">
        <f t="shared" si="5"/>
        <v>2.6000000000000085</v>
      </c>
      <c r="M101">
        <v>105.6</v>
      </c>
      <c r="N101">
        <v>95.5</v>
      </c>
      <c r="O101">
        <v>2</v>
      </c>
    </row>
    <row r="102" spans="1:15">
      <c r="A102" t="s">
        <v>38</v>
      </c>
      <c r="B102" t="s">
        <v>18</v>
      </c>
      <c r="C102">
        <v>42</v>
      </c>
      <c r="D102">
        <v>40</v>
      </c>
      <c r="E102" s="1">
        <f t="shared" si="3"/>
        <v>0.51219512195121952</v>
      </c>
      <c r="F102" s="2">
        <v>90.3</v>
      </c>
      <c r="G102" s="2">
        <v>89.7</v>
      </c>
      <c r="H102" s="2">
        <f t="shared" si="4"/>
        <v>0.59999999999999432</v>
      </c>
      <c r="I102" s="1">
        <f>+(F102^14)/((F102^14+G102^14))</f>
        <v>0.52331649603624697</v>
      </c>
      <c r="J102" s="2">
        <v>100.6</v>
      </c>
      <c r="K102" s="2">
        <v>100.3</v>
      </c>
      <c r="L102" s="2">
        <f t="shared" si="5"/>
        <v>0.29999999999999716</v>
      </c>
      <c r="M102">
        <v>100</v>
      </c>
      <c r="N102">
        <v>89.1</v>
      </c>
      <c r="O102">
        <v>0.5</v>
      </c>
    </row>
    <row r="103" spans="1:15">
      <c r="A103" t="s">
        <v>38</v>
      </c>
      <c r="B103" t="s">
        <v>19</v>
      </c>
      <c r="C103">
        <v>41</v>
      </c>
      <c r="D103">
        <v>41</v>
      </c>
      <c r="E103" s="1">
        <f t="shared" si="3"/>
        <v>0.5</v>
      </c>
      <c r="F103" s="2">
        <v>98</v>
      </c>
      <c r="G103" s="2">
        <v>97</v>
      </c>
      <c r="H103" s="2">
        <f t="shared" si="4"/>
        <v>1</v>
      </c>
      <c r="I103" s="1">
        <f>+(F103^14)/((F103^14+G103^14))</f>
        <v>0.53583619805025806</v>
      </c>
      <c r="J103" s="2">
        <v>104.6</v>
      </c>
      <c r="K103" s="2">
        <v>103.5</v>
      </c>
      <c r="L103" s="2">
        <f t="shared" si="5"/>
        <v>1.0999999999999943</v>
      </c>
      <c r="M103">
        <v>94.3</v>
      </c>
      <c r="N103">
        <v>97.1</v>
      </c>
      <c r="O103">
        <v>0.2</v>
      </c>
    </row>
    <row r="104" spans="1:15">
      <c r="A104" t="s">
        <v>38</v>
      </c>
      <c r="B104" t="s">
        <v>20</v>
      </c>
      <c r="C104">
        <v>58</v>
      </c>
      <c r="D104">
        <v>24</v>
      </c>
      <c r="E104" s="1">
        <f t="shared" si="3"/>
        <v>0.70731707317073167</v>
      </c>
      <c r="F104" s="2">
        <v>94.5</v>
      </c>
      <c r="G104" s="2">
        <v>89.1</v>
      </c>
      <c r="H104" s="2">
        <f t="shared" si="4"/>
        <v>5.4000000000000057</v>
      </c>
      <c r="I104" s="1">
        <f>+(F104^14)/((F104^14+G104^14))</f>
        <v>0.6950353841239254</v>
      </c>
      <c r="J104" s="2">
        <v>104.2</v>
      </c>
      <c r="K104" s="2">
        <v>98.5</v>
      </c>
      <c r="L104" s="2">
        <f t="shared" si="5"/>
        <v>5.7000000000000028</v>
      </c>
      <c r="M104">
        <v>110.4</v>
      </c>
      <c r="N104">
        <v>99.4</v>
      </c>
      <c r="O104">
        <v>1.3</v>
      </c>
    </row>
    <row r="105" spans="1:15">
      <c r="A105" t="s">
        <v>38</v>
      </c>
      <c r="B105" t="s">
        <v>21</v>
      </c>
      <c r="C105">
        <v>47</v>
      </c>
      <c r="D105">
        <v>35</v>
      </c>
      <c r="E105" s="1">
        <f t="shared" si="3"/>
        <v>0.57317073170731703</v>
      </c>
      <c r="F105" s="2">
        <v>90.3</v>
      </c>
      <c r="G105" s="2">
        <v>87.8</v>
      </c>
      <c r="H105" s="2">
        <f t="shared" si="4"/>
        <v>2.5</v>
      </c>
      <c r="I105" s="1">
        <f>+(F105^14)/((F105^14+G105^14))</f>
        <v>0.59701994134505132</v>
      </c>
      <c r="J105" s="2">
        <v>99</v>
      </c>
      <c r="K105" s="2">
        <v>96.4</v>
      </c>
      <c r="L105" s="2">
        <f t="shared" si="5"/>
        <v>2.5999999999999943</v>
      </c>
      <c r="M105">
        <v>96</v>
      </c>
      <c r="N105">
        <v>95.9</v>
      </c>
      <c r="O105">
        <v>0.3</v>
      </c>
    </row>
    <row r="106" spans="1:15">
      <c r="A106" t="s">
        <v>38</v>
      </c>
      <c r="B106" t="s">
        <v>37</v>
      </c>
      <c r="C106">
        <v>41</v>
      </c>
      <c r="D106">
        <v>41</v>
      </c>
      <c r="E106" s="1">
        <f t="shared" si="3"/>
        <v>0.5</v>
      </c>
      <c r="F106" s="2">
        <v>91.8</v>
      </c>
      <c r="G106" s="2">
        <v>91.9</v>
      </c>
      <c r="H106" s="2">
        <f t="shared" si="4"/>
        <v>-0.10000000000000853</v>
      </c>
      <c r="I106" s="1">
        <f>+(F106^14)/((F106^14+G106^14))</f>
        <v>0.49618951269946909</v>
      </c>
      <c r="J106" s="2">
        <v>100.7</v>
      </c>
      <c r="K106" s="2">
        <v>100.6</v>
      </c>
      <c r="L106" s="2">
        <f t="shared" si="5"/>
        <v>0.10000000000000853</v>
      </c>
      <c r="M106">
        <v>94.3</v>
      </c>
      <c r="N106">
        <v>92.4</v>
      </c>
      <c r="O106">
        <v>1.1000000000000001</v>
      </c>
    </row>
    <row r="107" spans="1:15">
      <c r="A107" t="s">
        <v>38</v>
      </c>
      <c r="B107" t="s">
        <v>22</v>
      </c>
      <c r="C107">
        <v>39</v>
      </c>
      <c r="D107">
        <v>43</v>
      </c>
      <c r="E107" s="1">
        <f t="shared" si="3"/>
        <v>0.47560975609756095</v>
      </c>
      <c r="F107" s="2">
        <v>92</v>
      </c>
      <c r="G107" s="2">
        <v>93.5</v>
      </c>
      <c r="H107" s="2">
        <f t="shared" si="4"/>
        <v>-1.5</v>
      </c>
      <c r="I107" s="1">
        <f>+(F107^14)/((F107^14+G107^14))</f>
        <v>0.44363558545762971</v>
      </c>
      <c r="J107" s="2">
        <v>99.7</v>
      </c>
      <c r="K107" s="2">
        <v>101.3</v>
      </c>
      <c r="L107" s="2">
        <f t="shared" si="5"/>
        <v>-1.5999999999999943</v>
      </c>
      <c r="M107">
        <v>103.3</v>
      </c>
      <c r="N107">
        <v>92.4</v>
      </c>
      <c r="O107">
        <v>0.1</v>
      </c>
    </row>
    <row r="108" spans="1:15">
      <c r="A108" t="s">
        <v>38</v>
      </c>
      <c r="B108" t="s">
        <v>23</v>
      </c>
      <c r="C108">
        <v>21</v>
      </c>
      <c r="D108">
        <v>61</v>
      </c>
      <c r="E108" s="1">
        <f t="shared" si="3"/>
        <v>0.25609756097560976</v>
      </c>
      <c r="F108" s="2">
        <v>94</v>
      </c>
      <c r="G108" s="2">
        <v>101.1</v>
      </c>
      <c r="H108" s="2">
        <f t="shared" si="4"/>
        <v>-7.0999999999999943</v>
      </c>
      <c r="I108" s="1">
        <f>+(F108^14)/((F108^14+G108^14))</f>
        <v>0.26514140361954713</v>
      </c>
      <c r="J108" s="2">
        <v>101.4</v>
      </c>
      <c r="K108" s="2">
        <v>108.8</v>
      </c>
      <c r="L108" s="2">
        <f t="shared" si="5"/>
        <v>-7.3999999999999915</v>
      </c>
      <c r="M108">
        <v>97.2</v>
      </c>
      <c r="N108">
        <v>99.4</v>
      </c>
      <c r="O108">
        <v>-2.4</v>
      </c>
    </row>
    <row r="109" spans="1:15">
      <c r="A109" t="s">
        <v>38</v>
      </c>
      <c r="B109" t="s">
        <v>24</v>
      </c>
      <c r="C109">
        <v>33</v>
      </c>
      <c r="D109">
        <v>49</v>
      </c>
      <c r="E109" s="1">
        <f t="shared" si="3"/>
        <v>0.40243902439024393</v>
      </c>
      <c r="F109" s="2">
        <v>88</v>
      </c>
      <c r="G109" s="2">
        <v>90.5</v>
      </c>
      <c r="H109" s="2">
        <f t="shared" si="4"/>
        <v>-2.5</v>
      </c>
      <c r="I109" s="1">
        <f>+(F109^14)/((F109^14+G109^14))</f>
        <v>0.4031920171201035</v>
      </c>
      <c r="J109" s="2">
        <v>97.8</v>
      </c>
      <c r="K109" s="2">
        <v>100.4</v>
      </c>
      <c r="L109" s="2">
        <f t="shared" si="5"/>
        <v>-2.6000000000000085</v>
      </c>
      <c r="M109">
        <v>82.5</v>
      </c>
      <c r="N109">
        <v>90.9</v>
      </c>
      <c r="O109">
        <v>-0.1</v>
      </c>
    </row>
    <row r="110" spans="1:15">
      <c r="A110" t="s">
        <v>38</v>
      </c>
      <c r="B110" t="s">
        <v>25</v>
      </c>
      <c r="C110">
        <v>29</v>
      </c>
      <c r="D110">
        <v>53</v>
      </c>
      <c r="E110" s="1">
        <f t="shared" si="3"/>
        <v>0.35365853658536583</v>
      </c>
      <c r="F110" s="2">
        <v>94.2</v>
      </c>
      <c r="G110" s="2">
        <v>97.9</v>
      </c>
      <c r="H110" s="2">
        <f t="shared" si="4"/>
        <v>-3.7000000000000028</v>
      </c>
      <c r="I110" s="1">
        <f>+(F110^14)/((F110^14+G110^14))</f>
        <v>0.36833434593522879</v>
      </c>
      <c r="J110" s="2">
        <v>100.3</v>
      </c>
      <c r="K110" s="2">
        <v>104.2</v>
      </c>
      <c r="L110" s="2">
        <f t="shared" si="5"/>
        <v>-3.9000000000000057</v>
      </c>
      <c r="M110">
        <v>92.8</v>
      </c>
      <c r="N110">
        <v>106.8</v>
      </c>
      <c r="O110">
        <v>-1.6</v>
      </c>
    </row>
    <row r="111" spans="1:15">
      <c r="A111" t="s">
        <v>38</v>
      </c>
      <c r="B111" t="s">
        <v>26</v>
      </c>
      <c r="C111">
        <v>41</v>
      </c>
      <c r="D111">
        <v>41</v>
      </c>
      <c r="E111" s="1">
        <f t="shared" si="3"/>
        <v>0.5</v>
      </c>
      <c r="F111" s="2">
        <v>90.7</v>
      </c>
      <c r="G111" s="2">
        <v>92</v>
      </c>
      <c r="H111" s="2">
        <f t="shared" si="4"/>
        <v>-1.2999999999999972</v>
      </c>
      <c r="I111" s="1">
        <f>+(F111^14)/((F111^14+G111^14))</f>
        <v>0.45035484545137711</v>
      </c>
      <c r="J111" s="2">
        <v>102.1</v>
      </c>
      <c r="K111" s="2">
        <v>103.5</v>
      </c>
      <c r="L111" s="2">
        <f t="shared" si="5"/>
        <v>-1.4000000000000057</v>
      </c>
      <c r="M111">
        <v>101.4</v>
      </c>
      <c r="N111">
        <v>98.8</v>
      </c>
      <c r="O111">
        <v>-1.1000000000000001</v>
      </c>
    </row>
    <row r="112" spans="1:15">
      <c r="A112" t="s">
        <v>38</v>
      </c>
      <c r="B112" t="s">
        <v>27</v>
      </c>
      <c r="C112">
        <v>55</v>
      </c>
      <c r="D112">
        <v>27</v>
      </c>
      <c r="E112" s="1">
        <f t="shared" si="3"/>
        <v>0.67073170731707321</v>
      </c>
      <c r="F112" s="2">
        <v>102.8</v>
      </c>
      <c r="G112" s="2">
        <v>97.8</v>
      </c>
      <c r="H112" s="2">
        <f t="shared" si="4"/>
        <v>5</v>
      </c>
      <c r="I112" s="1">
        <f>+(F112^14)/((F112^14+G112^14))</f>
        <v>0.66775548198710677</v>
      </c>
      <c r="J112" s="2">
        <v>108.6</v>
      </c>
      <c r="K112" s="2">
        <v>103.2</v>
      </c>
      <c r="L112" s="2">
        <f t="shared" si="5"/>
        <v>5.3999999999999915</v>
      </c>
      <c r="M112">
        <v>105.1</v>
      </c>
      <c r="N112">
        <v>96.7</v>
      </c>
      <c r="O112">
        <v>1.5</v>
      </c>
    </row>
    <row r="113" spans="1:15">
      <c r="A113" t="s">
        <v>38</v>
      </c>
      <c r="B113" t="s">
        <v>28</v>
      </c>
      <c r="C113">
        <v>57</v>
      </c>
      <c r="D113">
        <v>25</v>
      </c>
      <c r="E113" s="1">
        <f t="shared" si="3"/>
        <v>0.69512195121951215</v>
      </c>
      <c r="F113" s="2">
        <v>91.5</v>
      </c>
      <c r="G113" s="2">
        <v>84.3</v>
      </c>
      <c r="H113" s="2">
        <f t="shared" si="4"/>
        <v>7.2000000000000028</v>
      </c>
      <c r="I113" s="1">
        <f>+(F113^14)/((F113^14+G113^14))</f>
        <v>0.75903560483804922</v>
      </c>
      <c r="J113" s="2">
        <v>101</v>
      </c>
      <c r="K113" s="2">
        <v>93.1</v>
      </c>
      <c r="L113" s="2">
        <f t="shared" si="5"/>
        <v>7.9000000000000057</v>
      </c>
      <c r="M113">
        <v>95.1</v>
      </c>
      <c r="N113">
        <v>96.9</v>
      </c>
      <c r="O113">
        <v>0.4</v>
      </c>
    </row>
    <row r="114" spans="1:15">
      <c r="A114" t="s">
        <v>38</v>
      </c>
      <c r="B114" t="s">
        <v>29</v>
      </c>
      <c r="C114">
        <v>37</v>
      </c>
      <c r="D114">
        <v>45</v>
      </c>
      <c r="E114" s="1">
        <f t="shared" si="3"/>
        <v>0.45121951219512196</v>
      </c>
      <c r="F114" s="2">
        <v>97.1</v>
      </c>
      <c r="G114" s="2">
        <v>97.8</v>
      </c>
      <c r="H114" s="2">
        <f t="shared" si="4"/>
        <v>-0.70000000000000284</v>
      </c>
      <c r="I114" s="1">
        <f>+(F114^14)/((F114^14+G114^14))</f>
        <v>0.4748799608375659</v>
      </c>
      <c r="J114" s="2">
        <v>105.6</v>
      </c>
      <c r="K114" s="2">
        <v>106.4</v>
      </c>
      <c r="L114" s="2">
        <f t="shared" si="5"/>
        <v>-0.80000000000001137</v>
      </c>
      <c r="M114">
        <v>111.3</v>
      </c>
      <c r="N114">
        <v>108.4</v>
      </c>
      <c r="O114">
        <v>0.3</v>
      </c>
    </row>
    <row r="115" spans="1:15">
      <c r="A115" t="s">
        <v>38</v>
      </c>
      <c r="B115" t="s">
        <v>30</v>
      </c>
      <c r="C115">
        <v>33</v>
      </c>
      <c r="D115">
        <v>49</v>
      </c>
      <c r="E115" s="1">
        <f t="shared" si="3"/>
        <v>0.40243902439024393</v>
      </c>
      <c r="F115" s="2">
        <v>85.4</v>
      </c>
      <c r="G115" s="2">
        <v>88.5</v>
      </c>
      <c r="H115" s="2">
        <f t="shared" si="4"/>
        <v>-3.0999999999999943</v>
      </c>
      <c r="I115" s="1">
        <f>+(F115^14)/((F115^14+G115^14))</f>
        <v>0.37773096615035939</v>
      </c>
      <c r="J115" s="2">
        <v>95.3</v>
      </c>
      <c r="K115" s="2">
        <v>98.8</v>
      </c>
      <c r="L115" s="2">
        <f t="shared" si="5"/>
        <v>-3.5</v>
      </c>
      <c r="M115">
        <v>92.7</v>
      </c>
      <c r="N115">
        <v>97.2</v>
      </c>
      <c r="O115">
        <v>0.3</v>
      </c>
    </row>
    <row r="116" spans="1:15">
      <c r="A116" t="s">
        <v>38</v>
      </c>
      <c r="B116" t="s">
        <v>31</v>
      </c>
      <c r="C116">
        <v>42</v>
      </c>
      <c r="D116">
        <v>40</v>
      </c>
      <c r="E116" s="1">
        <f t="shared" si="3"/>
        <v>0.51219512195121952</v>
      </c>
      <c r="F116" s="2">
        <v>88.7</v>
      </c>
      <c r="G116" s="2">
        <v>89.9</v>
      </c>
      <c r="H116" s="2">
        <f t="shared" si="4"/>
        <v>-1.2000000000000028</v>
      </c>
      <c r="I116" s="1">
        <f>+(F116^14)/((F116^14+G116^14))</f>
        <v>0.45310505226104381</v>
      </c>
      <c r="J116" s="2">
        <v>100</v>
      </c>
      <c r="K116" s="2">
        <v>101.3</v>
      </c>
      <c r="L116" s="2">
        <f t="shared" si="5"/>
        <v>-1.2999999999999972</v>
      </c>
      <c r="M116">
        <v>108.6</v>
      </c>
      <c r="N116">
        <v>97.3</v>
      </c>
      <c r="O116">
        <v>0.3</v>
      </c>
    </row>
    <row r="117" spans="1:15">
      <c r="A117" t="s">
        <v>38</v>
      </c>
      <c r="B117" t="s">
        <v>33</v>
      </c>
      <c r="C117">
        <v>25</v>
      </c>
      <c r="D117">
        <v>57</v>
      </c>
      <c r="E117" s="1">
        <f t="shared" si="3"/>
        <v>0.3048780487804878</v>
      </c>
      <c r="F117" s="2">
        <v>91.8</v>
      </c>
      <c r="G117" s="2">
        <v>97.4</v>
      </c>
      <c r="H117" s="2">
        <f t="shared" si="4"/>
        <v>-5.6000000000000085</v>
      </c>
      <c r="I117" s="1">
        <f>+(F117^14)/((F117^14+G117^14))</f>
        <v>0.30385766011408771</v>
      </c>
      <c r="J117" s="2">
        <v>97.1</v>
      </c>
      <c r="K117" s="2">
        <v>102.9</v>
      </c>
      <c r="L117" s="2">
        <f t="shared" si="5"/>
        <v>-5.8000000000000114</v>
      </c>
      <c r="M117">
        <v>96.3</v>
      </c>
      <c r="N117">
        <v>108.8</v>
      </c>
      <c r="O117">
        <v>-1.1000000000000001</v>
      </c>
    </row>
    <row r="118" spans="1:15">
      <c r="A118" t="s">
        <v>39</v>
      </c>
      <c r="B118" t="s">
        <v>5</v>
      </c>
      <c r="C118">
        <v>13</v>
      </c>
      <c r="D118">
        <v>69</v>
      </c>
      <c r="E118" s="1">
        <f t="shared" si="3"/>
        <v>0.15853658536585366</v>
      </c>
      <c r="F118" s="2">
        <v>92.7</v>
      </c>
      <c r="G118" s="2">
        <v>102.5</v>
      </c>
      <c r="H118" s="2">
        <f t="shared" si="4"/>
        <v>-9.7999999999999972</v>
      </c>
      <c r="I118" s="1">
        <f>+(F118^14)/((F118^14+G118^14))</f>
        <v>0.19672021863355632</v>
      </c>
      <c r="J118" s="2">
        <v>98.8</v>
      </c>
      <c r="K118" s="2">
        <v>109</v>
      </c>
      <c r="L118" s="2">
        <f t="shared" si="5"/>
        <v>-10.200000000000003</v>
      </c>
      <c r="M118">
        <v>94.5</v>
      </c>
      <c r="N118">
        <v>109.5</v>
      </c>
      <c r="O118">
        <v>-2.4</v>
      </c>
    </row>
    <row r="119" spans="1:15">
      <c r="A119" t="s">
        <v>39</v>
      </c>
      <c r="B119" t="s">
        <v>6</v>
      </c>
      <c r="C119">
        <v>45</v>
      </c>
      <c r="D119">
        <v>37</v>
      </c>
      <c r="E119" s="1">
        <f t="shared" si="3"/>
        <v>0.54878048780487809</v>
      </c>
      <c r="F119" s="2">
        <v>101.3</v>
      </c>
      <c r="G119" s="2">
        <v>100.4</v>
      </c>
      <c r="H119" s="2">
        <f t="shared" si="4"/>
        <v>0.89999999999999147</v>
      </c>
      <c r="I119" s="1">
        <f>+(F119^14)/((F119^14+G119^14))</f>
        <v>0.53119414689005995</v>
      </c>
      <c r="J119" s="2">
        <v>105.9</v>
      </c>
      <c r="K119" s="2">
        <v>105.1</v>
      </c>
      <c r="L119" s="2">
        <f t="shared" si="5"/>
        <v>0.80000000000001137</v>
      </c>
      <c r="M119">
        <v>98.3</v>
      </c>
      <c r="N119">
        <v>94.9</v>
      </c>
      <c r="O119">
        <v>0.2</v>
      </c>
    </row>
    <row r="120" spans="1:15">
      <c r="A120" t="s">
        <v>39</v>
      </c>
      <c r="B120" t="s">
        <v>40</v>
      </c>
      <c r="C120">
        <v>18</v>
      </c>
      <c r="D120">
        <v>64</v>
      </c>
      <c r="E120" s="1">
        <f t="shared" si="3"/>
        <v>0.21951219512195122</v>
      </c>
      <c r="F120" s="2">
        <v>94.3</v>
      </c>
      <c r="G120" s="2">
        <v>100.2</v>
      </c>
      <c r="H120" s="2">
        <f t="shared" si="4"/>
        <v>-5.9000000000000057</v>
      </c>
      <c r="I120" s="1">
        <f>+(F120^14)/((F120^14+G120^14))</f>
        <v>0.29951299978674456</v>
      </c>
      <c r="J120" s="2">
        <v>99.8</v>
      </c>
      <c r="K120" s="2">
        <v>106</v>
      </c>
      <c r="L120" s="2">
        <f t="shared" si="5"/>
        <v>-6.2000000000000028</v>
      </c>
      <c r="M120">
        <v>91.4</v>
      </c>
      <c r="N120">
        <v>107.5</v>
      </c>
      <c r="O120">
        <v>-1.2</v>
      </c>
    </row>
    <row r="121" spans="1:15">
      <c r="A121" t="s">
        <v>39</v>
      </c>
      <c r="B121" t="s">
        <v>8</v>
      </c>
      <c r="C121">
        <v>47</v>
      </c>
      <c r="D121">
        <v>35</v>
      </c>
      <c r="E121" s="1">
        <f t="shared" si="3"/>
        <v>0.57317073170731703</v>
      </c>
      <c r="F121" s="2">
        <v>94.5</v>
      </c>
      <c r="G121" s="2">
        <v>93.4</v>
      </c>
      <c r="H121" s="2">
        <f t="shared" si="4"/>
        <v>1.0999999999999943</v>
      </c>
      <c r="I121" s="1">
        <f>+(F121^14)/((F121^14+G121^14))</f>
        <v>0.54088819998710902</v>
      </c>
      <c r="J121" s="2">
        <v>100.5</v>
      </c>
      <c r="K121" s="2">
        <v>99.1</v>
      </c>
      <c r="L121" s="2">
        <f t="shared" si="5"/>
        <v>1.4000000000000057</v>
      </c>
      <c r="M121">
        <v>96.7</v>
      </c>
      <c r="N121">
        <v>87</v>
      </c>
      <c r="O121">
        <v>0.8</v>
      </c>
    </row>
    <row r="122" spans="1:15">
      <c r="A122" t="s">
        <v>39</v>
      </c>
      <c r="B122" t="s">
        <v>9</v>
      </c>
      <c r="C122">
        <v>42</v>
      </c>
      <c r="D122">
        <v>40</v>
      </c>
      <c r="E122" s="1">
        <f t="shared" si="3"/>
        <v>0.51219512195121952</v>
      </c>
      <c r="F122" s="2">
        <v>96.5</v>
      </c>
      <c r="G122" s="2">
        <v>95.7</v>
      </c>
      <c r="H122" s="2">
        <f t="shared" si="4"/>
        <v>0.79999999999999716</v>
      </c>
      <c r="I122" s="1">
        <f>+(F122^14)/((F122^14+G122^14))</f>
        <v>0.52910354937105664</v>
      </c>
      <c r="J122" s="2">
        <v>105.3</v>
      </c>
      <c r="K122" s="2">
        <v>104.7</v>
      </c>
      <c r="L122" s="2">
        <f t="shared" si="5"/>
        <v>0.59999999999999432</v>
      </c>
      <c r="M122">
        <v>96.7</v>
      </c>
      <c r="N122">
        <v>105.1</v>
      </c>
      <c r="O122">
        <v>0.2</v>
      </c>
    </row>
    <row r="123" spans="1:15">
      <c r="A123" t="s">
        <v>39</v>
      </c>
      <c r="B123" t="s">
        <v>10</v>
      </c>
      <c r="C123">
        <v>58</v>
      </c>
      <c r="D123">
        <v>24</v>
      </c>
      <c r="E123" s="1">
        <f t="shared" si="3"/>
        <v>0.70731707317073167</v>
      </c>
      <c r="F123" s="2">
        <v>102.5</v>
      </c>
      <c r="G123" s="2">
        <v>96.8</v>
      </c>
      <c r="H123" s="2">
        <f t="shared" si="4"/>
        <v>5.7000000000000028</v>
      </c>
      <c r="I123" s="1">
        <f>+(F123^14)/((F123^14+G123^14))</f>
        <v>0.69019289618045576</v>
      </c>
      <c r="J123" s="2">
        <v>108.5</v>
      </c>
      <c r="K123" s="2">
        <v>102.6</v>
      </c>
      <c r="L123" s="2">
        <f t="shared" si="5"/>
        <v>5.9000000000000057</v>
      </c>
      <c r="M123">
        <v>113.3</v>
      </c>
      <c r="N123">
        <v>96.8</v>
      </c>
      <c r="O123">
        <v>0.8</v>
      </c>
    </row>
    <row r="124" spans="1:15">
      <c r="A124" t="s">
        <v>39</v>
      </c>
      <c r="B124" t="s">
        <v>11</v>
      </c>
      <c r="C124">
        <v>49</v>
      </c>
      <c r="D124">
        <v>33</v>
      </c>
      <c r="E124" s="1">
        <f t="shared" si="3"/>
        <v>0.59756097560975607</v>
      </c>
      <c r="F124" s="2">
        <v>99.5</v>
      </c>
      <c r="G124" s="2">
        <v>97.5</v>
      </c>
      <c r="H124" s="2">
        <f t="shared" si="4"/>
        <v>2</v>
      </c>
      <c r="I124" s="1">
        <f>+(F124^14)/((F124^14+G124^14))</f>
        <v>0.57059367194887745</v>
      </c>
      <c r="J124" s="2">
        <v>104.7</v>
      </c>
      <c r="K124" s="2">
        <v>102.6</v>
      </c>
      <c r="L124" s="2">
        <f t="shared" si="5"/>
        <v>2.1000000000000085</v>
      </c>
      <c r="M124">
        <v>107.4</v>
      </c>
      <c r="N124">
        <v>96.7</v>
      </c>
      <c r="O124">
        <v>1.1000000000000001</v>
      </c>
    </row>
    <row r="125" spans="1:15">
      <c r="A125" t="s">
        <v>39</v>
      </c>
      <c r="B125" t="s">
        <v>12</v>
      </c>
      <c r="C125">
        <v>54</v>
      </c>
      <c r="D125">
        <v>28</v>
      </c>
      <c r="E125" s="1">
        <f t="shared" si="3"/>
        <v>0.65853658536585369</v>
      </c>
      <c r="F125" s="2">
        <v>93.3</v>
      </c>
      <c r="G125" s="2">
        <v>89.5</v>
      </c>
      <c r="H125" s="2">
        <f t="shared" si="4"/>
        <v>3.7999999999999972</v>
      </c>
      <c r="I125" s="1">
        <f>+(F125^14)/((F125^14+G125^14))</f>
        <v>0.64155984536555377</v>
      </c>
      <c r="J125" s="2">
        <v>103.9</v>
      </c>
      <c r="K125" s="2">
        <v>99.6</v>
      </c>
      <c r="L125" s="2">
        <f t="shared" si="5"/>
        <v>4.3000000000000114</v>
      </c>
      <c r="M125">
        <v>100</v>
      </c>
      <c r="N125">
        <v>92</v>
      </c>
      <c r="O125">
        <v>0.1</v>
      </c>
    </row>
    <row r="126" spans="1:15">
      <c r="A126" t="s">
        <v>39</v>
      </c>
      <c r="B126" t="s">
        <v>13</v>
      </c>
      <c r="C126">
        <v>34</v>
      </c>
      <c r="D126">
        <v>48</v>
      </c>
      <c r="E126" s="1">
        <f t="shared" si="3"/>
        <v>0.41463414634146339</v>
      </c>
      <c r="F126" s="2">
        <v>98.7</v>
      </c>
      <c r="G126" s="2">
        <v>100.9</v>
      </c>
      <c r="H126" s="2">
        <f t="shared" si="4"/>
        <v>-2.2000000000000028</v>
      </c>
      <c r="I126" s="1">
        <f>+(F126^14)/((F126^14+G126^14))</f>
        <v>0.42344924071660006</v>
      </c>
      <c r="J126" s="2">
        <v>103.4</v>
      </c>
      <c r="K126" s="2">
        <v>105.5</v>
      </c>
      <c r="L126" s="2">
        <f t="shared" si="5"/>
        <v>-2.0999999999999943</v>
      </c>
      <c r="M126">
        <v>99.8</v>
      </c>
      <c r="N126">
        <v>92.9</v>
      </c>
      <c r="O126">
        <v>-0.8</v>
      </c>
    </row>
    <row r="127" spans="1:15">
      <c r="A127" t="s">
        <v>39</v>
      </c>
      <c r="B127" t="s">
        <v>14</v>
      </c>
      <c r="C127">
        <v>51</v>
      </c>
      <c r="D127">
        <v>31</v>
      </c>
      <c r="E127" s="1">
        <f t="shared" si="3"/>
        <v>0.62195121951219512</v>
      </c>
      <c r="F127" s="2">
        <v>95.1</v>
      </c>
      <c r="G127" s="2">
        <v>91</v>
      </c>
      <c r="H127" s="2">
        <f t="shared" si="4"/>
        <v>4.0999999999999943</v>
      </c>
      <c r="I127" s="1">
        <f>+(F127^14)/((F127^14+G127^14))</f>
        <v>0.64952967421468588</v>
      </c>
      <c r="J127" s="2">
        <v>104.4</v>
      </c>
      <c r="K127" s="2">
        <v>100.1</v>
      </c>
      <c r="L127" s="2">
        <f t="shared" si="5"/>
        <v>4.3000000000000114</v>
      </c>
      <c r="M127">
        <v>95.7</v>
      </c>
      <c r="N127">
        <v>104.7</v>
      </c>
      <c r="O127">
        <v>0.4</v>
      </c>
    </row>
    <row r="128" spans="1:15">
      <c r="A128" t="s">
        <v>39</v>
      </c>
      <c r="B128" t="s">
        <v>15</v>
      </c>
      <c r="C128">
        <v>44</v>
      </c>
      <c r="D128">
        <v>38</v>
      </c>
      <c r="E128" s="1">
        <f t="shared" si="3"/>
        <v>0.53658536585365857</v>
      </c>
      <c r="F128" s="2">
        <v>93</v>
      </c>
      <c r="G128" s="2">
        <v>92.2</v>
      </c>
      <c r="H128" s="2">
        <f t="shared" si="4"/>
        <v>0.79999999999999716</v>
      </c>
      <c r="I128" s="1">
        <f>+(F128^14)/((F128^14+G128^14))</f>
        <v>0.53020096014425155</v>
      </c>
      <c r="J128" s="2">
        <v>103.7</v>
      </c>
      <c r="K128" s="2">
        <v>102.7</v>
      </c>
      <c r="L128" s="2">
        <f t="shared" si="5"/>
        <v>1</v>
      </c>
      <c r="M128">
        <v>102.5</v>
      </c>
      <c r="N128">
        <v>93.4</v>
      </c>
      <c r="O128">
        <v>0</v>
      </c>
    </row>
    <row r="129" spans="1:15">
      <c r="A129" t="s">
        <v>39</v>
      </c>
      <c r="B129" t="s">
        <v>16</v>
      </c>
      <c r="C129">
        <v>37</v>
      </c>
      <c r="D129">
        <v>45</v>
      </c>
      <c r="E129" s="1">
        <f t="shared" si="3"/>
        <v>0.45121951219512196</v>
      </c>
      <c r="F129" s="2">
        <v>95.7</v>
      </c>
      <c r="G129" s="2">
        <v>96.5</v>
      </c>
      <c r="H129" s="2">
        <f t="shared" si="4"/>
        <v>-0.79999999999999716</v>
      </c>
      <c r="I129" s="1">
        <f>+(F129^14)/((F129^14+G129^14))</f>
        <v>0.47089645062894331</v>
      </c>
      <c r="J129" s="2">
        <v>103.8</v>
      </c>
      <c r="K129" s="2">
        <v>104.5</v>
      </c>
      <c r="L129" s="2">
        <f t="shared" si="5"/>
        <v>-0.70000000000000284</v>
      </c>
      <c r="M129">
        <v>101.2</v>
      </c>
      <c r="N129">
        <v>106.7</v>
      </c>
      <c r="O129">
        <v>-1.3</v>
      </c>
    </row>
    <row r="130" spans="1:15">
      <c r="A130" t="s">
        <v>39</v>
      </c>
      <c r="B130" t="s">
        <v>17</v>
      </c>
      <c r="C130">
        <v>34</v>
      </c>
      <c r="D130">
        <v>48</v>
      </c>
      <c r="E130" s="1">
        <f t="shared" si="3"/>
        <v>0.41463414634146339</v>
      </c>
      <c r="F130" s="2">
        <v>98.7</v>
      </c>
      <c r="G130" s="2">
        <v>101.7</v>
      </c>
      <c r="H130" s="2">
        <f t="shared" si="4"/>
        <v>-3</v>
      </c>
      <c r="I130" s="1">
        <f>+(F130^14)/((F130^14+G130^14))</f>
        <v>0.39670987603328994</v>
      </c>
      <c r="J130" s="2">
        <v>106.4</v>
      </c>
      <c r="K130" s="2">
        <v>109.6</v>
      </c>
      <c r="L130" s="2">
        <f t="shared" si="5"/>
        <v>-3.1999999999999886</v>
      </c>
      <c r="M130">
        <v>104.3</v>
      </c>
      <c r="N130">
        <v>101.5</v>
      </c>
      <c r="O130">
        <v>0.7</v>
      </c>
    </row>
    <row r="131" spans="1:15">
      <c r="A131" t="s">
        <v>39</v>
      </c>
      <c r="B131" t="s">
        <v>35</v>
      </c>
      <c r="C131">
        <v>45</v>
      </c>
      <c r="D131">
        <v>37</v>
      </c>
      <c r="E131" s="1">
        <f t="shared" ref="E131:E194" si="6">+C131/(C131+D131)</f>
        <v>0.54878048780487809</v>
      </c>
      <c r="F131" s="2">
        <v>93.4</v>
      </c>
      <c r="G131" s="2">
        <v>91.1</v>
      </c>
      <c r="H131" s="2">
        <f t="shared" ref="H131:H194" si="7">+F131-G131</f>
        <v>2.3000000000000114</v>
      </c>
      <c r="I131" s="1">
        <f>+(F131^14)/((F131^14+G131^14))</f>
        <v>0.58639193476175844</v>
      </c>
      <c r="J131" s="2">
        <v>104.2</v>
      </c>
      <c r="K131" s="2">
        <v>101.5</v>
      </c>
      <c r="L131" s="2">
        <f t="shared" ref="L131:L194" si="8">+J131-K131</f>
        <v>2.7000000000000028</v>
      </c>
      <c r="M131">
        <v>103.9</v>
      </c>
      <c r="N131">
        <v>93.3</v>
      </c>
      <c r="O131">
        <v>0</v>
      </c>
    </row>
    <row r="132" spans="1:15">
      <c r="A132" t="s">
        <v>39</v>
      </c>
      <c r="B132" t="s">
        <v>18</v>
      </c>
      <c r="C132">
        <v>59</v>
      </c>
      <c r="D132">
        <v>23</v>
      </c>
      <c r="E132" s="1">
        <f t="shared" si="6"/>
        <v>0.71951219512195119</v>
      </c>
      <c r="F132" s="2">
        <v>101.5</v>
      </c>
      <c r="G132" s="2">
        <v>95</v>
      </c>
      <c r="H132" s="2">
        <f t="shared" si="7"/>
        <v>6.5</v>
      </c>
      <c r="I132" s="1">
        <f>+(F132^14)/((F132^14+G132^14))</f>
        <v>0.71637416016050837</v>
      </c>
      <c r="J132" s="2">
        <v>108.9</v>
      </c>
      <c r="K132" s="2">
        <v>102.2</v>
      </c>
      <c r="L132" s="2">
        <f t="shared" si="8"/>
        <v>6.7000000000000028</v>
      </c>
      <c r="M132">
        <v>108.8</v>
      </c>
      <c r="N132">
        <v>97.7</v>
      </c>
      <c r="O132">
        <v>2.4</v>
      </c>
    </row>
    <row r="133" spans="1:15">
      <c r="A133" t="s">
        <v>39</v>
      </c>
      <c r="B133" t="s">
        <v>19</v>
      </c>
      <c r="C133">
        <v>30</v>
      </c>
      <c r="D133">
        <v>52</v>
      </c>
      <c r="E133" s="1">
        <f t="shared" si="6"/>
        <v>0.36585365853658536</v>
      </c>
      <c r="F133" s="2">
        <v>97.2</v>
      </c>
      <c r="G133" s="2">
        <v>100.2</v>
      </c>
      <c r="H133" s="2">
        <f t="shared" si="7"/>
        <v>-3</v>
      </c>
      <c r="I133" s="1">
        <f>+(F133^14)/((F133^14+G133^14))</f>
        <v>0.3951859407291477</v>
      </c>
      <c r="J133" s="2">
        <v>105.1</v>
      </c>
      <c r="K133" s="2">
        <v>108.1</v>
      </c>
      <c r="L133" s="2">
        <f t="shared" si="8"/>
        <v>-3</v>
      </c>
      <c r="M133">
        <v>105.2</v>
      </c>
      <c r="N133">
        <v>108.2</v>
      </c>
      <c r="O133">
        <v>-1.3</v>
      </c>
    </row>
    <row r="134" spans="1:15">
      <c r="A134" t="s">
        <v>39</v>
      </c>
      <c r="B134" t="s">
        <v>20</v>
      </c>
      <c r="C134">
        <v>44</v>
      </c>
      <c r="D134">
        <v>38</v>
      </c>
      <c r="E134" s="1">
        <f t="shared" si="6"/>
        <v>0.53658536585365857</v>
      </c>
      <c r="F134" s="2">
        <v>96.8</v>
      </c>
      <c r="G134" s="2">
        <v>95.3</v>
      </c>
      <c r="H134" s="2">
        <f t="shared" si="7"/>
        <v>1.5</v>
      </c>
      <c r="I134" s="1">
        <f>+(F134^14)/((F134^14+G134^14))</f>
        <v>0.55444343215777947</v>
      </c>
      <c r="J134" s="2">
        <v>106.6</v>
      </c>
      <c r="K134" s="2">
        <v>105</v>
      </c>
      <c r="L134" s="2">
        <f t="shared" si="8"/>
        <v>1.5999999999999943</v>
      </c>
      <c r="M134">
        <v>111.9</v>
      </c>
      <c r="N134">
        <v>99.7</v>
      </c>
      <c r="O134">
        <v>0.5</v>
      </c>
    </row>
    <row r="135" spans="1:15">
      <c r="A135" t="s">
        <v>39</v>
      </c>
      <c r="B135" t="s">
        <v>21</v>
      </c>
      <c r="C135">
        <v>42</v>
      </c>
      <c r="D135">
        <v>40</v>
      </c>
      <c r="E135" s="1">
        <f t="shared" si="6"/>
        <v>0.51219512195121952</v>
      </c>
      <c r="F135" s="2">
        <v>91.4</v>
      </c>
      <c r="G135" s="2">
        <v>92.9</v>
      </c>
      <c r="H135" s="2">
        <f t="shared" si="7"/>
        <v>-1.5</v>
      </c>
      <c r="I135" s="1">
        <f>+(F135^14)/((F135^14+G135^14))</f>
        <v>0.44327172117741881</v>
      </c>
      <c r="J135" s="2">
        <v>99.9</v>
      </c>
      <c r="K135" s="2">
        <v>101.6</v>
      </c>
      <c r="L135" s="2">
        <f t="shared" si="8"/>
        <v>-1.6999999999999886</v>
      </c>
      <c r="M135">
        <v>100</v>
      </c>
      <c r="N135">
        <v>95.9</v>
      </c>
      <c r="O135">
        <v>-2.2000000000000002</v>
      </c>
    </row>
    <row r="136" spans="1:15">
      <c r="A136" t="s">
        <v>39</v>
      </c>
      <c r="B136" t="s">
        <v>37</v>
      </c>
      <c r="C136">
        <v>18</v>
      </c>
      <c r="D136">
        <v>64</v>
      </c>
      <c r="E136" s="1">
        <f t="shared" si="6"/>
        <v>0.21951219512195122</v>
      </c>
      <c r="F136" s="2">
        <v>88.4</v>
      </c>
      <c r="G136" s="2">
        <v>95.5</v>
      </c>
      <c r="H136" s="2">
        <f t="shared" si="7"/>
        <v>-7.0999999999999943</v>
      </c>
      <c r="I136" s="1">
        <f>+(F136^14)/((F136^14+G136^14))</f>
        <v>0.25321093551837054</v>
      </c>
      <c r="J136" s="2">
        <v>98.2</v>
      </c>
      <c r="K136" s="2">
        <v>105.9</v>
      </c>
      <c r="L136" s="2">
        <f t="shared" si="8"/>
        <v>-7.7000000000000028</v>
      </c>
      <c r="M136">
        <v>88</v>
      </c>
      <c r="N136">
        <v>107.5</v>
      </c>
      <c r="O136">
        <v>-0.1</v>
      </c>
    </row>
    <row r="137" spans="1:15">
      <c r="A137" t="s">
        <v>39</v>
      </c>
      <c r="B137" t="s">
        <v>22</v>
      </c>
      <c r="C137">
        <v>33</v>
      </c>
      <c r="D137">
        <v>49</v>
      </c>
      <c r="E137" s="1">
        <f t="shared" si="6"/>
        <v>0.40243902439024393</v>
      </c>
      <c r="F137" s="2">
        <v>97.3</v>
      </c>
      <c r="G137" s="2">
        <v>99.7</v>
      </c>
      <c r="H137" s="2">
        <f t="shared" si="7"/>
        <v>-2.4000000000000057</v>
      </c>
      <c r="I137" s="1">
        <f>+(F137^14)/((F137^14+G137^14))</f>
        <v>0.4155341313693024</v>
      </c>
      <c r="J137" s="2">
        <v>104.5</v>
      </c>
      <c r="K137" s="2">
        <v>107.2</v>
      </c>
      <c r="L137" s="2">
        <f t="shared" si="8"/>
        <v>-2.7000000000000028</v>
      </c>
      <c r="M137">
        <v>96.2</v>
      </c>
      <c r="N137">
        <v>111.3</v>
      </c>
      <c r="O137">
        <v>-0.8</v>
      </c>
    </row>
    <row r="138" spans="1:15">
      <c r="A138" t="s">
        <v>39</v>
      </c>
      <c r="B138" t="s">
        <v>23</v>
      </c>
      <c r="C138">
        <v>36</v>
      </c>
      <c r="D138">
        <v>46</v>
      </c>
      <c r="E138" s="1">
        <f t="shared" si="6"/>
        <v>0.43902439024390244</v>
      </c>
      <c r="F138" s="2">
        <v>99.5</v>
      </c>
      <c r="G138" s="2">
        <v>101.8</v>
      </c>
      <c r="H138" s="2">
        <f t="shared" si="7"/>
        <v>-2.2999999999999972</v>
      </c>
      <c r="I138" s="1">
        <f>+(F138^14)/((F138^14+G138^14))</f>
        <v>0.42069172557292256</v>
      </c>
      <c r="J138" s="2">
        <v>103.4</v>
      </c>
      <c r="K138" s="2">
        <v>105.7</v>
      </c>
      <c r="L138" s="2">
        <f t="shared" si="8"/>
        <v>-2.2999999999999972</v>
      </c>
      <c r="M138">
        <v>97.2</v>
      </c>
      <c r="N138">
        <v>106.7</v>
      </c>
      <c r="O138">
        <v>-0.4</v>
      </c>
    </row>
    <row r="139" spans="1:15">
      <c r="A139" t="s">
        <v>39</v>
      </c>
      <c r="B139" t="s">
        <v>24</v>
      </c>
      <c r="C139">
        <v>43</v>
      </c>
      <c r="D139">
        <v>39</v>
      </c>
      <c r="E139" s="1">
        <f t="shared" si="6"/>
        <v>0.52439024390243905</v>
      </c>
      <c r="F139" s="2">
        <v>99.1</v>
      </c>
      <c r="G139" s="2">
        <v>99.9</v>
      </c>
      <c r="H139" s="2">
        <f t="shared" si="7"/>
        <v>-0.80000000000001137</v>
      </c>
      <c r="I139" s="1">
        <f>+(F139^14)/((F139^14+G139^14))</f>
        <v>0.47188882056574427</v>
      </c>
      <c r="J139" s="2">
        <v>101.8</v>
      </c>
      <c r="K139" s="2">
        <v>102.5</v>
      </c>
      <c r="L139" s="2">
        <f t="shared" si="8"/>
        <v>-0.70000000000000284</v>
      </c>
      <c r="M139">
        <v>95.8</v>
      </c>
      <c r="N139">
        <v>94.9</v>
      </c>
      <c r="O139">
        <v>-0.7</v>
      </c>
    </row>
    <row r="140" spans="1:15">
      <c r="A140" t="s">
        <v>39</v>
      </c>
      <c r="B140" t="s">
        <v>25</v>
      </c>
      <c r="C140">
        <v>62</v>
      </c>
      <c r="D140">
        <v>20</v>
      </c>
      <c r="E140" s="1">
        <f t="shared" si="6"/>
        <v>0.75609756097560976</v>
      </c>
      <c r="F140" s="2">
        <v>110.4</v>
      </c>
      <c r="G140" s="2">
        <v>103.3</v>
      </c>
      <c r="H140" s="2">
        <f t="shared" si="7"/>
        <v>7.1000000000000085</v>
      </c>
      <c r="I140" s="1">
        <f>+(F140^14)/((F140^14+G140^14))</f>
        <v>0.71720077079913214</v>
      </c>
      <c r="J140" s="2">
        <v>112.7</v>
      </c>
      <c r="K140" s="2">
        <v>105.7</v>
      </c>
      <c r="L140" s="2">
        <f t="shared" si="8"/>
        <v>7</v>
      </c>
      <c r="M140">
        <v>111.8</v>
      </c>
      <c r="N140">
        <v>98.9</v>
      </c>
      <c r="O140">
        <v>0.3</v>
      </c>
    </row>
    <row r="141" spans="1:15">
      <c r="A141" t="s">
        <v>39</v>
      </c>
      <c r="B141" t="s">
        <v>26</v>
      </c>
      <c r="C141">
        <v>27</v>
      </c>
      <c r="D141">
        <v>55</v>
      </c>
      <c r="E141" s="1">
        <f t="shared" si="6"/>
        <v>0.32926829268292684</v>
      </c>
      <c r="F141" s="2">
        <v>92.9</v>
      </c>
      <c r="G141" s="2">
        <v>96.9</v>
      </c>
      <c r="H141" s="2">
        <f t="shared" si="7"/>
        <v>-4</v>
      </c>
      <c r="I141" s="1">
        <f>+(F141^14)/((F141^14+G141^14))</f>
        <v>0.35659304496257005</v>
      </c>
      <c r="J141" s="2">
        <v>101.9</v>
      </c>
      <c r="K141" s="2">
        <v>106.1</v>
      </c>
      <c r="L141" s="2">
        <f t="shared" si="8"/>
        <v>-4.1999999999999886</v>
      </c>
      <c r="M141">
        <v>93.4</v>
      </c>
      <c r="N141">
        <v>107.3</v>
      </c>
      <c r="O141">
        <v>-0.3</v>
      </c>
    </row>
    <row r="142" spans="1:15">
      <c r="A142" t="s">
        <v>39</v>
      </c>
      <c r="B142" t="s">
        <v>27</v>
      </c>
      <c r="C142">
        <v>50</v>
      </c>
      <c r="D142">
        <v>32</v>
      </c>
      <c r="E142" s="1">
        <f t="shared" si="6"/>
        <v>0.6097560975609756</v>
      </c>
      <c r="F142" s="2">
        <v>103.7</v>
      </c>
      <c r="G142" s="2">
        <v>101.6</v>
      </c>
      <c r="H142" s="2">
        <f t="shared" si="7"/>
        <v>2.1000000000000085</v>
      </c>
      <c r="I142" s="1">
        <f>+(F142^14)/((F142^14+G142^14))</f>
        <v>0.57111949434189069</v>
      </c>
      <c r="J142" s="2">
        <v>108.8</v>
      </c>
      <c r="K142" s="2">
        <v>106.5</v>
      </c>
      <c r="L142" s="2">
        <f t="shared" si="8"/>
        <v>2.2999999999999972</v>
      </c>
      <c r="M142">
        <v>105.2</v>
      </c>
      <c r="N142">
        <v>104.8</v>
      </c>
      <c r="O142">
        <v>0</v>
      </c>
    </row>
    <row r="143" spans="1:15">
      <c r="A143" t="s">
        <v>39</v>
      </c>
      <c r="B143" t="s">
        <v>28</v>
      </c>
      <c r="C143">
        <v>59</v>
      </c>
      <c r="D143">
        <v>23</v>
      </c>
      <c r="E143" s="1">
        <f t="shared" si="6"/>
        <v>0.71951219512195119</v>
      </c>
      <c r="F143" s="2">
        <v>96.2</v>
      </c>
      <c r="G143" s="2">
        <v>88.4</v>
      </c>
      <c r="H143" s="2">
        <f t="shared" si="7"/>
        <v>7.7999999999999972</v>
      </c>
      <c r="I143" s="1">
        <f>+(F143^14)/((F143^14+G143^14))</f>
        <v>0.76563098176040723</v>
      </c>
      <c r="J143" s="2">
        <v>106.1</v>
      </c>
      <c r="K143" s="2">
        <v>97.8</v>
      </c>
      <c r="L143" s="2">
        <f t="shared" si="8"/>
        <v>8.2999999999999972</v>
      </c>
      <c r="M143">
        <v>109.4</v>
      </c>
      <c r="N143">
        <v>110.8</v>
      </c>
      <c r="O143">
        <v>1.7</v>
      </c>
    </row>
    <row r="144" spans="1:15">
      <c r="A144" t="s">
        <v>39</v>
      </c>
      <c r="B144" t="s">
        <v>29</v>
      </c>
      <c r="C144">
        <v>52</v>
      </c>
      <c r="D144">
        <v>30</v>
      </c>
      <c r="E144" s="1">
        <f t="shared" si="6"/>
        <v>0.63414634146341464</v>
      </c>
      <c r="F144" s="2">
        <v>98.9</v>
      </c>
      <c r="G144" s="2">
        <v>96.6</v>
      </c>
      <c r="H144" s="2">
        <f t="shared" si="7"/>
        <v>2.3000000000000114</v>
      </c>
      <c r="I144" s="1">
        <f>+(F144^14)/((F144^14+G144^14))</f>
        <v>0.58161994176434872</v>
      </c>
      <c r="J144" s="2">
        <v>110.3</v>
      </c>
      <c r="K144" s="2">
        <v>108</v>
      </c>
      <c r="L144" s="2">
        <f t="shared" si="8"/>
        <v>2.2999999999999972</v>
      </c>
      <c r="M144">
        <v>119.7</v>
      </c>
      <c r="N144">
        <v>105.3</v>
      </c>
      <c r="O144">
        <v>1.5</v>
      </c>
    </row>
    <row r="145" spans="1:15">
      <c r="A145" t="s">
        <v>39</v>
      </c>
      <c r="B145" t="s">
        <v>30</v>
      </c>
      <c r="C145">
        <v>33</v>
      </c>
      <c r="D145">
        <v>49</v>
      </c>
      <c r="E145" s="1">
        <f t="shared" si="6"/>
        <v>0.40243902439024393</v>
      </c>
      <c r="F145" s="2">
        <v>99.7</v>
      </c>
      <c r="G145" s="2">
        <v>101.4</v>
      </c>
      <c r="H145" s="2">
        <f t="shared" si="7"/>
        <v>-1.7000000000000028</v>
      </c>
      <c r="I145" s="1">
        <f>+(F145^14)/((F145^14+G145^14))</f>
        <v>0.44109880691820486</v>
      </c>
      <c r="J145" s="2">
        <v>105.4</v>
      </c>
      <c r="K145" s="2">
        <v>107.2</v>
      </c>
      <c r="L145" s="2">
        <f t="shared" si="8"/>
        <v>-1.7999999999999972</v>
      </c>
      <c r="M145">
        <v>110.7</v>
      </c>
      <c r="N145">
        <v>104.6</v>
      </c>
      <c r="O145">
        <v>2</v>
      </c>
    </row>
    <row r="146" spans="1:15">
      <c r="A146" t="s">
        <v>39</v>
      </c>
      <c r="B146" t="s">
        <v>31</v>
      </c>
      <c r="C146">
        <v>26</v>
      </c>
      <c r="D146">
        <v>56</v>
      </c>
      <c r="E146" s="1">
        <f t="shared" si="6"/>
        <v>0.31707317073170732</v>
      </c>
      <c r="F146" s="2">
        <v>93</v>
      </c>
      <c r="G146" s="2">
        <v>97.3</v>
      </c>
      <c r="H146" s="2">
        <f t="shared" si="7"/>
        <v>-4.2999999999999972</v>
      </c>
      <c r="I146" s="1">
        <f>+(F146^14)/((F146^14+G146^14))</f>
        <v>0.34687751612401035</v>
      </c>
      <c r="J146" s="2">
        <v>102.9</v>
      </c>
      <c r="K146" s="2">
        <v>107.3</v>
      </c>
      <c r="L146" s="2">
        <f t="shared" si="8"/>
        <v>-4.3999999999999915</v>
      </c>
      <c r="M146">
        <v>98.8</v>
      </c>
      <c r="N146">
        <v>109.9</v>
      </c>
      <c r="O146">
        <v>-1.2</v>
      </c>
    </row>
    <row r="147" spans="1:15">
      <c r="A147" t="s">
        <v>39</v>
      </c>
      <c r="B147" t="s">
        <v>33</v>
      </c>
      <c r="C147">
        <v>45</v>
      </c>
      <c r="D147">
        <v>37</v>
      </c>
      <c r="E147" s="1">
        <f t="shared" si="6"/>
        <v>0.54878048780487809</v>
      </c>
      <c r="F147" s="2">
        <v>100.5</v>
      </c>
      <c r="G147" s="2">
        <v>100.8</v>
      </c>
      <c r="H147" s="2">
        <f t="shared" si="7"/>
        <v>-0.29999999999999716</v>
      </c>
      <c r="I147" s="1">
        <f>+(F147^14)/((F147^14+G147^14))</f>
        <v>0.48956931504516038</v>
      </c>
      <c r="J147" s="2">
        <v>105.4</v>
      </c>
      <c r="K147" s="2">
        <v>105.9</v>
      </c>
      <c r="L147" s="2">
        <f t="shared" si="8"/>
        <v>-0.5</v>
      </c>
      <c r="M147">
        <v>109.6</v>
      </c>
      <c r="N147">
        <v>109.9</v>
      </c>
      <c r="O147">
        <v>-0.3</v>
      </c>
    </row>
    <row r="148" spans="1:15">
      <c r="A148" t="s">
        <v>41</v>
      </c>
      <c r="B148" t="s">
        <v>5</v>
      </c>
      <c r="C148">
        <v>26</v>
      </c>
      <c r="D148">
        <v>56</v>
      </c>
      <c r="E148" s="1">
        <f t="shared" si="6"/>
        <v>0.31707317073170732</v>
      </c>
      <c r="F148" s="2">
        <v>97.2</v>
      </c>
      <c r="G148" s="2">
        <v>102</v>
      </c>
      <c r="H148" s="2">
        <f t="shared" si="7"/>
        <v>-4.7999999999999972</v>
      </c>
      <c r="I148" s="1">
        <f>+(F148^14)/((F148^14+G148^14))</f>
        <v>0.33741629653405997</v>
      </c>
      <c r="J148" s="2">
        <v>104.8</v>
      </c>
      <c r="K148" s="2">
        <v>110.1</v>
      </c>
      <c r="L148" s="2">
        <f t="shared" si="8"/>
        <v>-5.2999999999999972</v>
      </c>
      <c r="M148">
        <v>96</v>
      </c>
      <c r="N148">
        <v>107.4</v>
      </c>
      <c r="O148">
        <v>-0.4</v>
      </c>
    </row>
    <row r="149" spans="1:15">
      <c r="A149" t="s">
        <v>41</v>
      </c>
      <c r="B149" t="s">
        <v>6</v>
      </c>
      <c r="C149">
        <v>33</v>
      </c>
      <c r="D149">
        <v>49</v>
      </c>
      <c r="E149" s="1">
        <f t="shared" si="6"/>
        <v>0.40243902439024393</v>
      </c>
      <c r="F149" s="2">
        <v>98</v>
      </c>
      <c r="G149" s="2">
        <v>99.5</v>
      </c>
      <c r="H149" s="2">
        <f t="shared" si="7"/>
        <v>-1.5</v>
      </c>
      <c r="I149" s="1">
        <f>+(F149^14)/((F149^14+G149^14))</f>
        <v>0.44703388765865459</v>
      </c>
      <c r="J149" s="2">
        <v>104</v>
      </c>
      <c r="K149" s="2">
        <v>105.6</v>
      </c>
      <c r="L149" s="2">
        <f t="shared" si="8"/>
        <v>-1.5999999999999943</v>
      </c>
      <c r="M149">
        <v>94.7</v>
      </c>
      <c r="N149">
        <v>102.2</v>
      </c>
      <c r="O149">
        <v>-0.6</v>
      </c>
    </row>
    <row r="150" spans="1:15">
      <c r="A150" t="s">
        <v>41</v>
      </c>
      <c r="B150" t="s">
        <v>40</v>
      </c>
      <c r="C150">
        <v>26</v>
      </c>
      <c r="D150">
        <v>56</v>
      </c>
      <c r="E150" s="1">
        <f t="shared" si="6"/>
        <v>0.31707317073170732</v>
      </c>
      <c r="F150" s="2">
        <v>96.9</v>
      </c>
      <c r="G150" s="2">
        <v>100.9</v>
      </c>
      <c r="H150" s="2">
        <f t="shared" si="7"/>
        <v>-4</v>
      </c>
      <c r="I150" s="1">
        <f>+(F150^14)/((F150^14+G150^14))</f>
        <v>0.36208969727051943</v>
      </c>
      <c r="J150" s="2">
        <v>101.2</v>
      </c>
      <c r="K150" s="2">
        <v>105.6</v>
      </c>
      <c r="L150" s="2">
        <f t="shared" si="8"/>
        <v>-4.3999999999999915</v>
      </c>
      <c r="M150">
        <v>101.7</v>
      </c>
      <c r="N150">
        <v>100.9</v>
      </c>
      <c r="O150">
        <v>0.4</v>
      </c>
    </row>
    <row r="151" spans="1:15">
      <c r="A151" t="s">
        <v>41</v>
      </c>
      <c r="B151" t="s">
        <v>8</v>
      </c>
      <c r="C151">
        <v>41</v>
      </c>
      <c r="D151">
        <v>41</v>
      </c>
      <c r="E151" s="1">
        <f t="shared" si="6"/>
        <v>0.5</v>
      </c>
      <c r="F151" s="2">
        <v>97.8</v>
      </c>
      <c r="G151" s="2">
        <v>97.2</v>
      </c>
      <c r="H151" s="2">
        <f t="shared" si="7"/>
        <v>0.59999999999999432</v>
      </c>
      <c r="I151" s="1">
        <f>+(F151^14)/((F151^14+G151^14))</f>
        <v>0.52152521685612041</v>
      </c>
      <c r="J151" s="2">
        <v>103.3</v>
      </c>
      <c r="K151" s="2">
        <v>102.7</v>
      </c>
      <c r="L151" s="2">
        <f t="shared" si="8"/>
        <v>0.59999999999999432</v>
      </c>
      <c r="M151">
        <v>107.7</v>
      </c>
      <c r="N151">
        <v>94.8</v>
      </c>
      <c r="O151">
        <v>0.7</v>
      </c>
    </row>
    <row r="152" spans="1:15">
      <c r="A152" t="s">
        <v>41</v>
      </c>
      <c r="B152" t="s">
        <v>9</v>
      </c>
      <c r="C152">
        <v>50</v>
      </c>
      <c r="D152">
        <v>32</v>
      </c>
      <c r="E152" s="1">
        <f t="shared" si="6"/>
        <v>0.6097560975609756</v>
      </c>
      <c r="F152" s="2">
        <v>97.6</v>
      </c>
      <c r="G152" s="2">
        <v>95.4</v>
      </c>
      <c r="H152" s="2">
        <f t="shared" si="7"/>
        <v>2.1999999999999886</v>
      </c>
      <c r="I152" s="1">
        <f>+(F152^14)/((F152^14+G152^14))</f>
        <v>0.57912557114227126</v>
      </c>
      <c r="J152" s="2">
        <v>106.6</v>
      </c>
      <c r="K152" s="2">
        <v>104.4</v>
      </c>
      <c r="L152" s="2">
        <f t="shared" si="8"/>
        <v>2.1999999999999886</v>
      </c>
      <c r="M152">
        <v>113.8</v>
      </c>
      <c r="N152">
        <v>106.9</v>
      </c>
      <c r="O152">
        <v>0.6</v>
      </c>
    </row>
    <row r="153" spans="1:15">
      <c r="A153" t="s">
        <v>41</v>
      </c>
      <c r="B153" t="s">
        <v>10</v>
      </c>
      <c r="C153">
        <v>60</v>
      </c>
      <c r="D153">
        <v>22</v>
      </c>
      <c r="E153" s="1">
        <f t="shared" si="6"/>
        <v>0.73170731707317072</v>
      </c>
      <c r="F153" s="2">
        <v>99.1</v>
      </c>
      <c r="G153" s="2">
        <v>93.1</v>
      </c>
      <c r="H153" s="2">
        <f t="shared" si="7"/>
        <v>6</v>
      </c>
      <c r="I153" s="1">
        <f>+(F153^14)/((F153^14+G153^14))</f>
        <v>0.70565493727063389</v>
      </c>
      <c r="J153" s="2">
        <v>109.9</v>
      </c>
      <c r="K153" s="2">
        <v>103.2</v>
      </c>
      <c r="L153" s="2">
        <f t="shared" si="8"/>
        <v>6.7000000000000028</v>
      </c>
      <c r="M153">
        <v>105.6</v>
      </c>
      <c r="N153">
        <v>97.4</v>
      </c>
      <c r="O153">
        <v>1.6</v>
      </c>
    </row>
    <row r="154" spans="1:15">
      <c r="A154" t="s">
        <v>41</v>
      </c>
      <c r="B154" t="s">
        <v>11</v>
      </c>
      <c r="C154">
        <v>44</v>
      </c>
      <c r="D154">
        <v>38</v>
      </c>
      <c r="E154" s="1">
        <f t="shared" si="6"/>
        <v>0.53658536585365857</v>
      </c>
      <c r="F154" s="2">
        <v>100.3</v>
      </c>
      <c r="G154" s="2">
        <v>100.1</v>
      </c>
      <c r="H154" s="2">
        <f t="shared" si="7"/>
        <v>0.20000000000000284</v>
      </c>
      <c r="I154" s="1">
        <f>+(F154^14)/((F154^14+G154^14))</f>
        <v>0.50698557569827274</v>
      </c>
      <c r="J154" s="2">
        <v>104.4</v>
      </c>
      <c r="K154" s="2">
        <v>104.1</v>
      </c>
      <c r="L154" s="2">
        <f t="shared" si="8"/>
        <v>0.30000000000001137</v>
      </c>
      <c r="M154">
        <v>102.1</v>
      </c>
      <c r="N154">
        <v>101.8</v>
      </c>
      <c r="O154">
        <v>0.1</v>
      </c>
    </row>
    <row r="155" spans="1:15">
      <c r="A155" t="s">
        <v>41</v>
      </c>
      <c r="B155" t="s">
        <v>12</v>
      </c>
      <c r="C155">
        <v>64</v>
      </c>
      <c r="D155">
        <v>18</v>
      </c>
      <c r="E155" s="1">
        <f t="shared" si="6"/>
        <v>0.78048780487804881</v>
      </c>
      <c r="F155" s="2">
        <v>96.8</v>
      </c>
      <c r="G155" s="2">
        <v>90.2</v>
      </c>
      <c r="H155" s="2">
        <f t="shared" si="7"/>
        <v>6.5999999999999943</v>
      </c>
      <c r="I155" s="1">
        <f>+(F155^14)/((F155^14+G155^14))</f>
        <v>0.72882038739462951</v>
      </c>
      <c r="J155" s="2">
        <v>109.3</v>
      </c>
      <c r="K155" s="2">
        <v>101.7</v>
      </c>
      <c r="L155" s="2">
        <f t="shared" si="8"/>
        <v>7.5999999999999943</v>
      </c>
      <c r="M155">
        <v>111.5</v>
      </c>
      <c r="N155">
        <v>100.3</v>
      </c>
      <c r="O155">
        <v>0.2</v>
      </c>
    </row>
    <row r="156" spans="1:15">
      <c r="A156" t="s">
        <v>41</v>
      </c>
      <c r="B156" t="s">
        <v>13</v>
      </c>
      <c r="C156">
        <v>34</v>
      </c>
      <c r="D156">
        <v>48</v>
      </c>
      <c r="E156" s="1">
        <f t="shared" si="6"/>
        <v>0.41463414634146339</v>
      </c>
      <c r="F156" s="2">
        <v>98.5</v>
      </c>
      <c r="G156" s="2">
        <v>99.8</v>
      </c>
      <c r="H156" s="2">
        <f t="shared" si="7"/>
        <v>-1.2999999999999972</v>
      </c>
      <c r="I156" s="1">
        <f>+(F156^14)/((F156^14+G156^14))</f>
        <v>0.45423770290238813</v>
      </c>
      <c r="J156" s="2">
        <v>103.5</v>
      </c>
      <c r="K156" s="2">
        <v>104.9</v>
      </c>
      <c r="L156" s="2">
        <f t="shared" si="8"/>
        <v>-1.4000000000000057</v>
      </c>
      <c r="M156">
        <v>101</v>
      </c>
      <c r="N156">
        <v>112.8</v>
      </c>
      <c r="O156">
        <v>-0.6</v>
      </c>
    </row>
    <row r="157" spans="1:15">
      <c r="A157" t="s">
        <v>41</v>
      </c>
      <c r="B157" t="s">
        <v>14</v>
      </c>
      <c r="C157">
        <v>34</v>
      </c>
      <c r="D157">
        <v>48</v>
      </c>
      <c r="E157" s="1">
        <f t="shared" si="6"/>
        <v>0.41463414634146339</v>
      </c>
      <c r="F157" s="2">
        <v>90.1</v>
      </c>
      <c r="G157" s="2">
        <v>91.7</v>
      </c>
      <c r="H157" s="2">
        <f t="shared" si="7"/>
        <v>-1.6000000000000085</v>
      </c>
      <c r="I157" s="1">
        <f>+(F157^14)/((F157^14+G157^14))</f>
        <v>0.43870214445209316</v>
      </c>
      <c r="J157" s="2">
        <v>100.4</v>
      </c>
      <c r="K157" s="2">
        <v>102.1</v>
      </c>
      <c r="L157" s="2">
        <f t="shared" si="8"/>
        <v>-1.6999999999999886</v>
      </c>
      <c r="M157">
        <v>97.2</v>
      </c>
      <c r="N157">
        <v>100.5</v>
      </c>
      <c r="O157">
        <v>0.4</v>
      </c>
    </row>
    <row r="158" spans="1:15">
      <c r="A158" t="s">
        <v>41</v>
      </c>
      <c r="B158" t="s">
        <v>15</v>
      </c>
      <c r="C158">
        <v>41</v>
      </c>
      <c r="D158">
        <v>41</v>
      </c>
      <c r="E158" s="1">
        <f t="shared" si="6"/>
        <v>0.5</v>
      </c>
      <c r="F158" s="2">
        <v>93.9</v>
      </c>
      <c r="G158" s="2">
        <v>92</v>
      </c>
      <c r="H158" s="2">
        <f t="shared" si="7"/>
        <v>1.9000000000000057</v>
      </c>
      <c r="I158" s="1">
        <f>+(F158^14)/((F158^14+G158^14))</f>
        <v>0.57106198271976594</v>
      </c>
      <c r="J158" s="2">
        <v>103.1</v>
      </c>
      <c r="K158" s="2">
        <v>101</v>
      </c>
      <c r="L158" s="2">
        <f t="shared" si="8"/>
        <v>2.0999999999999943</v>
      </c>
      <c r="M158">
        <v>91.4</v>
      </c>
      <c r="N158">
        <v>101.6</v>
      </c>
      <c r="O158">
        <v>-0.2</v>
      </c>
    </row>
    <row r="159" spans="1:15">
      <c r="A159" t="s">
        <v>41</v>
      </c>
      <c r="B159" t="s">
        <v>16</v>
      </c>
      <c r="C159">
        <v>47</v>
      </c>
      <c r="D159">
        <v>35</v>
      </c>
      <c r="E159" s="1">
        <f t="shared" si="6"/>
        <v>0.57317073170731703</v>
      </c>
      <c r="F159" s="2">
        <v>97.2</v>
      </c>
      <c r="G159" s="2">
        <v>95.6</v>
      </c>
      <c r="H159" s="2">
        <f t="shared" si="7"/>
        <v>1.6000000000000085</v>
      </c>
      <c r="I159" s="1">
        <f>+(F159^14)/((F159^14+G159^14))</f>
        <v>0.55783262608685169</v>
      </c>
      <c r="J159" s="2">
        <v>103.8</v>
      </c>
      <c r="K159" s="2">
        <v>102.2</v>
      </c>
      <c r="L159" s="2">
        <f t="shared" si="8"/>
        <v>1.5999999999999943</v>
      </c>
      <c r="M159">
        <v>112</v>
      </c>
      <c r="N159">
        <v>92.3</v>
      </c>
      <c r="O159">
        <v>0.7</v>
      </c>
    </row>
    <row r="160" spans="1:15">
      <c r="A160" t="s">
        <v>41</v>
      </c>
      <c r="B160" t="s">
        <v>17</v>
      </c>
      <c r="C160">
        <v>45</v>
      </c>
      <c r="D160">
        <v>37</v>
      </c>
      <c r="E160" s="1">
        <f t="shared" si="6"/>
        <v>0.54878048780487809</v>
      </c>
      <c r="F160" s="2">
        <v>99.4</v>
      </c>
      <c r="G160" s="2">
        <v>96.9</v>
      </c>
      <c r="H160" s="2">
        <f t="shared" si="7"/>
        <v>2.5</v>
      </c>
      <c r="I160" s="1">
        <f>+(F160^14)/((F160^14+G160^14))</f>
        <v>0.58822109610228113</v>
      </c>
      <c r="J160" s="2">
        <v>106.8</v>
      </c>
      <c r="K160" s="2">
        <v>104.2</v>
      </c>
      <c r="L160" s="2">
        <f t="shared" si="8"/>
        <v>2.5999999999999943</v>
      </c>
      <c r="M160">
        <v>108.6</v>
      </c>
      <c r="N160">
        <v>109.5</v>
      </c>
      <c r="O160">
        <v>0.7</v>
      </c>
    </row>
    <row r="161" spans="1:15">
      <c r="A161" t="s">
        <v>41</v>
      </c>
      <c r="B161" t="s">
        <v>35</v>
      </c>
      <c r="C161">
        <v>49</v>
      </c>
      <c r="D161">
        <v>33</v>
      </c>
      <c r="E161" s="1">
        <f t="shared" si="6"/>
        <v>0.59756097560975607</v>
      </c>
      <c r="F161" s="2">
        <v>92.2</v>
      </c>
      <c r="G161" s="2">
        <v>88.5</v>
      </c>
      <c r="H161" s="2">
        <f t="shared" si="7"/>
        <v>3.7000000000000028</v>
      </c>
      <c r="I161" s="1">
        <f>+(F161^14)/((F161^14+G161^14))</f>
        <v>0.63954874282349128</v>
      </c>
      <c r="J161" s="2">
        <v>104.5</v>
      </c>
      <c r="K161" s="2">
        <v>100.4</v>
      </c>
      <c r="L161" s="2">
        <f t="shared" si="8"/>
        <v>4.0999999999999943</v>
      </c>
      <c r="M161">
        <v>106.3</v>
      </c>
      <c r="N161">
        <v>95.7</v>
      </c>
      <c r="O161">
        <v>-0.3</v>
      </c>
    </row>
    <row r="162" spans="1:15">
      <c r="A162" t="s">
        <v>41</v>
      </c>
      <c r="B162" t="s">
        <v>18</v>
      </c>
      <c r="C162">
        <v>52</v>
      </c>
      <c r="D162">
        <v>30</v>
      </c>
      <c r="E162" s="1">
        <f t="shared" si="6"/>
        <v>0.63414634146341464</v>
      </c>
      <c r="F162" s="2">
        <v>99.9</v>
      </c>
      <c r="G162" s="2">
        <v>96</v>
      </c>
      <c r="H162" s="2">
        <f t="shared" si="7"/>
        <v>3.9000000000000057</v>
      </c>
      <c r="I162" s="1">
        <f>+(F162^14)/((F162^14+G162^14))</f>
        <v>0.63587410412119993</v>
      </c>
      <c r="J162" s="2">
        <v>107.5</v>
      </c>
      <c r="K162" s="2">
        <v>103.4</v>
      </c>
      <c r="L162" s="2">
        <f t="shared" si="8"/>
        <v>4.0999999999999943</v>
      </c>
      <c r="M162">
        <v>115.1</v>
      </c>
      <c r="N162">
        <v>105.6</v>
      </c>
      <c r="O162">
        <v>1.5</v>
      </c>
    </row>
    <row r="163" spans="1:15">
      <c r="A163" t="s">
        <v>41</v>
      </c>
      <c r="B163" t="s">
        <v>19</v>
      </c>
      <c r="C163">
        <v>40</v>
      </c>
      <c r="D163">
        <v>42</v>
      </c>
      <c r="E163" s="1">
        <f t="shared" si="6"/>
        <v>0.48780487804878048</v>
      </c>
      <c r="F163" s="2">
        <v>97.8</v>
      </c>
      <c r="G163" s="2">
        <v>98.8</v>
      </c>
      <c r="H163" s="2">
        <f t="shared" si="7"/>
        <v>-1</v>
      </c>
      <c r="I163" s="1">
        <f>+(F163^14)/((F163^14+G163^14))</f>
        <v>0.46445446690558873</v>
      </c>
      <c r="J163" s="2">
        <v>104.9</v>
      </c>
      <c r="K163" s="2">
        <v>105.9</v>
      </c>
      <c r="L163" s="2">
        <f t="shared" si="8"/>
        <v>-1</v>
      </c>
      <c r="M163">
        <v>103.7</v>
      </c>
      <c r="N163">
        <v>95.3</v>
      </c>
      <c r="O163">
        <v>-1.1000000000000001</v>
      </c>
    </row>
    <row r="164" spans="1:15">
      <c r="A164" t="s">
        <v>41</v>
      </c>
      <c r="B164" t="s">
        <v>20</v>
      </c>
      <c r="C164">
        <v>33</v>
      </c>
      <c r="D164">
        <v>49</v>
      </c>
      <c r="E164" s="1">
        <f t="shared" si="6"/>
        <v>0.40243902439024393</v>
      </c>
      <c r="F164" s="2">
        <v>91.7</v>
      </c>
      <c r="G164" s="2">
        <v>93.6</v>
      </c>
      <c r="H164" s="2">
        <f t="shared" si="7"/>
        <v>-1.8999999999999915</v>
      </c>
      <c r="I164" s="1">
        <f>+(F164^14)/((F164^14+G164^14))</f>
        <v>0.42871102935912059</v>
      </c>
      <c r="J164" s="2">
        <v>101.5</v>
      </c>
      <c r="K164" s="2">
        <v>103.5</v>
      </c>
      <c r="L164" s="2">
        <f t="shared" si="8"/>
        <v>-2</v>
      </c>
      <c r="M164">
        <v>95.6</v>
      </c>
      <c r="N164">
        <v>110.1</v>
      </c>
      <c r="O164">
        <v>-1</v>
      </c>
    </row>
    <row r="165" spans="1:15">
      <c r="A165" t="s">
        <v>41</v>
      </c>
      <c r="B165" t="s">
        <v>21</v>
      </c>
      <c r="C165">
        <v>49</v>
      </c>
      <c r="D165">
        <v>33</v>
      </c>
      <c r="E165" s="1">
        <f t="shared" si="6"/>
        <v>0.59756097560975607</v>
      </c>
      <c r="F165" s="2">
        <v>93.8</v>
      </c>
      <c r="G165" s="2">
        <v>92.4</v>
      </c>
      <c r="H165" s="2">
        <f t="shared" si="7"/>
        <v>1.3999999999999915</v>
      </c>
      <c r="I165" s="1">
        <f>+(F165^14)/((F165^14+G165^14))</f>
        <v>0.55243902579341386</v>
      </c>
      <c r="J165" s="2">
        <v>102.4</v>
      </c>
      <c r="K165" s="2">
        <v>100.9</v>
      </c>
      <c r="L165" s="2">
        <f t="shared" si="8"/>
        <v>1.5</v>
      </c>
      <c r="M165">
        <v>109.2</v>
      </c>
      <c r="N165">
        <v>99</v>
      </c>
      <c r="O165">
        <v>-0.7</v>
      </c>
    </row>
    <row r="166" spans="1:15">
      <c r="A166" t="s">
        <v>41</v>
      </c>
      <c r="B166" t="s">
        <v>42</v>
      </c>
      <c r="C166">
        <v>38</v>
      </c>
      <c r="D166">
        <v>44</v>
      </c>
      <c r="E166" s="1">
        <f t="shared" si="6"/>
        <v>0.46341463414634149</v>
      </c>
      <c r="F166" s="2">
        <v>92.8</v>
      </c>
      <c r="G166" s="2">
        <v>95.6</v>
      </c>
      <c r="H166" s="2">
        <f t="shared" si="7"/>
        <v>-2.7999999999999972</v>
      </c>
      <c r="I166" s="1">
        <f>+(F166^14)/((F166^14+G166^14))</f>
        <v>0.3974344302617922</v>
      </c>
      <c r="J166" s="2">
        <v>102.3</v>
      </c>
      <c r="K166" s="2">
        <v>105.1</v>
      </c>
      <c r="L166" s="2">
        <f t="shared" si="8"/>
        <v>-2.7999999999999972</v>
      </c>
      <c r="M166">
        <v>111.7</v>
      </c>
      <c r="N166">
        <v>102</v>
      </c>
      <c r="O166">
        <v>-0.3</v>
      </c>
    </row>
    <row r="167" spans="1:15">
      <c r="A167" t="s">
        <v>41</v>
      </c>
      <c r="B167" t="s">
        <v>22</v>
      </c>
      <c r="C167">
        <v>23</v>
      </c>
      <c r="D167">
        <v>59</v>
      </c>
      <c r="E167" s="1">
        <f t="shared" si="6"/>
        <v>0.28048780487804881</v>
      </c>
      <c r="F167" s="2">
        <v>95.6</v>
      </c>
      <c r="G167" s="2">
        <v>102</v>
      </c>
      <c r="H167" s="2">
        <f t="shared" si="7"/>
        <v>-6.4000000000000057</v>
      </c>
      <c r="I167" s="1">
        <f>+(F167^14)/((F167^14+G167^14))</f>
        <v>0.28757316482715334</v>
      </c>
      <c r="J167" s="2">
        <v>102.7</v>
      </c>
      <c r="K167" s="2">
        <v>109.3</v>
      </c>
      <c r="L167" s="2">
        <f t="shared" si="8"/>
        <v>-6.5999999999999943</v>
      </c>
      <c r="M167">
        <v>100.3</v>
      </c>
      <c r="N167">
        <v>113.2</v>
      </c>
      <c r="O167">
        <v>1.2</v>
      </c>
    </row>
    <row r="168" spans="1:15">
      <c r="A168" t="s">
        <v>41</v>
      </c>
      <c r="B168" t="s">
        <v>23</v>
      </c>
      <c r="C168">
        <v>36</v>
      </c>
      <c r="D168">
        <v>46</v>
      </c>
      <c r="E168" s="1">
        <f t="shared" si="6"/>
        <v>0.43902439024390244</v>
      </c>
      <c r="F168" s="2">
        <v>94.9</v>
      </c>
      <c r="G168" s="2">
        <v>96</v>
      </c>
      <c r="H168" s="2">
        <f t="shared" si="7"/>
        <v>-1.0999999999999943</v>
      </c>
      <c r="I168" s="1">
        <f>+(F168^14)/((F168^14+G168^14))</f>
        <v>0.45975157223924717</v>
      </c>
      <c r="J168" s="2">
        <v>105.3</v>
      </c>
      <c r="K168" s="2">
        <v>106.6</v>
      </c>
      <c r="L168" s="2">
        <f t="shared" si="8"/>
        <v>-1.2999999999999972</v>
      </c>
      <c r="M168">
        <v>100.8</v>
      </c>
      <c r="N168">
        <v>103.9</v>
      </c>
      <c r="O168">
        <v>0.1</v>
      </c>
    </row>
    <row r="169" spans="1:15">
      <c r="A169" t="s">
        <v>41</v>
      </c>
      <c r="B169" t="s">
        <v>24</v>
      </c>
      <c r="C169">
        <v>38</v>
      </c>
      <c r="D169">
        <v>44</v>
      </c>
      <c r="E169" s="1">
        <f t="shared" si="6"/>
        <v>0.46341463414634149</v>
      </c>
      <c r="F169" s="2">
        <v>99.4</v>
      </c>
      <c r="G169" s="2">
        <v>101.3</v>
      </c>
      <c r="H169" s="2">
        <f t="shared" si="7"/>
        <v>-1.8999999999999915</v>
      </c>
      <c r="I169" s="1">
        <f>+(F169^14)/((F169^14+G169^14))</f>
        <v>0.4341153034134177</v>
      </c>
      <c r="J169" s="2">
        <v>104.7</v>
      </c>
      <c r="K169" s="2">
        <v>106.5</v>
      </c>
      <c r="L169" s="2">
        <f t="shared" si="8"/>
        <v>-1.7999999999999972</v>
      </c>
      <c r="M169">
        <v>89.7</v>
      </c>
      <c r="N169">
        <v>93.5</v>
      </c>
      <c r="O169">
        <v>-1</v>
      </c>
    </row>
    <row r="170" spans="1:15">
      <c r="A170" t="s">
        <v>41</v>
      </c>
      <c r="B170" t="s">
        <v>25</v>
      </c>
      <c r="C170">
        <v>54</v>
      </c>
      <c r="D170">
        <v>28</v>
      </c>
      <c r="E170" s="1">
        <f t="shared" si="6"/>
        <v>0.65853658536585369</v>
      </c>
      <c r="F170" s="2">
        <v>108.4</v>
      </c>
      <c r="G170" s="2">
        <v>102.8</v>
      </c>
      <c r="H170" s="2">
        <f t="shared" si="7"/>
        <v>5.6000000000000085</v>
      </c>
      <c r="I170" s="1">
        <f>+(F170^14)/((F170^14+G170^14))</f>
        <v>0.67756377223855135</v>
      </c>
      <c r="J170" s="2">
        <v>110.2</v>
      </c>
      <c r="K170" s="2">
        <v>104.7</v>
      </c>
      <c r="L170" s="2">
        <f t="shared" si="8"/>
        <v>5.5</v>
      </c>
      <c r="M170">
        <v>105.4</v>
      </c>
      <c r="N170">
        <v>104.9</v>
      </c>
      <c r="O170">
        <v>0.5</v>
      </c>
    </row>
    <row r="171" spans="1:15">
      <c r="A171" t="s">
        <v>41</v>
      </c>
      <c r="B171" t="s">
        <v>26</v>
      </c>
      <c r="C171">
        <v>21</v>
      </c>
      <c r="D171">
        <v>61</v>
      </c>
      <c r="E171" s="1">
        <f t="shared" si="6"/>
        <v>0.25609756097560976</v>
      </c>
      <c r="F171" s="2">
        <v>88.8</v>
      </c>
      <c r="G171" s="2">
        <v>98.3</v>
      </c>
      <c r="H171" s="2">
        <f t="shared" si="7"/>
        <v>-9.5</v>
      </c>
      <c r="I171" s="1">
        <f>+(F171^14)/((F171^14+G171^14))</f>
        <v>0.19420371450144952</v>
      </c>
      <c r="J171" s="2">
        <v>99.7</v>
      </c>
      <c r="K171" s="2">
        <v>110.3</v>
      </c>
      <c r="L171" s="2">
        <f t="shared" si="8"/>
        <v>-10.599999999999994</v>
      </c>
      <c r="M171">
        <v>89.2</v>
      </c>
      <c r="N171">
        <v>102.4</v>
      </c>
      <c r="O171">
        <v>-1.7</v>
      </c>
    </row>
    <row r="172" spans="1:15">
      <c r="A172" t="s">
        <v>41</v>
      </c>
      <c r="B172" t="s">
        <v>27</v>
      </c>
      <c r="C172">
        <v>44</v>
      </c>
      <c r="D172">
        <v>38</v>
      </c>
      <c r="E172" s="1">
        <f t="shared" si="6"/>
        <v>0.53658536585365857</v>
      </c>
      <c r="F172" s="2">
        <v>98.9</v>
      </c>
      <c r="G172" s="2">
        <v>97.3</v>
      </c>
      <c r="H172" s="2">
        <f t="shared" si="7"/>
        <v>1.6000000000000085</v>
      </c>
      <c r="I172" s="1">
        <f>+(F172^14)/((F172^14+G172^14))</f>
        <v>0.55683911786058593</v>
      </c>
      <c r="J172" s="2">
        <v>105.3</v>
      </c>
      <c r="K172" s="2">
        <v>103.5</v>
      </c>
      <c r="L172" s="2">
        <f t="shared" si="8"/>
        <v>1.7999999999999972</v>
      </c>
      <c r="M172">
        <v>101.9</v>
      </c>
      <c r="N172">
        <v>97.8</v>
      </c>
      <c r="O172">
        <v>-0.7</v>
      </c>
    </row>
    <row r="173" spans="1:15">
      <c r="A173" t="s">
        <v>41</v>
      </c>
      <c r="B173" t="s">
        <v>28</v>
      </c>
      <c r="C173">
        <v>63</v>
      </c>
      <c r="D173">
        <v>19</v>
      </c>
      <c r="E173" s="1">
        <f t="shared" si="6"/>
        <v>0.76829268292682928</v>
      </c>
      <c r="F173" s="2">
        <v>95.6</v>
      </c>
      <c r="G173" s="2">
        <v>88.8</v>
      </c>
      <c r="H173" s="2">
        <f t="shared" si="7"/>
        <v>6.7999999999999972</v>
      </c>
      <c r="I173" s="1">
        <f>+(F173^14)/((F173^14+G173^14))</f>
        <v>0.7374983301821354</v>
      </c>
      <c r="J173" s="2">
        <v>106.2</v>
      </c>
      <c r="K173" s="2">
        <v>98.7</v>
      </c>
      <c r="L173" s="2">
        <f t="shared" si="8"/>
        <v>7.5</v>
      </c>
      <c r="M173">
        <v>102.1</v>
      </c>
      <c r="N173">
        <v>89.8</v>
      </c>
      <c r="O173">
        <v>0.2</v>
      </c>
    </row>
    <row r="174" spans="1:15">
      <c r="A174" t="s">
        <v>41</v>
      </c>
      <c r="B174" t="s">
        <v>29</v>
      </c>
      <c r="C174">
        <v>35</v>
      </c>
      <c r="D174">
        <v>47</v>
      </c>
      <c r="E174" s="1">
        <f t="shared" si="6"/>
        <v>0.42682926829268292</v>
      </c>
      <c r="F174" s="2">
        <v>102.6</v>
      </c>
      <c r="G174" s="2">
        <v>105.6</v>
      </c>
      <c r="H174" s="2">
        <f t="shared" si="7"/>
        <v>-3</v>
      </c>
      <c r="I174" s="1">
        <f>+(F174^14)/((F174^14+G174^14))</f>
        <v>0.40047504632184655</v>
      </c>
      <c r="J174" s="2">
        <v>109.4</v>
      </c>
      <c r="K174" s="2">
        <v>112.7</v>
      </c>
      <c r="L174" s="2">
        <f t="shared" si="8"/>
        <v>-3.2999999999999972</v>
      </c>
      <c r="M174">
        <v>112.8</v>
      </c>
      <c r="N174">
        <v>111.5</v>
      </c>
      <c r="O174">
        <v>-1.2</v>
      </c>
    </row>
    <row r="175" spans="1:15">
      <c r="A175" t="s">
        <v>41</v>
      </c>
      <c r="B175" t="s">
        <v>30</v>
      </c>
      <c r="C175">
        <v>27</v>
      </c>
      <c r="D175">
        <v>55</v>
      </c>
      <c r="E175" s="1">
        <f t="shared" si="6"/>
        <v>0.32926829268292684</v>
      </c>
      <c r="F175" s="2">
        <v>101.1</v>
      </c>
      <c r="G175" s="2">
        <v>104</v>
      </c>
      <c r="H175" s="2">
        <f t="shared" si="7"/>
        <v>-2.9000000000000057</v>
      </c>
      <c r="I175" s="1">
        <f>+(F175^14)/((F175^14+G175^14))</f>
        <v>0.4022903946569592</v>
      </c>
      <c r="J175" s="2">
        <v>107.9</v>
      </c>
      <c r="K175" s="2">
        <v>111.2</v>
      </c>
      <c r="L175" s="2">
        <f t="shared" si="8"/>
        <v>-3.2999999999999972</v>
      </c>
      <c r="M175">
        <v>101.6</v>
      </c>
      <c r="N175">
        <v>114.4</v>
      </c>
      <c r="O175">
        <v>0.7</v>
      </c>
    </row>
    <row r="176" spans="1:15">
      <c r="A176" t="s">
        <v>41</v>
      </c>
      <c r="B176" t="s">
        <v>31</v>
      </c>
      <c r="C176">
        <v>41</v>
      </c>
      <c r="D176">
        <v>41</v>
      </c>
      <c r="E176" s="1">
        <f t="shared" si="6"/>
        <v>0.5</v>
      </c>
      <c r="F176" s="2">
        <v>92.4</v>
      </c>
      <c r="G176" s="2">
        <v>95</v>
      </c>
      <c r="H176" s="2">
        <f t="shared" si="7"/>
        <v>-2.5999999999999943</v>
      </c>
      <c r="I176" s="1">
        <f>+(F176^14)/((F176^14+G176^14))</f>
        <v>0.40407874070852795</v>
      </c>
      <c r="J176" s="2">
        <v>102.4</v>
      </c>
      <c r="K176" s="2">
        <v>105.1</v>
      </c>
      <c r="L176" s="2">
        <f t="shared" si="8"/>
        <v>-2.6999999999999886</v>
      </c>
      <c r="M176">
        <v>107.2</v>
      </c>
      <c r="N176">
        <v>103.9</v>
      </c>
      <c r="O176">
        <v>0.7</v>
      </c>
    </row>
    <row r="177" spans="1:15">
      <c r="A177" t="s">
        <v>41</v>
      </c>
      <c r="B177" t="s">
        <v>33</v>
      </c>
      <c r="C177">
        <v>42</v>
      </c>
      <c r="D177">
        <v>40</v>
      </c>
      <c r="E177" s="1">
        <f t="shared" si="6"/>
        <v>0.51219512195121952</v>
      </c>
      <c r="F177" s="2">
        <v>101.7</v>
      </c>
      <c r="G177" s="2">
        <v>99.8</v>
      </c>
      <c r="H177" s="2">
        <f t="shared" si="7"/>
        <v>1.9000000000000057</v>
      </c>
      <c r="I177" s="1">
        <f>+(F177^14)/((F177^14+G177^14))</f>
        <v>0.56562612482912078</v>
      </c>
      <c r="J177" s="2">
        <v>107.7</v>
      </c>
      <c r="K177" s="2">
        <v>105.8</v>
      </c>
      <c r="L177" s="2">
        <f t="shared" si="8"/>
        <v>1.9000000000000057</v>
      </c>
      <c r="M177">
        <v>101</v>
      </c>
      <c r="N177">
        <v>105.9</v>
      </c>
      <c r="O177">
        <v>-0.5</v>
      </c>
    </row>
    <row r="178" spans="1:15">
      <c r="A178" t="s">
        <v>43</v>
      </c>
      <c r="B178" t="s">
        <v>5</v>
      </c>
      <c r="C178">
        <v>30</v>
      </c>
      <c r="D178">
        <v>52</v>
      </c>
      <c r="E178" s="1">
        <f t="shared" si="6"/>
        <v>0.36585365853658536</v>
      </c>
      <c r="F178" s="2">
        <v>93.7</v>
      </c>
      <c r="G178" s="2">
        <v>98.4</v>
      </c>
      <c r="H178" s="2">
        <f t="shared" si="7"/>
        <v>-4.7000000000000028</v>
      </c>
      <c r="I178" s="1">
        <f>+(F178^14)/((F178^14+G178^14))</f>
        <v>0.33510246231607854</v>
      </c>
      <c r="J178" s="2">
        <v>102</v>
      </c>
      <c r="K178" s="2">
        <v>107</v>
      </c>
      <c r="L178" s="2">
        <f t="shared" si="8"/>
        <v>-5</v>
      </c>
      <c r="M178">
        <v>95.5</v>
      </c>
      <c r="N178">
        <v>100.9</v>
      </c>
      <c r="O178">
        <v>-0.5</v>
      </c>
    </row>
    <row r="179" spans="1:15">
      <c r="A179" t="s">
        <v>43</v>
      </c>
      <c r="B179" t="s">
        <v>6</v>
      </c>
      <c r="C179">
        <v>24</v>
      </c>
      <c r="D179">
        <v>58</v>
      </c>
      <c r="E179" s="1">
        <f t="shared" si="6"/>
        <v>0.29268292682926828</v>
      </c>
      <c r="F179" s="2">
        <v>95.8</v>
      </c>
      <c r="G179" s="2">
        <v>99.2</v>
      </c>
      <c r="H179" s="2">
        <f t="shared" si="7"/>
        <v>-3.4000000000000057</v>
      </c>
      <c r="I179" s="1">
        <f>+(F179^14)/((F179^14+G179^14))</f>
        <v>0.38030482295206253</v>
      </c>
      <c r="J179" s="2">
        <v>102.3</v>
      </c>
      <c r="K179" s="2">
        <v>105.8</v>
      </c>
      <c r="L179" s="2">
        <f t="shared" si="8"/>
        <v>-3.5</v>
      </c>
      <c r="M179">
        <v>98.7</v>
      </c>
      <c r="N179">
        <v>99</v>
      </c>
      <c r="O179">
        <v>0.1</v>
      </c>
    </row>
    <row r="180" spans="1:15">
      <c r="A180" t="s">
        <v>43</v>
      </c>
      <c r="B180" t="s">
        <v>40</v>
      </c>
      <c r="C180">
        <v>33</v>
      </c>
      <c r="D180">
        <v>49</v>
      </c>
      <c r="E180" s="1">
        <f t="shared" si="6"/>
        <v>0.40243902439024393</v>
      </c>
      <c r="F180" s="2">
        <v>96.9</v>
      </c>
      <c r="G180" s="2">
        <v>100.6</v>
      </c>
      <c r="H180" s="2">
        <f t="shared" si="7"/>
        <v>-3.6999999999999886</v>
      </c>
      <c r="I180" s="1">
        <f>+(F180^14)/((F180^14+G180^14))</f>
        <v>0.37177294637427477</v>
      </c>
      <c r="J180" s="2">
        <v>102.4</v>
      </c>
      <c r="K180" s="2">
        <v>106.3</v>
      </c>
      <c r="L180" s="2">
        <f t="shared" si="8"/>
        <v>-3.8999999999999915</v>
      </c>
      <c r="M180">
        <v>93.9</v>
      </c>
      <c r="N180">
        <v>103.3</v>
      </c>
      <c r="O180">
        <v>-1.2</v>
      </c>
    </row>
    <row r="181" spans="1:15">
      <c r="A181" t="s">
        <v>43</v>
      </c>
      <c r="B181" t="s">
        <v>8</v>
      </c>
      <c r="C181">
        <v>49</v>
      </c>
      <c r="D181">
        <v>33</v>
      </c>
      <c r="E181" s="1">
        <f t="shared" si="6"/>
        <v>0.59756097560975607</v>
      </c>
      <c r="F181" s="2">
        <v>98.8</v>
      </c>
      <c r="G181" s="2">
        <v>93.8</v>
      </c>
      <c r="H181" s="2">
        <f t="shared" si="7"/>
        <v>5</v>
      </c>
      <c r="I181" s="1">
        <f>+(F181^14)/((F181^14+G181^14))</f>
        <v>0.67415944517455229</v>
      </c>
      <c r="J181" s="2">
        <v>104</v>
      </c>
      <c r="K181" s="2">
        <v>98.8</v>
      </c>
      <c r="L181" s="2">
        <f t="shared" si="8"/>
        <v>5.2000000000000028</v>
      </c>
      <c r="M181">
        <v>98</v>
      </c>
      <c r="N181">
        <v>89.6</v>
      </c>
      <c r="O181">
        <v>0.6</v>
      </c>
    </row>
    <row r="182" spans="1:15">
      <c r="A182" t="s">
        <v>43</v>
      </c>
      <c r="B182" t="s">
        <v>9</v>
      </c>
      <c r="C182">
        <v>50</v>
      </c>
      <c r="D182">
        <v>32</v>
      </c>
      <c r="E182" s="1">
        <f t="shared" si="6"/>
        <v>0.6097560975609756</v>
      </c>
      <c r="F182" s="2">
        <v>96.8</v>
      </c>
      <c r="G182" s="2">
        <v>92.9</v>
      </c>
      <c r="H182" s="2">
        <f t="shared" si="7"/>
        <v>3.8999999999999915</v>
      </c>
      <c r="I182" s="1">
        <f>+(F182^14)/((F182^14+G182^14))</f>
        <v>0.64008356957082357</v>
      </c>
      <c r="J182" s="2">
        <v>104.4</v>
      </c>
      <c r="K182" s="2">
        <v>100.6</v>
      </c>
      <c r="L182" s="2">
        <f t="shared" si="8"/>
        <v>3.8000000000000114</v>
      </c>
      <c r="M182">
        <v>105.4</v>
      </c>
      <c r="N182">
        <v>95.1</v>
      </c>
      <c r="O182">
        <v>1.4</v>
      </c>
    </row>
    <row r="183" spans="1:15">
      <c r="A183" t="s">
        <v>43</v>
      </c>
      <c r="B183" t="s">
        <v>10</v>
      </c>
      <c r="C183">
        <v>67</v>
      </c>
      <c r="D183">
        <v>15</v>
      </c>
      <c r="E183" s="1">
        <f t="shared" si="6"/>
        <v>0.81707317073170727</v>
      </c>
      <c r="F183" s="2">
        <v>100</v>
      </c>
      <c r="G183" s="2">
        <v>92.8</v>
      </c>
      <c r="H183" s="2">
        <f t="shared" si="7"/>
        <v>7.2000000000000028</v>
      </c>
      <c r="I183" s="1">
        <f>+(F183^14)/((F183^14+G183^14))</f>
        <v>0.74003099281791473</v>
      </c>
      <c r="J183" s="2">
        <v>109.7</v>
      </c>
      <c r="K183" s="2">
        <v>102.1</v>
      </c>
      <c r="L183" s="2">
        <f t="shared" si="8"/>
        <v>7.6000000000000085</v>
      </c>
      <c r="M183">
        <v>109.8</v>
      </c>
      <c r="N183">
        <v>84.5</v>
      </c>
      <c r="O183">
        <v>1.1000000000000001</v>
      </c>
    </row>
    <row r="184" spans="1:15">
      <c r="A184" t="s">
        <v>43</v>
      </c>
      <c r="B184" t="s">
        <v>11</v>
      </c>
      <c r="C184">
        <v>45</v>
      </c>
      <c r="D184">
        <v>37</v>
      </c>
      <c r="E184" s="1">
        <f t="shared" si="6"/>
        <v>0.54878048780487809</v>
      </c>
      <c r="F184" s="2">
        <v>105.4</v>
      </c>
      <c r="G184" s="2">
        <v>103.7</v>
      </c>
      <c r="H184" s="2">
        <f t="shared" si="7"/>
        <v>1.7000000000000028</v>
      </c>
      <c r="I184" s="1">
        <f>+(F184^14)/((F184^14+G184^14))</f>
        <v>0.55666731029444283</v>
      </c>
      <c r="J184" s="2">
        <v>106.7</v>
      </c>
      <c r="K184" s="2">
        <v>105.1</v>
      </c>
      <c r="L184" s="2">
        <f t="shared" si="8"/>
        <v>1.6000000000000085</v>
      </c>
      <c r="M184">
        <v>95.3</v>
      </c>
      <c r="N184">
        <v>100.3</v>
      </c>
      <c r="O184">
        <v>-1.4</v>
      </c>
    </row>
    <row r="185" spans="1:15">
      <c r="A185" t="s">
        <v>43</v>
      </c>
      <c r="B185" t="s">
        <v>12</v>
      </c>
      <c r="C185">
        <v>53</v>
      </c>
      <c r="D185">
        <v>29</v>
      </c>
      <c r="E185" s="1">
        <f t="shared" si="6"/>
        <v>0.64634146341463417</v>
      </c>
      <c r="F185" s="2">
        <v>96</v>
      </c>
      <c r="G185" s="2">
        <v>91.8</v>
      </c>
      <c r="H185" s="2">
        <f t="shared" si="7"/>
        <v>4.2000000000000028</v>
      </c>
      <c r="I185" s="1">
        <f>+(F185^14)/((F185^14+G185^14))</f>
        <v>0.65165059639805156</v>
      </c>
      <c r="J185" s="2">
        <v>107.4</v>
      </c>
      <c r="K185" s="2">
        <v>102.6</v>
      </c>
      <c r="L185" s="2">
        <f t="shared" si="8"/>
        <v>4.8000000000000114</v>
      </c>
      <c r="M185">
        <v>113.9</v>
      </c>
      <c r="N185">
        <v>101.2</v>
      </c>
      <c r="O185">
        <v>1.5</v>
      </c>
    </row>
    <row r="186" spans="1:15">
      <c r="A186" t="s">
        <v>43</v>
      </c>
      <c r="B186" t="s">
        <v>13</v>
      </c>
      <c r="C186">
        <v>42</v>
      </c>
      <c r="D186">
        <v>40</v>
      </c>
      <c r="E186" s="1">
        <f t="shared" si="6"/>
        <v>0.51219512195121952</v>
      </c>
      <c r="F186" s="2">
        <v>106.5</v>
      </c>
      <c r="G186" s="2">
        <v>106.9</v>
      </c>
      <c r="H186" s="2">
        <f t="shared" si="7"/>
        <v>-0.40000000000000568</v>
      </c>
      <c r="I186" s="1">
        <f>+(F186^14)/((F186^14+G186^14))</f>
        <v>0.48688209591984372</v>
      </c>
      <c r="J186" s="2">
        <v>106.2</v>
      </c>
      <c r="K186" s="2">
        <v>106.5</v>
      </c>
      <c r="L186" s="2">
        <f t="shared" si="8"/>
        <v>-0.29999999999999716</v>
      </c>
      <c r="M186">
        <v>98.2</v>
      </c>
      <c r="N186">
        <v>105</v>
      </c>
      <c r="O186">
        <v>-0.5</v>
      </c>
    </row>
    <row r="187" spans="1:15">
      <c r="A187" t="s">
        <v>43</v>
      </c>
      <c r="B187" t="s">
        <v>14</v>
      </c>
      <c r="C187">
        <v>52</v>
      </c>
      <c r="D187">
        <v>30</v>
      </c>
      <c r="E187" s="1">
        <f t="shared" si="6"/>
        <v>0.63414634146341464</v>
      </c>
      <c r="F187" s="2">
        <v>97</v>
      </c>
      <c r="G187" s="2">
        <v>92.1</v>
      </c>
      <c r="H187" s="2">
        <f t="shared" si="7"/>
        <v>4.9000000000000057</v>
      </c>
      <c r="I187" s="1">
        <f>+(F187^14)/((F187^14+G187^14))</f>
        <v>0.67386194635235153</v>
      </c>
      <c r="J187" s="2">
        <v>104.7</v>
      </c>
      <c r="K187" s="2">
        <v>99.7</v>
      </c>
      <c r="L187" s="2">
        <f t="shared" si="8"/>
        <v>5</v>
      </c>
      <c r="M187">
        <v>99.7</v>
      </c>
      <c r="N187">
        <v>108.4</v>
      </c>
      <c r="O187">
        <v>-1.4</v>
      </c>
    </row>
    <row r="188" spans="1:15">
      <c r="A188" t="s">
        <v>43</v>
      </c>
      <c r="B188" t="s">
        <v>15</v>
      </c>
      <c r="C188">
        <v>35</v>
      </c>
      <c r="D188">
        <v>47</v>
      </c>
      <c r="E188" s="1">
        <f t="shared" si="6"/>
        <v>0.42682926829268292</v>
      </c>
      <c r="F188" s="2">
        <v>95.6</v>
      </c>
      <c r="G188" s="2">
        <v>98</v>
      </c>
      <c r="H188" s="2">
        <f t="shared" si="7"/>
        <v>-2.4000000000000057</v>
      </c>
      <c r="I188" s="1">
        <f>+(F188^14)/((F188^14+G188^14))</f>
        <v>0.41407972075394056</v>
      </c>
      <c r="J188" s="2">
        <v>101.9</v>
      </c>
      <c r="K188" s="2">
        <v>104.4</v>
      </c>
      <c r="L188" s="2">
        <f t="shared" si="8"/>
        <v>-2.5</v>
      </c>
      <c r="M188">
        <v>102.9</v>
      </c>
      <c r="N188">
        <v>101.2</v>
      </c>
      <c r="O188">
        <v>-0.4</v>
      </c>
    </row>
    <row r="189" spans="1:15">
      <c r="A189" t="s">
        <v>43</v>
      </c>
      <c r="B189" t="s">
        <v>16</v>
      </c>
      <c r="C189">
        <v>40</v>
      </c>
      <c r="D189">
        <v>42</v>
      </c>
      <c r="E189" s="1">
        <f t="shared" si="6"/>
        <v>0.48780487804878048</v>
      </c>
      <c r="F189" s="2">
        <v>95.6</v>
      </c>
      <c r="G189" s="2">
        <v>96.1</v>
      </c>
      <c r="H189" s="2">
        <f t="shared" si="7"/>
        <v>-0.5</v>
      </c>
      <c r="I189" s="1">
        <f>+(F189^14)/((F189^14+G189^14))</f>
        <v>0.48175037478926502</v>
      </c>
      <c r="J189" s="2">
        <v>103.8</v>
      </c>
      <c r="K189" s="2">
        <v>104.2</v>
      </c>
      <c r="L189" s="2">
        <f t="shared" si="8"/>
        <v>-0.40000000000000568</v>
      </c>
      <c r="M189">
        <v>105.7</v>
      </c>
      <c r="N189">
        <v>107.9</v>
      </c>
      <c r="O189">
        <v>-0.3</v>
      </c>
    </row>
    <row r="190" spans="1:15">
      <c r="A190" t="s">
        <v>43</v>
      </c>
      <c r="B190" t="s">
        <v>17</v>
      </c>
      <c r="C190">
        <v>42</v>
      </c>
      <c r="D190">
        <v>40</v>
      </c>
      <c r="E190" s="1">
        <f t="shared" si="6"/>
        <v>0.51219512195121952</v>
      </c>
      <c r="F190" s="2">
        <v>103.3</v>
      </c>
      <c r="G190" s="2">
        <v>103.4</v>
      </c>
      <c r="H190" s="2">
        <f t="shared" si="7"/>
        <v>-0.10000000000000853</v>
      </c>
      <c r="I190" s="1">
        <f>+(F190^14)/((F190^14+G190^14))</f>
        <v>0.49661350096437384</v>
      </c>
      <c r="J190" s="2">
        <v>107.3</v>
      </c>
      <c r="K190" s="2">
        <v>107.5</v>
      </c>
      <c r="L190" s="2">
        <f t="shared" si="8"/>
        <v>-0.20000000000000284</v>
      </c>
      <c r="M190">
        <v>105</v>
      </c>
      <c r="N190">
        <v>106.1</v>
      </c>
      <c r="O190">
        <v>-0.2</v>
      </c>
    </row>
    <row r="191" spans="1:15">
      <c r="A191" t="s">
        <v>43</v>
      </c>
      <c r="B191" t="s">
        <v>35</v>
      </c>
      <c r="C191">
        <v>22</v>
      </c>
      <c r="D191">
        <v>60</v>
      </c>
      <c r="E191" s="1">
        <f t="shared" si="6"/>
        <v>0.26829268292682928</v>
      </c>
      <c r="F191" s="2">
        <v>101.6</v>
      </c>
      <c r="G191" s="2">
        <v>106.7</v>
      </c>
      <c r="H191" s="2">
        <f t="shared" si="7"/>
        <v>-5.1000000000000085</v>
      </c>
      <c r="I191" s="1">
        <f>+(F191^14)/((F191^14+G191^14))</f>
        <v>0.33499326878539809</v>
      </c>
      <c r="J191" s="2">
        <v>105.7</v>
      </c>
      <c r="K191" s="2">
        <v>110.9</v>
      </c>
      <c r="L191" s="2">
        <f t="shared" si="8"/>
        <v>-5.2000000000000028</v>
      </c>
      <c r="M191">
        <v>102.4</v>
      </c>
      <c r="N191">
        <v>107.5</v>
      </c>
      <c r="O191">
        <v>1.6</v>
      </c>
    </row>
    <row r="192" spans="1:15">
      <c r="A192" t="s">
        <v>43</v>
      </c>
      <c r="B192" t="s">
        <v>18</v>
      </c>
      <c r="C192">
        <v>44</v>
      </c>
      <c r="D192">
        <v>38</v>
      </c>
      <c r="E192" s="1">
        <f t="shared" si="6"/>
        <v>0.53658536585365857</v>
      </c>
      <c r="F192" s="2">
        <v>94.6</v>
      </c>
      <c r="G192" s="2">
        <v>95.5</v>
      </c>
      <c r="H192" s="2">
        <f t="shared" si="7"/>
        <v>-0.90000000000000568</v>
      </c>
      <c r="I192" s="1">
        <f>+(F192^14)/((F192^14+G192^14))</f>
        <v>0.46690774637254517</v>
      </c>
      <c r="J192" s="2">
        <v>103.4</v>
      </c>
      <c r="K192" s="2">
        <v>104.6</v>
      </c>
      <c r="L192" s="2">
        <f t="shared" si="8"/>
        <v>-1.1999999999999886</v>
      </c>
      <c r="M192">
        <v>106.9</v>
      </c>
      <c r="N192">
        <v>97.6</v>
      </c>
      <c r="O192">
        <v>0.5</v>
      </c>
    </row>
    <row r="193" spans="1:15">
      <c r="A193" t="s">
        <v>43</v>
      </c>
      <c r="B193" t="s">
        <v>19</v>
      </c>
      <c r="C193">
        <v>28</v>
      </c>
      <c r="D193">
        <v>54</v>
      </c>
      <c r="E193" s="1">
        <f t="shared" si="6"/>
        <v>0.34146341463414637</v>
      </c>
      <c r="F193" s="2">
        <v>99.7</v>
      </c>
      <c r="G193" s="2">
        <v>104</v>
      </c>
      <c r="H193" s="2">
        <f t="shared" si="7"/>
        <v>-4.2999999999999972</v>
      </c>
      <c r="I193" s="1">
        <f>+(F193^14)/((F193^14+G193^14))</f>
        <v>0.35637032098910626</v>
      </c>
      <c r="J193" s="2">
        <v>106</v>
      </c>
      <c r="K193" s="2">
        <v>110.3</v>
      </c>
      <c r="L193" s="2">
        <f t="shared" si="8"/>
        <v>-4.2999999999999972</v>
      </c>
      <c r="M193">
        <v>99.2</v>
      </c>
      <c r="N193">
        <v>108.4</v>
      </c>
      <c r="O193">
        <v>-1.1000000000000001</v>
      </c>
    </row>
    <row r="194" spans="1:15">
      <c r="A194" t="s">
        <v>43</v>
      </c>
      <c r="B194" t="s">
        <v>20</v>
      </c>
      <c r="C194">
        <v>32</v>
      </c>
      <c r="D194">
        <v>50</v>
      </c>
      <c r="E194" s="1">
        <f t="shared" si="6"/>
        <v>0.3902439024390244</v>
      </c>
      <c r="F194" s="2">
        <v>96.1</v>
      </c>
      <c r="G194" s="2">
        <v>99.7</v>
      </c>
      <c r="H194" s="2">
        <f t="shared" si="7"/>
        <v>-3.6000000000000085</v>
      </c>
      <c r="I194" s="1">
        <f>+(F194^14)/((F194^14+G194^14))</f>
        <v>0.37405280109871952</v>
      </c>
      <c r="J194" s="2">
        <v>102.4</v>
      </c>
      <c r="K194" s="2">
        <v>106.5</v>
      </c>
      <c r="L194" s="2">
        <f t="shared" si="8"/>
        <v>-4.0999999999999943</v>
      </c>
      <c r="M194">
        <v>98.2</v>
      </c>
      <c r="N194">
        <v>101.3</v>
      </c>
      <c r="O194">
        <v>0</v>
      </c>
    </row>
    <row r="195" spans="1:15">
      <c r="A195" t="s">
        <v>43</v>
      </c>
      <c r="B195" t="s">
        <v>21</v>
      </c>
      <c r="C195">
        <v>41</v>
      </c>
      <c r="D195">
        <v>41</v>
      </c>
      <c r="E195" s="1">
        <f t="shared" ref="E195:E258" si="9">+C195/(C195+D195)</f>
        <v>0.5</v>
      </c>
      <c r="F195" s="2">
        <v>97.6</v>
      </c>
      <c r="G195" s="2">
        <v>98.3</v>
      </c>
      <c r="H195" s="2">
        <f t="shared" ref="H195:H258" si="10">+F195-G195</f>
        <v>-0.70000000000000284</v>
      </c>
      <c r="I195" s="1">
        <f>+(F195^14)/((F195^14+G195^14))</f>
        <v>0.47500797658493921</v>
      </c>
      <c r="J195" s="2">
        <v>104.2</v>
      </c>
      <c r="K195" s="2">
        <v>105.1</v>
      </c>
      <c r="L195" s="2">
        <f t="shared" ref="L195:L258" si="11">+J195-K195</f>
        <v>-0.89999999999999147</v>
      </c>
      <c r="M195">
        <v>101.7</v>
      </c>
      <c r="N195">
        <v>110.4</v>
      </c>
      <c r="O195">
        <v>-0.6</v>
      </c>
    </row>
    <row r="196" spans="1:15">
      <c r="A196" t="s">
        <v>43</v>
      </c>
      <c r="B196" t="s">
        <v>42</v>
      </c>
      <c r="C196">
        <v>39</v>
      </c>
      <c r="D196">
        <v>43</v>
      </c>
      <c r="E196" s="1">
        <f t="shared" si="9"/>
        <v>0.47560975609756095</v>
      </c>
      <c r="F196" s="2">
        <v>95.5</v>
      </c>
      <c r="G196" s="2">
        <v>97.1</v>
      </c>
      <c r="H196" s="2">
        <f t="shared" si="10"/>
        <v>-1.5999999999999943</v>
      </c>
      <c r="I196" s="1">
        <f>+(F196^14)/((F196^14+G196^14))</f>
        <v>0.44210785442582834</v>
      </c>
      <c r="J196" s="2">
        <v>103.7</v>
      </c>
      <c r="K196" s="2">
        <v>105.4</v>
      </c>
      <c r="L196" s="2">
        <f t="shared" si="11"/>
        <v>-1.7000000000000028</v>
      </c>
      <c r="M196">
        <v>101.2</v>
      </c>
      <c r="N196">
        <v>96.6</v>
      </c>
      <c r="O196">
        <v>-0.2</v>
      </c>
    </row>
    <row r="197" spans="1:15">
      <c r="A197" t="s">
        <v>43</v>
      </c>
      <c r="B197" t="s">
        <v>22</v>
      </c>
      <c r="C197">
        <v>33</v>
      </c>
      <c r="D197">
        <v>49</v>
      </c>
      <c r="E197" s="1">
        <f t="shared" si="9"/>
        <v>0.40243902439024393</v>
      </c>
      <c r="F197" s="2">
        <v>97.5</v>
      </c>
      <c r="G197" s="2">
        <v>100.3</v>
      </c>
      <c r="H197" s="2">
        <f t="shared" si="10"/>
        <v>-2.7999999999999972</v>
      </c>
      <c r="I197" s="1">
        <f>+(F197^14)/((F197^14+G197^14))</f>
        <v>0.40218084588560077</v>
      </c>
      <c r="J197" s="2">
        <v>104.3</v>
      </c>
      <c r="K197" s="2">
        <v>107.4</v>
      </c>
      <c r="L197" s="2">
        <f t="shared" si="11"/>
        <v>-3.1000000000000085</v>
      </c>
      <c r="M197">
        <v>107.4</v>
      </c>
      <c r="N197">
        <v>102.9</v>
      </c>
      <c r="O197">
        <v>-0.2</v>
      </c>
    </row>
    <row r="198" spans="1:15">
      <c r="A198" t="s">
        <v>43</v>
      </c>
      <c r="B198" t="s">
        <v>23</v>
      </c>
      <c r="C198">
        <v>40</v>
      </c>
      <c r="D198">
        <v>42</v>
      </c>
      <c r="E198" s="1">
        <f t="shared" si="9"/>
        <v>0.48780487804878048</v>
      </c>
      <c r="F198" s="2">
        <v>94.8</v>
      </c>
      <c r="G198" s="2">
        <v>94</v>
      </c>
      <c r="H198" s="2">
        <f t="shared" si="10"/>
        <v>0.79999999999999716</v>
      </c>
      <c r="I198" s="1">
        <f>+(F198^14)/((F198^14+G198^14))</f>
        <v>0.52962644935389902</v>
      </c>
      <c r="J198" s="2">
        <v>104.1</v>
      </c>
      <c r="K198" s="2">
        <v>103.3</v>
      </c>
      <c r="L198" s="2">
        <f t="shared" si="11"/>
        <v>0.79999999999999716</v>
      </c>
      <c r="M198">
        <v>84.7</v>
      </c>
      <c r="N198">
        <v>100.9</v>
      </c>
      <c r="O198">
        <v>-0.4</v>
      </c>
    </row>
    <row r="199" spans="1:15">
      <c r="A199" t="s">
        <v>43</v>
      </c>
      <c r="B199" t="s">
        <v>24</v>
      </c>
      <c r="C199">
        <v>35</v>
      </c>
      <c r="D199">
        <v>47</v>
      </c>
      <c r="E199" s="1">
        <f t="shared" si="9"/>
        <v>0.42682926829268292</v>
      </c>
      <c r="F199" s="2">
        <v>94.9</v>
      </c>
      <c r="G199" s="2">
        <v>98</v>
      </c>
      <c r="H199" s="2">
        <f t="shared" si="10"/>
        <v>-3.0999999999999943</v>
      </c>
      <c r="I199" s="1">
        <f>+(F199^14)/((F199^14+G199^14))</f>
        <v>0.38935771732767777</v>
      </c>
      <c r="J199" s="2">
        <v>102.4</v>
      </c>
      <c r="K199" s="2">
        <v>105.6</v>
      </c>
      <c r="L199" s="2">
        <f t="shared" si="11"/>
        <v>-3.1999999999999886</v>
      </c>
      <c r="M199">
        <v>106.5</v>
      </c>
      <c r="N199">
        <v>97.9</v>
      </c>
      <c r="O199">
        <v>-0.1</v>
      </c>
    </row>
    <row r="200" spans="1:15">
      <c r="A200" t="s">
        <v>43</v>
      </c>
      <c r="B200" t="s">
        <v>25</v>
      </c>
      <c r="C200">
        <v>61</v>
      </c>
      <c r="D200">
        <v>21</v>
      </c>
      <c r="E200" s="1">
        <f t="shared" si="9"/>
        <v>0.74390243902439024</v>
      </c>
      <c r="F200" s="2">
        <v>110.2</v>
      </c>
      <c r="G200" s="2">
        <v>102.9</v>
      </c>
      <c r="H200" s="2">
        <f t="shared" si="10"/>
        <v>7.2999999999999972</v>
      </c>
      <c r="I200" s="1">
        <f>+(F200^14)/((F200^14+G200^14))</f>
        <v>0.72303160932792188</v>
      </c>
      <c r="J200" s="2">
        <v>112.9</v>
      </c>
      <c r="K200" s="2">
        <v>105.5</v>
      </c>
      <c r="L200" s="2">
        <f t="shared" si="11"/>
        <v>7.4000000000000057</v>
      </c>
      <c r="M200">
        <v>108.6</v>
      </c>
      <c r="N200">
        <v>101.9</v>
      </c>
      <c r="O200">
        <v>0.9</v>
      </c>
    </row>
    <row r="201" spans="1:15">
      <c r="A201" t="s">
        <v>43</v>
      </c>
      <c r="B201" t="s">
        <v>26</v>
      </c>
      <c r="C201">
        <v>32</v>
      </c>
      <c r="D201">
        <v>50</v>
      </c>
      <c r="E201" s="1">
        <f t="shared" si="9"/>
        <v>0.3902439024390244</v>
      </c>
      <c r="F201" s="2">
        <v>94.1</v>
      </c>
      <c r="G201" s="2">
        <v>98.4</v>
      </c>
      <c r="H201" s="2">
        <f t="shared" si="10"/>
        <v>-4.3000000000000114</v>
      </c>
      <c r="I201" s="1">
        <f>+(F201^14)/((F201^14+G201^14))</f>
        <v>0.34851829160504433</v>
      </c>
      <c r="J201" s="2">
        <v>103.8</v>
      </c>
      <c r="K201" s="2">
        <v>108.6</v>
      </c>
      <c r="L201" s="2">
        <f t="shared" si="11"/>
        <v>-4.7999999999999972</v>
      </c>
      <c r="M201">
        <v>113.4</v>
      </c>
      <c r="N201">
        <v>112.5</v>
      </c>
      <c r="O201">
        <v>-0.5</v>
      </c>
    </row>
    <row r="202" spans="1:15">
      <c r="A202" t="s">
        <v>43</v>
      </c>
      <c r="B202" t="s">
        <v>27</v>
      </c>
      <c r="C202">
        <v>33</v>
      </c>
      <c r="D202">
        <v>49</v>
      </c>
      <c r="E202" s="1">
        <f t="shared" si="9"/>
        <v>0.40243902439024393</v>
      </c>
      <c r="F202" s="2">
        <v>101.3</v>
      </c>
      <c r="G202" s="2">
        <v>103.1</v>
      </c>
      <c r="H202" s="2">
        <f t="shared" si="10"/>
        <v>-1.7999999999999972</v>
      </c>
      <c r="I202" s="1">
        <f>+(F202^14)/((F202^14+G202^14))</f>
        <v>0.43866503316264344</v>
      </c>
      <c r="J202" s="2">
        <v>105.1</v>
      </c>
      <c r="K202" s="2">
        <v>106.7</v>
      </c>
      <c r="L202" s="2">
        <f t="shared" si="11"/>
        <v>-1.6000000000000085</v>
      </c>
      <c r="M202">
        <v>93.7</v>
      </c>
      <c r="N202">
        <v>109</v>
      </c>
      <c r="O202">
        <v>-0.4</v>
      </c>
    </row>
    <row r="203" spans="1:15">
      <c r="A203" t="s">
        <v>43</v>
      </c>
      <c r="B203" t="s">
        <v>28</v>
      </c>
      <c r="C203">
        <v>58</v>
      </c>
      <c r="D203">
        <v>24</v>
      </c>
      <c r="E203" s="1">
        <f t="shared" si="9"/>
        <v>0.70731707317073167</v>
      </c>
      <c r="F203" s="2">
        <v>98.5</v>
      </c>
      <c r="G203" s="2">
        <v>90.1</v>
      </c>
      <c r="H203" s="2">
        <f t="shared" si="10"/>
        <v>8.4000000000000057</v>
      </c>
      <c r="I203" s="1">
        <f>+(F203^14)/((F203^14+G203^14))</f>
        <v>0.77693775330182646</v>
      </c>
      <c r="J203" s="2">
        <v>108.6</v>
      </c>
      <c r="K203" s="2">
        <v>99.4</v>
      </c>
      <c r="L203" s="2">
        <f t="shared" si="11"/>
        <v>9.1999999999999886</v>
      </c>
      <c r="M203">
        <v>102.2</v>
      </c>
      <c r="N203">
        <v>100</v>
      </c>
      <c r="O203">
        <v>1.1000000000000001</v>
      </c>
    </row>
    <row r="204" spans="1:15">
      <c r="A204" t="s">
        <v>43</v>
      </c>
      <c r="B204" t="s">
        <v>29</v>
      </c>
      <c r="C204">
        <v>31</v>
      </c>
      <c r="D204">
        <v>51</v>
      </c>
      <c r="E204" s="1">
        <f t="shared" si="9"/>
        <v>0.37804878048780488</v>
      </c>
      <c r="F204" s="2">
        <v>99.1</v>
      </c>
      <c r="G204" s="2">
        <v>102</v>
      </c>
      <c r="H204" s="2">
        <f t="shared" si="10"/>
        <v>-2.9000000000000057</v>
      </c>
      <c r="I204" s="1">
        <f>+(F204^14)/((F204^14+G204^14))</f>
        <v>0.40039796208658779</v>
      </c>
      <c r="J204" s="2">
        <v>105.9</v>
      </c>
      <c r="K204" s="2">
        <v>108.9</v>
      </c>
      <c r="L204" s="2">
        <f t="shared" si="11"/>
        <v>-3</v>
      </c>
      <c r="M204">
        <v>105.5</v>
      </c>
      <c r="N204">
        <v>103.8</v>
      </c>
      <c r="O204">
        <v>-0.4</v>
      </c>
    </row>
    <row r="205" spans="1:15">
      <c r="A205" t="s">
        <v>43</v>
      </c>
      <c r="B205" t="s">
        <v>30</v>
      </c>
      <c r="C205">
        <v>47</v>
      </c>
      <c r="D205">
        <v>35</v>
      </c>
      <c r="E205" s="1">
        <f t="shared" si="9"/>
        <v>0.57317073170731703</v>
      </c>
      <c r="F205" s="2">
        <v>99.5</v>
      </c>
      <c r="G205" s="2">
        <v>98.5</v>
      </c>
      <c r="H205" s="2">
        <f t="shared" si="10"/>
        <v>1</v>
      </c>
      <c r="I205" s="1">
        <f>+(F205^14)/((F205^14+G205^14))</f>
        <v>0.53529503549100332</v>
      </c>
      <c r="J205" s="2">
        <v>105.7</v>
      </c>
      <c r="K205" s="2">
        <v>104.4</v>
      </c>
      <c r="L205" s="2">
        <f t="shared" si="11"/>
        <v>1.2999999999999972</v>
      </c>
      <c r="M205">
        <v>106.6</v>
      </c>
      <c r="N205">
        <v>99.7</v>
      </c>
      <c r="O205">
        <v>0.3</v>
      </c>
    </row>
    <row r="206" spans="1:15">
      <c r="A206" t="s">
        <v>43</v>
      </c>
      <c r="B206" t="s">
        <v>31</v>
      </c>
      <c r="C206">
        <v>51</v>
      </c>
      <c r="D206">
        <v>31</v>
      </c>
      <c r="E206" s="1">
        <f t="shared" si="9"/>
        <v>0.62195121951219512</v>
      </c>
      <c r="F206" s="2">
        <v>101.5</v>
      </c>
      <c r="G206" s="2">
        <v>98.6</v>
      </c>
      <c r="H206" s="2">
        <f t="shared" si="10"/>
        <v>2.9000000000000057</v>
      </c>
      <c r="I206" s="1">
        <f>+(F206^14)/((F206^14+G206^14))</f>
        <v>0.60008649482988841</v>
      </c>
      <c r="J206" s="2">
        <v>108.6</v>
      </c>
      <c r="K206" s="2">
        <v>105.6</v>
      </c>
      <c r="L206" s="2">
        <f t="shared" si="11"/>
        <v>3</v>
      </c>
      <c r="M206">
        <v>116.1</v>
      </c>
      <c r="N206">
        <v>109.7</v>
      </c>
      <c r="O206">
        <v>1.9</v>
      </c>
    </row>
    <row r="207" spans="1:15">
      <c r="A207" t="s">
        <v>43</v>
      </c>
      <c r="B207" t="s">
        <v>33</v>
      </c>
      <c r="C207">
        <v>41</v>
      </c>
      <c r="D207">
        <v>41</v>
      </c>
      <c r="E207" s="1">
        <f t="shared" si="9"/>
        <v>0.5</v>
      </c>
      <c r="F207" s="2">
        <v>104.3</v>
      </c>
      <c r="G207" s="2">
        <v>104.9</v>
      </c>
      <c r="H207" s="2">
        <f t="shared" si="10"/>
        <v>-0.60000000000000853</v>
      </c>
      <c r="I207" s="1">
        <f>+(F207^14)/((F207^14+G207^14))</f>
        <v>0.47993424575681876</v>
      </c>
      <c r="J207" s="2">
        <v>108.7</v>
      </c>
      <c r="K207" s="2">
        <v>109.1</v>
      </c>
      <c r="L207" s="2">
        <f t="shared" si="11"/>
        <v>-0.39999999999999147</v>
      </c>
      <c r="M207">
        <v>102.3</v>
      </c>
      <c r="N207">
        <v>114.7</v>
      </c>
      <c r="O207">
        <v>-1.4</v>
      </c>
    </row>
    <row r="208" spans="1:15">
      <c r="A208" t="s">
        <v>44</v>
      </c>
      <c r="B208" t="s">
        <v>5</v>
      </c>
      <c r="C208">
        <v>37</v>
      </c>
      <c r="D208">
        <v>45</v>
      </c>
      <c r="E208" s="1">
        <f t="shared" si="9"/>
        <v>0.45121951219512196</v>
      </c>
      <c r="F208" s="2">
        <v>98.2</v>
      </c>
      <c r="G208" s="2">
        <v>100</v>
      </c>
      <c r="H208" s="2">
        <f t="shared" si="10"/>
        <v>-1.7999999999999972</v>
      </c>
      <c r="I208" s="1">
        <f>+(F208^14)/((F208^14+G208^14))</f>
        <v>0.43676649224387093</v>
      </c>
      <c r="J208" s="2">
        <v>105.5</v>
      </c>
      <c r="K208" s="2">
        <v>107.3</v>
      </c>
      <c r="L208" s="2">
        <f t="shared" si="11"/>
        <v>-1.7999999999999972</v>
      </c>
      <c r="M208">
        <v>100.3</v>
      </c>
      <c r="N208">
        <v>111.2</v>
      </c>
      <c r="O208">
        <v>-0.1</v>
      </c>
    </row>
    <row r="209" spans="1:15">
      <c r="A209" t="s">
        <v>44</v>
      </c>
      <c r="B209" t="s">
        <v>6</v>
      </c>
      <c r="C209">
        <v>66</v>
      </c>
      <c r="D209">
        <v>16</v>
      </c>
      <c r="E209" s="1">
        <f t="shared" si="9"/>
        <v>0.80487804878048785</v>
      </c>
      <c r="F209" s="2">
        <v>100.5</v>
      </c>
      <c r="G209" s="2">
        <v>90.3</v>
      </c>
      <c r="H209" s="2">
        <f t="shared" si="10"/>
        <v>10.200000000000003</v>
      </c>
      <c r="I209" s="1">
        <f>+(F209^14)/((F209^14+G209^14))</f>
        <v>0.81731836243506328</v>
      </c>
      <c r="J209" s="2">
        <v>108.8</v>
      </c>
      <c r="K209" s="2">
        <v>98.1</v>
      </c>
      <c r="L209" s="2">
        <f t="shared" si="11"/>
        <v>10.700000000000003</v>
      </c>
      <c r="M209">
        <v>101.4</v>
      </c>
      <c r="N209">
        <v>99.7</v>
      </c>
      <c r="O209">
        <v>1</v>
      </c>
    </row>
    <row r="210" spans="1:15">
      <c r="A210" t="s">
        <v>44</v>
      </c>
      <c r="B210" t="s">
        <v>40</v>
      </c>
      <c r="C210">
        <v>32</v>
      </c>
      <c r="D210">
        <v>50</v>
      </c>
      <c r="E210" s="1">
        <f t="shared" si="9"/>
        <v>0.3902439024390244</v>
      </c>
      <c r="F210" s="2">
        <v>97.1</v>
      </c>
      <c r="G210" s="2">
        <v>101.4</v>
      </c>
      <c r="H210" s="2">
        <f t="shared" si="10"/>
        <v>-4.3000000000000114</v>
      </c>
      <c r="I210" s="1">
        <f>+(F210^14)/((F210^14+G210^14))</f>
        <v>0.35282512141387656</v>
      </c>
      <c r="J210" s="2">
        <v>103.7</v>
      </c>
      <c r="K210" s="2">
        <v>108.2</v>
      </c>
      <c r="L210" s="2">
        <f t="shared" si="11"/>
        <v>-4.5</v>
      </c>
      <c r="M210">
        <v>101.9</v>
      </c>
      <c r="N210">
        <v>100.5</v>
      </c>
      <c r="O210">
        <v>-0.5</v>
      </c>
    </row>
    <row r="211" spans="1:15">
      <c r="A211" t="s">
        <v>44</v>
      </c>
      <c r="B211" t="s">
        <v>8</v>
      </c>
      <c r="C211">
        <v>33</v>
      </c>
      <c r="D211">
        <v>49</v>
      </c>
      <c r="E211" s="1">
        <f t="shared" si="9"/>
        <v>0.40243902439024393</v>
      </c>
      <c r="F211" s="2">
        <v>97.3</v>
      </c>
      <c r="G211" s="2">
        <v>100.4</v>
      </c>
      <c r="H211" s="2">
        <f t="shared" si="10"/>
        <v>-3.1000000000000085</v>
      </c>
      <c r="I211" s="1">
        <f>+(F211^14)/((F211^14+G211^14))</f>
        <v>0.39195900440907944</v>
      </c>
      <c r="J211" s="2">
        <v>102.9</v>
      </c>
      <c r="K211" s="2">
        <v>106</v>
      </c>
      <c r="L211" s="2">
        <f t="shared" si="11"/>
        <v>-3.0999999999999943</v>
      </c>
      <c r="M211">
        <v>90</v>
      </c>
      <c r="N211">
        <v>116</v>
      </c>
      <c r="O211">
        <v>-1.5</v>
      </c>
    </row>
    <row r="212" spans="1:15">
      <c r="A212" t="s">
        <v>44</v>
      </c>
      <c r="B212" t="s">
        <v>9</v>
      </c>
      <c r="C212">
        <v>45</v>
      </c>
      <c r="D212">
        <v>37</v>
      </c>
      <c r="E212" s="1">
        <f t="shared" si="9"/>
        <v>0.54878048780487809</v>
      </c>
      <c r="F212" s="2">
        <v>96.4</v>
      </c>
      <c r="G212" s="2">
        <v>96.7</v>
      </c>
      <c r="H212" s="2">
        <f t="shared" si="10"/>
        <v>-0.29999999999999716</v>
      </c>
      <c r="I212" s="1">
        <f>+(F212^14)/((F212^14+G212^14))</f>
        <v>0.48912651167349064</v>
      </c>
      <c r="J212" s="2">
        <v>104.8</v>
      </c>
      <c r="K212" s="2">
        <v>105.4</v>
      </c>
      <c r="L212" s="2">
        <f t="shared" si="11"/>
        <v>-0.60000000000000853</v>
      </c>
      <c r="M212">
        <v>112.8</v>
      </c>
      <c r="N212">
        <v>90.9</v>
      </c>
      <c r="O212">
        <v>1.9</v>
      </c>
    </row>
    <row r="213" spans="1:15">
      <c r="A213" t="s">
        <v>44</v>
      </c>
      <c r="B213" t="s">
        <v>10</v>
      </c>
      <c r="C213">
        <v>51</v>
      </c>
      <c r="D213">
        <v>31</v>
      </c>
      <c r="E213" s="1">
        <f t="shared" si="9"/>
        <v>0.62195121951219512</v>
      </c>
      <c r="F213" s="2">
        <v>100.4</v>
      </c>
      <c r="G213" s="2">
        <v>95.9</v>
      </c>
      <c r="H213" s="2">
        <f t="shared" si="10"/>
        <v>4.5</v>
      </c>
      <c r="I213" s="1">
        <f>+(F213^14)/((F213^14+G213^14))</f>
        <v>0.65520252150189628</v>
      </c>
      <c r="J213" s="2">
        <v>109.5</v>
      </c>
      <c r="K213" s="2">
        <v>104.7</v>
      </c>
      <c r="L213" s="2">
        <f t="shared" si="11"/>
        <v>4.7999999999999972</v>
      </c>
      <c r="M213">
        <v>114.4</v>
      </c>
      <c r="N213">
        <v>107.9</v>
      </c>
      <c r="O213">
        <v>0.5</v>
      </c>
    </row>
    <row r="214" spans="1:15">
      <c r="A214" t="s">
        <v>44</v>
      </c>
      <c r="B214" t="s">
        <v>11</v>
      </c>
      <c r="C214">
        <v>50</v>
      </c>
      <c r="D214">
        <v>32</v>
      </c>
      <c r="E214" s="1">
        <f t="shared" si="9"/>
        <v>0.6097560975609756</v>
      </c>
      <c r="F214" s="2">
        <v>110.7</v>
      </c>
      <c r="G214" s="2">
        <v>107</v>
      </c>
      <c r="H214" s="2">
        <f t="shared" si="10"/>
        <v>3.7000000000000028</v>
      </c>
      <c r="I214" s="1">
        <f>+(F214^14)/((F214^14+G214^14))</f>
        <v>0.61678636144729848</v>
      </c>
      <c r="J214" s="2">
        <v>108.9</v>
      </c>
      <c r="K214" s="2">
        <v>105.5</v>
      </c>
      <c r="L214" s="2">
        <f t="shared" si="11"/>
        <v>3.4000000000000057</v>
      </c>
      <c r="M214">
        <v>100.3</v>
      </c>
      <c r="N214">
        <v>97</v>
      </c>
      <c r="O214">
        <v>0.8</v>
      </c>
    </row>
    <row r="215" spans="1:15">
      <c r="A215" t="s">
        <v>44</v>
      </c>
      <c r="B215" t="s">
        <v>12</v>
      </c>
      <c r="C215">
        <v>59</v>
      </c>
      <c r="D215">
        <v>23</v>
      </c>
      <c r="E215" s="1">
        <f t="shared" si="9"/>
        <v>0.71951219512195119</v>
      </c>
      <c r="F215" s="2">
        <v>97.5</v>
      </c>
      <c r="G215" s="2">
        <v>90.1</v>
      </c>
      <c r="H215" s="2">
        <f t="shared" si="10"/>
        <v>7.4000000000000057</v>
      </c>
      <c r="I215" s="1">
        <f>+(F215^14)/((F215^14+G215^14))</f>
        <v>0.75120531169841753</v>
      </c>
      <c r="J215" s="2">
        <v>109.8</v>
      </c>
      <c r="K215" s="2">
        <v>101.5</v>
      </c>
      <c r="L215" s="2">
        <f t="shared" si="11"/>
        <v>8.2999999999999972</v>
      </c>
      <c r="M215">
        <v>113.7</v>
      </c>
      <c r="N215">
        <v>105.3</v>
      </c>
      <c r="O215">
        <v>0.6</v>
      </c>
    </row>
    <row r="216" spans="1:15">
      <c r="A216" t="s">
        <v>44</v>
      </c>
      <c r="B216" t="s">
        <v>13</v>
      </c>
      <c r="C216">
        <v>48</v>
      </c>
      <c r="D216">
        <v>34</v>
      </c>
      <c r="E216" s="1">
        <f t="shared" si="9"/>
        <v>0.58536585365853655</v>
      </c>
      <c r="F216" s="2">
        <v>111</v>
      </c>
      <c r="G216" s="2">
        <v>108.8</v>
      </c>
      <c r="H216" s="2">
        <f t="shared" si="10"/>
        <v>2.2000000000000028</v>
      </c>
      <c r="I216" s="1">
        <f>+(F216^14)/((F216^14+G216^14))</f>
        <v>0.56961097932319371</v>
      </c>
      <c r="J216" s="2">
        <v>110.4</v>
      </c>
      <c r="K216" s="2">
        <v>108.5</v>
      </c>
      <c r="L216" s="2">
        <f t="shared" si="11"/>
        <v>1.9000000000000057</v>
      </c>
      <c r="M216">
        <v>117.2</v>
      </c>
      <c r="N216">
        <v>103.9</v>
      </c>
      <c r="O216">
        <v>0.5</v>
      </c>
    </row>
    <row r="217" spans="1:15">
      <c r="A217" t="s">
        <v>44</v>
      </c>
      <c r="B217" t="s">
        <v>14</v>
      </c>
      <c r="C217">
        <v>55</v>
      </c>
      <c r="D217">
        <v>27</v>
      </c>
      <c r="E217" s="1">
        <f t="shared" si="9"/>
        <v>0.67073170731707321</v>
      </c>
      <c r="F217" s="2">
        <v>96.7</v>
      </c>
      <c r="G217" s="2">
        <v>92</v>
      </c>
      <c r="H217" s="2">
        <f t="shared" si="10"/>
        <v>4.7000000000000028</v>
      </c>
      <c r="I217" s="1">
        <f>+(F217^14)/((F217^14+G217^14))</f>
        <v>0.6676438096091204</v>
      </c>
      <c r="J217" s="2">
        <v>105.4</v>
      </c>
      <c r="K217" s="2">
        <v>100.5</v>
      </c>
      <c r="L217" s="2">
        <f t="shared" si="11"/>
        <v>4.9000000000000057</v>
      </c>
      <c r="M217">
        <v>99.2</v>
      </c>
      <c r="N217">
        <v>104.5</v>
      </c>
      <c r="O217">
        <v>0.1</v>
      </c>
    </row>
    <row r="218" spans="1:15">
      <c r="A218" t="s">
        <v>44</v>
      </c>
      <c r="B218" t="s">
        <v>15</v>
      </c>
      <c r="C218">
        <v>36</v>
      </c>
      <c r="D218">
        <v>46</v>
      </c>
      <c r="E218" s="1">
        <f t="shared" si="9"/>
        <v>0.43902439024390244</v>
      </c>
      <c r="F218" s="2">
        <v>104</v>
      </c>
      <c r="G218" s="2">
        <v>105.4</v>
      </c>
      <c r="H218" s="2">
        <f t="shared" si="10"/>
        <v>-1.4000000000000057</v>
      </c>
      <c r="I218" s="1">
        <f>+(F218^14)/((F218^14+G218^14))</f>
        <v>0.45333512374186213</v>
      </c>
      <c r="J218" s="2">
        <v>105.1</v>
      </c>
      <c r="K218" s="2">
        <v>106.3</v>
      </c>
      <c r="L218" s="2">
        <f t="shared" si="11"/>
        <v>-1.2000000000000028</v>
      </c>
      <c r="M218">
        <v>101.4</v>
      </c>
      <c r="N218">
        <v>113.1</v>
      </c>
      <c r="O218">
        <v>0.4</v>
      </c>
    </row>
    <row r="219" spans="1:15">
      <c r="A219" t="s">
        <v>44</v>
      </c>
      <c r="B219" t="s">
        <v>16</v>
      </c>
      <c r="C219">
        <v>23</v>
      </c>
      <c r="D219">
        <v>59</v>
      </c>
      <c r="E219" s="1">
        <f t="shared" si="9"/>
        <v>0.28048780487804881</v>
      </c>
      <c r="F219" s="2">
        <v>93.8</v>
      </c>
      <c r="G219" s="2">
        <v>101.1</v>
      </c>
      <c r="H219" s="2">
        <f t="shared" si="10"/>
        <v>-7.2999999999999972</v>
      </c>
      <c r="I219" s="1">
        <f>+(F219^14)/((F219^14+G219^14))</f>
        <v>0.25937226319296447</v>
      </c>
      <c r="J219" s="2">
        <v>99.9</v>
      </c>
      <c r="K219" s="2">
        <v>107.4</v>
      </c>
      <c r="L219" s="2">
        <f t="shared" si="11"/>
        <v>-7.5</v>
      </c>
      <c r="M219">
        <v>110.1</v>
      </c>
      <c r="N219">
        <v>122.7</v>
      </c>
      <c r="O219">
        <v>-1</v>
      </c>
    </row>
    <row r="220" spans="1:15">
      <c r="A220" t="s">
        <v>44</v>
      </c>
      <c r="B220" t="s">
        <v>17</v>
      </c>
      <c r="C220">
        <v>57</v>
      </c>
      <c r="D220">
        <v>25</v>
      </c>
      <c r="E220" s="1">
        <f t="shared" si="9"/>
        <v>0.69512195121951215</v>
      </c>
      <c r="F220" s="2">
        <v>108.6</v>
      </c>
      <c r="G220" s="2">
        <v>101.3</v>
      </c>
      <c r="H220" s="2">
        <f t="shared" si="10"/>
        <v>7.2999999999999972</v>
      </c>
      <c r="I220" s="1">
        <f>+(F220^14)/((F220^14+G220^14))</f>
        <v>0.72595385497038523</v>
      </c>
      <c r="J220" s="2">
        <v>111.7</v>
      </c>
      <c r="K220" s="2">
        <v>104.3</v>
      </c>
      <c r="L220" s="2">
        <f t="shared" si="11"/>
        <v>7.4000000000000057</v>
      </c>
      <c r="M220">
        <v>104.6</v>
      </c>
      <c r="N220">
        <v>102.1</v>
      </c>
      <c r="O220">
        <v>1.8</v>
      </c>
    </row>
    <row r="221" spans="1:15">
      <c r="A221" t="s">
        <v>44</v>
      </c>
      <c r="B221" t="s">
        <v>35</v>
      </c>
      <c r="C221">
        <v>22</v>
      </c>
      <c r="D221">
        <v>60</v>
      </c>
      <c r="E221" s="1">
        <f t="shared" si="9"/>
        <v>0.26829268292682928</v>
      </c>
      <c r="F221" s="2">
        <v>100.7</v>
      </c>
      <c r="G221" s="2">
        <v>106.9</v>
      </c>
      <c r="H221" s="2">
        <f t="shared" si="10"/>
        <v>-6.2000000000000028</v>
      </c>
      <c r="I221" s="1">
        <f>+(F221^14)/((F221^14+G221^14))</f>
        <v>0.30227828737765194</v>
      </c>
      <c r="J221" s="2">
        <v>103.9</v>
      </c>
      <c r="K221" s="2">
        <v>110.2</v>
      </c>
      <c r="L221" s="2">
        <f t="shared" si="11"/>
        <v>-6.2999999999999972</v>
      </c>
      <c r="M221">
        <v>105.8</v>
      </c>
      <c r="N221">
        <v>116.6</v>
      </c>
      <c r="O221">
        <v>0</v>
      </c>
    </row>
    <row r="222" spans="1:15">
      <c r="A222" t="s">
        <v>44</v>
      </c>
      <c r="B222" t="s">
        <v>18</v>
      </c>
      <c r="C222">
        <v>15</v>
      </c>
      <c r="D222">
        <v>67</v>
      </c>
      <c r="E222" s="1">
        <f t="shared" si="9"/>
        <v>0.18292682926829268</v>
      </c>
      <c r="F222" s="2">
        <v>91.4</v>
      </c>
      <c r="G222" s="2">
        <v>100</v>
      </c>
      <c r="H222" s="2">
        <f t="shared" si="10"/>
        <v>-8.5999999999999943</v>
      </c>
      <c r="I222" s="1">
        <f>+(F222^14)/((F222^14+G222^14))</f>
        <v>0.2211554021057861</v>
      </c>
      <c r="J222" s="2">
        <v>99.4</v>
      </c>
      <c r="K222" s="2">
        <v>108.8</v>
      </c>
      <c r="L222" s="2">
        <f t="shared" si="11"/>
        <v>-9.3999999999999915</v>
      </c>
      <c r="M222">
        <v>85.2</v>
      </c>
      <c r="N222">
        <v>111.4</v>
      </c>
      <c r="O222">
        <v>-2</v>
      </c>
    </row>
    <row r="223" spans="1:15">
      <c r="A223" t="s">
        <v>44</v>
      </c>
      <c r="B223" t="s">
        <v>19</v>
      </c>
      <c r="C223">
        <v>26</v>
      </c>
      <c r="D223">
        <v>56</v>
      </c>
      <c r="E223" s="1">
        <f t="shared" si="9"/>
        <v>0.31707317073170732</v>
      </c>
      <c r="F223" s="2">
        <v>97</v>
      </c>
      <c r="G223" s="2">
        <v>103.9</v>
      </c>
      <c r="H223" s="2">
        <f t="shared" si="10"/>
        <v>-6.9000000000000057</v>
      </c>
      <c r="I223" s="1">
        <f>+(F223^14)/((F223^14+G223^14))</f>
        <v>0.27646776360303693</v>
      </c>
      <c r="J223" s="2">
        <v>103.9</v>
      </c>
      <c r="K223" s="2">
        <v>111.1</v>
      </c>
      <c r="L223" s="2">
        <f t="shared" si="11"/>
        <v>-7.1999999999999886</v>
      </c>
      <c r="M223">
        <v>109.3</v>
      </c>
      <c r="N223">
        <v>111.5</v>
      </c>
      <c r="O223">
        <v>-1.7</v>
      </c>
    </row>
    <row r="224" spans="1:15">
      <c r="A224" t="s">
        <v>44</v>
      </c>
      <c r="B224" t="s">
        <v>20</v>
      </c>
      <c r="C224">
        <v>22</v>
      </c>
      <c r="D224">
        <v>60</v>
      </c>
      <c r="E224" s="1">
        <f t="shared" si="9"/>
        <v>0.26829268292682928</v>
      </c>
      <c r="F224" s="2">
        <v>95.6</v>
      </c>
      <c r="G224" s="2">
        <v>102.4</v>
      </c>
      <c r="H224" s="2">
        <f t="shared" si="10"/>
        <v>-6.8000000000000114</v>
      </c>
      <c r="I224" s="1">
        <f>+(F224^14)/((F224^14+G224^14))</f>
        <v>0.27647904137528079</v>
      </c>
      <c r="J224" s="2">
        <v>102.7</v>
      </c>
      <c r="K224" s="2">
        <v>110</v>
      </c>
      <c r="L224" s="2">
        <f t="shared" si="11"/>
        <v>-7.2999999999999972</v>
      </c>
      <c r="M224">
        <v>105.4</v>
      </c>
      <c r="N224">
        <v>118.7</v>
      </c>
      <c r="O224">
        <v>-1.9</v>
      </c>
    </row>
    <row r="225" spans="1:15">
      <c r="A225" t="s">
        <v>44</v>
      </c>
      <c r="B225" t="s">
        <v>21</v>
      </c>
      <c r="C225">
        <v>34</v>
      </c>
      <c r="D225">
        <v>48</v>
      </c>
      <c r="E225" s="1">
        <f t="shared" si="9"/>
        <v>0.41463414634146339</v>
      </c>
      <c r="F225" s="2">
        <v>95.8</v>
      </c>
      <c r="G225" s="2">
        <v>100.9</v>
      </c>
      <c r="H225" s="2">
        <f t="shared" si="10"/>
        <v>-5.1000000000000085</v>
      </c>
      <c r="I225" s="1">
        <f>+(F225^14)/((F225^14+G225^14))</f>
        <v>0.32604204255195213</v>
      </c>
      <c r="J225" s="2">
        <v>102.3</v>
      </c>
      <c r="K225" s="2">
        <v>107.7</v>
      </c>
      <c r="L225" s="2">
        <f t="shared" si="11"/>
        <v>-5.4000000000000057</v>
      </c>
      <c r="M225">
        <v>112.8</v>
      </c>
      <c r="N225">
        <v>107.1</v>
      </c>
      <c r="O225">
        <v>-1.8</v>
      </c>
    </row>
    <row r="226" spans="1:15">
      <c r="A226" t="s">
        <v>44</v>
      </c>
      <c r="B226" t="s">
        <v>37</v>
      </c>
      <c r="C226">
        <v>56</v>
      </c>
      <c r="D226">
        <v>26</v>
      </c>
      <c r="E226" s="1">
        <f t="shared" si="9"/>
        <v>0.68292682926829273</v>
      </c>
      <c r="F226" s="2">
        <v>100.9</v>
      </c>
      <c r="G226" s="2">
        <v>95.6</v>
      </c>
      <c r="H226" s="2">
        <f t="shared" si="10"/>
        <v>5.3000000000000114</v>
      </c>
      <c r="I226" s="1">
        <f>+(F226^14)/((F226^14+G226^14))</f>
        <v>0.68035408366862116</v>
      </c>
      <c r="J226" s="2">
        <v>110</v>
      </c>
      <c r="K226" s="2">
        <v>104.4</v>
      </c>
      <c r="L226" s="2">
        <f t="shared" si="11"/>
        <v>5.5999999999999943</v>
      </c>
      <c r="M226">
        <v>105.2</v>
      </c>
      <c r="N226">
        <v>98.5</v>
      </c>
      <c r="O226">
        <v>1.4</v>
      </c>
    </row>
    <row r="227" spans="1:15">
      <c r="A227" t="s">
        <v>44</v>
      </c>
      <c r="B227" t="s">
        <v>22</v>
      </c>
      <c r="C227">
        <v>23</v>
      </c>
      <c r="D227">
        <v>59</v>
      </c>
      <c r="E227" s="1">
        <f t="shared" si="9"/>
        <v>0.28048780487804881</v>
      </c>
      <c r="F227" s="2">
        <v>96.9</v>
      </c>
      <c r="G227" s="2">
        <v>103.5</v>
      </c>
      <c r="H227" s="2">
        <f t="shared" si="10"/>
        <v>-6.5999999999999943</v>
      </c>
      <c r="I227" s="1">
        <f>+(F227^14)/((F227^14+G227^14))</f>
        <v>0.28445095118347524</v>
      </c>
      <c r="J227" s="2">
        <v>103.5</v>
      </c>
      <c r="K227" s="2">
        <v>110.4</v>
      </c>
      <c r="L227" s="2">
        <f t="shared" si="11"/>
        <v>-6.9000000000000057</v>
      </c>
      <c r="M227">
        <v>89.9</v>
      </c>
      <c r="N227">
        <v>96.9</v>
      </c>
      <c r="O227">
        <v>-1.4</v>
      </c>
    </row>
    <row r="228" spans="1:15">
      <c r="A228" t="s">
        <v>44</v>
      </c>
      <c r="B228" t="s">
        <v>23</v>
      </c>
      <c r="C228">
        <v>52</v>
      </c>
      <c r="D228">
        <v>30</v>
      </c>
      <c r="E228" s="1">
        <f t="shared" si="9"/>
        <v>0.63414634146341464</v>
      </c>
      <c r="F228" s="2">
        <v>104.5</v>
      </c>
      <c r="G228" s="2">
        <v>99</v>
      </c>
      <c r="H228" s="2">
        <f t="shared" si="10"/>
        <v>5.5</v>
      </c>
      <c r="I228" s="1">
        <f>+(F228^14)/((F228^14+G228^14))</f>
        <v>0.68068924490801519</v>
      </c>
      <c r="J228" s="2">
        <v>110.4</v>
      </c>
      <c r="K228" s="2">
        <v>104.9</v>
      </c>
      <c r="L228" s="2">
        <f t="shared" si="11"/>
        <v>5.5</v>
      </c>
      <c r="M228">
        <v>109.5</v>
      </c>
      <c r="N228">
        <v>103.2</v>
      </c>
      <c r="O228">
        <v>1.3</v>
      </c>
    </row>
    <row r="229" spans="1:15">
      <c r="A229" t="s">
        <v>44</v>
      </c>
      <c r="B229" t="s">
        <v>24</v>
      </c>
      <c r="C229">
        <v>40</v>
      </c>
      <c r="D229">
        <v>42</v>
      </c>
      <c r="E229" s="1">
        <f t="shared" si="9"/>
        <v>0.48780487804878048</v>
      </c>
      <c r="F229" s="2">
        <v>96.6</v>
      </c>
      <c r="G229" s="2">
        <v>96.2</v>
      </c>
      <c r="H229" s="2">
        <f t="shared" si="10"/>
        <v>0.39999999999999147</v>
      </c>
      <c r="I229" s="1">
        <f>+(F229^14)/((F229^14+G229^14))</f>
        <v>0.51451875971750194</v>
      </c>
      <c r="J229" s="2">
        <v>105.1</v>
      </c>
      <c r="K229" s="2">
        <v>104.7</v>
      </c>
      <c r="L229" s="2">
        <f t="shared" si="11"/>
        <v>0.39999999999999147</v>
      </c>
      <c r="M229">
        <v>102.2</v>
      </c>
      <c r="N229">
        <v>91.7</v>
      </c>
      <c r="O229">
        <v>1.4</v>
      </c>
    </row>
    <row r="230" spans="1:15">
      <c r="A230" t="s">
        <v>44</v>
      </c>
      <c r="B230" t="s">
        <v>25</v>
      </c>
      <c r="C230">
        <v>55</v>
      </c>
      <c r="D230">
        <v>27</v>
      </c>
      <c r="E230" s="1">
        <f t="shared" si="9"/>
        <v>0.67073170731707321</v>
      </c>
      <c r="F230" s="2">
        <v>110.1</v>
      </c>
      <c r="G230" s="2">
        <v>105</v>
      </c>
      <c r="H230" s="2">
        <f t="shared" si="10"/>
        <v>5.0999999999999943</v>
      </c>
      <c r="I230" s="1">
        <f>+(F230^14)/((F230^14+G230^14))</f>
        <v>0.66015874335995706</v>
      </c>
      <c r="J230" s="2">
        <v>112</v>
      </c>
      <c r="K230" s="2">
        <v>107</v>
      </c>
      <c r="L230" s="2">
        <f t="shared" si="11"/>
        <v>5</v>
      </c>
      <c r="M230">
        <v>110.9</v>
      </c>
      <c r="N230">
        <v>96.8</v>
      </c>
      <c r="O230">
        <v>0.6</v>
      </c>
    </row>
    <row r="231" spans="1:15">
      <c r="A231" t="s">
        <v>44</v>
      </c>
      <c r="B231" t="s">
        <v>26</v>
      </c>
      <c r="C231">
        <v>41</v>
      </c>
      <c r="D231">
        <v>41</v>
      </c>
      <c r="E231" s="1">
        <f t="shared" si="9"/>
        <v>0.5</v>
      </c>
      <c r="F231" s="2">
        <v>95.4</v>
      </c>
      <c r="G231" s="2">
        <v>96.3</v>
      </c>
      <c r="H231" s="2">
        <f t="shared" si="10"/>
        <v>-0.89999999999999147</v>
      </c>
      <c r="I231" s="1">
        <f>+(F231^14)/((F231^14+G231^14))</f>
        <v>0.46718315355083007</v>
      </c>
      <c r="J231" s="2">
        <v>105.9</v>
      </c>
      <c r="K231" s="2">
        <v>106.8</v>
      </c>
      <c r="L231" s="2">
        <f t="shared" si="11"/>
        <v>-0.89999999999999147</v>
      </c>
      <c r="M231">
        <v>110.6</v>
      </c>
      <c r="N231">
        <v>107.7</v>
      </c>
      <c r="O231">
        <v>0.1</v>
      </c>
    </row>
    <row r="232" spans="1:15">
      <c r="A232" t="s">
        <v>44</v>
      </c>
      <c r="B232" t="s">
        <v>27</v>
      </c>
      <c r="C232">
        <v>38</v>
      </c>
      <c r="D232">
        <v>44</v>
      </c>
      <c r="E232" s="1">
        <f t="shared" si="9"/>
        <v>0.46341463414634149</v>
      </c>
      <c r="F232" s="2">
        <v>102.5</v>
      </c>
      <c r="G232" s="2">
        <v>104.8</v>
      </c>
      <c r="H232" s="2">
        <f t="shared" si="10"/>
        <v>-2.2999999999999972</v>
      </c>
      <c r="I232" s="1">
        <f>+(F232^14)/((F232^14+G232^14))</f>
        <v>0.42295032284639811</v>
      </c>
      <c r="J232" s="2">
        <v>106.2</v>
      </c>
      <c r="K232" s="2">
        <v>108.6</v>
      </c>
      <c r="L232" s="2">
        <f t="shared" si="11"/>
        <v>-2.3999999999999915</v>
      </c>
      <c r="M232">
        <v>109.5</v>
      </c>
      <c r="N232">
        <v>106.7</v>
      </c>
      <c r="O232">
        <v>-0.6</v>
      </c>
    </row>
    <row r="233" spans="1:15">
      <c r="A233" t="s">
        <v>44</v>
      </c>
      <c r="B233" t="s">
        <v>28</v>
      </c>
      <c r="C233">
        <v>56</v>
      </c>
      <c r="D233">
        <v>26</v>
      </c>
      <c r="E233" s="1">
        <f t="shared" si="9"/>
        <v>0.68292682926829273</v>
      </c>
      <c r="F233" s="2">
        <v>95.4</v>
      </c>
      <c r="G233" s="2">
        <v>90.6</v>
      </c>
      <c r="H233" s="2">
        <f t="shared" si="10"/>
        <v>4.8000000000000114</v>
      </c>
      <c r="I233" s="1">
        <f>+(F233^14)/((F233^14+G233^14))</f>
        <v>0.6732103435940866</v>
      </c>
      <c r="J233" s="2">
        <v>106</v>
      </c>
      <c r="K233" s="2">
        <v>100.7</v>
      </c>
      <c r="L233" s="2">
        <f t="shared" si="11"/>
        <v>5.2999999999999972</v>
      </c>
      <c r="M233">
        <v>110.6</v>
      </c>
      <c r="N233">
        <v>100.4</v>
      </c>
      <c r="O233">
        <v>1</v>
      </c>
    </row>
    <row r="234" spans="1:15">
      <c r="A234" t="s">
        <v>44</v>
      </c>
      <c r="B234" t="s">
        <v>29</v>
      </c>
      <c r="C234">
        <v>20</v>
      </c>
      <c r="D234">
        <v>62</v>
      </c>
      <c r="E234" s="1">
        <f t="shared" si="9"/>
        <v>0.24390243902439024</v>
      </c>
      <c r="F234" s="2">
        <v>97.5</v>
      </c>
      <c r="G234" s="2">
        <v>106.3</v>
      </c>
      <c r="H234" s="2">
        <f t="shared" si="10"/>
        <v>-8.7999999999999972</v>
      </c>
      <c r="I234" s="1">
        <f>+(F234^14)/((F234^14+G234^14))</f>
        <v>0.22973985536315381</v>
      </c>
      <c r="J234" s="2">
        <v>99.6</v>
      </c>
      <c r="K234" s="2">
        <v>108.3</v>
      </c>
      <c r="L234" s="2">
        <f t="shared" si="11"/>
        <v>-8.7000000000000028</v>
      </c>
      <c r="M234">
        <v>105.6</v>
      </c>
      <c r="N234">
        <v>105.8</v>
      </c>
      <c r="O234">
        <v>-2.6</v>
      </c>
    </row>
    <row r="235" spans="1:15">
      <c r="A235" t="s">
        <v>44</v>
      </c>
      <c r="B235" t="s">
        <v>30</v>
      </c>
      <c r="C235">
        <v>41</v>
      </c>
      <c r="D235">
        <v>41</v>
      </c>
      <c r="E235" s="1">
        <f t="shared" si="9"/>
        <v>0.5</v>
      </c>
      <c r="F235" s="2">
        <v>100.2</v>
      </c>
      <c r="G235" s="2">
        <v>97.3</v>
      </c>
      <c r="H235" s="2">
        <f t="shared" si="10"/>
        <v>2.9000000000000057</v>
      </c>
      <c r="I235" s="1">
        <f>+(F235^14)/((F235^14+G235^14))</f>
        <v>0.6013681002055381</v>
      </c>
      <c r="J235" s="2">
        <v>108.9</v>
      </c>
      <c r="K235" s="2">
        <v>105.6</v>
      </c>
      <c r="L235" s="2">
        <f t="shared" si="11"/>
        <v>3.3000000000000114</v>
      </c>
      <c r="M235">
        <v>115.5</v>
      </c>
      <c r="N235">
        <v>120.5</v>
      </c>
      <c r="O235">
        <v>0</v>
      </c>
    </row>
    <row r="236" spans="1:15">
      <c r="A236" t="s">
        <v>44</v>
      </c>
      <c r="B236" t="s">
        <v>31</v>
      </c>
      <c r="C236">
        <v>54</v>
      </c>
      <c r="D236">
        <v>28</v>
      </c>
      <c r="E236" s="1">
        <f t="shared" si="9"/>
        <v>0.65853658536585369</v>
      </c>
      <c r="F236" s="2">
        <v>106.2</v>
      </c>
      <c r="G236" s="2">
        <v>99.3</v>
      </c>
      <c r="H236" s="2">
        <f t="shared" si="10"/>
        <v>6.9000000000000057</v>
      </c>
      <c r="I236" s="1">
        <f>+(F236^14)/((F236^14+G236^14))</f>
        <v>0.71920054882030759</v>
      </c>
      <c r="J236" s="2">
        <v>112.1</v>
      </c>
      <c r="K236" s="2">
        <v>104.9</v>
      </c>
      <c r="L236" s="2">
        <f t="shared" si="11"/>
        <v>7.1999999999999886</v>
      </c>
      <c r="M236">
        <v>116.3</v>
      </c>
      <c r="N236">
        <v>118.1</v>
      </c>
      <c r="O236">
        <v>1.5</v>
      </c>
    </row>
    <row r="237" spans="1:15">
      <c r="A237" t="s">
        <v>44</v>
      </c>
      <c r="B237" t="s">
        <v>33</v>
      </c>
      <c r="C237">
        <v>43</v>
      </c>
      <c r="D237">
        <v>39</v>
      </c>
      <c r="E237" s="1">
        <f t="shared" si="9"/>
        <v>0.52439024390243905</v>
      </c>
      <c r="F237" s="2">
        <v>98.8</v>
      </c>
      <c r="G237" s="2">
        <v>99.2</v>
      </c>
      <c r="H237" s="2">
        <f t="shared" si="10"/>
        <v>-0.40000000000000568</v>
      </c>
      <c r="I237" s="1">
        <f>+(F237^14)/((F237^14+G237^14))</f>
        <v>0.48586233608877544</v>
      </c>
      <c r="J237" s="2">
        <v>107.6</v>
      </c>
      <c r="K237" s="2">
        <v>107.9</v>
      </c>
      <c r="L237" s="2">
        <f t="shared" si="11"/>
        <v>-0.30000000000001137</v>
      </c>
      <c r="M237">
        <v>110.5</v>
      </c>
      <c r="N237">
        <v>108.6</v>
      </c>
      <c r="O237">
        <v>-0.1</v>
      </c>
    </row>
    <row r="238" spans="1:15">
      <c r="A238" t="s">
        <v>45</v>
      </c>
      <c r="B238" t="s">
        <v>5</v>
      </c>
      <c r="C238">
        <v>47</v>
      </c>
      <c r="D238">
        <v>35</v>
      </c>
      <c r="E238" s="1">
        <f t="shared" si="9"/>
        <v>0.57317073170731703</v>
      </c>
      <c r="F238" s="2">
        <v>98.1</v>
      </c>
      <c r="G238" s="2">
        <v>96.5</v>
      </c>
      <c r="H238" s="2">
        <f t="shared" si="10"/>
        <v>1.5999999999999943</v>
      </c>
      <c r="I238" s="1">
        <f>+(F238^14)/((F238^14+G238^14))</f>
        <v>0.55730238336398075</v>
      </c>
      <c r="J238" s="2">
        <v>108.3</v>
      </c>
      <c r="K238" s="2">
        <v>106.7</v>
      </c>
      <c r="L238" s="2">
        <f t="shared" si="11"/>
        <v>1.5999999999999943</v>
      </c>
      <c r="M238">
        <v>106.7</v>
      </c>
      <c r="N238">
        <v>93.9</v>
      </c>
      <c r="O238">
        <v>2.1</v>
      </c>
    </row>
    <row r="239" spans="1:15">
      <c r="A239" t="s">
        <v>45</v>
      </c>
      <c r="B239" t="s">
        <v>6</v>
      </c>
      <c r="C239">
        <v>62</v>
      </c>
      <c r="D239">
        <v>20</v>
      </c>
      <c r="E239" s="1">
        <f t="shared" si="9"/>
        <v>0.75609756097560976</v>
      </c>
      <c r="F239" s="2">
        <v>100.9</v>
      </c>
      <c r="G239" s="2">
        <v>93.4</v>
      </c>
      <c r="H239" s="2">
        <f t="shared" si="10"/>
        <v>7.5</v>
      </c>
      <c r="I239" s="1">
        <f>+(F239^14)/((F239^14+G239^14))</f>
        <v>0.74674751044772081</v>
      </c>
      <c r="J239" s="2">
        <v>109.5</v>
      </c>
      <c r="K239" s="2">
        <v>101.6</v>
      </c>
      <c r="L239" s="2">
        <f t="shared" si="11"/>
        <v>7.9000000000000057</v>
      </c>
      <c r="M239">
        <v>113.7</v>
      </c>
      <c r="N239">
        <v>101.4</v>
      </c>
      <c r="O239">
        <v>0.5</v>
      </c>
    </row>
    <row r="240" spans="1:15">
      <c r="A240" t="s">
        <v>45</v>
      </c>
      <c r="B240" t="s">
        <v>40</v>
      </c>
      <c r="C240">
        <v>35</v>
      </c>
      <c r="D240">
        <v>47</v>
      </c>
      <c r="E240" s="1">
        <f t="shared" si="9"/>
        <v>0.42682926829268292</v>
      </c>
      <c r="F240" s="2">
        <v>93.6</v>
      </c>
      <c r="G240" s="2">
        <v>94.9</v>
      </c>
      <c r="H240" s="2">
        <f t="shared" si="10"/>
        <v>-1.3000000000000114</v>
      </c>
      <c r="I240" s="1">
        <f>+(F240^14)/((F240^14+G240^14))</f>
        <v>0.4518728353322306</v>
      </c>
      <c r="J240" s="2">
        <v>103.7</v>
      </c>
      <c r="K240" s="2">
        <v>105</v>
      </c>
      <c r="L240" s="2">
        <f t="shared" si="11"/>
        <v>-1.2999999999999972</v>
      </c>
      <c r="M240">
        <v>97.8</v>
      </c>
      <c r="N240">
        <v>96.9</v>
      </c>
      <c r="O240">
        <v>-0.3</v>
      </c>
    </row>
    <row r="241" spans="1:15">
      <c r="A241" t="s">
        <v>45</v>
      </c>
      <c r="B241" t="s">
        <v>8</v>
      </c>
      <c r="C241">
        <v>41</v>
      </c>
      <c r="D241">
        <v>41</v>
      </c>
      <c r="E241" s="1">
        <f t="shared" si="9"/>
        <v>0.5</v>
      </c>
      <c r="F241" s="2">
        <v>102.2</v>
      </c>
      <c r="G241" s="2">
        <v>102.5</v>
      </c>
      <c r="H241" s="2">
        <f t="shared" si="10"/>
        <v>-0.29999999999999716</v>
      </c>
      <c r="I241" s="1">
        <f>+(F241^14)/((F241^14+G241^14))</f>
        <v>0.48974251653386769</v>
      </c>
      <c r="J241" s="2">
        <v>107.2</v>
      </c>
      <c r="K241" s="2">
        <v>107.5</v>
      </c>
      <c r="L241" s="2">
        <f t="shared" si="11"/>
        <v>-0.29999999999999716</v>
      </c>
      <c r="M241">
        <v>107.2</v>
      </c>
      <c r="N241">
        <v>104.5</v>
      </c>
      <c r="O241">
        <v>1.6</v>
      </c>
    </row>
    <row r="242" spans="1:15">
      <c r="A242" t="s">
        <v>45</v>
      </c>
      <c r="B242" t="s">
        <v>9</v>
      </c>
      <c r="C242">
        <v>66</v>
      </c>
      <c r="D242">
        <v>16</v>
      </c>
      <c r="E242" s="1">
        <f t="shared" si="9"/>
        <v>0.80487804878048785</v>
      </c>
      <c r="F242" s="2">
        <v>100.3</v>
      </c>
      <c r="G242" s="2">
        <v>91.4</v>
      </c>
      <c r="H242" s="2">
        <f t="shared" si="10"/>
        <v>8.8999999999999915</v>
      </c>
      <c r="I242" s="1">
        <f>+(F242^14)/((F242^14+G242^14))</f>
        <v>0.78598355822200683</v>
      </c>
      <c r="J242" s="2">
        <v>111.2</v>
      </c>
      <c r="K242" s="2">
        <v>101.6</v>
      </c>
      <c r="L242" s="2">
        <f t="shared" si="11"/>
        <v>9.6000000000000085</v>
      </c>
      <c r="M242">
        <v>127.1</v>
      </c>
      <c r="N242">
        <v>93.9</v>
      </c>
      <c r="O242">
        <v>2</v>
      </c>
    </row>
    <row r="243" spans="1:15">
      <c r="A243" t="s">
        <v>45</v>
      </c>
      <c r="B243" t="s">
        <v>10</v>
      </c>
      <c r="C243">
        <v>50</v>
      </c>
      <c r="D243">
        <v>32</v>
      </c>
      <c r="E243" s="1">
        <f t="shared" si="9"/>
        <v>0.6097560975609756</v>
      </c>
      <c r="F243" s="2">
        <v>101.7</v>
      </c>
      <c r="G243" s="2">
        <v>99.8</v>
      </c>
      <c r="H243" s="2">
        <f t="shared" si="10"/>
        <v>1.9000000000000057</v>
      </c>
      <c r="I243" s="1">
        <f>+(F243^14)/((F243^14+G243^14))</f>
        <v>0.56562612482912078</v>
      </c>
      <c r="J243" s="2">
        <v>109</v>
      </c>
      <c r="K243" s="2">
        <v>107</v>
      </c>
      <c r="L243" s="2">
        <f t="shared" si="11"/>
        <v>2</v>
      </c>
      <c r="M243">
        <v>113</v>
      </c>
      <c r="N243">
        <v>98.7</v>
      </c>
      <c r="O243">
        <v>-0.2</v>
      </c>
    </row>
    <row r="244" spans="1:15">
      <c r="A244" t="s">
        <v>45</v>
      </c>
      <c r="B244" t="s">
        <v>11</v>
      </c>
      <c r="C244">
        <v>54</v>
      </c>
      <c r="D244">
        <v>28</v>
      </c>
      <c r="E244" s="1">
        <f t="shared" si="9"/>
        <v>0.65853658536585369</v>
      </c>
      <c r="F244" s="2">
        <v>104.3</v>
      </c>
      <c r="G244" s="2">
        <v>100.9</v>
      </c>
      <c r="H244" s="2">
        <f t="shared" si="10"/>
        <v>3.3999999999999915</v>
      </c>
      <c r="I244" s="1">
        <f>+(F244^14)/((F244^14+G244^14))</f>
        <v>0.61395793719078184</v>
      </c>
      <c r="J244" s="2">
        <v>109</v>
      </c>
      <c r="K244" s="2">
        <v>105.6</v>
      </c>
      <c r="L244" s="2">
        <f t="shared" si="11"/>
        <v>3.4000000000000057</v>
      </c>
      <c r="M244">
        <v>108.5</v>
      </c>
      <c r="N244">
        <v>106.3</v>
      </c>
      <c r="O244">
        <v>-0.4</v>
      </c>
    </row>
    <row r="245" spans="1:15">
      <c r="A245" t="s">
        <v>45</v>
      </c>
      <c r="B245" t="s">
        <v>12</v>
      </c>
      <c r="C245">
        <v>39</v>
      </c>
      <c r="D245">
        <v>43</v>
      </c>
      <c r="E245" s="1">
        <f t="shared" si="9"/>
        <v>0.47560975609756095</v>
      </c>
      <c r="F245" s="2">
        <v>94.2</v>
      </c>
      <c r="G245" s="2">
        <v>94.7</v>
      </c>
      <c r="H245" s="2">
        <f t="shared" si="10"/>
        <v>-0.5</v>
      </c>
      <c r="I245" s="1">
        <f>+(F245^14)/((F245^14+G245^14))</f>
        <v>0.48148011126820961</v>
      </c>
      <c r="J245" s="2">
        <v>105.8</v>
      </c>
      <c r="K245" s="2">
        <v>106.4</v>
      </c>
      <c r="L245" s="2">
        <f t="shared" si="11"/>
        <v>-0.60000000000000853</v>
      </c>
      <c r="M245">
        <v>101.4</v>
      </c>
      <c r="N245">
        <v>106.3</v>
      </c>
      <c r="O245">
        <v>-0.5</v>
      </c>
    </row>
    <row r="246" spans="1:15">
      <c r="A246" t="s">
        <v>45</v>
      </c>
      <c r="B246" t="s">
        <v>13</v>
      </c>
      <c r="C246">
        <v>29</v>
      </c>
      <c r="D246">
        <v>53</v>
      </c>
      <c r="E246" s="1">
        <f t="shared" si="9"/>
        <v>0.35365853658536583</v>
      </c>
      <c r="F246" s="2">
        <v>108.6</v>
      </c>
      <c r="G246" s="2">
        <v>112.3</v>
      </c>
      <c r="H246" s="2">
        <f t="shared" si="10"/>
        <v>-3.7000000000000028</v>
      </c>
      <c r="I246" s="1">
        <f>+(F246^14)/((F246^14+G246^14))</f>
        <v>0.38484482323315583</v>
      </c>
      <c r="J246" s="2">
        <v>108</v>
      </c>
      <c r="K246" s="2">
        <v>111.7</v>
      </c>
      <c r="L246" s="2">
        <f t="shared" si="11"/>
        <v>-3.7000000000000028</v>
      </c>
      <c r="M246">
        <v>93.7</v>
      </c>
      <c r="N246">
        <v>111.1</v>
      </c>
      <c r="O246">
        <v>-0.7</v>
      </c>
    </row>
    <row r="247" spans="1:15">
      <c r="A247" t="s">
        <v>45</v>
      </c>
      <c r="B247" t="s">
        <v>14</v>
      </c>
      <c r="C247">
        <v>53</v>
      </c>
      <c r="D247">
        <v>29</v>
      </c>
      <c r="E247" s="1">
        <f t="shared" si="9"/>
        <v>0.64634146341463417</v>
      </c>
      <c r="F247" s="2">
        <v>98.4</v>
      </c>
      <c r="G247" s="2">
        <v>94.4</v>
      </c>
      <c r="H247" s="2">
        <f t="shared" si="10"/>
        <v>4</v>
      </c>
      <c r="I247" s="1">
        <f>+(F247^14)/((F247^14+G247^14))</f>
        <v>0.64129660723482429</v>
      </c>
      <c r="J247" s="2">
        <v>107.1</v>
      </c>
      <c r="K247" s="2">
        <v>102.9</v>
      </c>
      <c r="L247" s="2">
        <f t="shared" si="11"/>
        <v>4.1999999999999886</v>
      </c>
      <c r="M247">
        <v>93.3</v>
      </c>
      <c r="N247">
        <v>103.8</v>
      </c>
      <c r="O247">
        <v>-0.6</v>
      </c>
    </row>
    <row r="248" spans="1:15">
      <c r="A248" t="s">
        <v>45</v>
      </c>
      <c r="B248" t="s">
        <v>15</v>
      </c>
      <c r="C248">
        <v>36</v>
      </c>
      <c r="D248">
        <v>46</v>
      </c>
      <c r="E248" s="1">
        <f t="shared" si="9"/>
        <v>0.43902439024390244</v>
      </c>
      <c r="F248" s="2">
        <v>105.1</v>
      </c>
      <c r="G248" s="2">
        <v>106.2</v>
      </c>
      <c r="H248" s="2">
        <f t="shared" si="10"/>
        <v>-1.1000000000000085</v>
      </c>
      <c r="I248" s="1">
        <f>+(F248^14)/((F248^14+G248^14))</f>
        <v>0.46362297938992397</v>
      </c>
      <c r="J248" s="2">
        <v>107.2</v>
      </c>
      <c r="K248" s="2">
        <v>108.2</v>
      </c>
      <c r="L248" s="2">
        <f t="shared" si="11"/>
        <v>-1</v>
      </c>
      <c r="M248">
        <v>102.7</v>
      </c>
      <c r="N248">
        <v>106.5</v>
      </c>
      <c r="O248">
        <v>-0.6</v>
      </c>
    </row>
    <row r="249" spans="1:15">
      <c r="A249" t="s">
        <v>45</v>
      </c>
      <c r="B249" t="s">
        <v>16</v>
      </c>
      <c r="C249">
        <v>19</v>
      </c>
      <c r="D249">
        <v>63</v>
      </c>
      <c r="E249" s="1">
        <f t="shared" si="9"/>
        <v>0.23170731707317074</v>
      </c>
      <c r="F249" s="2">
        <v>95.1</v>
      </c>
      <c r="G249" s="2">
        <v>103.9</v>
      </c>
      <c r="H249" s="2">
        <f t="shared" si="10"/>
        <v>-8.8000000000000114</v>
      </c>
      <c r="I249" s="1">
        <f>+(F249^14)/((F249^14+G249^14))</f>
        <v>0.22461027237292155</v>
      </c>
      <c r="J249" s="2">
        <v>101</v>
      </c>
      <c r="K249" s="2">
        <v>110.1</v>
      </c>
      <c r="L249" s="2">
        <f t="shared" si="11"/>
        <v>-9.0999999999999943</v>
      </c>
      <c r="M249">
        <v>92.9</v>
      </c>
      <c r="N249">
        <v>113.7</v>
      </c>
      <c r="O249">
        <v>-2.2000000000000002</v>
      </c>
    </row>
    <row r="250" spans="1:15">
      <c r="A250" t="s">
        <v>45</v>
      </c>
      <c r="B250" t="s">
        <v>17</v>
      </c>
      <c r="C250">
        <v>65</v>
      </c>
      <c r="D250">
        <v>17</v>
      </c>
      <c r="E250" s="1">
        <f t="shared" si="9"/>
        <v>0.79268292682926833</v>
      </c>
      <c r="F250" s="2">
        <v>106.9</v>
      </c>
      <c r="G250" s="2">
        <v>99.3</v>
      </c>
      <c r="H250" s="2">
        <f t="shared" si="10"/>
        <v>7.6000000000000085</v>
      </c>
      <c r="I250" s="1">
        <f>+(F250^14)/((F250^14+G250^14))</f>
        <v>0.73739553340542874</v>
      </c>
      <c r="J250" s="2">
        <v>111.4</v>
      </c>
      <c r="K250" s="2">
        <v>103.5</v>
      </c>
      <c r="L250" s="2">
        <f t="shared" si="11"/>
        <v>7.9000000000000057</v>
      </c>
      <c r="M250">
        <v>122.7</v>
      </c>
      <c r="N250">
        <v>104.4</v>
      </c>
      <c r="O250">
        <v>1.2</v>
      </c>
    </row>
    <row r="251" spans="1:15">
      <c r="A251" t="s">
        <v>45</v>
      </c>
      <c r="B251" t="s">
        <v>35</v>
      </c>
      <c r="C251">
        <v>24</v>
      </c>
      <c r="D251">
        <v>58</v>
      </c>
      <c r="E251" s="1">
        <f t="shared" si="9"/>
        <v>0.29268292682926828</v>
      </c>
      <c r="F251" s="2">
        <v>93.9</v>
      </c>
      <c r="G251" s="2">
        <v>99.3</v>
      </c>
      <c r="H251" s="2">
        <f t="shared" si="10"/>
        <v>-5.3999999999999915</v>
      </c>
      <c r="I251" s="1">
        <f>+(F251^14)/((F251^14+G251^14))</f>
        <v>0.31371402581860747</v>
      </c>
      <c r="J251" s="2">
        <v>102.3</v>
      </c>
      <c r="K251" s="2">
        <v>108.2</v>
      </c>
      <c r="L251" s="2">
        <f t="shared" si="11"/>
        <v>-5.9000000000000057</v>
      </c>
      <c r="M251">
        <v>90.2</v>
      </c>
      <c r="N251">
        <v>113.7</v>
      </c>
      <c r="O251">
        <v>-1.6</v>
      </c>
    </row>
    <row r="252" spans="1:15">
      <c r="A252" t="s">
        <v>45</v>
      </c>
      <c r="B252" t="s">
        <v>18</v>
      </c>
      <c r="C252">
        <v>43</v>
      </c>
      <c r="D252">
        <v>39</v>
      </c>
      <c r="E252" s="1">
        <f t="shared" si="9"/>
        <v>0.52439024390243905</v>
      </c>
      <c r="F252" s="2">
        <v>98.3</v>
      </c>
      <c r="G252" s="2">
        <v>98</v>
      </c>
      <c r="H252" s="2">
        <f t="shared" si="10"/>
        <v>0.29999999999999716</v>
      </c>
      <c r="I252" s="1">
        <f>+(F252^14)/((F252^14+G252^14))</f>
        <v>0.51069628754963348</v>
      </c>
      <c r="J252" s="2">
        <v>106.8</v>
      </c>
      <c r="K252" s="2">
        <v>106.5</v>
      </c>
      <c r="L252" s="2">
        <f t="shared" si="11"/>
        <v>0.29999999999999716</v>
      </c>
      <c r="M252">
        <v>114.1</v>
      </c>
      <c r="N252">
        <v>112.2</v>
      </c>
      <c r="O252">
        <v>-0.7</v>
      </c>
    </row>
    <row r="253" spans="1:15">
      <c r="A253" t="s">
        <v>45</v>
      </c>
      <c r="B253" t="s">
        <v>19</v>
      </c>
      <c r="C253">
        <v>34</v>
      </c>
      <c r="D253">
        <v>48</v>
      </c>
      <c r="E253" s="1">
        <f t="shared" si="9"/>
        <v>0.41463414634146339</v>
      </c>
      <c r="F253" s="2">
        <v>99.3</v>
      </c>
      <c r="G253" s="2">
        <v>100.4</v>
      </c>
      <c r="H253" s="2">
        <f t="shared" si="10"/>
        <v>-1.1000000000000085</v>
      </c>
      <c r="I253" s="1">
        <f>+(F253^14)/((F253^14+G253^14))</f>
        <v>0.46151802647482632</v>
      </c>
      <c r="J253" s="2">
        <v>105.2</v>
      </c>
      <c r="K253" s="2">
        <v>106.3</v>
      </c>
      <c r="L253" s="2">
        <f t="shared" si="11"/>
        <v>-1.0999999999999943</v>
      </c>
      <c r="M253">
        <v>102</v>
      </c>
      <c r="N253">
        <v>108.9</v>
      </c>
      <c r="O253">
        <v>-1</v>
      </c>
    </row>
    <row r="254" spans="1:15">
      <c r="A254" t="s">
        <v>45</v>
      </c>
      <c r="B254" t="s">
        <v>20</v>
      </c>
      <c r="C254">
        <v>24</v>
      </c>
      <c r="D254">
        <v>58</v>
      </c>
      <c r="E254" s="1">
        <f t="shared" si="9"/>
        <v>0.29268292682926828</v>
      </c>
      <c r="F254" s="2">
        <v>97.8</v>
      </c>
      <c r="G254" s="2">
        <v>102.7</v>
      </c>
      <c r="H254" s="2">
        <f t="shared" si="10"/>
        <v>-4.9000000000000057</v>
      </c>
      <c r="I254" s="1">
        <f>+(F254^14)/((F254^14+G254^14))</f>
        <v>0.33527428063081338</v>
      </c>
      <c r="J254" s="2">
        <v>104.9</v>
      </c>
      <c r="K254" s="2">
        <v>109.9</v>
      </c>
      <c r="L254" s="2">
        <f t="shared" si="11"/>
        <v>-5</v>
      </c>
      <c r="M254">
        <v>100.9</v>
      </c>
      <c r="N254">
        <v>119.7</v>
      </c>
      <c r="O254">
        <v>-1</v>
      </c>
    </row>
    <row r="255" spans="1:15">
      <c r="A255" t="s">
        <v>45</v>
      </c>
      <c r="B255" t="s">
        <v>21</v>
      </c>
      <c r="C255">
        <v>34</v>
      </c>
      <c r="D255">
        <v>48</v>
      </c>
      <c r="E255" s="1">
        <f t="shared" si="9"/>
        <v>0.41463414634146339</v>
      </c>
      <c r="F255" s="2">
        <v>98.1</v>
      </c>
      <c r="G255" s="2">
        <v>100.5</v>
      </c>
      <c r="H255" s="2">
        <f t="shared" si="10"/>
        <v>-2.4000000000000057</v>
      </c>
      <c r="I255" s="1">
        <f>+(F255^14)/((F255^14+G255^14))</f>
        <v>0.41620182026051067</v>
      </c>
      <c r="J255" s="2">
        <v>106.8</v>
      </c>
      <c r="K255" s="2">
        <v>109.5</v>
      </c>
      <c r="L255" s="2">
        <f t="shared" si="11"/>
        <v>-2.7000000000000028</v>
      </c>
      <c r="M255">
        <v>105.3</v>
      </c>
      <c r="N255">
        <v>108.1</v>
      </c>
      <c r="O255">
        <v>1.1000000000000001</v>
      </c>
    </row>
    <row r="256" spans="1:15">
      <c r="A256" t="s">
        <v>45</v>
      </c>
      <c r="B256" t="s">
        <v>37</v>
      </c>
      <c r="C256">
        <v>49</v>
      </c>
      <c r="D256">
        <v>33</v>
      </c>
      <c r="E256" s="1">
        <f t="shared" si="9"/>
        <v>0.59756097560975607</v>
      </c>
      <c r="F256" s="2">
        <v>95.8</v>
      </c>
      <c r="G256" s="2">
        <v>94.3</v>
      </c>
      <c r="H256" s="2">
        <f t="shared" si="10"/>
        <v>1.5</v>
      </c>
      <c r="I256" s="1">
        <f>+(F256^14)/((F256^14+G256^14))</f>
        <v>0.55501163326871295</v>
      </c>
      <c r="J256" s="2">
        <v>107.6</v>
      </c>
      <c r="K256" s="2">
        <v>105.8</v>
      </c>
      <c r="L256" s="2">
        <f t="shared" si="11"/>
        <v>1.7999999999999972</v>
      </c>
      <c r="M256">
        <v>124.8</v>
      </c>
      <c r="N256">
        <v>110.2</v>
      </c>
      <c r="O256">
        <v>0.9</v>
      </c>
    </row>
    <row r="257" spans="1:15">
      <c r="A257" t="s">
        <v>45</v>
      </c>
      <c r="B257" t="s">
        <v>22</v>
      </c>
      <c r="C257">
        <v>32</v>
      </c>
      <c r="D257">
        <v>50</v>
      </c>
      <c r="E257" s="1">
        <f t="shared" si="9"/>
        <v>0.3902439024390244</v>
      </c>
      <c r="F257" s="2">
        <v>105.2</v>
      </c>
      <c r="G257" s="2">
        <v>107.8</v>
      </c>
      <c r="H257" s="2">
        <f t="shared" si="10"/>
        <v>-2.5999999999999943</v>
      </c>
      <c r="I257" s="1">
        <f>+(F257^14)/((F257^14+G257^14))</f>
        <v>0.41537205557839157</v>
      </c>
      <c r="J257" s="2">
        <v>107</v>
      </c>
      <c r="K257" s="2">
        <v>109.4</v>
      </c>
      <c r="L257" s="2">
        <f t="shared" si="11"/>
        <v>-2.4000000000000057</v>
      </c>
      <c r="M257">
        <v>104.4</v>
      </c>
      <c r="N257">
        <v>116.8</v>
      </c>
      <c r="O257">
        <v>-1.3</v>
      </c>
    </row>
    <row r="258" spans="1:15">
      <c r="A258" t="s">
        <v>45</v>
      </c>
      <c r="B258" t="s">
        <v>46</v>
      </c>
      <c r="C258">
        <v>23</v>
      </c>
      <c r="D258">
        <v>59</v>
      </c>
      <c r="E258" s="1">
        <f t="shared" si="9"/>
        <v>0.28048780487804881</v>
      </c>
      <c r="F258" s="2">
        <v>97</v>
      </c>
      <c r="G258" s="2">
        <v>103.1</v>
      </c>
      <c r="H258" s="2">
        <f t="shared" si="10"/>
        <v>-6.0999999999999943</v>
      </c>
      <c r="I258" s="1">
        <f>+(F258^14)/((F258^14+G258^14))</f>
        <v>0.29862841677001067</v>
      </c>
      <c r="J258" s="2">
        <v>101.4</v>
      </c>
      <c r="K258" s="2">
        <v>107.6</v>
      </c>
      <c r="L258" s="2">
        <f t="shared" si="11"/>
        <v>-6.1999999999999886</v>
      </c>
      <c r="M258">
        <v>100</v>
      </c>
      <c r="N258">
        <v>101.6</v>
      </c>
      <c r="O258">
        <v>-2.2000000000000002</v>
      </c>
    </row>
    <row r="259" spans="1:15">
      <c r="A259" t="s">
        <v>45</v>
      </c>
      <c r="B259" t="s">
        <v>23</v>
      </c>
      <c r="C259">
        <v>59</v>
      </c>
      <c r="D259">
        <v>23</v>
      </c>
      <c r="E259" s="1">
        <f t="shared" ref="E259:E322" si="12">+C259/(C259+D259)</f>
        <v>0.71951219512195119</v>
      </c>
      <c r="F259" s="2">
        <v>101</v>
      </c>
      <c r="G259" s="2">
        <v>94.4</v>
      </c>
      <c r="H259" s="2">
        <f t="shared" ref="H259:H322" si="13">+F259-G259</f>
        <v>6.5999999999999943</v>
      </c>
      <c r="I259" s="1">
        <f>+(F259^14)/((F259^14+G259^14))</f>
        <v>0.72033264065959124</v>
      </c>
      <c r="J259" s="2">
        <v>108.3</v>
      </c>
      <c r="K259" s="2">
        <v>101.3</v>
      </c>
      <c r="L259" s="2">
        <f t="shared" ref="L259:L322" si="14">+J259-K259</f>
        <v>7</v>
      </c>
      <c r="M259">
        <v>106.3</v>
      </c>
      <c r="N259">
        <v>88.6</v>
      </c>
      <c r="O259">
        <v>1.3</v>
      </c>
    </row>
    <row r="260" spans="1:15">
      <c r="A260" t="s">
        <v>45</v>
      </c>
      <c r="B260" t="s">
        <v>24</v>
      </c>
      <c r="C260">
        <v>41</v>
      </c>
      <c r="D260">
        <v>41</v>
      </c>
      <c r="E260" s="1">
        <f t="shared" si="12"/>
        <v>0.5</v>
      </c>
      <c r="F260" s="2">
        <v>97.4</v>
      </c>
      <c r="G260" s="2">
        <v>97.3</v>
      </c>
      <c r="H260" s="2">
        <f t="shared" si="13"/>
        <v>0.10000000000000853</v>
      </c>
      <c r="I260" s="1">
        <f>+(F260^14)/((F260^14+G260^14))</f>
        <v>0.50359521313575439</v>
      </c>
      <c r="J260" s="2">
        <v>106.3</v>
      </c>
      <c r="K260" s="2">
        <v>106.1</v>
      </c>
      <c r="L260" s="2">
        <f t="shared" si="14"/>
        <v>0.20000000000000284</v>
      </c>
      <c r="M260">
        <v>109.6</v>
      </c>
      <c r="N260">
        <v>97.1</v>
      </c>
      <c r="O260">
        <v>0</v>
      </c>
    </row>
    <row r="261" spans="1:15">
      <c r="A261" t="s">
        <v>45</v>
      </c>
      <c r="B261" t="s">
        <v>25</v>
      </c>
      <c r="C261">
        <v>46</v>
      </c>
      <c r="D261">
        <v>36</v>
      </c>
      <c r="E261" s="1">
        <f t="shared" si="12"/>
        <v>0.56097560975609762</v>
      </c>
      <c r="F261" s="2">
        <v>109.4</v>
      </c>
      <c r="G261" s="2">
        <v>107.5</v>
      </c>
      <c r="H261" s="2">
        <f t="shared" si="13"/>
        <v>1.9000000000000057</v>
      </c>
      <c r="I261" s="1">
        <f>+(F261^14)/((F261^14+G261^14))</f>
        <v>0.56101455538977274</v>
      </c>
      <c r="J261" s="2">
        <v>112.4</v>
      </c>
      <c r="K261" s="2">
        <v>110.4</v>
      </c>
      <c r="L261" s="2">
        <f t="shared" si="14"/>
        <v>2</v>
      </c>
      <c r="M261">
        <v>111.9</v>
      </c>
      <c r="N261">
        <v>109.8</v>
      </c>
      <c r="O261">
        <v>1.5</v>
      </c>
    </row>
    <row r="262" spans="1:15">
      <c r="A262" t="s">
        <v>45</v>
      </c>
      <c r="B262" t="s">
        <v>26</v>
      </c>
      <c r="C262">
        <v>54</v>
      </c>
      <c r="D262">
        <v>28</v>
      </c>
      <c r="E262" s="1">
        <f t="shared" si="12"/>
        <v>0.65853658536585369</v>
      </c>
      <c r="F262" s="2">
        <v>99.4</v>
      </c>
      <c r="G262" s="2">
        <v>94.1</v>
      </c>
      <c r="H262" s="2">
        <f t="shared" si="13"/>
        <v>5.3000000000000114</v>
      </c>
      <c r="I262" s="1">
        <f>+(F262^14)/((F262^14+G262^14))</f>
        <v>0.68289690002087911</v>
      </c>
      <c r="J262" s="2">
        <v>112.1</v>
      </c>
      <c r="K262" s="2">
        <v>106.1</v>
      </c>
      <c r="L262" s="2">
        <f t="shared" si="14"/>
        <v>6</v>
      </c>
      <c r="M262">
        <v>104</v>
      </c>
      <c r="N262">
        <v>97.8</v>
      </c>
      <c r="O262">
        <v>2.5</v>
      </c>
    </row>
    <row r="263" spans="1:15">
      <c r="A263" t="s">
        <v>45</v>
      </c>
      <c r="B263" t="s">
        <v>27</v>
      </c>
      <c r="C263">
        <v>17</v>
      </c>
      <c r="D263">
        <v>65</v>
      </c>
      <c r="E263" s="1">
        <f t="shared" si="12"/>
        <v>0.2073170731707317</v>
      </c>
      <c r="F263" s="2">
        <v>100.6</v>
      </c>
      <c r="G263" s="2">
        <v>109.3</v>
      </c>
      <c r="H263" s="2">
        <f t="shared" si="13"/>
        <v>-8.7000000000000028</v>
      </c>
      <c r="I263" s="1">
        <f>+(F263^14)/((F263^14+G263^14))</f>
        <v>0.23844605223588522</v>
      </c>
      <c r="J263" s="2">
        <v>104.4</v>
      </c>
      <c r="K263" s="2">
        <v>113.4</v>
      </c>
      <c r="L263" s="2">
        <f t="shared" si="14"/>
        <v>-9</v>
      </c>
      <c r="M263">
        <v>93.2</v>
      </c>
      <c r="N263">
        <v>104.6</v>
      </c>
      <c r="O263">
        <v>-1.2</v>
      </c>
    </row>
    <row r="264" spans="1:15">
      <c r="A264" t="s">
        <v>45</v>
      </c>
      <c r="B264" t="s">
        <v>28</v>
      </c>
      <c r="C264">
        <v>54</v>
      </c>
      <c r="D264">
        <v>28</v>
      </c>
      <c r="E264" s="1">
        <f t="shared" si="12"/>
        <v>0.65853658536585369</v>
      </c>
      <c r="F264" s="2">
        <v>97</v>
      </c>
      <c r="G264" s="2">
        <v>93.3</v>
      </c>
      <c r="H264" s="2">
        <f t="shared" si="13"/>
        <v>3.7000000000000028</v>
      </c>
      <c r="I264" s="1">
        <f>+(F264^14)/((F264^14+G264^14))</f>
        <v>0.63285214825789127</v>
      </c>
      <c r="J264" s="2">
        <v>107.6</v>
      </c>
      <c r="K264" s="2">
        <v>103.4</v>
      </c>
      <c r="L264" s="2">
        <f t="shared" si="14"/>
        <v>4.1999999999999886</v>
      </c>
      <c r="M264">
        <v>104.3</v>
      </c>
      <c r="N264">
        <v>95.9</v>
      </c>
      <c r="O264">
        <v>0.7</v>
      </c>
    </row>
    <row r="265" spans="1:15">
      <c r="A265" t="s">
        <v>45</v>
      </c>
      <c r="B265" t="s">
        <v>30</v>
      </c>
      <c r="C265">
        <v>33</v>
      </c>
      <c r="D265">
        <v>49</v>
      </c>
      <c r="E265" s="1">
        <f t="shared" si="12"/>
        <v>0.40243902439024393</v>
      </c>
      <c r="F265" s="2">
        <v>99</v>
      </c>
      <c r="G265" s="2">
        <v>101.9</v>
      </c>
      <c r="H265" s="2">
        <f t="shared" si="13"/>
        <v>-2.9000000000000057</v>
      </c>
      <c r="I265" s="1">
        <f>+(F265^14)/((F265^14+G265^14))</f>
        <v>0.4003014410465785</v>
      </c>
      <c r="J265" s="2">
        <v>105.5</v>
      </c>
      <c r="K265" s="2">
        <v>108.6</v>
      </c>
      <c r="L265" s="2">
        <f t="shared" si="14"/>
        <v>-3.0999999999999943</v>
      </c>
      <c r="M265">
        <v>107</v>
      </c>
      <c r="N265">
        <v>111</v>
      </c>
      <c r="O265">
        <v>-0.5</v>
      </c>
    </row>
    <row r="266" spans="1:15">
      <c r="A266" t="s">
        <v>45</v>
      </c>
      <c r="B266" t="s">
        <v>31</v>
      </c>
      <c r="C266">
        <v>48</v>
      </c>
      <c r="D266">
        <v>34</v>
      </c>
      <c r="E266" s="1">
        <f t="shared" si="12"/>
        <v>0.58536585365853655</v>
      </c>
      <c r="F266" s="2">
        <v>103.6</v>
      </c>
      <c r="G266" s="2">
        <v>100.9</v>
      </c>
      <c r="H266" s="2">
        <f t="shared" si="13"/>
        <v>2.6999999999999886</v>
      </c>
      <c r="I266" s="1">
        <f>+(F266^14)/((F266^14+G266^14))</f>
        <v>0.59138736414412263</v>
      </c>
      <c r="J266" s="2">
        <v>108.5</v>
      </c>
      <c r="K266" s="2">
        <v>105.8</v>
      </c>
      <c r="L266" s="2">
        <f t="shared" si="14"/>
        <v>2.7000000000000028</v>
      </c>
      <c r="M266">
        <v>109.6</v>
      </c>
      <c r="N266">
        <v>103.4</v>
      </c>
      <c r="O266">
        <v>1.2</v>
      </c>
    </row>
    <row r="267" spans="1:15">
      <c r="A267" t="s">
        <v>45</v>
      </c>
      <c r="B267" t="s">
        <v>33</v>
      </c>
      <c r="C267">
        <v>19</v>
      </c>
      <c r="D267">
        <v>63</v>
      </c>
      <c r="E267" s="1">
        <f t="shared" si="12"/>
        <v>0.23170731707317074</v>
      </c>
      <c r="F267" s="2">
        <v>96.1</v>
      </c>
      <c r="G267" s="2">
        <v>103.5</v>
      </c>
      <c r="H267" s="2">
        <f t="shared" si="13"/>
        <v>-7.4000000000000057</v>
      </c>
      <c r="I267" s="1">
        <f>+(F267^14)/((F267^14+G267^14))</f>
        <v>0.26142945333120382</v>
      </c>
      <c r="J267" s="2">
        <v>104</v>
      </c>
      <c r="K267" s="2">
        <v>112.1</v>
      </c>
      <c r="L267" s="2">
        <f t="shared" si="14"/>
        <v>-8.0999999999999943</v>
      </c>
      <c r="M267">
        <v>98.5</v>
      </c>
      <c r="N267">
        <v>118.7</v>
      </c>
      <c r="O267">
        <v>-1.6</v>
      </c>
    </row>
    <row r="268" spans="1:15">
      <c r="A268" t="s">
        <v>47</v>
      </c>
      <c r="B268" t="s">
        <v>5</v>
      </c>
      <c r="C268">
        <v>53</v>
      </c>
      <c r="D268">
        <v>29</v>
      </c>
      <c r="E268" s="1">
        <f t="shared" si="12"/>
        <v>0.64634146341463417</v>
      </c>
      <c r="F268" s="2">
        <v>101.7</v>
      </c>
      <c r="G268" s="2">
        <v>97</v>
      </c>
      <c r="H268" s="2">
        <f t="shared" si="13"/>
        <v>4.7000000000000028</v>
      </c>
      <c r="I268" s="1">
        <f>+(F268^14)/((F268^14+G268^14))</f>
        <v>0.65980571592524628</v>
      </c>
      <c r="J268" s="2">
        <v>111</v>
      </c>
      <c r="K268" s="2">
        <v>106</v>
      </c>
      <c r="L268" s="2">
        <f t="shared" si="14"/>
        <v>5</v>
      </c>
      <c r="M268">
        <v>105.7</v>
      </c>
      <c r="N268">
        <v>103.7</v>
      </c>
      <c r="O268">
        <v>0.3</v>
      </c>
    </row>
    <row r="269" spans="1:15">
      <c r="A269" t="s">
        <v>47</v>
      </c>
      <c r="B269" t="s">
        <v>6</v>
      </c>
      <c r="C269">
        <v>50</v>
      </c>
      <c r="D269">
        <v>32</v>
      </c>
      <c r="E269" s="1">
        <f t="shared" si="12"/>
        <v>0.6097560975609756</v>
      </c>
      <c r="F269" s="2">
        <v>99.2</v>
      </c>
      <c r="G269" s="2">
        <v>95.6</v>
      </c>
      <c r="H269" s="2">
        <f t="shared" si="13"/>
        <v>3.6000000000000085</v>
      </c>
      <c r="I269" s="1">
        <f>+(F269^14)/((F269^14+G269^14))</f>
        <v>0.62656597319638863</v>
      </c>
      <c r="J269" s="2">
        <v>106.9</v>
      </c>
      <c r="K269" s="2">
        <v>103.2</v>
      </c>
      <c r="L269" s="2">
        <f t="shared" si="14"/>
        <v>3.7000000000000028</v>
      </c>
      <c r="M269">
        <v>101.2</v>
      </c>
      <c r="N269">
        <v>95</v>
      </c>
      <c r="O269">
        <v>0</v>
      </c>
    </row>
    <row r="270" spans="1:15">
      <c r="A270" t="s">
        <v>47</v>
      </c>
      <c r="B270" t="s">
        <v>40</v>
      </c>
      <c r="C270">
        <v>44</v>
      </c>
      <c r="D270">
        <v>38</v>
      </c>
      <c r="E270" s="1">
        <f t="shared" si="12"/>
        <v>0.53658536585365857</v>
      </c>
      <c r="F270" s="2">
        <v>95.3</v>
      </c>
      <c r="G270" s="2">
        <v>93.8</v>
      </c>
      <c r="H270" s="2">
        <f t="shared" si="13"/>
        <v>1.5</v>
      </c>
      <c r="I270" s="1">
        <f>+(F270^14)/((F270^14+G270^14))</f>
        <v>0.55530018627834388</v>
      </c>
      <c r="J270" s="2">
        <v>103.9</v>
      </c>
      <c r="K270" s="2">
        <v>102</v>
      </c>
      <c r="L270" s="2">
        <f t="shared" si="14"/>
        <v>1.9000000000000057</v>
      </c>
      <c r="M270">
        <v>98.2</v>
      </c>
      <c r="N270">
        <v>98.8</v>
      </c>
      <c r="O270">
        <v>0.2</v>
      </c>
    </row>
    <row r="271" spans="1:15">
      <c r="A271" t="s">
        <v>47</v>
      </c>
      <c r="B271" t="s">
        <v>8</v>
      </c>
      <c r="C271">
        <v>41</v>
      </c>
      <c r="D271">
        <v>41</v>
      </c>
      <c r="E271" s="1">
        <f t="shared" si="12"/>
        <v>0.5</v>
      </c>
      <c r="F271" s="2">
        <v>97.5</v>
      </c>
      <c r="G271" s="2">
        <v>99.1</v>
      </c>
      <c r="H271" s="2">
        <f t="shared" si="13"/>
        <v>-1.5999999999999943</v>
      </c>
      <c r="I271" s="1">
        <f>+(F271^14)/((F271^14+G271^14))</f>
        <v>0.44327553553702231</v>
      </c>
      <c r="J271" s="2">
        <v>102.6</v>
      </c>
      <c r="K271" s="2">
        <v>104.2</v>
      </c>
      <c r="L271" s="2">
        <f t="shared" si="14"/>
        <v>-1.6000000000000085</v>
      </c>
      <c r="M271">
        <v>97.2</v>
      </c>
      <c r="N271">
        <v>98</v>
      </c>
      <c r="O271">
        <v>-0.3</v>
      </c>
    </row>
    <row r="272" spans="1:15">
      <c r="A272" t="s">
        <v>47</v>
      </c>
      <c r="B272" t="s">
        <v>9</v>
      </c>
      <c r="C272">
        <v>61</v>
      </c>
      <c r="D272">
        <v>21</v>
      </c>
      <c r="E272" s="1">
        <f t="shared" si="12"/>
        <v>0.74390243902439024</v>
      </c>
      <c r="F272" s="2">
        <v>102.1</v>
      </c>
      <c r="G272" s="2">
        <v>95.6</v>
      </c>
      <c r="H272" s="2">
        <f t="shared" si="13"/>
        <v>6.5</v>
      </c>
      <c r="I272" s="1">
        <f>+(F272^14)/((F272^14+G272^14))</f>
        <v>0.71522925438381391</v>
      </c>
      <c r="J272" s="2">
        <v>110.6</v>
      </c>
      <c r="K272" s="2">
        <v>103.8</v>
      </c>
      <c r="L272" s="2">
        <f t="shared" si="14"/>
        <v>6.7999999999999972</v>
      </c>
      <c r="M272">
        <v>115.9</v>
      </c>
      <c r="N272">
        <v>93.2</v>
      </c>
      <c r="O272">
        <v>1</v>
      </c>
    </row>
    <row r="273" spans="1:15">
      <c r="A273" t="s">
        <v>47</v>
      </c>
      <c r="B273" t="s">
        <v>10</v>
      </c>
      <c r="C273">
        <v>55</v>
      </c>
      <c r="D273">
        <v>27</v>
      </c>
      <c r="E273" s="1">
        <f t="shared" si="12"/>
        <v>0.67073170731707321</v>
      </c>
      <c r="F273" s="2">
        <v>102</v>
      </c>
      <c r="G273" s="2">
        <v>99.3</v>
      </c>
      <c r="H273" s="2">
        <f t="shared" si="13"/>
        <v>2.7000000000000028</v>
      </c>
      <c r="I273" s="1">
        <f>+(F273^14)/((F273^14+G273^14))</f>
        <v>0.59280694774061193</v>
      </c>
      <c r="J273" s="2">
        <v>107.8</v>
      </c>
      <c r="K273" s="2">
        <v>105</v>
      </c>
      <c r="L273" s="2">
        <f t="shared" si="14"/>
        <v>2.7999999999999972</v>
      </c>
      <c r="M273">
        <v>114.1</v>
      </c>
      <c r="N273">
        <v>95.3</v>
      </c>
      <c r="O273">
        <v>0.6</v>
      </c>
    </row>
    <row r="274" spans="1:15">
      <c r="A274" t="s">
        <v>47</v>
      </c>
      <c r="B274" t="s">
        <v>11</v>
      </c>
      <c r="C274">
        <v>53</v>
      </c>
      <c r="D274">
        <v>29</v>
      </c>
      <c r="E274" s="1">
        <f t="shared" si="12"/>
        <v>0.64634146341463417</v>
      </c>
      <c r="F274" s="2">
        <v>106.5</v>
      </c>
      <c r="G274" s="2">
        <v>102.4</v>
      </c>
      <c r="H274" s="2">
        <f t="shared" si="13"/>
        <v>4.0999999999999943</v>
      </c>
      <c r="I274" s="1">
        <f>+(F274^14)/((F274^14+G274^14))</f>
        <v>0.63404645270509008</v>
      </c>
      <c r="J274" s="2">
        <v>110.8</v>
      </c>
      <c r="K274" s="2">
        <v>106.5</v>
      </c>
      <c r="L274" s="2">
        <f t="shared" si="14"/>
        <v>4.2999999999999972</v>
      </c>
      <c r="M274">
        <v>117.7</v>
      </c>
      <c r="N274">
        <v>110.2</v>
      </c>
      <c r="O274">
        <v>1.6</v>
      </c>
    </row>
    <row r="275" spans="1:15">
      <c r="A275" t="s">
        <v>47</v>
      </c>
      <c r="B275" t="s">
        <v>12</v>
      </c>
      <c r="C275">
        <v>27</v>
      </c>
      <c r="D275">
        <v>55</v>
      </c>
      <c r="E275" s="1">
        <f t="shared" si="12"/>
        <v>0.32926829268292684</v>
      </c>
      <c r="F275" s="2">
        <v>94</v>
      </c>
      <c r="G275" s="2">
        <v>99.1</v>
      </c>
      <c r="H275" s="2">
        <f t="shared" si="13"/>
        <v>-5.0999999999999943</v>
      </c>
      <c r="I275" s="1">
        <f>+(F275^14)/((F275^14+G275^14))</f>
        <v>0.32307297980123056</v>
      </c>
      <c r="J275" s="2">
        <v>104.5</v>
      </c>
      <c r="K275" s="2">
        <v>110.3</v>
      </c>
      <c r="L275" s="2">
        <f t="shared" si="14"/>
        <v>-5.7999999999999972</v>
      </c>
      <c r="M275">
        <v>98.1</v>
      </c>
      <c r="N275">
        <v>105.1</v>
      </c>
      <c r="O275">
        <v>-1.1000000000000001</v>
      </c>
    </row>
    <row r="276" spans="1:15">
      <c r="A276" t="s">
        <v>47</v>
      </c>
      <c r="B276" t="s">
        <v>13</v>
      </c>
      <c r="C276">
        <v>26</v>
      </c>
      <c r="D276">
        <v>56</v>
      </c>
      <c r="E276" s="1">
        <f t="shared" si="12"/>
        <v>0.31707317073170732</v>
      </c>
      <c r="F276" s="2">
        <v>108.8</v>
      </c>
      <c r="G276" s="2">
        <v>112.4</v>
      </c>
      <c r="H276" s="2">
        <f t="shared" si="13"/>
        <v>-3.6000000000000085</v>
      </c>
      <c r="I276" s="1">
        <f>+(F276^14)/((F276^14+G276^14))</f>
        <v>0.38799774425602013</v>
      </c>
      <c r="J276" s="2">
        <v>107</v>
      </c>
      <c r="K276" s="2">
        <v>110.3</v>
      </c>
      <c r="L276" s="2">
        <f t="shared" si="14"/>
        <v>-3.2999999999999972</v>
      </c>
      <c r="M276">
        <v>94.4</v>
      </c>
      <c r="N276">
        <v>113.4</v>
      </c>
      <c r="O276">
        <v>1.4</v>
      </c>
    </row>
    <row r="277" spans="1:15">
      <c r="A277" t="s">
        <v>47</v>
      </c>
      <c r="B277" t="s">
        <v>14</v>
      </c>
      <c r="C277">
        <v>42</v>
      </c>
      <c r="D277">
        <v>40</v>
      </c>
      <c r="E277" s="1">
        <f t="shared" si="12"/>
        <v>0.51219512195121952</v>
      </c>
      <c r="F277" s="2">
        <v>102.4</v>
      </c>
      <c r="G277" s="2">
        <v>102.7</v>
      </c>
      <c r="H277" s="2">
        <f t="shared" si="13"/>
        <v>-0.29999999999999716</v>
      </c>
      <c r="I277" s="1">
        <f>+(F277^14)/((F277^14+G277^14))</f>
        <v>0.48976251580890345</v>
      </c>
      <c r="J277" s="2">
        <v>106.8</v>
      </c>
      <c r="K277" s="2">
        <v>106.8</v>
      </c>
      <c r="L277" s="2">
        <f t="shared" si="14"/>
        <v>0</v>
      </c>
      <c r="M277">
        <v>103.5</v>
      </c>
      <c r="N277">
        <v>97.2</v>
      </c>
      <c r="O277">
        <v>-0.8</v>
      </c>
    </row>
    <row r="278" spans="1:15">
      <c r="A278" t="s">
        <v>47</v>
      </c>
      <c r="B278" t="s">
        <v>15</v>
      </c>
      <c r="C278">
        <v>32</v>
      </c>
      <c r="D278">
        <v>50</v>
      </c>
      <c r="E278" s="1">
        <f t="shared" si="12"/>
        <v>0.3902439024390244</v>
      </c>
      <c r="F278" s="2">
        <v>100.8</v>
      </c>
      <c r="G278" s="2">
        <v>103.8</v>
      </c>
      <c r="H278" s="2">
        <f t="shared" si="13"/>
        <v>-3</v>
      </c>
      <c r="I278" s="1">
        <f>+(F278^14)/((F278^14+G278^14))</f>
        <v>0.39877147110517808</v>
      </c>
      <c r="J278" s="2">
        <v>103</v>
      </c>
      <c r="K278" s="2">
        <v>106</v>
      </c>
      <c r="L278" s="2">
        <f t="shared" si="14"/>
        <v>-3</v>
      </c>
      <c r="M278">
        <v>84</v>
      </c>
      <c r="N278">
        <v>103.9</v>
      </c>
      <c r="O278">
        <v>0.2</v>
      </c>
    </row>
    <row r="279" spans="1:15">
      <c r="A279" t="s">
        <v>47</v>
      </c>
      <c r="B279" t="s">
        <v>16</v>
      </c>
      <c r="C279">
        <v>29</v>
      </c>
      <c r="D279">
        <v>53</v>
      </c>
      <c r="E279" s="1">
        <f t="shared" si="12"/>
        <v>0.35365853658536583</v>
      </c>
      <c r="F279" s="2">
        <v>95.7</v>
      </c>
      <c r="G279" s="2">
        <v>102.1</v>
      </c>
      <c r="H279" s="2">
        <f t="shared" si="13"/>
        <v>-6.3999999999999915</v>
      </c>
      <c r="I279" s="1">
        <f>+(F279^14)/((F279^14+G279^14))</f>
        <v>0.28776126250180661</v>
      </c>
      <c r="J279" s="2">
        <v>102.3</v>
      </c>
      <c r="K279" s="2">
        <v>109.1</v>
      </c>
      <c r="L279" s="2">
        <f t="shared" si="14"/>
        <v>-6.7999999999999972</v>
      </c>
      <c r="M279">
        <v>106</v>
      </c>
      <c r="N279">
        <v>91.3</v>
      </c>
      <c r="O279">
        <v>-2.1</v>
      </c>
    </row>
    <row r="280" spans="1:15">
      <c r="A280" t="s">
        <v>47</v>
      </c>
      <c r="B280" t="s">
        <v>17</v>
      </c>
      <c r="C280">
        <v>57</v>
      </c>
      <c r="D280">
        <v>25</v>
      </c>
      <c r="E280" s="1">
        <f t="shared" si="12"/>
        <v>0.69512195121951215</v>
      </c>
      <c r="F280" s="2">
        <v>101.7</v>
      </c>
      <c r="G280" s="2">
        <v>97</v>
      </c>
      <c r="H280" s="2">
        <f t="shared" si="13"/>
        <v>4.7000000000000028</v>
      </c>
      <c r="I280" s="1">
        <f>+(F280^14)/((F280^14+G280^14))</f>
        <v>0.65980571592524628</v>
      </c>
      <c r="J280" s="2">
        <v>107.6</v>
      </c>
      <c r="K280" s="2">
        <v>102.7</v>
      </c>
      <c r="L280" s="2">
        <f t="shared" si="14"/>
        <v>4.8999999999999915</v>
      </c>
      <c r="M280">
        <v>99.7</v>
      </c>
      <c r="N280">
        <v>95.9</v>
      </c>
      <c r="O280">
        <v>0.2</v>
      </c>
    </row>
    <row r="281" spans="1:15">
      <c r="A281" t="s">
        <v>47</v>
      </c>
      <c r="B281" t="s">
        <v>35</v>
      </c>
      <c r="C281">
        <v>40</v>
      </c>
      <c r="D281">
        <v>42</v>
      </c>
      <c r="E281" s="1">
        <f t="shared" si="12"/>
        <v>0.48780487804878048</v>
      </c>
      <c r="F281" s="2">
        <v>102.5</v>
      </c>
      <c r="G281" s="2">
        <v>104</v>
      </c>
      <c r="H281" s="2">
        <f t="shared" si="13"/>
        <v>-1.5</v>
      </c>
      <c r="I281" s="1">
        <f>+(F281^14)/((F281^14+G281^14))</f>
        <v>0.44932622081798346</v>
      </c>
      <c r="J281" s="2">
        <v>107.5</v>
      </c>
      <c r="K281" s="2">
        <v>109</v>
      </c>
      <c r="L281" s="2">
        <f t="shared" si="14"/>
        <v>-1.5</v>
      </c>
      <c r="M281">
        <v>98.2</v>
      </c>
      <c r="N281">
        <v>99</v>
      </c>
      <c r="O281">
        <v>-1.5</v>
      </c>
    </row>
    <row r="282" spans="1:15">
      <c r="A282" t="s">
        <v>47</v>
      </c>
      <c r="B282" t="s">
        <v>18</v>
      </c>
      <c r="C282">
        <v>47</v>
      </c>
      <c r="D282">
        <v>35</v>
      </c>
      <c r="E282" s="1">
        <f t="shared" si="12"/>
        <v>0.57317073170731703</v>
      </c>
      <c r="F282" s="2">
        <v>96.5</v>
      </c>
      <c r="G282" s="2">
        <v>94.2</v>
      </c>
      <c r="H282" s="2">
        <f t="shared" si="13"/>
        <v>2.2999999999999972</v>
      </c>
      <c r="I282" s="1">
        <f>+(F282^14)/((F282^14+G282^14))</f>
        <v>0.58363647422814535</v>
      </c>
      <c r="J282" s="2">
        <v>105.7</v>
      </c>
      <c r="K282" s="2">
        <v>103.4</v>
      </c>
      <c r="L282" s="2">
        <f t="shared" si="14"/>
        <v>2.2999999999999972</v>
      </c>
      <c r="M282">
        <v>102.9</v>
      </c>
      <c r="N282">
        <v>101.7</v>
      </c>
      <c r="O282">
        <v>-0.9</v>
      </c>
    </row>
    <row r="283" spans="1:15">
      <c r="A283" t="s">
        <v>47</v>
      </c>
      <c r="B283" t="s">
        <v>19</v>
      </c>
      <c r="C283">
        <v>46</v>
      </c>
      <c r="D283">
        <v>36</v>
      </c>
      <c r="E283" s="1">
        <f t="shared" si="12"/>
        <v>0.56097560975609762</v>
      </c>
      <c r="F283" s="2">
        <v>97.7</v>
      </c>
      <c r="G283" s="2">
        <v>96</v>
      </c>
      <c r="H283" s="2">
        <f t="shared" si="13"/>
        <v>1.7000000000000028</v>
      </c>
      <c r="I283" s="1">
        <f>+(F283^14)/((F283^14+G283^14))</f>
        <v>0.56112945331002462</v>
      </c>
      <c r="J283" s="2">
        <v>104</v>
      </c>
      <c r="K283" s="2">
        <v>101.9</v>
      </c>
      <c r="L283" s="2">
        <f t="shared" si="14"/>
        <v>2.0999999999999943</v>
      </c>
      <c r="M283">
        <v>99.6</v>
      </c>
      <c r="N283">
        <v>95.1</v>
      </c>
      <c r="O283">
        <v>0.2</v>
      </c>
    </row>
    <row r="284" spans="1:15">
      <c r="A284" t="s">
        <v>47</v>
      </c>
      <c r="B284" t="s">
        <v>20</v>
      </c>
      <c r="C284">
        <v>15</v>
      </c>
      <c r="D284">
        <v>67</v>
      </c>
      <c r="E284" s="1">
        <f t="shared" si="12"/>
        <v>0.18292682926829268</v>
      </c>
      <c r="F284" s="2">
        <v>98.2</v>
      </c>
      <c r="G284" s="2">
        <v>107.8</v>
      </c>
      <c r="H284" s="2">
        <f t="shared" si="13"/>
        <v>-9.5999999999999943</v>
      </c>
      <c r="I284" s="1">
        <f>+(F284^14)/((F284^14+G284^14))</f>
        <v>0.21319047062273172</v>
      </c>
      <c r="J284" s="2">
        <v>100.6</v>
      </c>
      <c r="K284" s="2">
        <v>110.4</v>
      </c>
      <c r="L284" s="2">
        <f t="shared" si="14"/>
        <v>-9.8000000000000114</v>
      </c>
      <c r="M284">
        <v>102.7</v>
      </c>
      <c r="N284">
        <v>108.9</v>
      </c>
      <c r="O284">
        <v>0.3</v>
      </c>
    </row>
    <row r="285" spans="1:15">
      <c r="A285" t="s">
        <v>47</v>
      </c>
      <c r="B285" t="s">
        <v>21</v>
      </c>
      <c r="C285">
        <v>12</v>
      </c>
      <c r="D285">
        <v>70</v>
      </c>
      <c r="E285" s="1">
        <f t="shared" si="12"/>
        <v>0.14634146341463414</v>
      </c>
      <c r="F285" s="2">
        <v>92.4</v>
      </c>
      <c r="G285" s="2">
        <v>101.5</v>
      </c>
      <c r="H285" s="2">
        <f t="shared" si="13"/>
        <v>-9.0999999999999943</v>
      </c>
      <c r="I285" s="1">
        <f>+(F285^14)/((F285^14+G285^14))</f>
        <v>0.21164377791033548</v>
      </c>
      <c r="J285" s="2">
        <v>99.3</v>
      </c>
      <c r="K285" s="2">
        <v>108.9</v>
      </c>
      <c r="L285" s="2">
        <f t="shared" si="14"/>
        <v>-9.6000000000000085</v>
      </c>
      <c r="M285">
        <v>84.5</v>
      </c>
      <c r="N285">
        <v>109.7</v>
      </c>
      <c r="O285">
        <v>-1.1000000000000001</v>
      </c>
    </row>
    <row r="286" spans="1:15">
      <c r="A286" t="s">
        <v>47</v>
      </c>
      <c r="B286" t="s">
        <v>37</v>
      </c>
      <c r="C286">
        <v>37</v>
      </c>
      <c r="D286">
        <v>45</v>
      </c>
      <c r="E286" s="1">
        <f t="shared" si="12"/>
        <v>0.45121951219512196</v>
      </c>
      <c r="F286" s="2">
        <v>100.2</v>
      </c>
      <c r="G286" s="2">
        <v>102.7</v>
      </c>
      <c r="H286" s="2">
        <f t="shared" si="13"/>
        <v>-2.5</v>
      </c>
      <c r="I286" s="1">
        <f>+(F286^14)/((F286^14+G286^14))</f>
        <v>0.41459179126180778</v>
      </c>
      <c r="J286" s="2">
        <v>106.5</v>
      </c>
      <c r="K286" s="2">
        <v>108.9</v>
      </c>
      <c r="L286" s="2">
        <f t="shared" si="14"/>
        <v>-2.4000000000000057</v>
      </c>
      <c r="M286">
        <v>109</v>
      </c>
      <c r="N286">
        <v>99.2</v>
      </c>
      <c r="O286">
        <v>0.3</v>
      </c>
    </row>
    <row r="287" spans="1:15">
      <c r="A287" t="s">
        <v>47</v>
      </c>
      <c r="B287" t="s">
        <v>22</v>
      </c>
      <c r="C287">
        <v>29</v>
      </c>
      <c r="D287">
        <v>53</v>
      </c>
      <c r="E287" s="1">
        <f t="shared" si="12"/>
        <v>0.35365853658536583</v>
      </c>
      <c r="F287" s="2">
        <v>102.1</v>
      </c>
      <c r="G287" s="2">
        <v>105.9</v>
      </c>
      <c r="H287" s="2">
        <f t="shared" si="13"/>
        <v>-3.8000000000000114</v>
      </c>
      <c r="I287" s="1">
        <f>+(F287^14)/((F287^14+G287^14))</f>
        <v>0.3748196047848904</v>
      </c>
      <c r="J287" s="2">
        <v>106.4</v>
      </c>
      <c r="K287" s="2">
        <v>110.3</v>
      </c>
      <c r="L287" s="2">
        <f t="shared" si="14"/>
        <v>-3.8999999999999915</v>
      </c>
      <c r="M287">
        <v>99.7</v>
      </c>
      <c r="N287">
        <v>97.4</v>
      </c>
      <c r="O287">
        <v>1</v>
      </c>
    </row>
    <row r="288" spans="1:15">
      <c r="A288" t="s">
        <v>47</v>
      </c>
      <c r="B288" t="s">
        <v>46</v>
      </c>
      <c r="C288">
        <v>50</v>
      </c>
      <c r="D288">
        <v>32</v>
      </c>
      <c r="E288" s="1">
        <f t="shared" si="12"/>
        <v>0.6097560975609756</v>
      </c>
      <c r="F288" s="2">
        <v>101.5</v>
      </c>
      <c r="G288" s="2">
        <v>98</v>
      </c>
      <c r="H288" s="2">
        <f t="shared" si="13"/>
        <v>3.5</v>
      </c>
      <c r="I288" s="1">
        <f>+(F288^14)/((F288^14+G288^14))</f>
        <v>0.62040756265639296</v>
      </c>
      <c r="J288" s="2">
        <v>107</v>
      </c>
      <c r="K288" s="2">
        <v>103.5</v>
      </c>
      <c r="L288" s="2">
        <f t="shared" si="14"/>
        <v>3.5</v>
      </c>
      <c r="M288">
        <v>92.3</v>
      </c>
      <c r="N288">
        <v>98</v>
      </c>
      <c r="O288">
        <v>-0.6</v>
      </c>
    </row>
    <row r="289" spans="1:15">
      <c r="A289" t="s">
        <v>47</v>
      </c>
      <c r="B289" t="s">
        <v>23</v>
      </c>
      <c r="C289">
        <v>59</v>
      </c>
      <c r="D289">
        <v>23</v>
      </c>
      <c r="E289" s="1">
        <f t="shared" si="12"/>
        <v>0.71951219512195119</v>
      </c>
      <c r="F289" s="2">
        <v>102.8</v>
      </c>
      <c r="G289" s="2">
        <v>95.3</v>
      </c>
      <c r="H289" s="2">
        <f t="shared" si="13"/>
        <v>7.5</v>
      </c>
      <c r="I289" s="1">
        <f>+(F289^14)/((F289^14+G289^14))</f>
        <v>0.74280090861208392</v>
      </c>
      <c r="J289" s="2">
        <v>110.7</v>
      </c>
      <c r="K289" s="2">
        <v>102.8</v>
      </c>
      <c r="L289" s="2">
        <f t="shared" si="14"/>
        <v>7.9000000000000057</v>
      </c>
      <c r="M289">
        <v>107.6</v>
      </c>
      <c r="N289">
        <v>100</v>
      </c>
      <c r="O289">
        <v>1.3</v>
      </c>
    </row>
    <row r="290" spans="1:15">
      <c r="A290" t="s">
        <v>47</v>
      </c>
      <c r="B290" t="s">
        <v>24</v>
      </c>
      <c r="C290">
        <v>27</v>
      </c>
      <c r="D290">
        <v>55</v>
      </c>
      <c r="E290" s="1">
        <f t="shared" si="12"/>
        <v>0.32926829268292684</v>
      </c>
      <c r="F290" s="2">
        <v>97.7</v>
      </c>
      <c r="G290" s="2">
        <v>101.6</v>
      </c>
      <c r="H290" s="2">
        <f t="shared" si="13"/>
        <v>-3.8999999999999915</v>
      </c>
      <c r="I290" s="1">
        <f>+(F290^14)/((F290^14+G290^14))</f>
        <v>0.36633141190976742</v>
      </c>
      <c r="J290" s="2">
        <v>104.8</v>
      </c>
      <c r="K290" s="2">
        <v>108.9</v>
      </c>
      <c r="L290" s="2">
        <f t="shared" si="14"/>
        <v>-4.1000000000000085</v>
      </c>
      <c r="M290">
        <v>93.9</v>
      </c>
      <c r="N290">
        <v>111.1</v>
      </c>
      <c r="O290">
        <v>-1.4</v>
      </c>
    </row>
    <row r="291" spans="1:15">
      <c r="A291" t="s">
        <v>47</v>
      </c>
      <c r="B291" t="s">
        <v>25</v>
      </c>
      <c r="C291">
        <v>54</v>
      </c>
      <c r="D291">
        <v>28</v>
      </c>
      <c r="E291" s="1">
        <f t="shared" si="12"/>
        <v>0.65853658536585369</v>
      </c>
      <c r="F291" s="2">
        <v>110.2</v>
      </c>
      <c r="G291" s="2">
        <v>105.3</v>
      </c>
      <c r="H291" s="2">
        <f t="shared" si="13"/>
        <v>4.9000000000000057</v>
      </c>
      <c r="I291" s="1">
        <f>+(F291^14)/((F291^14+G291^14))</f>
        <v>0.654022652875209</v>
      </c>
      <c r="J291" s="2">
        <v>113.9</v>
      </c>
      <c r="K291" s="2">
        <v>109.1</v>
      </c>
      <c r="L291" s="2">
        <f t="shared" si="14"/>
        <v>4.8000000000000114</v>
      </c>
      <c r="M291">
        <v>118.3</v>
      </c>
      <c r="N291">
        <v>112.5</v>
      </c>
      <c r="O291">
        <v>0.8</v>
      </c>
    </row>
    <row r="292" spans="1:15">
      <c r="A292" t="s">
        <v>47</v>
      </c>
      <c r="B292" t="s">
        <v>26</v>
      </c>
      <c r="C292">
        <v>50</v>
      </c>
      <c r="D292">
        <v>32</v>
      </c>
      <c r="E292" s="1">
        <f t="shared" si="12"/>
        <v>0.6097560975609756</v>
      </c>
      <c r="F292" s="2">
        <v>98.1</v>
      </c>
      <c r="G292" s="2">
        <v>94.8</v>
      </c>
      <c r="H292" s="2">
        <f t="shared" si="13"/>
        <v>3.2999999999999972</v>
      </c>
      <c r="I292" s="1">
        <f>+(F292^14)/((F292^14+G292^14))</f>
        <v>0.61752385224098172</v>
      </c>
      <c r="J292" s="2">
        <v>109.6</v>
      </c>
      <c r="K292" s="2">
        <v>106.1</v>
      </c>
      <c r="L292" s="2">
        <f t="shared" si="14"/>
        <v>3.5</v>
      </c>
      <c r="M292">
        <v>100.8</v>
      </c>
      <c r="N292">
        <v>96.2</v>
      </c>
      <c r="O292">
        <v>0.4</v>
      </c>
    </row>
    <row r="293" spans="1:15">
      <c r="A293" t="s">
        <v>47</v>
      </c>
      <c r="B293" t="s">
        <v>27</v>
      </c>
      <c r="C293">
        <v>25</v>
      </c>
      <c r="D293">
        <v>57</v>
      </c>
      <c r="E293" s="1">
        <f t="shared" si="12"/>
        <v>0.3048780487804878</v>
      </c>
      <c r="F293" s="2">
        <v>100</v>
      </c>
      <c r="G293" s="2">
        <v>104.4</v>
      </c>
      <c r="H293" s="2">
        <f t="shared" si="13"/>
        <v>-4.4000000000000057</v>
      </c>
      <c r="I293" s="1">
        <f>+(F293^14)/((F293^14+G293^14))</f>
        <v>0.35369584952753241</v>
      </c>
      <c r="J293" s="2">
        <v>104.4</v>
      </c>
      <c r="K293" s="2">
        <v>109.1</v>
      </c>
      <c r="L293" s="2">
        <f t="shared" si="14"/>
        <v>-4.6999999999999886</v>
      </c>
      <c r="M293">
        <v>98.1</v>
      </c>
      <c r="N293">
        <v>114.8</v>
      </c>
      <c r="O293">
        <v>-0.9</v>
      </c>
    </row>
    <row r="294" spans="1:15">
      <c r="A294" t="s">
        <v>47</v>
      </c>
      <c r="B294" t="s">
        <v>28</v>
      </c>
      <c r="C294">
        <v>50</v>
      </c>
      <c r="D294">
        <v>32</v>
      </c>
      <c r="E294" s="1">
        <f t="shared" si="12"/>
        <v>0.6097560975609756</v>
      </c>
      <c r="F294" s="2">
        <v>101.4</v>
      </c>
      <c r="G294" s="2">
        <v>96.3</v>
      </c>
      <c r="H294" s="2">
        <f t="shared" si="13"/>
        <v>5.1000000000000085</v>
      </c>
      <c r="I294" s="1">
        <f>+(F294^14)/((F294^14+G294^14))</f>
        <v>0.67314999462615233</v>
      </c>
      <c r="J294" s="2">
        <v>109.3</v>
      </c>
      <c r="K294" s="2">
        <v>103.9</v>
      </c>
      <c r="L294" s="2">
        <f t="shared" si="14"/>
        <v>5.3999999999999915</v>
      </c>
      <c r="M294">
        <v>99.3</v>
      </c>
      <c r="N294">
        <v>112.2</v>
      </c>
      <c r="O294">
        <v>0.9</v>
      </c>
    </row>
    <row r="295" spans="1:15">
      <c r="A295" t="s">
        <v>47</v>
      </c>
      <c r="B295" t="s">
        <v>30</v>
      </c>
      <c r="C295">
        <v>40</v>
      </c>
      <c r="D295">
        <v>42</v>
      </c>
      <c r="E295" s="1">
        <f t="shared" si="12"/>
        <v>0.48780487804878048</v>
      </c>
      <c r="F295" s="2">
        <v>104.1</v>
      </c>
      <c r="G295" s="2">
        <v>105.9</v>
      </c>
      <c r="H295" s="2">
        <f t="shared" si="13"/>
        <v>-1.8000000000000114</v>
      </c>
      <c r="I295" s="1">
        <f>+(F295^14)/((F295^14+G295^14))</f>
        <v>0.44028490223940814</v>
      </c>
      <c r="J295" s="2">
        <v>110.2</v>
      </c>
      <c r="K295" s="2">
        <v>112.2</v>
      </c>
      <c r="L295" s="2">
        <f t="shared" si="14"/>
        <v>-2</v>
      </c>
      <c r="M295">
        <v>114.5</v>
      </c>
      <c r="N295">
        <v>101.9</v>
      </c>
      <c r="O295">
        <v>-0.5</v>
      </c>
    </row>
    <row r="296" spans="1:15">
      <c r="A296" t="s">
        <v>47</v>
      </c>
      <c r="B296" t="s">
        <v>31</v>
      </c>
      <c r="C296">
        <v>53</v>
      </c>
      <c r="D296">
        <v>29</v>
      </c>
      <c r="E296" s="1">
        <f t="shared" si="12"/>
        <v>0.64634146341463417</v>
      </c>
      <c r="F296" s="2">
        <v>104.2</v>
      </c>
      <c r="G296" s="2">
        <v>98.9</v>
      </c>
      <c r="H296" s="2">
        <f t="shared" si="13"/>
        <v>5.2999999999999972</v>
      </c>
      <c r="I296" s="1">
        <f>+(F296^14)/((F296^14+G296^14))</f>
        <v>0.67498968076198662</v>
      </c>
      <c r="J296" s="2">
        <v>109.7</v>
      </c>
      <c r="K296" s="2">
        <v>104</v>
      </c>
      <c r="L296" s="2">
        <f t="shared" si="14"/>
        <v>5.7000000000000028</v>
      </c>
      <c r="M296">
        <v>105.9</v>
      </c>
      <c r="N296">
        <v>110.6</v>
      </c>
      <c r="O296">
        <v>1.5</v>
      </c>
    </row>
    <row r="297" spans="1:15">
      <c r="A297" t="s">
        <v>47</v>
      </c>
      <c r="B297" t="s">
        <v>33</v>
      </c>
      <c r="C297">
        <v>26</v>
      </c>
      <c r="D297">
        <v>56</v>
      </c>
      <c r="E297" s="1">
        <f t="shared" si="12"/>
        <v>0.31707317073170732</v>
      </c>
      <c r="F297" s="2">
        <v>96.2</v>
      </c>
      <c r="G297" s="2">
        <v>101</v>
      </c>
      <c r="H297" s="2">
        <f t="shared" si="13"/>
        <v>-4.7999999999999972</v>
      </c>
      <c r="I297" s="1">
        <f>+(F297^14)/((F297^14+G297^14))</f>
        <v>0.33588728853069855</v>
      </c>
      <c r="J297" s="2">
        <v>103.1</v>
      </c>
      <c r="K297" s="2">
        <v>108.3</v>
      </c>
      <c r="L297" s="2">
        <f t="shared" si="14"/>
        <v>-5.2000000000000028</v>
      </c>
      <c r="M297">
        <v>94.2</v>
      </c>
      <c r="N297">
        <v>103.1</v>
      </c>
      <c r="O297">
        <v>-1</v>
      </c>
    </row>
    <row r="298" spans="1:15">
      <c r="A298" t="s">
        <v>48</v>
      </c>
      <c r="B298" t="s">
        <v>5</v>
      </c>
      <c r="C298">
        <v>44</v>
      </c>
      <c r="D298">
        <v>38</v>
      </c>
      <c r="E298" s="1">
        <f t="shared" si="12"/>
        <v>0.53658536585365857</v>
      </c>
      <c r="F298" s="2">
        <v>95</v>
      </c>
      <c r="G298" s="2">
        <v>95.8</v>
      </c>
      <c r="H298" s="2">
        <f t="shared" si="13"/>
        <v>-0.79999999999999716</v>
      </c>
      <c r="I298" s="1">
        <f>+(F298^14)/((F298^14+G298^14))</f>
        <v>0.47068338807108751</v>
      </c>
      <c r="J298" s="2">
        <v>105.1</v>
      </c>
      <c r="K298" s="2">
        <v>105.8</v>
      </c>
      <c r="L298" s="2">
        <f t="shared" si="14"/>
        <v>-0.70000000000000284</v>
      </c>
      <c r="M298">
        <v>112.6</v>
      </c>
      <c r="N298">
        <v>103.5</v>
      </c>
      <c r="O298">
        <v>-1.5</v>
      </c>
    </row>
    <row r="299" spans="1:15">
      <c r="A299" t="s">
        <v>48</v>
      </c>
      <c r="B299" t="s">
        <v>6</v>
      </c>
      <c r="C299">
        <v>56</v>
      </c>
      <c r="D299">
        <v>26</v>
      </c>
      <c r="E299" s="1">
        <f t="shared" si="12"/>
        <v>0.68292682926829273</v>
      </c>
      <c r="F299" s="2">
        <v>96.5</v>
      </c>
      <c r="G299" s="2">
        <v>91.1</v>
      </c>
      <c r="H299" s="2">
        <f t="shared" si="13"/>
        <v>5.4000000000000057</v>
      </c>
      <c r="I299" s="1">
        <f>+(F299^14)/((F299^14+G299^14))</f>
        <v>0.69129763241570297</v>
      </c>
      <c r="J299" s="2">
        <v>105.5</v>
      </c>
      <c r="K299" s="2">
        <v>99.8</v>
      </c>
      <c r="L299" s="2">
        <f t="shared" si="14"/>
        <v>5.7000000000000028</v>
      </c>
      <c r="M299">
        <v>98.7</v>
      </c>
      <c r="N299">
        <v>98.6</v>
      </c>
      <c r="O299">
        <v>0.5</v>
      </c>
    </row>
    <row r="300" spans="1:15">
      <c r="A300" t="s">
        <v>48</v>
      </c>
      <c r="B300" t="s">
        <v>40</v>
      </c>
      <c r="C300">
        <v>34</v>
      </c>
      <c r="D300">
        <v>48</v>
      </c>
      <c r="E300" s="1">
        <f t="shared" si="12"/>
        <v>0.41463414634146339</v>
      </c>
      <c r="F300" s="2">
        <v>93.3</v>
      </c>
      <c r="G300" s="2">
        <v>97.3</v>
      </c>
      <c r="H300" s="2">
        <f t="shared" si="13"/>
        <v>-4</v>
      </c>
      <c r="I300" s="1">
        <f>+(F300^14)/((F300^14+G300^14))</f>
        <v>0.35716175877963002</v>
      </c>
      <c r="J300" s="2">
        <v>102.8</v>
      </c>
      <c r="K300" s="2">
        <v>107</v>
      </c>
      <c r="L300" s="2">
        <f t="shared" si="14"/>
        <v>-4.2000000000000028</v>
      </c>
      <c r="M300">
        <v>105.8</v>
      </c>
      <c r="N300">
        <v>98</v>
      </c>
      <c r="O300">
        <v>0</v>
      </c>
    </row>
    <row r="301" spans="1:15">
      <c r="A301" t="s">
        <v>48</v>
      </c>
      <c r="B301" t="s">
        <v>8</v>
      </c>
      <c r="C301">
        <v>62</v>
      </c>
      <c r="D301">
        <v>20</v>
      </c>
      <c r="E301" s="1">
        <f t="shared" si="12"/>
        <v>0.75609756097560976</v>
      </c>
      <c r="F301" s="2">
        <v>98.6</v>
      </c>
      <c r="G301" s="2">
        <v>91.3</v>
      </c>
      <c r="H301" s="2">
        <f t="shared" si="13"/>
        <v>7.2999999999999972</v>
      </c>
      <c r="I301" s="1">
        <f>+(F301^14)/((F301^14+G301^14))</f>
        <v>0.7459043561062102</v>
      </c>
      <c r="J301" s="2">
        <v>107.2</v>
      </c>
      <c r="K301" s="2">
        <v>99.5</v>
      </c>
      <c r="L301" s="2">
        <f t="shared" si="14"/>
        <v>7.7000000000000028</v>
      </c>
      <c r="M301">
        <v>106.7</v>
      </c>
      <c r="N301">
        <v>88.9</v>
      </c>
      <c r="O301">
        <v>2.2999999999999998</v>
      </c>
    </row>
    <row r="302" spans="1:15">
      <c r="A302" t="s">
        <v>48</v>
      </c>
      <c r="B302" t="s">
        <v>9</v>
      </c>
      <c r="C302">
        <v>19</v>
      </c>
      <c r="D302">
        <v>63</v>
      </c>
      <c r="E302" s="1">
        <f t="shared" si="12"/>
        <v>0.23170731707317074</v>
      </c>
      <c r="F302" s="2">
        <v>95.5</v>
      </c>
      <c r="G302" s="2">
        <v>104.5</v>
      </c>
      <c r="H302" s="2">
        <f t="shared" si="13"/>
        <v>-9</v>
      </c>
      <c r="I302" s="1">
        <f>+(F302^14)/((F302^14+G302^14))</f>
        <v>0.22082734006674018</v>
      </c>
      <c r="J302" s="2">
        <v>101.5</v>
      </c>
      <c r="K302" s="2">
        <v>110.9</v>
      </c>
      <c r="L302" s="2">
        <f t="shared" si="14"/>
        <v>-9.4000000000000057</v>
      </c>
      <c r="M302">
        <v>110.9</v>
      </c>
      <c r="N302">
        <v>102.2</v>
      </c>
      <c r="O302">
        <v>-0.8</v>
      </c>
    </row>
    <row r="303" spans="1:15">
      <c r="A303" t="s">
        <v>48</v>
      </c>
      <c r="B303" t="s">
        <v>10</v>
      </c>
      <c r="C303">
        <v>57</v>
      </c>
      <c r="D303">
        <v>25</v>
      </c>
      <c r="E303" s="1">
        <f t="shared" si="12"/>
        <v>0.69512195121951215</v>
      </c>
      <c r="F303" s="2">
        <v>100.2</v>
      </c>
      <c r="G303" s="2">
        <v>96</v>
      </c>
      <c r="H303" s="2">
        <f t="shared" si="13"/>
        <v>4.2000000000000028</v>
      </c>
      <c r="I303" s="1">
        <f>+(F303^14)/((F303^14+G303^14))</f>
        <v>0.64553732038759359</v>
      </c>
      <c r="J303" s="2">
        <v>108.4</v>
      </c>
      <c r="K303" s="2">
        <v>104.1</v>
      </c>
      <c r="L303" s="2">
        <f t="shared" si="14"/>
        <v>4.3000000000000114</v>
      </c>
      <c r="M303">
        <v>118.3</v>
      </c>
      <c r="N303">
        <v>88.8</v>
      </c>
      <c r="O303">
        <v>1.5</v>
      </c>
    </row>
    <row r="304" spans="1:15">
      <c r="A304" t="s">
        <v>48</v>
      </c>
      <c r="B304" t="s">
        <v>11</v>
      </c>
      <c r="C304">
        <v>50</v>
      </c>
      <c r="D304">
        <v>32</v>
      </c>
      <c r="E304" s="1">
        <f t="shared" si="12"/>
        <v>0.6097560975609756</v>
      </c>
      <c r="F304" s="2">
        <v>107.5</v>
      </c>
      <c r="G304" s="2">
        <v>102.7</v>
      </c>
      <c r="H304" s="2">
        <f t="shared" si="13"/>
        <v>4.7999999999999972</v>
      </c>
      <c r="I304" s="1">
        <f>+(F304^14)/((F304^14+G304^14))</f>
        <v>0.65464093009494817</v>
      </c>
      <c r="J304" s="2">
        <v>111.7</v>
      </c>
      <c r="K304" s="2">
        <v>106.8</v>
      </c>
      <c r="L304" s="2">
        <f t="shared" si="14"/>
        <v>4.9000000000000057</v>
      </c>
      <c r="M304">
        <v>107.4</v>
      </c>
      <c r="N304">
        <v>101.7</v>
      </c>
      <c r="O304">
        <v>0.8</v>
      </c>
    </row>
    <row r="305" spans="1:15">
      <c r="A305" t="s">
        <v>48</v>
      </c>
      <c r="B305" t="s">
        <v>12</v>
      </c>
      <c r="C305">
        <v>30</v>
      </c>
      <c r="D305">
        <v>52</v>
      </c>
      <c r="E305" s="1">
        <f t="shared" si="12"/>
        <v>0.36585365853658536</v>
      </c>
      <c r="F305" s="2">
        <v>97</v>
      </c>
      <c r="G305" s="2">
        <v>100.6</v>
      </c>
      <c r="H305" s="2">
        <f t="shared" si="13"/>
        <v>-3.5999999999999943</v>
      </c>
      <c r="I305" s="1">
        <f>+(F305^14)/((F305^14+G305^14))</f>
        <v>0.37515182060576369</v>
      </c>
      <c r="J305" s="2">
        <v>107</v>
      </c>
      <c r="K305" s="2">
        <v>110.7</v>
      </c>
      <c r="L305" s="2">
        <f t="shared" si="14"/>
        <v>-3.7000000000000028</v>
      </c>
      <c r="M305">
        <v>99.4</v>
      </c>
      <c r="N305">
        <v>103.6</v>
      </c>
      <c r="O305">
        <v>-1.1000000000000001</v>
      </c>
    </row>
    <row r="306" spans="1:15">
      <c r="A306" t="s">
        <v>48</v>
      </c>
      <c r="B306" t="s">
        <v>13</v>
      </c>
      <c r="C306">
        <v>36</v>
      </c>
      <c r="D306">
        <v>46</v>
      </c>
      <c r="E306" s="1">
        <f t="shared" si="12"/>
        <v>0.43902439024390244</v>
      </c>
      <c r="F306" s="2">
        <v>103.4</v>
      </c>
      <c r="G306" s="2">
        <v>105.7</v>
      </c>
      <c r="H306" s="2">
        <f t="shared" si="13"/>
        <v>-2.2999999999999972</v>
      </c>
      <c r="I306" s="1">
        <f>+(F306^14)/((F306^14+G306^14))</f>
        <v>0.42360322763648928</v>
      </c>
      <c r="J306" s="2">
        <v>107.1</v>
      </c>
      <c r="K306" s="2">
        <v>109.4</v>
      </c>
      <c r="L306" s="2">
        <f t="shared" si="14"/>
        <v>-2.3000000000000114</v>
      </c>
      <c r="M306">
        <v>113</v>
      </c>
      <c r="N306">
        <v>111.2</v>
      </c>
      <c r="O306">
        <v>-0.1</v>
      </c>
    </row>
    <row r="307" spans="1:15">
      <c r="A307" t="s">
        <v>48</v>
      </c>
      <c r="B307" t="s">
        <v>14</v>
      </c>
      <c r="C307">
        <v>43</v>
      </c>
      <c r="D307">
        <v>39</v>
      </c>
      <c r="E307" s="1">
        <f t="shared" si="12"/>
        <v>0.52439024390243905</v>
      </c>
      <c r="F307" s="2">
        <v>105.9</v>
      </c>
      <c r="G307" s="2">
        <v>103.7</v>
      </c>
      <c r="H307" s="2">
        <f t="shared" si="13"/>
        <v>2.2000000000000028</v>
      </c>
      <c r="I307" s="1">
        <f>+(F307^14)/((F307^14+G307^14))</f>
        <v>0.57295160820263835</v>
      </c>
      <c r="J307" s="2">
        <v>110.2</v>
      </c>
      <c r="K307" s="2">
        <v>107.9</v>
      </c>
      <c r="L307" s="2">
        <f t="shared" si="14"/>
        <v>2.2999999999999972</v>
      </c>
      <c r="M307">
        <v>99.5</v>
      </c>
      <c r="N307">
        <v>112.1</v>
      </c>
      <c r="O307">
        <v>-0.5</v>
      </c>
    </row>
    <row r="308" spans="1:15">
      <c r="A308" t="s">
        <v>48</v>
      </c>
      <c r="B308" t="s">
        <v>15</v>
      </c>
      <c r="C308">
        <v>37</v>
      </c>
      <c r="D308">
        <v>45</v>
      </c>
      <c r="E308" s="1">
        <f t="shared" si="12"/>
        <v>0.45121951219512196</v>
      </c>
      <c r="F308" s="2">
        <v>99.8</v>
      </c>
      <c r="G308" s="2">
        <v>100.9</v>
      </c>
      <c r="H308" s="2">
        <f t="shared" si="13"/>
        <v>-1.1000000000000085</v>
      </c>
      <c r="I308" s="1">
        <f>+(F308^14)/((F308^14+G308^14))</f>
        <v>0.4617090166605291</v>
      </c>
      <c r="J308" s="2">
        <v>104.1</v>
      </c>
      <c r="K308" s="2">
        <v>105</v>
      </c>
      <c r="L308" s="2">
        <f t="shared" si="14"/>
        <v>-0.90000000000000568</v>
      </c>
      <c r="M308">
        <v>96.3</v>
      </c>
      <c r="N308">
        <v>104.4</v>
      </c>
      <c r="O308">
        <v>-1.5</v>
      </c>
    </row>
    <row r="309" spans="1:15">
      <c r="A309" t="s">
        <v>48</v>
      </c>
      <c r="B309" t="s">
        <v>16</v>
      </c>
      <c r="C309">
        <v>32</v>
      </c>
      <c r="D309">
        <v>50</v>
      </c>
      <c r="E309" s="1">
        <f t="shared" si="12"/>
        <v>0.3902439024390244</v>
      </c>
      <c r="F309" s="2">
        <v>98.6</v>
      </c>
      <c r="G309" s="2">
        <v>101.8</v>
      </c>
      <c r="H309" s="2">
        <f t="shared" si="13"/>
        <v>-3.2000000000000028</v>
      </c>
      <c r="I309" s="1">
        <f>+(F309^14)/((F309^14+G309^14))</f>
        <v>0.39004006855823664</v>
      </c>
      <c r="J309" s="2">
        <v>104.8</v>
      </c>
      <c r="K309" s="2">
        <v>108</v>
      </c>
      <c r="L309" s="2">
        <f t="shared" si="14"/>
        <v>-3.2000000000000028</v>
      </c>
      <c r="M309">
        <v>107.1</v>
      </c>
      <c r="N309">
        <v>108.2</v>
      </c>
      <c r="O309">
        <v>-1.1000000000000001</v>
      </c>
    </row>
    <row r="310" spans="1:15">
      <c r="A310" t="s">
        <v>48</v>
      </c>
      <c r="B310" t="s">
        <v>17</v>
      </c>
      <c r="C310">
        <v>57</v>
      </c>
      <c r="D310">
        <v>25</v>
      </c>
      <c r="E310" s="1">
        <f t="shared" si="12"/>
        <v>0.69512195121951215</v>
      </c>
      <c r="F310" s="2">
        <v>101.5</v>
      </c>
      <c r="G310" s="2">
        <v>95.4</v>
      </c>
      <c r="H310" s="2">
        <f t="shared" si="13"/>
        <v>6.0999999999999943</v>
      </c>
      <c r="I310" s="1">
        <f>+(F310^14)/((F310^14+G310^14))</f>
        <v>0.70427169761914954</v>
      </c>
      <c r="J310" s="2">
        <v>109.6</v>
      </c>
      <c r="K310" s="2">
        <v>103.3</v>
      </c>
      <c r="L310" s="2">
        <f t="shared" si="14"/>
        <v>6.2999999999999972</v>
      </c>
      <c r="M310">
        <v>108</v>
      </c>
      <c r="N310">
        <v>98.7</v>
      </c>
      <c r="O310">
        <v>0</v>
      </c>
    </row>
    <row r="311" spans="1:15">
      <c r="A311" t="s">
        <v>48</v>
      </c>
      <c r="B311" t="s">
        <v>35</v>
      </c>
      <c r="C311">
        <v>46</v>
      </c>
      <c r="D311">
        <v>36</v>
      </c>
      <c r="E311" s="1">
        <f t="shared" si="12"/>
        <v>0.56097560975609762</v>
      </c>
      <c r="F311" s="2">
        <v>99.9</v>
      </c>
      <c r="G311" s="2">
        <v>97.6</v>
      </c>
      <c r="H311" s="2">
        <f t="shared" si="13"/>
        <v>2.3000000000000114</v>
      </c>
      <c r="I311" s="1">
        <f>+(F311^14)/((F311^14+G311^14))</f>
        <v>0.58080787890560803</v>
      </c>
      <c r="J311" s="2">
        <v>107</v>
      </c>
      <c r="K311" s="2">
        <v>104.5</v>
      </c>
      <c r="L311" s="2">
        <f t="shared" si="14"/>
        <v>2.5</v>
      </c>
      <c r="M311">
        <v>101.7</v>
      </c>
      <c r="N311">
        <v>108.5</v>
      </c>
      <c r="O311">
        <v>1</v>
      </c>
    </row>
    <row r="312" spans="1:15">
      <c r="A312" t="s">
        <v>48</v>
      </c>
      <c r="B312" t="s">
        <v>18</v>
      </c>
      <c r="C312">
        <v>58</v>
      </c>
      <c r="D312">
        <v>24</v>
      </c>
      <c r="E312" s="1">
        <f t="shared" si="12"/>
        <v>0.70731707317073167</v>
      </c>
      <c r="F312" s="2">
        <v>102.1</v>
      </c>
      <c r="G312" s="2">
        <v>94.6</v>
      </c>
      <c r="H312" s="2">
        <f t="shared" si="13"/>
        <v>7.5</v>
      </c>
      <c r="I312" s="1">
        <f>+(F312^14)/((F312^14+G312^14))</f>
        <v>0.7442417947513682</v>
      </c>
      <c r="J312" s="2">
        <v>110.6</v>
      </c>
      <c r="K312" s="2">
        <v>102.9</v>
      </c>
      <c r="L312" s="2">
        <f t="shared" si="14"/>
        <v>7.6999999999999886</v>
      </c>
      <c r="M312">
        <v>113.5</v>
      </c>
      <c r="N312">
        <v>102.8</v>
      </c>
      <c r="O312">
        <v>1.4</v>
      </c>
    </row>
    <row r="313" spans="1:15">
      <c r="A313" t="s">
        <v>48</v>
      </c>
      <c r="B313" t="s">
        <v>19</v>
      </c>
      <c r="C313">
        <v>35</v>
      </c>
      <c r="D313">
        <v>47</v>
      </c>
      <c r="E313" s="1">
        <f t="shared" si="12"/>
        <v>0.42682926829268292</v>
      </c>
      <c r="F313" s="2">
        <v>91.9</v>
      </c>
      <c r="G313" s="2">
        <v>92.7</v>
      </c>
      <c r="H313" s="2">
        <f t="shared" si="13"/>
        <v>-0.79999999999999716</v>
      </c>
      <c r="I313" s="1">
        <f>+(F313^14)/((F313^14+G313^14))</f>
        <v>0.46970111742339138</v>
      </c>
      <c r="J313" s="2">
        <v>100.8</v>
      </c>
      <c r="K313" s="2">
        <v>101.5</v>
      </c>
      <c r="L313" s="2">
        <f t="shared" si="14"/>
        <v>-0.70000000000000284</v>
      </c>
      <c r="M313">
        <v>90.8</v>
      </c>
      <c r="N313">
        <v>95.2</v>
      </c>
      <c r="O313">
        <v>0.4</v>
      </c>
    </row>
    <row r="314" spans="1:15">
      <c r="A314" t="s">
        <v>48</v>
      </c>
      <c r="B314" t="s">
        <v>20</v>
      </c>
      <c r="C314">
        <v>17</v>
      </c>
      <c r="D314">
        <v>65</v>
      </c>
      <c r="E314" s="1">
        <f t="shared" si="12"/>
        <v>0.2073170731707317</v>
      </c>
      <c r="F314" s="2">
        <v>101.1</v>
      </c>
      <c r="G314" s="2">
        <v>107.7</v>
      </c>
      <c r="H314" s="2">
        <f t="shared" si="13"/>
        <v>-6.6000000000000085</v>
      </c>
      <c r="I314" s="1">
        <f>+(F314^14)/((F314^14+G314^14))</f>
        <v>0.2920698563562486</v>
      </c>
      <c r="J314" s="2">
        <v>103.2</v>
      </c>
      <c r="K314" s="2">
        <v>109.9</v>
      </c>
      <c r="L314" s="2">
        <f t="shared" si="14"/>
        <v>-6.7000000000000028</v>
      </c>
      <c r="M314">
        <v>91.1</v>
      </c>
      <c r="N314">
        <v>129.80000000000001</v>
      </c>
      <c r="O314">
        <v>-1.7</v>
      </c>
    </row>
    <row r="315" spans="1:15">
      <c r="A315" t="s">
        <v>48</v>
      </c>
      <c r="B315" t="s">
        <v>21</v>
      </c>
      <c r="C315">
        <v>24</v>
      </c>
      <c r="D315">
        <v>58</v>
      </c>
      <c r="E315" s="1">
        <f t="shared" si="12"/>
        <v>0.29268292682926828</v>
      </c>
      <c r="F315" s="2">
        <v>94.2</v>
      </c>
      <c r="G315" s="2">
        <v>100.4</v>
      </c>
      <c r="H315" s="2">
        <f t="shared" si="13"/>
        <v>-6.2000000000000028</v>
      </c>
      <c r="I315" s="1">
        <f>+(F315^14)/((F315^14+G315^14))</f>
        <v>0.29061719989236251</v>
      </c>
      <c r="J315" s="2">
        <v>102.1</v>
      </c>
      <c r="K315" s="2">
        <v>108.9</v>
      </c>
      <c r="L315" s="2">
        <f t="shared" si="14"/>
        <v>-6.8000000000000114</v>
      </c>
      <c r="M315">
        <v>100.5</v>
      </c>
      <c r="N315">
        <v>106.6</v>
      </c>
      <c r="O315">
        <v>-0.4</v>
      </c>
    </row>
    <row r="316" spans="1:15">
      <c r="A316" t="s">
        <v>48</v>
      </c>
      <c r="B316" t="s">
        <v>37</v>
      </c>
      <c r="C316">
        <v>46</v>
      </c>
      <c r="D316">
        <v>36</v>
      </c>
      <c r="E316" s="1">
        <f t="shared" si="12"/>
        <v>0.56097560975609762</v>
      </c>
      <c r="F316" s="2">
        <v>94.9</v>
      </c>
      <c r="G316" s="2">
        <v>94</v>
      </c>
      <c r="H316" s="2">
        <f t="shared" si="13"/>
        <v>0.90000000000000568</v>
      </c>
      <c r="I316" s="1">
        <f>+(F316^14)/((F316^14+G316^14))</f>
        <v>0.53330185727266632</v>
      </c>
      <c r="J316" s="2">
        <v>105.4</v>
      </c>
      <c r="K316" s="2">
        <v>104.4</v>
      </c>
      <c r="L316" s="2">
        <f t="shared" si="14"/>
        <v>1</v>
      </c>
      <c r="M316">
        <v>101</v>
      </c>
      <c r="N316">
        <v>90.4</v>
      </c>
      <c r="O316">
        <v>-0.4</v>
      </c>
    </row>
    <row r="317" spans="1:15">
      <c r="A317" t="s">
        <v>48</v>
      </c>
      <c r="B317" t="s">
        <v>22</v>
      </c>
      <c r="C317">
        <v>42</v>
      </c>
      <c r="D317">
        <v>40</v>
      </c>
      <c r="E317" s="1">
        <f t="shared" si="12"/>
        <v>0.51219512195121952</v>
      </c>
      <c r="F317" s="2">
        <v>106.5</v>
      </c>
      <c r="G317" s="2">
        <v>105.7</v>
      </c>
      <c r="H317" s="2">
        <f t="shared" si="13"/>
        <v>0.79999999999999716</v>
      </c>
      <c r="I317" s="1">
        <f>+(F317^14)/((F317^14+G317^14))</f>
        <v>0.52636584420943078</v>
      </c>
      <c r="J317" s="2">
        <v>109.9</v>
      </c>
      <c r="K317" s="2">
        <v>109</v>
      </c>
      <c r="L317" s="2">
        <f t="shared" si="14"/>
        <v>0.90000000000000568</v>
      </c>
      <c r="M317">
        <v>106.4</v>
      </c>
      <c r="N317">
        <v>110.4</v>
      </c>
      <c r="O317">
        <v>-0.4</v>
      </c>
    </row>
    <row r="318" spans="1:15">
      <c r="A318" t="s">
        <v>48</v>
      </c>
      <c r="B318" t="s">
        <v>46</v>
      </c>
      <c r="C318">
        <v>55</v>
      </c>
      <c r="D318">
        <v>27</v>
      </c>
      <c r="E318" s="1">
        <f t="shared" si="12"/>
        <v>0.67073170731707321</v>
      </c>
      <c r="F318" s="2">
        <v>104.8</v>
      </c>
      <c r="G318" s="2">
        <v>101</v>
      </c>
      <c r="H318" s="2">
        <f t="shared" si="13"/>
        <v>3.7999999999999972</v>
      </c>
      <c r="I318" s="1">
        <f>+(F318^14)/((F318^14+G318^14))</f>
        <v>0.62646134296899791</v>
      </c>
      <c r="J318" s="2">
        <v>109.9</v>
      </c>
      <c r="K318" s="2">
        <v>105.9</v>
      </c>
      <c r="L318" s="2">
        <f t="shared" si="14"/>
        <v>4</v>
      </c>
      <c r="M318">
        <v>105.8</v>
      </c>
      <c r="N318">
        <v>92</v>
      </c>
      <c r="O318">
        <v>0.9</v>
      </c>
    </row>
    <row r="319" spans="1:15">
      <c r="A319" t="s">
        <v>48</v>
      </c>
      <c r="B319" t="s">
        <v>23</v>
      </c>
      <c r="C319">
        <v>52</v>
      </c>
      <c r="D319">
        <v>30</v>
      </c>
      <c r="E319" s="1">
        <f t="shared" si="12"/>
        <v>0.63414634146341464</v>
      </c>
      <c r="F319" s="2">
        <v>99.2</v>
      </c>
      <c r="G319" s="2">
        <v>93.7</v>
      </c>
      <c r="H319" s="2">
        <f t="shared" si="13"/>
        <v>5.5</v>
      </c>
      <c r="I319" s="1">
        <f>+(F319^14)/((F319^14+G319^14))</f>
        <v>0.68966584270274334</v>
      </c>
      <c r="J319" s="2">
        <v>107.4</v>
      </c>
      <c r="K319" s="2">
        <v>101.8</v>
      </c>
      <c r="L319" s="2">
        <f t="shared" si="14"/>
        <v>5.6000000000000085</v>
      </c>
      <c r="M319">
        <v>107.1</v>
      </c>
      <c r="N319">
        <v>107</v>
      </c>
      <c r="O319">
        <v>1.2</v>
      </c>
    </row>
    <row r="320" spans="1:15">
      <c r="A320" t="s">
        <v>48</v>
      </c>
      <c r="B320" t="s">
        <v>24</v>
      </c>
      <c r="C320">
        <v>41</v>
      </c>
      <c r="D320">
        <v>41</v>
      </c>
      <c r="E320" s="1">
        <f t="shared" si="12"/>
        <v>0.5</v>
      </c>
      <c r="F320" s="2">
        <v>99</v>
      </c>
      <c r="G320" s="2">
        <v>97.5</v>
      </c>
      <c r="H320" s="2">
        <f t="shared" si="13"/>
        <v>1.5</v>
      </c>
      <c r="I320" s="1">
        <f>+(F320^14)/((F320^14+G320^14))</f>
        <v>0.55323363393409675</v>
      </c>
      <c r="J320" s="2">
        <v>105.3</v>
      </c>
      <c r="K320" s="2">
        <v>103.8</v>
      </c>
      <c r="L320" s="2">
        <f t="shared" si="14"/>
        <v>1.5</v>
      </c>
      <c r="M320">
        <v>97.2</v>
      </c>
      <c r="N320">
        <v>107.6</v>
      </c>
      <c r="O320">
        <v>0.3</v>
      </c>
    </row>
    <row r="321" spans="1:15">
      <c r="A321" t="s">
        <v>48</v>
      </c>
      <c r="B321" t="s">
        <v>25</v>
      </c>
      <c r="C321">
        <v>40</v>
      </c>
      <c r="D321">
        <v>42</v>
      </c>
      <c r="E321" s="1">
        <f t="shared" si="12"/>
        <v>0.48780487804878048</v>
      </c>
      <c r="F321" s="2">
        <v>105</v>
      </c>
      <c r="G321" s="2">
        <v>105.9</v>
      </c>
      <c r="H321" s="2">
        <f t="shared" si="13"/>
        <v>-0.90000000000000568</v>
      </c>
      <c r="I321" s="1">
        <f>+(F321^14)/((F321^14+G321^14))</f>
        <v>0.47016333248324643</v>
      </c>
      <c r="J321" s="2">
        <v>108.6</v>
      </c>
      <c r="K321" s="2">
        <v>109.4</v>
      </c>
      <c r="L321" s="2">
        <f t="shared" si="14"/>
        <v>-0.80000000000001137</v>
      </c>
      <c r="M321">
        <v>106.3</v>
      </c>
      <c r="N321">
        <v>106</v>
      </c>
      <c r="O321">
        <v>-0.1</v>
      </c>
    </row>
    <row r="322" spans="1:15">
      <c r="A322" t="s">
        <v>48</v>
      </c>
      <c r="B322" t="s">
        <v>26</v>
      </c>
      <c r="C322">
        <v>48</v>
      </c>
      <c r="D322">
        <v>34</v>
      </c>
      <c r="E322" s="1">
        <f t="shared" si="12"/>
        <v>0.58536585365853655</v>
      </c>
      <c r="F322" s="2">
        <v>96.3</v>
      </c>
      <c r="G322" s="2">
        <v>94.8</v>
      </c>
      <c r="H322" s="2">
        <f t="shared" si="13"/>
        <v>1.5</v>
      </c>
      <c r="I322" s="1">
        <f>+(F322^14)/((F322^14+G322^14))</f>
        <v>0.55472606384506307</v>
      </c>
      <c r="J322" s="2">
        <v>107.3</v>
      </c>
      <c r="K322" s="2">
        <v>105.7</v>
      </c>
      <c r="L322" s="2">
        <f t="shared" si="14"/>
        <v>1.5999999999999943</v>
      </c>
      <c r="M322">
        <v>108.5</v>
      </c>
      <c r="N322">
        <v>95.4</v>
      </c>
      <c r="O322">
        <v>-0.1</v>
      </c>
    </row>
    <row r="323" spans="1:15">
      <c r="A323" t="s">
        <v>48</v>
      </c>
      <c r="B323" t="s">
        <v>27</v>
      </c>
      <c r="C323">
        <v>24</v>
      </c>
      <c r="D323">
        <v>58</v>
      </c>
      <c r="E323" s="1">
        <f t="shared" ref="E323:E386" si="15">+C323/(C323+D323)</f>
        <v>0.29268292682926828</v>
      </c>
      <c r="F323" s="2">
        <v>99.4</v>
      </c>
      <c r="G323" s="2">
        <v>104.7</v>
      </c>
      <c r="H323" s="2">
        <f t="shared" ref="H323:H386" si="16">+F323-G323</f>
        <v>-5.2999999999999972</v>
      </c>
      <c r="I323" s="1">
        <f>+(F323^14)/((F323^14+G323^14))</f>
        <v>0.32579671565672774</v>
      </c>
      <c r="J323" s="2">
        <v>102.9</v>
      </c>
      <c r="K323" s="2">
        <v>108.4</v>
      </c>
      <c r="L323" s="2">
        <f t="shared" ref="L323:L386" si="17">+J323-K323</f>
        <v>-5.5</v>
      </c>
      <c r="M323">
        <v>88.3</v>
      </c>
      <c r="N323">
        <v>107</v>
      </c>
      <c r="O323">
        <v>-0.3</v>
      </c>
    </row>
    <row r="324" spans="1:15">
      <c r="A324" t="s">
        <v>48</v>
      </c>
      <c r="B324" t="s">
        <v>28</v>
      </c>
      <c r="C324">
        <v>61</v>
      </c>
      <c r="D324">
        <v>21</v>
      </c>
      <c r="E324" s="1">
        <f t="shared" si="15"/>
        <v>0.74390243902439024</v>
      </c>
      <c r="F324" s="2">
        <v>103.7</v>
      </c>
      <c r="G324" s="2">
        <v>98</v>
      </c>
      <c r="H324" s="2">
        <f t="shared" si="16"/>
        <v>5.7000000000000028</v>
      </c>
      <c r="I324" s="1">
        <f>+(F324^14)/((F324^14+G324^14))</f>
        <v>0.68815008100174779</v>
      </c>
      <c r="J324" s="2">
        <v>110.5</v>
      </c>
      <c r="K324" s="2">
        <v>104.4</v>
      </c>
      <c r="L324" s="2">
        <f t="shared" si="17"/>
        <v>6.0999999999999943</v>
      </c>
      <c r="M324">
        <v>100.7</v>
      </c>
      <c r="N324">
        <v>93.1</v>
      </c>
      <c r="O324">
        <v>0.9</v>
      </c>
    </row>
    <row r="325" spans="1:15">
      <c r="A325" t="s">
        <v>48</v>
      </c>
      <c r="B325" t="s">
        <v>30</v>
      </c>
      <c r="C325">
        <v>22</v>
      </c>
      <c r="D325">
        <v>60</v>
      </c>
      <c r="E325" s="1">
        <f t="shared" si="15"/>
        <v>0.26829268292682928</v>
      </c>
      <c r="F325" s="2">
        <v>99.1</v>
      </c>
      <c r="G325" s="2">
        <v>105.4</v>
      </c>
      <c r="H325" s="2">
        <f t="shared" si="16"/>
        <v>-6.3000000000000114</v>
      </c>
      <c r="I325" s="1">
        <f>+(F325^14)/((F325^14+G325^14))</f>
        <v>0.29674116981682536</v>
      </c>
      <c r="J325" s="2">
        <v>105.2</v>
      </c>
      <c r="K325" s="2">
        <v>111.7</v>
      </c>
      <c r="L325" s="2">
        <f t="shared" si="17"/>
        <v>-6.5</v>
      </c>
      <c r="M325">
        <v>93.3</v>
      </c>
      <c r="N325">
        <v>113.2</v>
      </c>
      <c r="O325">
        <v>-1.7</v>
      </c>
    </row>
    <row r="326" spans="1:15">
      <c r="A326" t="s">
        <v>48</v>
      </c>
      <c r="B326" t="s">
        <v>31</v>
      </c>
      <c r="C326">
        <v>39</v>
      </c>
      <c r="D326">
        <v>43</v>
      </c>
      <c r="E326" s="1">
        <f t="shared" si="15"/>
        <v>0.47560975609756095</v>
      </c>
      <c r="F326" s="2">
        <v>99.4</v>
      </c>
      <c r="G326" s="2">
        <v>101.3</v>
      </c>
      <c r="H326" s="2">
        <f t="shared" si="16"/>
        <v>-1.8999999999999915</v>
      </c>
      <c r="I326" s="1">
        <f>+(F326^14)/((F326^14+G326^14))</f>
        <v>0.4341153034134177</v>
      </c>
      <c r="J326" s="2">
        <v>107</v>
      </c>
      <c r="K326" s="2">
        <v>108.8</v>
      </c>
      <c r="L326" s="2">
        <f t="shared" si="17"/>
        <v>-1.7999999999999972</v>
      </c>
      <c r="M326">
        <v>111.8</v>
      </c>
      <c r="N326">
        <v>103.3</v>
      </c>
      <c r="O326">
        <v>1.3</v>
      </c>
    </row>
    <row r="327" spans="1:15">
      <c r="A327" t="s">
        <v>48</v>
      </c>
      <c r="B327" t="s">
        <v>33</v>
      </c>
      <c r="C327">
        <v>23</v>
      </c>
      <c r="D327">
        <v>59</v>
      </c>
      <c r="E327" s="1">
        <f t="shared" si="15"/>
        <v>0.28048780487804881</v>
      </c>
      <c r="F327" s="2">
        <v>97.3</v>
      </c>
      <c r="G327" s="2">
        <v>104.7</v>
      </c>
      <c r="H327" s="2">
        <f t="shared" si="16"/>
        <v>-7.4000000000000057</v>
      </c>
      <c r="I327" s="1">
        <f>+(F327^14)/((F327^14+G327^14))</f>
        <v>0.26382112647972111</v>
      </c>
      <c r="J327" s="2">
        <v>101.3</v>
      </c>
      <c r="K327" s="2">
        <v>109.1</v>
      </c>
      <c r="L327" s="2">
        <f t="shared" si="17"/>
        <v>-7.7999999999999972</v>
      </c>
      <c r="M327">
        <v>98.1</v>
      </c>
      <c r="N327">
        <v>113.7</v>
      </c>
      <c r="O327">
        <v>-1</v>
      </c>
    </row>
    <row r="328" spans="1:15">
      <c r="A328" t="s">
        <v>49</v>
      </c>
      <c r="B328" t="s">
        <v>5</v>
      </c>
      <c r="C328">
        <v>40</v>
      </c>
      <c r="D328">
        <v>26</v>
      </c>
      <c r="E328" s="1">
        <f t="shared" si="15"/>
        <v>0.60606060606060608</v>
      </c>
      <c r="F328" s="2">
        <v>96.6</v>
      </c>
      <c r="G328" s="2">
        <v>93.2</v>
      </c>
      <c r="H328" s="2">
        <f t="shared" si="16"/>
        <v>3.3999999999999915</v>
      </c>
      <c r="I328" s="1">
        <f>+(F328^14)/((F328^14+G328^14))</f>
        <v>0.62284331457936171</v>
      </c>
      <c r="J328" s="2">
        <v>104.2</v>
      </c>
      <c r="K328" s="2">
        <v>100.4</v>
      </c>
      <c r="L328" s="2">
        <f t="shared" si="17"/>
        <v>3.7999999999999972</v>
      </c>
      <c r="M328">
        <v>107.2</v>
      </c>
      <c r="N328">
        <v>89.1</v>
      </c>
      <c r="O328">
        <v>1.4</v>
      </c>
    </row>
    <row r="329" spans="1:15">
      <c r="A329" t="s">
        <v>49</v>
      </c>
      <c r="B329" t="s">
        <v>6</v>
      </c>
      <c r="C329">
        <v>39</v>
      </c>
      <c r="D329">
        <v>27</v>
      </c>
      <c r="E329" s="1">
        <f t="shared" si="15"/>
        <v>0.59090909090909094</v>
      </c>
      <c r="F329" s="2">
        <v>91.8</v>
      </c>
      <c r="G329" s="2">
        <v>89.3</v>
      </c>
      <c r="H329" s="2">
        <f t="shared" si="16"/>
        <v>2.5</v>
      </c>
      <c r="I329" s="1">
        <f>+(F329^14)/((F329^14+G329^14))</f>
        <v>0.59545222881559101</v>
      </c>
      <c r="J329" s="2">
        <v>100.1</v>
      </c>
      <c r="K329" s="2">
        <v>97.5</v>
      </c>
      <c r="L329" s="2">
        <f t="shared" si="17"/>
        <v>2.5999999999999943</v>
      </c>
      <c r="M329">
        <v>101.2</v>
      </c>
      <c r="N329">
        <v>100.4</v>
      </c>
      <c r="O329">
        <v>0.1</v>
      </c>
    </row>
    <row r="330" spans="1:15">
      <c r="A330" t="s">
        <v>49</v>
      </c>
      <c r="B330" t="s">
        <v>40</v>
      </c>
      <c r="C330">
        <v>7</v>
      </c>
      <c r="D330">
        <v>59</v>
      </c>
      <c r="E330" s="1">
        <f t="shared" si="15"/>
        <v>0.10606060606060606</v>
      </c>
      <c r="F330" s="2">
        <v>87</v>
      </c>
      <c r="G330" s="2">
        <v>100.9</v>
      </c>
      <c r="H330" s="2">
        <f t="shared" si="16"/>
        <v>-13.900000000000006</v>
      </c>
      <c r="I330" s="1">
        <f>+(F330^14)/((F330^14+G330^14))</f>
        <v>0.11154010247358601</v>
      </c>
      <c r="J330" s="2">
        <v>94.4</v>
      </c>
      <c r="K330" s="2">
        <v>109.4</v>
      </c>
      <c r="L330" s="2">
        <f t="shared" si="17"/>
        <v>-15</v>
      </c>
      <c r="M330">
        <v>82.8</v>
      </c>
      <c r="N330">
        <v>116.2</v>
      </c>
      <c r="O330">
        <v>-2.8</v>
      </c>
    </row>
    <row r="331" spans="1:15">
      <c r="A331" t="s">
        <v>49</v>
      </c>
      <c r="B331" t="s">
        <v>8</v>
      </c>
      <c r="C331">
        <v>50</v>
      </c>
      <c r="D331">
        <v>16</v>
      </c>
      <c r="E331" s="1">
        <f t="shared" si="15"/>
        <v>0.75757575757575757</v>
      </c>
      <c r="F331" s="2">
        <v>96.3</v>
      </c>
      <c r="G331" s="2">
        <v>88.2</v>
      </c>
      <c r="H331" s="2">
        <f t="shared" si="16"/>
        <v>8.0999999999999943</v>
      </c>
      <c r="I331" s="1">
        <f>+(F331^14)/((F331^14+G331^14))</f>
        <v>0.77382889717097558</v>
      </c>
      <c r="J331" s="2">
        <v>106.3</v>
      </c>
      <c r="K331" s="2">
        <v>97.5</v>
      </c>
      <c r="L331" s="2">
        <f t="shared" si="17"/>
        <v>8.7999999999999972</v>
      </c>
      <c r="M331">
        <v>107.5</v>
      </c>
      <c r="N331">
        <v>94.1</v>
      </c>
      <c r="O331">
        <v>2.5</v>
      </c>
    </row>
    <row r="332" spans="1:15">
      <c r="A332" t="s">
        <v>49</v>
      </c>
      <c r="B332" t="s">
        <v>9</v>
      </c>
      <c r="C332">
        <v>21</v>
      </c>
      <c r="D332">
        <v>45</v>
      </c>
      <c r="E332" s="1">
        <f t="shared" si="15"/>
        <v>0.31818181818181818</v>
      </c>
      <c r="F332" s="2">
        <v>93</v>
      </c>
      <c r="G332" s="2">
        <v>100.2</v>
      </c>
      <c r="H332" s="2">
        <f t="shared" si="16"/>
        <v>-7.2000000000000028</v>
      </c>
      <c r="I332" s="1">
        <f>+(F332^14)/((F332^14+G332^14))</f>
        <v>0.2603862977504619</v>
      </c>
      <c r="J332" s="2">
        <v>100</v>
      </c>
      <c r="K332" s="2">
        <v>107.6</v>
      </c>
      <c r="L332" s="2">
        <f t="shared" si="17"/>
        <v>-7.5999999999999943</v>
      </c>
      <c r="M332">
        <v>103</v>
      </c>
      <c r="N332">
        <v>106</v>
      </c>
      <c r="O332">
        <v>0.3</v>
      </c>
    </row>
    <row r="333" spans="1:15">
      <c r="A333" t="s">
        <v>49</v>
      </c>
      <c r="B333" t="s">
        <v>10</v>
      </c>
      <c r="C333">
        <v>36</v>
      </c>
      <c r="D333">
        <v>30</v>
      </c>
      <c r="E333" s="1">
        <f t="shared" si="15"/>
        <v>0.54545454545454541</v>
      </c>
      <c r="F333" s="2">
        <v>95.8</v>
      </c>
      <c r="G333" s="2">
        <v>94.8</v>
      </c>
      <c r="H333" s="2">
        <f t="shared" si="16"/>
        <v>1</v>
      </c>
      <c r="I333" s="1">
        <f>+(F333^14)/((F333^14+G333^14))</f>
        <v>0.53666055673861812</v>
      </c>
      <c r="J333" s="2">
        <v>102.1</v>
      </c>
      <c r="K333" s="2">
        <v>100.9</v>
      </c>
      <c r="L333" s="2">
        <f t="shared" si="17"/>
        <v>1.1999999999999886</v>
      </c>
      <c r="M333">
        <v>101</v>
      </c>
      <c r="N333">
        <v>98.7</v>
      </c>
      <c r="O333">
        <v>-0.6</v>
      </c>
    </row>
    <row r="334" spans="1:15">
      <c r="A334" t="s">
        <v>49</v>
      </c>
      <c r="B334" t="s">
        <v>11</v>
      </c>
      <c r="C334">
        <v>38</v>
      </c>
      <c r="D334">
        <v>28</v>
      </c>
      <c r="E334" s="1">
        <f t="shared" si="15"/>
        <v>0.5757575757575758</v>
      </c>
      <c r="F334" s="2">
        <v>104.1</v>
      </c>
      <c r="G334" s="2">
        <v>101.2</v>
      </c>
      <c r="H334" s="2">
        <f t="shared" si="16"/>
        <v>2.8999999999999915</v>
      </c>
      <c r="I334" s="1">
        <f>+(F334^14)/((F334^14+G334^14))</f>
        <v>0.59761684455531594</v>
      </c>
      <c r="J334" s="2">
        <v>108.3</v>
      </c>
      <c r="K334" s="2">
        <v>105.1</v>
      </c>
      <c r="L334" s="2">
        <f t="shared" si="17"/>
        <v>3.2000000000000028</v>
      </c>
      <c r="M334">
        <v>97.9</v>
      </c>
      <c r="N334">
        <v>100</v>
      </c>
      <c r="O334">
        <v>0.3</v>
      </c>
    </row>
    <row r="335" spans="1:15">
      <c r="A335" t="s">
        <v>49</v>
      </c>
      <c r="B335" t="s">
        <v>12</v>
      </c>
      <c r="C335">
        <v>25</v>
      </c>
      <c r="D335">
        <v>41</v>
      </c>
      <c r="E335" s="1">
        <f t="shared" si="15"/>
        <v>0.37878787878787878</v>
      </c>
      <c r="F335" s="2">
        <v>90.9</v>
      </c>
      <c r="G335" s="2">
        <v>95.7</v>
      </c>
      <c r="H335" s="2">
        <f t="shared" si="16"/>
        <v>-4.7999999999999972</v>
      </c>
      <c r="I335" s="1">
        <f>+(F335^14)/((F335^14+G335^14))</f>
        <v>0.32730134783785092</v>
      </c>
      <c r="J335" s="2">
        <v>100</v>
      </c>
      <c r="K335" s="2">
        <v>105</v>
      </c>
      <c r="L335" s="2">
        <f t="shared" si="17"/>
        <v>-5</v>
      </c>
      <c r="M335">
        <v>95.9</v>
      </c>
      <c r="N335">
        <v>104.7</v>
      </c>
      <c r="O335">
        <v>-2.2999999999999998</v>
      </c>
    </row>
    <row r="336" spans="1:15">
      <c r="A336" t="s">
        <v>49</v>
      </c>
      <c r="B336" t="s">
        <v>13</v>
      </c>
      <c r="C336">
        <v>23</v>
      </c>
      <c r="D336">
        <v>43</v>
      </c>
      <c r="E336" s="1">
        <f t="shared" si="15"/>
        <v>0.34848484848484851</v>
      </c>
      <c r="F336" s="2">
        <v>97.8</v>
      </c>
      <c r="G336" s="2">
        <v>101.2</v>
      </c>
      <c r="H336" s="2">
        <f t="shared" si="16"/>
        <v>-3.4000000000000057</v>
      </c>
      <c r="I336" s="1">
        <f>+(F336^14)/((F336^14+G336^14))</f>
        <v>0.38262091434510453</v>
      </c>
      <c r="J336" s="2">
        <v>103.9</v>
      </c>
      <c r="K336" s="2">
        <v>107.3</v>
      </c>
      <c r="L336" s="2">
        <f t="shared" si="17"/>
        <v>-3.3999999999999915</v>
      </c>
      <c r="M336">
        <v>89</v>
      </c>
      <c r="N336">
        <v>106.6</v>
      </c>
      <c r="O336">
        <v>-1</v>
      </c>
    </row>
    <row r="337" spans="1:15">
      <c r="A337" t="s">
        <v>49</v>
      </c>
      <c r="B337" t="s">
        <v>14</v>
      </c>
      <c r="C337">
        <v>34</v>
      </c>
      <c r="D337">
        <v>32</v>
      </c>
      <c r="E337" s="1">
        <f t="shared" si="15"/>
        <v>0.51515151515151514</v>
      </c>
      <c r="F337" s="2">
        <v>98.1</v>
      </c>
      <c r="G337" s="2">
        <v>97.9</v>
      </c>
      <c r="H337" s="2">
        <f t="shared" si="16"/>
        <v>0.19999999999998863</v>
      </c>
      <c r="I337" s="1">
        <f>+(F337^14)/((F337^14+G337^14))</f>
        <v>0.5071423737524916</v>
      </c>
      <c r="J337" s="2">
        <v>104.2</v>
      </c>
      <c r="K337" s="2">
        <v>104</v>
      </c>
      <c r="L337" s="2">
        <f t="shared" si="17"/>
        <v>0.20000000000000284</v>
      </c>
      <c r="M337">
        <v>104.5</v>
      </c>
      <c r="N337">
        <v>97.9</v>
      </c>
      <c r="O337">
        <v>-0.5</v>
      </c>
    </row>
    <row r="338" spans="1:15">
      <c r="A338" t="s">
        <v>49</v>
      </c>
      <c r="B338" t="s">
        <v>15</v>
      </c>
      <c r="C338">
        <v>42</v>
      </c>
      <c r="D338">
        <v>24</v>
      </c>
      <c r="E338" s="1">
        <f t="shared" si="15"/>
        <v>0.63636363636363635</v>
      </c>
      <c r="F338" s="2">
        <v>97.7</v>
      </c>
      <c r="G338" s="2">
        <v>94.4</v>
      </c>
      <c r="H338" s="2">
        <f t="shared" si="16"/>
        <v>3.2999999999999972</v>
      </c>
      <c r="I338" s="1">
        <f>+(F338^14)/((F338^14+G338^14))</f>
        <v>0.61799503146389967</v>
      </c>
      <c r="J338" s="2">
        <v>105.5</v>
      </c>
      <c r="K338" s="2">
        <v>102.1</v>
      </c>
      <c r="L338" s="2">
        <f t="shared" si="17"/>
        <v>3.4000000000000057</v>
      </c>
      <c r="M338">
        <v>106.5</v>
      </c>
      <c r="N338">
        <v>85.1</v>
      </c>
      <c r="O338">
        <v>0.7</v>
      </c>
    </row>
    <row r="339" spans="1:15">
      <c r="A339" t="s">
        <v>49</v>
      </c>
      <c r="B339" t="s">
        <v>16</v>
      </c>
      <c r="C339">
        <v>40</v>
      </c>
      <c r="D339">
        <v>26</v>
      </c>
      <c r="E339" s="1">
        <f t="shared" si="15"/>
        <v>0.60606060606060608</v>
      </c>
      <c r="F339" s="2">
        <v>97.5</v>
      </c>
      <c r="G339" s="2">
        <v>95</v>
      </c>
      <c r="H339" s="2">
        <f t="shared" si="16"/>
        <v>2.5</v>
      </c>
      <c r="I339" s="1">
        <f>+(F339^14)/((F339^14+G339^14))</f>
        <v>0.58992535543589308</v>
      </c>
      <c r="J339" s="2">
        <v>107.5</v>
      </c>
      <c r="K339" s="2">
        <v>104.8</v>
      </c>
      <c r="L339" s="2">
        <f t="shared" si="17"/>
        <v>2.7000000000000028</v>
      </c>
      <c r="M339">
        <v>98.4</v>
      </c>
      <c r="N339">
        <v>99.5</v>
      </c>
      <c r="O339">
        <v>0.9</v>
      </c>
    </row>
    <row r="340" spans="1:15">
      <c r="A340" t="s">
        <v>49</v>
      </c>
      <c r="B340" t="s">
        <v>17</v>
      </c>
      <c r="C340">
        <v>41</v>
      </c>
      <c r="D340">
        <v>25</v>
      </c>
      <c r="E340" s="1">
        <f t="shared" si="15"/>
        <v>0.62121212121212122</v>
      </c>
      <c r="F340" s="2">
        <v>97.3</v>
      </c>
      <c r="G340" s="2">
        <v>95.9</v>
      </c>
      <c r="H340" s="2">
        <f t="shared" si="16"/>
        <v>1.3999999999999915</v>
      </c>
      <c r="I340" s="1">
        <f>+(F340^14)/((F340^14+G340^14))</f>
        <v>0.55055221133697552</v>
      </c>
      <c r="J340" s="2">
        <v>104.5</v>
      </c>
      <c r="K340" s="2">
        <v>103.2</v>
      </c>
      <c r="L340" s="2">
        <f t="shared" si="17"/>
        <v>1.2999999999999972</v>
      </c>
      <c r="M340">
        <v>111.2</v>
      </c>
      <c r="N340">
        <v>92.3</v>
      </c>
      <c r="O340">
        <v>-0.1</v>
      </c>
    </row>
    <row r="341" spans="1:15">
      <c r="A341" t="s">
        <v>49</v>
      </c>
      <c r="B341" t="s">
        <v>35</v>
      </c>
      <c r="C341">
        <v>41</v>
      </c>
      <c r="D341">
        <v>25</v>
      </c>
      <c r="E341" s="1">
        <f t="shared" si="15"/>
        <v>0.62121212121212122</v>
      </c>
      <c r="F341" s="2">
        <v>95</v>
      </c>
      <c r="G341" s="2">
        <v>93</v>
      </c>
      <c r="H341" s="2">
        <f t="shared" si="16"/>
        <v>2</v>
      </c>
      <c r="I341" s="1">
        <f>+(F341^14)/((F341^14+G341^14))</f>
        <v>0.57392505859345744</v>
      </c>
      <c r="J341" s="2">
        <v>102.8</v>
      </c>
      <c r="K341" s="2">
        <v>100.6</v>
      </c>
      <c r="L341" s="2">
        <f t="shared" si="17"/>
        <v>2.2000000000000028</v>
      </c>
      <c r="M341">
        <v>106.8</v>
      </c>
      <c r="N341">
        <v>93.8</v>
      </c>
      <c r="O341">
        <v>0.3</v>
      </c>
    </row>
    <row r="342" spans="1:15">
      <c r="A342" t="s">
        <v>49</v>
      </c>
      <c r="B342" t="s">
        <v>18</v>
      </c>
      <c r="C342">
        <v>46</v>
      </c>
      <c r="D342">
        <v>20</v>
      </c>
      <c r="E342" s="1">
        <f t="shared" si="15"/>
        <v>0.69696969696969702</v>
      </c>
      <c r="F342" s="2">
        <v>98.5</v>
      </c>
      <c r="G342" s="2">
        <v>92.5</v>
      </c>
      <c r="H342" s="2">
        <f t="shared" si="16"/>
        <v>6</v>
      </c>
      <c r="I342" s="1">
        <f>+(F342^14)/((F342^14+G342^14))</f>
        <v>0.70679541613451391</v>
      </c>
      <c r="J342" s="2">
        <v>105.6</v>
      </c>
      <c r="K342" s="2">
        <v>99.2</v>
      </c>
      <c r="L342" s="2">
        <f t="shared" si="17"/>
        <v>6.3999999999999915</v>
      </c>
      <c r="M342">
        <v>100.8</v>
      </c>
      <c r="N342">
        <v>90.4</v>
      </c>
      <c r="O342">
        <v>0.6</v>
      </c>
    </row>
    <row r="343" spans="1:15">
      <c r="A343" t="s">
        <v>49</v>
      </c>
      <c r="B343" t="s">
        <v>19</v>
      </c>
      <c r="C343">
        <v>31</v>
      </c>
      <c r="D343">
        <v>35</v>
      </c>
      <c r="E343" s="1">
        <f t="shared" si="15"/>
        <v>0.46969696969696972</v>
      </c>
      <c r="F343" s="2">
        <v>99</v>
      </c>
      <c r="G343" s="2">
        <v>98.7</v>
      </c>
      <c r="H343" s="2">
        <f t="shared" si="16"/>
        <v>0.29999999999999716</v>
      </c>
      <c r="I343" s="1">
        <f>+(F343^14)/((F343^14+G343^14))</f>
        <v>0.51062056521838828</v>
      </c>
      <c r="J343" s="2">
        <v>104.5</v>
      </c>
      <c r="K343" s="2">
        <v>104.1</v>
      </c>
      <c r="L343" s="2">
        <f t="shared" si="17"/>
        <v>0.40000000000000568</v>
      </c>
      <c r="M343">
        <v>96.1</v>
      </c>
      <c r="N343">
        <v>107.1</v>
      </c>
      <c r="O343">
        <v>1.1000000000000001</v>
      </c>
    </row>
    <row r="344" spans="1:15">
      <c r="A344" t="s">
        <v>49</v>
      </c>
      <c r="B344" t="s">
        <v>20</v>
      </c>
      <c r="C344">
        <v>26</v>
      </c>
      <c r="D344">
        <v>40</v>
      </c>
      <c r="E344" s="1">
        <f t="shared" si="15"/>
        <v>0.39393939393939392</v>
      </c>
      <c r="F344" s="2">
        <v>97.9</v>
      </c>
      <c r="G344" s="2">
        <v>100.1</v>
      </c>
      <c r="H344" s="2">
        <f t="shared" si="16"/>
        <v>-2.1999999999999886</v>
      </c>
      <c r="I344" s="1">
        <f>+(F344^14)/((F344^14+G344^14))</f>
        <v>0.42284042770166808</v>
      </c>
      <c r="J344" s="2">
        <v>103.1</v>
      </c>
      <c r="K344" s="2">
        <v>105.3</v>
      </c>
      <c r="L344" s="2">
        <f t="shared" si="17"/>
        <v>-2.2000000000000028</v>
      </c>
      <c r="M344">
        <v>101</v>
      </c>
      <c r="N344">
        <v>104.2</v>
      </c>
      <c r="O344">
        <v>0.2</v>
      </c>
    </row>
    <row r="345" spans="1:15">
      <c r="A345" t="s">
        <v>49</v>
      </c>
      <c r="B345" t="s">
        <v>21</v>
      </c>
      <c r="C345">
        <v>22</v>
      </c>
      <c r="D345">
        <v>44</v>
      </c>
      <c r="E345" s="1">
        <f t="shared" si="15"/>
        <v>0.33333333333333331</v>
      </c>
      <c r="F345" s="2">
        <v>93.1</v>
      </c>
      <c r="G345" s="2">
        <v>99.1</v>
      </c>
      <c r="H345" s="2">
        <f t="shared" si="16"/>
        <v>-6</v>
      </c>
      <c r="I345" s="1">
        <f>+(F345^14)/((F345^14+G345^14))</f>
        <v>0.29434506272936611</v>
      </c>
      <c r="J345" s="2">
        <v>101.8</v>
      </c>
      <c r="K345" s="2">
        <v>108.1</v>
      </c>
      <c r="L345" s="2">
        <f t="shared" si="17"/>
        <v>-6.2999999999999972</v>
      </c>
      <c r="M345">
        <v>102.3</v>
      </c>
      <c r="N345">
        <v>119.7</v>
      </c>
      <c r="O345">
        <v>-1.4</v>
      </c>
    </row>
    <row r="346" spans="1:15">
      <c r="A346" t="s">
        <v>49</v>
      </c>
      <c r="B346" t="s">
        <v>37</v>
      </c>
      <c r="C346">
        <v>21</v>
      </c>
      <c r="D346">
        <v>45</v>
      </c>
      <c r="E346" s="1">
        <f t="shared" si="15"/>
        <v>0.31818181818181818</v>
      </c>
      <c r="F346" s="2">
        <v>89.6</v>
      </c>
      <c r="G346" s="2">
        <v>93.4</v>
      </c>
      <c r="H346" s="2">
        <f t="shared" si="16"/>
        <v>-3.8000000000000114</v>
      </c>
      <c r="I346" s="1">
        <f>+(F346^14)/((F346^14+G346^14))</f>
        <v>0.35858651544032732</v>
      </c>
      <c r="J346" s="2">
        <v>99.9</v>
      </c>
      <c r="K346" s="2">
        <v>103.9</v>
      </c>
      <c r="L346" s="2">
        <f t="shared" si="17"/>
        <v>-4</v>
      </c>
      <c r="M346">
        <v>93.5</v>
      </c>
      <c r="N346">
        <v>105.4</v>
      </c>
      <c r="O346">
        <v>-0.9</v>
      </c>
    </row>
    <row r="347" spans="1:15">
      <c r="A347" t="s">
        <v>49</v>
      </c>
      <c r="B347" t="s">
        <v>22</v>
      </c>
      <c r="C347">
        <v>36</v>
      </c>
      <c r="D347">
        <v>30</v>
      </c>
      <c r="E347" s="1">
        <f t="shared" si="15"/>
        <v>0.54545454545454541</v>
      </c>
      <c r="F347" s="2">
        <v>97.8</v>
      </c>
      <c r="G347" s="2">
        <v>94.7</v>
      </c>
      <c r="H347" s="2">
        <f t="shared" si="16"/>
        <v>3.0999999999999943</v>
      </c>
      <c r="I347" s="1">
        <f>+(F347^14)/((F347^14+G347^14))</f>
        <v>0.61086462382590978</v>
      </c>
      <c r="J347" s="2">
        <v>103.5</v>
      </c>
      <c r="K347" s="2">
        <v>100.2</v>
      </c>
      <c r="L347" s="2">
        <f t="shared" si="17"/>
        <v>3.2999999999999972</v>
      </c>
      <c r="M347">
        <v>104.9</v>
      </c>
      <c r="N347">
        <v>98.8</v>
      </c>
      <c r="O347">
        <v>2</v>
      </c>
    </row>
    <row r="348" spans="1:15">
      <c r="A348" t="s">
        <v>49</v>
      </c>
      <c r="B348" t="s">
        <v>46</v>
      </c>
      <c r="C348">
        <v>47</v>
      </c>
      <c r="D348">
        <v>19</v>
      </c>
      <c r="E348" s="1">
        <f t="shared" si="15"/>
        <v>0.71212121212121215</v>
      </c>
      <c r="F348" s="2">
        <v>103.1</v>
      </c>
      <c r="G348" s="2">
        <v>96.9</v>
      </c>
      <c r="H348" s="2">
        <f t="shared" si="16"/>
        <v>6.1999999999999886</v>
      </c>
      <c r="I348" s="1">
        <f>+(F348^14)/((F348^14+G348^14))</f>
        <v>0.70438730300910357</v>
      </c>
      <c r="J348" s="2">
        <v>108.4</v>
      </c>
      <c r="K348" s="2">
        <v>102.1</v>
      </c>
      <c r="L348" s="2">
        <f t="shared" si="17"/>
        <v>6.3000000000000114</v>
      </c>
      <c r="M348">
        <v>103.4</v>
      </c>
      <c r="N348">
        <v>97.9</v>
      </c>
      <c r="O348">
        <v>0.1</v>
      </c>
    </row>
    <row r="349" spans="1:15">
      <c r="A349" t="s">
        <v>49</v>
      </c>
      <c r="B349" t="s">
        <v>23</v>
      </c>
      <c r="C349">
        <v>37</v>
      </c>
      <c r="D349">
        <v>29</v>
      </c>
      <c r="E349" s="1">
        <f t="shared" si="15"/>
        <v>0.56060606060606055</v>
      </c>
      <c r="F349" s="2">
        <v>94.2</v>
      </c>
      <c r="G349" s="2">
        <v>93.4</v>
      </c>
      <c r="H349" s="2">
        <f t="shared" si="16"/>
        <v>0.79999999999999716</v>
      </c>
      <c r="I349" s="1">
        <f>+(F349^14)/((F349^14+G349^14))</f>
        <v>0.52981551170793983</v>
      </c>
      <c r="J349" s="2">
        <v>104</v>
      </c>
      <c r="K349" s="2">
        <v>103.4</v>
      </c>
      <c r="L349" s="2">
        <f t="shared" si="17"/>
        <v>0.59999999999999432</v>
      </c>
      <c r="M349">
        <v>110</v>
      </c>
      <c r="N349">
        <v>95.1</v>
      </c>
      <c r="O349">
        <v>-0.5</v>
      </c>
    </row>
    <row r="350" spans="1:15">
      <c r="A350" t="s">
        <v>49</v>
      </c>
      <c r="B350" t="s">
        <v>24</v>
      </c>
      <c r="C350">
        <v>35</v>
      </c>
      <c r="D350">
        <v>31</v>
      </c>
      <c r="E350" s="1">
        <f t="shared" si="15"/>
        <v>0.53030303030303028</v>
      </c>
      <c r="F350" s="2">
        <v>93.6</v>
      </c>
      <c r="G350" s="2">
        <v>89.4</v>
      </c>
      <c r="H350" s="2">
        <f t="shared" si="16"/>
        <v>4.1999999999999886</v>
      </c>
      <c r="I350" s="1">
        <f>+(F350^14)/((F350^14+G350^14))</f>
        <v>0.65537163395547915</v>
      </c>
      <c r="J350" s="2">
        <v>102.7</v>
      </c>
      <c r="K350" s="2">
        <v>98.2</v>
      </c>
      <c r="L350" s="2">
        <f t="shared" si="17"/>
        <v>4.5</v>
      </c>
      <c r="M350">
        <v>89.8</v>
      </c>
      <c r="N350">
        <v>104.4</v>
      </c>
      <c r="O350">
        <v>-0.6</v>
      </c>
    </row>
    <row r="351" spans="1:15">
      <c r="A351" t="s">
        <v>49</v>
      </c>
      <c r="B351" t="s">
        <v>25</v>
      </c>
      <c r="C351">
        <v>33</v>
      </c>
      <c r="D351">
        <v>33</v>
      </c>
      <c r="E351" s="1">
        <f t="shared" si="15"/>
        <v>0.5</v>
      </c>
      <c r="F351" s="2">
        <v>98.4</v>
      </c>
      <c r="G351" s="2">
        <v>98.6</v>
      </c>
      <c r="H351" s="2">
        <f t="shared" si="16"/>
        <v>-0.19999999999998863</v>
      </c>
      <c r="I351" s="1">
        <f>+(F351^14)/((F351^14+G351^14))</f>
        <v>0.49289387708201343</v>
      </c>
      <c r="J351" s="2">
        <v>105.2</v>
      </c>
      <c r="K351" s="2">
        <v>105.2</v>
      </c>
      <c r="L351" s="2">
        <f t="shared" si="17"/>
        <v>0</v>
      </c>
      <c r="M351">
        <v>100</v>
      </c>
      <c r="N351">
        <v>114.4</v>
      </c>
      <c r="O351">
        <v>0</v>
      </c>
    </row>
    <row r="352" spans="1:15">
      <c r="A352" t="s">
        <v>49</v>
      </c>
      <c r="B352" t="s">
        <v>26</v>
      </c>
      <c r="C352">
        <v>28</v>
      </c>
      <c r="D352">
        <v>38</v>
      </c>
      <c r="E352" s="1">
        <f t="shared" si="15"/>
        <v>0.42424242424242425</v>
      </c>
      <c r="F352" s="2">
        <v>97.2</v>
      </c>
      <c r="G352" s="2">
        <v>97.8</v>
      </c>
      <c r="H352" s="2">
        <f t="shared" si="16"/>
        <v>-0.59999999999999432</v>
      </c>
      <c r="I352" s="1">
        <f>+(F352^14)/((F352^14+G352^14))</f>
        <v>0.4784747831438797</v>
      </c>
      <c r="J352" s="2">
        <v>104.4</v>
      </c>
      <c r="K352" s="2">
        <v>105.3</v>
      </c>
      <c r="L352" s="2">
        <f t="shared" si="17"/>
        <v>-0.89999999999999147</v>
      </c>
      <c r="M352">
        <v>91.5</v>
      </c>
      <c r="N352">
        <v>95.2</v>
      </c>
      <c r="O352">
        <v>0.5</v>
      </c>
    </row>
    <row r="353" spans="1:15">
      <c r="A353" t="s">
        <v>49</v>
      </c>
      <c r="B353" t="s">
        <v>27</v>
      </c>
      <c r="C353">
        <v>22</v>
      </c>
      <c r="D353">
        <v>44</v>
      </c>
      <c r="E353" s="1">
        <f t="shared" si="15"/>
        <v>0.33333333333333331</v>
      </c>
      <c r="F353" s="2">
        <v>98.8</v>
      </c>
      <c r="G353" s="2">
        <v>104.4</v>
      </c>
      <c r="H353" s="2">
        <f t="shared" si="16"/>
        <v>-5.6000000000000085</v>
      </c>
      <c r="I353" s="1">
        <f>+(F353^14)/((F353^14+G353^14))</f>
        <v>0.31607926844552064</v>
      </c>
      <c r="J353" s="2">
        <v>102.9</v>
      </c>
      <c r="K353" s="2">
        <v>108.7</v>
      </c>
      <c r="L353" s="2">
        <f t="shared" si="17"/>
        <v>-5.7999999999999972</v>
      </c>
      <c r="M353">
        <v>100</v>
      </c>
      <c r="N353">
        <v>92.5</v>
      </c>
      <c r="O353">
        <v>0</v>
      </c>
    </row>
    <row r="354" spans="1:15">
      <c r="A354" t="s">
        <v>49</v>
      </c>
      <c r="B354" t="s">
        <v>28</v>
      </c>
      <c r="C354">
        <v>50</v>
      </c>
      <c r="D354">
        <v>16</v>
      </c>
      <c r="E354" s="1">
        <f t="shared" si="15"/>
        <v>0.75757575757575757</v>
      </c>
      <c r="F354" s="2">
        <v>103.7</v>
      </c>
      <c r="G354" s="2">
        <v>96.5</v>
      </c>
      <c r="H354" s="2">
        <f t="shared" si="16"/>
        <v>7.2000000000000028</v>
      </c>
      <c r="I354" s="1">
        <f>+(F354^14)/((F354^14+G354^14))</f>
        <v>0.7325164044661483</v>
      </c>
      <c r="J354" s="2">
        <v>110</v>
      </c>
      <c r="K354" s="2">
        <v>102.3</v>
      </c>
      <c r="L354" s="2">
        <f t="shared" si="17"/>
        <v>7.7000000000000028</v>
      </c>
      <c r="M354">
        <v>104.3</v>
      </c>
      <c r="N354">
        <v>88.6</v>
      </c>
      <c r="O354">
        <v>1.1000000000000001</v>
      </c>
    </row>
    <row r="355" spans="1:15">
      <c r="A355" t="s">
        <v>49</v>
      </c>
      <c r="B355" t="s">
        <v>30</v>
      </c>
      <c r="C355">
        <v>23</v>
      </c>
      <c r="D355">
        <v>43</v>
      </c>
      <c r="E355" s="1">
        <f t="shared" si="15"/>
        <v>0.34848484848484851</v>
      </c>
      <c r="F355" s="2">
        <v>90.7</v>
      </c>
      <c r="G355" s="2">
        <v>94</v>
      </c>
      <c r="H355" s="2">
        <f t="shared" si="16"/>
        <v>-3.2999999999999972</v>
      </c>
      <c r="I355" s="1">
        <f>+(F355^14)/((F355^14+G355^14))</f>
        <v>0.37746454187633971</v>
      </c>
      <c r="J355" s="2">
        <v>99.6</v>
      </c>
      <c r="K355" s="2">
        <v>103.6</v>
      </c>
      <c r="L355" s="2">
        <f t="shared" si="17"/>
        <v>-4</v>
      </c>
      <c r="M355">
        <v>88.6</v>
      </c>
      <c r="N355">
        <v>114.7</v>
      </c>
      <c r="O355">
        <v>-1.4</v>
      </c>
    </row>
    <row r="356" spans="1:15">
      <c r="A356" t="s">
        <v>49</v>
      </c>
      <c r="B356" t="s">
        <v>31</v>
      </c>
      <c r="C356">
        <v>36</v>
      </c>
      <c r="D356">
        <v>30</v>
      </c>
      <c r="E356" s="1">
        <f t="shared" si="15"/>
        <v>0.54545454545454541</v>
      </c>
      <c r="F356" s="2">
        <v>99.7</v>
      </c>
      <c r="G356" s="2">
        <v>99</v>
      </c>
      <c r="H356" s="2">
        <f t="shared" si="16"/>
        <v>0.70000000000000284</v>
      </c>
      <c r="I356" s="1">
        <f>+(F356^14)/((F356^14+G356^14))</f>
        <v>0.52464041755417556</v>
      </c>
      <c r="J356" s="2">
        <v>105.5</v>
      </c>
      <c r="K356" s="2">
        <v>104.9</v>
      </c>
      <c r="L356" s="2">
        <f t="shared" si="17"/>
        <v>0.59999999999999432</v>
      </c>
      <c r="M356">
        <v>96.6</v>
      </c>
      <c r="N356">
        <v>98.2</v>
      </c>
      <c r="O356">
        <v>0</v>
      </c>
    </row>
    <row r="357" spans="1:15">
      <c r="A357" t="s">
        <v>49</v>
      </c>
      <c r="B357" t="s">
        <v>33</v>
      </c>
      <c r="C357">
        <v>20</v>
      </c>
      <c r="D357">
        <v>46</v>
      </c>
      <c r="E357" s="1">
        <f t="shared" si="15"/>
        <v>0.30303030303030304</v>
      </c>
      <c r="F357" s="2">
        <v>93.6</v>
      </c>
      <c r="G357" s="2">
        <v>98.4</v>
      </c>
      <c r="H357" s="2">
        <f t="shared" si="16"/>
        <v>-4.8000000000000114</v>
      </c>
      <c r="I357" s="1">
        <f>+(F357^14)/((F357^14+G357^14))</f>
        <v>0.33177988336782011</v>
      </c>
      <c r="J357" s="2">
        <v>100</v>
      </c>
      <c r="K357" s="2">
        <v>104.9</v>
      </c>
      <c r="L357" s="2">
        <f t="shared" si="17"/>
        <v>-4.9000000000000057</v>
      </c>
      <c r="M357">
        <v>90</v>
      </c>
      <c r="N357">
        <v>110.3</v>
      </c>
      <c r="O357">
        <v>-0.3</v>
      </c>
    </row>
    <row r="358" spans="1:15">
      <c r="A358" t="s">
        <v>50</v>
      </c>
      <c r="B358" t="s">
        <v>5</v>
      </c>
      <c r="C358">
        <v>44</v>
      </c>
      <c r="D358">
        <v>38</v>
      </c>
      <c r="E358" s="1">
        <f t="shared" si="15"/>
        <v>0.53658536585365857</v>
      </c>
      <c r="F358" s="2">
        <v>98</v>
      </c>
      <c r="G358" s="2">
        <v>97.5</v>
      </c>
      <c r="H358" s="2">
        <f t="shared" si="16"/>
        <v>0.5</v>
      </c>
      <c r="I358" s="1">
        <f>+(F358^14)/((F358^14+G358^14))</f>
        <v>0.51789520548021317</v>
      </c>
      <c r="J358" s="2">
        <v>103.7</v>
      </c>
      <c r="K358" s="2">
        <v>103.4</v>
      </c>
      <c r="L358" s="2">
        <f t="shared" si="17"/>
        <v>0.29999999999999716</v>
      </c>
      <c r="M358">
        <v>102.2</v>
      </c>
      <c r="N358">
        <v>87.5</v>
      </c>
      <c r="O358">
        <v>-0.2</v>
      </c>
    </row>
    <row r="359" spans="1:15">
      <c r="A359" t="s">
        <v>50</v>
      </c>
      <c r="B359" t="s">
        <v>6</v>
      </c>
      <c r="C359">
        <v>41</v>
      </c>
      <c r="D359">
        <v>40</v>
      </c>
      <c r="E359" s="1">
        <f t="shared" si="15"/>
        <v>0.50617283950617287</v>
      </c>
      <c r="F359" s="2">
        <v>96.5</v>
      </c>
      <c r="G359" s="2">
        <v>96.7</v>
      </c>
      <c r="H359" s="2">
        <f t="shared" si="16"/>
        <v>-0.20000000000000284</v>
      </c>
      <c r="I359" s="1">
        <f>+(F359^14)/((F359^14+G359^14))</f>
        <v>0.49275412790061462</v>
      </c>
      <c r="J359" s="2">
        <v>102.2</v>
      </c>
      <c r="K359" s="2">
        <v>102.6</v>
      </c>
      <c r="L359" s="2">
        <f t="shared" si="17"/>
        <v>-0.39999999999999147</v>
      </c>
      <c r="M359">
        <v>92.5</v>
      </c>
      <c r="N359">
        <v>95.1</v>
      </c>
      <c r="O359">
        <v>-0.6</v>
      </c>
    </row>
    <row r="360" spans="1:15">
      <c r="A360" t="s">
        <v>50</v>
      </c>
      <c r="B360" t="s">
        <v>51</v>
      </c>
      <c r="C360">
        <v>49</v>
      </c>
      <c r="D360">
        <v>33</v>
      </c>
      <c r="E360" s="1">
        <f t="shared" si="15"/>
        <v>0.59756097560975607</v>
      </c>
      <c r="F360" s="2">
        <v>96.9</v>
      </c>
      <c r="G360" s="2">
        <v>95.1</v>
      </c>
      <c r="H360" s="2">
        <f t="shared" si="16"/>
        <v>1.8000000000000114</v>
      </c>
      <c r="I360" s="1">
        <f>+(F360^14)/((F360^14+G360^14))</f>
        <v>0.56525263753000543</v>
      </c>
      <c r="J360" s="2">
        <v>106.9</v>
      </c>
      <c r="K360" s="2">
        <v>104.8</v>
      </c>
      <c r="L360" s="2">
        <f t="shared" si="17"/>
        <v>2.1000000000000085</v>
      </c>
      <c r="M360">
        <v>98.8</v>
      </c>
      <c r="N360">
        <v>99.7</v>
      </c>
      <c r="O360">
        <v>0.4</v>
      </c>
    </row>
    <row r="361" spans="1:15">
      <c r="A361" t="s">
        <v>50</v>
      </c>
      <c r="B361" t="s">
        <v>40</v>
      </c>
      <c r="C361">
        <v>21</v>
      </c>
      <c r="D361">
        <v>61</v>
      </c>
      <c r="E361" s="1">
        <f t="shared" si="15"/>
        <v>0.25609756097560976</v>
      </c>
      <c r="F361" s="2">
        <v>93.4</v>
      </c>
      <c r="G361" s="2">
        <v>102.7</v>
      </c>
      <c r="H361" s="2">
        <f t="shared" si="16"/>
        <v>-9.2999999999999972</v>
      </c>
      <c r="I361" s="1">
        <f>+(F361^14)/((F361^14+G361^14))</f>
        <v>0.20934289845958631</v>
      </c>
      <c r="J361" s="2">
        <v>100.4</v>
      </c>
      <c r="K361" s="2">
        <v>110.3</v>
      </c>
      <c r="L361" s="2">
        <f t="shared" si="17"/>
        <v>-9.8999999999999915</v>
      </c>
      <c r="M361">
        <v>95.9</v>
      </c>
      <c r="N361">
        <v>100.6</v>
      </c>
      <c r="O361">
        <v>-1.8</v>
      </c>
    </row>
    <row r="362" spans="1:15">
      <c r="A362" t="s">
        <v>50</v>
      </c>
      <c r="B362" t="s">
        <v>8</v>
      </c>
      <c r="C362">
        <v>45</v>
      </c>
      <c r="D362">
        <v>37</v>
      </c>
      <c r="E362" s="1">
        <f t="shared" si="15"/>
        <v>0.54878048780487809</v>
      </c>
      <c r="F362" s="2">
        <v>93.2</v>
      </c>
      <c r="G362" s="2">
        <v>92.9</v>
      </c>
      <c r="H362" s="2">
        <f t="shared" si="16"/>
        <v>0.29999999999999716</v>
      </c>
      <c r="I362" s="1">
        <f>+(F362^14)/((F362^14+G362^14))</f>
        <v>0.51128235010405287</v>
      </c>
      <c r="J362" s="2">
        <v>102.4</v>
      </c>
      <c r="K362" s="2">
        <v>101.9</v>
      </c>
      <c r="L362" s="2">
        <f t="shared" si="17"/>
        <v>0.5</v>
      </c>
      <c r="M362">
        <v>101.4</v>
      </c>
      <c r="N362">
        <v>94.7</v>
      </c>
      <c r="O362">
        <v>-0.5</v>
      </c>
    </row>
    <row r="363" spans="1:15">
      <c r="A363" t="s">
        <v>50</v>
      </c>
      <c r="B363" t="s">
        <v>9</v>
      </c>
      <c r="C363">
        <v>24</v>
      </c>
      <c r="D363">
        <v>58</v>
      </c>
      <c r="E363" s="1">
        <f t="shared" si="15"/>
        <v>0.29268292682926828</v>
      </c>
      <c r="F363" s="2">
        <v>96.5</v>
      </c>
      <c r="G363" s="2">
        <v>101.2</v>
      </c>
      <c r="H363" s="2">
        <f t="shared" si="16"/>
        <v>-4.7000000000000028</v>
      </c>
      <c r="I363" s="1">
        <f>+(F363^14)/((F363^14+G363^14))</f>
        <v>0.33944230501218881</v>
      </c>
      <c r="J363" s="2">
        <v>103.2</v>
      </c>
      <c r="K363" s="2">
        <v>108.2</v>
      </c>
      <c r="L363" s="2">
        <f t="shared" si="17"/>
        <v>-5</v>
      </c>
      <c r="M363">
        <v>102</v>
      </c>
      <c r="N363">
        <v>109.1</v>
      </c>
      <c r="O363">
        <v>-1.4</v>
      </c>
    </row>
    <row r="364" spans="1:15">
      <c r="A364" t="s">
        <v>50</v>
      </c>
      <c r="B364" t="s">
        <v>10</v>
      </c>
      <c r="C364">
        <v>41</v>
      </c>
      <c r="D364">
        <v>41</v>
      </c>
      <c r="E364" s="1">
        <f t="shared" si="15"/>
        <v>0.5</v>
      </c>
      <c r="F364" s="2">
        <v>101.1</v>
      </c>
      <c r="G364" s="2">
        <v>101.7</v>
      </c>
      <c r="H364" s="2">
        <f t="shared" si="16"/>
        <v>-0.60000000000000853</v>
      </c>
      <c r="I364" s="1">
        <f>+(F364^14)/((F364^14+G364^14))</f>
        <v>0.47930171595662069</v>
      </c>
      <c r="J364" s="2">
        <v>104.7</v>
      </c>
      <c r="K364" s="2">
        <v>105.4</v>
      </c>
      <c r="L364" s="2">
        <f t="shared" si="17"/>
        <v>-0.70000000000000284</v>
      </c>
      <c r="M364">
        <v>101</v>
      </c>
      <c r="N364">
        <v>102.2</v>
      </c>
      <c r="O364">
        <v>-0.3</v>
      </c>
    </row>
    <row r="365" spans="1:15">
      <c r="A365" t="s">
        <v>50</v>
      </c>
      <c r="B365" t="s">
        <v>11</v>
      </c>
      <c r="C365">
        <v>57</v>
      </c>
      <c r="D365">
        <v>25</v>
      </c>
      <c r="E365" s="1">
        <f t="shared" si="15"/>
        <v>0.69512195121951215</v>
      </c>
      <c r="F365" s="2">
        <v>106.1</v>
      </c>
      <c r="G365" s="2">
        <v>101.1</v>
      </c>
      <c r="H365" s="2">
        <f t="shared" si="16"/>
        <v>5</v>
      </c>
      <c r="I365" s="1">
        <f>+(F365^14)/((F365^14+G365^14))</f>
        <v>0.66280219358548198</v>
      </c>
      <c r="J365" s="2">
        <v>109.3</v>
      </c>
      <c r="K365" s="2">
        <v>104.2</v>
      </c>
      <c r="L365" s="2">
        <f t="shared" si="17"/>
        <v>5.0999999999999943</v>
      </c>
      <c r="M365">
        <v>107.2</v>
      </c>
      <c r="N365">
        <v>95.7</v>
      </c>
      <c r="O365">
        <v>1.4</v>
      </c>
    </row>
    <row r="366" spans="1:15">
      <c r="A366" t="s">
        <v>50</v>
      </c>
      <c r="B366" t="s">
        <v>12</v>
      </c>
      <c r="C366">
        <v>29</v>
      </c>
      <c r="D366">
        <v>53</v>
      </c>
      <c r="E366" s="1">
        <f t="shared" si="15"/>
        <v>0.35365853658536583</v>
      </c>
      <c r="F366" s="2">
        <v>94.9</v>
      </c>
      <c r="G366" s="2">
        <v>98.8</v>
      </c>
      <c r="H366" s="2">
        <f t="shared" si="16"/>
        <v>-3.8999999999999915</v>
      </c>
      <c r="I366" s="1">
        <f>+(F366^14)/((F366^14+G366^14))</f>
        <v>0.36266067514952754</v>
      </c>
      <c r="J366" s="2">
        <v>102.7</v>
      </c>
      <c r="K366" s="2">
        <v>107.2</v>
      </c>
      <c r="L366" s="2">
        <f t="shared" si="17"/>
        <v>-4.5</v>
      </c>
      <c r="M366">
        <v>101.4</v>
      </c>
      <c r="N366">
        <v>104.7</v>
      </c>
      <c r="O366">
        <v>-0.5</v>
      </c>
    </row>
    <row r="367" spans="1:15">
      <c r="A367" t="s">
        <v>50</v>
      </c>
      <c r="B367" t="s">
        <v>13</v>
      </c>
      <c r="C367">
        <v>47</v>
      </c>
      <c r="D367">
        <v>35</v>
      </c>
      <c r="E367" s="1">
        <f t="shared" si="15"/>
        <v>0.57317073170731703</v>
      </c>
      <c r="F367" s="2">
        <v>101.2</v>
      </c>
      <c r="G367" s="2">
        <v>100.3</v>
      </c>
      <c r="H367" s="2">
        <f t="shared" si="16"/>
        <v>0.90000000000000568</v>
      </c>
      <c r="I367" s="1">
        <f>+(F367^14)/((F367^14+G367^14))</f>
        <v>0.53122502870875743</v>
      </c>
      <c r="J367" s="2">
        <v>105.1</v>
      </c>
      <c r="K367" s="2">
        <v>104.2</v>
      </c>
      <c r="L367" s="2">
        <f t="shared" si="17"/>
        <v>0.89999999999999147</v>
      </c>
      <c r="M367">
        <v>101.8</v>
      </c>
      <c r="N367">
        <v>93.8</v>
      </c>
      <c r="O367">
        <v>0.8</v>
      </c>
    </row>
    <row r="368" spans="1:15">
      <c r="A368" t="s">
        <v>50</v>
      </c>
      <c r="B368" t="s">
        <v>14</v>
      </c>
      <c r="C368">
        <v>45</v>
      </c>
      <c r="D368">
        <v>37</v>
      </c>
      <c r="E368" s="1">
        <f t="shared" si="15"/>
        <v>0.54878048780487809</v>
      </c>
      <c r="F368" s="2">
        <v>106</v>
      </c>
      <c r="G368" s="2">
        <v>102.5</v>
      </c>
      <c r="H368" s="2">
        <f t="shared" si="16"/>
        <v>3.5</v>
      </c>
      <c r="I368" s="1">
        <f>+(F368^14)/((F368^14+G368^14))</f>
        <v>0.61539988348983532</v>
      </c>
      <c r="J368" s="2">
        <v>108.8</v>
      </c>
      <c r="K368" s="2">
        <v>105.3</v>
      </c>
      <c r="L368" s="2">
        <f t="shared" si="17"/>
        <v>3.5</v>
      </c>
      <c r="M368">
        <v>105.4</v>
      </c>
      <c r="N368">
        <v>103.3</v>
      </c>
      <c r="O368">
        <v>1.1000000000000001</v>
      </c>
    </row>
    <row r="369" spans="1:15">
      <c r="A369" t="s">
        <v>50</v>
      </c>
      <c r="B369" t="s">
        <v>15</v>
      </c>
      <c r="C369">
        <v>49</v>
      </c>
      <c r="D369">
        <v>32</v>
      </c>
      <c r="E369" s="1">
        <f t="shared" si="15"/>
        <v>0.60493827160493829</v>
      </c>
      <c r="F369" s="2">
        <v>94.7</v>
      </c>
      <c r="G369" s="2">
        <v>90.7</v>
      </c>
      <c r="H369" s="2">
        <f t="shared" si="16"/>
        <v>4</v>
      </c>
      <c r="I369" s="1">
        <f>+(F369^14)/((F369^14+G369^14))</f>
        <v>0.64661501230862617</v>
      </c>
      <c r="J369" s="2">
        <v>103.4</v>
      </c>
      <c r="K369" s="2">
        <v>99</v>
      </c>
      <c r="L369" s="2">
        <f t="shared" si="17"/>
        <v>4.4000000000000057</v>
      </c>
      <c r="M369">
        <v>97.6</v>
      </c>
      <c r="N369">
        <v>86</v>
      </c>
      <c r="O369">
        <v>0.2</v>
      </c>
    </row>
    <row r="370" spans="1:15">
      <c r="A370" t="s">
        <v>50</v>
      </c>
      <c r="B370" t="s">
        <v>16</v>
      </c>
      <c r="C370">
        <v>56</v>
      </c>
      <c r="D370">
        <v>26</v>
      </c>
      <c r="E370" s="1">
        <f t="shared" si="15"/>
        <v>0.68292682926829273</v>
      </c>
      <c r="F370" s="2">
        <v>101.1</v>
      </c>
      <c r="G370" s="2">
        <v>94.6</v>
      </c>
      <c r="H370" s="2">
        <f t="shared" si="16"/>
        <v>6.5</v>
      </c>
      <c r="I370" s="1">
        <f>+(F370^14)/((F370^14+G370^14))</f>
        <v>0.71714367068078333</v>
      </c>
      <c r="J370" s="2">
        <v>109.8</v>
      </c>
      <c r="K370" s="2">
        <v>102.8</v>
      </c>
      <c r="L370" s="2">
        <f t="shared" si="17"/>
        <v>7</v>
      </c>
      <c r="M370">
        <v>114.7</v>
      </c>
      <c r="N370">
        <v>114.9</v>
      </c>
      <c r="O370">
        <v>2.2000000000000002</v>
      </c>
    </row>
    <row r="371" spans="1:15">
      <c r="A371" t="s">
        <v>50</v>
      </c>
      <c r="B371" t="s">
        <v>17</v>
      </c>
      <c r="C371">
        <v>45</v>
      </c>
      <c r="D371">
        <v>37</v>
      </c>
      <c r="E371" s="1">
        <f t="shared" si="15"/>
        <v>0.54878048780487809</v>
      </c>
      <c r="F371" s="2">
        <v>102.2</v>
      </c>
      <c r="G371" s="2">
        <v>101</v>
      </c>
      <c r="H371" s="2">
        <f t="shared" si="16"/>
        <v>1.2000000000000028</v>
      </c>
      <c r="I371" s="1">
        <f>+(F371^14)/((F371^14+G371^14))</f>
        <v>0.54124512665476499</v>
      </c>
      <c r="J371" s="2">
        <v>107</v>
      </c>
      <c r="K371" s="2">
        <v>105.9</v>
      </c>
      <c r="L371" s="2">
        <f t="shared" si="17"/>
        <v>1.0999999999999943</v>
      </c>
      <c r="M371">
        <v>104.3</v>
      </c>
      <c r="N371">
        <v>91.6</v>
      </c>
      <c r="O371">
        <v>1.4</v>
      </c>
    </row>
    <row r="372" spans="1:15">
      <c r="A372" t="s">
        <v>50</v>
      </c>
      <c r="B372" t="s">
        <v>35</v>
      </c>
      <c r="C372">
        <v>56</v>
      </c>
      <c r="D372">
        <v>26</v>
      </c>
      <c r="E372" s="1">
        <f t="shared" si="15"/>
        <v>0.68292682926829273</v>
      </c>
      <c r="F372" s="2">
        <v>93.4</v>
      </c>
      <c r="G372" s="2">
        <v>89.3</v>
      </c>
      <c r="H372" s="2">
        <f t="shared" si="16"/>
        <v>4.1000000000000085</v>
      </c>
      <c r="I372" s="1">
        <f>+(F372^14)/((F372^14+G372^14))</f>
        <v>0.65213973687486437</v>
      </c>
      <c r="J372" s="2">
        <v>103.6</v>
      </c>
      <c r="K372" s="2">
        <v>99.1</v>
      </c>
      <c r="L372" s="2">
        <f t="shared" si="17"/>
        <v>4.5</v>
      </c>
      <c r="M372">
        <v>97.9</v>
      </c>
      <c r="N372">
        <v>90.4</v>
      </c>
      <c r="O372">
        <v>-0.7</v>
      </c>
    </row>
    <row r="373" spans="1:15">
      <c r="A373" t="s">
        <v>50</v>
      </c>
      <c r="B373" t="s">
        <v>18</v>
      </c>
      <c r="C373">
        <v>66</v>
      </c>
      <c r="D373">
        <v>16</v>
      </c>
      <c r="E373" s="1">
        <f t="shared" si="15"/>
        <v>0.80487804878048785</v>
      </c>
      <c r="F373" s="2">
        <v>102.9</v>
      </c>
      <c r="G373" s="2">
        <v>95</v>
      </c>
      <c r="H373" s="2">
        <f t="shared" si="16"/>
        <v>7.9000000000000057</v>
      </c>
      <c r="I373" s="1">
        <f>+(F373^14)/((F373^14+G373^14))</f>
        <v>0.75367891326640968</v>
      </c>
      <c r="J373" s="2">
        <v>111.4</v>
      </c>
      <c r="K373" s="2">
        <v>103.2</v>
      </c>
      <c r="L373" s="2">
        <f t="shared" si="17"/>
        <v>8.2000000000000028</v>
      </c>
      <c r="M373">
        <v>117.7</v>
      </c>
      <c r="N373">
        <v>84.5</v>
      </c>
      <c r="O373">
        <v>2.1</v>
      </c>
    </row>
    <row r="374" spans="1:15">
      <c r="A374" t="s">
        <v>50</v>
      </c>
      <c r="B374" t="s">
        <v>19</v>
      </c>
      <c r="C374">
        <v>38</v>
      </c>
      <c r="D374">
        <v>44</v>
      </c>
      <c r="E374" s="1">
        <f t="shared" si="15"/>
        <v>0.46341463414634149</v>
      </c>
      <c r="F374" s="2">
        <v>98.9</v>
      </c>
      <c r="G374" s="2">
        <v>100.4</v>
      </c>
      <c r="H374" s="2">
        <f t="shared" si="16"/>
        <v>-1.5</v>
      </c>
      <c r="I374" s="1">
        <f>+(F374^14)/((F374^14+G374^14))</f>
        <v>0.44750873634234695</v>
      </c>
      <c r="J374" s="2">
        <v>102.5</v>
      </c>
      <c r="K374" s="2">
        <v>104.2</v>
      </c>
      <c r="L374" s="2">
        <f t="shared" si="17"/>
        <v>-1.7000000000000028</v>
      </c>
      <c r="M374">
        <v>101.6</v>
      </c>
      <c r="N374">
        <v>99.1</v>
      </c>
      <c r="O374">
        <v>-1.2</v>
      </c>
    </row>
    <row r="375" spans="1:15">
      <c r="A375" t="s">
        <v>50</v>
      </c>
      <c r="B375" t="s">
        <v>20</v>
      </c>
      <c r="C375">
        <v>31</v>
      </c>
      <c r="D375">
        <v>51</v>
      </c>
      <c r="E375" s="1">
        <f t="shared" si="15"/>
        <v>0.37804878048780488</v>
      </c>
      <c r="F375" s="2">
        <v>95.7</v>
      </c>
      <c r="G375" s="2">
        <v>98.1</v>
      </c>
      <c r="H375" s="2">
        <f t="shared" si="16"/>
        <v>-2.3999999999999915</v>
      </c>
      <c r="I375" s="1">
        <f>+(F375^14)/((F375^14+G375^14))</f>
        <v>0.41416664534903919</v>
      </c>
      <c r="J375" s="2">
        <v>101.8</v>
      </c>
      <c r="K375" s="2">
        <v>104</v>
      </c>
      <c r="L375" s="2">
        <f t="shared" si="17"/>
        <v>-2.2000000000000028</v>
      </c>
      <c r="M375">
        <v>96.4</v>
      </c>
      <c r="N375">
        <v>103.9</v>
      </c>
      <c r="O375">
        <v>-1.1000000000000001</v>
      </c>
    </row>
    <row r="376" spans="1:15">
      <c r="A376" t="s">
        <v>50</v>
      </c>
      <c r="B376" t="s">
        <v>37</v>
      </c>
      <c r="C376">
        <v>27</v>
      </c>
      <c r="D376">
        <v>55</v>
      </c>
      <c r="E376" s="1">
        <f t="shared" si="15"/>
        <v>0.32926829268292684</v>
      </c>
      <c r="F376" s="2">
        <v>94.1</v>
      </c>
      <c r="G376" s="2">
        <v>97.9</v>
      </c>
      <c r="H376" s="2">
        <f t="shared" si="16"/>
        <v>-3.8000000000000114</v>
      </c>
      <c r="I376" s="1">
        <f>+(F376^14)/((F376^14+G376^14))</f>
        <v>0.3648814793953255</v>
      </c>
      <c r="J376" s="2">
        <v>104.5</v>
      </c>
      <c r="K376" s="2">
        <v>108.9</v>
      </c>
      <c r="L376" s="2">
        <f t="shared" si="17"/>
        <v>-4.4000000000000057</v>
      </c>
      <c r="M376">
        <v>93.6</v>
      </c>
      <c r="N376">
        <v>116.9</v>
      </c>
      <c r="O376">
        <v>-0.7</v>
      </c>
    </row>
    <row r="377" spans="1:15">
      <c r="A377" t="s">
        <v>50</v>
      </c>
      <c r="B377" t="s">
        <v>22</v>
      </c>
      <c r="C377">
        <v>54</v>
      </c>
      <c r="D377">
        <v>28</v>
      </c>
      <c r="E377" s="1">
        <f t="shared" si="15"/>
        <v>0.65853658536585369</v>
      </c>
      <c r="F377" s="2">
        <v>100</v>
      </c>
      <c r="G377" s="2">
        <v>95.7</v>
      </c>
      <c r="H377" s="2">
        <f t="shared" si="16"/>
        <v>4.2999999999999972</v>
      </c>
      <c r="I377" s="1">
        <f>+(F377^14)/((F377^14+G377^14))</f>
        <v>0.64915487217242029</v>
      </c>
      <c r="J377" s="2">
        <v>109.8</v>
      </c>
      <c r="K377" s="2">
        <v>105.4</v>
      </c>
      <c r="L377" s="2">
        <f t="shared" si="17"/>
        <v>4.3999999999999915</v>
      </c>
      <c r="M377">
        <v>94.7</v>
      </c>
      <c r="N377">
        <v>88.8</v>
      </c>
      <c r="O377">
        <v>2.1</v>
      </c>
    </row>
    <row r="378" spans="1:15">
      <c r="A378" t="s">
        <v>50</v>
      </c>
      <c r="B378" t="s">
        <v>46</v>
      </c>
      <c r="C378">
        <v>60</v>
      </c>
      <c r="D378">
        <v>22</v>
      </c>
      <c r="E378" s="1">
        <f t="shared" si="15"/>
        <v>0.73170731707317072</v>
      </c>
      <c r="F378" s="2">
        <v>105.7</v>
      </c>
      <c r="G378" s="2">
        <v>96.5</v>
      </c>
      <c r="H378" s="2">
        <f t="shared" si="16"/>
        <v>9.2000000000000028</v>
      </c>
      <c r="I378" s="1">
        <f>+(F378^14)/((F378^14+G378^14))</f>
        <v>0.78157465431369377</v>
      </c>
      <c r="J378" s="2">
        <v>111</v>
      </c>
      <c r="K378" s="2">
        <v>101.2</v>
      </c>
      <c r="L378" s="2">
        <f t="shared" si="17"/>
        <v>9.7999999999999972</v>
      </c>
      <c r="M378">
        <v>108.7</v>
      </c>
      <c r="N378">
        <v>98.6</v>
      </c>
      <c r="O378">
        <v>1</v>
      </c>
    </row>
    <row r="379" spans="1:15">
      <c r="A379" t="s">
        <v>50</v>
      </c>
      <c r="B379" t="s">
        <v>23</v>
      </c>
      <c r="C379">
        <v>20</v>
      </c>
      <c r="D379">
        <v>62</v>
      </c>
      <c r="E379" s="1">
        <f t="shared" si="15"/>
        <v>0.24390243902439024</v>
      </c>
      <c r="F379" s="2">
        <v>94.1</v>
      </c>
      <c r="G379" s="2">
        <v>101.1</v>
      </c>
      <c r="H379" s="2">
        <f t="shared" si="16"/>
        <v>-7</v>
      </c>
      <c r="I379" s="1">
        <f>+(F379^14)/((F379^14+G379^14))</f>
        <v>0.26805187630664556</v>
      </c>
      <c r="J379" s="2">
        <v>100.9</v>
      </c>
      <c r="K379" s="2">
        <v>108.4</v>
      </c>
      <c r="L379" s="2">
        <f t="shared" si="17"/>
        <v>-7.5</v>
      </c>
      <c r="M379">
        <v>92.7</v>
      </c>
      <c r="N379">
        <v>110.1</v>
      </c>
      <c r="O379">
        <v>-1.4</v>
      </c>
    </row>
    <row r="380" spans="1:15">
      <c r="A380" t="s">
        <v>50</v>
      </c>
      <c r="B380" t="s">
        <v>24</v>
      </c>
      <c r="C380">
        <v>34</v>
      </c>
      <c r="D380">
        <v>48</v>
      </c>
      <c r="E380" s="1">
        <f t="shared" si="15"/>
        <v>0.41463414634146339</v>
      </c>
      <c r="F380" s="2">
        <v>93.2</v>
      </c>
      <c r="G380" s="2">
        <v>96.5</v>
      </c>
      <c r="H380" s="2">
        <f t="shared" si="16"/>
        <v>-3.2999999999999972</v>
      </c>
      <c r="I380" s="1">
        <f>+(F380^14)/((F380^14+G380^14))</f>
        <v>0.38056895293996196</v>
      </c>
      <c r="J380" s="2">
        <v>101</v>
      </c>
      <c r="K380" s="2">
        <v>104.7</v>
      </c>
      <c r="L380" s="2">
        <f t="shared" si="17"/>
        <v>-3.7000000000000028</v>
      </c>
      <c r="M380">
        <v>94.2</v>
      </c>
      <c r="N380">
        <v>100</v>
      </c>
      <c r="O380">
        <v>-0.7</v>
      </c>
    </row>
    <row r="381" spans="1:15">
      <c r="A381" t="s">
        <v>50</v>
      </c>
      <c r="B381" t="s">
        <v>25</v>
      </c>
      <c r="C381">
        <v>25</v>
      </c>
      <c r="D381">
        <v>57</v>
      </c>
      <c r="E381" s="1">
        <f t="shared" si="15"/>
        <v>0.3048780487804878</v>
      </c>
      <c r="F381" s="2">
        <v>95.2</v>
      </c>
      <c r="G381" s="2">
        <v>101.6</v>
      </c>
      <c r="H381" s="2">
        <f t="shared" si="16"/>
        <v>-6.3999999999999915</v>
      </c>
      <c r="I381" s="1">
        <f>+(F381^14)/((F381^14+G381^14))</f>
        <v>0.28681768748070391</v>
      </c>
      <c r="J381" s="2">
        <v>100.2</v>
      </c>
      <c r="K381" s="2">
        <v>106.9</v>
      </c>
      <c r="L381" s="2">
        <f t="shared" si="17"/>
        <v>-6.7000000000000028</v>
      </c>
      <c r="M381">
        <v>94.8</v>
      </c>
      <c r="N381">
        <v>100.3</v>
      </c>
      <c r="O381">
        <v>-1.5</v>
      </c>
    </row>
    <row r="382" spans="1:15">
      <c r="A382" t="s">
        <v>50</v>
      </c>
      <c r="B382" t="s">
        <v>26</v>
      </c>
      <c r="C382">
        <v>33</v>
      </c>
      <c r="D382">
        <v>49</v>
      </c>
      <c r="E382" s="1">
        <f t="shared" si="15"/>
        <v>0.40243902439024393</v>
      </c>
      <c r="F382" s="2">
        <v>97.5</v>
      </c>
      <c r="G382" s="2">
        <v>100.7</v>
      </c>
      <c r="H382" s="2">
        <f t="shared" si="16"/>
        <v>-3.2000000000000028</v>
      </c>
      <c r="I382" s="1">
        <f>+(F382^14)/((F382^14+G382^14))</f>
        <v>0.38885971000700537</v>
      </c>
      <c r="J382" s="2">
        <v>104.5</v>
      </c>
      <c r="K382" s="2">
        <v>107.9</v>
      </c>
      <c r="L382" s="2">
        <f t="shared" si="17"/>
        <v>-3.4000000000000057</v>
      </c>
      <c r="M382">
        <v>105.1</v>
      </c>
      <c r="N382">
        <v>106.7</v>
      </c>
      <c r="O382">
        <v>-0.2</v>
      </c>
    </row>
    <row r="383" spans="1:15">
      <c r="A383" t="s">
        <v>50</v>
      </c>
      <c r="B383" t="s">
        <v>27</v>
      </c>
      <c r="C383">
        <v>28</v>
      </c>
      <c r="D383">
        <v>54</v>
      </c>
      <c r="E383" s="1">
        <f t="shared" si="15"/>
        <v>0.34146341463414637</v>
      </c>
      <c r="F383" s="2">
        <v>100.2</v>
      </c>
      <c r="G383" s="2">
        <v>105.1</v>
      </c>
      <c r="H383" s="2">
        <f t="shared" si="16"/>
        <v>-4.8999999999999915</v>
      </c>
      <c r="I383" s="1">
        <f>+(F383^14)/((F383^14+G383^14))</f>
        <v>0.33885133571043297</v>
      </c>
      <c r="J383" s="2">
        <v>105.3</v>
      </c>
      <c r="K383" s="2">
        <v>110</v>
      </c>
      <c r="L383" s="2">
        <f t="shared" si="17"/>
        <v>-4.7000000000000028</v>
      </c>
      <c r="M383">
        <v>101</v>
      </c>
      <c r="N383">
        <v>102.3</v>
      </c>
      <c r="O383">
        <v>-0.2</v>
      </c>
    </row>
    <row r="384" spans="1:15">
      <c r="A384" t="s">
        <v>50</v>
      </c>
      <c r="B384" t="s">
        <v>28</v>
      </c>
      <c r="C384">
        <v>58</v>
      </c>
      <c r="D384">
        <v>24</v>
      </c>
      <c r="E384" s="1">
        <f t="shared" si="15"/>
        <v>0.70731707317073167</v>
      </c>
      <c r="F384" s="2">
        <v>103</v>
      </c>
      <c r="G384" s="2">
        <v>96.6</v>
      </c>
      <c r="H384" s="2">
        <f t="shared" si="16"/>
        <v>6.4000000000000057</v>
      </c>
      <c r="I384" s="1">
        <f>+(F384^14)/((F384^14+G384^14))</f>
        <v>0.71055960682270991</v>
      </c>
      <c r="J384" s="2">
        <v>107</v>
      </c>
      <c r="K384" s="2">
        <v>100.3</v>
      </c>
      <c r="L384" s="2">
        <f t="shared" si="17"/>
        <v>6.7000000000000028</v>
      </c>
      <c r="M384">
        <v>95</v>
      </c>
      <c r="N384">
        <v>93.5</v>
      </c>
      <c r="O384">
        <v>1.2</v>
      </c>
    </row>
    <row r="385" spans="1:15">
      <c r="A385" t="s">
        <v>50</v>
      </c>
      <c r="B385" t="s">
        <v>30</v>
      </c>
      <c r="C385">
        <v>34</v>
      </c>
      <c r="D385">
        <v>48</v>
      </c>
      <c r="E385" s="1">
        <f t="shared" si="15"/>
        <v>0.41463414634146339</v>
      </c>
      <c r="F385" s="2">
        <v>97.2</v>
      </c>
      <c r="G385" s="2">
        <v>98.7</v>
      </c>
      <c r="H385" s="2">
        <f t="shared" si="16"/>
        <v>-1.5</v>
      </c>
      <c r="I385" s="1">
        <f>+(F385^14)/((F385^14+G385^14))</f>
        <v>0.4466045570075422</v>
      </c>
      <c r="J385" s="2">
        <v>105</v>
      </c>
      <c r="K385" s="2">
        <v>106.4</v>
      </c>
      <c r="L385" s="2">
        <f t="shared" si="17"/>
        <v>-1.4000000000000057</v>
      </c>
      <c r="M385">
        <v>87.8</v>
      </c>
      <c r="N385">
        <v>112.9</v>
      </c>
      <c r="O385">
        <v>-1.5</v>
      </c>
    </row>
    <row r="386" spans="1:15">
      <c r="A386" t="s">
        <v>50</v>
      </c>
      <c r="B386" t="s">
        <v>31</v>
      </c>
      <c r="C386">
        <v>43</v>
      </c>
      <c r="D386">
        <v>39</v>
      </c>
      <c r="E386" s="1">
        <f t="shared" si="15"/>
        <v>0.52439024390243905</v>
      </c>
      <c r="F386" s="2">
        <v>98</v>
      </c>
      <c r="G386" s="2">
        <v>98.1</v>
      </c>
      <c r="H386" s="2">
        <f t="shared" si="16"/>
        <v>-9.9999999999994316E-2</v>
      </c>
      <c r="I386" s="1">
        <f>+(F386^14)/((F386^14+G386^14))</f>
        <v>0.49643045299187905</v>
      </c>
      <c r="J386" s="2">
        <v>105.4</v>
      </c>
      <c r="K386" s="2">
        <v>105.6</v>
      </c>
      <c r="L386" s="2">
        <f t="shared" si="17"/>
        <v>-0.19999999999998863</v>
      </c>
      <c r="M386">
        <v>106.4</v>
      </c>
      <c r="N386">
        <v>101.2</v>
      </c>
      <c r="O386">
        <v>-0.1</v>
      </c>
    </row>
    <row r="387" spans="1:15">
      <c r="A387" t="s">
        <v>50</v>
      </c>
      <c r="B387" t="s">
        <v>33</v>
      </c>
      <c r="C387">
        <v>29</v>
      </c>
      <c r="D387">
        <v>53</v>
      </c>
      <c r="E387" s="1">
        <f t="shared" ref="E387:E450" si="18">+C387/(C387+D387)</f>
        <v>0.35365853658536583</v>
      </c>
      <c r="F387" s="2">
        <v>93.2</v>
      </c>
      <c r="G387" s="2">
        <v>95.8</v>
      </c>
      <c r="H387" s="2">
        <f t="shared" ref="H387:H450" si="19">+F387-G387</f>
        <v>-2.5999999999999943</v>
      </c>
      <c r="I387" s="1">
        <f>+(F387^14)/((F387^14+G387^14))</f>
        <v>0.4048710493768114</v>
      </c>
      <c r="J387" s="2">
        <v>99.3</v>
      </c>
      <c r="K387" s="2">
        <v>101.6</v>
      </c>
      <c r="L387" s="2">
        <f t="shared" ref="L387:L450" si="20">+J387-K387</f>
        <v>-2.2999999999999972</v>
      </c>
      <c r="M387">
        <v>80.5</v>
      </c>
      <c r="N387">
        <v>100.7</v>
      </c>
      <c r="O387">
        <v>0.6</v>
      </c>
    </row>
    <row r="388" spans="1:15">
      <c r="A388" t="s">
        <v>52</v>
      </c>
      <c r="B388" t="s">
        <v>5</v>
      </c>
      <c r="C388">
        <v>38</v>
      </c>
      <c r="D388">
        <v>44</v>
      </c>
      <c r="E388" s="1">
        <f t="shared" si="18"/>
        <v>0.46341463414634149</v>
      </c>
      <c r="F388" s="2">
        <v>101</v>
      </c>
      <c r="G388" s="2">
        <v>101.5</v>
      </c>
      <c r="H388" s="2">
        <f t="shared" si="19"/>
        <v>-0.5</v>
      </c>
      <c r="I388" s="1">
        <f>+(F388^14)/((F388^14+G388^14))</f>
        <v>0.48272289543770702</v>
      </c>
      <c r="J388" s="2">
        <v>104.9</v>
      </c>
      <c r="K388" s="2">
        <v>105.7</v>
      </c>
      <c r="L388" s="2">
        <f t="shared" si="20"/>
        <v>-0.79999999999999716</v>
      </c>
      <c r="M388">
        <v>105.6</v>
      </c>
      <c r="N388">
        <v>100.2</v>
      </c>
      <c r="O388">
        <v>-0.9</v>
      </c>
    </row>
    <row r="389" spans="1:15">
      <c r="A389" t="s">
        <v>52</v>
      </c>
      <c r="B389" t="s">
        <v>6</v>
      </c>
      <c r="C389">
        <v>25</v>
      </c>
      <c r="D389">
        <v>57</v>
      </c>
      <c r="E389" s="1">
        <f t="shared" si="18"/>
        <v>0.3048780487804878</v>
      </c>
      <c r="F389" s="2">
        <v>96.2</v>
      </c>
      <c r="G389" s="2">
        <v>100.7</v>
      </c>
      <c r="H389" s="2">
        <f t="shared" si="19"/>
        <v>-4.5</v>
      </c>
      <c r="I389" s="1">
        <f>+(F389^14)/((F389^14+G389^14))</f>
        <v>0.34523971521963903</v>
      </c>
      <c r="J389" s="2">
        <v>101.9</v>
      </c>
      <c r="K389" s="2">
        <v>106.5</v>
      </c>
      <c r="L389" s="2">
        <f t="shared" si="20"/>
        <v>-4.5999999999999943</v>
      </c>
      <c r="M389">
        <v>88.5</v>
      </c>
      <c r="N389">
        <v>112.9</v>
      </c>
      <c r="O389">
        <v>-2</v>
      </c>
    </row>
    <row r="390" spans="1:15">
      <c r="A390" t="s">
        <v>52</v>
      </c>
      <c r="B390" t="s">
        <v>51</v>
      </c>
      <c r="C390">
        <v>44</v>
      </c>
      <c r="D390">
        <v>38</v>
      </c>
      <c r="E390" s="1">
        <f t="shared" si="18"/>
        <v>0.53658536585365857</v>
      </c>
      <c r="F390" s="2">
        <v>98.5</v>
      </c>
      <c r="G390" s="2">
        <v>99.5</v>
      </c>
      <c r="H390" s="2">
        <f t="shared" si="19"/>
        <v>-1</v>
      </c>
      <c r="I390" s="1">
        <f>+(F390^14)/((F390^14+G390^14))</f>
        <v>0.46470496450899657</v>
      </c>
      <c r="J390" s="2">
        <v>105.4</v>
      </c>
      <c r="K390" s="2">
        <v>106.7</v>
      </c>
      <c r="L390" s="2">
        <f t="shared" si="20"/>
        <v>-1.2999999999999972</v>
      </c>
      <c r="M390">
        <v>98.3</v>
      </c>
      <c r="N390">
        <v>100.6</v>
      </c>
      <c r="O390">
        <v>-1.1000000000000001</v>
      </c>
    </row>
    <row r="391" spans="1:15">
      <c r="A391" t="s">
        <v>52</v>
      </c>
      <c r="B391" t="s">
        <v>40</v>
      </c>
      <c r="C391">
        <v>43</v>
      </c>
      <c r="D391">
        <v>39</v>
      </c>
      <c r="E391" s="1">
        <f t="shared" si="18"/>
        <v>0.52439024390243905</v>
      </c>
      <c r="F391" s="2">
        <v>96.9</v>
      </c>
      <c r="G391" s="2">
        <v>97.1</v>
      </c>
      <c r="H391" s="2">
        <f t="shared" si="19"/>
        <v>-0.19999999999998863</v>
      </c>
      <c r="I391" s="1">
        <f>+(F391^14)/((F391^14+G391^14))</f>
        <v>0.49278400364904085</v>
      </c>
      <c r="J391" s="2">
        <v>103</v>
      </c>
      <c r="K391" s="2">
        <v>103.3</v>
      </c>
      <c r="L391" s="2">
        <f t="shared" si="20"/>
        <v>-0.29999999999999716</v>
      </c>
      <c r="M391">
        <v>94.6</v>
      </c>
      <c r="N391">
        <v>92.6</v>
      </c>
      <c r="O391">
        <v>-0.4</v>
      </c>
    </row>
    <row r="392" spans="1:15">
      <c r="A392" t="s">
        <v>52</v>
      </c>
      <c r="B392" t="s">
        <v>8</v>
      </c>
      <c r="C392">
        <v>48</v>
      </c>
      <c r="D392">
        <v>34</v>
      </c>
      <c r="E392" s="1">
        <f t="shared" si="18"/>
        <v>0.58536585365853655</v>
      </c>
      <c r="F392" s="2">
        <v>93.7</v>
      </c>
      <c r="G392" s="2">
        <v>91.8</v>
      </c>
      <c r="H392" s="2">
        <f t="shared" si="19"/>
        <v>1.9000000000000057</v>
      </c>
      <c r="I392" s="1">
        <f>+(F392^14)/((F392^14+G392^14))</f>
        <v>0.57121314816076207</v>
      </c>
      <c r="J392" s="2">
        <v>101.7</v>
      </c>
      <c r="K392" s="2">
        <v>99.9</v>
      </c>
      <c r="L392" s="2">
        <f t="shared" si="20"/>
        <v>1.7999999999999972</v>
      </c>
      <c r="M392">
        <v>91.5</v>
      </c>
      <c r="N392">
        <v>83.4</v>
      </c>
      <c r="O392">
        <v>1</v>
      </c>
    </row>
    <row r="393" spans="1:15">
      <c r="A393" t="s">
        <v>52</v>
      </c>
      <c r="B393" t="s">
        <v>9</v>
      </c>
      <c r="C393">
        <v>33</v>
      </c>
      <c r="D393">
        <v>49</v>
      </c>
      <c r="E393" s="1">
        <f t="shared" si="18"/>
        <v>0.40243902439024393</v>
      </c>
      <c r="F393" s="2">
        <v>98.2</v>
      </c>
      <c r="G393" s="2">
        <v>101.5</v>
      </c>
      <c r="H393" s="2">
        <f t="shared" si="19"/>
        <v>-3.2999999999999972</v>
      </c>
      <c r="I393" s="1">
        <f>+(F393^14)/((F393^14+G393^14))</f>
        <v>0.38633693083562831</v>
      </c>
      <c r="J393" s="2">
        <v>103.5</v>
      </c>
      <c r="K393" s="2">
        <v>107</v>
      </c>
      <c r="L393" s="2">
        <f t="shared" si="20"/>
        <v>-3.5</v>
      </c>
      <c r="M393">
        <v>95.4</v>
      </c>
      <c r="N393">
        <v>102.2</v>
      </c>
      <c r="O393">
        <v>0.2</v>
      </c>
    </row>
    <row r="394" spans="1:15">
      <c r="A394" t="s">
        <v>52</v>
      </c>
      <c r="B394" t="s">
        <v>10</v>
      </c>
      <c r="C394">
        <v>49</v>
      </c>
      <c r="D394">
        <v>33</v>
      </c>
      <c r="E394" s="1">
        <f t="shared" si="18"/>
        <v>0.59756097560975607</v>
      </c>
      <c r="F394" s="2">
        <v>104.8</v>
      </c>
      <c r="G394" s="2">
        <v>102.4</v>
      </c>
      <c r="H394" s="2">
        <f t="shared" si="19"/>
        <v>2.3999999999999915</v>
      </c>
      <c r="I394" s="1">
        <f>+(F394^14)/((F394^14+G394^14))</f>
        <v>0.58038129278939099</v>
      </c>
      <c r="J394" s="2">
        <v>109.5</v>
      </c>
      <c r="K394" s="2">
        <v>107.2</v>
      </c>
      <c r="L394" s="2">
        <f t="shared" si="20"/>
        <v>2.2999999999999972</v>
      </c>
      <c r="M394">
        <v>110.6</v>
      </c>
      <c r="N394">
        <v>98.1</v>
      </c>
      <c r="O394">
        <v>0.7</v>
      </c>
    </row>
    <row r="395" spans="1:15">
      <c r="A395" t="s">
        <v>52</v>
      </c>
      <c r="B395" t="s">
        <v>11</v>
      </c>
      <c r="C395">
        <v>36</v>
      </c>
      <c r="D395">
        <v>46</v>
      </c>
      <c r="E395" s="1">
        <f t="shared" si="18"/>
        <v>0.43902439024390244</v>
      </c>
      <c r="F395" s="2">
        <v>104.4</v>
      </c>
      <c r="G395" s="2">
        <v>106.5</v>
      </c>
      <c r="H395" s="2">
        <f t="shared" si="19"/>
        <v>-2.0999999999999943</v>
      </c>
      <c r="I395" s="1">
        <f>+(F395^14)/((F395^14+G395^14))</f>
        <v>0.43074448136951871</v>
      </c>
      <c r="J395" s="2">
        <v>105.1</v>
      </c>
      <c r="K395" s="2">
        <v>107.3</v>
      </c>
      <c r="L395" s="2">
        <f t="shared" si="20"/>
        <v>-2.2000000000000028</v>
      </c>
      <c r="M395">
        <v>98.8</v>
      </c>
      <c r="N395">
        <v>105.6</v>
      </c>
      <c r="O395">
        <v>-0.5</v>
      </c>
    </row>
    <row r="396" spans="1:15">
      <c r="A396" t="s">
        <v>52</v>
      </c>
      <c r="B396" t="s">
        <v>12</v>
      </c>
      <c r="C396">
        <v>29</v>
      </c>
      <c r="D396">
        <v>53</v>
      </c>
      <c r="E396" s="1">
        <f t="shared" si="18"/>
        <v>0.35365853658536583</v>
      </c>
      <c r="F396" s="2">
        <v>101</v>
      </c>
      <c r="G396" s="2">
        <v>104.7</v>
      </c>
      <c r="H396" s="2">
        <f t="shared" si="19"/>
        <v>-3.7000000000000028</v>
      </c>
      <c r="I396" s="1">
        <f>+(F396^14)/((F396^14+G396^14))</f>
        <v>0.37667145253299883</v>
      </c>
      <c r="J396" s="2">
        <v>105.2</v>
      </c>
      <c r="K396" s="2">
        <v>109</v>
      </c>
      <c r="L396" s="2">
        <f t="shared" si="20"/>
        <v>-3.7999999999999972</v>
      </c>
      <c r="M396">
        <v>85.5</v>
      </c>
      <c r="N396">
        <v>110</v>
      </c>
      <c r="O396">
        <v>-2.4</v>
      </c>
    </row>
    <row r="397" spans="1:15">
      <c r="A397" t="s">
        <v>52</v>
      </c>
      <c r="B397" t="s">
        <v>13</v>
      </c>
      <c r="C397">
        <v>51</v>
      </c>
      <c r="D397">
        <v>31</v>
      </c>
      <c r="E397" s="1">
        <f t="shared" si="18"/>
        <v>0.62195121951219512</v>
      </c>
      <c r="F397" s="2">
        <v>104.3</v>
      </c>
      <c r="G397" s="2">
        <v>99.5</v>
      </c>
      <c r="H397" s="2">
        <f t="shared" si="19"/>
        <v>4.7999999999999972</v>
      </c>
      <c r="I397" s="1">
        <f>+(F397^14)/((F397^14+G397^14))</f>
        <v>0.65916874214261856</v>
      </c>
      <c r="J397" s="2">
        <v>106.3</v>
      </c>
      <c r="K397" s="2">
        <v>101.4</v>
      </c>
      <c r="L397" s="2">
        <f t="shared" si="20"/>
        <v>4.8999999999999915</v>
      </c>
      <c r="M397">
        <v>101.2</v>
      </c>
      <c r="N397">
        <v>94.5</v>
      </c>
      <c r="O397">
        <v>0.5</v>
      </c>
    </row>
    <row r="398" spans="1:15">
      <c r="A398" t="s">
        <v>52</v>
      </c>
      <c r="B398" t="s">
        <v>14</v>
      </c>
      <c r="C398">
        <v>54</v>
      </c>
      <c r="D398">
        <v>28</v>
      </c>
      <c r="E398" s="1">
        <f t="shared" si="18"/>
        <v>0.65853658536585369</v>
      </c>
      <c r="F398" s="2">
        <v>107.7</v>
      </c>
      <c r="G398" s="2">
        <v>103.1</v>
      </c>
      <c r="H398" s="2">
        <f t="shared" si="19"/>
        <v>4.6000000000000085</v>
      </c>
      <c r="I398" s="1">
        <f>+(F398^14)/((F398^14+G398^14))</f>
        <v>0.648192302705629</v>
      </c>
      <c r="J398" s="2">
        <v>109.8</v>
      </c>
      <c r="K398" s="2">
        <v>105.2</v>
      </c>
      <c r="L398" s="2">
        <f t="shared" si="20"/>
        <v>4.5999999999999943</v>
      </c>
      <c r="M398">
        <v>111.2</v>
      </c>
      <c r="N398">
        <v>96.1</v>
      </c>
      <c r="O398">
        <v>-0.2</v>
      </c>
    </row>
    <row r="399" spans="1:15">
      <c r="A399" t="s">
        <v>52</v>
      </c>
      <c r="B399" t="s">
        <v>15</v>
      </c>
      <c r="C399">
        <v>56</v>
      </c>
      <c r="D399">
        <v>26</v>
      </c>
      <c r="E399" s="1">
        <f t="shared" si="18"/>
        <v>0.68292682926829273</v>
      </c>
      <c r="F399" s="2">
        <v>96.7</v>
      </c>
      <c r="G399" s="2">
        <v>92.3</v>
      </c>
      <c r="H399" s="2">
        <f t="shared" si="19"/>
        <v>4.4000000000000057</v>
      </c>
      <c r="I399" s="1">
        <f>+(F399^14)/((F399^14+G399^14))</f>
        <v>0.65745418217817553</v>
      </c>
      <c r="J399" s="2">
        <v>103.6</v>
      </c>
      <c r="K399" s="2">
        <v>98.9</v>
      </c>
      <c r="L399" s="2">
        <f t="shared" si="20"/>
        <v>4.6999999999999886</v>
      </c>
      <c r="M399">
        <v>113.9</v>
      </c>
      <c r="N399">
        <v>94.6</v>
      </c>
      <c r="O399">
        <v>1.4</v>
      </c>
    </row>
    <row r="400" spans="1:15">
      <c r="A400" t="s">
        <v>52</v>
      </c>
      <c r="B400" t="s">
        <v>16</v>
      </c>
      <c r="C400">
        <v>57</v>
      </c>
      <c r="D400">
        <v>25</v>
      </c>
      <c r="E400" s="1">
        <f t="shared" si="18"/>
        <v>0.69512195121951215</v>
      </c>
      <c r="F400" s="2">
        <v>107.9</v>
      </c>
      <c r="G400" s="2">
        <v>101</v>
      </c>
      <c r="H400" s="2">
        <f t="shared" si="19"/>
        <v>6.9000000000000057</v>
      </c>
      <c r="I400" s="1">
        <f>+(F400^14)/((F400^14+G400^14))</f>
        <v>0.71609658806886933</v>
      </c>
      <c r="J400" s="2">
        <v>111.3</v>
      </c>
      <c r="K400" s="2">
        <v>104</v>
      </c>
      <c r="L400" s="2">
        <f t="shared" si="20"/>
        <v>7.2999999999999972</v>
      </c>
      <c r="M400">
        <v>111.8</v>
      </c>
      <c r="N400">
        <v>100</v>
      </c>
      <c r="O400">
        <v>1.6</v>
      </c>
    </row>
    <row r="401" spans="1:15">
      <c r="A401" t="s">
        <v>52</v>
      </c>
      <c r="B401" t="s">
        <v>17</v>
      </c>
      <c r="C401">
        <v>27</v>
      </c>
      <c r="D401">
        <v>55</v>
      </c>
      <c r="E401" s="1">
        <f t="shared" si="18"/>
        <v>0.32926829268292684</v>
      </c>
      <c r="F401" s="2">
        <v>103</v>
      </c>
      <c r="G401" s="2">
        <v>109.2</v>
      </c>
      <c r="H401" s="2">
        <f t="shared" si="19"/>
        <v>-6.2000000000000028</v>
      </c>
      <c r="I401" s="1">
        <f>+(F401^14)/((F401^14+G401^14))</f>
        <v>0.30611847103175666</v>
      </c>
      <c r="J401" s="2">
        <v>103.2</v>
      </c>
      <c r="K401" s="2">
        <v>109.3</v>
      </c>
      <c r="L401" s="2">
        <f t="shared" si="20"/>
        <v>-6.0999999999999943</v>
      </c>
      <c r="M401">
        <v>100.8</v>
      </c>
      <c r="N401">
        <v>100</v>
      </c>
      <c r="O401">
        <v>0.5</v>
      </c>
    </row>
    <row r="402" spans="1:15">
      <c r="A402" t="s">
        <v>52</v>
      </c>
      <c r="B402" t="s">
        <v>35</v>
      </c>
      <c r="C402">
        <v>50</v>
      </c>
      <c r="D402">
        <v>32</v>
      </c>
      <c r="E402" s="1">
        <f t="shared" si="18"/>
        <v>0.6097560975609756</v>
      </c>
      <c r="F402" s="2">
        <v>96.1</v>
      </c>
      <c r="G402" s="2">
        <v>94.6</v>
      </c>
      <c r="H402" s="2">
        <f t="shared" si="19"/>
        <v>1.5</v>
      </c>
      <c r="I402" s="1">
        <f>+(F402^14)/((F402^14+G402^14))</f>
        <v>0.554839936539687</v>
      </c>
      <c r="J402" s="2">
        <v>105.5</v>
      </c>
      <c r="K402" s="2">
        <v>103.8</v>
      </c>
      <c r="L402" s="2">
        <f t="shared" si="20"/>
        <v>1.7000000000000028</v>
      </c>
      <c r="M402">
        <v>108.7</v>
      </c>
      <c r="N402">
        <v>82</v>
      </c>
      <c r="O402">
        <v>1.1000000000000001</v>
      </c>
    </row>
    <row r="403" spans="1:15">
      <c r="A403" t="s">
        <v>52</v>
      </c>
      <c r="B403" t="s">
        <v>18</v>
      </c>
      <c r="C403">
        <v>54</v>
      </c>
      <c r="D403">
        <v>28</v>
      </c>
      <c r="E403" s="1">
        <f t="shared" si="18"/>
        <v>0.65853658536585369</v>
      </c>
      <c r="F403" s="2">
        <v>102.2</v>
      </c>
      <c r="G403" s="2">
        <v>97.4</v>
      </c>
      <c r="H403" s="2">
        <f t="shared" si="19"/>
        <v>4.7999999999999972</v>
      </c>
      <c r="I403" s="1">
        <f>+(F403^14)/((F403^14+G403^14))</f>
        <v>0.66228117698287825</v>
      </c>
      <c r="J403" s="2">
        <v>110</v>
      </c>
      <c r="K403" s="2">
        <v>105</v>
      </c>
      <c r="L403" s="2">
        <f t="shared" si="20"/>
        <v>5</v>
      </c>
      <c r="M403">
        <v>104.5</v>
      </c>
      <c r="N403">
        <v>97.6</v>
      </c>
      <c r="O403">
        <v>1.6</v>
      </c>
    </row>
    <row r="404" spans="1:15">
      <c r="A404" t="s">
        <v>52</v>
      </c>
      <c r="B404" t="s">
        <v>19</v>
      </c>
      <c r="C404">
        <v>15</v>
      </c>
      <c r="D404">
        <v>67</v>
      </c>
      <c r="E404" s="1">
        <f t="shared" si="18"/>
        <v>0.18292682926829268</v>
      </c>
      <c r="F404" s="2">
        <v>95.5</v>
      </c>
      <c r="G404" s="2">
        <v>103.7</v>
      </c>
      <c r="H404" s="2">
        <f t="shared" si="19"/>
        <v>-8.2000000000000028</v>
      </c>
      <c r="I404" s="1">
        <f>+(F404^14)/((F404^14+G404^14))</f>
        <v>0.23989374282891526</v>
      </c>
      <c r="J404" s="2">
        <v>101.9</v>
      </c>
      <c r="K404" s="2">
        <v>110.2</v>
      </c>
      <c r="L404" s="2">
        <f t="shared" si="20"/>
        <v>-8.2999999999999972</v>
      </c>
      <c r="M404">
        <v>87.3</v>
      </c>
      <c r="N404">
        <v>108.7</v>
      </c>
      <c r="O404">
        <v>0</v>
      </c>
    </row>
    <row r="405" spans="1:15">
      <c r="A405" t="s">
        <v>52</v>
      </c>
      <c r="B405" t="s">
        <v>20</v>
      </c>
      <c r="C405">
        <v>40</v>
      </c>
      <c r="D405">
        <v>42</v>
      </c>
      <c r="E405" s="1">
        <f t="shared" si="18"/>
        <v>0.48780487804878048</v>
      </c>
      <c r="F405" s="2">
        <v>106.9</v>
      </c>
      <c r="G405" s="2">
        <v>104.3</v>
      </c>
      <c r="H405" s="2">
        <f t="shared" si="19"/>
        <v>2.6000000000000085</v>
      </c>
      <c r="I405" s="1">
        <f>+(F405^14)/((F405^14+G405^14))</f>
        <v>0.58533524678753013</v>
      </c>
      <c r="J405" s="2">
        <v>107.7</v>
      </c>
      <c r="K405" s="2">
        <v>105.2</v>
      </c>
      <c r="L405" s="2">
        <f t="shared" si="20"/>
        <v>2.5</v>
      </c>
      <c r="M405">
        <v>99.7</v>
      </c>
      <c r="N405">
        <v>116.3</v>
      </c>
      <c r="O405">
        <v>-2.2999999999999998</v>
      </c>
    </row>
    <row r="406" spans="1:15">
      <c r="A406" t="s">
        <v>52</v>
      </c>
      <c r="B406" t="s">
        <v>53</v>
      </c>
      <c r="C406">
        <v>34</v>
      </c>
      <c r="D406">
        <v>48</v>
      </c>
      <c r="E406" s="1">
        <f t="shared" si="18"/>
        <v>0.41463414634146339</v>
      </c>
      <c r="F406" s="2">
        <v>99.7</v>
      </c>
      <c r="G406" s="2">
        <v>102.4</v>
      </c>
      <c r="H406" s="2">
        <f t="shared" si="19"/>
        <v>-2.7000000000000028</v>
      </c>
      <c r="I406" s="1">
        <f>+(F406^14)/((F406^14+G406^14))</f>
        <v>0.40755201801637742</v>
      </c>
      <c r="J406" s="2">
        <v>106.2</v>
      </c>
      <c r="K406" s="2">
        <v>109.1</v>
      </c>
      <c r="L406" s="2">
        <f t="shared" si="20"/>
        <v>-2.8999999999999915</v>
      </c>
      <c r="M406">
        <v>103.6</v>
      </c>
      <c r="N406">
        <v>105.4</v>
      </c>
      <c r="O406">
        <v>-0.2</v>
      </c>
    </row>
    <row r="407" spans="1:15">
      <c r="A407" t="s">
        <v>52</v>
      </c>
      <c r="B407" t="s">
        <v>22</v>
      </c>
      <c r="C407">
        <v>37</v>
      </c>
      <c r="D407">
        <v>45</v>
      </c>
      <c r="E407" s="1">
        <f t="shared" si="18"/>
        <v>0.45121951219512196</v>
      </c>
      <c r="F407" s="2">
        <v>98.6</v>
      </c>
      <c r="G407" s="2">
        <v>99.4</v>
      </c>
      <c r="H407" s="2">
        <f t="shared" si="19"/>
        <v>-0.80000000000001137</v>
      </c>
      <c r="I407" s="1">
        <f>+(F407^14)/((F407^14+G407^14))</f>
        <v>0.47174714501702425</v>
      </c>
      <c r="J407" s="2">
        <v>107</v>
      </c>
      <c r="K407" s="2">
        <v>108.1</v>
      </c>
      <c r="L407" s="2">
        <f t="shared" si="20"/>
        <v>-1.0999999999999943</v>
      </c>
      <c r="M407">
        <v>92.3</v>
      </c>
      <c r="N407">
        <v>100.6</v>
      </c>
      <c r="O407">
        <v>-1.2</v>
      </c>
    </row>
    <row r="408" spans="1:15">
      <c r="A408" t="s">
        <v>52</v>
      </c>
      <c r="B408" t="s">
        <v>46</v>
      </c>
      <c r="C408">
        <v>59</v>
      </c>
      <c r="D408">
        <v>23</v>
      </c>
      <c r="E408" s="1">
        <f t="shared" si="18"/>
        <v>0.71951219512195119</v>
      </c>
      <c r="F408" s="2">
        <v>106.2</v>
      </c>
      <c r="G408" s="2">
        <v>99.8</v>
      </c>
      <c r="H408" s="2">
        <f t="shared" si="19"/>
        <v>6.4000000000000057</v>
      </c>
      <c r="I408" s="1">
        <f>+(F408^14)/((F408^14+G408^14))</f>
        <v>0.70478376609010041</v>
      </c>
      <c r="J408" s="2">
        <v>109.4</v>
      </c>
      <c r="K408" s="2">
        <v>103</v>
      </c>
      <c r="L408" s="2">
        <f t="shared" si="20"/>
        <v>6.4000000000000057</v>
      </c>
      <c r="M408">
        <v>103.7</v>
      </c>
      <c r="N408">
        <v>99.7</v>
      </c>
      <c r="O408">
        <v>1.1000000000000001</v>
      </c>
    </row>
    <row r="409" spans="1:15">
      <c r="A409" t="s">
        <v>52</v>
      </c>
      <c r="B409" t="s">
        <v>23</v>
      </c>
      <c r="C409">
        <v>23</v>
      </c>
      <c r="D409">
        <v>59</v>
      </c>
      <c r="E409" s="1">
        <f t="shared" si="18"/>
        <v>0.28048780487804881</v>
      </c>
      <c r="F409" s="2">
        <v>96.5</v>
      </c>
      <c r="G409" s="2">
        <v>102</v>
      </c>
      <c r="H409" s="2">
        <f t="shared" si="19"/>
        <v>-5.5</v>
      </c>
      <c r="I409" s="1">
        <f>+(F409^14)/((F409^14+G409^14))</f>
        <v>0.31517888985534531</v>
      </c>
      <c r="J409" s="2">
        <v>101</v>
      </c>
      <c r="K409" s="2">
        <v>106.6</v>
      </c>
      <c r="L409" s="2">
        <f t="shared" si="20"/>
        <v>-5.5999999999999943</v>
      </c>
      <c r="M409">
        <v>87.9</v>
      </c>
      <c r="N409">
        <v>105.2</v>
      </c>
      <c r="O409">
        <v>-0.3</v>
      </c>
    </row>
    <row r="410" spans="1:15">
      <c r="A410" t="s">
        <v>52</v>
      </c>
      <c r="B410" t="s">
        <v>24</v>
      </c>
      <c r="C410">
        <v>19</v>
      </c>
      <c r="D410">
        <v>63</v>
      </c>
      <c r="E410" s="1">
        <f t="shared" si="18"/>
        <v>0.23170731707317074</v>
      </c>
      <c r="F410" s="2">
        <v>99.5</v>
      </c>
      <c r="G410" s="2">
        <v>109.9</v>
      </c>
      <c r="H410" s="2">
        <f t="shared" si="19"/>
        <v>-10.400000000000006</v>
      </c>
      <c r="I410" s="1">
        <f>+(F410^14)/((F410^14+G410^14))</f>
        <v>0.19912293805378545</v>
      </c>
      <c r="J410" s="2">
        <v>99</v>
      </c>
      <c r="K410" s="2">
        <v>109</v>
      </c>
      <c r="L410" s="2">
        <f t="shared" si="20"/>
        <v>-10</v>
      </c>
      <c r="M410">
        <v>105</v>
      </c>
      <c r="N410">
        <v>99</v>
      </c>
      <c r="O410">
        <v>-0.8</v>
      </c>
    </row>
    <row r="411" spans="1:15">
      <c r="A411" t="s">
        <v>52</v>
      </c>
      <c r="B411" t="s">
        <v>25</v>
      </c>
      <c r="C411">
        <v>48</v>
      </c>
      <c r="D411">
        <v>34</v>
      </c>
      <c r="E411" s="1">
        <f t="shared" si="18"/>
        <v>0.58536585365853655</v>
      </c>
      <c r="F411" s="2">
        <v>105.2</v>
      </c>
      <c r="G411" s="2">
        <v>102.6</v>
      </c>
      <c r="H411" s="2">
        <f t="shared" si="19"/>
        <v>2.6000000000000085</v>
      </c>
      <c r="I411" s="1">
        <f>+(F411^14)/((F411^14+G411^14))</f>
        <v>0.58670369823184843</v>
      </c>
      <c r="J411" s="2">
        <v>108.2</v>
      </c>
      <c r="K411" s="2">
        <v>105.6</v>
      </c>
      <c r="L411" s="2">
        <f t="shared" si="20"/>
        <v>2.6000000000000085</v>
      </c>
      <c r="M411">
        <v>96.2</v>
      </c>
      <c r="N411">
        <v>97.1</v>
      </c>
      <c r="O411">
        <v>0.4</v>
      </c>
    </row>
    <row r="412" spans="1:15">
      <c r="A412" t="s">
        <v>52</v>
      </c>
      <c r="B412" t="s">
        <v>26</v>
      </c>
      <c r="C412">
        <v>54</v>
      </c>
      <c r="D412">
        <v>28</v>
      </c>
      <c r="E412" s="1">
        <f t="shared" si="18"/>
        <v>0.65853658536585369</v>
      </c>
      <c r="F412" s="2">
        <v>106.7</v>
      </c>
      <c r="G412" s="2">
        <v>102.8</v>
      </c>
      <c r="H412" s="2">
        <f t="shared" si="19"/>
        <v>3.9000000000000057</v>
      </c>
      <c r="I412" s="1">
        <f>+(F412^14)/((F412^14+G412^14))</f>
        <v>0.62745199732003099</v>
      </c>
      <c r="J412" s="2">
        <v>110.4</v>
      </c>
      <c r="K412" s="2">
        <v>106.2</v>
      </c>
      <c r="L412" s="2">
        <f t="shared" si="20"/>
        <v>4.2000000000000028</v>
      </c>
      <c r="M412">
        <v>113.7</v>
      </c>
      <c r="N412">
        <v>101</v>
      </c>
      <c r="O412">
        <v>0.6</v>
      </c>
    </row>
    <row r="413" spans="1:15">
      <c r="A413" t="s">
        <v>52</v>
      </c>
      <c r="B413" t="s">
        <v>27</v>
      </c>
      <c r="C413">
        <v>28</v>
      </c>
      <c r="D413">
        <v>54</v>
      </c>
      <c r="E413" s="1">
        <f t="shared" si="18"/>
        <v>0.34146341463414637</v>
      </c>
      <c r="F413" s="2">
        <v>100.5</v>
      </c>
      <c r="G413" s="2">
        <v>103.4</v>
      </c>
      <c r="H413" s="2">
        <f t="shared" si="19"/>
        <v>-2.9000000000000057</v>
      </c>
      <c r="I413" s="1">
        <f>+(F413^14)/((F413^14+G413^14))</f>
        <v>0.40173015666550166</v>
      </c>
      <c r="J413" s="2">
        <v>105.1</v>
      </c>
      <c r="K413" s="2">
        <v>107.8</v>
      </c>
      <c r="L413" s="2">
        <f t="shared" si="20"/>
        <v>-2.7000000000000028</v>
      </c>
      <c r="M413">
        <v>101.2</v>
      </c>
      <c r="N413">
        <v>108.8</v>
      </c>
      <c r="O413">
        <v>-1</v>
      </c>
    </row>
    <row r="414" spans="1:15">
      <c r="A414" t="s">
        <v>52</v>
      </c>
      <c r="B414" t="s">
        <v>28</v>
      </c>
      <c r="C414">
        <v>62</v>
      </c>
      <c r="D414">
        <v>20</v>
      </c>
      <c r="E414" s="1">
        <f t="shared" si="18"/>
        <v>0.75609756097560976</v>
      </c>
      <c r="F414" s="2">
        <v>105.4</v>
      </c>
      <c r="G414" s="2">
        <v>97.6</v>
      </c>
      <c r="H414" s="2">
        <f t="shared" si="19"/>
        <v>7.8000000000000114</v>
      </c>
      <c r="I414" s="1">
        <f>+(F414^14)/((F414^14+G414^14))</f>
        <v>0.74581059535578331</v>
      </c>
      <c r="J414" s="2">
        <v>109.5</v>
      </c>
      <c r="K414" s="2">
        <v>101.4</v>
      </c>
      <c r="L414" s="2">
        <f t="shared" si="20"/>
        <v>8.0999999999999943</v>
      </c>
      <c r="M414">
        <v>116.2</v>
      </c>
      <c r="N414">
        <v>103</v>
      </c>
      <c r="O414">
        <v>2</v>
      </c>
    </row>
    <row r="415" spans="1:15">
      <c r="A415" t="s">
        <v>52</v>
      </c>
      <c r="B415" t="s">
        <v>30</v>
      </c>
      <c r="C415">
        <v>48</v>
      </c>
      <c r="D415">
        <v>34</v>
      </c>
      <c r="E415" s="1">
        <f t="shared" si="18"/>
        <v>0.58536585365853655</v>
      </c>
      <c r="F415" s="2">
        <v>101.3</v>
      </c>
      <c r="G415" s="2">
        <v>98</v>
      </c>
      <c r="H415" s="2">
        <f t="shared" si="19"/>
        <v>3.2999999999999972</v>
      </c>
      <c r="I415" s="1">
        <f>+(F415^14)/((F415^14+G415^14))</f>
        <v>0.6138832683846418</v>
      </c>
      <c r="J415" s="2">
        <v>107.9</v>
      </c>
      <c r="K415" s="2">
        <v>104.6</v>
      </c>
      <c r="L415" s="2">
        <f t="shared" si="20"/>
        <v>3.3000000000000114</v>
      </c>
      <c r="M415">
        <v>102.9</v>
      </c>
      <c r="N415">
        <v>95</v>
      </c>
      <c r="O415">
        <v>2.4</v>
      </c>
    </row>
    <row r="416" spans="1:15">
      <c r="A416" t="s">
        <v>52</v>
      </c>
      <c r="B416" t="s">
        <v>31</v>
      </c>
      <c r="C416">
        <v>25</v>
      </c>
      <c r="D416">
        <v>57</v>
      </c>
      <c r="E416" s="1">
        <f t="shared" si="18"/>
        <v>0.3048780487804878</v>
      </c>
      <c r="F416" s="2">
        <v>95</v>
      </c>
      <c r="G416" s="2">
        <v>102.2</v>
      </c>
      <c r="H416" s="2">
        <f t="shared" si="19"/>
        <v>-7.2000000000000028</v>
      </c>
      <c r="I416" s="1">
        <f>+(F416^14)/((F416^14+G416^14))</f>
        <v>0.26448877178052832</v>
      </c>
      <c r="J416" s="2">
        <v>102.4</v>
      </c>
      <c r="K416" s="2">
        <v>110.1</v>
      </c>
      <c r="L416" s="2">
        <f t="shared" si="20"/>
        <v>-7.6999999999999886</v>
      </c>
      <c r="M416">
        <v>108.8</v>
      </c>
      <c r="N416">
        <v>121.1</v>
      </c>
      <c r="O416">
        <v>-1.8</v>
      </c>
    </row>
    <row r="417" spans="1:15">
      <c r="A417" t="s">
        <v>52</v>
      </c>
      <c r="B417" t="s">
        <v>33</v>
      </c>
      <c r="C417">
        <v>44</v>
      </c>
      <c r="D417">
        <v>38</v>
      </c>
      <c r="E417" s="1">
        <f t="shared" si="18"/>
        <v>0.53658536585365857</v>
      </c>
      <c r="F417" s="2">
        <v>100.7</v>
      </c>
      <c r="G417" s="2">
        <v>99.4</v>
      </c>
      <c r="H417" s="2">
        <f t="shared" si="19"/>
        <v>1.2999999999999972</v>
      </c>
      <c r="I417" s="1">
        <f>+(F417^14)/((F417^14+G417^14))</f>
        <v>0.54535290258851965</v>
      </c>
      <c r="J417" s="2">
        <v>104.9</v>
      </c>
      <c r="K417" s="2">
        <v>103.6</v>
      </c>
      <c r="L417" s="2">
        <f t="shared" si="20"/>
        <v>1.3000000000000114</v>
      </c>
      <c r="M417">
        <v>92.4</v>
      </c>
      <c r="N417">
        <v>99</v>
      </c>
      <c r="O417">
        <v>0</v>
      </c>
    </row>
    <row r="418" spans="1:15">
      <c r="A418" t="s">
        <v>54</v>
      </c>
      <c r="B418" t="s">
        <v>5</v>
      </c>
      <c r="C418">
        <v>60</v>
      </c>
      <c r="D418">
        <v>22</v>
      </c>
      <c r="E418" s="1">
        <f t="shared" si="18"/>
        <v>0.73170731707317072</v>
      </c>
      <c r="F418" s="2">
        <v>102.5</v>
      </c>
      <c r="G418" s="2">
        <v>97.1</v>
      </c>
      <c r="H418" s="2">
        <f t="shared" si="19"/>
        <v>5.4000000000000057</v>
      </c>
      <c r="I418" s="1">
        <f>+(F418^14)/((F418^14+G418^14))</f>
        <v>0.68085415464788723</v>
      </c>
      <c r="J418" s="2">
        <v>108.2</v>
      </c>
      <c r="K418" s="2">
        <v>102.3</v>
      </c>
      <c r="L418" s="2">
        <f t="shared" si="20"/>
        <v>5.9000000000000057</v>
      </c>
      <c r="M418">
        <v>112.1</v>
      </c>
      <c r="N418">
        <v>91.3</v>
      </c>
      <c r="O418">
        <v>1.2</v>
      </c>
    </row>
    <row r="419" spans="1:15">
      <c r="A419" t="s">
        <v>54</v>
      </c>
      <c r="B419" t="s">
        <v>6</v>
      </c>
      <c r="C419">
        <v>40</v>
      </c>
      <c r="D419">
        <v>42</v>
      </c>
      <c r="E419" s="1">
        <f t="shared" si="18"/>
        <v>0.48780487804878048</v>
      </c>
      <c r="F419" s="2">
        <v>101.4</v>
      </c>
      <c r="G419" s="2">
        <v>101.2</v>
      </c>
      <c r="H419" s="2">
        <f t="shared" si="19"/>
        <v>0.20000000000000284</v>
      </c>
      <c r="I419" s="1">
        <f>+(F419^14)/((F419^14+G419^14))</f>
        <v>0.50690973014497898</v>
      </c>
      <c r="J419" s="2">
        <v>103.8</v>
      </c>
      <c r="K419" s="2">
        <v>103.5</v>
      </c>
      <c r="L419" s="2">
        <f t="shared" si="20"/>
        <v>0.29999999999999716</v>
      </c>
      <c r="M419">
        <v>103</v>
      </c>
      <c r="N419">
        <v>103.8</v>
      </c>
      <c r="O419">
        <v>0.9</v>
      </c>
    </row>
    <row r="420" spans="1:15">
      <c r="A420" t="s">
        <v>54</v>
      </c>
      <c r="B420" t="s">
        <v>51</v>
      </c>
      <c r="C420">
        <v>38</v>
      </c>
      <c r="D420">
        <v>44</v>
      </c>
      <c r="E420" s="1">
        <f t="shared" si="18"/>
        <v>0.46341463414634149</v>
      </c>
      <c r="F420" s="2">
        <v>98</v>
      </c>
      <c r="G420" s="2">
        <v>100.9</v>
      </c>
      <c r="H420" s="2">
        <f t="shared" si="19"/>
        <v>-2.9000000000000057</v>
      </c>
      <c r="I420" s="1">
        <f>+(F420^14)/((F420^14+G420^14))</f>
        <v>0.3993259881358221</v>
      </c>
      <c r="J420" s="2">
        <v>103.4</v>
      </c>
      <c r="K420" s="2">
        <v>106.3</v>
      </c>
      <c r="L420" s="2">
        <f t="shared" si="20"/>
        <v>-2.8999999999999915</v>
      </c>
      <c r="M420">
        <v>91.9</v>
      </c>
      <c r="N420">
        <v>102.5</v>
      </c>
      <c r="O420">
        <v>-0.2</v>
      </c>
    </row>
    <row r="421" spans="1:15">
      <c r="A421" t="s">
        <v>54</v>
      </c>
      <c r="B421" t="s">
        <v>7</v>
      </c>
      <c r="C421">
        <v>33</v>
      </c>
      <c r="D421">
        <v>49</v>
      </c>
      <c r="E421" s="1">
        <f t="shared" si="18"/>
        <v>0.40243902439024393</v>
      </c>
      <c r="F421" s="2">
        <v>94.2</v>
      </c>
      <c r="G421" s="2">
        <v>97.3</v>
      </c>
      <c r="H421" s="2">
        <f t="shared" si="19"/>
        <v>-3.0999999999999943</v>
      </c>
      <c r="I421" s="1">
        <f>+(F421^14)/((F421^14+G421^14))</f>
        <v>0.38857566297444734</v>
      </c>
      <c r="J421" s="2">
        <v>99.6</v>
      </c>
      <c r="K421" s="2">
        <v>103</v>
      </c>
      <c r="L421" s="2">
        <f t="shared" si="20"/>
        <v>-3.4000000000000057</v>
      </c>
      <c r="M421">
        <v>89.8</v>
      </c>
      <c r="N421">
        <v>99.4</v>
      </c>
      <c r="O421">
        <v>-1.2</v>
      </c>
    </row>
    <row r="422" spans="1:15">
      <c r="A422" t="s">
        <v>54</v>
      </c>
      <c r="B422" t="s">
        <v>8</v>
      </c>
      <c r="C422">
        <v>50</v>
      </c>
      <c r="D422">
        <v>32</v>
      </c>
      <c r="E422" s="1">
        <f t="shared" si="18"/>
        <v>0.6097560975609756</v>
      </c>
      <c r="F422" s="2">
        <v>100.8</v>
      </c>
      <c r="G422" s="2">
        <v>97.8</v>
      </c>
      <c r="H422" s="2">
        <f t="shared" si="19"/>
        <v>3</v>
      </c>
      <c r="I422" s="1">
        <f>+(F422^14)/((F422^14+G422^14))</f>
        <v>0.60419920235636659</v>
      </c>
      <c r="J422" s="2">
        <v>106.3</v>
      </c>
      <c r="K422" s="2">
        <v>103.3</v>
      </c>
      <c r="L422" s="2">
        <f t="shared" si="20"/>
        <v>3</v>
      </c>
      <c r="M422">
        <v>99.7</v>
      </c>
      <c r="N422">
        <v>90.5</v>
      </c>
      <c r="O422">
        <v>1.5</v>
      </c>
    </row>
    <row r="423" spans="1:15">
      <c r="A423" t="s">
        <v>54</v>
      </c>
      <c r="B423" t="s">
        <v>9</v>
      </c>
      <c r="C423">
        <v>53</v>
      </c>
      <c r="D423">
        <v>29</v>
      </c>
      <c r="E423" s="1">
        <f t="shared" si="18"/>
        <v>0.64634146341463417</v>
      </c>
      <c r="F423" s="2">
        <v>103.1</v>
      </c>
      <c r="G423" s="2">
        <v>98.7</v>
      </c>
      <c r="H423" s="2">
        <f t="shared" si="19"/>
        <v>4.3999999999999915</v>
      </c>
      <c r="I423" s="1">
        <f>+(F423^14)/((F423^14+G423^14))</f>
        <v>0.64807816531272</v>
      </c>
      <c r="J423" s="2">
        <v>110.1</v>
      </c>
      <c r="K423" s="2">
        <v>105.3</v>
      </c>
      <c r="L423" s="2">
        <f t="shared" si="20"/>
        <v>4.7999999999999972</v>
      </c>
      <c r="M423">
        <v>112.7</v>
      </c>
      <c r="N423">
        <v>103</v>
      </c>
      <c r="O423">
        <v>0</v>
      </c>
    </row>
    <row r="424" spans="1:15">
      <c r="A424" t="s">
        <v>54</v>
      </c>
      <c r="B424" t="s">
        <v>10</v>
      </c>
      <c r="C424">
        <v>50</v>
      </c>
      <c r="D424">
        <v>32</v>
      </c>
      <c r="E424" s="1">
        <f t="shared" si="18"/>
        <v>0.6097560975609756</v>
      </c>
      <c r="F424" s="2">
        <v>105.2</v>
      </c>
      <c r="G424" s="2">
        <v>102.3</v>
      </c>
      <c r="H424" s="2">
        <f t="shared" si="19"/>
        <v>2.9000000000000057</v>
      </c>
      <c r="I424" s="1">
        <f>+(F424^14)/((F424^14+G424^14))</f>
        <v>0.59660783043206966</v>
      </c>
      <c r="J424" s="2">
        <v>108.2</v>
      </c>
      <c r="K424" s="2">
        <v>104.9</v>
      </c>
      <c r="L424" s="2">
        <f t="shared" si="20"/>
        <v>3.2999999999999972</v>
      </c>
      <c r="M424">
        <v>113.1</v>
      </c>
      <c r="N424">
        <v>95.3</v>
      </c>
      <c r="O424">
        <v>0.8</v>
      </c>
    </row>
    <row r="425" spans="1:15">
      <c r="A425" t="s">
        <v>54</v>
      </c>
      <c r="B425" t="s">
        <v>11</v>
      </c>
      <c r="C425">
        <v>30</v>
      </c>
      <c r="D425">
        <v>52</v>
      </c>
      <c r="E425" s="1">
        <f t="shared" si="18"/>
        <v>0.36585365853658536</v>
      </c>
      <c r="F425" s="2">
        <v>101.5</v>
      </c>
      <c r="G425" s="2">
        <v>105</v>
      </c>
      <c r="H425" s="2">
        <f t="shared" si="19"/>
        <v>-3.5</v>
      </c>
      <c r="I425" s="1">
        <f>+(F425^14)/((F425^14+G425^14))</f>
        <v>0.38352292862917464</v>
      </c>
      <c r="J425" s="2">
        <v>103.9</v>
      </c>
      <c r="K425" s="2">
        <v>107.1</v>
      </c>
      <c r="L425" s="2">
        <f t="shared" si="20"/>
        <v>-3.1999999999999886</v>
      </c>
      <c r="M425">
        <v>104.4</v>
      </c>
      <c r="N425">
        <v>112.3</v>
      </c>
      <c r="O425">
        <v>-0.8</v>
      </c>
    </row>
    <row r="426" spans="1:15">
      <c r="A426" t="s">
        <v>54</v>
      </c>
      <c r="B426" t="s">
        <v>12</v>
      </c>
      <c r="C426">
        <v>32</v>
      </c>
      <c r="D426">
        <v>50</v>
      </c>
      <c r="E426" s="1">
        <f t="shared" si="18"/>
        <v>0.3902439024390244</v>
      </c>
      <c r="F426" s="2">
        <v>98.5</v>
      </c>
      <c r="G426" s="2">
        <v>99.5</v>
      </c>
      <c r="H426" s="2">
        <f t="shared" si="19"/>
        <v>-1</v>
      </c>
      <c r="I426" s="1">
        <f>+(F426^14)/((F426^14+G426^14))</f>
        <v>0.46470496450899657</v>
      </c>
      <c r="J426" s="2">
        <v>104.3</v>
      </c>
      <c r="K426" s="2">
        <v>105.4</v>
      </c>
      <c r="L426" s="2">
        <f t="shared" si="20"/>
        <v>-1.1000000000000085</v>
      </c>
      <c r="M426">
        <v>90.2</v>
      </c>
      <c r="N426">
        <v>100.3</v>
      </c>
      <c r="O426">
        <v>0</v>
      </c>
    </row>
    <row r="427" spans="1:15">
      <c r="A427" t="s">
        <v>54</v>
      </c>
      <c r="B427" t="s">
        <v>13</v>
      </c>
      <c r="C427">
        <v>67</v>
      </c>
      <c r="D427">
        <v>15</v>
      </c>
      <c r="E427" s="1">
        <f t="shared" si="18"/>
        <v>0.81707317073170727</v>
      </c>
      <c r="F427" s="2">
        <v>110</v>
      </c>
      <c r="G427" s="2">
        <v>99.9</v>
      </c>
      <c r="H427" s="2">
        <f t="shared" si="19"/>
        <v>10.099999999999994</v>
      </c>
      <c r="I427" s="1">
        <f>+(F427^14)/((F427^14+G427^14))</f>
        <v>0.79385966423964438</v>
      </c>
      <c r="J427" s="2">
        <v>110.4</v>
      </c>
      <c r="K427" s="2">
        <v>100.4</v>
      </c>
      <c r="L427" s="2">
        <f t="shared" si="20"/>
        <v>10</v>
      </c>
      <c r="M427">
        <v>111</v>
      </c>
      <c r="N427">
        <v>92.1</v>
      </c>
      <c r="O427">
        <v>0.4</v>
      </c>
    </row>
    <row r="428" spans="1:15">
      <c r="A428" t="s">
        <v>54</v>
      </c>
      <c r="B428" t="s">
        <v>14</v>
      </c>
      <c r="C428">
        <v>56</v>
      </c>
      <c r="D428">
        <v>26</v>
      </c>
      <c r="E428" s="1">
        <f t="shared" si="18"/>
        <v>0.68292682926829273</v>
      </c>
      <c r="F428" s="2">
        <v>103.9</v>
      </c>
      <c r="G428" s="2">
        <v>100.5</v>
      </c>
      <c r="H428" s="2">
        <f t="shared" si="19"/>
        <v>3.4000000000000057</v>
      </c>
      <c r="I428" s="1">
        <f>+(F428^14)/((F428^14+G428^14))</f>
        <v>0.61438833657997272</v>
      </c>
      <c r="J428" s="2">
        <v>106</v>
      </c>
      <c r="K428" s="2">
        <v>102.6</v>
      </c>
      <c r="L428" s="2">
        <f t="shared" si="20"/>
        <v>3.4000000000000057</v>
      </c>
      <c r="M428">
        <v>98.4</v>
      </c>
      <c r="N428">
        <v>100.3</v>
      </c>
      <c r="O428">
        <v>-0.8</v>
      </c>
    </row>
    <row r="429" spans="1:15">
      <c r="A429" t="s">
        <v>54</v>
      </c>
      <c r="B429" t="s">
        <v>15</v>
      </c>
      <c r="C429">
        <v>38</v>
      </c>
      <c r="D429">
        <v>44</v>
      </c>
      <c r="E429" s="1">
        <f t="shared" si="18"/>
        <v>0.46341463414634149</v>
      </c>
      <c r="F429" s="2">
        <v>97.3</v>
      </c>
      <c r="G429" s="2">
        <v>97</v>
      </c>
      <c r="H429" s="2">
        <f t="shared" si="19"/>
        <v>0.29999999999999716</v>
      </c>
      <c r="I429" s="1">
        <f>+(F429^14)/((F429^14+G429^14))</f>
        <v>0.51080635435585753</v>
      </c>
      <c r="J429" s="2">
        <v>102.9</v>
      </c>
      <c r="K429" s="2">
        <v>102.7</v>
      </c>
      <c r="L429" s="2">
        <f t="shared" si="20"/>
        <v>0.20000000000000284</v>
      </c>
      <c r="M429">
        <v>97.5</v>
      </c>
      <c r="N429">
        <v>94.7</v>
      </c>
      <c r="O429">
        <v>0.7</v>
      </c>
    </row>
    <row r="430" spans="1:15">
      <c r="A430" t="s">
        <v>54</v>
      </c>
      <c r="B430" t="s">
        <v>16</v>
      </c>
      <c r="C430">
        <v>56</v>
      </c>
      <c r="D430">
        <v>26</v>
      </c>
      <c r="E430" s="1">
        <f t="shared" si="18"/>
        <v>0.68292682926829273</v>
      </c>
      <c r="F430" s="2">
        <v>106.7</v>
      </c>
      <c r="G430" s="2">
        <v>100.1</v>
      </c>
      <c r="H430" s="2">
        <f t="shared" si="19"/>
        <v>6.6000000000000085</v>
      </c>
      <c r="I430" s="1">
        <f>+(F430^14)/((F430^14+G430^14))</f>
        <v>0.70969858528213514</v>
      </c>
      <c r="J430" s="2">
        <v>111.6</v>
      </c>
      <c r="K430" s="2">
        <v>104.7</v>
      </c>
      <c r="L430" s="2">
        <f t="shared" si="20"/>
        <v>6.8999999999999915</v>
      </c>
      <c r="M430">
        <v>97.9</v>
      </c>
      <c r="N430">
        <v>91</v>
      </c>
      <c r="O430">
        <v>1.1000000000000001</v>
      </c>
    </row>
    <row r="431" spans="1:15">
      <c r="A431" t="s">
        <v>54</v>
      </c>
      <c r="B431" t="s">
        <v>17</v>
      </c>
      <c r="C431">
        <v>21</v>
      </c>
      <c r="D431">
        <v>61</v>
      </c>
      <c r="E431" s="1">
        <f t="shared" si="18"/>
        <v>0.25609756097560976</v>
      </c>
      <c r="F431" s="2">
        <v>98.5</v>
      </c>
      <c r="G431" s="2">
        <v>105.3</v>
      </c>
      <c r="H431" s="2">
        <f t="shared" si="19"/>
        <v>-6.7999999999999972</v>
      </c>
      <c r="I431" s="1">
        <f>+(F431^14)/((F431^14+G431^14))</f>
        <v>0.28199317754915287</v>
      </c>
      <c r="J431" s="2">
        <v>102.3</v>
      </c>
      <c r="K431" s="2">
        <v>109.4</v>
      </c>
      <c r="L431" s="2">
        <f t="shared" si="20"/>
        <v>-7.1000000000000085</v>
      </c>
      <c r="M431">
        <v>95.5</v>
      </c>
      <c r="N431">
        <v>109.8</v>
      </c>
      <c r="O431">
        <v>-0.5</v>
      </c>
    </row>
    <row r="432" spans="1:15">
      <c r="A432" t="s">
        <v>54</v>
      </c>
      <c r="B432" t="s">
        <v>35</v>
      </c>
      <c r="C432">
        <v>55</v>
      </c>
      <c r="D432">
        <v>27</v>
      </c>
      <c r="E432" s="1">
        <f t="shared" si="18"/>
        <v>0.67073170731707321</v>
      </c>
      <c r="F432" s="2">
        <v>98.3</v>
      </c>
      <c r="G432" s="2">
        <v>95.1</v>
      </c>
      <c r="H432" s="2">
        <f t="shared" si="19"/>
        <v>3.2000000000000028</v>
      </c>
      <c r="I432" s="1">
        <f>+(F432^14)/((F432^14+G432^14))</f>
        <v>0.61380403794976324</v>
      </c>
      <c r="J432" s="2">
        <v>104.8</v>
      </c>
      <c r="K432" s="2">
        <v>101.2</v>
      </c>
      <c r="L432" s="2">
        <f t="shared" si="20"/>
        <v>3.5999999999999943</v>
      </c>
      <c r="M432">
        <v>108.7</v>
      </c>
      <c r="N432">
        <v>95.2</v>
      </c>
      <c r="O432">
        <v>0.3</v>
      </c>
    </row>
    <row r="433" spans="1:15">
      <c r="A433" t="s">
        <v>54</v>
      </c>
      <c r="B433" t="s">
        <v>18</v>
      </c>
      <c r="C433">
        <v>37</v>
      </c>
      <c r="D433">
        <v>45</v>
      </c>
      <c r="E433" s="1">
        <f t="shared" si="18"/>
        <v>0.45121951219512196</v>
      </c>
      <c r="F433" s="2">
        <v>94.7</v>
      </c>
      <c r="G433" s="2">
        <v>97.3</v>
      </c>
      <c r="H433" s="2">
        <f t="shared" si="19"/>
        <v>-2.5999999999999943</v>
      </c>
      <c r="I433" s="1">
        <f>+(F433^14)/((F433^14+G433^14))</f>
        <v>0.40632231121075763</v>
      </c>
      <c r="J433" s="2">
        <v>103.2</v>
      </c>
      <c r="K433" s="2">
        <v>106.1</v>
      </c>
      <c r="L433" s="2">
        <f t="shared" si="20"/>
        <v>-2.8999999999999915</v>
      </c>
      <c r="M433">
        <v>102.9</v>
      </c>
      <c r="N433">
        <v>91.3</v>
      </c>
      <c r="O433">
        <v>-1.1000000000000001</v>
      </c>
    </row>
    <row r="434" spans="1:15">
      <c r="A434" t="s">
        <v>54</v>
      </c>
      <c r="B434" t="s">
        <v>19</v>
      </c>
      <c r="C434">
        <v>41</v>
      </c>
      <c r="D434">
        <v>41</v>
      </c>
      <c r="E434" s="1">
        <f t="shared" si="18"/>
        <v>0.5</v>
      </c>
      <c r="F434" s="2">
        <v>97.8</v>
      </c>
      <c r="G434" s="2">
        <v>97.4</v>
      </c>
      <c r="H434" s="2">
        <f t="shared" si="19"/>
        <v>0.39999999999999147</v>
      </c>
      <c r="I434" s="1">
        <f>+(F434^14)/((F434^14+G434^14))</f>
        <v>0.51434034839194509</v>
      </c>
      <c r="J434" s="2">
        <v>102</v>
      </c>
      <c r="K434" s="2">
        <v>101.4</v>
      </c>
      <c r="L434" s="2">
        <f t="shared" si="20"/>
        <v>0.59999999999999432</v>
      </c>
      <c r="M434">
        <v>94.2</v>
      </c>
      <c r="N434">
        <v>96.2</v>
      </c>
      <c r="O434">
        <v>-1</v>
      </c>
    </row>
    <row r="435" spans="1:15">
      <c r="A435" t="s">
        <v>54</v>
      </c>
      <c r="B435" t="s">
        <v>20</v>
      </c>
      <c r="C435">
        <v>16</v>
      </c>
      <c r="D435">
        <v>66</v>
      </c>
      <c r="E435" s="1">
        <f t="shared" si="18"/>
        <v>0.1951219512195122</v>
      </c>
      <c r="F435" s="2">
        <v>97.8</v>
      </c>
      <c r="G435" s="2">
        <v>106.5</v>
      </c>
      <c r="H435" s="2">
        <f t="shared" si="19"/>
        <v>-8.7000000000000028</v>
      </c>
      <c r="I435" s="1">
        <f>+(F435^14)/((F435^14+G435^14))</f>
        <v>0.23270751266872564</v>
      </c>
      <c r="J435" s="2">
        <v>101.8</v>
      </c>
      <c r="K435" s="2">
        <v>110.9</v>
      </c>
      <c r="L435" s="2">
        <f t="shared" si="20"/>
        <v>-9.1000000000000085</v>
      </c>
      <c r="M435">
        <v>103.7</v>
      </c>
      <c r="N435">
        <v>107.6</v>
      </c>
      <c r="O435">
        <v>-0.1</v>
      </c>
    </row>
    <row r="436" spans="1:15">
      <c r="A436" t="s">
        <v>54</v>
      </c>
      <c r="B436" t="s">
        <v>53</v>
      </c>
      <c r="C436">
        <v>45</v>
      </c>
      <c r="D436">
        <v>37</v>
      </c>
      <c r="E436" s="1">
        <f t="shared" si="18"/>
        <v>0.54878048780487809</v>
      </c>
      <c r="F436" s="2">
        <v>99.4</v>
      </c>
      <c r="G436" s="2">
        <v>98.6</v>
      </c>
      <c r="H436" s="2">
        <f t="shared" si="19"/>
        <v>0.80000000000001137</v>
      </c>
      <c r="I436" s="1">
        <f>+(F436^14)/((F436^14+G436^14))</f>
        <v>0.52825285498297569</v>
      </c>
      <c r="J436" s="2">
        <v>107.1</v>
      </c>
      <c r="K436" s="2">
        <v>106.3</v>
      </c>
      <c r="L436" s="2">
        <f t="shared" si="20"/>
        <v>0.79999999999999716</v>
      </c>
      <c r="M436">
        <v>106.2</v>
      </c>
      <c r="N436">
        <v>105.3</v>
      </c>
      <c r="O436">
        <v>-0.2</v>
      </c>
    </row>
    <row r="437" spans="1:15">
      <c r="A437" t="s">
        <v>54</v>
      </c>
      <c r="B437" t="s">
        <v>22</v>
      </c>
      <c r="C437">
        <v>17</v>
      </c>
      <c r="D437">
        <v>65</v>
      </c>
      <c r="E437" s="1">
        <f t="shared" si="18"/>
        <v>0.2073170731707317</v>
      </c>
      <c r="F437" s="2">
        <v>91.9</v>
      </c>
      <c r="G437" s="2">
        <v>101.2</v>
      </c>
      <c r="H437" s="2">
        <f t="shared" si="19"/>
        <v>-9.2999999999999972</v>
      </c>
      <c r="I437" s="1">
        <f>+(F437^14)/((F437^14+G437^14))</f>
        <v>0.20594097725423322</v>
      </c>
      <c r="J437" s="2">
        <v>98.9</v>
      </c>
      <c r="K437" s="2">
        <v>109</v>
      </c>
      <c r="L437" s="2">
        <f t="shared" si="20"/>
        <v>-10.099999999999994</v>
      </c>
      <c r="M437">
        <v>91.9</v>
      </c>
      <c r="N437">
        <v>101.5</v>
      </c>
      <c r="O437">
        <v>0.6</v>
      </c>
    </row>
    <row r="438" spans="1:15">
      <c r="A438" t="s">
        <v>54</v>
      </c>
      <c r="B438" t="s">
        <v>46</v>
      </c>
      <c r="C438">
        <v>45</v>
      </c>
      <c r="D438">
        <v>37</v>
      </c>
      <c r="E438" s="1">
        <f t="shared" si="18"/>
        <v>0.54878048780487809</v>
      </c>
      <c r="F438" s="2">
        <v>104</v>
      </c>
      <c r="G438" s="2">
        <v>101.8</v>
      </c>
      <c r="H438" s="2">
        <f t="shared" si="19"/>
        <v>2.2000000000000028</v>
      </c>
      <c r="I438" s="1">
        <f>+(F438^14)/((F438^14+G438^14))</f>
        <v>0.57427899793021731</v>
      </c>
      <c r="J438" s="2">
        <v>106.7</v>
      </c>
      <c r="K438" s="2">
        <v>104.6</v>
      </c>
      <c r="L438" s="2">
        <f t="shared" si="20"/>
        <v>2.1000000000000085</v>
      </c>
      <c r="M438">
        <v>92.7</v>
      </c>
      <c r="N438">
        <v>94</v>
      </c>
      <c r="O438">
        <v>-0.5</v>
      </c>
    </row>
    <row r="439" spans="1:15">
      <c r="A439" t="s">
        <v>54</v>
      </c>
      <c r="B439" t="s">
        <v>23</v>
      </c>
      <c r="C439">
        <v>25</v>
      </c>
      <c r="D439">
        <v>57</v>
      </c>
      <c r="E439" s="1">
        <f t="shared" si="18"/>
        <v>0.3048780487804878</v>
      </c>
      <c r="F439" s="2">
        <v>95.7</v>
      </c>
      <c r="G439" s="2">
        <v>101.4</v>
      </c>
      <c r="H439" s="2">
        <f t="shared" si="19"/>
        <v>-5.7000000000000028</v>
      </c>
      <c r="I439" s="1">
        <f>+(F439^14)/((F439^14+G439^14))</f>
        <v>0.3078975070073538</v>
      </c>
      <c r="J439" s="2">
        <v>101</v>
      </c>
      <c r="K439" s="2">
        <v>106.8</v>
      </c>
      <c r="L439" s="2">
        <f t="shared" si="20"/>
        <v>-5.7999999999999972</v>
      </c>
      <c r="M439">
        <v>100</v>
      </c>
      <c r="N439">
        <v>100</v>
      </c>
      <c r="O439">
        <v>-0.5</v>
      </c>
    </row>
    <row r="440" spans="1:15">
      <c r="A440" t="s">
        <v>54</v>
      </c>
      <c r="B440" t="s">
        <v>24</v>
      </c>
      <c r="C440">
        <v>18</v>
      </c>
      <c r="D440">
        <v>64</v>
      </c>
      <c r="E440" s="1">
        <f t="shared" si="18"/>
        <v>0.21951219512195122</v>
      </c>
      <c r="F440" s="2">
        <v>92</v>
      </c>
      <c r="G440" s="2">
        <v>101</v>
      </c>
      <c r="H440" s="2">
        <f t="shared" si="19"/>
        <v>-9</v>
      </c>
      <c r="I440" s="1">
        <f>+(F440^14)/((F440^14+G440^14))</f>
        <v>0.21304843690621958</v>
      </c>
      <c r="J440" s="2">
        <v>94.9</v>
      </c>
      <c r="K440" s="2">
        <v>103.9</v>
      </c>
      <c r="L440" s="2">
        <f t="shared" si="20"/>
        <v>-9</v>
      </c>
      <c r="M440">
        <v>84.7</v>
      </c>
      <c r="N440">
        <v>91.9</v>
      </c>
      <c r="O440">
        <v>-1</v>
      </c>
    </row>
    <row r="441" spans="1:15">
      <c r="A441" t="s">
        <v>54</v>
      </c>
      <c r="B441" t="s">
        <v>25</v>
      </c>
      <c r="C441">
        <v>39</v>
      </c>
      <c r="D441">
        <v>43</v>
      </c>
      <c r="E441" s="1">
        <f t="shared" si="18"/>
        <v>0.47560975609756095</v>
      </c>
      <c r="F441" s="2">
        <v>102.4</v>
      </c>
      <c r="G441" s="2">
        <v>103.3</v>
      </c>
      <c r="H441" s="2">
        <f t="shared" si="19"/>
        <v>-0.89999999999999147</v>
      </c>
      <c r="I441" s="1">
        <f>+(F441^14)/((F441^14+G441^14))</f>
        <v>0.4694109261885151</v>
      </c>
      <c r="J441" s="2">
        <v>104.2</v>
      </c>
      <c r="K441" s="2">
        <v>105.3</v>
      </c>
      <c r="L441" s="2">
        <f t="shared" si="20"/>
        <v>-1.0999999999999943</v>
      </c>
      <c r="M441">
        <v>98</v>
      </c>
      <c r="N441">
        <v>96.5</v>
      </c>
      <c r="O441">
        <v>0.9</v>
      </c>
    </row>
    <row r="442" spans="1:15">
      <c r="A442" t="s">
        <v>54</v>
      </c>
      <c r="B442" t="s">
        <v>26</v>
      </c>
      <c r="C442">
        <v>51</v>
      </c>
      <c r="D442">
        <v>31</v>
      </c>
      <c r="E442" s="1">
        <f t="shared" si="18"/>
        <v>0.62195121951219512</v>
      </c>
      <c r="F442" s="2">
        <v>102.8</v>
      </c>
      <c r="G442" s="2">
        <v>98.6</v>
      </c>
      <c r="H442" s="2">
        <f t="shared" si="19"/>
        <v>4.2000000000000028</v>
      </c>
      <c r="I442" s="1">
        <f>+(F442^14)/((F442^14+G442^14))</f>
        <v>0.64198666077986288</v>
      </c>
      <c r="J442" s="2">
        <v>107.1</v>
      </c>
      <c r="K442" s="2">
        <v>102.8</v>
      </c>
      <c r="L442" s="2">
        <f t="shared" si="20"/>
        <v>4.2999999999999972</v>
      </c>
      <c r="M442">
        <v>114.2</v>
      </c>
      <c r="N442">
        <v>100</v>
      </c>
      <c r="O442">
        <v>1.7</v>
      </c>
    </row>
    <row r="443" spans="1:15">
      <c r="A443" t="s">
        <v>54</v>
      </c>
      <c r="B443" t="s">
        <v>27</v>
      </c>
      <c r="C443">
        <v>29</v>
      </c>
      <c r="D443">
        <v>53</v>
      </c>
      <c r="E443" s="1">
        <f t="shared" si="18"/>
        <v>0.35365853658536583</v>
      </c>
      <c r="F443" s="2">
        <v>101.3</v>
      </c>
      <c r="G443" s="2">
        <v>105</v>
      </c>
      <c r="H443" s="2">
        <f t="shared" si="19"/>
        <v>-3.7000000000000028</v>
      </c>
      <c r="I443" s="1">
        <f>+(F443^14)/((F443^14+G443^14))</f>
        <v>0.37701554546274013</v>
      </c>
      <c r="J443" s="2">
        <v>104.5</v>
      </c>
      <c r="K443" s="2">
        <v>108.2</v>
      </c>
      <c r="L443" s="2">
        <f t="shared" si="20"/>
        <v>-3.7000000000000028</v>
      </c>
      <c r="M443">
        <v>99.6</v>
      </c>
      <c r="N443">
        <v>108.6</v>
      </c>
      <c r="O443">
        <v>-1.2</v>
      </c>
    </row>
    <row r="444" spans="1:15">
      <c r="A444" t="s">
        <v>54</v>
      </c>
      <c r="B444" t="s">
        <v>28</v>
      </c>
      <c r="C444">
        <v>55</v>
      </c>
      <c r="D444">
        <v>27</v>
      </c>
      <c r="E444" s="1">
        <f t="shared" si="18"/>
        <v>0.67073170731707321</v>
      </c>
      <c r="F444" s="2">
        <v>103.2</v>
      </c>
      <c r="G444" s="2">
        <v>97</v>
      </c>
      <c r="H444" s="2">
        <f t="shared" si="19"/>
        <v>6.2000000000000028</v>
      </c>
      <c r="I444" s="1">
        <f>+(F444^14)/((F444^14+G444^14))</f>
        <v>0.70420653798027644</v>
      </c>
      <c r="J444" s="2">
        <v>107.6</v>
      </c>
      <c r="K444" s="2">
        <v>101.4</v>
      </c>
      <c r="L444" s="2">
        <f t="shared" si="20"/>
        <v>6.1999999999999886</v>
      </c>
      <c r="M444">
        <v>95.5</v>
      </c>
      <c r="N444">
        <v>97.1</v>
      </c>
      <c r="O444">
        <v>0.9</v>
      </c>
    </row>
    <row r="445" spans="1:15">
      <c r="A445" t="s">
        <v>54</v>
      </c>
      <c r="B445" t="s">
        <v>30</v>
      </c>
      <c r="C445">
        <v>49</v>
      </c>
      <c r="D445">
        <v>33</v>
      </c>
      <c r="E445" s="1">
        <f t="shared" si="18"/>
        <v>0.59756097560975607</v>
      </c>
      <c r="F445" s="2">
        <v>104</v>
      </c>
      <c r="G445" s="2">
        <v>100.9</v>
      </c>
      <c r="H445" s="2">
        <f t="shared" si="19"/>
        <v>3.0999999999999943</v>
      </c>
      <c r="I445" s="1">
        <f>+(F445^14)/((F445^14+G445^14))</f>
        <v>0.60435719403948929</v>
      </c>
      <c r="J445" s="2">
        <v>110.2</v>
      </c>
      <c r="K445" s="2">
        <v>107.1</v>
      </c>
      <c r="L445" s="2">
        <f t="shared" si="20"/>
        <v>3.1000000000000085</v>
      </c>
      <c r="M445">
        <v>104.4</v>
      </c>
      <c r="N445">
        <v>108.7</v>
      </c>
      <c r="O445">
        <v>0.3</v>
      </c>
    </row>
    <row r="446" spans="1:15">
      <c r="A446" t="s">
        <v>54</v>
      </c>
      <c r="B446" t="s">
        <v>31</v>
      </c>
      <c r="C446">
        <v>38</v>
      </c>
      <c r="D446">
        <v>44</v>
      </c>
      <c r="E446" s="1">
        <f t="shared" si="18"/>
        <v>0.46341463414634149</v>
      </c>
      <c r="F446" s="2">
        <v>95.1</v>
      </c>
      <c r="G446" s="2">
        <v>94.9</v>
      </c>
      <c r="H446" s="2">
        <f t="shared" si="19"/>
        <v>0.19999999999998863</v>
      </c>
      <c r="I446" s="1">
        <f>+(F446^14)/((F446^14+G446^14))</f>
        <v>0.50736789040877028</v>
      </c>
      <c r="J446" s="2">
        <v>104.2</v>
      </c>
      <c r="K446" s="2">
        <v>104.1</v>
      </c>
      <c r="L446" s="2">
        <f t="shared" si="20"/>
        <v>0.10000000000000853</v>
      </c>
      <c r="M446">
        <v>95.5</v>
      </c>
      <c r="N446">
        <v>97.3</v>
      </c>
      <c r="O446">
        <v>-0.2</v>
      </c>
    </row>
    <row r="447" spans="1:15">
      <c r="A447" t="s">
        <v>54</v>
      </c>
      <c r="B447" t="s">
        <v>33</v>
      </c>
      <c r="C447">
        <v>46</v>
      </c>
      <c r="D447">
        <v>36</v>
      </c>
      <c r="E447" s="1">
        <f t="shared" si="18"/>
        <v>0.56097560975609762</v>
      </c>
      <c r="F447" s="2">
        <v>98.5</v>
      </c>
      <c r="G447" s="2">
        <v>97.8</v>
      </c>
      <c r="H447" s="2">
        <f t="shared" si="19"/>
        <v>0.70000000000000284</v>
      </c>
      <c r="I447" s="1">
        <f>+(F447^14)/((F447^14+G447^14))</f>
        <v>0.52494118140879675</v>
      </c>
      <c r="J447" s="2">
        <v>103</v>
      </c>
      <c r="K447" s="2">
        <v>102.4</v>
      </c>
      <c r="L447" s="2">
        <f t="shared" si="20"/>
        <v>0.59999999999999432</v>
      </c>
      <c r="M447">
        <v>89.6</v>
      </c>
      <c r="N447">
        <v>104</v>
      </c>
      <c r="O447">
        <v>-1.7</v>
      </c>
    </row>
    <row r="448" spans="1:15">
      <c r="A448" t="s">
        <v>55</v>
      </c>
      <c r="B448" t="s">
        <v>5</v>
      </c>
      <c r="C448">
        <v>48</v>
      </c>
      <c r="D448">
        <v>34</v>
      </c>
      <c r="E448" s="1">
        <f t="shared" si="18"/>
        <v>0.58536585365853655</v>
      </c>
      <c r="F448" s="2">
        <v>102.8</v>
      </c>
      <c r="G448" s="2">
        <v>99.2</v>
      </c>
      <c r="H448" s="2">
        <f t="shared" si="19"/>
        <v>3.5999999999999943</v>
      </c>
      <c r="I448" s="1">
        <f>+(F448^14)/((F448^14+G448^14))</f>
        <v>0.62223904687782716</v>
      </c>
      <c r="J448" s="2">
        <v>104.6</v>
      </c>
      <c r="K448" s="2">
        <v>100.8</v>
      </c>
      <c r="L448" s="2">
        <f t="shared" si="20"/>
        <v>3.7999999999999972</v>
      </c>
      <c r="M448">
        <v>104.5</v>
      </c>
      <c r="N448">
        <v>98</v>
      </c>
      <c r="O448">
        <v>2.4</v>
      </c>
    </row>
    <row r="449" spans="1:15">
      <c r="A449" t="s">
        <v>55</v>
      </c>
      <c r="B449" t="s">
        <v>6</v>
      </c>
      <c r="C449">
        <v>48</v>
      </c>
      <c r="D449">
        <v>34</v>
      </c>
      <c r="E449" s="1">
        <f t="shared" si="18"/>
        <v>0.58536585365853655</v>
      </c>
      <c r="F449" s="2">
        <v>105.7</v>
      </c>
      <c r="G449" s="2">
        <v>102.5</v>
      </c>
      <c r="H449" s="2">
        <f t="shared" si="19"/>
        <v>3.2000000000000028</v>
      </c>
      <c r="I449" s="1">
        <f>+(F449^14)/((F449^14+G449^14))</f>
        <v>0.60596663066011414</v>
      </c>
      <c r="J449" s="2">
        <v>105.8</v>
      </c>
      <c r="K449" s="2">
        <v>102.5</v>
      </c>
      <c r="L449" s="2">
        <f t="shared" si="20"/>
        <v>3.2999999999999972</v>
      </c>
      <c r="M449">
        <v>112</v>
      </c>
      <c r="N449">
        <v>105.7</v>
      </c>
      <c r="O449">
        <v>0.2</v>
      </c>
    </row>
    <row r="450" spans="1:15">
      <c r="A450" t="s">
        <v>55</v>
      </c>
      <c r="B450" t="s">
        <v>51</v>
      </c>
      <c r="C450">
        <v>21</v>
      </c>
      <c r="D450">
        <v>61</v>
      </c>
      <c r="E450" s="1">
        <f t="shared" si="18"/>
        <v>0.25609756097560976</v>
      </c>
      <c r="F450" s="2">
        <v>98.6</v>
      </c>
      <c r="G450" s="2">
        <v>106</v>
      </c>
      <c r="H450" s="2">
        <f t="shared" si="19"/>
        <v>-7.4000000000000057</v>
      </c>
      <c r="I450" s="1">
        <f>+(F450^14)/((F450^14+G450^14))</f>
        <v>0.26636391076495491</v>
      </c>
      <c r="J450" s="2">
        <v>102.4</v>
      </c>
      <c r="K450" s="2">
        <v>109.7</v>
      </c>
      <c r="L450" s="2">
        <f t="shared" si="20"/>
        <v>-7.2999999999999972</v>
      </c>
      <c r="M450">
        <v>96.9</v>
      </c>
      <c r="N450">
        <v>104</v>
      </c>
      <c r="O450">
        <v>-1.8</v>
      </c>
    </row>
    <row r="451" spans="1:15">
      <c r="A451" t="s">
        <v>55</v>
      </c>
      <c r="B451" t="s">
        <v>7</v>
      </c>
      <c r="C451">
        <v>48</v>
      </c>
      <c r="D451">
        <v>34</v>
      </c>
      <c r="E451" s="1">
        <f t="shared" ref="E451:E514" si="21">+C451/(C451+D451)</f>
        <v>0.58536585365853655</v>
      </c>
      <c r="F451" s="2">
        <v>103.4</v>
      </c>
      <c r="G451" s="2">
        <v>100.7</v>
      </c>
      <c r="H451" s="2">
        <f t="shared" ref="H451:H514" si="22">+F451-G451</f>
        <v>2.7000000000000028</v>
      </c>
      <c r="I451" s="1">
        <f>+(F451^14)/((F451^14+G451^14))</f>
        <v>0.59156246020875802</v>
      </c>
      <c r="J451" s="2">
        <v>106.4</v>
      </c>
      <c r="K451" s="2">
        <v>103.7</v>
      </c>
      <c r="L451" s="2">
        <f t="shared" ref="L451:L514" si="23">+J451-K451</f>
        <v>2.7000000000000028</v>
      </c>
      <c r="M451">
        <v>106</v>
      </c>
      <c r="N451">
        <v>95.3</v>
      </c>
      <c r="O451">
        <v>0.6</v>
      </c>
    </row>
    <row r="452" spans="1:15">
      <c r="A452" t="s">
        <v>55</v>
      </c>
      <c r="B452" t="s">
        <v>8</v>
      </c>
      <c r="C452">
        <v>42</v>
      </c>
      <c r="D452">
        <v>40</v>
      </c>
      <c r="E452" s="1">
        <f t="shared" si="21"/>
        <v>0.51219512195121952</v>
      </c>
      <c r="F452" s="2">
        <v>101.6</v>
      </c>
      <c r="G452" s="2">
        <v>103.1</v>
      </c>
      <c r="H452" s="2">
        <f t="shared" si="22"/>
        <v>-1.5</v>
      </c>
      <c r="I452" s="1">
        <f>+(F452^14)/((F452^14+G452^14))</f>
        <v>0.44888371019614143</v>
      </c>
      <c r="J452" s="2">
        <v>104.1</v>
      </c>
      <c r="K452" s="2">
        <v>105.5</v>
      </c>
      <c r="L452" s="2">
        <f t="shared" si="23"/>
        <v>-1.4000000000000057</v>
      </c>
      <c r="M452">
        <v>95.5</v>
      </c>
      <c r="N452">
        <v>100</v>
      </c>
      <c r="O452">
        <v>-0.7</v>
      </c>
    </row>
    <row r="453" spans="1:15">
      <c r="A453" t="s">
        <v>55</v>
      </c>
      <c r="B453" t="s">
        <v>9</v>
      </c>
      <c r="C453">
        <v>57</v>
      </c>
      <c r="D453">
        <v>25</v>
      </c>
      <c r="E453" s="1">
        <f t="shared" si="21"/>
        <v>0.69512195121951215</v>
      </c>
      <c r="F453" s="2">
        <v>104.3</v>
      </c>
      <c r="G453" s="2">
        <v>98.3</v>
      </c>
      <c r="H453" s="2">
        <f t="shared" si="22"/>
        <v>6</v>
      </c>
      <c r="I453" s="1">
        <f>+(F453^14)/((F453^14+G453^14))</f>
        <v>0.6962413060313849</v>
      </c>
      <c r="J453" s="2">
        <v>110.2</v>
      </c>
      <c r="K453" s="2">
        <v>103.9</v>
      </c>
      <c r="L453" s="2">
        <f t="shared" si="23"/>
        <v>6.2999999999999972</v>
      </c>
      <c r="M453">
        <v>103.4</v>
      </c>
      <c r="N453">
        <v>98</v>
      </c>
      <c r="O453">
        <v>0.7</v>
      </c>
    </row>
    <row r="454" spans="1:15">
      <c r="A454" t="s">
        <v>55</v>
      </c>
      <c r="B454" t="s">
        <v>10</v>
      </c>
      <c r="C454">
        <v>42</v>
      </c>
      <c r="D454">
        <v>40</v>
      </c>
      <c r="E454" s="1">
        <f t="shared" si="21"/>
        <v>0.51219512195121952</v>
      </c>
      <c r="F454" s="2">
        <v>102.3</v>
      </c>
      <c r="G454" s="2">
        <v>102.6</v>
      </c>
      <c r="H454" s="2">
        <f t="shared" si="22"/>
        <v>-0.29999999999999716</v>
      </c>
      <c r="I454" s="1">
        <f>+(F454^14)/((F454^14+G454^14))</f>
        <v>0.4897525259278111</v>
      </c>
      <c r="J454" s="2">
        <v>105.5</v>
      </c>
      <c r="K454" s="2">
        <v>105.9</v>
      </c>
      <c r="L454" s="2">
        <f t="shared" si="23"/>
        <v>-0.40000000000000568</v>
      </c>
      <c r="M454">
        <v>113.5</v>
      </c>
      <c r="N454">
        <v>99.1</v>
      </c>
      <c r="O454">
        <v>0.3</v>
      </c>
    </row>
    <row r="455" spans="1:15">
      <c r="A455" t="s">
        <v>55</v>
      </c>
      <c r="B455" t="s">
        <v>11</v>
      </c>
      <c r="C455">
        <v>33</v>
      </c>
      <c r="D455">
        <v>49</v>
      </c>
      <c r="E455" s="1">
        <f t="shared" si="21"/>
        <v>0.40243902439024393</v>
      </c>
      <c r="F455" s="2">
        <v>101.9</v>
      </c>
      <c r="G455" s="2">
        <v>105</v>
      </c>
      <c r="H455" s="2">
        <f t="shared" si="22"/>
        <v>-3.0999999999999943</v>
      </c>
      <c r="I455" s="1">
        <f>+(F455^14)/((F455^14+G455^14))</f>
        <v>0.39662258414921886</v>
      </c>
      <c r="J455" s="2">
        <v>104.9</v>
      </c>
      <c r="K455" s="2">
        <v>108.2</v>
      </c>
      <c r="L455" s="2">
        <f t="shared" si="23"/>
        <v>-3.2999999999999972</v>
      </c>
      <c r="M455">
        <v>89.7</v>
      </c>
      <c r="N455">
        <v>96</v>
      </c>
      <c r="O455">
        <v>-0.2</v>
      </c>
    </row>
    <row r="456" spans="1:15">
      <c r="A456" t="s">
        <v>55</v>
      </c>
      <c r="B456" t="s">
        <v>12</v>
      </c>
      <c r="C456">
        <v>44</v>
      </c>
      <c r="D456">
        <v>38</v>
      </c>
      <c r="E456" s="1">
        <f t="shared" si="21"/>
        <v>0.53658536585365857</v>
      </c>
      <c r="F456" s="2">
        <v>102</v>
      </c>
      <c r="G456" s="2">
        <v>101.4</v>
      </c>
      <c r="H456" s="2">
        <f t="shared" si="22"/>
        <v>0.59999999999999432</v>
      </c>
      <c r="I456" s="1">
        <f>+(F456^14)/((F456^14+G456^14))</f>
        <v>0.52063729627420186</v>
      </c>
      <c r="J456" s="2">
        <v>105.3</v>
      </c>
      <c r="K456" s="2">
        <v>104.9</v>
      </c>
      <c r="L456" s="2">
        <f t="shared" si="23"/>
        <v>0.39999999999999147</v>
      </c>
      <c r="M456">
        <v>104.4</v>
      </c>
      <c r="N456">
        <v>93.9</v>
      </c>
      <c r="O456">
        <v>1.5</v>
      </c>
    </row>
    <row r="457" spans="1:15">
      <c r="A457" t="s">
        <v>55</v>
      </c>
      <c r="B457" t="s">
        <v>13</v>
      </c>
      <c r="C457">
        <v>73</v>
      </c>
      <c r="D457">
        <v>9</v>
      </c>
      <c r="E457" s="1">
        <f t="shared" si="21"/>
        <v>0.8902439024390244</v>
      </c>
      <c r="F457" s="2">
        <v>114.9</v>
      </c>
      <c r="G457" s="2">
        <v>104.1</v>
      </c>
      <c r="H457" s="2">
        <f t="shared" si="22"/>
        <v>10.800000000000011</v>
      </c>
      <c r="I457" s="1">
        <f>+(F457^14)/((F457^14+G457^14))</f>
        <v>0.7993028619398963</v>
      </c>
      <c r="J457" s="2">
        <v>113.5</v>
      </c>
      <c r="K457" s="2">
        <v>102.8</v>
      </c>
      <c r="L457" s="2">
        <f t="shared" si="23"/>
        <v>10.700000000000003</v>
      </c>
      <c r="M457">
        <v>117</v>
      </c>
      <c r="N457">
        <v>81.099999999999994</v>
      </c>
      <c r="O457">
        <v>0.4</v>
      </c>
    </row>
    <row r="458" spans="1:15">
      <c r="A458" t="s">
        <v>55</v>
      </c>
      <c r="B458" t="s">
        <v>14</v>
      </c>
      <c r="C458">
        <v>41</v>
      </c>
      <c r="D458">
        <v>41</v>
      </c>
      <c r="E458" s="1">
        <f t="shared" si="21"/>
        <v>0.5</v>
      </c>
      <c r="F458" s="2">
        <v>106.5</v>
      </c>
      <c r="G458" s="2">
        <v>106.4</v>
      </c>
      <c r="H458" s="2">
        <f t="shared" si="22"/>
        <v>9.9999999999994316E-2</v>
      </c>
      <c r="I458" s="1">
        <f>+(F458^14)/((F458^14+G458^14))</f>
        <v>0.50328788145549319</v>
      </c>
      <c r="J458" s="2">
        <v>107.3</v>
      </c>
      <c r="K458" s="2">
        <v>107.3</v>
      </c>
      <c r="L458" s="2">
        <f t="shared" si="23"/>
        <v>0</v>
      </c>
      <c r="M458">
        <v>107.3</v>
      </c>
      <c r="N458">
        <v>96</v>
      </c>
      <c r="O458">
        <v>1</v>
      </c>
    </row>
    <row r="459" spans="1:15">
      <c r="A459" t="s">
        <v>55</v>
      </c>
      <c r="B459" t="s">
        <v>15</v>
      </c>
      <c r="C459">
        <v>45</v>
      </c>
      <c r="D459">
        <v>37</v>
      </c>
      <c r="E459" s="1">
        <f t="shared" si="21"/>
        <v>0.54878048780487809</v>
      </c>
      <c r="F459" s="2">
        <v>102.2</v>
      </c>
      <c r="G459" s="2">
        <v>100.5</v>
      </c>
      <c r="H459" s="2">
        <f t="shared" si="22"/>
        <v>1.7000000000000028</v>
      </c>
      <c r="I459" s="1">
        <f>+(F459^14)/((F459^14+G459^14))</f>
        <v>0.55844050126148148</v>
      </c>
      <c r="J459" s="2">
        <v>103.8</v>
      </c>
      <c r="K459" s="2">
        <v>102.2</v>
      </c>
      <c r="L459" s="2">
        <f t="shared" si="23"/>
        <v>1.5999999999999943</v>
      </c>
      <c r="M459">
        <v>97.1</v>
      </c>
      <c r="N459">
        <v>103.7</v>
      </c>
      <c r="O459">
        <v>0.7</v>
      </c>
    </row>
    <row r="460" spans="1:15">
      <c r="A460" t="s">
        <v>55</v>
      </c>
      <c r="B460" t="s">
        <v>56</v>
      </c>
      <c r="C460">
        <v>53</v>
      </c>
      <c r="D460">
        <v>29</v>
      </c>
      <c r="E460" s="1">
        <f t="shared" si="21"/>
        <v>0.64634146341463417</v>
      </c>
      <c r="F460" s="2">
        <v>104.5</v>
      </c>
      <c r="G460" s="2">
        <v>100.2</v>
      </c>
      <c r="H460" s="2">
        <f t="shared" si="22"/>
        <v>4.2999999999999972</v>
      </c>
      <c r="I460" s="1">
        <f>+(F460^14)/((F460^14+G460^14))</f>
        <v>0.64296680993487854</v>
      </c>
      <c r="J460" s="2">
        <v>107.2</v>
      </c>
      <c r="K460" s="2">
        <v>102.7</v>
      </c>
      <c r="L460" s="2">
        <f t="shared" si="23"/>
        <v>4.5</v>
      </c>
      <c r="M460">
        <v>111.5</v>
      </c>
      <c r="N460">
        <v>102.8</v>
      </c>
      <c r="O460">
        <v>-0.2</v>
      </c>
    </row>
    <row r="461" spans="1:15">
      <c r="A461" t="s">
        <v>55</v>
      </c>
      <c r="B461" t="s">
        <v>17</v>
      </c>
      <c r="C461">
        <v>17</v>
      </c>
      <c r="D461">
        <v>65</v>
      </c>
      <c r="E461" s="1">
        <f t="shared" si="21"/>
        <v>0.2073170731707317</v>
      </c>
      <c r="F461" s="2">
        <v>97.3</v>
      </c>
      <c r="G461" s="2">
        <v>106.9</v>
      </c>
      <c r="H461" s="2">
        <f t="shared" si="22"/>
        <v>-9.6000000000000085</v>
      </c>
      <c r="I461" s="1">
        <f>+(F461^14)/((F461^14+G461^14))</f>
        <v>0.21126325417773295</v>
      </c>
      <c r="J461" s="2">
        <v>100.7</v>
      </c>
      <c r="K461" s="2">
        <v>110.3</v>
      </c>
      <c r="L461" s="2">
        <f t="shared" si="23"/>
        <v>-9.5999999999999943</v>
      </c>
      <c r="M461">
        <v>108.9</v>
      </c>
      <c r="N461">
        <v>116.7</v>
      </c>
      <c r="O461">
        <v>-0.1</v>
      </c>
    </row>
    <row r="462" spans="1:15">
      <c r="A462" t="s">
        <v>55</v>
      </c>
      <c r="B462" t="s">
        <v>35</v>
      </c>
      <c r="C462">
        <v>42</v>
      </c>
      <c r="D462">
        <v>40</v>
      </c>
      <c r="E462" s="1">
        <f t="shared" si="21"/>
        <v>0.51219512195121952</v>
      </c>
      <c r="F462" s="2">
        <v>99.1</v>
      </c>
      <c r="G462" s="2">
        <v>101.3</v>
      </c>
      <c r="H462" s="2">
        <f t="shared" si="22"/>
        <v>-2.2000000000000028</v>
      </c>
      <c r="I462" s="1">
        <f>+(F462^14)/((F462^14+G462^14))</f>
        <v>0.42375008711442541</v>
      </c>
      <c r="J462" s="2">
        <v>104.7</v>
      </c>
      <c r="K462" s="2">
        <v>107.1</v>
      </c>
      <c r="L462" s="2">
        <f t="shared" si="23"/>
        <v>-2.3999999999999915</v>
      </c>
      <c r="M462">
        <v>105.9</v>
      </c>
      <c r="N462">
        <v>94.5</v>
      </c>
      <c r="O462">
        <v>-0.1</v>
      </c>
    </row>
    <row r="463" spans="1:15">
      <c r="A463" t="s">
        <v>55</v>
      </c>
      <c r="B463" t="s">
        <v>18</v>
      </c>
      <c r="C463">
        <v>48</v>
      </c>
      <c r="D463">
        <v>34</v>
      </c>
      <c r="E463" s="1">
        <f t="shared" si="21"/>
        <v>0.58536585365853655</v>
      </c>
      <c r="F463" s="2">
        <v>100</v>
      </c>
      <c r="G463" s="2">
        <v>98.4</v>
      </c>
      <c r="H463" s="2">
        <f t="shared" si="22"/>
        <v>1.5999999999999943</v>
      </c>
      <c r="I463" s="1">
        <f>+(F463^14)/((F463^14+G463^14))</f>
        <v>0.55621417253941718</v>
      </c>
      <c r="J463" s="2">
        <v>105.5</v>
      </c>
      <c r="K463" s="2">
        <v>103.7</v>
      </c>
      <c r="L463" s="2">
        <f t="shared" si="23"/>
        <v>1.7999999999999972</v>
      </c>
      <c r="M463">
        <v>111.1</v>
      </c>
      <c r="N463">
        <v>95.2</v>
      </c>
      <c r="O463">
        <v>0.8</v>
      </c>
    </row>
    <row r="464" spans="1:15">
      <c r="A464" t="s">
        <v>55</v>
      </c>
      <c r="B464" t="s">
        <v>19</v>
      </c>
      <c r="C464">
        <v>33</v>
      </c>
      <c r="D464">
        <v>49</v>
      </c>
      <c r="E464" s="1">
        <f t="shared" si="21"/>
        <v>0.40243902439024393</v>
      </c>
      <c r="F464" s="2">
        <v>99</v>
      </c>
      <c r="G464" s="2">
        <v>103.2</v>
      </c>
      <c r="H464" s="2">
        <f t="shared" si="22"/>
        <v>-4.2000000000000028</v>
      </c>
      <c r="I464" s="1">
        <f>+(F464^14)/((F464^14+G464^14))</f>
        <v>0.35854472804772958</v>
      </c>
      <c r="J464" s="2">
        <v>103.4</v>
      </c>
      <c r="K464" s="2">
        <v>107.8</v>
      </c>
      <c r="L464" s="2">
        <f t="shared" si="23"/>
        <v>-4.3999999999999915</v>
      </c>
      <c r="M464">
        <v>101.2</v>
      </c>
      <c r="N464">
        <v>95</v>
      </c>
      <c r="O464">
        <v>-1.5</v>
      </c>
    </row>
    <row r="465" spans="1:15">
      <c r="A465" t="s">
        <v>55</v>
      </c>
      <c r="B465" t="s">
        <v>20</v>
      </c>
      <c r="C465">
        <v>29</v>
      </c>
      <c r="D465">
        <v>53</v>
      </c>
      <c r="E465" s="1">
        <f t="shared" si="21"/>
        <v>0.35365853658536583</v>
      </c>
      <c r="F465" s="2">
        <v>102.4</v>
      </c>
      <c r="G465" s="2">
        <v>106</v>
      </c>
      <c r="H465" s="2">
        <f t="shared" si="22"/>
        <v>-3.5999999999999943</v>
      </c>
      <c r="I465" s="1">
        <f>+(F465^14)/((F465^14+G465^14))</f>
        <v>0.38137093948309719</v>
      </c>
      <c r="J465" s="2">
        <v>105.4</v>
      </c>
      <c r="K465" s="2">
        <v>109</v>
      </c>
      <c r="L465" s="2">
        <f t="shared" si="23"/>
        <v>-3.5999999999999943</v>
      </c>
      <c r="M465">
        <v>98.6</v>
      </c>
      <c r="N465">
        <v>102.2</v>
      </c>
      <c r="O465">
        <v>0.1</v>
      </c>
    </row>
    <row r="466" spans="1:15">
      <c r="A466" t="s">
        <v>55</v>
      </c>
      <c r="B466" t="s">
        <v>53</v>
      </c>
      <c r="C466">
        <v>30</v>
      </c>
      <c r="D466">
        <v>52</v>
      </c>
      <c r="E466" s="1">
        <f t="shared" si="21"/>
        <v>0.36585365853658536</v>
      </c>
      <c r="F466" s="2">
        <v>102.7</v>
      </c>
      <c r="G466" s="2">
        <v>106.5</v>
      </c>
      <c r="H466" s="2">
        <f t="shared" si="22"/>
        <v>-3.7999999999999972</v>
      </c>
      <c r="I466" s="1">
        <f>+(F466^14)/((F466^14+G466^14))</f>
        <v>0.37550766895906917</v>
      </c>
      <c r="J466" s="2">
        <v>104.8</v>
      </c>
      <c r="K466" s="2">
        <v>108.4</v>
      </c>
      <c r="L466" s="2">
        <f t="shared" si="23"/>
        <v>-3.6000000000000085</v>
      </c>
      <c r="M466">
        <v>106.8</v>
      </c>
      <c r="N466">
        <v>111.8</v>
      </c>
      <c r="O466">
        <v>-0.6</v>
      </c>
    </row>
    <row r="467" spans="1:15">
      <c r="A467" t="s">
        <v>55</v>
      </c>
      <c r="B467" t="s">
        <v>22</v>
      </c>
      <c r="C467">
        <v>32</v>
      </c>
      <c r="D467">
        <v>50</v>
      </c>
      <c r="E467" s="1">
        <f t="shared" si="21"/>
        <v>0.3902439024390244</v>
      </c>
      <c r="F467" s="2">
        <v>98.4</v>
      </c>
      <c r="G467" s="2">
        <v>101.1</v>
      </c>
      <c r="H467" s="2">
        <f t="shared" si="22"/>
        <v>-2.6999999999999886</v>
      </c>
      <c r="I467" s="1">
        <f>+(F467^14)/((F467^14+G467^14))</f>
        <v>0.40637522210212157</v>
      </c>
      <c r="J467" s="2">
        <v>103.9</v>
      </c>
      <c r="K467" s="2">
        <v>106.7</v>
      </c>
      <c r="L467" s="2">
        <f t="shared" si="23"/>
        <v>-2.7999999999999972</v>
      </c>
      <c r="M467">
        <v>100.9</v>
      </c>
      <c r="N467">
        <v>112</v>
      </c>
      <c r="O467">
        <v>-2.2000000000000002</v>
      </c>
    </row>
    <row r="468" spans="1:15">
      <c r="A468" t="s">
        <v>55</v>
      </c>
      <c r="B468" t="s">
        <v>46</v>
      </c>
      <c r="C468">
        <v>55</v>
      </c>
      <c r="D468">
        <v>27</v>
      </c>
      <c r="E468" s="1">
        <f t="shared" si="21"/>
        <v>0.67073170731707321</v>
      </c>
      <c r="F468" s="2">
        <v>110.2</v>
      </c>
      <c r="G468" s="2">
        <v>102.9</v>
      </c>
      <c r="H468" s="2">
        <f t="shared" si="22"/>
        <v>7.2999999999999972</v>
      </c>
      <c r="I468" s="1">
        <f>+(F468^14)/((F468^14+G468^14))</f>
        <v>0.72303160932792188</v>
      </c>
      <c r="J468" s="2">
        <v>112.1</v>
      </c>
      <c r="K468" s="2">
        <v>104.8</v>
      </c>
      <c r="L468" s="2">
        <f t="shared" si="23"/>
        <v>7.2999999999999972</v>
      </c>
      <c r="M468">
        <v>102.2</v>
      </c>
      <c r="N468">
        <v>110.7</v>
      </c>
      <c r="O468">
        <v>0</v>
      </c>
    </row>
    <row r="469" spans="1:15">
      <c r="A469" t="s">
        <v>55</v>
      </c>
      <c r="B469" t="s">
        <v>23</v>
      </c>
      <c r="C469">
        <v>35</v>
      </c>
      <c r="D469">
        <v>47</v>
      </c>
      <c r="E469" s="1">
        <f t="shared" si="21"/>
        <v>0.42682926829268292</v>
      </c>
      <c r="F469" s="2">
        <v>102.1</v>
      </c>
      <c r="G469" s="2">
        <v>103.7</v>
      </c>
      <c r="H469" s="2">
        <f t="shared" si="22"/>
        <v>-1.6000000000000085</v>
      </c>
      <c r="I469" s="1">
        <f>+(F469^14)/((F469^14+G469^14))</f>
        <v>0.44579104414763582</v>
      </c>
      <c r="J469" s="2">
        <v>104.4</v>
      </c>
      <c r="K469" s="2">
        <v>106</v>
      </c>
      <c r="L469" s="2">
        <f t="shared" si="23"/>
        <v>-1.5999999999999943</v>
      </c>
      <c r="M469">
        <v>94.2</v>
      </c>
      <c r="N469">
        <v>97.3</v>
      </c>
      <c r="O469">
        <v>-0.7</v>
      </c>
    </row>
    <row r="470" spans="1:15">
      <c r="A470" t="s">
        <v>55</v>
      </c>
      <c r="B470" t="s">
        <v>24</v>
      </c>
      <c r="C470">
        <v>10</v>
      </c>
      <c r="D470">
        <v>72</v>
      </c>
      <c r="E470" s="1">
        <f t="shared" si="21"/>
        <v>0.12195121951219512</v>
      </c>
      <c r="F470" s="2">
        <v>97.4</v>
      </c>
      <c r="G470" s="2">
        <v>107.6</v>
      </c>
      <c r="H470" s="2">
        <f t="shared" si="22"/>
        <v>-10.199999999999989</v>
      </c>
      <c r="I470" s="1">
        <f>+(F470^14)/((F470^14+G470^14))</f>
        <v>0.1987186515098173</v>
      </c>
      <c r="J470" s="2">
        <v>98.4</v>
      </c>
      <c r="K470" s="2">
        <v>108.6</v>
      </c>
      <c r="L470" s="2">
        <f t="shared" si="23"/>
        <v>-10.199999999999989</v>
      </c>
      <c r="M470">
        <v>78.599999999999994</v>
      </c>
      <c r="N470">
        <v>123.5</v>
      </c>
      <c r="O470">
        <v>-2</v>
      </c>
    </row>
    <row r="471" spans="1:15">
      <c r="A471" t="s">
        <v>55</v>
      </c>
      <c r="B471" t="s">
        <v>25</v>
      </c>
      <c r="C471">
        <v>23</v>
      </c>
      <c r="D471">
        <v>59</v>
      </c>
      <c r="E471" s="1">
        <f t="shared" si="21"/>
        <v>0.28048780487804881</v>
      </c>
      <c r="F471" s="2">
        <v>100.9</v>
      </c>
      <c r="G471" s="2">
        <v>107.5</v>
      </c>
      <c r="H471" s="2">
        <f t="shared" si="22"/>
        <v>-6.5999999999999943</v>
      </c>
      <c r="I471" s="1">
        <f>+(F471^14)/((F471^14+G471^14))</f>
        <v>0.29171838314513582</v>
      </c>
      <c r="J471" s="2">
        <v>101.5</v>
      </c>
      <c r="K471" s="2">
        <v>107.9</v>
      </c>
      <c r="L471" s="2">
        <f t="shared" si="23"/>
        <v>-6.4000000000000057</v>
      </c>
      <c r="M471">
        <v>88.7</v>
      </c>
      <c r="N471">
        <v>116.2</v>
      </c>
      <c r="O471">
        <v>-1.7</v>
      </c>
    </row>
    <row r="472" spans="1:15">
      <c r="A472" t="s">
        <v>55</v>
      </c>
      <c r="B472" t="s">
        <v>26</v>
      </c>
      <c r="C472">
        <v>44</v>
      </c>
      <c r="D472">
        <v>38</v>
      </c>
      <c r="E472" s="1">
        <f t="shared" si="21"/>
        <v>0.53658536585365857</v>
      </c>
      <c r="F472" s="2">
        <v>105.1</v>
      </c>
      <c r="G472" s="2">
        <v>104.3</v>
      </c>
      <c r="H472" s="2">
        <f t="shared" si="22"/>
        <v>0.79999999999999716</v>
      </c>
      <c r="I472" s="1">
        <f>+(F472^14)/((F472^14+G472^14))</f>
        <v>0.52671773242887121</v>
      </c>
      <c r="J472" s="2">
        <v>107.6</v>
      </c>
      <c r="K472" s="2">
        <v>106.8</v>
      </c>
      <c r="L472" s="2">
        <f t="shared" si="23"/>
        <v>0.79999999999999716</v>
      </c>
      <c r="M472">
        <v>106.2</v>
      </c>
      <c r="N472">
        <v>108.1</v>
      </c>
      <c r="O472">
        <v>-0.3</v>
      </c>
    </row>
    <row r="473" spans="1:15">
      <c r="A473" t="s">
        <v>55</v>
      </c>
      <c r="B473" t="s">
        <v>27</v>
      </c>
      <c r="C473">
        <v>33</v>
      </c>
      <c r="D473">
        <v>49</v>
      </c>
      <c r="E473" s="1">
        <f t="shared" si="21"/>
        <v>0.40243902439024393</v>
      </c>
      <c r="F473" s="2">
        <v>106.6</v>
      </c>
      <c r="G473" s="2">
        <v>109.1</v>
      </c>
      <c r="H473" s="2">
        <f t="shared" si="22"/>
        <v>-2.5</v>
      </c>
      <c r="I473" s="1">
        <f>+(F473^14)/((F473^14+G473^14))</f>
        <v>0.41956987710459787</v>
      </c>
      <c r="J473" s="2">
        <v>105.3</v>
      </c>
      <c r="K473" s="2">
        <v>107.6</v>
      </c>
      <c r="L473" s="2">
        <f t="shared" si="23"/>
        <v>-2.2999999999999972</v>
      </c>
      <c r="M473">
        <v>93</v>
      </c>
      <c r="N473">
        <v>106.2</v>
      </c>
      <c r="O473">
        <v>0</v>
      </c>
    </row>
    <row r="474" spans="1:15">
      <c r="A474" t="s">
        <v>55</v>
      </c>
      <c r="B474" t="s">
        <v>28</v>
      </c>
      <c r="C474">
        <v>67</v>
      </c>
      <c r="D474">
        <v>15</v>
      </c>
      <c r="E474" s="1">
        <f t="shared" si="21"/>
        <v>0.81707317073170727</v>
      </c>
      <c r="F474" s="2">
        <v>103.5</v>
      </c>
      <c r="G474" s="2">
        <v>92.9</v>
      </c>
      <c r="H474" s="2">
        <f t="shared" si="22"/>
        <v>10.599999999999994</v>
      </c>
      <c r="I474" s="1">
        <f>+(F474^14)/((F474^14+G474^14))</f>
        <v>0.81945679097395319</v>
      </c>
      <c r="J474" s="2">
        <v>109.3</v>
      </c>
      <c r="K474" s="2">
        <v>98.2</v>
      </c>
      <c r="L474" s="2">
        <f t="shared" si="23"/>
        <v>11.099999999999994</v>
      </c>
      <c r="M474">
        <v>111.1</v>
      </c>
      <c r="N474">
        <v>92.4</v>
      </c>
      <c r="O474">
        <v>2</v>
      </c>
    </row>
    <row r="475" spans="1:15">
      <c r="A475" t="s">
        <v>55</v>
      </c>
      <c r="B475" t="s">
        <v>30</v>
      </c>
      <c r="C475">
        <v>56</v>
      </c>
      <c r="D475">
        <v>26</v>
      </c>
      <c r="E475" s="1">
        <f t="shared" si="21"/>
        <v>0.68292682926829273</v>
      </c>
      <c r="F475" s="2">
        <v>102.7</v>
      </c>
      <c r="G475" s="2">
        <v>98.2</v>
      </c>
      <c r="H475" s="2">
        <f t="shared" si="22"/>
        <v>4.5</v>
      </c>
      <c r="I475" s="1">
        <f>+(F475^14)/((F475^14+G475^14))</f>
        <v>0.65187304994551343</v>
      </c>
      <c r="J475" s="2">
        <v>109.3</v>
      </c>
      <c r="K475" s="2">
        <v>104.8</v>
      </c>
      <c r="L475" s="2">
        <f t="shared" si="23"/>
        <v>4.5</v>
      </c>
      <c r="M475">
        <v>108.5</v>
      </c>
      <c r="N475">
        <v>100.3</v>
      </c>
      <c r="O475">
        <v>1.5</v>
      </c>
    </row>
    <row r="476" spans="1:15">
      <c r="A476" t="s">
        <v>55</v>
      </c>
      <c r="B476" t="s">
        <v>31</v>
      </c>
      <c r="C476">
        <v>40</v>
      </c>
      <c r="D476">
        <v>42</v>
      </c>
      <c r="E476" s="1">
        <f t="shared" si="21"/>
        <v>0.48780487804878048</v>
      </c>
      <c r="F476" s="2">
        <v>97.7</v>
      </c>
      <c r="G476" s="2">
        <v>95.9</v>
      </c>
      <c r="H476" s="2">
        <f t="shared" si="22"/>
        <v>1.7999999999999972</v>
      </c>
      <c r="I476" s="1">
        <f>+(F476^14)/((F476^14+G476^14))</f>
        <v>0.56471939759532841</v>
      </c>
      <c r="J476" s="2">
        <v>105</v>
      </c>
      <c r="K476" s="2">
        <v>103.2</v>
      </c>
      <c r="L476" s="2">
        <f t="shared" si="23"/>
        <v>1.7999999999999972</v>
      </c>
      <c r="M476">
        <v>99.5</v>
      </c>
      <c r="N476">
        <v>118.9</v>
      </c>
      <c r="O476">
        <v>0.5</v>
      </c>
    </row>
    <row r="477" spans="1:15">
      <c r="A477" t="s">
        <v>55</v>
      </c>
      <c r="B477" t="s">
        <v>33</v>
      </c>
      <c r="C477">
        <v>41</v>
      </c>
      <c r="D477">
        <v>41</v>
      </c>
      <c r="E477" s="1">
        <f t="shared" si="21"/>
        <v>0.5</v>
      </c>
      <c r="F477" s="2">
        <v>104.1</v>
      </c>
      <c r="G477" s="2">
        <v>104.6</v>
      </c>
      <c r="H477" s="2">
        <f t="shared" si="22"/>
        <v>-0.5</v>
      </c>
      <c r="I477" s="1">
        <f>+(F477^14)/((F477^14+G477^14))</f>
        <v>0.48323577008477736</v>
      </c>
      <c r="J477" s="2">
        <v>104.5</v>
      </c>
      <c r="K477" s="2">
        <v>105.1</v>
      </c>
      <c r="L477" s="2">
        <f t="shared" si="23"/>
        <v>-0.59999999999999432</v>
      </c>
      <c r="M477">
        <v>101.4</v>
      </c>
      <c r="N477">
        <v>104.5</v>
      </c>
      <c r="O477">
        <v>-0.3</v>
      </c>
    </row>
    <row r="478" spans="1:15">
      <c r="A478" t="s">
        <v>57</v>
      </c>
      <c r="B478" t="s">
        <v>5</v>
      </c>
      <c r="C478">
        <v>43</v>
      </c>
      <c r="D478">
        <v>39</v>
      </c>
      <c r="E478" s="1">
        <f t="shared" si="21"/>
        <v>0.52439024390243905</v>
      </c>
      <c r="F478" s="2">
        <v>103.2</v>
      </c>
      <c r="G478" s="2">
        <v>104</v>
      </c>
      <c r="H478" s="2">
        <f t="shared" si="22"/>
        <v>-0.79999999999999716</v>
      </c>
      <c r="I478" s="1">
        <f>+(F478^14)/((F478^14+G478^14))</f>
        <v>0.47299913122451137</v>
      </c>
      <c r="J478" s="2">
        <v>104.5</v>
      </c>
      <c r="K478" s="2">
        <v>105.2</v>
      </c>
      <c r="L478" s="2">
        <f t="shared" si="23"/>
        <v>-0.70000000000000284</v>
      </c>
      <c r="M478">
        <v>109.8</v>
      </c>
      <c r="N478">
        <v>95.7</v>
      </c>
      <c r="O478">
        <v>0.6</v>
      </c>
    </row>
    <row r="479" spans="1:15">
      <c r="A479" t="s">
        <v>57</v>
      </c>
      <c r="B479" t="s">
        <v>6</v>
      </c>
      <c r="C479">
        <v>53</v>
      </c>
      <c r="D479">
        <v>29</v>
      </c>
      <c r="E479" s="1">
        <f t="shared" si="21"/>
        <v>0.64634146341463417</v>
      </c>
      <c r="F479" s="2">
        <v>108</v>
      </c>
      <c r="G479" s="2">
        <v>105.4</v>
      </c>
      <c r="H479" s="2">
        <f t="shared" si="22"/>
        <v>2.5999999999999943</v>
      </c>
      <c r="I479" s="1">
        <f>+(F479^14)/((F479^14+G479^14))</f>
        <v>0.58447233985908875</v>
      </c>
      <c r="J479" s="2">
        <v>110.6</v>
      </c>
      <c r="K479" s="2">
        <v>108</v>
      </c>
      <c r="L479" s="2">
        <f t="shared" si="23"/>
        <v>2.5999999999999943</v>
      </c>
      <c r="M479">
        <v>117.9</v>
      </c>
      <c r="N479">
        <v>107.8</v>
      </c>
      <c r="O479">
        <v>0.7</v>
      </c>
    </row>
    <row r="480" spans="1:15">
      <c r="A480" t="s">
        <v>57</v>
      </c>
      <c r="B480" t="s">
        <v>51</v>
      </c>
      <c r="C480">
        <v>20</v>
      </c>
      <c r="D480">
        <v>62</v>
      </c>
      <c r="E480" s="1">
        <f t="shared" si="21"/>
        <v>0.24390243902439024</v>
      </c>
      <c r="F480" s="2">
        <v>105.8</v>
      </c>
      <c r="G480" s="2">
        <v>112.5</v>
      </c>
      <c r="H480" s="2">
        <f t="shared" si="22"/>
        <v>-6.7000000000000028</v>
      </c>
      <c r="I480" s="1">
        <f>+(F480^14)/((F480^14+G480^14))</f>
        <v>0.29741501867468906</v>
      </c>
      <c r="J480" s="2">
        <v>103.6</v>
      </c>
      <c r="K480" s="2">
        <v>110.1</v>
      </c>
      <c r="L480" s="2">
        <f t="shared" si="23"/>
        <v>-6.5</v>
      </c>
      <c r="M480">
        <v>99.7</v>
      </c>
      <c r="N480">
        <v>116.1</v>
      </c>
      <c r="O480">
        <v>-0.7</v>
      </c>
    </row>
    <row r="481" spans="1:15">
      <c r="A481" t="s">
        <v>57</v>
      </c>
      <c r="B481" t="s">
        <v>7</v>
      </c>
      <c r="C481">
        <v>36</v>
      </c>
      <c r="D481">
        <v>46</v>
      </c>
      <c r="E481" s="1">
        <f t="shared" si="21"/>
        <v>0.43902439024390244</v>
      </c>
      <c r="F481" s="2">
        <v>104.9</v>
      </c>
      <c r="G481" s="2">
        <v>104.7</v>
      </c>
      <c r="H481" s="2">
        <f t="shared" si="22"/>
        <v>0.20000000000000284</v>
      </c>
      <c r="I481" s="1">
        <f>+(F481^14)/((F481^14+G481^14))</f>
        <v>0.50667899404030869</v>
      </c>
      <c r="J481" s="2">
        <v>108.4</v>
      </c>
      <c r="K481" s="2">
        <v>108.4</v>
      </c>
      <c r="L481" s="2">
        <f t="shared" si="23"/>
        <v>0</v>
      </c>
      <c r="M481">
        <v>115.5</v>
      </c>
      <c r="N481">
        <v>119.6</v>
      </c>
      <c r="O481">
        <v>-0.3</v>
      </c>
    </row>
    <row r="482" spans="1:15">
      <c r="A482" t="s">
        <v>57</v>
      </c>
      <c r="B482" t="s">
        <v>8</v>
      </c>
      <c r="C482">
        <v>41</v>
      </c>
      <c r="D482">
        <v>41</v>
      </c>
      <c r="E482" s="1">
        <f t="shared" si="21"/>
        <v>0.5</v>
      </c>
      <c r="F482" s="2">
        <v>102.9</v>
      </c>
      <c r="G482" s="2">
        <v>102.4</v>
      </c>
      <c r="H482" s="2">
        <f t="shared" si="22"/>
        <v>0.5</v>
      </c>
      <c r="I482" s="1">
        <f>+(F482^14)/((F482^14+G482^14))</f>
        <v>0.51704165228301435</v>
      </c>
      <c r="J482" s="2">
        <v>106.5</v>
      </c>
      <c r="K482" s="2">
        <v>106.2</v>
      </c>
      <c r="L482" s="2">
        <f t="shared" si="23"/>
        <v>0.29999999999999716</v>
      </c>
      <c r="M482">
        <v>107.3</v>
      </c>
      <c r="N482">
        <v>98.1</v>
      </c>
      <c r="O482">
        <v>-0.5</v>
      </c>
    </row>
    <row r="483" spans="1:15">
      <c r="A483" t="s">
        <v>57</v>
      </c>
      <c r="B483" t="s">
        <v>9</v>
      </c>
      <c r="C483">
        <v>51</v>
      </c>
      <c r="D483">
        <v>31</v>
      </c>
      <c r="E483" s="1">
        <f t="shared" si="21"/>
        <v>0.62195121951219512</v>
      </c>
      <c r="F483" s="2">
        <v>110.3</v>
      </c>
      <c r="G483" s="2">
        <v>107.2</v>
      </c>
      <c r="H483" s="2">
        <f t="shared" si="22"/>
        <v>3.0999999999999943</v>
      </c>
      <c r="I483" s="1">
        <f>+(F483^14)/((F483^14+G483^14))</f>
        <v>0.59847320533092052</v>
      </c>
      <c r="J483" s="2">
        <v>112.8</v>
      </c>
      <c r="K483" s="2">
        <v>109.7</v>
      </c>
      <c r="L483" s="2">
        <f t="shared" si="23"/>
        <v>3.0999999999999943</v>
      </c>
      <c r="M483">
        <v>117.1</v>
      </c>
      <c r="N483">
        <v>103.5</v>
      </c>
      <c r="O483">
        <v>-1.2</v>
      </c>
    </row>
    <row r="484" spans="1:15">
      <c r="A484" t="s">
        <v>57</v>
      </c>
      <c r="B484" t="s">
        <v>10</v>
      </c>
      <c r="C484">
        <v>33</v>
      </c>
      <c r="D484">
        <v>49</v>
      </c>
      <c r="E484" s="1">
        <f t="shared" si="21"/>
        <v>0.40243902439024393</v>
      </c>
      <c r="F484" s="2">
        <v>97.9</v>
      </c>
      <c r="G484" s="2">
        <v>100.8</v>
      </c>
      <c r="H484" s="2">
        <f t="shared" si="22"/>
        <v>-2.8999999999999915</v>
      </c>
      <c r="I484" s="1">
        <f>+(F484^14)/((F484^14+G484^14))</f>
        <v>0.39922740690355496</v>
      </c>
      <c r="J484" s="2">
        <v>104.7</v>
      </c>
      <c r="K484" s="2">
        <v>107.7</v>
      </c>
      <c r="L484" s="2">
        <f t="shared" si="23"/>
        <v>-3</v>
      </c>
      <c r="M484">
        <v>101.7</v>
      </c>
      <c r="N484">
        <v>107.8</v>
      </c>
      <c r="O484">
        <v>-0.6</v>
      </c>
    </row>
    <row r="485" spans="1:15">
      <c r="A485" t="s">
        <v>57</v>
      </c>
      <c r="B485" t="s">
        <v>11</v>
      </c>
      <c r="C485">
        <v>40</v>
      </c>
      <c r="D485">
        <v>42</v>
      </c>
      <c r="E485" s="1">
        <f t="shared" si="21"/>
        <v>0.48780487804878048</v>
      </c>
      <c r="F485" s="2">
        <v>111.7</v>
      </c>
      <c r="G485" s="2">
        <v>111.2</v>
      </c>
      <c r="H485" s="2">
        <f t="shared" si="22"/>
        <v>0.5</v>
      </c>
      <c r="I485" s="1">
        <f>+(F485^14)/((F485^14+G485^14))</f>
        <v>0.51569697497834144</v>
      </c>
      <c r="J485" s="2">
        <v>112.2</v>
      </c>
      <c r="K485" s="2">
        <v>111.7</v>
      </c>
      <c r="L485" s="2">
        <f t="shared" si="23"/>
        <v>0.5</v>
      </c>
      <c r="M485">
        <v>97.2</v>
      </c>
      <c r="N485">
        <v>105.3</v>
      </c>
      <c r="O485">
        <v>-1</v>
      </c>
    </row>
    <row r="486" spans="1:15">
      <c r="A486" t="s">
        <v>57</v>
      </c>
      <c r="B486" t="s">
        <v>12</v>
      </c>
      <c r="C486">
        <v>37</v>
      </c>
      <c r="D486">
        <v>45</v>
      </c>
      <c r="E486" s="1">
        <f t="shared" si="21"/>
        <v>0.45121951219512196</v>
      </c>
      <c r="F486" s="2">
        <v>101.3</v>
      </c>
      <c r="G486" s="2">
        <v>102.5</v>
      </c>
      <c r="H486" s="2">
        <f t="shared" si="22"/>
        <v>-1.2000000000000028</v>
      </c>
      <c r="I486" s="1">
        <f>+(F486^14)/((F486^14+G486^14))</f>
        <v>0.45887575520915785</v>
      </c>
      <c r="J486" s="2">
        <v>105.3</v>
      </c>
      <c r="K486" s="2">
        <v>106.7</v>
      </c>
      <c r="L486" s="2">
        <f t="shared" si="23"/>
        <v>-1.4000000000000057</v>
      </c>
      <c r="M486">
        <v>100.3</v>
      </c>
      <c r="N486">
        <v>112.5</v>
      </c>
      <c r="O486">
        <v>1.3</v>
      </c>
    </row>
    <row r="487" spans="1:15">
      <c r="A487" t="s">
        <v>57</v>
      </c>
      <c r="B487" t="s">
        <v>13</v>
      </c>
      <c r="C487">
        <v>67</v>
      </c>
      <c r="D487">
        <v>15</v>
      </c>
      <c r="E487" s="1">
        <f t="shared" si="21"/>
        <v>0.81707317073170727</v>
      </c>
      <c r="F487" s="2">
        <v>115.9</v>
      </c>
      <c r="G487" s="2">
        <v>104.3</v>
      </c>
      <c r="H487" s="2">
        <f t="shared" si="22"/>
        <v>11.600000000000009</v>
      </c>
      <c r="I487" s="1">
        <f>+(F487^14)/((F487^14+G487^14))</f>
        <v>0.81402660694533269</v>
      </c>
      <c r="J487" s="2">
        <v>114.8</v>
      </c>
      <c r="K487" s="2">
        <v>103.4</v>
      </c>
      <c r="L487" s="2">
        <f t="shared" si="23"/>
        <v>11.399999999999991</v>
      </c>
      <c r="M487">
        <v>109.7</v>
      </c>
      <c r="N487">
        <v>100</v>
      </c>
      <c r="O487">
        <v>0.2</v>
      </c>
    </row>
    <row r="488" spans="1:15">
      <c r="A488" t="s">
        <v>57</v>
      </c>
      <c r="B488" t="s">
        <v>14</v>
      </c>
      <c r="C488">
        <v>55</v>
      </c>
      <c r="D488">
        <v>27</v>
      </c>
      <c r="E488" s="1">
        <f t="shared" si="21"/>
        <v>0.67073170731707321</v>
      </c>
      <c r="F488" s="2">
        <v>115.3</v>
      </c>
      <c r="G488" s="2">
        <v>109.6</v>
      </c>
      <c r="H488" s="2">
        <f t="shared" si="22"/>
        <v>5.7000000000000028</v>
      </c>
      <c r="I488" s="1">
        <f>+(F488^14)/((F488^14+G488^14))</f>
        <v>0.67035712884085974</v>
      </c>
      <c r="J488" s="2">
        <v>114.1</v>
      </c>
      <c r="K488" s="2">
        <v>108.4</v>
      </c>
      <c r="L488" s="2">
        <f t="shared" si="23"/>
        <v>5.6999999999999886</v>
      </c>
      <c r="M488">
        <v>100</v>
      </c>
      <c r="N488">
        <v>105.7</v>
      </c>
      <c r="O488">
        <v>-1.1000000000000001</v>
      </c>
    </row>
    <row r="489" spans="1:15">
      <c r="A489" t="s">
        <v>57</v>
      </c>
      <c r="B489" t="s">
        <v>15</v>
      </c>
      <c r="C489">
        <v>42</v>
      </c>
      <c r="D489">
        <v>40</v>
      </c>
      <c r="E489" s="1">
        <f t="shared" si="21"/>
        <v>0.51219512195121952</v>
      </c>
      <c r="F489" s="2">
        <v>105.1</v>
      </c>
      <c r="G489" s="2">
        <v>105.3</v>
      </c>
      <c r="H489" s="2">
        <f t="shared" si="22"/>
        <v>-0.20000000000000284</v>
      </c>
      <c r="I489" s="1">
        <f>+(F489^14)/((F489^14+G489^14))</f>
        <v>0.49334639838574956</v>
      </c>
      <c r="J489" s="2">
        <v>107.9</v>
      </c>
      <c r="K489" s="2">
        <v>108.1</v>
      </c>
      <c r="L489" s="2">
        <f t="shared" si="23"/>
        <v>-0.19999999999998863</v>
      </c>
      <c r="M489">
        <v>103.1</v>
      </c>
      <c r="N489">
        <v>104.3</v>
      </c>
      <c r="O489">
        <v>-0.6</v>
      </c>
    </row>
    <row r="490" spans="1:15">
      <c r="A490" t="s">
        <v>57</v>
      </c>
      <c r="B490" t="s">
        <v>56</v>
      </c>
      <c r="C490">
        <v>51</v>
      </c>
      <c r="D490">
        <v>31</v>
      </c>
      <c r="E490" s="1">
        <f t="shared" si="21"/>
        <v>0.62195121951219512</v>
      </c>
      <c r="F490" s="2">
        <v>108.7</v>
      </c>
      <c r="G490" s="2">
        <v>104.4</v>
      </c>
      <c r="H490" s="2">
        <f t="shared" si="22"/>
        <v>4.2999999999999972</v>
      </c>
      <c r="I490" s="1">
        <f>+(F490^14)/((F490^14+G490^14))</f>
        <v>0.63762474872278996</v>
      </c>
      <c r="J490" s="2">
        <v>111.8</v>
      </c>
      <c r="K490" s="2">
        <v>107.5</v>
      </c>
      <c r="L490" s="2">
        <f t="shared" si="23"/>
        <v>4.2999999999999972</v>
      </c>
      <c r="M490">
        <v>97.3</v>
      </c>
      <c r="N490">
        <v>95.5</v>
      </c>
      <c r="O490">
        <v>-0.5</v>
      </c>
    </row>
    <row r="491" spans="1:15">
      <c r="A491" t="s">
        <v>57</v>
      </c>
      <c r="B491" t="s">
        <v>17</v>
      </c>
      <c r="C491">
        <v>26</v>
      </c>
      <c r="D491">
        <v>56</v>
      </c>
      <c r="E491" s="1">
        <f t="shared" si="21"/>
        <v>0.31707317073170732</v>
      </c>
      <c r="F491" s="2">
        <v>104.6</v>
      </c>
      <c r="G491" s="2">
        <v>111.5</v>
      </c>
      <c r="H491" s="2">
        <f t="shared" si="22"/>
        <v>-6.9000000000000057</v>
      </c>
      <c r="I491" s="1">
        <f>+(F491^14)/((F491^14+G491^14))</f>
        <v>0.29021613910677707</v>
      </c>
      <c r="J491" s="2">
        <v>105.3</v>
      </c>
      <c r="K491" s="2">
        <v>112</v>
      </c>
      <c r="L491" s="2">
        <f t="shared" si="23"/>
        <v>-6.7000000000000028</v>
      </c>
      <c r="M491">
        <v>106.9</v>
      </c>
      <c r="N491">
        <v>123.2</v>
      </c>
      <c r="O491">
        <v>-0.7</v>
      </c>
    </row>
    <row r="492" spans="1:15">
      <c r="A492" t="s">
        <v>57</v>
      </c>
      <c r="B492" t="s">
        <v>35</v>
      </c>
      <c r="C492">
        <v>43</v>
      </c>
      <c r="D492">
        <v>39</v>
      </c>
      <c r="E492" s="1">
        <f t="shared" si="21"/>
        <v>0.52439024390243905</v>
      </c>
      <c r="F492" s="2">
        <v>100.5</v>
      </c>
      <c r="G492" s="2">
        <v>100</v>
      </c>
      <c r="H492" s="2">
        <f t="shared" si="22"/>
        <v>0.5</v>
      </c>
      <c r="I492" s="1">
        <f>+(F492^14)/((F492^14+G492^14))</f>
        <v>0.51744930619443652</v>
      </c>
      <c r="J492" s="2">
        <v>107</v>
      </c>
      <c r="K492" s="2">
        <v>106.5</v>
      </c>
      <c r="L492" s="2">
        <f t="shared" si="23"/>
        <v>0.5</v>
      </c>
      <c r="M492">
        <v>101.1</v>
      </c>
      <c r="N492">
        <v>95</v>
      </c>
      <c r="O492">
        <v>1.2</v>
      </c>
    </row>
    <row r="493" spans="1:15">
      <c r="A493" t="s">
        <v>57</v>
      </c>
      <c r="B493" t="s">
        <v>18</v>
      </c>
      <c r="C493">
        <v>41</v>
      </c>
      <c r="D493">
        <v>41</v>
      </c>
      <c r="E493" s="1">
        <f t="shared" si="21"/>
        <v>0.5</v>
      </c>
      <c r="F493" s="2">
        <v>103.2</v>
      </c>
      <c r="G493" s="2">
        <v>102.1</v>
      </c>
      <c r="H493" s="2">
        <f t="shared" si="22"/>
        <v>1.1000000000000085</v>
      </c>
      <c r="I493" s="1">
        <f>+(F493^14)/((F493^14+G493^14))</f>
        <v>0.53743625677450491</v>
      </c>
      <c r="J493" s="2">
        <v>107.4</v>
      </c>
      <c r="K493" s="2">
        <v>106.4</v>
      </c>
      <c r="L493" s="2">
        <f t="shared" si="23"/>
        <v>1</v>
      </c>
      <c r="M493">
        <v>96.4</v>
      </c>
      <c r="N493">
        <v>107.3</v>
      </c>
      <c r="O493">
        <v>1</v>
      </c>
    </row>
    <row r="494" spans="1:15">
      <c r="A494" t="s">
        <v>57</v>
      </c>
      <c r="B494" t="s">
        <v>19</v>
      </c>
      <c r="C494">
        <v>42</v>
      </c>
      <c r="D494">
        <v>40</v>
      </c>
      <c r="E494" s="1">
        <f t="shared" si="21"/>
        <v>0.51219512195121952</v>
      </c>
      <c r="F494" s="2">
        <v>103.6</v>
      </c>
      <c r="G494" s="2">
        <v>103.8</v>
      </c>
      <c r="H494" s="2">
        <f t="shared" si="22"/>
        <v>-0.20000000000000284</v>
      </c>
      <c r="I494" s="1">
        <f>+(F494^14)/((F494^14+G494^14))</f>
        <v>0.49325016690450357</v>
      </c>
      <c r="J494" s="2">
        <v>108.5</v>
      </c>
      <c r="K494" s="2">
        <v>108.7</v>
      </c>
      <c r="L494" s="2">
        <f t="shared" si="23"/>
        <v>-0.20000000000000284</v>
      </c>
      <c r="M494">
        <v>88.9</v>
      </c>
      <c r="N494">
        <v>100</v>
      </c>
      <c r="O494">
        <v>0.2</v>
      </c>
    </row>
    <row r="495" spans="1:15">
      <c r="A495" t="s">
        <v>57</v>
      </c>
      <c r="B495" t="s">
        <v>20</v>
      </c>
      <c r="C495">
        <v>31</v>
      </c>
      <c r="D495">
        <v>51</v>
      </c>
      <c r="E495" s="1">
        <f t="shared" si="21"/>
        <v>0.37804878048780488</v>
      </c>
      <c r="F495" s="2">
        <v>105.6</v>
      </c>
      <c r="G495" s="2">
        <v>106.7</v>
      </c>
      <c r="H495" s="2">
        <f t="shared" si="22"/>
        <v>-1.1000000000000085</v>
      </c>
      <c r="I495" s="1">
        <f>+(F495^14)/((F495^14+G495^14))</f>
        <v>0.46379372867246205</v>
      </c>
      <c r="J495" s="2">
        <v>110</v>
      </c>
      <c r="K495" s="2">
        <v>110.9</v>
      </c>
      <c r="L495" s="2">
        <f t="shared" si="23"/>
        <v>-0.90000000000000568</v>
      </c>
      <c r="M495">
        <v>95</v>
      </c>
      <c r="N495">
        <v>104.7</v>
      </c>
      <c r="O495">
        <v>-1.1000000000000001</v>
      </c>
    </row>
    <row r="496" spans="1:15">
      <c r="A496" t="s">
        <v>57</v>
      </c>
      <c r="B496" t="s">
        <v>53</v>
      </c>
      <c r="C496">
        <v>34</v>
      </c>
      <c r="D496">
        <v>48</v>
      </c>
      <c r="E496" s="1">
        <f t="shared" si="21"/>
        <v>0.41463414634146339</v>
      </c>
      <c r="F496" s="2">
        <v>104.3</v>
      </c>
      <c r="G496" s="2">
        <v>106.4</v>
      </c>
      <c r="H496" s="2">
        <f t="shared" si="22"/>
        <v>-2.1000000000000085</v>
      </c>
      <c r="I496" s="1">
        <f>+(F496^14)/((F496^14+G496^14))</f>
        <v>0.4306795838171591</v>
      </c>
      <c r="J496" s="2">
        <v>104.7</v>
      </c>
      <c r="K496" s="2">
        <v>106.8</v>
      </c>
      <c r="L496" s="2">
        <f t="shared" si="23"/>
        <v>-2.0999999999999943</v>
      </c>
      <c r="M496">
        <v>91.6</v>
      </c>
      <c r="N496">
        <v>95.6</v>
      </c>
      <c r="O496">
        <v>-0.8</v>
      </c>
    </row>
    <row r="497" spans="1:15">
      <c r="A497" t="s">
        <v>57</v>
      </c>
      <c r="B497" t="s">
        <v>22</v>
      </c>
      <c r="C497">
        <v>31</v>
      </c>
      <c r="D497">
        <v>51</v>
      </c>
      <c r="E497" s="1">
        <f t="shared" si="21"/>
        <v>0.37804878048780488</v>
      </c>
      <c r="F497" s="2">
        <v>104.3</v>
      </c>
      <c r="G497" s="2">
        <v>108</v>
      </c>
      <c r="H497" s="2">
        <f t="shared" si="22"/>
        <v>-3.7000000000000028</v>
      </c>
      <c r="I497" s="1">
        <f>+(F497^14)/((F497^14+G497^14))</f>
        <v>0.38035584719829063</v>
      </c>
      <c r="J497" s="2">
        <v>107.1</v>
      </c>
      <c r="K497" s="2">
        <v>110.7</v>
      </c>
      <c r="L497" s="2">
        <f t="shared" si="23"/>
        <v>-3.6000000000000085</v>
      </c>
      <c r="M497">
        <v>104.7</v>
      </c>
      <c r="N497">
        <v>106.7</v>
      </c>
      <c r="O497">
        <v>0.6</v>
      </c>
    </row>
    <row r="498" spans="1:15">
      <c r="A498" t="s">
        <v>57</v>
      </c>
      <c r="B498" t="s">
        <v>46</v>
      </c>
      <c r="C498">
        <v>47</v>
      </c>
      <c r="D498">
        <v>35</v>
      </c>
      <c r="E498" s="1">
        <f t="shared" si="21"/>
        <v>0.57317073170731703</v>
      </c>
      <c r="F498" s="2">
        <v>106.6</v>
      </c>
      <c r="G498" s="2">
        <v>105.8</v>
      </c>
      <c r="H498" s="2">
        <f t="shared" si="22"/>
        <v>0.79999999999999716</v>
      </c>
      <c r="I498" s="1">
        <f>+(F498^14)/((F498^14+G498^14))</f>
        <v>0.52634106336275344</v>
      </c>
      <c r="J498" s="2">
        <v>107.9</v>
      </c>
      <c r="K498" s="2">
        <v>107.1</v>
      </c>
      <c r="L498" s="2">
        <f t="shared" si="23"/>
        <v>0.80000000000001137</v>
      </c>
      <c r="M498">
        <v>115.5</v>
      </c>
      <c r="N498">
        <v>92.6</v>
      </c>
      <c r="O498">
        <v>0.9</v>
      </c>
    </row>
    <row r="499" spans="1:15">
      <c r="A499" t="s">
        <v>57</v>
      </c>
      <c r="B499" t="s">
        <v>23</v>
      </c>
      <c r="C499">
        <v>29</v>
      </c>
      <c r="D499">
        <v>53</v>
      </c>
      <c r="E499" s="1">
        <f t="shared" si="21"/>
        <v>0.35365853658536583</v>
      </c>
      <c r="F499" s="2">
        <v>101.1</v>
      </c>
      <c r="G499" s="2">
        <v>107.6</v>
      </c>
      <c r="H499" s="2">
        <f t="shared" si="22"/>
        <v>-6.5</v>
      </c>
      <c r="I499" s="1">
        <f>+(F499^14)/((F499^14+G499^14))</f>
        <v>0.29476611175193784</v>
      </c>
      <c r="J499" s="2">
        <v>103.7</v>
      </c>
      <c r="K499" s="2">
        <v>110.3</v>
      </c>
      <c r="L499" s="2">
        <f t="shared" si="23"/>
        <v>-6.5999999999999943</v>
      </c>
      <c r="M499">
        <v>101.3</v>
      </c>
      <c r="N499">
        <v>114.2</v>
      </c>
      <c r="O499">
        <v>-1.8</v>
      </c>
    </row>
    <row r="500" spans="1:15">
      <c r="A500" t="s">
        <v>57</v>
      </c>
      <c r="B500" t="s">
        <v>24</v>
      </c>
      <c r="C500">
        <v>28</v>
      </c>
      <c r="D500">
        <v>54</v>
      </c>
      <c r="E500" s="1">
        <f t="shared" si="21"/>
        <v>0.34146341463414637</v>
      </c>
      <c r="F500" s="2">
        <v>102.4</v>
      </c>
      <c r="G500" s="2">
        <v>108.1</v>
      </c>
      <c r="H500" s="2">
        <f t="shared" si="22"/>
        <v>-5.6999999999999886</v>
      </c>
      <c r="I500" s="1">
        <f>+(F500^14)/((F500^14+G500^14))</f>
        <v>0.31899805241383661</v>
      </c>
      <c r="J500" s="2">
        <v>102.7</v>
      </c>
      <c r="K500" s="2">
        <v>108.2</v>
      </c>
      <c r="L500" s="2">
        <f t="shared" si="23"/>
        <v>-5.5</v>
      </c>
      <c r="M500">
        <v>98.1</v>
      </c>
      <c r="N500">
        <v>109.1</v>
      </c>
      <c r="O500">
        <v>-1.4</v>
      </c>
    </row>
    <row r="501" spans="1:15">
      <c r="A501" t="s">
        <v>57</v>
      </c>
      <c r="B501" t="s">
        <v>25</v>
      </c>
      <c r="C501">
        <v>24</v>
      </c>
      <c r="D501">
        <v>58</v>
      </c>
      <c r="E501" s="1">
        <f t="shared" si="21"/>
        <v>0.29268292682926828</v>
      </c>
      <c r="F501" s="2">
        <v>107.7</v>
      </c>
      <c r="G501" s="2">
        <v>113.3</v>
      </c>
      <c r="H501" s="2">
        <f t="shared" si="22"/>
        <v>-5.5999999999999943</v>
      </c>
      <c r="I501" s="1">
        <f>+(F501^14)/((F501^14+G501^14))</f>
        <v>0.3296752595531568</v>
      </c>
      <c r="J501" s="2">
        <v>106.1</v>
      </c>
      <c r="K501" s="2">
        <v>111.3</v>
      </c>
      <c r="L501" s="2">
        <f t="shared" si="23"/>
        <v>-5.2000000000000028</v>
      </c>
      <c r="M501">
        <v>103</v>
      </c>
      <c r="N501">
        <v>119.5</v>
      </c>
      <c r="O501">
        <v>-1.5</v>
      </c>
    </row>
    <row r="502" spans="1:15">
      <c r="A502" t="s">
        <v>57</v>
      </c>
      <c r="B502" t="s">
        <v>26</v>
      </c>
      <c r="C502">
        <v>41</v>
      </c>
      <c r="D502">
        <v>41</v>
      </c>
      <c r="E502" s="1">
        <f t="shared" si="21"/>
        <v>0.5</v>
      </c>
      <c r="F502" s="2">
        <v>107.9</v>
      </c>
      <c r="G502" s="2">
        <v>108.5</v>
      </c>
      <c r="H502" s="2">
        <f t="shared" si="22"/>
        <v>-0.59999999999999432</v>
      </c>
      <c r="I502" s="1">
        <f>+(F502^14)/((F502^14+G502^14))</f>
        <v>0.48060118968049892</v>
      </c>
      <c r="J502" s="2">
        <v>109.4</v>
      </c>
      <c r="K502" s="2">
        <v>110</v>
      </c>
      <c r="L502" s="2">
        <f t="shared" si="23"/>
        <v>-0.59999999999999432</v>
      </c>
      <c r="M502">
        <v>104.9</v>
      </c>
      <c r="N502">
        <v>102.4</v>
      </c>
      <c r="O502">
        <v>-0.1</v>
      </c>
    </row>
    <row r="503" spans="1:15">
      <c r="A503" t="s">
        <v>57</v>
      </c>
      <c r="B503" t="s">
        <v>27</v>
      </c>
      <c r="C503">
        <v>32</v>
      </c>
      <c r="D503">
        <v>50</v>
      </c>
      <c r="E503" s="1">
        <f t="shared" si="21"/>
        <v>0.3902439024390244</v>
      </c>
      <c r="F503" s="2">
        <v>102.8</v>
      </c>
      <c r="G503" s="2">
        <v>106.7</v>
      </c>
      <c r="H503" s="2">
        <f t="shared" si="22"/>
        <v>-3.9000000000000057</v>
      </c>
      <c r="I503" s="1">
        <f>+(F503^14)/((F503^14+G503^14))</f>
        <v>0.37254800267996896</v>
      </c>
      <c r="J503" s="2">
        <v>106.6</v>
      </c>
      <c r="K503" s="2">
        <v>110.8</v>
      </c>
      <c r="L503" s="2">
        <f t="shared" si="23"/>
        <v>-4.2000000000000028</v>
      </c>
      <c r="M503">
        <v>97.7</v>
      </c>
      <c r="N503">
        <v>108.9</v>
      </c>
      <c r="O503">
        <v>0.4</v>
      </c>
    </row>
    <row r="504" spans="1:15">
      <c r="A504" t="s">
        <v>57</v>
      </c>
      <c r="B504" t="s">
        <v>28</v>
      </c>
      <c r="C504">
        <v>61</v>
      </c>
      <c r="D504">
        <v>21</v>
      </c>
      <c r="E504" s="1">
        <f t="shared" si="21"/>
        <v>0.74390243902439024</v>
      </c>
      <c r="F504" s="2">
        <v>105.3</v>
      </c>
      <c r="G504" s="2">
        <v>98.1</v>
      </c>
      <c r="H504" s="2">
        <f t="shared" si="22"/>
        <v>7.2000000000000028</v>
      </c>
      <c r="I504" s="1">
        <f>+(F504^14)/((F504^14+G504^14))</f>
        <v>0.72939687618809401</v>
      </c>
      <c r="J504" s="2">
        <v>110.3</v>
      </c>
      <c r="K504" s="2">
        <v>102.9</v>
      </c>
      <c r="L504" s="2">
        <f t="shared" si="23"/>
        <v>7.3999999999999915</v>
      </c>
      <c r="M504">
        <v>111.4</v>
      </c>
      <c r="N504">
        <v>89.6</v>
      </c>
      <c r="O504">
        <v>1.2</v>
      </c>
    </row>
    <row r="505" spans="1:15">
      <c r="A505" t="s">
        <v>57</v>
      </c>
      <c r="B505" t="s">
        <v>30</v>
      </c>
      <c r="C505">
        <v>51</v>
      </c>
      <c r="D505">
        <v>31</v>
      </c>
      <c r="E505" s="1">
        <f t="shared" si="21"/>
        <v>0.62195121951219512</v>
      </c>
      <c r="F505" s="2">
        <v>106.9</v>
      </c>
      <c r="G505" s="2">
        <v>102.6</v>
      </c>
      <c r="H505" s="2">
        <f t="shared" si="22"/>
        <v>4.3000000000000114</v>
      </c>
      <c r="I505" s="1">
        <f>+(F505^14)/((F505^14+G505^14))</f>
        <v>0.6398659537059771</v>
      </c>
      <c r="J505" s="2">
        <v>111.4</v>
      </c>
      <c r="K505" s="2">
        <v>107.1</v>
      </c>
      <c r="L505" s="2">
        <f t="shared" si="23"/>
        <v>4.3000000000000114</v>
      </c>
      <c r="M505">
        <v>109.9</v>
      </c>
      <c r="N505">
        <v>95.4</v>
      </c>
      <c r="O505">
        <v>2.8</v>
      </c>
    </row>
    <row r="506" spans="1:15">
      <c r="A506" t="s">
        <v>57</v>
      </c>
      <c r="B506" t="s">
        <v>31</v>
      </c>
      <c r="C506">
        <v>51</v>
      </c>
      <c r="D506">
        <v>31</v>
      </c>
      <c r="E506" s="1">
        <f t="shared" si="21"/>
        <v>0.62195121951219512</v>
      </c>
      <c r="F506" s="2">
        <v>100.7</v>
      </c>
      <c r="G506" s="2">
        <v>96.8</v>
      </c>
      <c r="H506" s="2">
        <f t="shared" si="22"/>
        <v>3.9000000000000057</v>
      </c>
      <c r="I506" s="1">
        <f>+(F506^14)/((F506^14+G506^14))</f>
        <v>0.63482745651575567</v>
      </c>
      <c r="J506" s="2">
        <v>109</v>
      </c>
      <c r="K506" s="2">
        <v>104.7</v>
      </c>
      <c r="L506" s="2">
        <f t="shared" si="23"/>
        <v>4.2999999999999972</v>
      </c>
      <c r="M506">
        <v>115</v>
      </c>
      <c r="N506">
        <v>99.3</v>
      </c>
      <c r="O506">
        <v>2.2000000000000002</v>
      </c>
    </row>
    <row r="507" spans="1:15">
      <c r="A507" t="s">
        <v>57</v>
      </c>
      <c r="B507" t="s">
        <v>33</v>
      </c>
      <c r="C507">
        <v>49</v>
      </c>
      <c r="D507">
        <v>33</v>
      </c>
      <c r="E507" s="1">
        <f t="shared" si="21"/>
        <v>0.59756097560975607</v>
      </c>
      <c r="F507" s="2">
        <v>109.2</v>
      </c>
      <c r="G507" s="2">
        <v>107.4</v>
      </c>
      <c r="H507" s="2">
        <f t="shared" si="22"/>
        <v>1.7999999999999972</v>
      </c>
      <c r="I507" s="1">
        <f>+(F507^14)/((F507^14+G507^14))</f>
        <v>0.55791201251406242</v>
      </c>
      <c r="J507" s="2">
        <v>110.4</v>
      </c>
      <c r="K507" s="2">
        <v>108.8</v>
      </c>
      <c r="L507" s="2">
        <f t="shared" si="23"/>
        <v>1.6000000000000085</v>
      </c>
      <c r="M507">
        <v>116.8</v>
      </c>
      <c r="N507">
        <v>103.8</v>
      </c>
      <c r="O507">
        <v>0.8</v>
      </c>
    </row>
    <row r="508" spans="1:15">
      <c r="A508" t="s">
        <v>58</v>
      </c>
      <c r="B508" t="s">
        <v>5</v>
      </c>
      <c r="C508">
        <v>24</v>
      </c>
      <c r="D508">
        <v>58</v>
      </c>
      <c r="E508" s="1">
        <f t="shared" si="21"/>
        <v>0.29268292682926828</v>
      </c>
      <c r="F508" s="2">
        <v>103.4</v>
      </c>
      <c r="G508" s="2">
        <v>108.8</v>
      </c>
      <c r="H508" s="2">
        <f t="shared" si="22"/>
        <v>-5.3999999999999915</v>
      </c>
      <c r="I508" s="1">
        <f>+(F508^14)/((F508^14+G508^14))</f>
        <v>0.32900489498317276</v>
      </c>
      <c r="J508" s="2">
        <v>104.4</v>
      </c>
      <c r="K508" s="2">
        <v>110.1</v>
      </c>
      <c r="L508" s="2">
        <f t="shared" si="23"/>
        <v>-5.6999999999999886</v>
      </c>
      <c r="M508">
        <v>105.4</v>
      </c>
      <c r="N508">
        <v>111.5</v>
      </c>
      <c r="O508">
        <v>0.4</v>
      </c>
    </row>
    <row r="509" spans="1:15">
      <c r="A509" t="s">
        <v>58</v>
      </c>
      <c r="B509" t="s">
        <v>6</v>
      </c>
      <c r="C509">
        <v>55</v>
      </c>
      <c r="D509">
        <v>27</v>
      </c>
      <c r="E509" s="1">
        <f t="shared" si="21"/>
        <v>0.67073170731707321</v>
      </c>
      <c r="F509" s="2">
        <v>104</v>
      </c>
      <c r="G509" s="2">
        <v>100.4</v>
      </c>
      <c r="H509" s="2">
        <f t="shared" si="22"/>
        <v>3.5999999999999943</v>
      </c>
      <c r="I509" s="1">
        <f>+(F509^14)/((F509^14+G509^14))</f>
        <v>0.62086037726466381</v>
      </c>
      <c r="J509" s="2">
        <v>106.8</v>
      </c>
      <c r="K509" s="2">
        <v>103.2</v>
      </c>
      <c r="L509" s="2">
        <f t="shared" si="23"/>
        <v>3.5999999999999943</v>
      </c>
      <c r="M509">
        <v>109.6</v>
      </c>
      <c r="N509">
        <v>108.6</v>
      </c>
      <c r="O509">
        <v>0.8</v>
      </c>
    </row>
    <row r="510" spans="1:15">
      <c r="A510" t="s">
        <v>58</v>
      </c>
      <c r="B510" t="s">
        <v>51</v>
      </c>
      <c r="C510">
        <v>28</v>
      </c>
      <c r="D510">
        <v>54</v>
      </c>
      <c r="E510" s="1">
        <f t="shared" si="21"/>
        <v>0.34146341463414637</v>
      </c>
      <c r="F510" s="2">
        <v>106.6</v>
      </c>
      <c r="G510" s="2">
        <v>110.3</v>
      </c>
      <c r="H510" s="2">
        <f t="shared" si="22"/>
        <v>-3.7000000000000028</v>
      </c>
      <c r="I510" s="1">
        <f>+(F510^14)/((F510^14+G510^14))</f>
        <v>0.38279873776476753</v>
      </c>
      <c r="J510" s="2">
        <v>106.1</v>
      </c>
      <c r="K510" s="2">
        <v>109.7</v>
      </c>
      <c r="L510" s="2">
        <f t="shared" si="23"/>
        <v>-3.6000000000000085</v>
      </c>
      <c r="M510">
        <v>98.5</v>
      </c>
      <c r="N510">
        <v>108.4</v>
      </c>
      <c r="O510">
        <v>-0.7</v>
      </c>
    </row>
    <row r="511" spans="1:15">
      <c r="A511" t="s">
        <v>58</v>
      </c>
      <c r="B511" t="s">
        <v>7</v>
      </c>
      <c r="C511">
        <v>36</v>
      </c>
      <c r="D511">
        <v>46</v>
      </c>
      <c r="E511" s="1">
        <f t="shared" si="21"/>
        <v>0.43902439024390244</v>
      </c>
      <c r="F511" s="2">
        <v>108.2</v>
      </c>
      <c r="G511" s="2">
        <v>108</v>
      </c>
      <c r="H511" s="2">
        <f t="shared" si="22"/>
        <v>0.20000000000000284</v>
      </c>
      <c r="I511" s="1">
        <f>+(F511^14)/((F511^14+G511^14))</f>
        <v>0.50647512549319473</v>
      </c>
      <c r="J511" s="2">
        <v>109</v>
      </c>
      <c r="K511" s="2">
        <v>109</v>
      </c>
      <c r="L511" s="2">
        <f t="shared" si="23"/>
        <v>0</v>
      </c>
      <c r="M511">
        <v>98.8</v>
      </c>
      <c r="N511">
        <v>99.7</v>
      </c>
      <c r="O511">
        <v>-0.3</v>
      </c>
    </row>
    <row r="512" spans="1:15">
      <c r="A512" t="s">
        <v>58</v>
      </c>
      <c r="B512" t="s">
        <v>8</v>
      </c>
      <c r="C512">
        <v>27</v>
      </c>
      <c r="D512">
        <v>55</v>
      </c>
      <c r="E512" s="1">
        <f t="shared" si="21"/>
        <v>0.32926829268292684</v>
      </c>
      <c r="F512" s="2">
        <v>102.9</v>
      </c>
      <c r="G512" s="2">
        <v>110</v>
      </c>
      <c r="H512" s="2">
        <f t="shared" si="22"/>
        <v>-7.0999999999999943</v>
      </c>
      <c r="I512" s="1">
        <f>+(F512^14)/((F512^14+G512^14))</f>
        <v>0.28208998434784138</v>
      </c>
      <c r="J512" s="2">
        <v>103.4</v>
      </c>
      <c r="K512" s="2">
        <v>110.5</v>
      </c>
      <c r="L512" s="2">
        <f t="shared" si="23"/>
        <v>-7.0999999999999943</v>
      </c>
      <c r="M512">
        <v>98.4</v>
      </c>
      <c r="N512">
        <v>99.7</v>
      </c>
      <c r="O512">
        <v>-0.5</v>
      </c>
    </row>
    <row r="513" spans="1:15">
      <c r="A513" t="s">
        <v>58</v>
      </c>
      <c r="B513" t="s">
        <v>9</v>
      </c>
      <c r="C513">
        <v>50</v>
      </c>
      <c r="D513">
        <v>32</v>
      </c>
      <c r="E513" s="1">
        <f t="shared" si="21"/>
        <v>0.6097560975609756</v>
      </c>
      <c r="F513" s="2">
        <v>110.9</v>
      </c>
      <c r="G513" s="2">
        <v>109.9</v>
      </c>
      <c r="H513" s="2">
        <f t="shared" si="22"/>
        <v>1</v>
      </c>
      <c r="I513" s="1">
        <f>+(F513^14)/((F513^14+G513^14))</f>
        <v>0.53166069765175683</v>
      </c>
      <c r="J513" s="2">
        <v>112</v>
      </c>
      <c r="K513" s="2">
        <v>111.1</v>
      </c>
      <c r="L513" s="2">
        <f t="shared" si="23"/>
        <v>0.90000000000000568</v>
      </c>
      <c r="M513">
        <v>116.9</v>
      </c>
      <c r="N513">
        <v>96.1</v>
      </c>
      <c r="O513">
        <v>0.6</v>
      </c>
    </row>
    <row r="514" spans="1:15">
      <c r="A514" t="s">
        <v>58</v>
      </c>
      <c r="B514" t="s">
        <v>10</v>
      </c>
      <c r="C514">
        <v>24</v>
      </c>
      <c r="D514">
        <v>58</v>
      </c>
      <c r="E514" s="1">
        <f t="shared" si="21"/>
        <v>0.29268292682926828</v>
      </c>
      <c r="F514" s="2">
        <v>102.3</v>
      </c>
      <c r="G514" s="2">
        <v>105.4</v>
      </c>
      <c r="H514" s="2">
        <f t="shared" si="22"/>
        <v>-3.1000000000000085</v>
      </c>
      <c r="I514" s="1">
        <f>+(F514^14)/((F514^14+G514^14))</f>
        <v>0.39700943969095354</v>
      </c>
      <c r="J514" s="2">
        <v>105.4</v>
      </c>
      <c r="K514" s="2">
        <v>108.4</v>
      </c>
      <c r="L514" s="2">
        <f t="shared" si="23"/>
        <v>-3</v>
      </c>
      <c r="M514">
        <v>88.3</v>
      </c>
      <c r="N514">
        <v>116.7</v>
      </c>
      <c r="O514">
        <v>-1</v>
      </c>
    </row>
    <row r="515" spans="1:15">
      <c r="A515" t="s">
        <v>58</v>
      </c>
      <c r="B515" t="s">
        <v>11</v>
      </c>
      <c r="C515">
        <v>46</v>
      </c>
      <c r="D515">
        <v>36</v>
      </c>
      <c r="E515" s="1">
        <f t="shared" ref="E515:E578" si="24">+C515/(C515+D515)</f>
        <v>0.56097560975609762</v>
      </c>
      <c r="F515" s="2">
        <v>110</v>
      </c>
      <c r="G515" s="2">
        <v>108.5</v>
      </c>
      <c r="H515" s="2">
        <f t="shared" ref="H515:H578" si="25">+F515-G515</f>
        <v>1.5</v>
      </c>
      <c r="I515" s="1">
        <f>+(F515^14)/((F515^14+G515^14))</f>
        <v>0.54790824985193565</v>
      </c>
      <c r="J515" s="2">
        <v>111.4</v>
      </c>
      <c r="K515" s="2">
        <v>110</v>
      </c>
      <c r="L515" s="2">
        <f t="shared" ref="L515:L578" si="26">+J515-K515</f>
        <v>1.4000000000000057</v>
      </c>
      <c r="M515">
        <v>103.6</v>
      </c>
      <c r="N515">
        <v>99.5</v>
      </c>
      <c r="O515">
        <v>-0.6</v>
      </c>
    </row>
    <row r="516" spans="1:15">
      <c r="A516" t="s">
        <v>58</v>
      </c>
      <c r="B516" t="s">
        <v>12</v>
      </c>
      <c r="C516">
        <v>39</v>
      </c>
      <c r="D516">
        <v>43</v>
      </c>
      <c r="E516" s="1">
        <f t="shared" si="24"/>
        <v>0.47560975609756095</v>
      </c>
      <c r="F516" s="2">
        <v>103.8</v>
      </c>
      <c r="G516" s="2">
        <v>103.9</v>
      </c>
      <c r="H516" s="2">
        <f t="shared" si="25"/>
        <v>-0.10000000000000853</v>
      </c>
      <c r="I516" s="1">
        <f>+(F516^14)/((F516^14+G516^14))</f>
        <v>0.49662980523369954</v>
      </c>
      <c r="J516" s="2">
        <v>106.6</v>
      </c>
      <c r="K516" s="2">
        <v>106.7</v>
      </c>
      <c r="L516" s="2">
        <f t="shared" si="26"/>
        <v>-0.10000000000000853</v>
      </c>
      <c r="M516">
        <v>101.4</v>
      </c>
      <c r="N516">
        <v>109.6</v>
      </c>
      <c r="O516">
        <v>0.8</v>
      </c>
    </row>
    <row r="517" spans="1:15">
      <c r="A517" t="s">
        <v>58</v>
      </c>
      <c r="B517" t="s">
        <v>13</v>
      </c>
      <c r="C517">
        <v>58</v>
      </c>
      <c r="D517">
        <v>24</v>
      </c>
      <c r="E517" s="1">
        <f t="shared" si="24"/>
        <v>0.70731707317073167</v>
      </c>
      <c r="F517" s="2">
        <v>113.5</v>
      </c>
      <c r="G517" s="2">
        <v>107.5</v>
      </c>
      <c r="H517" s="2">
        <f t="shared" si="25"/>
        <v>6</v>
      </c>
      <c r="I517" s="1">
        <f>+(F517^14)/((F517^14+G517^14))</f>
        <v>0.68143359288372995</v>
      </c>
      <c r="J517" s="2">
        <v>112.8</v>
      </c>
      <c r="K517" s="2">
        <v>106.8</v>
      </c>
      <c r="L517" s="2">
        <f t="shared" si="26"/>
        <v>6</v>
      </c>
      <c r="M517">
        <v>113.1</v>
      </c>
      <c r="N517">
        <v>105.3</v>
      </c>
      <c r="O517">
        <v>0</v>
      </c>
    </row>
    <row r="518" spans="1:15">
      <c r="A518" t="s">
        <v>58</v>
      </c>
      <c r="B518" t="s">
        <v>14</v>
      </c>
      <c r="C518">
        <v>65</v>
      </c>
      <c r="D518">
        <v>17</v>
      </c>
      <c r="E518" s="1">
        <f t="shared" si="24"/>
        <v>0.79268292682926833</v>
      </c>
      <c r="F518" s="2">
        <v>112.4</v>
      </c>
      <c r="G518" s="2">
        <v>103.9</v>
      </c>
      <c r="H518" s="2">
        <f t="shared" si="25"/>
        <v>8.5</v>
      </c>
      <c r="I518" s="1">
        <f>+(F518^14)/((F518^14+G518^14))</f>
        <v>0.75042693083028544</v>
      </c>
      <c r="J518" s="2">
        <v>114.1</v>
      </c>
      <c r="K518" s="2">
        <v>105.7</v>
      </c>
      <c r="L518" s="2">
        <f t="shared" si="26"/>
        <v>8.3999999999999915</v>
      </c>
      <c r="M518">
        <v>122.9</v>
      </c>
      <c r="N518">
        <v>95.9</v>
      </c>
      <c r="O518">
        <v>-0.2</v>
      </c>
    </row>
    <row r="519" spans="1:15">
      <c r="A519" t="s">
        <v>58</v>
      </c>
      <c r="B519" t="s">
        <v>15</v>
      </c>
      <c r="C519">
        <v>48</v>
      </c>
      <c r="D519">
        <v>34</v>
      </c>
      <c r="E519" s="1">
        <f t="shared" si="24"/>
        <v>0.58536585365853655</v>
      </c>
      <c r="F519" s="2">
        <v>105.6</v>
      </c>
      <c r="G519" s="2">
        <v>104.2</v>
      </c>
      <c r="H519" s="2">
        <f t="shared" si="25"/>
        <v>1.3999999999999915</v>
      </c>
      <c r="I519" s="1">
        <f>+(F519^14)/((F519^14+G519^14))</f>
        <v>0.54657641949522462</v>
      </c>
      <c r="J519" s="2">
        <v>108.5</v>
      </c>
      <c r="K519" s="2">
        <v>107.3</v>
      </c>
      <c r="L519" s="2">
        <f t="shared" si="26"/>
        <v>1.2000000000000028</v>
      </c>
      <c r="M519">
        <v>112.2</v>
      </c>
      <c r="N519">
        <v>95.5</v>
      </c>
      <c r="O519">
        <v>-0.4</v>
      </c>
    </row>
    <row r="520" spans="1:15">
      <c r="A520" t="s">
        <v>58</v>
      </c>
      <c r="B520" t="s">
        <v>56</v>
      </c>
      <c r="C520">
        <v>42</v>
      </c>
      <c r="D520">
        <v>40</v>
      </c>
      <c r="E520" s="1">
        <f t="shared" si="24"/>
        <v>0.51219512195121952</v>
      </c>
      <c r="F520" s="2">
        <v>109</v>
      </c>
      <c r="G520" s="2">
        <v>109</v>
      </c>
      <c r="H520" s="2">
        <f t="shared" si="25"/>
        <v>0</v>
      </c>
      <c r="I520" s="1">
        <f>+(F520^14)/((F520^14+G520^14))</f>
        <v>0.5</v>
      </c>
      <c r="J520" s="2">
        <v>109.4</v>
      </c>
      <c r="K520" s="2">
        <v>109.2</v>
      </c>
      <c r="L520" s="2">
        <f t="shared" si="26"/>
        <v>0.20000000000000284</v>
      </c>
      <c r="M520">
        <v>110.5</v>
      </c>
      <c r="N520">
        <v>119.1</v>
      </c>
      <c r="O520">
        <v>1.5</v>
      </c>
    </row>
    <row r="521" spans="1:15">
      <c r="A521" t="s">
        <v>58</v>
      </c>
      <c r="B521" t="s">
        <v>17</v>
      </c>
      <c r="C521">
        <v>35</v>
      </c>
      <c r="D521">
        <v>47</v>
      </c>
      <c r="E521" s="1">
        <f t="shared" si="24"/>
        <v>0.42682926829268292</v>
      </c>
      <c r="F521" s="2">
        <v>108.1</v>
      </c>
      <c r="G521" s="2">
        <v>109.6</v>
      </c>
      <c r="H521" s="2">
        <f t="shared" si="25"/>
        <v>-1.5</v>
      </c>
      <c r="I521" s="1">
        <f>+(F521^14)/((F521^14+G521^14))</f>
        <v>0.45191677770464023</v>
      </c>
      <c r="J521" s="2">
        <v>106</v>
      </c>
      <c r="K521" s="2">
        <v>107.3</v>
      </c>
      <c r="L521" s="2">
        <f t="shared" si="26"/>
        <v>-1.2999999999999972</v>
      </c>
      <c r="M521">
        <v>99.7</v>
      </c>
      <c r="N521">
        <v>105.8</v>
      </c>
      <c r="O521">
        <v>-0.4</v>
      </c>
    </row>
    <row r="522" spans="1:15">
      <c r="A522" t="s">
        <v>58</v>
      </c>
      <c r="B522" t="s">
        <v>35</v>
      </c>
      <c r="C522">
        <v>22</v>
      </c>
      <c r="D522">
        <v>60</v>
      </c>
      <c r="E522" s="1">
        <f t="shared" si="24"/>
        <v>0.26829268292682928</v>
      </c>
      <c r="F522" s="2">
        <v>99.3</v>
      </c>
      <c r="G522" s="2">
        <v>105.5</v>
      </c>
      <c r="H522" s="2">
        <f t="shared" si="25"/>
        <v>-6.2000000000000028</v>
      </c>
      <c r="I522" s="1">
        <f>+(F522^14)/((F522^14+G522^14))</f>
        <v>0.2998703440144932</v>
      </c>
      <c r="J522" s="2">
        <v>103.6</v>
      </c>
      <c r="K522" s="2">
        <v>110.4</v>
      </c>
      <c r="L522" s="2">
        <f t="shared" si="26"/>
        <v>-6.8000000000000114</v>
      </c>
      <c r="M522">
        <v>92.4</v>
      </c>
      <c r="N522">
        <v>97.4</v>
      </c>
      <c r="O522">
        <v>-1</v>
      </c>
    </row>
    <row r="523" spans="1:15">
      <c r="A523" t="s">
        <v>58</v>
      </c>
      <c r="B523" t="s">
        <v>18</v>
      </c>
      <c r="C523">
        <v>44</v>
      </c>
      <c r="D523">
        <v>38</v>
      </c>
      <c r="E523" s="1">
        <f t="shared" si="24"/>
        <v>0.53658536585365857</v>
      </c>
      <c r="F523" s="2">
        <v>103.4</v>
      </c>
      <c r="G523" s="2">
        <v>102.9</v>
      </c>
      <c r="H523" s="2">
        <f t="shared" si="25"/>
        <v>0.5</v>
      </c>
      <c r="I523" s="1">
        <f>+(F523^14)/((F523^14+G523^14))</f>
        <v>0.5169591093166388</v>
      </c>
      <c r="J523" s="2">
        <v>106.2</v>
      </c>
      <c r="K523" s="2">
        <v>105.8</v>
      </c>
      <c r="L523" s="2">
        <f t="shared" si="26"/>
        <v>0.40000000000000568</v>
      </c>
      <c r="M523">
        <v>108.7</v>
      </c>
      <c r="N523">
        <v>100.4</v>
      </c>
      <c r="O523">
        <v>0.7</v>
      </c>
    </row>
    <row r="524" spans="1:15">
      <c r="A524" t="s">
        <v>58</v>
      </c>
      <c r="B524" t="s">
        <v>19</v>
      </c>
      <c r="C524">
        <v>44</v>
      </c>
      <c r="D524">
        <v>38</v>
      </c>
      <c r="E524" s="1">
        <f t="shared" si="24"/>
        <v>0.53658536585365857</v>
      </c>
      <c r="F524" s="2">
        <v>106.5</v>
      </c>
      <c r="G524" s="2">
        <v>106.8</v>
      </c>
      <c r="H524" s="2">
        <f t="shared" si="25"/>
        <v>-0.29999999999999716</v>
      </c>
      <c r="I524" s="1">
        <f>+(F524^14)/((F524^14+G524^14))</f>
        <v>0.49015597738821681</v>
      </c>
      <c r="J524" s="2">
        <v>109</v>
      </c>
      <c r="K524" s="2">
        <v>109.1</v>
      </c>
      <c r="L524" s="2">
        <f t="shared" si="26"/>
        <v>-9.9999999999994316E-2</v>
      </c>
      <c r="M524">
        <v>102.1</v>
      </c>
      <c r="N524">
        <v>100.3</v>
      </c>
      <c r="O524">
        <v>-1.2</v>
      </c>
    </row>
    <row r="525" spans="1:15">
      <c r="A525" t="s">
        <v>58</v>
      </c>
      <c r="B525" t="s">
        <v>20</v>
      </c>
      <c r="C525">
        <v>47</v>
      </c>
      <c r="D525">
        <v>35</v>
      </c>
      <c r="E525" s="1">
        <f t="shared" si="24"/>
        <v>0.57317073170731703</v>
      </c>
      <c r="F525" s="2">
        <v>109.5</v>
      </c>
      <c r="G525" s="2">
        <v>107.3</v>
      </c>
      <c r="H525" s="2">
        <f t="shared" si="25"/>
        <v>2.2000000000000028</v>
      </c>
      <c r="I525" s="1">
        <f>+(F525^14)/((F525^14+G525^14))</f>
        <v>0.57056154224834466</v>
      </c>
      <c r="J525" s="2">
        <v>112.5</v>
      </c>
      <c r="K525" s="2">
        <v>110.2</v>
      </c>
      <c r="L525" s="2">
        <f t="shared" si="26"/>
        <v>2.2999999999999972</v>
      </c>
      <c r="M525">
        <v>107.4</v>
      </c>
      <c r="N525">
        <v>114.8</v>
      </c>
      <c r="O525">
        <v>-0.6</v>
      </c>
    </row>
    <row r="526" spans="1:15">
      <c r="A526" t="s">
        <v>58</v>
      </c>
      <c r="B526" t="s">
        <v>53</v>
      </c>
      <c r="C526">
        <v>48</v>
      </c>
      <c r="D526">
        <v>34</v>
      </c>
      <c r="E526" s="1">
        <f t="shared" si="24"/>
        <v>0.58536585365853655</v>
      </c>
      <c r="F526" s="2">
        <v>111.7</v>
      </c>
      <c r="G526" s="2">
        <v>110.4</v>
      </c>
      <c r="H526" s="2">
        <f t="shared" si="25"/>
        <v>1.2999999999999972</v>
      </c>
      <c r="I526" s="1">
        <f>+(F526^14)/((F526^14+G526^14))</f>
        <v>0.54088153523494542</v>
      </c>
      <c r="J526" s="2">
        <v>108.5</v>
      </c>
      <c r="K526" s="2">
        <v>107.4</v>
      </c>
      <c r="L526" s="2">
        <f t="shared" si="26"/>
        <v>1.0999999999999943</v>
      </c>
      <c r="M526">
        <v>106</v>
      </c>
      <c r="N526">
        <v>99.3</v>
      </c>
      <c r="O526">
        <v>0.2</v>
      </c>
    </row>
    <row r="527" spans="1:15">
      <c r="A527" t="s">
        <v>58</v>
      </c>
      <c r="B527" t="s">
        <v>22</v>
      </c>
      <c r="C527">
        <v>29</v>
      </c>
      <c r="D527">
        <v>53</v>
      </c>
      <c r="E527" s="1">
        <f t="shared" si="24"/>
        <v>0.35365853658536583</v>
      </c>
      <c r="F527" s="2">
        <v>104.5</v>
      </c>
      <c r="G527" s="2">
        <v>108</v>
      </c>
      <c r="H527" s="2">
        <f t="shared" si="25"/>
        <v>-3.5</v>
      </c>
      <c r="I527" s="1">
        <f>+(F527^14)/((F527^14+G527^14))</f>
        <v>0.38669687750275528</v>
      </c>
      <c r="J527" s="2">
        <v>106.3</v>
      </c>
      <c r="K527" s="2">
        <v>109.7</v>
      </c>
      <c r="L527" s="2">
        <f t="shared" si="26"/>
        <v>-3.4000000000000057</v>
      </c>
      <c r="M527">
        <v>95.8</v>
      </c>
      <c r="N527">
        <v>108</v>
      </c>
      <c r="O527">
        <v>-1</v>
      </c>
    </row>
    <row r="528" spans="1:15">
      <c r="A528" t="s">
        <v>58</v>
      </c>
      <c r="B528" t="s">
        <v>46</v>
      </c>
      <c r="C528">
        <v>48</v>
      </c>
      <c r="D528">
        <v>34</v>
      </c>
      <c r="E528" s="1">
        <f t="shared" si="24"/>
        <v>0.58536585365853655</v>
      </c>
      <c r="F528" s="2">
        <v>107.9</v>
      </c>
      <c r="G528" s="2">
        <v>104.4</v>
      </c>
      <c r="H528" s="2">
        <f t="shared" si="25"/>
        <v>3.5</v>
      </c>
      <c r="I528" s="1">
        <f>+(F528^14)/((F528^14+G528^14))</f>
        <v>0.61340618235435873</v>
      </c>
      <c r="J528" s="2">
        <v>110.1</v>
      </c>
      <c r="K528" s="2">
        <v>106.4</v>
      </c>
      <c r="L528" s="2">
        <f t="shared" si="26"/>
        <v>3.6999999999999886</v>
      </c>
      <c r="M528">
        <v>104.5</v>
      </c>
      <c r="N528">
        <v>107.2</v>
      </c>
      <c r="O528">
        <v>1.5</v>
      </c>
    </row>
    <row r="529" spans="1:15">
      <c r="A529" t="s">
        <v>58</v>
      </c>
      <c r="B529" t="s">
        <v>23</v>
      </c>
      <c r="C529">
        <v>25</v>
      </c>
      <c r="D529">
        <v>57</v>
      </c>
      <c r="E529" s="1">
        <f t="shared" si="24"/>
        <v>0.3048780487804878</v>
      </c>
      <c r="F529" s="2">
        <v>103.4</v>
      </c>
      <c r="G529" s="2">
        <v>108.2</v>
      </c>
      <c r="H529" s="2">
        <f t="shared" si="25"/>
        <v>-4.7999999999999972</v>
      </c>
      <c r="I529" s="1">
        <f>+(F529^14)/((F529^14+G529^14))</f>
        <v>0.34631662039158329</v>
      </c>
      <c r="J529" s="2">
        <v>104.7</v>
      </c>
      <c r="K529" s="2">
        <v>109.4</v>
      </c>
      <c r="L529" s="2">
        <f t="shared" si="26"/>
        <v>-4.7000000000000028</v>
      </c>
      <c r="M529">
        <v>98.4</v>
      </c>
      <c r="N529">
        <v>107.1</v>
      </c>
      <c r="O529">
        <v>0</v>
      </c>
    </row>
    <row r="530" spans="1:15">
      <c r="A530" t="s">
        <v>58</v>
      </c>
      <c r="B530" t="s">
        <v>24</v>
      </c>
      <c r="C530">
        <v>52</v>
      </c>
      <c r="D530">
        <v>30</v>
      </c>
      <c r="E530" s="1">
        <f t="shared" si="24"/>
        <v>0.63414634146341464</v>
      </c>
      <c r="F530" s="2">
        <v>109.8</v>
      </c>
      <c r="G530" s="2">
        <v>105.3</v>
      </c>
      <c r="H530" s="2">
        <f t="shared" si="25"/>
        <v>4.5</v>
      </c>
      <c r="I530" s="1">
        <f>+(F530^14)/((F530^14+G530^14))</f>
        <v>0.64241456879862791</v>
      </c>
      <c r="J530" s="2">
        <v>108.5</v>
      </c>
      <c r="K530" s="2">
        <v>103.9</v>
      </c>
      <c r="L530" s="2">
        <f t="shared" si="26"/>
        <v>4.5999999999999943</v>
      </c>
      <c r="M530">
        <v>114.5</v>
      </c>
      <c r="N530">
        <v>97.1</v>
      </c>
      <c r="O530">
        <v>-1.1000000000000001</v>
      </c>
    </row>
    <row r="531" spans="1:15">
      <c r="A531" t="s">
        <v>58</v>
      </c>
      <c r="B531" t="s">
        <v>25</v>
      </c>
      <c r="C531">
        <v>21</v>
      </c>
      <c r="D531">
        <v>61</v>
      </c>
      <c r="E531" s="1">
        <f t="shared" si="24"/>
        <v>0.25609756097560976</v>
      </c>
      <c r="F531" s="2">
        <v>103.9</v>
      </c>
      <c r="G531" s="2">
        <v>113.3</v>
      </c>
      <c r="H531" s="2">
        <f t="shared" si="25"/>
        <v>-9.3999999999999915</v>
      </c>
      <c r="I531" s="1">
        <f>+(F531^14)/((F531^14+G531^14))</f>
        <v>0.22925126807249627</v>
      </c>
      <c r="J531" s="2">
        <v>102.8</v>
      </c>
      <c r="K531" s="2">
        <v>111.7</v>
      </c>
      <c r="L531" s="2">
        <f t="shared" si="26"/>
        <v>-8.9000000000000057</v>
      </c>
      <c r="M531">
        <v>95.3</v>
      </c>
      <c r="N531">
        <v>104.9</v>
      </c>
      <c r="O531">
        <v>-0.4</v>
      </c>
    </row>
    <row r="532" spans="1:15">
      <c r="A532" t="s">
        <v>58</v>
      </c>
      <c r="B532" t="s">
        <v>26</v>
      </c>
      <c r="C532">
        <v>49</v>
      </c>
      <c r="D532">
        <v>33</v>
      </c>
      <c r="E532" s="1">
        <f t="shared" si="24"/>
        <v>0.59756097560975607</v>
      </c>
      <c r="F532" s="2">
        <v>105.6</v>
      </c>
      <c r="G532" s="2">
        <v>103</v>
      </c>
      <c r="H532" s="2">
        <f t="shared" si="25"/>
        <v>2.5999999999999943</v>
      </c>
      <c r="I532" s="1">
        <f>+(F532^14)/((F532^14+G532^14))</f>
        <v>0.5863778164099368</v>
      </c>
      <c r="J532" s="2">
        <v>108.4</v>
      </c>
      <c r="K532" s="2">
        <v>105.7</v>
      </c>
      <c r="L532" s="2">
        <f t="shared" si="26"/>
        <v>2.7000000000000028</v>
      </c>
      <c r="M532">
        <v>103</v>
      </c>
      <c r="N532">
        <v>96.7</v>
      </c>
      <c r="O532">
        <v>-0.4</v>
      </c>
    </row>
    <row r="533" spans="1:15">
      <c r="A533" t="s">
        <v>58</v>
      </c>
      <c r="B533" t="s">
        <v>27</v>
      </c>
      <c r="C533">
        <v>27</v>
      </c>
      <c r="D533">
        <v>55</v>
      </c>
      <c r="E533" s="1">
        <f t="shared" si="24"/>
        <v>0.32926829268292684</v>
      </c>
      <c r="F533" s="2">
        <v>98.8</v>
      </c>
      <c r="G533" s="2">
        <v>105.8</v>
      </c>
      <c r="H533" s="2">
        <f t="shared" si="25"/>
        <v>-7</v>
      </c>
      <c r="I533" s="1">
        <f>+(F533^14)/((F533^14+G533^14))</f>
        <v>0.27721051622974674</v>
      </c>
      <c r="J533" s="2">
        <v>103.1</v>
      </c>
      <c r="K533" s="2">
        <v>110.4</v>
      </c>
      <c r="L533" s="2">
        <f t="shared" si="26"/>
        <v>-7.3000000000000114</v>
      </c>
      <c r="M533">
        <v>105.8</v>
      </c>
      <c r="N533">
        <v>103.2</v>
      </c>
      <c r="O533">
        <v>-0.9</v>
      </c>
    </row>
    <row r="534" spans="1:15">
      <c r="A534" t="s">
        <v>58</v>
      </c>
      <c r="B534" t="s">
        <v>28</v>
      </c>
      <c r="C534">
        <v>47</v>
      </c>
      <c r="D534">
        <v>35</v>
      </c>
      <c r="E534" s="1">
        <f t="shared" si="24"/>
        <v>0.57317073170731703</v>
      </c>
      <c r="F534" s="2">
        <v>102.7</v>
      </c>
      <c r="G534" s="2">
        <v>99.8</v>
      </c>
      <c r="H534" s="2">
        <f t="shared" si="25"/>
        <v>2.9000000000000057</v>
      </c>
      <c r="I534" s="1">
        <f>+(F534^14)/((F534^14+G534^14))</f>
        <v>0.59893151729191718</v>
      </c>
      <c r="J534" s="2">
        <v>107.1</v>
      </c>
      <c r="K534" s="2">
        <v>104.1</v>
      </c>
      <c r="L534" s="2">
        <f t="shared" si="26"/>
        <v>3</v>
      </c>
      <c r="M534">
        <v>106.8</v>
      </c>
      <c r="N534">
        <v>104.6</v>
      </c>
      <c r="O534">
        <v>1.3</v>
      </c>
    </row>
    <row r="535" spans="1:15">
      <c r="A535" t="s">
        <v>58</v>
      </c>
      <c r="B535" t="s">
        <v>30</v>
      </c>
      <c r="C535">
        <v>59</v>
      </c>
      <c r="D535">
        <v>23</v>
      </c>
      <c r="E535" s="1">
        <f t="shared" si="24"/>
        <v>0.71951219512195119</v>
      </c>
      <c r="F535" s="2">
        <v>111.7</v>
      </c>
      <c r="G535" s="2">
        <v>103.9</v>
      </c>
      <c r="H535" s="2">
        <f t="shared" si="25"/>
        <v>7.7999999999999972</v>
      </c>
      <c r="I535" s="1">
        <f>+(F535^14)/((F535^14+G535^14))</f>
        <v>0.73369073451534572</v>
      </c>
      <c r="J535" s="2">
        <v>113</v>
      </c>
      <c r="K535" s="2">
        <v>105.3</v>
      </c>
      <c r="L535" s="2">
        <f t="shared" si="26"/>
        <v>7.7000000000000028</v>
      </c>
      <c r="M535">
        <v>103.1</v>
      </c>
      <c r="N535">
        <v>102.6</v>
      </c>
      <c r="O535">
        <v>1.9</v>
      </c>
    </row>
    <row r="536" spans="1:15">
      <c r="A536" t="s">
        <v>58</v>
      </c>
      <c r="B536" t="s">
        <v>31</v>
      </c>
      <c r="C536">
        <v>48</v>
      </c>
      <c r="D536">
        <v>34</v>
      </c>
      <c r="E536" s="1">
        <f t="shared" si="24"/>
        <v>0.58536585365853655</v>
      </c>
      <c r="F536" s="2">
        <v>104.1</v>
      </c>
      <c r="G536" s="2">
        <v>99.8</v>
      </c>
      <c r="H536" s="2">
        <f t="shared" si="25"/>
        <v>4.2999999999999972</v>
      </c>
      <c r="I536" s="1">
        <f>+(F536^14)/((F536^14+G536^14))</f>
        <v>0.64349662886143</v>
      </c>
      <c r="J536" s="2">
        <v>107.4</v>
      </c>
      <c r="K536" s="2">
        <v>103</v>
      </c>
      <c r="L536" s="2">
        <f t="shared" si="26"/>
        <v>4.4000000000000057</v>
      </c>
      <c r="M536">
        <v>107.6</v>
      </c>
      <c r="N536">
        <v>101.3</v>
      </c>
      <c r="O536">
        <v>1.8</v>
      </c>
    </row>
    <row r="537" spans="1:15">
      <c r="A537" t="s">
        <v>58</v>
      </c>
      <c r="B537" t="s">
        <v>33</v>
      </c>
      <c r="C537">
        <v>43</v>
      </c>
      <c r="D537">
        <v>39</v>
      </c>
      <c r="E537" s="1">
        <f t="shared" si="24"/>
        <v>0.52439024390243905</v>
      </c>
      <c r="F537" s="2">
        <v>106.6</v>
      </c>
      <c r="G537" s="2">
        <v>106</v>
      </c>
      <c r="H537" s="2">
        <f t="shared" si="25"/>
        <v>0.59999999999999432</v>
      </c>
      <c r="I537" s="1">
        <f>+(F537^14)/((F537^14+G537^14))</f>
        <v>0.51974518791445967</v>
      </c>
      <c r="J537" s="2">
        <v>108.1</v>
      </c>
      <c r="K537" s="2">
        <v>107.7</v>
      </c>
      <c r="L537" s="2">
        <f t="shared" si="26"/>
        <v>0.39999999999999147</v>
      </c>
      <c r="M537">
        <v>96</v>
      </c>
      <c r="N537">
        <v>104.3</v>
      </c>
      <c r="O537">
        <v>-0.8</v>
      </c>
    </row>
    <row r="538" spans="1:15">
      <c r="A538" t="s">
        <v>59</v>
      </c>
      <c r="B538" t="s">
        <v>5</v>
      </c>
      <c r="C538">
        <v>29</v>
      </c>
      <c r="D538">
        <v>53</v>
      </c>
      <c r="E538" s="1">
        <f t="shared" si="24"/>
        <v>0.35365853658536583</v>
      </c>
      <c r="F538" s="2">
        <v>113.3</v>
      </c>
      <c r="G538" s="2">
        <v>119.4</v>
      </c>
      <c r="H538" s="2">
        <f t="shared" si="25"/>
        <v>-6.1000000000000085</v>
      </c>
      <c r="I538" s="1">
        <f>+(F538^14)/((F538^14+G538^14))</f>
        <v>0.32428240772060213</v>
      </c>
      <c r="J538" s="2">
        <v>107.5</v>
      </c>
      <c r="K538" s="2">
        <v>113.1</v>
      </c>
      <c r="L538" s="2">
        <f t="shared" si="26"/>
        <v>-5.5999999999999943</v>
      </c>
      <c r="M538">
        <v>104</v>
      </c>
      <c r="N538">
        <v>97.8</v>
      </c>
      <c r="O538">
        <v>-0.1</v>
      </c>
    </row>
    <row r="539" spans="1:15">
      <c r="A539" t="s">
        <v>59</v>
      </c>
      <c r="B539" t="s">
        <v>6</v>
      </c>
      <c r="C539">
        <v>49</v>
      </c>
      <c r="D539">
        <v>33</v>
      </c>
      <c r="E539" s="1">
        <f t="shared" si="24"/>
        <v>0.59756097560975607</v>
      </c>
      <c r="F539" s="2">
        <v>112.4</v>
      </c>
      <c r="G539" s="2">
        <v>108</v>
      </c>
      <c r="H539" s="2">
        <f t="shared" si="25"/>
        <v>4.4000000000000057</v>
      </c>
      <c r="I539" s="1">
        <f>+(F539^14)/((F539^14+G539^14))</f>
        <v>0.63623453885464354</v>
      </c>
      <c r="J539" s="2">
        <v>111.3</v>
      </c>
      <c r="K539" s="2">
        <v>107</v>
      </c>
      <c r="L539" s="2">
        <f t="shared" si="26"/>
        <v>4.2999999999999972</v>
      </c>
      <c r="M539">
        <v>123.8</v>
      </c>
      <c r="N539">
        <v>114.7</v>
      </c>
      <c r="O539">
        <v>1.4</v>
      </c>
    </row>
    <row r="540" spans="1:15">
      <c r="A540" t="s">
        <v>59</v>
      </c>
      <c r="B540" t="s">
        <v>51</v>
      </c>
      <c r="C540">
        <v>42</v>
      </c>
      <c r="D540">
        <v>40</v>
      </c>
      <c r="E540" s="1">
        <f t="shared" si="24"/>
        <v>0.51219512195121952</v>
      </c>
      <c r="F540" s="2">
        <v>112.2</v>
      </c>
      <c r="G540" s="2">
        <v>112.3</v>
      </c>
      <c r="H540" s="2">
        <f t="shared" si="25"/>
        <v>-9.9999999999994316E-2</v>
      </c>
      <c r="I540" s="1">
        <f>+(F540^14)/((F540^14+G540^14))</f>
        <v>0.49688200012291167</v>
      </c>
      <c r="J540" s="2">
        <v>108.9</v>
      </c>
      <c r="K540" s="2">
        <v>109</v>
      </c>
      <c r="L540" s="2">
        <f t="shared" si="26"/>
        <v>-9.9999999999994316E-2</v>
      </c>
      <c r="M540">
        <v>109.7</v>
      </c>
      <c r="N540">
        <v>111.8</v>
      </c>
      <c r="O540">
        <v>-0.3</v>
      </c>
    </row>
    <row r="541" spans="1:15">
      <c r="A541" t="s">
        <v>59</v>
      </c>
      <c r="B541" t="s">
        <v>7</v>
      </c>
      <c r="C541">
        <v>39</v>
      </c>
      <c r="D541">
        <v>43</v>
      </c>
      <c r="E541" s="1">
        <f t="shared" si="24"/>
        <v>0.47560975609756095</v>
      </c>
      <c r="F541" s="2">
        <v>110.7</v>
      </c>
      <c r="G541" s="2">
        <v>111.8</v>
      </c>
      <c r="H541" s="2">
        <f t="shared" si="25"/>
        <v>-1.0999999999999943</v>
      </c>
      <c r="I541" s="1">
        <f>+(F541^14)/((F541^14+G541^14))</f>
        <v>0.46544813340769592</v>
      </c>
      <c r="J541" s="2">
        <v>110.7</v>
      </c>
      <c r="K541" s="2">
        <v>112</v>
      </c>
      <c r="L541" s="2">
        <f t="shared" si="26"/>
        <v>-1.2999999999999972</v>
      </c>
      <c r="M541">
        <v>109.3</v>
      </c>
      <c r="N541">
        <v>111.2</v>
      </c>
      <c r="O541">
        <v>-1.1000000000000001</v>
      </c>
    </row>
    <row r="542" spans="1:15">
      <c r="A542" t="s">
        <v>59</v>
      </c>
      <c r="B542" t="s">
        <v>8</v>
      </c>
      <c r="C542">
        <v>22</v>
      </c>
      <c r="D542">
        <v>60</v>
      </c>
      <c r="E542" s="1">
        <f t="shared" si="24"/>
        <v>0.26829268292682928</v>
      </c>
      <c r="F542" s="2">
        <v>104.9</v>
      </c>
      <c r="G542" s="2">
        <v>113.4</v>
      </c>
      <c r="H542" s="2">
        <f t="shared" si="25"/>
        <v>-8.5</v>
      </c>
      <c r="I542" s="1">
        <f>+(F542^14)/((F542^14+G542^14))</f>
        <v>0.25146874309736672</v>
      </c>
      <c r="J542" s="2">
        <v>104.5</v>
      </c>
      <c r="K542" s="2">
        <v>112.8</v>
      </c>
      <c r="L542" s="2">
        <f t="shared" si="26"/>
        <v>-8.2999999999999972</v>
      </c>
      <c r="M542">
        <v>98.8</v>
      </c>
      <c r="N542">
        <v>107.1</v>
      </c>
      <c r="O542">
        <v>-1</v>
      </c>
    </row>
    <row r="543" spans="1:15">
      <c r="A543" t="s">
        <v>59</v>
      </c>
      <c r="B543" t="s">
        <v>9</v>
      </c>
      <c r="C543">
        <v>19</v>
      </c>
      <c r="D543">
        <v>63</v>
      </c>
      <c r="E543" s="1">
        <f t="shared" si="24"/>
        <v>0.23170731707317074</v>
      </c>
      <c r="F543" s="2">
        <v>104.5</v>
      </c>
      <c r="G543" s="2">
        <v>114.1</v>
      </c>
      <c r="H543" s="2">
        <f t="shared" si="25"/>
        <v>-9.5999999999999943</v>
      </c>
      <c r="I543" s="1">
        <f>+(F543^14)/((F543^14+G543^14))</f>
        <v>0.22610537023312996</v>
      </c>
      <c r="J543" s="2">
        <v>106.8</v>
      </c>
      <c r="K543" s="2">
        <v>116.8</v>
      </c>
      <c r="L543" s="2">
        <f t="shared" si="26"/>
        <v>-10</v>
      </c>
      <c r="M543">
        <v>99</v>
      </c>
      <c r="N543">
        <v>110.6</v>
      </c>
      <c r="O543">
        <v>-1.7</v>
      </c>
    </row>
    <row r="544" spans="1:15">
      <c r="A544" t="s">
        <v>59</v>
      </c>
      <c r="B544" t="s">
        <v>10</v>
      </c>
      <c r="C544">
        <v>33</v>
      </c>
      <c r="D544">
        <v>49</v>
      </c>
      <c r="E544" s="1">
        <f t="shared" si="24"/>
        <v>0.40243902439024393</v>
      </c>
      <c r="F544" s="2">
        <v>108.9</v>
      </c>
      <c r="G544" s="2">
        <v>110.1</v>
      </c>
      <c r="H544" s="2">
        <f t="shared" si="25"/>
        <v>-1.1999999999999886</v>
      </c>
      <c r="I544" s="1">
        <f>+(F544^14)/((F544^14+G544^14))</f>
        <v>0.46171851651459928</v>
      </c>
      <c r="J544" s="2">
        <v>108.7</v>
      </c>
      <c r="K544" s="2">
        <v>110.1</v>
      </c>
      <c r="L544" s="2">
        <f t="shared" si="26"/>
        <v>-1.3999999999999915</v>
      </c>
      <c r="M544">
        <v>100.3</v>
      </c>
      <c r="N544">
        <v>108.9</v>
      </c>
      <c r="O544">
        <v>0.4</v>
      </c>
    </row>
    <row r="545" spans="1:15">
      <c r="A545" t="s">
        <v>59</v>
      </c>
      <c r="B545" t="s">
        <v>11</v>
      </c>
      <c r="C545">
        <v>54</v>
      </c>
      <c r="D545">
        <v>28</v>
      </c>
      <c r="E545" s="1">
        <f t="shared" si="24"/>
        <v>0.65853658536585369</v>
      </c>
      <c r="F545" s="2">
        <v>110.7</v>
      </c>
      <c r="G545" s="2">
        <v>106.7</v>
      </c>
      <c r="H545" s="2">
        <f t="shared" si="25"/>
        <v>4</v>
      </c>
      <c r="I545" s="1">
        <f>+(F545^14)/((F545^14+G545^14))</f>
        <v>0.62603347117131569</v>
      </c>
      <c r="J545" s="2">
        <v>112.1</v>
      </c>
      <c r="K545" s="2">
        <v>108.1</v>
      </c>
      <c r="L545" s="2">
        <f t="shared" si="26"/>
        <v>4</v>
      </c>
      <c r="M545">
        <v>106.7</v>
      </c>
      <c r="N545">
        <v>94.9</v>
      </c>
      <c r="O545">
        <v>1.6</v>
      </c>
    </row>
    <row r="546" spans="1:15">
      <c r="A546" t="s">
        <v>59</v>
      </c>
      <c r="B546" t="s">
        <v>12</v>
      </c>
      <c r="C546">
        <v>41</v>
      </c>
      <c r="D546">
        <v>41</v>
      </c>
      <c r="E546" s="1">
        <f t="shared" si="24"/>
        <v>0.5</v>
      </c>
      <c r="F546" s="2">
        <v>107</v>
      </c>
      <c r="G546" s="2">
        <v>107.3</v>
      </c>
      <c r="H546" s="2">
        <f t="shared" si="25"/>
        <v>-0.29999999999999716</v>
      </c>
      <c r="I546" s="1">
        <f>+(F546^14)/((F546^14+G546^14))</f>
        <v>0.4902019013698185</v>
      </c>
      <c r="J546" s="2">
        <v>108.4</v>
      </c>
      <c r="K546" s="2">
        <v>108.7</v>
      </c>
      <c r="L546" s="2">
        <f t="shared" si="26"/>
        <v>-0.29999999999999716</v>
      </c>
      <c r="M546">
        <v>111.9</v>
      </c>
      <c r="N546">
        <v>114</v>
      </c>
      <c r="O546">
        <v>1.1000000000000001</v>
      </c>
    </row>
    <row r="547" spans="1:15">
      <c r="A547" t="s">
        <v>59</v>
      </c>
      <c r="B547" t="s">
        <v>13</v>
      </c>
      <c r="C547">
        <v>57</v>
      </c>
      <c r="D547">
        <v>25</v>
      </c>
      <c r="E547" s="1">
        <f t="shared" si="24"/>
        <v>0.69512195121951215</v>
      </c>
      <c r="F547" s="2">
        <v>117.7</v>
      </c>
      <c r="G547" s="2">
        <v>111.2</v>
      </c>
      <c r="H547" s="2">
        <f t="shared" si="25"/>
        <v>6.5</v>
      </c>
      <c r="I547" s="1">
        <f>+(F547^14)/((F547^14+G547^14))</f>
        <v>0.68897267779673199</v>
      </c>
      <c r="J547" s="2">
        <v>115</v>
      </c>
      <c r="K547" s="2">
        <v>108.6</v>
      </c>
      <c r="L547" s="2">
        <f t="shared" si="26"/>
        <v>6.4000000000000057</v>
      </c>
      <c r="M547">
        <v>110.5</v>
      </c>
      <c r="N547">
        <v>104.6</v>
      </c>
      <c r="O547">
        <v>0.2</v>
      </c>
    </row>
    <row r="548" spans="1:15">
      <c r="A548" t="s">
        <v>59</v>
      </c>
      <c r="B548" t="s">
        <v>14</v>
      </c>
      <c r="C548">
        <v>53</v>
      </c>
      <c r="D548">
        <v>29</v>
      </c>
      <c r="E548" s="1">
        <f t="shared" si="24"/>
        <v>0.64634146341463417</v>
      </c>
      <c r="F548" s="2">
        <v>113.9</v>
      </c>
      <c r="G548" s="2">
        <v>109.1</v>
      </c>
      <c r="H548" s="2">
        <f t="shared" si="25"/>
        <v>4.8000000000000114</v>
      </c>
      <c r="I548" s="1">
        <f>+(F548^14)/((F548^14+G548^14))</f>
        <v>0.64629291131974342</v>
      </c>
      <c r="J548" s="2">
        <v>114.9</v>
      </c>
      <c r="K548" s="2">
        <v>110.1</v>
      </c>
      <c r="L548" s="2">
        <f t="shared" si="26"/>
        <v>4.8000000000000114</v>
      </c>
      <c r="M548">
        <v>111.8</v>
      </c>
      <c r="N548">
        <v>113.4</v>
      </c>
      <c r="O548">
        <v>0.5</v>
      </c>
    </row>
    <row r="549" spans="1:15">
      <c r="A549" t="s">
        <v>59</v>
      </c>
      <c r="B549" t="s">
        <v>15</v>
      </c>
      <c r="C549">
        <v>48</v>
      </c>
      <c r="D549">
        <v>34</v>
      </c>
      <c r="E549" s="1">
        <f t="shared" si="24"/>
        <v>0.58536585365853655</v>
      </c>
      <c r="F549" s="2">
        <v>108</v>
      </c>
      <c r="G549" s="2">
        <v>104.7</v>
      </c>
      <c r="H549" s="2">
        <f t="shared" si="25"/>
        <v>3.2999999999999972</v>
      </c>
      <c r="I549" s="1">
        <f>+(F549^14)/((F549^14+G549^14))</f>
        <v>0.60693567293355</v>
      </c>
      <c r="J549" s="2">
        <v>109.4</v>
      </c>
      <c r="K549" s="2">
        <v>106</v>
      </c>
      <c r="L549" s="2">
        <f t="shared" si="26"/>
        <v>3.4000000000000057</v>
      </c>
      <c r="M549">
        <v>113.9</v>
      </c>
      <c r="N549">
        <v>104.5</v>
      </c>
      <c r="O549">
        <v>0.8</v>
      </c>
    </row>
    <row r="550" spans="1:15">
      <c r="A550" t="s">
        <v>59</v>
      </c>
      <c r="B550" t="s">
        <v>56</v>
      </c>
      <c r="C550">
        <v>48</v>
      </c>
      <c r="D550">
        <v>34</v>
      </c>
      <c r="E550" s="1">
        <f t="shared" si="24"/>
        <v>0.58536585365853655</v>
      </c>
      <c r="F550" s="2">
        <v>115.1</v>
      </c>
      <c r="G550" s="2">
        <v>114.3</v>
      </c>
      <c r="H550" s="2">
        <f t="shared" si="25"/>
        <v>0.79999999999999716</v>
      </c>
      <c r="I550" s="1">
        <f>+(F550^14)/((F550^14+G550^14))</f>
        <v>0.52439222902089777</v>
      </c>
      <c r="J550" s="2">
        <v>111.4</v>
      </c>
      <c r="K550" s="2">
        <v>110.4</v>
      </c>
      <c r="L550" s="2">
        <f t="shared" si="26"/>
        <v>1</v>
      </c>
      <c r="M550">
        <v>117.2</v>
      </c>
      <c r="N550">
        <v>98.5</v>
      </c>
      <c r="O550">
        <v>1.2</v>
      </c>
    </row>
    <row r="551" spans="1:15">
      <c r="A551" t="s">
        <v>59</v>
      </c>
      <c r="B551" t="s">
        <v>17</v>
      </c>
      <c r="C551">
        <v>37</v>
      </c>
      <c r="D551">
        <v>45</v>
      </c>
      <c r="E551" s="1">
        <f t="shared" si="24"/>
        <v>0.45121951219512196</v>
      </c>
      <c r="F551" s="2">
        <v>111.8</v>
      </c>
      <c r="G551" s="2">
        <v>113.5</v>
      </c>
      <c r="H551" s="2">
        <f t="shared" si="25"/>
        <v>-1.7000000000000028</v>
      </c>
      <c r="I551" s="1">
        <f>+(F551^14)/((F551^14+G551^14))</f>
        <v>0.44737614127951658</v>
      </c>
      <c r="J551" s="2">
        <v>107.4</v>
      </c>
      <c r="K551" s="2">
        <v>108.9</v>
      </c>
      <c r="L551" s="2">
        <f t="shared" si="26"/>
        <v>-1.5</v>
      </c>
      <c r="M551">
        <v>114.7</v>
      </c>
      <c r="N551">
        <v>107.5</v>
      </c>
      <c r="O551">
        <v>-0.8</v>
      </c>
    </row>
    <row r="552" spans="1:15">
      <c r="A552" t="s">
        <v>59</v>
      </c>
      <c r="B552" t="s">
        <v>35</v>
      </c>
      <c r="C552">
        <v>33</v>
      </c>
      <c r="D552">
        <v>49</v>
      </c>
      <c r="E552" s="1">
        <f t="shared" si="24"/>
        <v>0.40243902439024393</v>
      </c>
      <c r="F552" s="2">
        <v>103.5</v>
      </c>
      <c r="G552" s="2">
        <v>106.1</v>
      </c>
      <c r="H552" s="2">
        <f t="shared" si="25"/>
        <v>-2.5999999999999943</v>
      </c>
      <c r="I552" s="1">
        <f>+(F552^14)/((F552^14+G552^14))</f>
        <v>0.41402614202375848</v>
      </c>
      <c r="J552" s="2">
        <v>105.6</v>
      </c>
      <c r="K552" s="2">
        <v>108</v>
      </c>
      <c r="L552" s="2">
        <f t="shared" si="26"/>
        <v>-2.4000000000000057</v>
      </c>
      <c r="M552">
        <v>102.9</v>
      </c>
      <c r="N552">
        <v>109.8</v>
      </c>
      <c r="O552">
        <v>-1.7</v>
      </c>
    </row>
    <row r="553" spans="1:15">
      <c r="A553" t="s">
        <v>59</v>
      </c>
      <c r="B553" t="s">
        <v>18</v>
      </c>
      <c r="C553">
        <v>39</v>
      </c>
      <c r="D553">
        <v>43</v>
      </c>
      <c r="E553" s="1">
        <f t="shared" si="24"/>
        <v>0.47560975609756095</v>
      </c>
      <c r="F553" s="2">
        <v>105.7</v>
      </c>
      <c r="G553" s="2">
        <v>105.9</v>
      </c>
      <c r="H553" s="2">
        <f t="shared" si="25"/>
        <v>-0.20000000000000284</v>
      </c>
      <c r="I553" s="1">
        <f>+(F553^14)/((F553^14+G553^14))</f>
        <v>0.49338412708182683</v>
      </c>
      <c r="J553" s="2">
        <v>106.7</v>
      </c>
      <c r="K553" s="2">
        <v>107.1</v>
      </c>
      <c r="L553" s="2">
        <f t="shared" si="26"/>
        <v>-0.39999999999999147</v>
      </c>
      <c r="M553">
        <v>93.6</v>
      </c>
      <c r="N553">
        <v>97.9</v>
      </c>
      <c r="O553">
        <v>-0.7</v>
      </c>
    </row>
    <row r="554" spans="1:15">
      <c r="A554" t="s">
        <v>59</v>
      </c>
      <c r="B554" t="s">
        <v>19</v>
      </c>
      <c r="C554">
        <v>60</v>
      </c>
      <c r="D554">
        <v>22</v>
      </c>
      <c r="E554" s="1">
        <f t="shared" si="24"/>
        <v>0.73170731707317072</v>
      </c>
      <c r="F554" s="2">
        <v>118.1</v>
      </c>
      <c r="G554" s="2">
        <v>109.3</v>
      </c>
      <c r="H554" s="2">
        <f t="shared" si="25"/>
        <v>8.7999999999999972</v>
      </c>
      <c r="I554" s="1">
        <f>+(F554^14)/((F554^14+G554^14))</f>
        <v>0.7472680645596036</v>
      </c>
      <c r="J554" s="2">
        <v>113.5</v>
      </c>
      <c r="K554" s="2">
        <v>104.9</v>
      </c>
      <c r="L554" s="2">
        <f t="shared" si="26"/>
        <v>8.5999999999999943</v>
      </c>
      <c r="M554">
        <v>113</v>
      </c>
      <c r="N554">
        <v>110.1</v>
      </c>
      <c r="O554">
        <v>2.1</v>
      </c>
    </row>
    <row r="555" spans="1:15">
      <c r="A555" t="s">
        <v>59</v>
      </c>
      <c r="B555" t="s">
        <v>20</v>
      </c>
      <c r="C555">
        <v>36</v>
      </c>
      <c r="D555">
        <v>46</v>
      </c>
      <c r="E555" s="1">
        <f t="shared" si="24"/>
        <v>0.43902439024390244</v>
      </c>
      <c r="F555" s="2">
        <v>112.5</v>
      </c>
      <c r="G555" s="2">
        <v>114</v>
      </c>
      <c r="H555" s="2">
        <f t="shared" si="25"/>
        <v>-1.5</v>
      </c>
      <c r="I555" s="1">
        <f>+(F555^14)/((F555^14+G555^14))</f>
        <v>0.45377408880323472</v>
      </c>
      <c r="J555" s="2">
        <v>110.6</v>
      </c>
      <c r="K555" s="2">
        <v>112.2</v>
      </c>
      <c r="L555" s="2">
        <f t="shared" si="26"/>
        <v>-1.6000000000000085</v>
      </c>
      <c r="M555">
        <v>100</v>
      </c>
      <c r="N555">
        <v>113.4</v>
      </c>
      <c r="O555">
        <v>-1.2</v>
      </c>
    </row>
    <row r="556" spans="1:15">
      <c r="A556" t="s">
        <v>59</v>
      </c>
      <c r="B556" t="s">
        <v>53</v>
      </c>
      <c r="C556">
        <v>33</v>
      </c>
      <c r="D556">
        <v>49</v>
      </c>
      <c r="E556" s="1">
        <f t="shared" si="24"/>
        <v>0.40243902439024393</v>
      </c>
      <c r="F556" s="2">
        <v>115.4</v>
      </c>
      <c r="G556" s="2">
        <v>116.8</v>
      </c>
      <c r="H556" s="2">
        <f t="shared" si="25"/>
        <v>-1.3999999999999915</v>
      </c>
      <c r="I556" s="1">
        <f>+(F556^14)/((F556^14+G556^14))</f>
        <v>0.45789444917000782</v>
      </c>
      <c r="J556" s="2">
        <v>110.7</v>
      </c>
      <c r="K556" s="2">
        <v>112</v>
      </c>
      <c r="L556" s="2">
        <f t="shared" si="26"/>
        <v>-1.2999999999999972</v>
      </c>
      <c r="M556">
        <v>99.4</v>
      </c>
      <c r="N556">
        <v>110</v>
      </c>
      <c r="O556">
        <v>0.8</v>
      </c>
    </row>
    <row r="557" spans="1:15">
      <c r="A557" t="s">
        <v>59</v>
      </c>
      <c r="B557" t="s">
        <v>22</v>
      </c>
      <c r="C557">
        <v>17</v>
      </c>
      <c r="D557">
        <v>65</v>
      </c>
      <c r="E557" s="1">
        <f t="shared" si="24"/>
        <v>0.2073170731707317</v>
      </c>
      <c r="F557" s="2">
        <v>104.6</v>
      </c>
      <c r="G557" s="2">
        <v>113.8</v>
      </c>
      <c r="H557" s="2">
        <f t="shared" si="25"/>
        <v>-9.2000000000000028</v>
      </c>
      <c r="I557" s="1">
        <f>+(F557^14)/((F557^14+G557^14))</f>
        <v>0.23501882994446718</v>
      </c>
      <c r="J557" s="2">
        <v>104</v>
      </c>
      <c r="K557" s="2">
        <v>112.9</v>
      </c>
      <c r="L557" s="2">
        <f t="shared" si="26"/>
        <v>-8.9000000000000057</v>
      </c>
      <c r="M557">
        <v>103</v>
      </c>
      <c r="N557">
        <v>110.8</v>
      </c>
      <c r="O557">
        <v>-1.1000000000000001</v>
      </c>
    </row>
    <row r="558" spans="1:15">
      <c r="A558" t="s">
        <v>59</v>
      </c>
      <c r="B558" t="s">
        <v>46</v>
      </c>
      <c r="C558">
        <v>49</v>
      </c>
      <c r="D558">
        <v>33</v>
      </c>
      <c r="E558" s="1">
        <f t="shared" si="24"/>
        <v>0.59756097560975607</v>
      </c>
      <c r="F558" s="2">
        <v>114.5</v>
      </c>
      <c r="G558" s="2">
        <v>111.1</v>
      </c>
      <c r="H558" s="2">
        <f t="shared" si="25"/>
        <v>3.4000000000000057</v>
      </c>
      <c r="I558" s="1">
        <f>+(F558^14)/((F558^14+G558^14))</f>
        <v>0.60396598327503692</v>
      </c>
      <c r="J558" s="2">
        <v>109.8</v>
      </c>
      <c r="K558" s="2">
        <v>106.5</v>
      </c>
      <c r="L558" s="2">
        <f t="shared" si="26"/>
        <v>3.2999999999999972</v>
      </c>
      <c r="M558">
        <v>106.9</v>
      </c>
      <c r="N558">
        <v>104.6</v>
      </c>
      <c r="O558">
        <v>1</v>
      </c>
    </row>
    <row r="559" spans="1:15">
      <c r="A559" t="s">
        <v>59</v>
      </c>
      <c r="B559" t="s">
        <v>23</v>
      </c>
      <c r="C559">
        <v>42</v>
      </c>
      <c r="D559">
        <v>40</v>
      </c>
      <c r="E559" s="1">
        <f t="shared" si="24"/>
        <v>0.51219512195121952</v>
      </c>
      <c r="F559" s="2">
        <v>107.3</v>
      </c>
      <c r="G559" s="2">
        <v>106.6</v>
      </c>
      <c r="H559" s="2">
        <f t="shared" si="25"/>
        <v>0.70000000000000284</v>
      </c>
      <c r="I559" s="1">
        <f>+(F559^14)/((F559^14+G559^14))</f>
        <v>0.52289196737820709</v>
      </c>
      <c r="J559" s="2">
        <v>108.2</v>
      </c>
      <c r="K559" s="2">
        <v>107.6</v>
      </c>
      <c r="L559" s="2">
        <f t="shared" si="26"/>
        <v>0.60000000000000853</v>
      </c>
      <c r="M559">
        <v>96</v>
      </c>
      <c r="N559">
        <v>98.5</v>
      </c>
      <c r="O559">
        <v>-0.5</v>
      </c>
    </row>
    <row r="560" spans="1:15">
      <c r="A560" t="s">
        <v>59</v>
      </c>
      <c r="B560" t="s">
        <v>24</v>
      </c>
      <c r="C560">
        <v>51</v>
      </c>
      <c r="D560">
        <v>31</v>
      </c>
      <c r="E560" s="1">
        <f t="shared" si="24"/>
        <v>0.62195121951219512</v>
      </c>
      <c r="F560" s="2">
        <v>115.2</v>
      </c>
      <c r="G560" s="2">
        <v>112.5</v>
      </c>
      <c r="H560" s="2">
        <f t="shared" si="25"/>
        <v>2.7000000000000028</v>
      </c>
      <c r="I560" s="1">
        <f>+(F560^14)/((F560^14+G560^14))</f>
        <v>0.58225355885206587</v>
      </c>
      <c r="J560" s="2">
        <v>111.6</v>
      </c>
      <c r="K560" s="2">
        <v>109</v>
      </c>
      <c r="L560" s="2">
        <f t="shared" si="26"/>
        <v>2.5999999999999943</v>
      </c>
      <c r="M560">
        <v>109.5</v>
      </c>
      <c r="N560">
        <v>106.1</v>
      </c>
      <c r="O560">
        <v>-0.1</v>
      </c>
    </row>
    <row r="561" spans="1:15">
      <c r="A561" t="s">
        <v>59</v>
      </c>
      <c r="B561" t="s">
        <v>25</v>
      </c>
      <c r="C561">
        <v>19</v>
      </c>
      <c r="D561">
        <v>63</v>
      </c>
      <c r="E561" s="1">
        <f t="shared" si="24"/>
        <v>0.23170731707317074</v>
      </c>
      <c r="F561" s="2">
        <v>107.5</v>
      </c>
      <c r="G561" s="2">
        <v>116.8</v>
      </c>
      <c r="H561" s="2">
        <f t="shared" si="25"/>
        <v>-9.2999999999999972</v>
      </c>
      <c r="I561" s="1">
        <f>+(F561^14)/((F561^14+G561^14))</f>
        <v>0.2383746596037172</v>
      </c>
      <c r="J561" s="2">
        <v>105.3</v>
      </c>
      <c r="K561" s="2">
        <v>114.2</v>
      </c>
      <c r="L561" s="2">
        <f t="shared" si="26"/>
        <v>-8.9000000000000057</v>
      </c>
      <c r="M561">
        <v>107.7</v>
      </c>
      <c r="N561">
        <v>116.9</v>
      </c>
      <c r="O561">
        <v>-2.1</v>
      </c>
    </row>
    <row r="562" spans="1:15">
      <c r="A562" t="s">
        <v>59</v>
      </c>
      <c r="B562" t="s">
        <v>26</v>
      </c>
      <c r="C562">
        <v>53</v>
      </c>
      <c r="D562">
        <v>29</v>
      </c>
      <c r="E562" s="1">
        <f t="shared" si="24"/>
        <v>0.64634146341463417</v>
      </c>
      <c r="F562" s="2">
        <v>114.7</v>
      </c>
      <c r="G562" s="2">
        <v>110.5</v>
      </c>
      <c r="H562" s="2">
        <f t="shared" si="25"/>
        <v>4.2000000000000028</v>
      </c>
      <c r="I562" s="1">
        <f>+(F562^14)/((F562^14+G562^14))</f>
        <v>0.62767678935512594</v>
      </c>
      <c r="J562" s="2">
        <v>113.7</v>
      </c>
      <c r="K562" s="2">
        <v>109.5</v>
      </c>
      <c r="L562" s="2">
        <f t="shared" si="26"/>
        <v>4.2000000000000028</v>
      </c>
      <c r="M562">
        <v>117.2</v>
      </c>
      <c r="N562">
        <v>108</v>
      </c>
      <c r="O562">
        <v>0.1</v>
      </c>
    </row>
    <row r="563" spans="1:15">
      <c r="A563" t="s">
        <v>59</v>
      </c>
      <c r="B563" t="s">
        <v>27</v>
      </c>
      <c r="C563">
        <v>39</v>
      </c>
      <c r="D563">
        <v>43</v>
      </c>
      <c r="E563" s="1">
        <f t="shared" si="24"/>
        <v>0.47560975609756095</v>
      </c>
      <c r="F563" s="2">
        <v>114.2</v>
      </c>
      <c r="G563" s="2">
        <v>115.3</v>
      </c>
      <c r="H563" s="2">
        <f t="shared" si="25"/>
        <v>-1.0999999999999943</v>
      </c>
      <c r="I563" s="1">
        <f>+(F563^14)/((F563^14+G563^14))</f>
        <v>0.466498812781387</v>
      </c>
      <c r="J563" s="2">
        <v>109.6</v>
      </c>
      <c r="K563" s="2">
        <v>110.8</v>
      </c>
      <c r="L563" s="2">
        <f t="shared" si="26"/>
        <v>-1.2000000000000028</v>
      </c>
      <c r="M563">
        <v>106.1</v>
      </c>
      <c r="N563">
        <v>107.2</v>
      </c>
      <c r="O563">
        <v>-0.2</v>
      </c>
    </row>
    <row r="564" spans="1:15">
      <c r="A564" t="s">
        <v>59</v>
      </c>
      <c r="B564" t="s">
        <v>28</v>
      </c>
      <c r="C564">
        <v>48</v>
      </c>
      <c r="D564">
        <v>34</v>
      </c>
      <c r="E564" s="1">
        <f t="shared" si="24"/>
        <v>0.58536585365853655</v>
      </c>
      <c r="F564" s="2">
        <v>111.7</v>
      </c>
      <c r="G564" s="2">
        <v>110</v>
      </c>
      <c r="H564" s="2">
        <f t="shared" si="25"/>
        <v>1.7000000000000028</v>
      </c>
      <c r="I564" s="1">
        <f>+(F564^14)/((F564^14+G564^14))</f>
        <v>0.55347192797788125</v>
      </c>
      <c r="J564" s="2">
        <v>112.2</v>
      </c>
      <c r="K564" s="2">
        <v>110.6</v>
      </c>
      <c r="L564" s="2">
        <f t="shared" si="26"/>
        <v>1.6000000000000085</v>
      </c>
      <c r="M564">
        <v>113.6</v>
      </c>
      <c r="N564">
        <v>112.5</v>
      </c>
      <c r="O564">
        <v>0.4</v>
      </c>
    </row>
    <row r="565" spans="1:15">
      <c r="A565" t="s">
        <v>59</v>
      </c>
      <c r="B565" t="s">
        <v>30</v>
      </c>
      <c r="C565">
        <v>58</v>
      </c>
      <c r="D565">
        <v>24</v>
      </c>
      <c r="E565" s="1">
        <f t="shared" si="24"/>
        <v>0.70731707317073167</v>
      </c>
      <c r="F565" s="2">
        <v>114.4</v>
      </c>
      <c r="G565" s="2">
        <v>108.4</v>
      </c>
      <c r="H565" s="2">
        <f t="shared" si="25"/>
        <v>6</v>
      </c>
      <c r="I565" s="1">
        <f>+(F565^14)/((F565^14+G565^14))</f>
        <v>0.68009792442204564</v>
      </c>
      <c r="J565" s="2">
        <v>112.6</v>
      </c>
      <c r="K565" s="2">
        <v>106.8</v>
      </c>
      <c r="L565" s="2">
        <f t="shared" si="26"/>
        <v>5.7999999999999972</v>
      </c>
      <c r="M565">
        <v>108.1</v>
      </c>
      <c r="N565">
        <v>100.3</v>
      </c>
      <c r="O565">
        <v>-0.5</v>
      </c>
    </row>
    <row r="566" spans="1:15">
      <c r="A566" t="s">
        <v>59</v>
      </c>
      <c r="B566" t="s">
        <v>31</v>
      </c>
      <c r="C566">
        <v>50</v>
      </c>
      <c r="D566">
        <v>32</v>
      </c>
      <c r="E566" s="1">
        <f t="shared" si="24"/>
        <v>0.6097560975609756</v>
      </c>
      <c r="F566" s="2">
        <v>111.7</v>
      </c>
      <c r="G566" s="2">
        <v>106.5</v>
      </c>
      <c r="H566" s="2">
        <f t="shared" si="25"/>
        <v>5.2000000000000028</v>
      </c>
      <c r="I566" s="1">
        <f>+(F566^14)/((F566^14+G566^14))</f>
        <v>0.66092164871809023</v>
      </c>
      <c r="J566" s="2">
        <v>110.3</v>
      </c>
      <c r="K566" s="2">
        <v>105.3</v>
      </c>
      <c r="L566" s="2">
        <f t="shared" si="26"/>
        <v>5</v>
      </c>
      <c r="M566">
        <v>112.7</v>
      </c>
      <c r="N566">
        <v>109.1</v>
      </c>
      <c r="O566">
        <v>0.6</v>
      </c>
    </row>
    <row r="567" spans="1:15">
      <c r="A567" t="s">
        <v>59</v>
      </c>
      <c r="B567" t="s">
        <v>33</v>
      </c>
      <c r="C567">
        <v>32</v>
      </c>
      <c r="D567">
        <v>50</v>
      </c>
      <c r="E567" s="1">
        <f t="shared" si="24"/>
        <v>0.3902439024390244</v>
      </c>
      <c r="F567" s="2">
        <v>114</v>
      </c>
      <c r="G567" s="2">
        <v>116.9</v>
      </c>
      <c r="H567" s="2">
        <f t="shared" si="25"/>
        <v>-2.9000000000000057</v>
      </c>
      <c r="I567" s="1">
        <f>+(F567^14)/((F567^14+G567^14))</f>
        <v>0.41297365907785938</v>
      </c>
      <c r="J567" s="2">
        <v>110.2</v>
      </c>
      <c r="K567" s="2">
        <v>112.9</v>
      </c>
      <c r="L567" s="2">
        <f t="shared" si="26"/>
        <v>-2.7000000000000028</v>
      </c>
      <c r="M567">
        <v>108.1</v>
      </c>
      <c r="N567">
        <v>111.8</v>
      </c>
      <c r="O567">
        <v>1.1000000000000001</v>
      </c>
    </row>
    <row r="568" spans="1:15">
      <c r="A568" t="s">
        <v>60</v>
      </c>
      <c r="B568" t="s">
        <v>5</v>
      </c>
      <c r="C568">
        <v>20</v>
      </c>
      <c r="D568">
        <v>47</v>
      </c>
      <c r="E568" s="1">
        <f t="shared" si="24"/>
        <v>0.29850746268656714</v>
      </c>
      <c r="F568" s="2">
        <v>111.8</v>
      </c>
      <c r="G568" s="2">
        <v>119.7</v>
      </c>
      <c r="H568" s="2">
        <f t="shared" si="25"/>
        <v>-7.9000000000000057</v>
      </c>
      <c r="I568" s="1">
        <f>+(F568^14)/((F568^14+G568^14))</f>
        <v>0.27770410092072012</v>
      </c>
      <c r="J568" s="2">
        <v>107</v>
      </c>
      <c r="K568" s="2">
        <v>114.4</v>
      </c>
      <c r="L568" s="2">
        <f t="shared" si="26"/>
        <v>-7.4000000000000057</v>
      </c>
      <c r="M568">
        <v>97.4</v>
      </c>
      <c r="N568">
        <v>98.9</v>
      </c>
      <c r="O568">
        <v>-1</v>
      </c>
    </row>
    <row r="569" spans="1:15">
      <c r="A569" t="s">
        <v>60</v>
      </c>
      <c r="B569" t="s">
        <v>6</v>
      </c>
      <c r="C569">
        <v>48</v>
      </c>
      <c r="D569">
        <v>24</v>
      </c>
      <c r="E569" s="1">
        <f t="shared" si="24"/>
        <v>0.66666666666666663</v>
      </c>
      <c r="F569" s="2">
        <v>113.7</v>
      </c>
      <c r="G569" s="2">
        <v>107.3</v>
      </c>
      <c r="H569" s="2">
        <f t="shared" si="25"/>
        <v>6.4000000000000057</v>
      </c>
      <c r="I569" s="1">
        <f>+(F569^14)/((F569^14+G569^14))</f>
        <v>0.69234098586672488</v>
      </c>
      <c r="J569" s="2">
        <v>112.8</v>
      </c>
      <c r="K569" s="2">
        <v>106.5</v>
      </c>
      <c r="L569" s="2">
        <f t="shared" si="26"/>
        <v>6.2999999999999972</v>
      </c>
      <c r="M569">
        <v>114.7</v>
      </c>
      <c r="N569">
        <v>111.2</v>
      </c>
      <c r="O569">
        <v>0.6</v>
      </c>
    </row>
    <row r="570" spans="1:15">
      <c r="A570" t="s">
        <v>60</v>
      </c>
      <c r="B570" t="s">
        <v>51</v>
      </c>
      <c r="C570">
        <v>35</v>
      </c>
      <c r="D570">
        <v>37</v>
      </c>
      <c r="E570" s="1">
        <f t="shared" si="24"/>
        <v>0.4861111111111111</v>
      </c>
      <c r="F570" s="2">
        <v>111.8</v>
      </c>
      <c r="G570" s="2">
        <v>112.3</v>
      </c>
      <c r="H570" s="2">
        <f t="shared" si="25"/>
        <v>-0.5</v>
      </c>
      <c r="I570" s="1">
        <f>+(F570^14)/((F570^14+G570^14))</f>
        <v>0.48438702391890293</v>
      </c>
      <c r="J570" s="2">
        <v>108.7</v>
      </c>
      <c r="K570" s="2">
        <v>109.2</v>
      </c>
      <c r="L570" s="2">
        <f t="shared" si="26"/>
        <v>-0.5</v>
      </c>
      <c r="M570">
        <v>110.4</v>
      </c>
      <c r="N570">
        <v>107.2</v>
      </c>
      <c r="O570">
        <v>-1.3</v>
      </c>
    </row>
    <row r="571" spans="1:15">
      <c r="A571" t="s">
        <v>60</v>
      </c>
      <c r="B571" t="s">
        <v>7</v>
      </c>
      <c r="C571">
        <v>23</v>
      </c>
      <c r="D571">
        <v>42</v>
      </c>
      <c r="E571" s="1">
        <f t="shared" si="24"/>
        <v>0.35384615384615387</v>
      </c>
      <c r="F571" s="2">
        <v>102.9</v>
      </c>
      <c r="G571" s="2">
        <v>109.6</v>
      </c>
      <c r="H571" s="2">
        <f t="shared" si="25"/>
        <v>-6.6999999999999886</v>
      </c>
      <c r="I571" s="1">
        <f>+(F571^14)/((F571^14+G571^14))</f>
        <v>0.29253243315718996</v>
      </c>
      <c r="J571" s="2">
        <v>105.9</v>
      </c>
      <c r="K571" s="2">
        <v>112.8</v>
      </c>
      <c r="L571" s="2">
        <f t="shared" si="26"/>
        <v>-6.8999999999999915</v>
      </c>
      <c r="M571">
        <v>120.3</v>
      </c>
      <c r="N571">
        <v>110.6</v>
      </c>
      <c r="O571">
        <v>-2.1</v>
      </c>
    </row>
    <row r="572" spans="1:15">
      <c r="A572" t="s">
        <v>60</v>
      </c>
      <c r="B572" t="s">
        <v>8</v>
      </c>
      <c r="C572">
        <v>22</v>
      </c>
      <c r="D572">
        <v>43</v>
      </c>
      <c r="E572" s="1">
        <f t="shared" si="24"/>
        <v>0.33846153846153848</v>
      </c>
      <c r="F572" s="2">
        <v>106.8</v>
      </c>
      <c r="G572" s="2">
        <v>109.9</v>
      </c>
      <c r="H572" s="2">
        <f t="shared" si="25"/>
        <v>-3.1000000000000085</v>
      </c>
      <c r="I572" s="1">
        <f>+(F572^14)/((F572^14+G572^14))</f>
        <v>0.40117273517246865</v>
      </c>
      <c r="J572" s="2">
        <v>105.8</v>
      </c>
      <c r="K572" s="2">
        <v>108.9</v>
      </c>
      <c r="L572" s="2">
        <f t="shared" si="26"/>
        <v>-3.1000000000000085</v>
      </c>
      <c r="M572">
        <v>106.5</v>
      </c>
      <c r="N572">
        <v>127.3</v>
      </c>
      <c r="O572">
        <v>-0.5</v>
      </c>
    </row>
    <row r="573" spans="1:15">
      <c r="A573" t="s">
        <v>60</v>
      </c>
      <c r="B573" t="s">
        <v>9</v>
      </c>
      <c r="C573">
        <v>19</v>
      </c>
      <c r="D573">
        <v>46</v>
      </c>
      <c r="E573" s="1">
        <f t="shared" si="24"/>
        <v>0.29230769230769232</v>
      </c>
      <c r="F573" s="2">
        <v>106.9</v>
      </c>
      <c r="G573" s="2">
        <v>114.8</v>
      </c>
      <c r="H573" s="2">
        <f t="shared" si="25"/>
        <v>-7.8999999999999915</v>
      </c>
      <c r="I573" s="1">
        <f>+(F573^14)/((F573^14+G573^14))</f>
        <v>0.26930190028801032</v>
      </c>
      <c r="J573" s="2">
        <v>106.9</v>
      </c>
      <c r="K573" s="2">
        <v>114.8</v>
      </c>
      <c r="L573" s="2">
        <f t="shared" si="26"/>
        <v>-7.8999999999999915</v>
      </c>
      <c r="M573">
        <v>103.5</v>
      </c>
      <c r="N573">
        <v>110.1</v>
      </c>
      <c r="O573">
        <v>0</v>
      </c>
    </row>
    <row r="574" spans="1:15">
      <c r="A574" t="s">
        <v>60</v>
      </c>
      <c r="B574" t="s">
        <v>10</v>
      </c>
      <c r="C574">
        <v>43</v>
      </c>
      <c r="D574">
        <v>32</v>
      </c>
      <c r="E574" s="1">
        <f t="shared" si="24"/>
        <v>0.57333333333333336</v>
      </c>
      <c r="F574" s="2">
        <v>117</v>
      </c>
      <c r="G574" s="2">
        <v>112.1</v>
      </c>
      <c r="H574" s="2">
        <f t="shared" si="25"/>
        <v>4.9000000000000057</v>
      </c>
      <c r="I574" s="1">
        <f>+(F574^14)/((F574^14+G574^14))</f>
        <v>0.64541752583706569</v>
      </c>
      <c r="J574" s="2">
        <v>115.9</v>
      </c>
      <c r="K574" s="2">
        <v>111.2</v>
      </c>
      <c r="L574" s="2">
        <f t="shared" si="26"/>
        <v>4.7000000000000028</v>
      </c>
      <c r="M574">
        <v>99.4</v>
      </c>
      <c r="N574">
        <v>107.5</v>
      </c>
      <c r="O574">
        <v>0.5</v>
      </c>
    </row>
    <row r="575" spans="1:15">
      <c r="A575" t="s">
        <v>60</v>
      </c>
      <c r="B575" t="s">
        <v>11</v>
      </c>
      <c r="C575">
        <v>46</v>
      </c>
      <c r="D575">
        <v>27</v>
      </c>
      <c r="E575" s="1">
        <f t="shared" si="24"/>
        <v>0.63013698630136983</v>
      </c>
      <c r="F575" s="2">
        <v>111.3</v>
      </c>
      <c r="G575" s="2">
        <v>109.2</v>
      </c>
      <c r="H575" s="2">
        <f t="shared" si="25"/>
        <v>2.0999999999999943</v>
      </c>
      <c r="I575" s="1">
        <f>+(F575^14)/((F575^14+G575^14))</f>
        <v>0.56627637451040547</v>
      </c>
      <c r="J575" s="2">
        <v>112.6</v>
      </c>
      <c r="K575" s="2">
        <v>110.4</v>
      </c>
      <c r="L575" s="2">
        <f t="shared" si="26"/>
        <v>2.1999999999999886</v>
      </c>
      <c r="M575">
        <v>118.5</v>
      </c>
      <c r="N575">
        <v>102.9</v>
      </c>
      <c r="O575">
        <v>0.3</v>
      </c>
    </row>
    <row r="576" spans="1:15">
      <c r="A576" t="s">
        <v>60</v>
      </c>
      <c r="B576" t="s">
        <v>12</v>
      </c>
      <c r="C576">
        <v>20</v>
      </c>
      <c r="D576">
        <v>46</v>
      </c>
      <c r="E576" s="1">
        <f t="shared" si="24"/>
        <v>0.30303030303030304</v>
      </c>
      <c r="F576" s="2">
        <v>107.2</v>
      </c>
      <c r="G576" s="2">
        <v>110.8</v>
      </c>
      <c r="H576" s="2">
        <f t="shared" si="25"/>
        <v>-3.5999999999999943</v>
      </c>
      <c r="I576" s="1">
        <f>+(F576^14)/((F576^14+G576^14))</f>
        <v>0.38641014492971848</v>
      </c>
      <c r="J576" s="2">
        <v>108.8</v>
      </c>
      <c r="K576" s="2">
        <v>112.3</v>
      </c>
      <c r="L576" s="2">
        <f t="shared" si="26"/>
        <v>-3.5</v>
      </c>
      <c r="M576">
        <v>91</v>
      </c>
      <c r="N576">
        <v>115.5</v>
      </c>
      <c r="O576">
        <v>0</v>
      </c>
    </row>
    <row r="577" spans="1:15">
      <c r="A577" t="s">
        <v>60</v>
      </c>
      <c r="B577" t="s">
        <v>13</v>
      </c>
      <c r="C577">
        <v>15</v>
      </c>
      <c r="D577">
        <v>50</v>
      </c>
      <c r="E577" s="1">
        <f t="shared" si="24"/>
        <v>0.23076923076923078</v>
      </c>
      <c r="F577" s="2">
        <v>106.3</v>
      </c>
      <c r="G577" s="2">
        <v>115</v>
      </c>
      <c r="H577" s="2">
        <f t="shared" si="25"/>
        <v>-8.7000000000000028</v>
      </c>
      <c r="I577" s="1">
        <f>+(F577^14)/((F577^14+G577^14))</f>
        <v>0.24948968898515997</v>
      </c>
      <c r="J577" s="2">
        <v>104.4</v>
      </c>
      <c r="K577" s="2">
        <v>113</v>
      </c>
      <c r="L577" s="2">
        <f t="shared" si="26"/>
        <v>-8.5999999999999943</v>
      </c>
      <c r="M577">
        <v>102.9</v>
      </c>
      <c r="N577">
        <v>124.9</v>
      </c>
      <c r="O577">
        <v>-0.5</v>
      </c>
    </row>
    <row r="578" spans="1:15">
      <c r="A578" t="s">
        <v>60</v>
      </c>
      <c r="B578" t="s">
        <v>14</v>
      </c>
      <c r="C578">
        <v>44</v>
      </c>
      <c r="D578">
        <v>28</v>
      </c>
      <c r="E578" s="1">
        <f t="shared" si="24"/>
        <v>0.61111111111111116</v>
      </c>
      <c r="F578" s="2">
        <v>117.8</v>
      </c>
      <c r="G578" s="2">
        <v>114.8</v>
      </c>
      <c r="H578" s="2">
        <f t="shared" si="25"/>
        <v>3</v>
      </c>
      <c r="I578" s="1">
        <f>+(F578^14)/((F578^14+G578^14))</f>
        <v>0.58932000368838899</v>
      </c>
      <c r="J578" s="2">
        <v>112.5</v>
      </c>
      <c r="K578" s="2">
        <v>109.8</v>
      </c>
      <c r="L578" s="2">
        <f t="shared" si="26"/>
        <v>2.7000000000000028</v>
      </c>
      <c r="M578">
        <v>115.7</v>
      </c>
      <c r="N578">
        <v>97</v>
      </c>
      <c r="O578">
        <v>-0.5</v>
      </c>
    </row>
    <row r="579" spans="1:15">
      <c r="A579" t="s">
        <v>60</v>
      </c>
      <c r="B579" t="s">
        <v>15</v>
      </c>
      <c r="C579">
        <v>45</v>
      </c>
      <c r="D579">
        <v>28</v>
      </c>
      <c r="E579" s="1">
        <f t="shared" ref="E579:E642" si="27">+C579/(C579+D579)</f>
        <v>0.61643835616438358</v>
      </c>
      <c r="F579" s="2">
        <v>109.4</v>
      </c>
      <c r="G579" s="2">
        <v>107.5</v>
      </c>
      <c r="H579" s="2">
        <f t="shared" ref="H579:H642" si="28">+F579-G579</f>
        <v>1.9000000000000057</v>
      </c>
      <c r="I579" s="1">
        <f>+(F579^14)/((F579^14+G579^14))</f>
        <v>0.56101455538977274</v>
      </c>
      <c r="J579" s="2">
        <v>109.5</v>
      </c>
      <c r="K579" s="2">
        <v>107.5</v>
      </c>
      <c r="L579" s="2">
        <f t="shared" ref="L579:L642" si="29">+J579-K579</f>
        <v>2</v>
      </c>
      <c r="M579">
        <v>107</v>
      </c>
      <c r="N579">
        <v>97.2</v>
      </c>
      <c r="O579">
        <v>-0.8</v>
      </c>
    </row>
    <row r="580" spans="1:15">
      <c r="A580" t="s">
        <v>60</v>
      </c>
      <c r="B580" t="s">
        <v>56</v>
      </c>
      <c r="C580">
        <v>49</v>
      </c>
      <c r="D580">
        <v>23</v>
      </c>
      <c r="E580" s="1">
        <f t="shared" si="27"/>
        <v>0.68055555555555558</v>
      </c>
      <c r="F580" s="2">
        <v>116.3</v>
      </c>
      <c r="G580" s="2">
        <v>109.9</v>
      </c>
      <c r="H580" s="2">
        <f t="shared" si="28"/>
        <v>6.3999999999999915</v>
      </c>
      <c r="I580" s="1">
        <f>+(F580^14)/((F580^14+G580^14))</f>
        <v>0.68835302636242091</v>
      </c>
      <c r="J580" s="2">
        <v>113.3</v>
      </c>
      <c r="K580" s="2">
        <v>106.9</v>
      </c>
      <c r="L580" s="2">
        <f t="shared" si="29"/>
        <v>6.3999999999999915</v>
      </c>
      <c r="M580">
        <v>116</v>
      </c>
      <c r="N580">
        <v>108.3</v>
      </c>
      <c r="O580">
        <v>0.7</v>
      </c>
    </row>
    <row r="581" spans="1:15">
      <c r="A581" t="s">
        <v>60</v>
      </c>
      <c r="B581" t="s">
        <v>17</v>
      </c>
      <c r="C581">
        <v>52</v>
      </c>
      <c r="D581">
        <v>19</v>
      </c>
      <c r="E581" s="1">
        <f t="shared" si="27"/>
        <v>0.73239436619718312</v>
      </c>
      <c r="F581" s="2">
        <v>113.4</v>
      </c>
      <c r="G581" s="2">
        <v>107.6</v>
      </c>
      <c r="H581" s="2">
        <f t="shared" si="28"/>
        <v>5.8000000000000114</v>
      </c>
      <c r="I581" s="1">
        <f>+(F581^14)/((F581^14+G581^14))</f>
        <v>0.6759038081055907</v>
      </c>
      <c r="J581" s="2">
        <v>111.7</v>
      </c>
      <c r="K581" s="2">
        <v>106.1</v>
      </c>
      <c r="L581" s="2">
        <f t="shared" si="29"/>
        <v>5.6000000000000085</v>
      </c>
      <c r="M581">
        <v>107.4</v>
      </c>
      <c r="N581">
        <v>101.7</v>
      </c>
      <c r="O581">
        <v>1.7</v>
      </c>
    </row>
    <row r="582" spans="1:15">
      <c r="A582" t="s">
        <v>60</v>
      </c>
      <c r="B582" t="s">
        <v>35</v>
      </c>
      <c r="C582">
        <v>34</v>
      </c>
      <c r="D582">
        <v>39</v>
      </c>
      <c r="E582" s="1">
        <f t="shared" si="27"/>
        <v>0.46575342465753422</v>
      </c>
      <c r="F582" s="2">
        <v>112.6</v>
      </c>
      <c r="G582" s="2">
        <v>113.7</v>
      </c>
      <c r="H582" s="2">
        <f t="shared" si="28"/>
        <v>-1.1000000000000085</v>
      </c>
      <c r="I582" s="1">
        <f>+(F582^14)/((F582^14+G582^14))</f>
        <v>0.46602653038070502</v>
      </c>
      <c r="J582" s="2">
        <v>108.7</v>
      </c>
      <c r="K582" s="2">
        <v>109.7</v>
      </c>
      <c r="L582" s="2">
        <f t="shared" si="29"/>
        <v>-1</v>
      </c>
      <c r="M582">
        <v>100</v>
      </c>
      <c r="N582">
        <v>116.1</v>
      </c>
      <c r="O582">
        <v>-0.1</v>
      </c>
    </row>
    <row r="583" spans="1:15">
      <c r="A583" t="s">
        <v>60</v>
      </c>
      <c r="B583" t="s">
        <v>18</v>
      </c>
      <c r="C583">
        <v>44</v>
      </c>
      <c r="D583">
        <v>29</v>
      </c>
      <c r="E583" s="1">
        <f t="shared" si="27"/>
        <v>0.60273972602739723</v>
      </c>
      <c r="F583" s="2">
        <v>112</v>
      </c>
      <c r="G583" s="2">
        <v>109.1</v>
      </c>
      <c r="H583" s="2">
        <f t="shared" si="28"/>
        <v>2.9000000000000057</v>
      </c>
      <c r="I583" s="1">
        <f>+(F583^14)/((F583^14+G583^14))</f>
        <v>0.5908005274630016</v>
      </c>
      <c r="J583" s="2">
        <v>111.9</v>
      </c>
      <c r="K583" s="2">
        <v>109.3</v>
      </c>
      <c r="L583" s="2">
        <f t="shared" si="29"/>
        <v>2.6000000000000085</v>
      </c>
      <c r="M583">
        <v>98.1</v>
      </c>
      <c r="N583">
        <v>115.1</v>
      </c>
      <c r="O583">
        <v>-1.2</v>
      </c>
    </row>
    <row r="584" spans="1:15">
      <c r="A584" t="s">
        <v>60</v>
      </c>
      <c r="B584" t="s">
        <v>19</v>
      </c>
      <c r="C584">
        <v>56</v>
      </c>
      <c r="D584">
        <v>17</v>
      </c>
      <c r="E584" s="1">
        <f t="shared" si="27"/>
        <v>0.76712328767123283</v>
      </c>
      <c r="F584" s="2">
        <v>118.7</v>
      </c>
      <c r="G584" s="2">
        <v>108.6</v>
      </c>
      <c r="H584" s="2">
        <f t="shared" si="28"/>
        <v>10.100000000000009</v>
      </c>
      <c r="I584" s="1">
        <f>+(F584^14)/((F584^14+G584^14))</f>
        <v>0.77643149133297851</v>
      </c>
      <c r="J584" s="2">
        <v>111.9</v>
      </c>
      <c r="K584" s="2">
        <v>102.5</v>
      </c>
      <c r="L584" s="2">
        <f t="shared" si="29"/>
        <v>9.4000000000000057</v>
      </c>
      <c r="M584">
        <v>110.1</v>
      </c>
      <c r="N584">
        <v>91.9</v>
      </c>
      <c r="O584">
        <v>2.5</v>
      </c>
    </row>
    <row r="585" spans="1:15">
      <c r="A585" t="s">
        <v>60</v>
      </c>
      <c r="B585" t="s">
        <v>20</v>
      </c>
      <c r="C585">
        <v>19</v>
      </c>
      <c r="D585">
        <v>45</v>
      </c>
      <c r="E585" s="1">
        <f t="shared" si="27"/>
        <v>0.296875</v>
      </c>
      <c r="F585" s="2">
        <v>113.2</v>
      </c>
      <c r="G585" s="2">
        <v>117.5</v>
      </c>
      <c r="H585" s="2">
        <f t="shared" si="28"/>
        <v>-4.2999999999999972</v>
      </c>
      <c r="I585" s="1">
        <f>+(F585^14)/((F585^14+G585^14))</f>
        <v>0.37239628997448704</v>
      </c>
      <c r="J585" s="2">
        <v>107.6</v>
      </c>
      <c r="K585" s="2">
        <v>111.6</v>
      </c>
      <c r="L585" s="2">
        <f t="shared" si="29"/>
        <v>-4</v>
      </c>
      <c r="M585">
        <v>105.6</v>
      </c>
      <c r="N585">
        <v>116.6</v>
      </c>
      <c r="O585">
        <v>-0.4</v>
      </c>
    </row>
    <row r="586" spans="1:15">
      <c r="A586" t="s">
        <v>60</v>
      </c>
      <c r="B586" t="s">
        <v>53</v>
      </c>
      <c r="C586">
        <v>30</v>
      </c>
      <c r="D586">
        <v>42</v>
      </c>
      <c r="E586" s="1">
        <f t="shared" si="27"/>
        <v>0.41666666666666669</v>
      </c>
      <c r="F586" s="2">
        <v>115.8</v>
      </c>
      <c r="G586" s="2">
        <v>117.1</v>
      </c>
      <c r="H586" s="2">
        <f t="shared" si="28"/>
        <v>-1.2999999999999972</v>
      </c>
      <c r="I586" s="1">
        <f>+(F586^14)/((F586^14+G586^14))</f>
        <v>0.46100637384195686</v>
      </c>
      <c r="J586" s="2">
        <v>110.5</v>
      </c>
      <c r="K586" s="2">
        <v>111.8</v>
      </c>
      <c r="L586" s="2">
        <f t="shared" si="29"/>
        <v>-1.2999999999999972</v>
      </c>
      <c r="M586">
        <v>93.4</v>
      </c>
      <c r="N586">
        <v>119.8</v>
      </c>
      <c r="O586">
        <v>0.1</v>
      </c>
    </row>
    <row r="587" spans="1:15">
      <c r="A587" t="s">
        <v>60</v>
      </c>
      <c r="B587" t="s">
        <v>22</v>
      </c>
      <c r="C587">
        <v>21</v>
      </c>
      <c r="D587">
        <v>45</v>
      </c>
      <c r="E587" s="1">
        <f t="shared" si="27"/>
        <v>0.31818181818181818</v>
      </c>
      <c r="F587" s="2">
        <v>105.8</v>
      </c>
      <c r="G587" s="2">
        <v>112.3</v>
      </c>
      <c r="H587" s="2">
        <f t="shared" si="28"/>
        <v>-6.5</v>
      </c>
      <c r="I587" s="1">
        <f>+(F587^14)/((F587^14+G587^14))</f>
        <v>0.30264654338217839</v>
      </c>
      <c r="J587" s="2">
        <v>105.9</v>
      </c>
      <c r="K587" s="2">
        <v>112.4</v>
      </c>
      <c r="L587" s="2">
        <f t="shared" si="29"/>
        <v>-6.5</v>
      </c>
      <c r="M587">
        <v>106.3</v>
      </c>
      <c r="N587">
        <v>102.5</v>
      </c>
      <c r="O587">
        <v>-0.8</v>
      </c>
    </row>
    <row r="588" spans="1:15">
      <c r="A588" t="s">
        <v>60</v>
      </c>
      <c r="B588" t="s">
        <v>46</v>
      </c>
      <c r="C588">
        <v>44</v>
      </c>
      <c r="D588">
        <v>28</v>
      </c>
      <c r="E588" s="1">
        <f t="shared" si="27"/>
        <v>0.61111111111111116</v>
      </c>
      <c r="F588" s="2">
        <v>110.4</v>
      </c>
      <c r="G588" s="2">
        <v>108.4</v>
      </c>
      <c r="H588" s="2">
        <f t="shared" si="28"/>
        <v>2</v>
      </c>
      <c r="I588" s="1">
        <f>+(F588^14)/((F588^14+G588^14))</f>
        <v>0.56364011525876911</v>
      </c>
      <c r="J588" s="2">
        <v>110.1</v>
      </c>
      <c r="K588" s="2">
        <v>108.1</v>
      </c>
      <c r="L588" s="2">
        <f t="shared" si="29"/>
        <v>2</v>
      </c>
      <c r="M588">
        <v>120.9</v>
      </c>
      <c r="N588">
        <v>94.4</v>
      </c>
      <c r="O588">
        <v>2.2000000000000002</v>
      </c>
    </row>
    <row r="589" spans="1:15">
      <c r="A589" t="s">
        <v>60</v>
      </c>
      <c r="B589" t="s">
        <v>23</v>
      </c>
      <c r="C589">
        <v>33</v>
      </c>
      <c r="D589">
        <v>40</v>
      </c>
      <c r="E589" s="1">
        <f t="shared" si="27"/>
        <v>0.45205479452054792</v>
      </c>
      <c r="F589" s="2">
        <v>107.3</v>
      </c>
      <c r="G589" s="2">
        <v>108.3</v>
      </c>
      <c r="H589" s="2">
        <f t="shared" si="28"/>
        <v>-1</v>
      </c>
      <c r="I589" s="1">
        <f>+(F589^14)/((F589^14+G589^14))</f>
        <v>0.46757779264200222</v>
      </c>
      <c r="J589" s="2">
        <v>107.9</v>
      </c>
      <c r="K589" s="2">
        <v>109.2</v>
      </c>
      <c r="L589" s="2">
        <f t="shared" si="29"/>
        <v>-1.2999999999999972</v>
      </c>
      <c r="M589">
        <v>95.7</v>
      </c>
      <c r="N589">
        <v>104.7</v>
      </c>
      <c r="O589">
        <v>-0.9</v>
      </c>
    </row>
    <row r="590" spans="1:15">
      <c r="A590" t="s">
        <v>60</v>
      </c>
      <c r="B590" t="s">
        <v>24</v>
      </c>
      <c r="C590">
        <v>43</v>
      </c>
      <c r="D590">
        <v>30</v>
      </c>
      <c r="E590" s="1">
        <f t="shared" si="27"/>
        <v>0.58904109589041098</v>
      </c>
      <c r="F590" s="2">
        <v>110.7</v>
      </c>
      <c r="G590" s="2">
        <v>108.4</v>
      </c>
      <c r="H590" s="2">
        <f t="shared" si="28"/>
        <v>2.2999999999999972</v>
      </c>
      <c r="I590" s="1">
        <f>+(F590^14)/((F590^14+G590^14))</f>
        <v>0.57296056014659968</v>
      </c>
      <c r="J590" s="2">
        <v>110.7</v>
      </c>
      <c r="K590" s="2">
        <v>108.4</v>
      </c>
      <c r="L590" s="2">
        <f t="shared" si="29"/>
        <v>2.2999999999999972</v>
      </c>
      <c r="M590">
        <v>108.9</v>
      </c>
      <c r="N590">
        <v>103.6</v>
      </c>
      <c r="O590">
        <v>0</v>
      </c>
    </row>
    <row r="591" spans="1:15">
      <c r="A591" t="s">
        <v>60</v>
      </c>
      <c r="B591" t="s">
        <v>25</v>
      </c>
      <c r="C591">
        <v>34</v>
      </c>
      <c r="D591">
        <v>39</v>
      </c>
      <c r="E591" s="1">
        <f t="shared" si="27"/>
        <v>0.46575342465753422</v>
      </c>
      <c r="F591" s="2">
        <v>113.6</v>
      </c>
      <c r="G591" s="2">
        <v>113.4</v>
      </c>
      <c r="H591" s="2">
        <f t="shared" si="28"/>
        <v>0.19999999999998863</v>
      </c>
      <c r="I591" s="1">
        <f>+(F591^14)/((F591^14+G591^14))</f>
        <v>0.50616708971115398</v>
      </c>
      <c r="J591" s="2">
        <v>111.3</v>
      </c>
      <c r="K591" s="2">
        <v>110.8</v>
      </c>
      <c r="L591" s="2">
        <f t="shared" si="29"/>
        <v>0.5</v>
      </c>
      <c r="M591">
        <v>110.3</v>
      </c>
      <c r="N591">
        <v>110.8</v>
      </c>
      <c r="O591">
        <v>-0.7</v>
      </c>
    </row>
    <row r="592" spans="1:15">
      <c r="A592" t="s">
        <v>60</v>
      </c>
      <c r="B592" t="s">
        <v>26</v>
      </c>
      <c r="C592">
        <v>35</v>
      </c>
      <c r="D592">
        <v>39</v>
      </c>
      <c r="E592" s="1">
        <f t="shared" si="27"/>
        <v>0.47297297297297297</v>
      </c>
      <c r="F592" s="2">
        <v>115</v>
      </c>
      <c r="G592" s="2">
        <v>116.1</v>
      </c>
      <c r="H592" s="2">
        <f t="shared" si="28"/>
        <v>-1.0999999999999943</v>
      </c>
      <c r="I592" s="1">
        <f>+(F592^14)/((F592^14+G592^14))</f>
        <v>0.46673007111560078</v>
      </c>
      <c r="J592" s="2">
        <v>113.2</v>
      </c>
      <c r="K592" s="2">
        <v>114.3</v>
      </c>
      <c r="L592" s="2">
        <f t="shared" si="29"/>
        <v>-1.0999999999999943</v>
      </c>
      <c r="M592">
        <v>117.2</v>
      </c>
      <c r="N592">
        <v>111.2</v>
      </c>
      <c r="O592">
        <v>1</v>
      </c>
    </row>
    <row r="593" spans="1:15">
      <c r="A593" t="s">
        <v>60</v>
      </c>
      <c r="B593" t="s">
        <v>27</v>
      </c>
      <c r="C593">
        <v>31</v>
      </c>
      <c r="D593">
        <v>41</v>
      </c>
      <c r="E593" s="1">
        <f t="shared" si="27"/>
        <v>0.43055555555555558</v>
      </c>
      <c r="F593" s="2">
        <v>110.1</v>
      </c>
      <c r="G593" s="2">
        <v>112.1</v>
      </c>
      <c r="H593" s="2">
        <f t="shared" si="28"/>
        <v>-2</v>
      </c>
      <c r="I593" s="1">
        <f>+(F593^14)/((F593^14+G593^14))</f>
        <v>0.43732341582347528</v>
      </c>
      <c r="J593" s="2">
        <v>109.5</v>
      </c>
      <c r="K593" s="2">
        <v>111.4</v>
      </c>
      <c r="L593" s="2">
        <f t="shared" si="29"/>
        <v>-1.9000000000000057</v>
      </c>
      <c r="M593">
        <v>111</v>
      </c>
      <c r="N593">
        <v>113.7</v>
      </c>
      <c r="O593">
        <v>0.1</v>
      </c>
    </row>
    <row r="594" spans="1:15">
      <c r="A594" t="s">
        <v>60</v>
      </c>
      <c r="B594" t="s">
        <v>28</v>
      </c>
      <c r="C594">
        <v>32</v>
      </c>
      <c r="D594">
        <v>39</v>
      </c>
      <c r="E594" s="1">
        <f t="shared" si="27"/>
        <v>0.45070422535211269</v>
      </c>
      <c r="F594" s="2">
        <v>114.1</v>
      </c>
      <c r="G594" s="2">
        <v>115.2</v>
      </c>
      <c r="H594" s="2">
        <f t="shared" si="28"/>
        <v>-1.1000000000000085</v>
      </c>
      <c r="I594" s="1">
        <f>+(F594^14)/((F594^14+G594^14))</f>
        <v>0.46646967958188307</v>
      </c>
      <c r="J594" s="2">
        <v>111.7</v>
      </c>
      <c r="K594" s="2">
        <v>112.6</v>
      </c>
      <c r="L594" s="2">
        <f t="shared" si="29"/>
        <v>-0.89999999999999147</v>
      </c>
      <c r="M594">
        <v>105.2</v>
      </c>
      <c r="N594">
        <v>112</v>
      </c>
      <c r="O594">
        <v>-0.9</v>
      </c>
    </row>
    <row r="595" spans="1:15">
      <c r="A595" t="s">
        <v>60</v>
      </c>
      <c r="B595" t="s">
        <v>30</v>
      </c>
      <c r="C595">
        <v>53</v>
      </c>
      <c r="D595">
        <v>19</v>
      </c>
      <c r="E595" s="1">
        <f t="shared" si="27"/>
        <v>0.73611111111111116</v>
      </c>
      <c r="F595" s="2">
        <v>112.8</v>
      </c>
      <c r="G595" s="2">
        <v>106.5</v>
      </c>
      <c r="H595" s="2">
        <f t="shared" si="28"/>
        <v>6.2999999999999972</v>
      </c>
      <c r="I595" s="1">
        <f>+(F595^14)/((F595^14+G595^14))</f>
        <v>0.69095738167684095</v>
      </c>
      <c r="J595" s="2">
        <v>110.8</v>
      </c>
      <c r="K595" s="2">
        <v>104.7</v>
      </c>
      <c r="L595" s="2">
        <f t="shared" si="29"/>
        <v>6.0999999999999943</v>
      </c>
      <c r="M595">
        <v>118.1</v>
      </c>
      <c r="N595">
        <v>97.4</v>
      </c>
      <c r="O595">
        <v>1.2</v>
      </c>
    </row>
    <row r="596" spans="1:15">
      <c r="A596" t="s">
        <v>60</v>
      </c>
      <c r="B596" t="s">
        <v>31</v>
      </c>
      <c r="C596">
        <v>44</v>
      </c>
      <c r="D596">
        <v>28</v>
      </c>
      <c r="E596" s="1">
        <f t="shared" si="27"/>
        <v>0.61111111111111116</v>
      </c>
      <c r="F596" s="2">
        <v>111.3</v>
      </c>
      <c r="G596" s="2">
        <v>108.8</v>
      </c>
      <c r="H596" s="2">
        <f t="shared" si="28"/>
        <v>2.5</v>
      </c>
      <c r="I596" s="1">
        <f>+(F596^14)/((F596^14+G596^14))</f>
        <v>0.57884917653720358</v>
      </c>
      <c r="J596" s="2">
        <v>111.8</v>
      </c>
      <c r="K596" s="2">
        <v>109.3</v>
      </c>
      <c r="L596" s="2">
        <f t="shared" si="29"/>
        <v>2.5</v>
      </c>
      <c r="M596">
        <v>112.8</v>
      </c>
      <c r="N596">
        <v>100.3</v>
      </c>
      <c r="O596">
        <v>0.1</v>
      </c>
    </row>
    <row r="597" spans="1:15">
      <c r="A597" t="s">
        <v>60</v>
      </c>
      <c r="B597" t="s">
        <v>33</v>
      </c>
      <c r="C597">
        <v>25</v>
      </c>
      <c r="D597">
        <v>47</v>
      </c>
      <c r="E597" s="1">
        <f t="shared" si="27"/>
        <v>0.34722222222222221</v>
      </c>
      <c r="F597" s="2">
        <v>114.4</v>
      </c>
      <c r="G597" s="2">
        <v>119.1</v>
      </c>
      <c r="H597" s="2">
        <f t="shared" si="28"/>
        <v>-4.6999999999999886</v>
      </c>
      <c r="I597" s="1">
        <f>+(F597^14)/((F597^14+G597^14))</f>
        <v>0.36269789474955427</v>
      </c>
      <c r="J597" s="2">
        <v>110.2</v>
      </c>
      <c r="K597" s="2">
        <v>114.7</v>
      </c>
      <c r="L597" s="2">
        <f t="shared" si="29"/>
        <v>-4.5</v>
      </c>
      <c r="M597">
        <v>104.3</v>
      </c>
      <c r="N597">
        <v>119.6</v>
      </c>
      <c r="O597">
        <v>0.2</v>
      </c>
    </row>
    <row r="598" spans="1:15">
      <c r="A598" t="s">
        <v>61</v>
      </c>
      <c r="B598" t="s">
        <v>5</v>
      </c>
      <c r="C598">
        <v>41</v>
      </c>
      <c r="D598">
        <v>31</v>
      </c>
      <c r="E598" s="1">
        <f t="shared" si="27"/>
        <v>0.56944444444444442</v>
      </c>
      <c r="F598" s="2">
        <v>113.7</v>
      </c>
      <c r="G598" s="2">
        <v>111.4</v>
      </c>
      <c r="H598" s="2">
        <f t="shared" si="28"/>
        <v>2.2999999999999972</v>
      </c>
      <c r="I598" s="1">
        <f>+(F598^14)/((F598^14+G598^14))</f>
        <v>0.57104231246361747</v>
      </c>
      <c r="J598" s="2">
        <v>114.3</v>
      </c>
      <c r="K598" s="2">
        <v>112.1</v>
      </c>
      <c r="L598" s="2">
        <f t="shared" si="29"/>
        <v>2.2000000000000028</v>
      </c>
      <c r="M598">
        <v>113.7</v>
      </c>
      <c r="N598">
        <v>113.1</v>
      </c>
      <c r="O598">
        <v>0.7</v>
      </c>
    </row>
    <row r="599" spans="1:15">
      <c r="A599" t="s">
        <v>61</v>
      </c>
      <c r="B599" t="s">
        <v>6</v>
      </c>
      <c r="C599">
        <v>36</v>
      </c>
      <c r="D599">
        <v>36</v>
      </c>
      <c r="E599" s="1">
        <f t="shared" si="27"/>
        <v>0.5</v>
      </c>
      <c r="F599" s="2">
        <v>112.6</v>
      </c>
      <c r="G599" s="2">
        <v>111.2</v>
      </c>
      <c r="H599" s="2">
        <f t="shared" si="28"/>
        <v>1.3999999999999915</v>
      </c>
      <c r="I599" s="1">
        <f>+(F599^14)/((F599^14+G599^14))</f>
        <v>0.54367805340698128</v>
      </c>
      <c r="J599" s="2">
        <v>113.1</v>
      </c>
      <c r="K599" s="2">
        <v>111.8</v>
      </c>
      <c r="L599" s="2">
        <f t="shared" si="29"/>
        <v>1.2999999999999972</v>
      </c>
      <c r="M599">
        <v>101.5</v>
      </c>
      <c r="N599">
        <v>112.4</v>
      </c>
      <c r="O599">
        <v>0.5</v>
      </c>
    </row>
    <row r="600" spans="1:15">
      <c r="A600" t="s">
        <v>61</v>
      </c>
      <c r="B600" t="s">
        <v>51</v>
      </c>
      <c r="C600">
        <v>48</v>
      </c>
      <c r="D600">
        <v>24</v>
      </c>
      <c r="E600" s="1">
        <f t="shared" si="27"/>
        <v>0.66666666666666663</v>
      </c>
      <c r="F600" s="2">
        <v>118.6</v>
      </c>
      <c r="G600" s="2">
        <v>114.1</v>
      </c>
      <c r="H600" s="2">
        <f t="shared" si="28"/>
        <v>4.5</v>
      </c>
      <c r="I600" s="1">
        <f>+(F600^14)/((F600^14+G600^14))</f>
        <v>0.63216994078193656</v>
      </c>
      <c r="J600" s="2">
        <v>117.3</v>
      </c>
      <c r="K600" s="2">
        <v>113.1</v>
      </c>
      <c r="L600" s="2">
        <f t="shared" si="29"/>
        <v>4.2000000000000028</v>
      </c>
      <c r="M600">
        <v>113.2</v>
      </c>
      <c r="N600">
        <v>103.5</v>
      </c>
      <c r="O600">
        <v>0.9</v>
      </c>
    </row>
    <row r="601" spans="1:15">
      <c r="A601" t="s">
        <v>61</v>
      </c>
      <c r="B601" t="s">
        <v>7</v>
      </c>
      <c r="C601">
        <v>33</v>
      </c>
      <c r="D601">
        <v>39</v>
      </c>
      <c r="E601" s="1">
        <f t="shared" si="27"/>
        <v>0.45833333333333331</v>
      </c>
      <c r="F601" s="2">
        <v>109.5</v>
      </c>
      <c r="G601" s="2">
        <v>111.4</v>
      </c>
      <c r="H601" s="2">
        <f t="shared" si="28"/>
        <v>-1.9000000000000057</v>
      </c>
      <c r="I601" s="1">
        <f>+(F601^14)/((F601^14+G601^14))</f>
        <v>0.4400796285378884</v>
      </c>
      <c r="J601" s="2">
        <v>110.1</v>
      </c>
      <c r="K601" s="2">
        <v>112</v>
      </c>
      <c r="L601" s="2">
        <f t="shared" si="29"/>
        <v>-1.9000000000000057</v>
      </c>
      <c r="M601">
        <v>122.2</v>
      </c>
      <c r="N601">
        <v>102.4</v>
      </c>
      <c r="O601">
        <v>0</v>
      </c>
    </row>
    <row r="602" spans="1:15">
      <c r="A602" t="s">
        <v>61</v>
      </c>
      <c r="B602" t="s">
        <v>8</v>
      </c>
      <c r="C602">
        <v>31</v>
      </c>
      <c r="D602">
        <v>41</v>
      </c>
      <c r="E602" s="1">
        <f t="shared" si="27"/>
        <v>0.43055555555555558</v>
      </c>
      <c r="F602" s="2">
        <v>110.7</v>
      </c>
      <c r="G602" s="2">
        <v>111.6</v>
      </c>
      <c r="H602" s="2">
        <f t="shared" si="28"/>
        <v>-0.89999999999999147</v>
      </c>
      <c r="I602" s="1">
        <f>+(F602^14)/((F602^14+G602^14))</f>
        <v>0.47169007456598405</v>
      </c>
      <c r="J602" s="2">
        <v>110.4</v>
      </c>
      <c r="K602" s="2">
        <v>111.5</v>
      </c>
      <c r="L602" s="2">
        <f t="shared" si="29"/>
        <v>-1.0999999999999943</v>
      </c>
      <c r="M602">
        <v>107.1</v>
      </c>
      <c r="N602">
        <v>115.2</v>
      </c>
      <c r="O602">
        <v>-1.1000000000000001</v>
      </c>
    </row>
    <row r="603" spans="1:15">
      <c r="A603" t="s">
        <v>61</v>
      </c>
      <c r="B603" t="s">
        <v>9</v>
      </c>
      <c r="C603">
        <v>22</v>
      </c>
      <c r="D603">
        <v>50</v>
      </c>
      <c r="E603" s="1">
        <f t="shared" si="27"/>
        <v>0.30555555555555558</v>
      </c>
      <c r="F603" s="2">
        <v>103.8</v>
      </c>
      <c r="G603" s="2">
        <v>112.3</v>
      </c>
      <c r="H603" s="2">
        <f t="shared" si="28"/>
        <v>-8.5</v>
      </c>
      <c r="I603" s="1">
        <f>+(F603^14)/((F603^14+G603^14))</f>
        <v>0.24938210026428717</v>
      </c>
      <c r="J603" s="2">
        <v>105.2</v>
      </c>
      <c r="K603" s="2">
        <v>113.5</v>
      </c>
      <c r="L603" s="2">
        <f t="shared" si="29"/>
        <v>-8.2999999999999972</v>
      </c>
      <c r="M603">
        <v>99.1</v>
      </c>
      <c r="N603">
        <v>106.4</v>
      </c>
      <c r="O603">
        <v>-1.5</v>
      </c>
    </row>
    <row r="604" spans="1:15">
      <c r="A604" t="s">
        <v>61</v>
      </c>
      <c r="B604" t="s">
        <v>10</v>
      </c>
      <c r="C604">
        <v>42</v>
      </c>
      <c r="D604">
        <v>30</v>
      </c>
      <c r="E604" s="1">
        <f t="shared" si="27"/>
        <v>0.58333333333333337</v>
      </c>
      <c r="F604" s="2">
        <v>112.4</v>
      </c>
      <c r="G604" s="2">
        <v>110.2</v>
      </c>
      <c r="H604" s="2">
        <f t="shared" si="28"/>
        <v>2.2000000000000028</v>
      </c>
      <c r="I604" s="1">
        <f>+(F604^14)/((F604^14+G604^14))</f>
        <v>0.56874646032092568</v>
      </c>
      <c r="J604" s="2">
        <v>114.6</v>
      </c>
      <c r="K604" s="2">
        <v>112.3</v>
      </c>
      <c r="L604" s="2">
        <f t="shared" si="29"/>
        <v>2.2999999999999972</v>
      </c>
      <c r="M604">
        <v>116.3</v>
      </c>
      <c r="N604">
        <v>122</v>
      </c>
      <c r="O604">
        <v>-0.3</v>
      </c>
    </row>
    <row r="605" spans="1:15">
      <c r="A605" t="s">
        <v>61</v>
      </c>
      <c r="B605" t="s">
        <v>11</v>
      </c>
      <c r="C605">
        <v>47</v>
      </c>
      <c r="D605">
        <v>25</v>
      </c>
      <c r="E605" s="1">
        <f t="shared" si="27"/>
        <v>0.65277777777777779</v>
      </c>
      <c r="F605" s="2">
        <v>115.1</v>
      </c>
      <c r="G605" s="2">
        <v>110.1</v>
      </c>
      <c r="H605" s="2">
        <f t="shared" si="28"/>
        <v>5</v>
      </c>
      <c r="I605" s="1">
        <f>+(F605^14)/((F605^14+G605^14))</f>
        <v>0.65062141130812434</v>
      </c>
      <c r="J605" s="2">
        <v>116.3</v>
      </c>
      <c r="K605" s="2">
        <v>111.5</v>
      </c>
      <c r="L605" s="2">
        <f t="shared" si="29"/>
        <v>4.7999999999999972</v>
      </c>
      <c r="M605">
        <v>114.4</v>
      </c>
      <c r="N605">
        <v>109</v>
      </c>
      <c r="O605">
        <v>0.7</v>
      </c>
    </row>
    <row r="606" spans="1:15">
      <c r="A606" t="s">
        <v>61</v>
      </c>
      <c r="B606" t="s">
        <v>12</v>
      </c>
      <c r="C606">
        <v>20</v>
      </c>
      <c r="D606">
        <v>52</v>
      </c>
      <c r="E606" s="1">
        <f t="shared" si="27"/>
        <v>0.27777777777777779</v>
      </c>
      <c r="F606" s="2">
        <v>106.6</v>
      </c>
      <c r="G606" s="2">
        <v>111.1</v>
      </c>
      <c r="H606" s="2">
        <f t="shared" si="28"/>
        <v>-4.5</v>
      </c>
      <c r="I606" s="1">
        <f>+(F606^14)/((F606^14+G606^14))</f>
        <v>0.35919481428812144</v>
      </c>
      <c r="J606" s="2">
        <v>107.6</v>
      </c>
      <c r="K606" s="2">
        <v>112.2</v>
      </c>
      <c r="L606" s="2">
        <f t="shared" si="29"/>
        <v>-4.6000000000000085</v>
      </c>
      <c r="M606">
        <v>101.2</v>
      </c>
      <c r="N606">
        <v>121.7</v>
      </c>
      <c r="O606">
        <v>-0.3</v>
      </c>
    </row>
    <row r="607" spans="1:15">
      <c r="A607" t="s">
        <v>61</v>
      </c>
      <c r="B607" t="s">
        <v>13</v>
      </c>
      <c r="C607">
        <v>39</v>
      </c>
      <c r="D607">
        <v>33</v>
      </c>
      <c r="E607" s="1">
        <f t="shared" si="27"/>
        <v>0.54166666666666663</v>
      </c>
      <c r="F607" s="2">
        <v>113.7</v>
      </c>
      <c r="G607" s="2">
        <v>112.7</v>
      </c>
      <c r="H607" s="2">
        <f t="shared" si="28"/>
        <v>1</v>
      </c>
      <c r="I607" s="1">
        <f>+(F607^14)/((F607^14+G607^14))</f>
        <v>0.53087957866492586</v>
      </c>
      <c r="J607" s="2">
        <v>110.5</v>
      </c>
      <c r="K607" s="2">
        <v>109.4</v>
      </c>
      <c r="L607" s="2">
        <f t="shared" si="29"/>
        <v>1.0999999999999943</v>
      </c>
      <c r="M607">
        <v>112.6</v>
      </c>
      <c r="N607">
        <v>119.3</v>
      </c>
      <c r="O607">
        <v>0.2</v>
      </c>
    </row>
    <row r="608" spans="1:15">
      <c r="A608" t="s">
        <v>61</v>
      </c>
      <c r="B608" t="s">
        <v>14</v>
      </c>
      <c r="C608">
        <v>17</v>
      </c>
      <c r="D608">
        <v>55</v>
      </c>
      <c r="E608" s="1">
        <f t="shared" si="27"/>
        <v>0.2361111111111111</v>
      </c>
      <c r="F608" s="2">
        <v>108.8</v>
      </c>
      <c r="G608" s="2">
        <v>116.7</v>
      </c>
      <c r="H608" s="2">
        <f t="shared" si="28"/>
        <v>-7.9000000000000057</v>
      </c>
      <c r="I608" s="1">
        <f>+(F608^14)/((F608^14+G608^14))</f>
        <v>0.27262739354761001</v>
      </c>
      <c r="J608" s="2">
        <v>107</v>
      </c>
      <c r="K608" s="2">
        <v>114.4</v>
      </c>
      <c r="L608" s="2">
        <f t="shared" si="29"/>
        <v>-7.4000000000000057</v>
      </c>
      <c r="M608">
        <v>97</v>
      </c>
      <c r="N608">
        <v>112.9</v>
      </c>
      <c r="O608">
        <v>-1.2</v>
      </c>
    </row>
    <row r="609" spans="1:15">
      <c r="A609" t="s">
        <v>61</v>
      </c>
      <c r="B609" t="s">
        <v>15</v>
      </c>
      <c r="C609">
        <v>34</v>
      </c>
      <c r="D609">
        <v>38</v>
      </c>
      <c r="E609" s="1">
        <f t="shared" si="27"/>
        <v>0.47222222222222221</v>
      </c>
      <c r="F609" s="2">
        <v>115.3</v>
      </c>
      <c r="G609" s="2">
        <v>115.3</v>
      </c>
      <c r="H609" s="2">
        <f t="shared" si="28"/>
        <v>0</v>
      </c>
      <c r="I609" s="1">
        <f>+(F609^14)/((F609^14+G609^14))</f>
        <v>0.5</v>
      </c>
      <c r="J609" s="2">
        <v>111.9</v>
      </c>
      <c r="K609" s="2">
        <v>111.9</v>
      </c>
      <c r="L609" s="2">
        <f t="shared" si="29"/>
        <v>0</v>
      </c>
      <c r="M609">
        <v>101.1</v>
      </c>
      <c r="N609">
        <v>102.9</v>
      </c>
      <c r="O609">
        <v>-0.2</v>
      </c>
    </row>
    <row r="610" spans="1:15">
      <c r="A610" t="s">
        <v>61</v>
      </c>
      <c r="B610" t="s">
        <v>56</v>
      </c>
      <c r="C610">
        <v>47</v>
      </c>
      <c r="D610">
        <v>25</v>
      </c>
      <c r="E610" s="1">
        <f t="shared" si="27"/>
        <v>0.65277777777777779</v>
      </c>
      <c r="F610" s="2">
        <v>114</v>
      </c>
      <c r="G610" s="2">
        <v>107.8</v>
      </c>
      <c r="H610" s="2">
        <f t="shared" si="28"/>
        <v>6.2000000000000028</v>
      </c>
      <c r="I610" s="1">
        <f>+(F610^14)/((F610^14+G610^14))</f>
        <v>0.68630286858129474</v>
      </c>
      <c r="J610" s="2">
        <v>116.7</v>
      </c>
      <c r="K610" s="2">
        <v>110.6</v>
      </c>
      <c r="L610" s="2">
        <f t="shared" si="29"/>
        <v>6.1000000000000085</v>
      </c>
      <c r="M610">
        <v>110.3</v>
      </c>
      <c r="N610">
        <v>117.5</v>
      </c>
      <c r="O610">
        <v>1.1000000000000001</v>
      </c>
    </row>
    <row r="611" spans="1:15">
      <c r="A611" t="s">
        <v>61</v>
      </c>
      <c r="B611" t="s">
        <v>17</v>
      </c>
      <c r="C611">
        <v>42</v>
      </c>
      <c r="D611">
        <v>30</v>
      </c>
      <c r="E611" s="1">
        <f t="shared" si="27"/>
        <v>0.58333333333333337</v>
      </c>
      <c r="F611" s="2">
        <v>109.5</v>
      </c>
      <c r="G611" s="2">
        <v>106.8</v>
      </c>
      <c r="H611" s="2">
        <f t="shared" si="28"/>
        <v>2.7000000000000028</v>
      </c>
      <c r="I611" s="1">
        <f>+(F611^14)/((F611^14+G611^14))</f>
        <v>0.58650425971999209</v>
      </c>
      <c r="J611" s="2">
        <v>109.8</v>
      </c>
      <c r="K611" s="2">
        <v>106.8</v>
      </c>
      <c r="L611" s="2">
        <f t="shared" si="29"/>
        <v>3</v>
      </c>
      <c r="M611">
        <v>110.5</v>
      </c>
      <c r="N611">
        <v>99.6</v>
      </c>
      <c r="O611">
        <v>1.3</v>
      </c>
    </row>
    <row r="612" spans="1:15">
      <c r="A612" t="s">
        <v>61</v>
      </c>
      <c r="B612" t="s">
        <v>35</v>
      </c>
      <c r="C612">
        <v>38</v>
      </c>
      <c r="D612">
        <v>34</v>
      </c>
      <c r="E612" s="1">
        <f t="shared" si="27"/>
        <v>0.52777777777777779</v>
      </c>
      <c r="F612" s="2">
        <v>113.3</v>
      </c>
      <c r="G612" s="2">
        <v>112.3</v>
      </c>
      <c r="H612" s="2">
        <f t="shared" si="28"/>
        <v>1</v>
      </c>
      <c r="I612" s="1">
        <f>+(F612^14)/((F612^14+G612^14))</f>
        <v>0.53098880201006593</v>
      </c>
      <c r="J612" s="2">
        <v>111.7</v>
      </c>
      <c r="K612" s="2">
        <v>110.5</v>
      </c>
      <c r="L612" s="2">
        <f t="shared" si="29"/>
        <v>1.2000000000000028</v>
      </c>
      <c r="M612">
        <v>101.6</v>
      </c>
      <c r="N612">
        <v>110.9</v>
      </c>
      <c r="O612">
        <v>-0.2</v>
      </c>
    </row>
    <row r="613" spans="1:15">
      <c r="A613" t="s">
        <v>61</v>
      </c>
      <c r="B613" t="s">
        <v>18</v>
      </c>
      <c r="C613">
        <v>40</v>
      </c>
      <c r="D613">
        <v>32</v>
      </c>
      <c r="E613" s="1">
        <f t="shared" si="27"/>
        <v>0.55555555555555558</v>
      </c>
      <c r="F613" s="2">
        <v>108.1</v>
      </c>
      <c r="G613" s="2">
        <v>108</v>
      </c>
      <c r="H613" s="2">
        <f t="shared" si="28"/>
        <v>9.9999999999994316E-2</v>
      </c>
      <c r="I613" s="1">
        <f>+(F613^14)/((F613^14+G613^14))</f>
        <v>0.50323919600627853</v>
      </c>
      <c r="J613" s="2">
        <v>110.6</v>
      </c>
      <c r="K613" s="2">
        <v>110.7</v>
      </c>
      <c r="L613" s="2">
        <f t="shared" si="29"/>
        <v>-0.10000000000000853</v>
      </c>
      <c r="M613">
        <v>95.1</v>
      </c>
      <c r="N613">
        <v>102.1</v>
      </c>
      <c r="O613">
        <v>-1.1000000000000001</v>
      </c>
    </row>
    <row r="614" spans="1:15">
      <c r="A614" t="s">
        <v>61</v>
      </c>
      <c r="B614" t="s">
        <v>19</v>
      </c>
      <c r="C614">
        <v>46</v>
      </c>
      <c r="D614">
        <v>26</v>
      </c>
      <c r="E614" s="1">
        <f t="shared" si="27"/>
        <v>0.63888888888888884</v>
      </c>
      <c r="F614" s="2">
        <v>120.1</v>
      </c>
      <c r="G614" s="2">
        <v>114.2</v>
      </c>
      <c r="H614" s="2">
        <f t="shared" si="28"/>
        <v>5.8999999999999915</v>
      </c>
      <c r="I614" s="1">
        <f>+(F614^14)/((F614^14+G614^14))</f>
        <v>0.66934587633870324</v>
      </c>
      <c r="J614" s="2">
        <v>116.5</v>
      </c>
      <c r="K614" s="2">
        <v>110.7</v>
      </c>
      <c r="L614" s="2">
        <f t="shared" si="29"/>
        <v>5.7999999999999972</v>
      </c>
      <c r="M614">
        <v>107</v>
      </c>
      <c r="N614">
        <v>105.5</v>
      </c>
      <c r="O614">
        <v>-0.2</v>
      </c>
    </row>
    <row r="615" spans="1:15">
      <c r="A615" t="s">
        <v>61</v>
      </c>
      <c r="B615" t="s">
        <v>20</v>
      </c>
      <c r="C615">
        <v>23</v>
      </c>
      <c r="D615">
        <v>49</v>
      </c>
      <c r="E615" s="1">
        <f t="shared" si="27"/>
        <v>0.31944444444444442</v>
      </c>
      <c r="F615" s="2">
        <v>112.1</v>
      </c>
      <c r="G615" s="2">
        <v>117.7</v>
      </c>
      <c r="H615" s="2">
        <f t="shared" si="28"/>
        <v>-5.6000000000000085</v>
      </c>
      <c r="I615" s="1">
        <f>+(F615^14)/((F615^14+G615^14))</f>
        <v>0.3357107873197604</v>
      </c>
      <c r="J615" s="2">
        <v>109.3</v>
      </c>
      <c r="K615" s="2">
        <v>114.5</v>
      </c>
      <c r="L615" s="2">
        <f t="shared" si="29"/>
        <v>-5.2000000000000028</v>
      </c>
      <c r="M615">
        <v>105.4</v>
      </c>
      <c r="N615">
        <v>117.2</v>
      </c>
      <c r="O615">
        <v>0.4</v>
      </c>
    </row>
    <row r="616" spans="1:15">
      <c r="A616" t="s">
        <v>61</v>
      </c>
      <c r="B616" t="s">
        <v>53</v>
      </c>
      <c r="C616">
        <v>31</v>
      </c>
      <c r="D616">
        <v>41</v>
      </c>
      <c r="E616" s="1">
        <f t="shared" si="27"/>
        <v>0.43055555555555558</v>
      </c>
      <c r="F616" s="2">
        <v>114.6</v>
      </c>
      <c r="G616" s="2">
        <v>114.9</v>
      </c>
      <c r="H616" s="2">
        <f t="shared" si="28"/>
        <v>-0.30000000000001137</v>
      </c>
      <c r="I616" s="1">
        <f>+(F616^14)/((F616^14+G616^14))</f>
        <v>0.49085068937961135</v>
      </c>
      <c r="J616" s="2">
        <v>113</v>
      </c>
      <c r="K616" s="2">
        <v>113.3</v>
      </c>
      <c r="L616" s="2">
        <f t="shared" si="29"/>
        <v>-0.29999999999999716</v>
      </c>
      <c r="M616">
        <v>109</v>
      </c>
      <c r="N616">
        <v>101.5</v>
      </c>
      <c r="O616">
        <v>0.5</v>
      </c>
    </row>
    <row r="617" spans="1:15">
      <c r="A617" t="s">
        <v>61</v>
      </c>
      <c r="B617" t="s">
        <v>22</v>
      </c>
      <c r="C617">
        <v>41</v>
      </c>
      <c r="D617">
        <v>31</v>
      </c>
      <c r="E617" s="1">
        <f t="shared" si="27"/>
        <v>0.56944444444444442</v>
      </c>
      <c r="F617" s="2">
        <v>107</v>
      </c>
      <c r="G617" s="2">
        <v>104.7</v>
      </c>
      <c r="H617" s="2">
        <f t="shared" si="28"/>
        <v>2.2999999999999972</v>
      </c>
      <c r="I617" s="1">
        <f>+(F617^14)/((F617^14+G617^14))</f>
        <v>0.57547283603033039</v>
      </c>
      <c r="J617" s="2">
        <v>110.2</v>
      </c>
      <c r="K617" s="2">
        <v>107.8</v>
      </c>
      <c r="L617" s="2">
        <f t="shared" si="29"/>
        <v>2.4000000000000057</v>
      </c>
      <c r="M617">
        <v>106.3</v>
      </c>
      <c r="N617">
        <v>94.8</v>
      </c>
      <c r="O617">
        <v>-0.4</v>
      </c>
    </row>
    <row r="618" spans="1:15">
      <c r="A618" t="s">
        <v>61</v>
      </c>
      <c r="B618" t="s">
        <v>46</v>
      </c>
      <c r="C618">
        <v>22</v>
      </c>
      <c r="D618">
        <v>50</v>
      </c>
      <c r="E618" s="1">
        <f t="shared" si="27"/>
        <v>0.30555555555555558</v>
      </c>
      <c r="F618" s="2">
        <v>105</v>
      </c>
      <c r="G618" s="2">
        <v>115.6</v>
      </c>
      <c r="H618" s="2">
        <f t="shared" si="28"/>
        <v>-10.599999999999994</v>
      </c>
      <c r="I618" s="1">
        <f>+(F618^14)/((F618^14+G618^14))</f>
        <v>0.20644996928068904</v>
      </c>
      <c r="J618" s="2">
        <v>102.8</v>
      </c>
      <c r="K618" s="2">
        <v>113.4</v>
      </c>
      <c r="L618" s="2">
        <f t="shared" si="29"/>
        <v>-10.600000000000009</v>
      </c>
      <c r="M618">
        <v>102.7</v>
      </c>
      <c r="N618">
        <v>101.8</v>
      </c>
      <c r="O618">
        <v>-1.1000000000000001</v>
      </c>
    </row>
    <row r="619" spans="1:15">
      <c r="A619" t="s">
        <v>61</v>
      </c>
      <c r="B619" t="s">
        <v>23</v>
      </c>
      <c r="C619">
        <v>21</v>
      </c>
      <c r="D619">
        <v>51</v>
      </c>
      <c r="E619" s="1">
        <f t="shared" si="27"/>
        <v>0.29166666666666669</v>
      </c>
      <c r="F619" s="2">
        <v>104</v>
      </c>
      <c r="G619" s="2">
        <v>113.3</v>
      </c>
      <c r="H619" s="2">
        <f t="shared" si="28"/>
        <v>-9.2999999999999972</v>
      </c>
      <c r="I619" s="1">
        <f>+(F619^14)/((F619^14+G619^14))</f>
        <v>0.23163967366224553</v>
      </c>
      <c r="J619" s="2">
        <v>104.6</v>
      </c>
      <c r="K619" s="2">
        <v>113.9</v>
      </c>
      <c r="L619" s="2">
        <f t="shared" si="29"/>
        <v>-9.3000000000000114</v>
      </c>
      <c r="M619">
        <v>106.5</v>
      </c>
      <c r="N619">
        <v>105.7</v>
      </c>
      <c r="O619">
        <v>-1.8</v>
      </c>
    </row>
    <row r="620" spans="1:15">
      <c r="A620" t="s">
        <v>61</v>
      </c>
      <c r="B620" t="s">
        <v>24</v>
      </c>
      <c r="C620">
        <v>49</v>
      </c>
      <c r="D620">
        <v>23</v>
      </c>
      <c r="E620" s="1">
        <f t="shared" si="27"/>
        <v>0.68055555555555558</v>
      </c>
      <c r="F620" s="2">
        <v>113.6</v>
      </c>
      <c r="G620" s="2">
        <v>108.1</v>
      </c>
      <c r="H620" s="2">
        <f t="shared" si="28"/>
        <v>5.5</v>
      </c>
      <c r="I620" s="1">
        <f>+(F620^14)/((F620^14+G620^14))</f>
        <v>0.66702829346339876</v>
      </c>
      <c r="J620" s="2">
        <v>112.5</v>
      </c>
      <c r="K620" s="2">
        <v>107</v>
      </c>
      <c r="L620" s="2">
        <f t="shared" si="29"/>
        <v>5.5</v>
      </c>
      <c r="M620">
        <v>112.5</v>
      </c>
      <c r="N620">
        <v>97.4</v>
      </c>
      <c r="O620">
        <v>1.3</v>
      </c>
    </row>
    <row r="621" spans="1:15">
      <c r="A621" t="s">
        <v>61</v>
      </c>
      <c r="B621" t="s">
        <v>25</v>
      </c>
      <c r="C621">
        <v>51</v>
      </c>
      <c r="D621">
        <v>21</v>
      </c>
      <c r="E621" s="1">
        <f t="shared" si="27"/>
        <v>0.70833333333333337</v>
      </c>
      <c r="F621" s="2">
        <v>115.3</v>
      </c>
      <c r="G621" s="2">
        <v>109.5</v>
      </c>
      <c r="H621" s="2">
        <f t="shared" si="28"/>
        <v>5.7999999999999972</v>
      </c>
      <c r="I621" s="1">
        <f>+(F621^14)/((F621^14+G621^14))</f>
        <v>0.67317496175026137</v>
      </c>
      <c r="J621" s="2">
        <v>116.3</v>
      </c>
      <c r="K621" s="2">
        <v>110.4</v>
      </c>
      <c r="L621" s="2">
        <f t="shared" si="29"/>
        <v>5.8999999999999915</v>
      </c>
      <c r="M621">
        <v>110.3</v>
      </c>
      <c r="N621">
        <v>107.9</v>
      </c>
      <c r="O621">
        <v>0.7</v>
      </c>
    </row>
    <row r="622" spans="1:15">
      <c r="A622" t="s">
        <v>61</v>
      </c>
      <c r="B622" t="s">
        <v>26</v>
      </c>
      <c r="C622">
        <v>42</v>
      </c>
      <c r="D622">
        <v>30</v>
      </c>
      <c r="E622" s="1">
        <f t="shared" si="27"/>
        <v>0.58333333333333337</v>
      </c>
      <c r="F622" s="2">
        <v>116.1</v>
      </c>
      <c r="G622" s="2">
        <v>114.3</v>
      </c>
      <c r="H622" s="2">
        <f t="shared" si="28"/>
        <v>1.7999999999999972</v>
      </c>
      <c r="I622" s="1">
        <f>+(F622^14)/((F622^14+G622^14))</f>
        <v>0.55447156441574497</v>
      </c>
      <c r="J622" s="2">
        <v>117.1</v>
      </c>
      <c r="K622" s="2">
        <v>115.3</v>
      </c>
      <c r="L622" s="2">
        <f t="shared" si="29"/>
        <v>1.7999999999999972</v>
      </c>
      <c r="M622">
        <v>127.7</v>
      </c>
      <c r="N622">
        <v>98.6</v>
      </c>
      <c r="O622">
        <v>0.7</v>
      </c>
    </row>
    <row r="623" spans="1:15">
      <c r="A623" t="s">
        <v>61</v>
      </c>
      <c r="B623" t="s">
        <v>27</v>
      </c>
      <c r="C623">
        <v>31</v>
      </c>
      <c r="D623">
        <v>41</v>
      </c>
      <c r="E623" s="1">
        <f t="shared" si="27"/>
        <v>0.43055555555555558</v>
      </c>
      <c r="F623" s="2">
        <v>113.7</v>
      </c>
      <c r="G623" s="2">
        <v>117.4</v>
      </c>
      <c r="H623" s="2">
        <f t="shared" si="28"/>
        <v>-3.7000000000000028</v>
      </c>
      <c r="I623" s="1">
        <f>+(F623^14)/((F623^14+G623^14))</f>
        <v>0.38975811254317522</v>
      </c>
      <c r="J623" s="2">
        <v>112.7</v>
      </c>
      <c r="K623" s="2">
        <v>116.5</v>
      </c>
      <c r="L623" s="2">
        <f t="shared" si="29"/>
        <v>-3.7999999999999972</v>
      </c>
      <c r="M623">
        <v>107.9</v>
      </c>
      <c r="N623">
        <v>114.9</v>
      </c>
      <c r="O623">
        <v>-1</v>
      </c>
    </row>
    <row r="624" spans="1:15">
      <c r="A624" t="s">
        <v>61</v>
      </c>
      <c r="B624" t="s">
        <v>28</v>
      </c>
      <c r="C624">
        <v>33</v>
      </c>
      <c r="D624">
        <v>39</v>
      </c>
      <c r="E624" s="1">
        <f t="shared" si="27"/>
        <v>0.45833333333333331</v>
      </c>
      <c r="F624" s="2">
        <v>111.1</v>
      </c>
      <c r="G624" s="2">
        <v>112.8</v>
      </c>
      <c r="H624" s="2">
        <f t="shared" si="28"/>
        <v>-1.7000000000000028</v>
      </c>
      <c r="I624" s="1">
        <f>+(F624^14)/((F624^14+G624^14))</f>
        <v>0.44704954082867138</v>
      </c>
      <c r="J624" s="2">
        <v>110.5</v>
      </c>
      <c r="K624" s="2">
        <v>112</v>
      </c>
      <c r="L624" s="2">
        <f t="shared" si="29"/>
        <v>-1.5</v>
      </c>
      <c r="M624">
        <v>105</v>
      </c>
      <c r="N624">
        <v>108.9</v>
      </c>
      <c r="O624">
        <v>-0.3</v>
      </c>
    </row>
    <row r="625" spans="1:15">
      <c r="A625" t="s">
        <v>61</v>
      </c>
      <c r="B625" t="s">
        <v>30</v>
      </c>
      <c r="C625">
        <v>27</v>
      </c>
      <c r="D625">
        <v>45</v>
      </c>
      <c r="E625" s="1">
        <f t="shared" si="27"/>
        <v>0.375</v>
      </c>
      <c r="F625" s="2">
        <v>111.3</v>
      </c>
      <c r="G625" s="2">
        <v>111.7</v>
      </c>
      <c r="H625" s="2">
        <f t="shared" si="28"/>
        <v>-0.40000000000000568</v>
      </c>
      <c r="I625" s="1">
        <f>+(F625^14)/((F625^14+G625^14))</f>
        <v>0.48744657142272707</v>
      </c>
      <c r="J625" s="2">
        <v>111.6</v>
      </c>
      <c r="K625" s="2">
        <v>112</v>
      </c>
      <c r="L625" s="2">
        <f t="shared" si="29"/>
        <v>-0.40000000000000568</v>
      </c>
      <c r="M625">
        <v>100.8</v>
      </c>
      <c r="N625">
        <v>113.3</v>
      </c>
      <c r="O625">
        <v>0.8</v>
      </c>
    </row>
    <row r="626" spans="1:15">
      <c r="A626" t="s">
        <v>61</v>
      </c>
      <c r="B626" t="s">
        <v>31</v>
      </c>
      <c r="C626">
        <v>52</v>
      </c>
      <c r="D626">
        <v>20</v>
      </c>
      <c r="E626" s="1">
        <f t="shared" si="27"/>
        <v>0.72222222222222221</v>
      </c>
      <c r="F626" s="2">
        <v>116.4</v>
      </c>
      <c r="G626" s="2">
        <v>107.2</v>
      </c>
      <c r="H626" s="2">
        <f t="shared" si="28"/>
        <v>9.2000000000000028</v>
      </c>
      <c r="I626" s="1">
        <f>+(F626^14)/((F626^14+G626^14))</f>
        <v>0.76000519896530916</v>
      </c>
      <c r="J626" s="2">
        <v>116.5</v>
      </c>
      <c r="K626" s="2">
        <v>107.5</v>
      </c>
      <c r="L626" s="2">
        <f t="shared" si="29"/>
        <v>9</v>
      </c>
      <c r="M626">
        <v>118.2</v>
      </c>
      <c r="N626">
        <v>110.1</v>
      </c>
      <c r="O626">
        <v>1.2</v>
      </c>
    </row>
    <row r="627" spans="1:15">
      <c r="A627" t="s">
        <v>61</v>
      </c>
      <c r="B627" t="s">
        <v>33</v>
      </c>
      <c r="C627">
        <v>34</v>
      </c>
      <c r="D627">
        <v>38</v>
      </c>
      <c r="E627" s="1">
        <f t="shared" si="27"/>
        <v>0.47222222222222221</v>
      </c>
      <c r="F627" s="2">
        <v>116.6</v>
      </c>
      <c r="G627" s="2">
        <v>118.5</v>
      </c>
      <c r="H627" s="2">
        <f t="shared" si="28"/>
        <v>-1.9000000000000057</v>
      </c>
      <c r="I627" s="1">
        <f>+(F627^14)/((F627^14+G627^14))</f>
        <v>0.44366728176929326</v>
      </c>
      <c r="J627" s="2">
        <v>110.7</v>
      </c>
      <c r="K627" s="2">
        <v>112.3</v>
      </c>
      <c r="L627" s="2">
        <f t="shared" si="29"/>
        <v>-1.5999999999999943</v>
      </c>
      <c r="M627">
        <v>110.5</v>
      </c>
      <c r="N627">
        <v>107.7</v>
      </c>
      <c r="O627">
        <v>-0.3</v>
      </c>
    </row>
    <row r="628" spans="1:15">
      <c r="A628" t="s">
        <v>62</v>
      </c>
      <c r="B628" t="s">
        <v>5</v>
      </c>
      <c r="C628">
        <v>43</v>
      </c>
      <c r="D628">
        <v>39</v>
      </c>
      <c r="E628" s="1">
        <f t="shared" si="27"/>
        <v>0.52439024390243905</v>
      </c>
      <c r="F628" s="2">
        <v>113.9</v>
      </c>
      <c r="G628" s="2">
        <v>112.4</v>
      </c>
      <c r="H628" s="2">
        <f t="shared" si="28"/>
        <v>1.5</v>
      </c>
      <c r="I628" s="1">
        <f>+(F628^14)/((F628^14+G628^14))</f>
        <v>0.54626653254094071</v>
      </c>
      <c r="J628" s="2">
        <v>115.4</v>
      </c>
      <c r="K628" s="2">
        <v>113.7</v>
      </c>
      <c r="L628" s="2">
        <f t="shared" si="29"/>
        <v>1.7000000000000028</v>
      </c>
      <c r="M628">
        <v>110.5</v>
      </c>
      <c r="N628">
        <v>119.4</v>
      </c>
      <c r="O628">
        <v>-1.3</v>
      </c>
    </row>
    <row r="629" spans="1:15">
      <c r="A629" t="s">
        <v>62</v>
      </c>
      <c r="B629" t="s">
        <v>6</v>
      </c>
      <c r="C629">
        <v>51</v>
      </c>
      <c r="D629">
        <v>31</v>
      </c>
      <c r="E629" s="1">
        <f t="shared" si="27"/>
        <v>0.62195121951219512</v>
      </c>
      <c r="F629" s="2">
        <v>111.8</v>
      </c>
      <c r="G629" s="2">
        <v>104.5</v>
      </c>
      <c r="H629" s="2">
        <f t="shared" si="28"/>
        <v>7.2999999999999972</v>
      </c>
      <c r="I629" s="1">
        <f>+(F629^14)/((F629^14+G629^14))</f>
        <v>0.72017762385554718</v>
      </c>
      <c r="J629" s="2">
        <v>113.6</v>
      </c>
      <c r="K629" s="2">
        <v>106.2</v>
      </c>
      <c r="L629" s="2">
        <f t="shared" si="29"/>
        <v>7.3999999999999915</v>
      </c>
      <c r="M629">
        <v>96.8</v>
      </c>
      <c r="N629">
        <v>106.2</v>
      </c>
      <c r="O629">
        <v>0.3</v>
      </c>
    </row>
    <row r="630" spans="1:15">
      <c r="A630" t="s">
        <v>62</v>
      </c>
      <c r="B630" t="s">
        <v>51</v>
      </c>
      <c r="C630">
        <v>44</v>
      </c>
      <c r="D630">
        <v>38</v>
      </c>
      <c r="E630" s="1">
        <f t="shared" si="27"/>
        <v>0.53658536585365857</v>
      </c>
      <c r="F630" s="2">
        <v>112.9</v>
      </c>
      <c r="G630" s="2">
        <v>112.1</v>
      </c>
      <c r="H630" s="2">
        <f t="shared" si="28"/>
        <v>0.80000000000001137</v>
      </c>
      <c r="I630" s="1">
        <f>+(F630^14)/((F630^14+G630^14))</f>
        <v>0.52486845707756435</v>
      </c>
      <c r="J630" s="2">
        <v>113.2</v>
      </c>
      <c r="K630" s="2">
        <v>112.3</v>
      </c>
      <c r="L630" s="2">
        <f t="shared" si="29"/>
        <v>0.90000000000000568</v>
      </c>
      <c r="M630">
        <v>112.6</v>
      </c>
      <c r="N630">
        <v>103</v>
      </c>
      <c r="O630">
        <v>-0.1</v>
      </c>
    </row>
    <row r="631" spans="1:15">
      <c r="A631" t="s">
        <v>62</v>
      </c>
      <c r="B631" t="s">
        <v>7</v>
      </c>
      <c r="C631">
        <v>43</v>
      </c>
      <c r="D631">
        <v>39</v>
      </c>
      <c r="E631" s="1">
        <f t="shared" si="27"/>
        <v>0.52439024390243905</v>
      </c>
      <c r="F631" s="2">
        <v>115.3</v>
      </c>
      <c r="G631" s="2">
        <v>114.9</v>
      </c>
      <c r="H631" s="2">
        <f t="shared" si="28"/>
        <v>0.39999999999999147</v>
      </c>
      <c r="I631" s="1">
        <f>+(F631^14)/((F631^14+G631^14))</f>
        <v>0.5121609496635926</v>
      </c>
      <c r="J631" s="2">
        <v>113.6</v>
      </c>
      <c r="K631" s="2">
        <v>113.1</v>
      </c>
      <c r="L631" s="2">
        <f t="shared" si="29"/>
        <v>0.5</v>
      </c>
      <c r="M631">
        <v>109.6</v>
      </c>
      <c r="N631">
        <v>111.6</v>
      </c>
      <c r="O631">
        <v>0.8</v>
      </c>
    </row>
    <row r="632" spans="1:15">
      <c r="A632" t="s">
        <v>62</v>
      </c>
      <c r="B632" t="s">
        <v>8</v>
      </c>
      <c r="C632">
        <v>46</v>
      </c>
      <c r="D632">
        <v>36</v>
      </c>
      <c r="E632" s="1">
        <f t="shared" si="27"/>
        <v>0.56097560975609762</v>
      </c>
      <c r="F632" s="2">
        <v>111.6</v>
      </c>
      <c r="G632" s="2">
        <v>112</v>
      </c>
      <c r="H632" s="2">
        <f t="shared" si="28"/>
        <v>-0.40000000000000568</v>
      </c>
      <c r="I632" s="1">
        <f>+(F632^14)/((F632^14+G632^14))</f>
        <v>0.48748024280159491</v>
      </c>
      <c r="J632" s="2">
        <v>112.7</v>
      </c>
      <c r="K632" s="2">
        <v>113.2</v>
      </c>
      <c r="L632" s="2">
        <f t="shared" si="29"/>
        <v>-0.5</v>
      </c>
      <c r="M632">
        <v>121</v>
      </c>
      <c r="N632">
        <v>104.9</v>
      </c>
      <c r="O632">
        <v>0.9</v>
      </c>
    </row>
    <row r="633" spans="1:15">
      <c r="A633" t="s">
        <v>62</v>
      </c>
      <c r="B633" t="s">
        <v>9</v>
      </c>
      <c r="C633">
        <v>44</v>
      </c>
      <c r="D633">
        <v>38</v>
      </c>
      <c r="E633" s="1">
        <f t="shared" si="27"/>
        <v>0.53658536585365857</v>
      </c>
      <c r="F633" s="2">
        <v>107.8</v>
      </c>
      <c r="G633" s="2">
        <v>105.7</v>
      </c>
      <c r="H633" s="2">
        <f t="shared" si="28"/>
        <v>2.0999999999999943</v>
      </c>
      <c r="I633" s="1">
        <f>+(F633^14)/((F633^14+G633^14))</f>
        <v>0.56842270571530307</v>
      </c>
      <c r="J633" s="2">
        <v>111</v>
      </c>
      <c r="K633" s="2">
        <v>108.9</v>
      </c>
      <c r="L633" s="2">
        <f t="shared" si="29"/>
        <v>2.0999999999999943</v>
      </c>
      <c r="M633">
        <v>110</v>
      </c>
      <c r="N633">
        <v>104.4</v>
      </c>
      <c r="O633">
        <v>-0.7</v>
      </c>
    </row>
    <row r="634" spans="1:15">
      <c r="A634" t="s">
        <v>62</v>
      </c>
      <c r="B634" t="s">
        <v>10</v>
      </c>
      <c r="C634">
        <v>52</v>
      </c>
      <c r="D634">
        <v>30</v>
      </c>
      <c r="E634" s="1">
        <f t="shared" si="27"/>
        <v>0.63414634146341464</v>
      </c>
      <c r="F634" s="2">
        <v>108</v>
      </c>
      <c r="G634" s="2">
        <v>104.7</v>
      </c>
      <c r="H634" s="2">
        <f t="shared" si="28"/>
        <v>3.2999999999999972</v>
      </c>
      <c r="I634" s="1">
        <f>+(F634^14)/((F634^14+G634^14))</f>
        <v>0.60693567293355</v>
      </c>
      <c r="J634" s="2">
        <v>112.5</v>
      </c>
      <c r="K634" s="2">
        <v>109.1</v>
      </c>
      <c r="L634" s="2">
        <f t="shared" si="29"/>
        <v>3.4000000000000057</v>
      </c>
      <c r="M634">
        <v>109.5</v>
      </c>
      <c r="N634">
        <v>117</v>
      </c>
      <c r="O634">
        <v>-0.1</v>
      </c>
    </row>
    <row r="635" spans="1:15">
      <c r="A635" t="s">
        <v>62</v>
      </c>
      <c r="B635" t="s">
        <v>11</v>
      </c>
      <c r="C635">
        <v>48</v>
      </c>
      <c r="D635">
        <v>34</v>
      </c>
      <c r="E635" s="1">
        <f t="shared" si="27"/>
        <v>0.58536585365853655</v>
      </c>
      <c r="F635" s="2">
        <v>112.7</v>
      </c>
      <c r="G635" s="2">
        <v>110.4</v>
      </c>
      <c r="H635" s="2">
        <f t="shared" si="28"/>
        <v>2.2999999999999972</v>
      </c>
      <c r="I635" s="1">
        <f>+(F635^14)/((F635^14+G635^14))</f>
        <v>0.57167050088011562</v>
      </c>
      <c r="J635" s="2">
        <v>113.8</v>
      </c>
      <c r="K635" s="2">
        <v>111.5</v>
      </c>
      <c r="L635" s="2">
        <f t="shared" si="29"/>
        <v>2.2999999999999972</v>
      </c>
      <c r="M635">
        <v>106.9</v>
      </c>
      <c r="N635">
        <v>103.2</v>
      </c>
      <c r="O635">
        <v>-1.8</v>
      </c>
    </row>
    <row r="636" spans="1:15">
      <c r="A636" t="s">
        <v>62</v>
      </c>
      <c r="B636" t="s">
        <v>12</v>
      </c>
      <c r="C636">
        <v>23</v>
      </c>
      <c r="D636">
        <v>59</v>
      </c>
      <c r="E636" s="1">
        <f t="shared" si="27"/>
        <v>0.28048780487804881</v>
      </c>
      <c r="F636" s="2">
        <v>104.8</v>
      </c>
      <c r="G636" s="2">
        <v>112.5</v>
      </c>
      <c r="H636" s="2">
        <f t="shared" si="28"/>
        <v>-7.7000000000000028</v>
      </c>
      <c r="I636" s="1">
        <f>+(F636^14)/((F636^14+G636^14))</f>
        <v>0.27040035471369911</v>
      </c>
      <c r="J636" s="2">
        <v>105.6</v>
      </c>
      <c r="K636" s="2">
        <v>113.3</v>
      </c>
      <c r="L636" s="2">
        <f t="shared" si="29"/>
        <v>-7.7000000000000028</v>
      </c>
      <c r="M636">
        <v>94.1</v>
      </c>
      <c r="N636">
        <v>110.3</v>
      </c>
      <c r="O636">
        <v>-1.3</v>
      </c>
    </row>
    <row r="637" spans="1:15">
      <c r="A637" t="s">
        <v>62</v>
      </c>
      <c r="B637" t="s">
        <v>13</v>
      </c>
      <c r="C637">
        <v>53</v>
      </c>
      <c r="D637">
        <v>29</v>
      </c>
      <c r="E637" s="1">
        <f t="shared" si="27"/>
        <v>0.64634146341463417</v>
      </c>
      <c r="F637" s="2">
        <v>111</v>
      </c>
      <c r="G637" s="2">
        <v>105.5</v>
      </c>
      <c r="H637" s="2">
        <f t="shared" si="28"/>
        <v>5.5</v>
      </c>
      <c r="I637" s="1">
        <f>+(F637^14)/((F637^14+G637^14))</f>
        <v>0.67072577928625987</v>
      </c>
      <c r="J637" s="2">
        <v>112.1</v>
      </c>
      <c r="K637" s="2">
        <v>106.6</v>
      </c>
      <c r="L637" s="2">
        <f t="shared" si="29"/>
        <v>5.5</v>
      </c>
      <c r="M637">
        <v>101.7</v>
      </c>
      <c r="N637">
        <v>99</v>
      </c>
      <c r="O637">
        <v>1.3</v>
      </c>
    </row>
    <row r="638" spans="1:15">
      <c r="A638" t="s">
        <v>62</v>
      </c>
      <c r="B638" t="s">
        <v>14</v>
      </c>
      <c r="C638">
        <v>20</v>
      </c>
      <c r="D638">
        <v>62</v>
      </c>
      <c r="E638" s="1">
        <f t="shared" si="27"/>
        <v>0.24390243902439024</v>
      </c>
      <c r="F638" s="2">
        <v>109.7</v>
      </c>
      <c r="G638" s="2">
        <v>118.2</v>
      </c>
      <c r="H638" s="2">
        <f t="shared" si="28"/>
        <v>-8.5</v>
      </c>
      <c r="I638" s="1">
        <f>+(F638^14)/((F638^14+G638^14))</f>
        <v>0.2602244449686712</v>
      </c>
      <c r="J638" s="2">
        <v>108.1</v>
      </c>
      <c r="K638" s="2">
        <v>116.4</v>
      </c>
      <c r="L638" s="2">
        <f t="shared" si="29"/>
        <v>-8.3000000000000114</v>
      </c>
      <c r="M638">
        <v>100.4</v>
      </c>
      <c r="N638">
        <v>110.3</v>
      </c>
      <c r="O638">
        <v>-0.4</v>
      </c>
    </row>
    <row r="639" spans="1:15">
      <c r="A639" t="s">
        <v>62</v>
      </c>
      <c r="B639" t="s">
        <v>15</v>
      </c>
      <c r="C639">
        <v>25</v>
      </c>
      <c r="D639">
        <v>57</v>
      </c>
      <c r="E639" s="1">
        <f t="shared" si="27"/>
        <v>0.3048780487804878</v>
      </c>
      <c r="F639" s="2">
        <v>111.5</v>
      </c>
      <c r="G639" s="2">
        <v>114.9</v>
      </c>
      <c r="H639" s="2">
        <f t="shared" si="28"/>
        <v>-3.4000000000000057</v>
      </c>
      <c r="I639" s="1">
        <f>+(F639^14)/((F639^14+G639^14))</f>
        <v>0.39639081435339146</v>
      </c>
      <c r="J639" s="2">
        <v>111.9</v>
      </c>
      <c r="K639" s="2">
        <v>115.5</v>
      </c>
      <c r="L639" s="2">
        <f t="shared" si="29"/>
        <v>-3.5999999999999943</v>
      </c>
      <c r="M639">
        <v>92</v>
      </c>
      <c r="N639">
        <v>114.9</v>
      </c>
      <c r="O639">
        <v>-0.4</v>
      </c>
    </row>
    <row r="640" spans="1:15">
      <c r="A640" t="s">
        <v>62</v>
      </c>
      <c r="B640" t="s">
        <v>56</v>
      </c>
      <c r="C640">
        <v>42</v>
      </c>
      <c r="D640">
        <v>40</v>
      </c>
      <c r="E640" s="1">
        <f t="shared" si="27"/>
        <v>0.51219512195121952</v>
      </c>
      <c r="F640" s="2">
        <v>108.4</v>
      </c>
      <c r="G640" s="2">
        <v>108.4</v>
      </c>
      <c r="H640" s="2">
        <f t="shared" si="28"/>
        <v>0</v>
      </c>
      <c r="I640" s="1">
        <f>+(F640^14)/((F640^14+G640^14))</f>
        <v>0.5</v>
      </c>
      <c r="J640" s="2">
        <v>109.5</v>
      </c>
      <c r="K640" s="2">
        <v>109.5</v>
      </c>
      <c r="L640" s="2">
        <f t="shared" si="29"/>
        <v>0</v>
      </c>
      <c r="M640">
        <v>123.8</v>
      </c>
      <c r="N640">
        <v>114.3</v>
      </c>
      <c r="O640">
        <v>1.1000000000000001</v>
      </c>
    </row>
    <row r="641" spans="1:15">
      <c r="A641" t="s">
        <v>62</v>
      </c>
      <c r="B641" t="s">
        <v>17</v>
      </c>
      <c r="C641">
        <v>33</v>
      </c>
      <c r="D641">
        <v>49</v>
      </c>
      <c r="E641" s="1">
        <f t="shared" si="27"/>
        <v>0.40243902439024393</v>
      </c>
      <c r="F641" s="2">
        <v>112.1</v>
      </c>
      <c r="G641" s="2">
        <v>115.1</v>
      </c>
      <c r="H641" s="2">
        <f t="shared" si="28"/>
        <v>-3</v>
      </c>
      <c r="I641" s="1">
        <f>+(F641^14)/((F641^14+G641^14))</f>
        <v>0.40860389677498032</v>
      </c>
      <c r="J641" s="2">
        <v>110</v>
      </c>
      <c r="K641" s="2">
        <v>112.8</v>
      </c>
      <c r="L641" s="2">
        <f t="shared" si="29"/>
        <v>-2.7999999999999972</v>
      </c>
      <c r="M641">
        <v>103.8</v>
      </c>
      <c r="N641">
        <v>107.1</v>
      </c>
      <c r="O641">
        <v>0.6</v>
      </c>
    </row>
    <row r="642" spans="1:15">
      <c r="A642" t="s">
        <v>62</v>
      </c>
      <c r="B642" t="s">
        <v>35</v>
      </c>
      <c r="C642">
        <v>56</v>
      </c>
      <c r="D642">
        <v>26</v>
      </c>
      <c r="E642" s="1">
        <f t="shared" si="27"/>
        <v>0.68292682926829273</v>
      </c>
      <c r="F642" s="2">
        <v>115.6</v>
      </c>
      <c r="G642" s="2">
        <v>109.9</v>
      </c>
      <c r="H642" s="2">
        <f t="shared" si="28"/>
        <v>5.6999999999999886</v>
      </c>
      <c r="I642" s="1">
        <f>+(F642^14)/((F642^14+G642^14))</f>
        <v>0.66993947540957544</v>
      </c>
      <c r="J642" s="2">
        <v>114.3</v>
      </c>
      <c r="K642" s="2">
        <v>108.9</v>
      </c>
      <c r="L642" s="2">
        <f t="shared" si="29"/>
        <v>5.3999999999999915</v>
      </c>
      <c r="M642">
        <v>111.6</v>
      </c>
      <c r="N642">
        <v>103.7</v>
      </c>
      <c r="O642">
        <v>0.1</v>
      </c>
    </row>
    <row r="643" spans="1:15">
      <c r="A643" t="s">
        <v>62</v>
      </c>
      <c r="B643" t="s">
        <v>18</v>
      </c>
      <c r="C643">
        <v>53</v>
      </c>
      <c r="D643">
        <v>29</v>
      </c>
      <c r="E643" s="1">
        <f t="shared" ref="E643:E706" si="30">+C643/(C643+D643)</f>
        <v>0.64634146341463417</v>
      </c>
      <c r="F643" s="2">
        <v>110</v>
      </c>
      <c r="G643" s="2">
        <v>105.6</v>
      </c>
      <c r="H643" s="2">
        <f t="shared" ref="H643:H706" si="31">+F643-G643</f>
        <v>4.4000000000000057</v>
      </c>
      <c r="I643" s="1">
        <f>+(F643^14)/((F643^14+G643^14))</f>
        <v>0.63911104772076754</v>
      </c>
      <c r="J643" s="2">
        <v>113</v>
      </c>
      <c r="K643" s="2">
        <v>108.4</v>
      </c>
      <c r="L643" s="2">
        <f t="shared" ref="L643:L706" si="32">+J643-K643</f>
        <v>4.5999999999999943</v>
      </c>
      <c r="M643">
        <v>100.4</v>
      </c>
      <c r="N643">
        <v>99.2</v>
      </c>
      <c r="O643">
        <v>0.4</v>
      </c>
    </row>
    <row r="644" spans="1:15">
      <c r="A644" t="s">
        <v>62</v>
      </c>
      <c r="B644" t="s">
        <v>19</v>
      </c>
      <c r="C644">
        <v>51</v>
      </c>
      <c r="D644">
        <v>31</v>
      </c>
      <c r="E644" s="1">
        <f t="shared" si="30"/>
        <v>0.62195121951219512</v>
      </c>
      <c r="F644" s="2">
        <v>115.5</v>
      </c>
      <c r="G644" s="2">
        <v>112.1</v>
      </c>
      <c r="H644" s="2">
        <f t="shared" si="31"/>
        <v>3.4000000000000057</v>
      </c>
      <c r="I644" s="1">
        <f>+(F644^14)/((F644^14+G644^14))</f>
        <v>0.60307848942796871</v>
      </c>
      <c r="J644" s="2">
        <v>114.3</v>
      </c>
      <c r="K644" s="2">
        <v>111.1</v>
      </c>
      <c r="L644" s="2">
        <f t="shared" si="32"/>
        <v>3.2000000000000028</v>
      </c>
      <c r="M644">
        <v>118.1</v>
      </c>
      <c r="N644">
        <v>102.8</v>
      </c>
      <c r="O644">
        <v>1</v>
      </c>
    </row>
    <row r="645" spans="1:15">
      <c r="A645" t="s">
        <v>62</v>
      </c>
      <c r="B645" t="s">
        <v>20</v>
      </c>
      <c r="C645">
        <v>46</v>
      </c>
      <c r="D645">
        <v>36</v>
      </c>
      <c r="E645" s="1">
        <f t="shared" si="30"/>
        <v>0.56097560975609762</v>
      </c>
      <c r="F645" s="2">
        <v>115.9</v>
      </c>
      <c r="G645" s="2">
        <v>113.3</v>
      </c>
      <c r="H645" s="2">
        <f t="shared" si="31"/>
        <v>2.6000000000000085</v>
      </c>
      <c r="I645" s="1">
        <f>+(F645^14)/((F645^14+G645^14))</f>
        <v>0.57874903178603399</v>
      </c>
      <c r="J645" s="2">
        <v>113.8</v>
      </c>
      <c r="K645" s="2">
        <v>111</v>
      </c>
      <c r="L645" s="2">
        <f t="shared" si="32"/>
        <v>2.7999999999999972</v>
      </c>
      <c r="M645">
        <v>107.1</v>
      </c>
      <c r="N645">
        <v>106</v>
      </c>
      <c r="O645">
        <v>-0.9</v>
      </c>
    </row>
    <row r="646" spans="1:15">
      <c r="A646" t="s">
        <v>62</v>
      </c>
      <c r="B646" t="s">
        <v>53</v>
      </c>
      <c r="C646">
        <v>36</v>
      </c>
      <c r="D646">
        <v>46</v>
      </c>
      <c r="E646" s="1">
        <f t="shared" si="30"/>
        <v>0.43902439024390244</v>
      </c>
      <c r="F646" s="2">
        <v>109.3</v>
      </c>
      <c r="G646" s="2">
        <v>110.3</v>
      </c>
      <c r="H646" s="2">
        <f t="shared" si="31"/>
        <v>-1</v>
      </c>
      <c r="I646" s="1">
        <f>+(F646^14)/((F646^14+G646^14))</f>
        <v>0.46816675732183283</v>
      </c>
      <c r="J646" s="2">
        <v>111.2</v>
      </c>
      <c r="K646" s="2">
        <v>112</v>
      </c>
      <c r="L646" s="2">
        <f t="shared" si="32"/>
        <v>-0.79999999999999716</v>
      </c>
      <c r="M646">
        <v>115.5</v>
      </c>
      <c r="N646">
        <v>120.3</v>
      </c>
      <c r="O646">
        <v>0.3</v>
      </c>
    </row>
    <row r="647" spans="1:15">
      <c r="A647" t="s">
        <v>62</v>
      </c>
      <c r="B647" t="s">
        <v>22</v>
      </c>
      <c r="C647">
        <v>37</v>
      </c>
      <c r="D647">
        <v>45</v>
      </c>
      <c r="E647" s="1">
        <f t="shared" si="30"/>
        <v>0.45121951219512196</v>
      </c>
      <c r="F647" s="2">
        <v>106.5</v>
      </c>
      <c r="G647" s="2">
        <v>106.6</v>
      </c>
      <c r="H647" s="2">
        <f t="shared" si="31"/>
        <v>-9.9999999999994316E-2</v>
      </c>
      <c r="I647" s="1">
        <f>+(F647^14)/((F647^14+G647^14))</f>
        <v>0.49671520422004956</v>
      </c>
      <c r="J647" s="2">
        <v>109.7</v>
      </c>
      <c r="K647" s="2">
        <v>110.2</v>
      </c>
      <c r="L647" s="2">
        <f t="shared" si="32"/>
        <v>-0.5</v>
      </c>
      <c r="M647">
        <v>93.2</v>
      </c>
      <c r="N647">
        <v>116.4</v>
      </c>
      <c r="O647">
        <v>-0.3</v>
      </c>
    </row>
    <row r="648" spans="1:15">
      <c r="A648" t="s">
        <v>62</v>
      </c>
      <c r="B648" t="s">
        <v>46</v>
      </c>
      <c r="C648">
        <v>24</v>
      </c>
      <c r="D648">
        <v>58</v>
      </c>
      <c r="E648" s="1">
        <f t="shared" si="30"/>
        <v>0.29268292682926828</v>
      </c>
      <c r="F648" s="2">
        <v>103.7</v>
      </c>
      <c r="G648" s="2">
        <v>111.8</v>
      </c>
      <c r="H648" s="2">
        <f t="shared" si="31"/>
        <v>-8.0999999999999943</v>
      </c>
      <c r="I648" s="1">
        <f>+(F648^14)/((F648^14+G648^14))</f>
        <v>0.25866242852383342</v>
      </c>
      <c r="J648" s="2">
        <v>103.8</v>
      </c>
      <c r="K648" s="2">
        <v>111.7</v>
      </c>
      <c r="L648" s="2">
        <f t="shared" si="32"/>
        <v>-7.9000000000000057</v>
      </c>
      <c r="M648">
        <v>105.1</v>
      </c>
      <c r="N648">
        <v>108.7</v>
      </c>
      <c r="O648">
        <v>-0.7</v>
      </c>
    </row>
    <row r="649" spans="1:15">
      <c r="A649" t="s">
        <v>62</v>
      </c>
      <c r="B649" t="s">
        <v>23</v>
      </c>
      <c r="C649">
        <v>22</v>
      </c>
      <c r="D649">
        <v>60</v>
      </c>
      <c r="E649" s="1">
        <f t="shared" si="30"/>
        <v>0.26829268292682928</v>
      </c>
      <c r="F649" s="2">
        <v>104.2</v>
      </c>
      <c r="G649" s="2">
        <v>112.2</v>
      </c>
      <c r="H649" s="2">
        <f t="shared" si="31"/>
        <v>-8</v>
      </c>
      <c r="I649" s="1">
        <f>+(F649^14)/((F649^14+G649^14))</f>
        <v>0.26200139759286833</v>
      </c>
      <c r="J649" s="2">
        <v>103.9</v>
      </c>
      <c r="K649" s="2">
        <v>112.1</v>
      </c>
      <c r="L649" s="2">
        <f t="shared" si="32"/>
        <v>-8.1999999999999886</v>
      </c>
      <c r="M649">
        <v>98.8</v>
      </c>
      <c r="N649">
        <v>101.2</v>
      </c>
      <c r="O649">
        <v>-0.2</v>
      </c>
    </row>
    <row r="650" spans="1:15">
      <c r="A650" t="s">
        <v>62</v>
      </c>
      <c r="B650" t="s">
        <v>24</v>
      </c>
      <c r="C650">
        <v>51</v>
      </c>
      <c r="D650">
        <v>31</v>
      </c>
      <c r="E650" s="1">
        <f t="shared" si="30"/>
        <v>0.62195121951219512</v>
      </c>
      <c r="F650" s="2">
        <v>109.9</v>
      </c>
      <c r="G650" s="2">
        <v>107.3</v>
      </c>
      <c r="H650" s="2">
        <f t="shared" si="31"/>
        <v>2.6000000000000085</v>
      </c>
      <c r="I650" s="1">
        <f>+(F650^14)/((F650^14+G650^14))</f>
        <v>0.58302187989199494</v>
      </c>
      <c r="J650" s="2">
        <v>113</v>
      </c>
      <c r="K650" s="2">
        <v>110.2</v>
      </c>
      <c r="L650" s="2">
        <f t="shared" si="32"/>
        <v>2.7999999999999972</v>
      </c>
      <c r="M650">
        <v>105.9</v>
      </c>
      <c r="N650">
        <v>103.6</v>
      </c>
      <c r="O650">
        <v>0.5</v>
      </c>
    </row>
    <row r="651" spans="1:15">
      <c r="A651" t="s">
        <v>62</v>
      </c>
      <c r="B651" t="s">
        <v>25</v>
      </c>
      <c r="C651">
        <v>64</v>
      </c>
      <c r="D651">
        <v>18</v>
      </c>
      <c r="E651" s="1">
        <f t="shared" si="30"/>
        <v>0.78048780487804881</v>
      </c>
      <c r="F651" s="2">
        <v>114.8</v>
      </c>
      <c r="G651" s="2">
        <v>107.3</v>
      </c>
      <c r="H651" s="2">
        <f t="shared" si="31"/>
        <v>7.5</v>
      </c>
      <c r="I651" s="1">
        <f>+(F651^14)/((F651^14+G651^14))</f>
        <v>0.72028579383295666</v>
      </c>
      <c r="J651" s="2">
        <v>114.2</v>
      </c>
      <c r="K651" s="2">
        <v>106.8</v>
      </c>
      <c r="L651" s="2">
        <f t="shared" si="32"/>
        <v>7.4000000000000057</v>
      </c>
      <c r="M651">
        <v>131.5</v>
      </c>
      <c r="N651">
        <v>98.1</v>
      </c>
      <c r="O651">
        <v>2.7</v>
      </c>
    </row>
    <row r="652" spans="1:15">
      <c r="A652" t="s">
        <v>62</v>
      </c>
      <c r="B652" t="s">
        <v>26</v>
      </c>
      <c r="C652">
        <v>27</v>
      </c>
      <c r="D652">
        <v>55</v>
      </c>
      <c r="E652" s="1">
        <f t="shared" si="30"/>
        <v>0.32926829268292684</v>
      </c>
      <c r="F652" s="2">
        <v>106.2</v>
      </c>
      <c r="G652" s="2">
        <v>115.1</v>
      </c>
      <c r="H652" s="2">
        <f t="shared" si="31"/>
        <v>-8.8999999999999915</v>
      </c>
      <c r="I652" s="1">
        <f>+(F652^14)/((F652^14+G652^14))</f>
        <v>0.24477414963979585</v>
      </c>
      <c r="J652" s="2">
        <v>107.3</v>
      </c>
      <c r="K652" s="2">
        <v>116.3</v>
      </c>
      <c r="L652" s="2">
        <f t="shared" si="32"/>
        <v>-9</v>
      </c>
      <c r="M652">
        <v>107</v>
      </c>
      <c r="N652">
        <v>105.8</v>
      </c>
      <c r="O652">
        <v>-3.6</v>
      </c>
    </row>
    <row r="653" spans="1:15">
      <c r="A653" t="s">
        <v>62</v>
      </c>
      <c r="B653" t="s">
        <v>27</v>
      </c>
      <c r="C653">
        <v>30</v>
      </c>
      <c r="D653">
        <v>52</v>
      </c>
      <c r="E653" s="1">
        <f t="shared" si="30"/>
        <v>0.36585365853658536</v>
      </c>
      <c r="F653" s="2">
        <v>110.3</v>
      </c>
      <c r="G653" s="2">
        <v>115.8</v>
      </c>
      <c r="H653" s="2">
        <f t="shared" si="31"/>
        <v>-5.5</v>
      </c>
      <c r="I653" s="1">
        <f>+(F653^14)/((F653^14+G653^14))</f>
        <v>0.33598260819490139</v>
      </c>
      <c r="J653" s="2">
        <v>109.6</v>
      </c>
      <c r="K653" s="2">
        <v>114.8</v>
      </c>
      <c r="L653" s="2">
        <f t="shared" si="32"/>
        <v>-5.2000000000000028</v>
      </c>
      <c r="M653">
        <v>110.6</v>
      </c>
      <c r="N653">
        <v>109.2</v>
      </c>
      <c r="O653">
        <v>-1.3</v>
      </c>
    </row>
    <row r="654" spans="1:15">
      <c r="A654" t="s">
        <v>62</v>
      </c>
      <c r="B654" t="s">
        <v>28</v>
      </c>
      <c r="C654">
        <v>34</v>
      </c>
      <c r="D654">
        <v>48</v>
      </c>
      <c r="E654" s="1">
        <f t="shared" si="30"/>
        <v>0.41463414634146339</v>
      </c>
      <c r="F654" s="2">
        <v>113.2</v>
      </c>
      <c r="G654" s="2">
        <v>113</v>
      </c>
      <c r="H654" s="2">
        <f t="shared" si="31"/>
        <v>0.20000000000000284</v>
      </c>
      <c r="I654" s="1">
        <f>+(F654^14)/((F654^14+G654^14))</f>
        <v>0.50618889860276861</v>
      </c>
      <c r="J654" s="2">
        <v>111.9</v>
      </c>
      <c r="K654" s="2">
        <v>111.7</v>
      </c>
      <c r="L654" s="2">
        <f t="shared" si="32"/>
        <v>0.20000000000000284</v>
      </c>
      <c r="M654">
        <v>93.4</v>
      </c>
      <c r="N654">
        <v>103.8</v>
      </c>
      <c r="O654">
        <v>0.7</v>
      </c>
    </row>
    <row r="655" spans="1:15">
      <c r="A655" t="s">
        <v>62</v>
      </c>
      <c r="B655" t="s">
        <v>30</v>
      </c>
      <c r="C655">
        <v>48</v>
      </c>
      <c r="D655">
        <v>34</v>
      </c>
      <c r="E655" s="1">
        <f t="shared" si="30"/>
        <v>0.58536585365853655</v>
      </c>
      <c r="F655" s="2">
        <v>109.4</v>
      </c>
      <c r="G655" s="2">
        <v>107.1</v>
      </c>
      <c r="H655" s="2">
        <f t="shared" si="31"/>
        <v>2.3000000000000114</v>
      </c>
      <c r="I655" s="1">
        <f>+(F655^14)/((F655^14+G655^14))</f>
        <v>0.57382411075027417</v>
      </c>
      <c r="J655" s="2">
        <v>112.1</v>
      </c>
      <c r="K655" s="2">
        <v>109.9</v>
      </c>
      <c r="L655" s="2">
        <f t="shared" si="32"/>
        <v>2.1999999999999886</v>
      </c>
      <c r="M655">
        <v>112.5</v>
      </c>
      <c r="N655">
        <v>102</v>
      </c>
      <c r="O655">
        <v>1</v>
      </c>
    </row>
    <row r="656" spans="1:15">
      <c r="A656" t="s">
        <v>62</v>
      </c>
      <c r="B656" t="s">
        <v>31</v>
      </c>
      <c r="C656">
        <v>49</v>
      </c>
      <c r="D656">
        <v>33</v>
      </c>
      <c r="E656" s="1">
        <f t="shared" si="30"/>
        <v>0.59756097560975607</v>
      </c>
      <c r="F656" s="2">
        <v>113.6</v>
      </c>
      <c r="G656" s="2">
        <v>107.6</v>
      </c>
      <c r="H656" s="2">
        <f t="shared" si="31"/>
        <v>6</v>
      </c>
      <c r="I656" s="1">
        <f>+(F656^14)/((F656^14+G656^14))</f>
        <v>0.68128425860011865</v>
      </c>
      <c r="J656" s="2">
        <v>116.2</v>
      </c>
      <c r="K656" s="2">
        <v>110</v>
      </c>
      <c r="L656" s="2">
        <f t="shared" si="32"/>
        <v>6.2000000000000028</v>
      </c>
      <c r="M656">
        <v>105.1</v>
      </c>
      <c r="N656">
        <v>113.5</v>
      </c>
      <c r="O656">
        <v>0.7</v>
      </c>
    </row>
    <row r="657" spans="1:15">
      <c r="A657" t="s">
        <v>62</v>
      </c>
      <c r="B657" t="s">
        <v>33</v>
      </c>
      <c r="C657">
        <v>35</v>
      </c>
      <c r="D657">
        <v>47</v>
      </c>
      <c r="E657" s="1">
        <f t="shared" si="30"/>
        <v>0.42682926829268292</v>
      </c>
      <c r="F657" s="2">
        <v>108.6</v>
      </c>
      <c r="G657" s="2">
        <v>112</v>
      </c>
      <c r="H657" s="2">
        <f t="shared" si="31"/>
        <v>-3.4000000000000057</v>
      </c>
      <c r="I657" s="1">
        <f>+(F657^14)/((F657^14+G657^14))</f>
        <v>0.39374803277968673</v>
      </c>
      <c r="J657" s="2">
        <v>110.2</v>
      </c>
      <c r="K657" s="2">
        <v>113.6</v>
      </c>
      <c r="L657" s="2">
        <f t="shared" si="32"/>
        <v>-3.3999999999999915</v>
      </c>
      <c r="M657">
        <v>111.5</v>
      </c>
      <c r="N657">
        <v>98.8</v>
      </c>
      <c r="O657">
        <v>0.5</v>
      </c>
    </row>
    <row r="658" spans="1:15">
      <c r="A658" t="s">
        <v>63</v>
      </c>
      <c r="B658" t="s">
        <v>5</v>
      </c>
      <c r="C658">
        <v>41</v>
      </c>
      <c r="D658">
        <v>41</v>
      </c>
      <c r="E658" s="1">
        <f t="shared" si="30"/>
        <v>0.5</v>
      </c>
      <c r="F658" s="2">
        <v>118.4</v>
      </c>
      <c r="G658" s="2">
        <v>118.1</v>
      </c>
      <c r="H658" s="2">
        <f t="shared" si="31"/>
        <v>0.30000000000001137</v>
      </c>
      <c r="I658" s="1">
        <f>+(F658^14)/((F658^14+G658^14))</f>
        <v>0.50887856400324194</v>
      </c>
      <c r="J658" s="2">
        <v>115.5</v>
      </c>
      <c r="K658" s="2">
        <v>115.4</v>
      </c>
      <c r="L658" s="2">
        <f t="shared" si="32"/>
        <v>9.9999999999994316E-2</v>
      </c>
      <c r="M658">
        <v>102.1</v>
      </c>
      <c r="N658">
        <v>118.6</v>
      </c>
      <c r="O658">
        <v>-0.9</v>
      </c>
    </row>
    <row r="659" spans="1:15">
      <c r="A659" t="s">
        <v>63</v>
      </c>
      <c r="B659" t="s">
        <v>6</v>
      </c>
      <c r="C659">
        <v>57</v>
      </c>
      <c r="D659">
        <v>25</v>
      </c>
      <c r="E659" s="1">
        <f t="shared" si="30"/>
        <v>0.69512195121951215</v>
      </c>
      <c r="F659" s="2">
        <v>117.9</v>
      </c>
      <c r="G659" s="2">
        <v>111.4</v>
      </c>
      <c r="H659" s="2">
        <f t="shared" si="31"/>
        <v>6.5</v>
      </c>
      <c r="I659" s="1">
        <f>+(F659^14)/((F659^14+G659^14))</f>
        <v>0.6886751375801452</v>
      </c>
      <c r="J659" s="2">
        <v>117.3</v>
      </c>
      <c r="K659" s="2">
        <v>110.6</v>
      </c>
      <c r="L659" s="2">
        <f t="shared" si="32"/>
        <v>6.7000000000000028</v>
      </c>
      <c r="M659">
        <v>107.4</v>
      </c>
      <c r="N659">
        <v>103.1</v>
      </c>
      <c r="O659">
        <v>0.6</v>
      </c>
    </row>
    <row r="660" spans="1:15">
      <c r="A660" t="s">
        <v>63</v>
      </c>
      <c r="B660" t="s">
        <v>51</v>
      </c>
      <c r="C660">
        <v>45</v>
      </c>
      <c r="D660">
        <v>37</v>
      </c>
      <c r="E660" s="1">
        <f t="shared" si="30"/>
        <v>0.54878048780487809</v>
      </c>
      <c r="F660" s="2">
        <v>113.4</v>
      </c>
      <c r="G660" s="2">
        <v>112.5</v>
      </c>
      <c r="H660" s="2">
        <f t="shared" si="31"/>
        <v>0.90000000000000568</v>
      </c>
      <c r="I660" s="1">
        <f>+(F660^14)/((F660^14+G660^14))</f>
        <v>0.52785970836604967</v>
      </c>
      <c r="J660" s="2">
        <v>114.6</v>
      </c>
      <c r="K660" s="2">
        <v>113.5</v>
      </c>
      <c r="L660" s="2">
        <f t="shared" si="32"/>
        <v>1.0999999999999943</v>
      </c>
      <c r="M660">
        <v>115.9</v>
      </c>
      <c r="N660">
        <v>110.2</v>
      </c>
      <c r="O660">
        <v>0.3</v>
      </c>
    </row>
    <row r="661" spans="1:15">
      <c r="A661" t="s">
        <v>63</v>
      </c>
      <c r="B661" t="s">
        <v>7</v>
      </c>
      <c r="C661">
        <v>27</v>
      </c>
      <c r="D661">
        <v>55</v>
      </c>
      <c r="E661" s="1">
        <f t="shared" si="30"/>
        <v>0.32926829268292684</v>
      </c>
      <c r="F661" s="2">
        <v>111</v>
      </c>
      <c r="G661" s="2">
        <v>117.2</v>
      </c>
      <c r="H661" s="2">
        <f t="shared" si="31"/>
        <v>-6.2000000000000028</v>
      </c>
      <c r="I661" s="1">
        <f>+(F661^14)/((F661^14+G661^14))</f>
        <v>0.31844580628258201</v>
      </c>
      <c r="J661" s="2">
        <v>108.4</v>
      </c>
      <c r="K661" s="2">
        <v>114.7</v>
      </c>
      <c r="L661" s="2">
        <f t="shared" si="32"/>
        <v>-6.2999999999999972</v>
      </c>
      <c r="M661">
        <v>108.6</v>
      </c>
      <c r="N661">
        <v>114.4</v>
      </c>
      <c r="O661">
        <v>-0.3</v>
      </c>
    </row>
    <row r="662" spans="1:15">
      <c r="A662" t="s">
        <v>63</v>
      </c>
      <c r="B662" t="s">
        <v>8</v>
      </c>
      <c r="C662">
        <v>40</v>
      </c>
      <c r="D662">
        <v>42</v>
      </c>
      <c r="E662" s="1">
        <f t="shared" si="30"/>
        <v>0.48780487804878048</v>
      </c>
      <c r="F662" s="2">
        <v>113.1</v>
      </c>
      <c r="G662" s="2">
        <v>111.8</v>
      </c>
      <c r="H662" s="2">
        <f t="shared" si="31"/>
        <v>1.2999999999999972</v>
      </c>
      <c r="I662" s="1">
        <f>+(F662^14)/((F662^14+G662^14))</f>
        <v>0.54037477901258768</v>
      </c>
      <c r="J662" s="2">
        <v>112.8</v>
      </c>
      <c r="K662" s="2">
        <v>111.5</v>
      </c>
      <c r="L662" s="2">
        <f t="shared" si="32"/>
        <v>1.2999999999999972</v>
      </c>
      <c r="M662">
        <v>106</v>
      </c>
      <c r="N662">
        <v>105.2</v>
      </c>
      <c r="O662">
        <v>0.5</v>
      </c>
    </row>
    <row r="663" spans="1:15">
      <c r="A663" t="s">
        <v>63</v>
      </c>
      <c r="B663" t="s">
        <v>9</v>
      </c>
      <c r="C663">
        <v>51</v>
      </c>
      <c r="D663">
        <v>31</v>
      </c>
      <c r="E663" s="1">
        <f t="shared" si="30"/>
        <v>0.62195121951219512</v>
      </c>
      <c r="F663" s="2">
        <v>112.3</v>
      </c>
      <c r="G663" s="2">
        <v>106.9</v>
      </c>
      <c r="H663" s="2">
        <f t="shared" si="31"/>
        <v>5.3999999999999915</v>
      </c>
      <c r="I663" s="1">
        <f>+(F663^14)/((F663^14+G663^14))</f>
        <v>0.66594926626048301</v>
      </c>
      <c r="J663" s="2">
        <v>115.5</v>
      </c>
      <c r="K663" s="2">
        <v>109.9</v>
      </c>
      <c r="L663" s="2">
        <f t="shared" si="32"/>
        <v>5.5999999999999943</v>
      </c>
      <c r="M663">
        <v>97.9</v>
      </c>
      <c r="N663">
        <v>98.8</v>
      </c>
      <c r="O663">
        <v>2.2000000000000002</v>
      </c>
    </row>
    <row r="664" spans="1:15">
      <c r="A664" t="s">
        <v>63</v>
      </c>
      <c r="B664" t="s">
        <v>10</v>
      </c>
      <c r="C664">
        <v>38</v>
      </c>
      <c r="D664">
        <v>44</v>
      </c>
      <c r="E664" s="1">
        <f t="shared" si="30"/>
        <v>0.46341463414634149</v>
      </c>
      <c r="F664" s="2">
        <v>114.2</v>
      </c>
      <c r="G664" s="2">
        <v>114.1</v>
      </c>
      <c r="H664" s="2">
        <f t="shared" si="31"/>
        <v>0.10000000000000853</v>
      </c>
      <c r="I664" s="1">
        <f>+(F664^14)/((F664^14+G664^14))</f>
        <v>0.50306610280519148</v>
      </c>
      <c r="J664" s="2">
        <v>115.9</v>
      </c>
      <c r="K664" s="2">
        <v>116.1</v>
      </c>
      <c r="L664" s="2">
        <f t="shared" si="32"/>
        <v>-0.19999999999998863</v>
      </c>
      <c r="M664">
        <v>105.1</v>
      </c>
      <c r="N664">
        <v>106.2</v>
      </c>
      <c r="O664">
        <v>-0.7</v>
      </c>
    </row>
    <row r="665" spans="1:15">
      <c r="A665" t="s">
        <v>63</v>
      </c>
      <c r="B665" t="s">
        <v>11</v>
      </c>
      <c r="C665">
        <v>53</v>
      </c>
      <c r="D665">
        <v>29</v>
      </c>
      <c r="E665" s="1">
        <f t="shared" si="30"/>
        <v>0.64634146341463417</v>
      </c>
      <c r="F665" s="2">
        <v>115.8</v>
      </c>
      <c r="G665" s="2">
        <v>112.5</v>
      </c>
      <c r="H665" s="2">
        <f t="shared" si="31"/>
        <v>3.2999999999999972</v>
      </c>
      <c r="I665" s="1">
        <f>+(F665^14)/((F665^14+G665^14))</f>
        <v>0.59983047622888896</v>
      </c>
      <c r="J665" s="2">
        <v>116.8</v>
      </c>
      <c r="K665" s="2">
        <v>113.5</v>
      </c>
      <c r="L665" s="2">
        <f t="shared" si="32"/>
        <v>3.2999999999999972</v>
      </c>
      <c r="M665">
        <v>109.2</v>
      </c>
      <c r="N665">
        <v>96.5</v>
      </c>
      <c r="O665">
        <v>-0.5</v>
      </c>
    </row>
    <row r="666" spans="1:15">
      <c r="A666" t="s">
        <v>63</v>
      </c>
      <c r="B666" t="s">
        <v>12</v>
      </c>
      <c r="C666">
        <v>17</v>
      </c>
      <c r="D666">
        <v>65</v>
      </c>
      <c r="E666" s="1">
        <f t="shared" si="30"/>
        <v>0.2073170731707317</v>
      </c>
      <c r="F666" s="2">
        <v>110.3</v>
      </c>
      <c r="G666" s="2">
        <v>118.5</v>
      </c>
      <c r="H666" s="2">
        <f t="shared" si="31"/>
        <v>-8.2000000000000028</v>
      </c>
      <c r="I666" s="1">
        <f>+(F666^14)/((F666^14+G666^14))</f>
        <v>0.26817012920716587</v>
      </c>
      <c r="J666" s="2">
        <v>109.9</v>
      </c>
      <c r="K666" s="2">
        <v>117.8</v>
      </c>
      <c r="L666" s="2">
        <f t="shared" si="32"/>
        <v>-7.8999999999999915</v>
      </c>
      <c r="M666">
        <v>104.7</v>
      </c>
      <c r="N666">
        <v>122.7</v>
      </c>
      <c r="O666">
        <v>-2.1</v>
      </c>
    </row>
    <row r="667" spans="1:15">
      <c r="A667" t="s">
        <v>63</v>
      </c>
      <c r="B667" t="s">
        <v>13</v>
      </c>
      <c r="C667">
        <v>44</v>
      </c>
      <c r="D667">
        <v>38</v>
      </c>
      <c r="E667" s="1">
        <f t="shared" si="30"/>
        <v>0.53658536585365857</v>
      </c>
      <c r="F667" s="2">
        <v>118.9</v>
      </c>
      <c r="G667" s="2">
        <v>117.1</v>
      </c>
      <c r="H667" s="2">
        <f t="shared" si="31"/>
        <v>1.8000000000000114</v>
      </c>
      <c r="I667" s="1">
        <f>+(F667^14)/((F667^14+G667^14))</f>
        <v>0.55318886020704383</v>
      </c>
      <c r="J667" s="2">
        <v>115.1</v>
      </c>
      <c r="K667" s="2">
        <v>113.4</v>
      </c>
      <c r="L667" s="2">
        <f t="shared" si="32"/>
        <v>1.6999999999999886</v>
      </c>
      <c r="M667">
        <v>104</v>
      </c>
      <c r="N667">
        <v>98.6</v>
      </c>
      <c r="O667">
        <v>0.8</v>
      </c>
    </row>
    <row r="668" spans="1:15">
      <c r="A668" t="s">
        <v>63</v>
      </c>
      <c r="B668" t="s">
        <v>14</v>
      </c>
      <c r="C668">
        <v>22</v>
      </c>
      <c r="D668">
        <v>60</v>
      </c>
      <c r="E668" s="1">
        <f t="shared" si="30"/>
        <v>0.26829268292682928</v>
      </c>
      <c r="F668" s="2">
        <v>110.7</v>
      </c>
      <c r="G668" s="2">
        <v>118.6</v>
      </c>
      <c r="H668" s="2">
        <f t="shared" si="31"/>
        <v>-7.8999999999999915</v>
      </c>
      <c r="I668" s="1">
        <f>+(F668^14)/((F668^14+G668^14))</f>
        <v>0.27586683135290885</v>
      </c>
      <c r="J668" s="2">
        <v>110.5</v>
      </c>
      <c r="K668" s="2">
        <v>118.6</v>
      </c>
      <c r="L668" s="2">
        <f t="shared" si="32"/>
        <v>-8.0999999999999943</v>
      </c>
      <c r="M668">
        <v>91.4</v>
      </c>
      <c r="N668">
        <v>101</v>
      </c>
      <c r="O668">
        <v>-1.9</v>
      </c>
    </row>
    <row r="669" spans="1:15">
      <c r="A669" t="s">
        <v>63</v>
      </c>
      <c r="B669" t="s">
        <v>15</v>
      </c>
      <c r="C669">
        <v>35</v>
      </c>
      <c r="D669">
        <v>47</v>
      </c>
      <c r="E669" s="1">
        <f t="shared" si="30"/>
        <v>0.42682926829268292</v>
      </c>
      <c r="F669" s="2">
        <v>116.3</v>
      </c>
      <c r="G669" s="2">
        <v>119.5</v>
      </c>
      <c r="H669" s="2">
        <f t="shared" si="31"/>
        <v>-3.2000000000000028</v>
      </c>
      <c r="I669" s="1">
        <f>+(F669^14)/((F669^14+G669^14))</f>
        <v>0.40612536169941066</v>
      </c>
      <c r="J669" s="2">
        <v>113.8</v>
      </c>
      <c r="K669" s="2">
        <v>117.1</v>
      </c>
      <c r="L669" s="2">
        <f t="shared" si="32"/>
        <v>-3.2999999999999972</v>
      </c>
      <c r="M669">
        <v>110</v>
      </c>
      <c r="N669">
        <v>110.7</v>
      </c>
      <c r="O669">
        <v>0.7</v>
      </c>
    </row>
    <row r="670" spans="1:15">
      <c r="A670" t="s">
        <v>63</v>
      </c>
      <c r="B670" t="s">
        <v>56</v>
      </c>
      <c r="C670">
        <v>44</v>
      </c>
      <c r="D670">
        <v>38</v>
      </c>
      <c r="E670" s="1">
        <f t="shared" si="30"/>
        <v>0.53658536585365857</v>
      </c>
      <c r="F670" s="2">
        <v>113.6</v>
      </c>
      <c r="G670" s="2">
        <v>113.1</v>
      </c>
      <c r="H670" s="2">
        <f t="shared" si="31"/>
        <v>0.5</v>
      </c>
      <c r="I670" s="1">
        <f>+(F670^14)/((F670^14+G670^14))</f>
        <v>0.515434026237649</v>
      </c>
      <c r="J670" s="2">
        <v>114</v>
      </c>
      <c r="K670" s="2">
        <v>113.6</v>
      </c>
      <c r="L670" s="2">
        <f t="shared" si="32"/>
        <v>0.40000000000000568</v>
      </c>
      <c r="M670">
        <v>112.3</v>
      </c>
      <c r="N670">
        <v>109.8</v>
      </c>
      <c r="O670">
        <v>0.7</v>
      </c>
    </row>
    <row r="671" spans="1:15">
      <c r="A671" t="s">
        <v>63</v>
      </c>
      <c r="B671" t="s">
        <v>17</v>
      </c>
      <c r="C671">
        <v>43</v>
      </c>
      <c r="D671">
        <v>39</v>
      </c>
      <c r="E671" s="1">
        <f t="shared" si="30"/>
        <v>0.52439024390243905</v>
      </c>
      <c r="F671" s="2">
        <v>117.2</v>
      </c>
      <c r="G671" s="2">
        <v>116.6</v>
      </c>
      <c r="H671" s="2">
        <f t="shared" si="31"/>
        <v>0.60000000000000853</v>
      </c>
      <c r="I671" s="1">
        <f>+(F671^14)/((F671^14+G671^14))</f>
        <v>0.5179563857008791</v>
      </c>
      <c r="J671" s="2">
        <v>113.9</v>
      </c>
      <c r="K671" s="2">
        <v>113.2</v>
      </c>
      <c r="L671" s="2">
        <f t="shared" si="32"/>
        <v>0.70000000000000284</v>
      </c>
      <c r="M671">
        <v>115.9</v>
      </c>
      <c r="N671">
        <v>111.5</v>
      </c>
      <c r="O671">
        <v>1.9</v>
      </c>
    </row>
    <row r="672" spans="1:15">
      <c r="A672" t="s">
        <v>63</v>
      </c>
      <c r="B672" t="s">
        <v>35</v>
      </c>
      <c r="C672">
        <v>51</v>
      </c>
      <c r="D672">
        <v>31</v>
      </c>
      <c r="E672" s="1">
        <f t="shared" si="30"/>
        <v>0.62195121951219512</v>
      </c>
      <c r="F672" s="2">
        <v>116.9</v>
      </c>
      <c r="G672" s="2">
        <v>113</v>
      </c>
      <c r="H672" s="2">
        <f t="shared" si="31"/>
        <v>3.9000000000000057</v>
      </c>
      <c r="I672" s="1">
        <f>+(F672^14)/((F672^14+G672^14))</f>
        <v>0.61657470721768026</v>
      </c>
      <c r="J672" s="2">
        <v>114.7</v>
      </c>
      <c r="K672" s="2">
        <v>110.7</v>
      </c>
      <c r="L672" s="2">
        <f t="shared" si="32"/>
        <v>4</v>
      </c>
      <c r="M672">
        <v>114.9</v>
      </c>
      <c r="N672">
        <v>113.9</v>
      </c>
      <c r="O672">
        <v>-1.1000000000000001</v>
      </c>
    </row>
    <row r="673" spans="1:15">
      <c r="A673" t="s">
        <v>63</v>
      </c>
      <c r="B673" t="s">
        <v>18</v>
      </c>
      <c r="C673">
        <v>44</v>
      </c>
      <c r="D673">
        <v>38</v>
      </c>
      <c r="E673" s="1">
        <f t="shared" si="30"/>
        <v>0.53658536585365857</v>
      </c>
      <c r="F673" s="2">
        <v>109.5</v>
      </c>
      <c r="G673" s="2">
        <v>109.8</v>
      </c>
      <c r="H673" s="2">
        <f t="shared" si="31"/>
        <v>-0.29999999999999716</v>
      </c>
      <c r="I673" s="1">
        <f>+(F673^14)/((F673^14+G673^14))</f>
        <v>0.49042524125901932</v>
      </c>
      <c r="J673" s="2">
        <v>112.3</v>
      </c>
      <c r="K673" s="2">
        <v>112.8</v>
      </c>
      <c r="L673" s="2">
        <f t="shared" si="32"/>
        <v>-0.5</v>
      </c>
      <c r="M673">
        <v>112.3</v>
      </c>
      <c r="N673">
        <v>95.4</v>
      </c>
      <c r="O673">
        <v>1.3</v>
      </c>
    </row>
    <row r="674" spans="1:15">
      <c r="A674" t="s">
        <v>63</v>
      </c>
      <c r="B674" t="s">
        <v>19</v>
      </c>
      <c r="C674">
        <v>58</v>
      </c>
      <c r="D674">
        <v>24</v>
      </c>
      <c r="E674" s="1">
        <f t="shared" si="30"/>
        <v>0.70731707317073167</v>
      </c>
      <c r="F674" s="2">
        <v>116.9</v>
      </c>
      <c r="G674" s="2">
        <v>113.3</v>
      </c>
      <c r="H674" s="2">
        <f t="shared" si="31"/>
        <v>3.6000000000000085</v>
      </c>
      <c r="I674" s="1">
        <f>+(F674^14)/((F674^14+G674^14))</f>
        <v>0.607762297189269</v>
      </c>
      <c r="J674" s="2">
        <v>114.3</v>
      </c>
      <c r="K674" s="2">
        <v>110.9</v>
      </c>
      <c r="L674" s="2">
        <f t="shared" si="32"/>
        <v>3.3999999999999915</v>
      </c>
      <c r="M674">
        <v>109.7</v>
      </c>
      <c r="N674">
        <v>102.8</v>
      </c>
      <c r="O674">
        <v>0.7</v>
      </c>
    </row>
    <row r="675" spans="1:15">
      <c r="A675" t="s">
        <v>63</v>
      </c>
      <c r="B675" t="s">
        <v>20</v>
      </c>
      <c r="C675">
        <v>42</v>
      </c>
      <c r="D675">
        <v>40</v>
      </c>
      <c r="E675" s="1">
        <f t="shared" si="30"/>
        <v>0.51219512195121952</v>
      </c>
      <c r="F675" s="2">
        <v>115.8</v>
      </c>
      <c r="G675" s="2">
        <v>115.8</v>
      </c>
      <c r="H675" s="2">
        <f t="shared" si="31"/>
        <v>0</v>
      </c>
      <c r="I675" s="1">
        <f>+(F675^14)/((F675^14+G675^14))</f>
        <v>0.5</v>
      </c>
      <c r="J675" s="2">
        <v>113.3</v>
      </c>
      <c r="K675" s="2">
        <v>113.1</v>
      </c>
      <c r="L675" s="2">
        <f t="shared" si="32"/>
        <v>0.20000000000000284</v>
      </c>
      <c r="M675">
        <v>100.3</v>
      </c>
      <c r="N675">
        <v>100.5</v>
      </c>
      <c r="O675">
        <v>-0.2</v>
      </c>
    </row>
    <row r="676" spans="1:15">
      <c r="A676" t="s">
        <v>63</v>
      </c>
      <c r="B676" t="s">
        <v>53</v>
      </c>
      <c r="C676">
        <v>42</v>
      </c>
      <c r="D676">
        <v>40</v>
      </c>
      <c r="E676" s="1">
        <f t="shared" si="30"/>
        <v>0.51219512195121952</v>
      </c>
      <c r="F676" s="2">
        <v>114.4</v>
      </c>
      <c r="G676" s="2">
        <v>112.5</v>
      </c>
      <c r="H676" s="2">
        <f t="shared" si="31"/>
        <v>1.9000000000000057</v>
      </c>
      <c r="I676" s="1">
        <f>+(F676^14)/((F676^14+G676^14))</f>
        <v>0.55835042155864323</v>
      </c>
      <c r="J676" s="2">
        <v>113.8</v>
      </c>
      <c r="K676" s="2">
        <v>112</v>
      </c>
      <c r="L676" s="2">
        <f t="shared" si="32"/>
        <v>1.7999999999999972</v>
      </c>
      <c r="M676">
        <v>113.1</v>
      </c>
      <c r="N676">
        <v>104</v>
      </c>
      <c r="O676">
        <v>0.4</v>
      </c>
    </row>
    <row r="677" spans="1:15">
      <c r="A677" t="s">
        <v>63</v>
      </c>
      <c r="B677" t="s">
        <v>22</v>
      </c>
      <c r="C677">
        <v>47</v>
      </c>
      <c r="D677">
        <v>35</v>
      </c>
      <c r="E677" s="1">
        <f t="shared" si="30"/>
        <v>0.57317073170731703</v>
      </c>
      <c r="F677" s="2">
        <v>116</v>
      </c>
      <c r="G677" s="2">
        <v>113.1</v>
      </c>
      <c r="H677" s="2">
        <f t="shared" si="31"/>
        <v>2.9000000000000057</v>
      </c>
      <c r="I677" s="1">
        <f>+(F677^14)/((F677^14+G677^14))</f>
        <v>0.58769610800156147</v>
      </c>
      <c r="J677" s="2">
        <v>117</v>
      </c>
      <c r="K677" s="2">
        <v>114.2</v>
      </c>
      <c r="L677" s="2">
        <f t="shared" si="32"/>
        <v>2.7999999999999972</v>
      </c>
      <c r="M677">
        <v>109.1</v>
      </c>
      <c r="N677">
        <v>119</v>
      </c>
      <c r="O677">
        <v>0</v>
      </c>
    </row>
    <row r="678" spans="1:15">
      <c r="A678" t="s">
        <v>63</v>
      </c>
      <c r="B678" t="s">
        <v>46</v>
      </c>
      <c r="C678">
        <v>40</v>
      </c>
      <c r="D678">
        <v>42</v>
      </c>
      <c r="E678" s="1">
        <f t="shared" si="30"/>
        <v>0.48780487804878048</v>
      </c>
      <c r="F678" s="2">
        <v>117.5</v>
      </c>
      <c r="G678" s="2">
        <v>116.4</v>
      </c>
      <c r="H678" s="2">
        <f t="shared" si="31"/>
        <v>1.0999999999999943</v>
      </c>
      <c r="I678" s="1">
        <f>+(F678^14)/((F678^14+G678^14))</f>
        <v>0.53287280670641013</v>
      </c>
      <c r="J678" s="2">
        <v>114.2</v>
      </c>
      <c r="K678" s="2">
        <v>113.2</v>
      </c>
      <c r="L678" s="2">
        <f t="shared" si="32"/>
        <v>1</v>
      </c>
      <c r="M678">
        <v>97.1</v>
      </c>
      <c r="N678">
        <v>106.3</v>
      </c>
      <c r="O678">
        <v>-0.7</v>
      </c>
    </row>
    <row r="679" spans="1:15">
      <c r="A679" t="s">
        <v>63</v>
      </c>
      <c r="B679" t="s">
        <v>23</v>
      </c>
      <c r="C679">
        <v>34</v>
      </c>
      <c r="D679">
        <v>48</v>
      </c>
      <c r="E679" s="1">
        <f t="shared" si="30"/>
        <v>0.41463414634146339</v>
      </c>
      <c r="F679" s="2">
        <v>111.4</v>
      </c>
      <c r="G679" s="2">
        <v>114</v>
      </c>
      <c r="H679" s="2">
        <f t="shared" si="31"/>
        <v>-2.5999999999999943</v>
      </c>
      <c r="I679" s="1">
        <f>+(F679^14)/((F679^14+G679^14))</f>
        <v>0.41994584859669859</v>
      </c>
      <c r="J679" s="2">
        <v>111.3</v>
      </c>
      <c r="K679" s="2">
        <v>113.7</v>
      </c>
      <c r="L679" s="2">
        <f t="shared" si="32"/>
        <v>-2.4000000000000057</v>
      </c>
      <c r="M679">
        <v>109.2</v>
      </c>
      <c r="N679">
        <v>120.8</v>
      </c>
      <c r="O679">
        <v>0.5</v>
      </c>
    </row>
    <row r="680" spans="1:15">
      <c r="A680" t="s">
        <v>63</v>
      </c>
      <c r="B680" t="s">
        <v>24</v>
      </c>
      <c r="C680">
        <v>54</v>
      </c>
      <c r="D680">
        <v>28</v>
      </c>
      <c r="E680" s="1">
        <f t="shared" si="30"/>
        <v>0.65853658536585369</v>
      </c>
      <c r="F680" s="2">
        <v>115.2</v>
      </c>
      <c r="G680" s="2">
        <v>110.9</v>
      </c>
      <c r="H680" s="2">
        <f t="shared" si="31"/>
        <v>4.2999999999999972</v>
      </c>
      <c r="I680" s="1">
        <f>+(F680^14)/((F680^14+G680^14))</f>
        <v>0.63008277952794978</v>
      </c>
      <c r="J680" s="2">
        <v>117</v>
      </c>
      <c r="K680" s="2">
        <v>112.7</v>
      </c>
      <c r="L680" s="2">
        <f t="shared" si="32"/>
        <v>4.2999999999999972</v>
      </c>
      <c r="M680">
        <v>110.2</v>
      </c>
      <c r="N680">
        <v>93.3</v>
      </c>
      <c r="O680">
        <v>2</v>
      </c>
    </row>
    <row r="681" spans="1:15">
      <c r="A681" t="s">
        <v>63</v>
      </c>
      <c r="B681" t="s">
        <v>25</v>
      </c>
      <c r="C681">
        <v>45</v>
      </c>
      <c r="D681">
        <v>37</v>
      </c>
      <c r="E681" s="1">
        <f t="shared" si="30"/>
        <v>0.54878048780487809</v>
      </c>
      <c r="F681" s="2">
        <v>113.6</v>
      </c>
      <c r="G681" s="2">
        <v>111.6</v>
      </c>
      <c r="H681" s="2">
        <f t="shared" si="31"/>
        <v>2</v>
      </c>
      <c r="I681" s="1">
        <f>+(F681^14)/((F681^14+G681^14))</f>
        <v>0.56185019593174323</v>
      </c>
      <c r="J681" s="2">
        <v>114.5</v>
      </c>
      <c r="K681" s="2">
        <v>112.3</v>
      </c>
      <c r="L681" s="2">
        <f t="shared" si="32"/>
        <v>2.2000000000000028</v>
      </c>
      <c r="M681">
        <v>109.4</v>
      </c>
      <c r="N681">
        <v>112.6</v>
      </c>
      <c r="O681">
        <v>-0.2</v>
      </c>
    </row>
    <row r="682" spans="1:15">
      <c r="A682" t="s">
        <v>63</v>
      </c>
      <c r="B682" t="s">
        <v>26</v>
      </c>
      <c r="C682">
        <v>33</v>
      </c>
      <c r="D682">
        <v>49</v>
      </c>
      <c r="E682" s="1">
        <f t="shared" si="30"/>
        <v>0.40243902439024393</v>
      </c>
      <c r="F682" s="2">
        <v>113.4</v>
      </c>
      <c r="G682" s="2">
        <v>117.4</v>
      </c>
      <c r="H682" s="2">
        <f t="shared" si="31"/>
        <v>-4</v>
      </c>
      <c r="I682" s="1">
        <f>+(F682^14)/((F682^14+G682^14))</f>
        <v>0.3809973284555101</v>
      </c>
      <c r="J682" s="2">
        <v>114</v>
      </c>
      <c r="K682" s="2">
        <v>118</v>
      </c>
      <c r="L682" s="2">
        <f t="shared" si="32"/>
        <v>-4</v>
      </c>
      <c r="M682">
        <v>107.1</v>
      </c>
      <c r="N682">
        <v>113.9</v>
      </c>
      <c r="O682">
        <v>-1.2</v>
      </c>
    </row>
    <row r="683" spans="1:15">
      <c r="A683" t="s">
        <v>63</v>
      </c>
      <c r="B683" t="s">
        <v>27</v>
      </c>
      <c r="C683">
        <v>48</v>
      </c>
      <c r="D683">
        <v>34</v>
      </c>
      <c r="E683" s="1">
        <f t="shared" si="30"/>
        <v>0.58536585365853655</v>
      </c>
      <c r="F683" s="2">
        <v>120.7</v>
      </c>
      <c r="G683" s="2">
        <v>118.1</v>
      </c>
      <c r="H683" s="2">
        <f t="shared" si="31"/>
        <v>2.6000000000000085</v>
      </c>
      <c r="I683" s="1">
        <f>+(F683^14)/((F683^14+G683^14))</f>
        <v>0.57563251403873306</v>
      </c>
      <c r="J683" s="2">
        <v>118.6</v>
      </c>
      <c r="K683" s="2">
        <v>116</v>
      </c>
      <c r="L683" s="2">
        <f t="shared" si="32"/>
        <v>2.5999999999999943</v>
      </c>
      <c r="M683">
        <v>129.19999999999999</v>
      </c>
      <c r="N683">
        <v>116.8</v>
      </c>
      <c r="O683">
        <v>0.9</v>
      </c>
    </row>
    <row r="684" spans="1:15">
      <c r="A684" t="s">
        <v>63</v>
      </c>
      <c r="B684" t="s">
        <v>28</v>
      </c>
      <c r="C684">
        <v>22</v>
      </c>
      <c r="D684">
        <v>60</v>
      </c>
      <c r="E684" s="1">
        <f t="shared" si="30"/>
        <v>0.26829268292682928</v>
      </c>
      <c r="F684" s="2">
        <v>113</v>
      </c>
      <c r="G684" s="2">
        <v>123.1</v>
      </c>
      <c r="H684" s="2">
        <f t="shared" si="31"/>
        <v>-10.099999999999994</v>
      </c>
      <c r="I684" s="1">
        <f>+(F684^14)/((F684^14+G684^14))</f>
        <v>0.23173700210202122</v>
      </c>
      <c r="J684" s="2">
        <v>109.7</v>
      </c>
      <c r="K684" s="2">
        <v>119.6</v>
      </c>
      <c r="L684" s="2">
        <f t="shared" si="32"/>
        <v>-9.8999999999999915</v>
      </c>
      <c r="M684">
        <v>98.2</v>
      </c>
      <c r="N684">
        <v>112.4</v>
      </c>
      <c r="O684">
        <v>-3.9</v>
      </c>
    </row>
    <row r="685" spans="1:15">
      <c r="A685" t="s">
        <v>63</v>
      </c>
      <c r="B685" t="s">
        <v>30</v>
      </c>
      <c r="C685">
        <v>41</v>
      </c>
      <c r="D685">
        <v>41</v>
      </c>
      <c r="E685" s="1">
        <f t="shared" si="30"/>
        <v>0.5</v>
      </c>
      <c r="F685" s="2">
        <v>112.9</v>
      </c>
      <c r="G685" s="2">
        <v>111.4</v>
      </c>
      <c r="H685" s="2">
        <f t="shared" si="31"/>
        <v>1.5</v>
      </c>
      <c r="I685" s="1">
        <f>+(F685^14)/((F685^14+G685^14))</f>
        <v>0.54667669581130873</v>
      </c>
      <c r="J685" s="2">
        <v>114.6</v>
      </c>
      <c r="K685" s="2">
        <v>113.1</v>
      </c>
      <c r="L685" s="2">
        <f t="shared" si="32"/>
        <v>1.5</v>
      </c>
      <c r="M685">
        <v>106.3</v>
      </c>
      <c r="N685">
        <v>107.1</v>
      </c>
      <c r="O685">
        <v>0.4</v>
      </c>
    </row>
    <row r="686" spans="1:15">
      <c r="A686" t="s">
        <v>63</v>
      </c>
      <c r="B686" t="s">
        <v>31</v>
      </c>
      <c r="C686">
        <v>37</v>
      </c>
      <c r="D686">
        <v>45</v>
      </c>
      <c r="E686" s="1">
        <f t="shared" si="30"/>
        <v>0.45121951219512196</v>
      </c>
      <c r="F686" s="2">
        <v>117.1</v>
      </c>
      <c r="G686" s="2">
        <v>118</v>
      </c>
      <c r="H686" s="2">
        <f t="shared" si="31"/>
        <v>-0.90000000000000568</v>
      </c>
      <c r="I686" s="1">
        <f>+(F686^14)/((F686^14+G686^14))</f>
        <v>0.47322838921503652</v>
      </c>
      <c r="J686" s="2">
        <v>115.3</v>
      </c>
      <c r="K686" s="2">
        <v>116</v>
      </c>
      <c r="L686" s="2">
        <f t="shared" si="32"/>
        <v>-0.70000000000000284</v>
      </c>
      <c r="M686">
        <v>117.2</v>
      </c>
      <c r="N686">
        <v>109.5</v>
      </c>
      <c r="O686">
        <v>-0.1</v>
      </c>
    </row>
    <row r="687" spans="1:15">
      <c r="A687" t="s">
        <v>63</v>
      </c>
      <c r="B687" t="s">
        <v>33</v>
      </c>
      <c r="C687">
        <v>35</v>
      </c>
      <c r="D687">
        <v>47</v>
      </c>
      <c r="E687" s="1">
        <f t="shared" si="30"/>
        <v>0.42682926829268292</v>
      </c>
      <c r="F687" s="2">
        <v>113.2</v>
      </c>
      <c r="G687" s="2">
        <v>114.4</v>
      </c>
      <c r="H687" s="2">
        <f t="shared" si="31"/>
        <v>-1.2000000000000028</v>
      </c>
      <c r="I687" s="1">
        <f>+(F687^14)/((F687^14+G687^14))</f>
        <v>0.46315968852837397</v>
      </c>
      <c r="J687" s="2">
        <v>113.7</v>
      </c>
      <c r="K687" s="2">
        <v>114.9</v>
      </c>
      <c r="L687" s="2">
        <f t="shared" si="32"/>
        <v>-1.2000000000000028</v>
      </c>
      <c r="M687">
        <v>101.4</v>
      </c>
      <c r="N687">
        <v>110.3</v>
      </c>
      <c r="O687">
        <v>0</v>
      </c>
    </row>
    <row r="688" spans="1:15">
      <c r="A688" t="s">
        <v>64</v>
      </c>
      <c r="B688" t="s">
        <v>5</v>
      </c>
      <c r="C688">
        <v>36</v>
      </c>
      <c r="D688">
        <v>46</v>
      </c>
      <c r="E688" s="1">
        <f t="shared" si="30"/>
        <v>0.43902439024390244</v>
      </c>
      <c r="F688" s="2">
        <v>118.3</v>
      </c>
      <c r="G688" s="2">
        <v>120.5</v>
      </c>
      <c r="H688" s="2">
        <f t="shared" si="31"/>
        <v>-2.2000000000000028</v>
      </c>
      <c r="I688" s="1">
        <f>+(F688^14)/((F688^14+G688^14))</f>
        <v>0.43586432994244823</v>
      </c>
      <c r="J688" s="2">
        <v>116.4</v>
      </c>
      <c r="K688" s="2">
        <v>118.4</v>
      </c>
      <c r="L688" s="2">
        <f t="shared" si="32"/>
        <v>-2</v>
      </c>
      <c r="M688">
        <v>103.9</v>
      </c>
      <c r="N688">
        <v>118.7</v>
      </c>
      <c r="O688">
        <v>-0.9</v>
      </c>
    </row>
    <row r="689" spans="1:15">
      <c r="A689" t="s">
        <v>64</v>
      </c>
      <c r="B689" t="s">
        <v>6</v>
      </c>
      <c r="C689">
        <v>64</v>
      </c>
      <c r="D689">
        <v>18</v>
      </c>
      <c r="E689" s="1">
        <f t="shared" si="30"/>
        <v>0.78048780487804881</v>
      </c>
      <c r="F689" s="2">
        <v>120.6</v>
      </c>
      <c r="G689" s="2">
        <v>109.2</v>
      </c>
      <c r="H689" s="2">
        <f t="shared" si="31"/>
        <v>11.399999999999991</v>
      </c>
      <c r="I689" s="1">
        <f>+(F689^14)/((F689^14+G689^14))</f>
        <v>0.80062019440018317</v>
      </c>
      <c r="J689" s="2">
        <v>122.2</v>
      </c>
      <c r="K689" s="2">
        <v>110.6</v>
      </c>
      <c r="L689" s="2">
        <f t="shared" si="32"/>
        <v>11.600000000000009</v>
      </c>
      <c r="M689">
        <v>116.8</v>
      </c>
      <c r="N689">
        <v>103.9</v>
      </c>
      <c r="O689">
        <v>1.9</v>
      </c>
    </row>
    <row r="690" spans="1:15">
      <c r="A690" t="s">
        <v>64</v>
      </c>
      <c r="B690" t="s">
        <v>51</v>
      </c>
      <c r="C690">
        <v>32</v>
      </c>
      <c r="D690">
        <v>50</v>
      </c>
      <c r="E690" s="1">
        <f t="shared" si="30"/>
        <v>0.3902439024390244</v>
      </c>
      <c r="F690" s="2">
        <v>110.4</v>
      </c>
      <c r="G690" s="2">
        <v>113.3</v>
      </c>
      <c r="H690" s="2">
        <f t="shared" si="31"/>
        <v>-2.8999999999999915</v>
      </c>
      <c r="I690" s="1">
        <f>+(F690^14)/((F690^14+G690^14))</f>
        <v>0.41023197755598673</v>
      </c>
      <c r="J690" s="2">
        <v>112.4</v>
      </c>
      <c r="K690" s="2">
        <v>115.4</v>
      </c>
      <c r="L690" s="2">
        <f t="shared" si="32"/>
        <v>-3</v>
      </c>
      <c r="M690">
        <v>107.5</v>
      </c>
      <c r="N690">
        <v>114.2</v>
      </c>
      <c r="O690">
        <v>-0.1</v>
      </c>
    </row>
    <row r="691" spans="1:15">
      <c r="A691" t="s">
        <v>64</v>
      </c>
      <c r="B691" t="s">
        <v>7</v>
      </c>
      <c r="C691">
        <v>21</v>
      </c>
      <c r="D691">
        <v>61</v>
      </c>
      <c r="E691" s="1">
        <f t="shared" si="30"/>
        <v>0.25609756097560976</v>
      </c>
      <c r="F691" s="2">
        <v>106.6</v>
      </c>
      <c r="G691" s="2">
        <v>116.8</v>
      </c>
      <c r="H691" s="2">
        <f t="shared" si="31"/>
        <v>-10.200000000000003</v>
      </c>
      <c r="I691" s="1">
        <f>+(F691^14)/((F691^14+G691^14))</f>
        <v>0.21766704901451664</v>
      </c>
      <c r="J691" s="2">
        <v>108.6</v>
      </c>
      <c r="K691" s="2">
        <v>119.2</v>
      </c>
      <c r="L691" s="2">
        <f t="shared" si="32"/>
        <v>-10.600000000000009</v>
      </c>
      <c r="M691">
        <v>112</v>
      </c>
      <c r="N691">
        <v>113.6</v>
      </c>
      <c r="O691">
        <v>-0.3</v>
      </c>
    </row>
    <row r="692" spans="1:15">
      <c r="A692" t="s">
        <v>64</v>
      </c>
      <c r="B692" t="s">
        <v>8</v>
      </c>
      <c r="C692">
        <v>39</v>
      </c>
      <c r="D692">
        <v>43</v>
      </c>
      <c r="E692" s="1">
        <f t="shared" si="30"/>
        <v>0.47560975609756095</v>
      </c>
      <c r="F692" s="2">
        <v>112.3</v>
      </c>
      <c r="G692" s="2">
        <v>113.7</v>
      </c>
      <c r="H692" s="2">
        <f t="shared" si="31"/>
        <v>-1.4000000000000057</v>
      </c>
      <c r="I692" s="1">
        <f>+(F692^14)/((F692^14+G692^14))</f>
        <v>0.45674500707162874</v>
      </c>
      <c r="J692" s="2">
        <v>114</v>
      </c>
      <c r="K692" s="2">
        <v>115.7</v>
      </c>
      <c r="L692" s="2">
        <f t="shared" si="32"/>
        <v>-1.7000000000000028</v>
      </c>
      <c r="M692">
        <v>119.5</v>
      </c>
      <c r="N692">
        <v>95.5</v>
      </c>
      <c r="O692">
        <v>0</v>
      </c>
    </row>
    <row r="693" spans="1:15">
      <c r="A693" t="s">
        <v>64</v>
      </c>
      <c r="B693" t="s">
        <v>9</v>
      </c>
      <c r="C693">
        <v>48</v>
      </c>
      <c r="D693">
        <v>34</v>
      </c>
      <c r="E693" s="1">
        <f t="shared" si="30"/>
        <v>0.58536585365853655</v>
      </c>
      <c r="F693" s="2">
        <v>112.6</v>
      </c>
      <c r="G693" s="2">
        <v>110.2</v>
      </c>
      <c r="H693" s="2">
        <f t="shared" si="31"/>
        <v>2.3999999999999915</v>
      </c>
      <c r="I693" s="1">
        <f>+(F693^14)/((F693^14+G693^14))</f>
        <v>0.57484031607485653</v>
      </c>
      <c r="J693" s="2">
        <v>114.7</v>
      </c>
      <c r="K693" s="2">
        <v>112.1</v>
      </c>
      <c r="L693" s="2">
        <f t="shared" si="32"/>
        <v>2.6000000000000085</v>
      </c>
      <c r="M693">
        <v>106.4</v>
      </c>
      <c r="N693">
        <v>111.1</v>
      </c>
      <c r="O693">
        <v>0.3</v>
      </c>
    </row>
    <row r="694" spans="1:15">
      <c r="A694" t="s">
        <v>64</v>
      </c>
      <c r="B694" t="s">
        <v>10</v>
      </c>
      <c r="C694">
        <v>50</v>
      </c>
      <c r="D694">
        <v>32</v>
      </c>
      <c r="E694" s="1">
        <f t="shared" si="30"/>
        <v>0.6097560975609756</v>
      </c>
      <c r="F694" s="2">
        <v>117.9</v>
      </c>
      <c r="G694" s="2">
        <v>115.6</v>
      </c>
      <c r="H694" s="2">
        <f t="shared" si="31"/>
        <v>2.3000000000000114</v>
      </c>
      <c r="I694" s="1">
        <f>+(F694^14)/((F694^14+G694^14))</f>
        <v>0.56851916226040555</v>
      </c>
      <c r="J694" s="2">
        <v>117</v>
      </c>
      <c r="K694" s="2">
        <v>114.9</v>
      </c>
      <c r="L694" s="2">
        <f t="shared" si="32"/>
        <v>2.0999999999999943</v>
      </c>
      <c r="M694">
        <v>128.19999999999999</v>
      </c>
      <c r="N694">
        <v>106.4</v>
      </c>
      <c r="O694">
        <v>0.5</v>
      </c>
    </row>
    <row r="695" spans="1:15">
      <c r="A695" t="s">
        <v>64</v>
      </c>
      <c r="B695" t="s">
        <v>11</v>
      </c>
      <c r="C695">
        <v>57</v>
      </c>
      <c r="D695">
        <v>25</v>
      </c>
      <c r="E695" s="1">
        <f t="shared" si="30"/>
        <v>0.69512195121951215</v>
      </c>
      <c r="F695" s="2">
        <v>114.9</v>
      </c>
      <c r="G695" s="2">
        <v>109.6</v>
      </c>
      <c r="H695" s="2">
        <f t="shared" si="31"/>
        <v>5.3000000000000114</v>
      </c>
      <c r="I695" s="1">
        <f>+(F695^14)/((F695^14+G695^14))</f>
        <v>0.65951807642431337</v>
      </c>
      <c r="J695" s="2">
        <v>117.8</v>
      </c>
      <c r="K695" s="2">
        <v>112.3</v>
      </c>
      <c r="L695" s="2">
        <f t="shared" si="32"/>
        <v>5.5</v>
      </c>
      <c r="M695">
        <v>121.1</v>
      </c>
      <c r="N695">
        <v>95.6</v>
      </c>
      <c r="O695">
        <v>1.2</v>
      </c>
    </row>
    <row r="696" spans="1:15">
      <c r="A696" t="s">
        <v>64</v>
      </c>
      <c r="B696" t="s">
        <v>12</v>
      </c>
      <c r="C696">
        <v>14</v>
      </c>
      <c r="D696">
        <v>68</v>
      </c>
      <c r="E696" s="1">
        <f t="shared" si="30"/>
        <v>0.17073170731707318</v>
      </c>
      <c r="F696" s="2">
        <v>109.9</v>
      </c>
      <c r="G696" s="2">
        <v>119</v>
      </c>
      <c r="H696" s="2">
        <f t="shared" si="31"/>
        <v>-9.0999999999999943</v>
      </c>
      <c r="I696" s="1">
        <f>+(F696^14)/((F696^14+G696^14))</f>
        <v>0.24717488192529891</v>
      </c>
      <c r="J696" s="2">
        <v>109</v>
      </c>
      <c r="K696" s="2">
        <v>118</v>
      </c>
      <c r="L696" s="2">
        <f t="shared" si="32"/>
        <v>-9</v>
      </c>
      <c r="M696">
        <v>93.7</v>
      </c>
      <c r="N696">
        <v>128.1</v>
      </c>
      <c r="O696">
        <v>-0.9</v>
      </c>
    </row>
    <row r="697" spans="1:15">
      <c r="A697" t="s">
        <v>64</v>
      </c>
      <c r="B697" t="s">
        <v>13</v>
      </c>
      <c r="C697">
        <v>46</v>
      </c>
      <c r="D697">
        <v>36</v>
      </c>
      <c r="E697" s="1">
        <f t="shared" si="30"/>
        <v>0.56097560975609762</v>
      </c>
      <c r="F697" s="2">
        <v>117.8</v>
      </c>
      <c r="G697" s="2">
        <v>115.2</v>
      </c>
      <c r="H697" s="2">
        <f t="shared" si="31"/>
        <v>2.5999999999999943</v>
      </c>
      <c r="I697" s="1">
        <f>+(F697^14)/((F697^14+G697^14))</f>
        <v>0.57748543979619871</v>
      </c>
      <c r="J697" s="2">
        <v>116.9</v>
      </c>
      <c r="K697" s="2">
        <v>114.5</v>
      </c>
      <c r="L697" s="2">
        <f t="shared" si="32"/>
        <v>2.4000000000000057</v>
      </c>
      <c r="M697">
        <v>116.2</v>
      </c>
      <c r="N697">
        <v>115.9</v>
      </c>
      <c r="O697">
        <v>-0.5</v>
      </c>
    </row>
    <row r="698" spans="1:15">
      <c r="A698" t="s">
        <v>64</v>
      </c>
      <c r="B698" t="s">
        <v>14</v>
      </c>
      <c r="C698">
        <v>41</v>
      </c>
      <c r="D698">
        <v>41</v>
      </c>
      <c r="E698" s="1">
        <f t="shared" si="30"/>
        <v>0.5</v>
      </c>
      <c r="F698" s="2">
        <v>114.3</v>
      </c>
      <c r="G698" s="2">
        <v>113.2</v>
      </c>
      <c r="H698" s="2">
        <f t="shared" si="31"/>
        <v>1.0999999999999943</v>
      </c>
      <c r="I698" s="1">
        <f>+(F698^14)/((F698^14+G698^14))</f>
        <v>0.53379481382340799</v>
      </c>
      <c r="J698" s="2">
        <v>113.7</v>
      </c>
      <c r="K698" s="2">
        <v>112.8</v>
      </c>
      <c r="L698" s="2">
        <f t="shared" si="32"/>
        <v>0.90000000000000568</v>
      </c>
      <c r="M698">
        <v>108.4</v>
      </c>
      <c r="N698">
        <v>121.6</v>
      </c>
      <c r="O698">
        <v>0.3</v>
      </c>
    </row>
    <row r="699" spans="1:15">
      <c r="A699" t="s">
        <v>64</v>
      </c>
      <c r="B699" t="s">
        <v>15</v>
      </c>
      <c r="C699">
        <v>46</v>
      </c>
      <c r="D699">
        <v>35</v>
      </c>
      <c r="E699" s="1">
        <f t="shared" si="30"/>
        <v>0.5679012345679012</v>
      </c>
      <c r="F699" s="2">
        <v>123.2</v>
      </c>
      <c r="G699" s="2">
        <v>120.3</v>
      </c>
      <c r="H699" s="2">
        <f t="shared" si="31"/>
        <v>2.9000000000000057</v>
      </c>
      <c r="I699" s="1">
        <f>+(F699^14)/((F699^14+G699^14))</f>
        <v>0.5826073302631597</v>
      </c>
      <c r="J699" s="2">
        <v>120.5</v>
      </c>
      <c r="K699" s="2">
        <v>117.6</v>
      </c>
      <c r="L699" s="2">
        <f t="shared" si="32"/>
        <v>2.9000000000000057</v>
      </c>
      <c r="M699">
        <v>117.2</v>
      </c>
      <c r="N699">
        <v>116.9</v>
      </c>
      <c r="O699">
        <v>0.7</v>
      </c>
    </row>
    <row r="700" spans="1:15">
      <c r="A700" t="s">
        <v>64</v>
      </c>
      <c r="B700" t="s">
        <v>56</v>
      </c>
      <c r="C700">
        <v>51</v>
      </c>
      <c r="D700">
        <v>31</v>
      </c>
      <c r="E700" s="1">
        <f t="shared" si="30"/>
        <v>0.62195121951219512</v>
      </c>
      <c r="F700" s="2">
        <v>115.6</v>
      </c>
      <c r="G700" s="2">
        <v>112.3</v>
      </c>
      <c r="H700" s="2">
        <f t="shared" si="31"/>
        <v>3.2999999999999972</v>
      </c>
      <c r="I700" s="1">
        <f>+(F700^14)/((F700^14+G700^14))</f>
        <v>0.60000101155304963</v>
      </c>
      <c r="J700" s="2">
        <v>117.9</v>
      </c>
      <c r="K700" s="2">
        <v>114.6</v>
      </c>
      <c r="L700" s="2">
        <f t="shared" si="32"/>
        <v>3.3000000000000114</v>
      </c>
      <c r="M700">
        <v>124.6</v>
      </c>
      <c r="N700">
        <v>107.8</v>
      </c>
      <c r="O700">
        <v>-0.5</v>
      </c>
    </row>
    <row r="701" spans="1:15">
      <c r="A701" t="s">
        <v>64</v>
      </c>
      <c r="B701" t="s">
        <v>17</v>
      </c>
      <c r="C701">
        <v>46</v>
      </c>
      <c r="D701">
        <v>35</v>
      </c>
      <c r="E701" s="1">
        <f t="shared" si="30"/>
        <v>0.5679012345679012</v>
      </c>
      <c r="F701" s="2">
        <v>117.9</v>
      </c>
      <c r="G701" s="2">
        <v>117.8</v>
      </c>
      <c r="H701" s="2">
        <f t="shared" si="31"/>
        <v>0.10000000000000853</v>
      </c>
      <c r="I701" s="1">
        <f>+(F701^14)/((F701^14+G701^14))</f>
        <v>0.50296984221450003</v>
      </c>
      <c r="J701" s="2">
        <v>115.2</v>
      </c>
      <c r="K701" s="2">
        <v>115.2</v>
      </c>
      <c r="L701" s="2">
        <f t="shared" si="32"/>
        <v>0</v>
      </c>
      <c r="M701">
        <v>117.6</v>
      </c>
      <c r="N701">
        <v>108.5</v>
      </c>
      <c r="O701">
        <v>0.1</v>
      </c>
    </row>
    <row r="702" spans="1:15">
      <c r="A702" t="s">
        <v>64</v>
      </c>
      <c r="B702" t="s">
        <v>35</v>
      </c>
      <c r="C702">
        <v>27</v>
      </c>
      <c r="D702">
        <v>55</v>
      </c>
      <c r="E702" s="1">
        <f t="shared" si="30"/>
        <v>0.32926829268292684</v>
      </c>
      <c r="F702" s="2">
        <v>105.8</v>
      </c>
      <c r="G702" s="2">
        <v>112.8</v>
      </c>
      <c r="H702" s="2">
        <f t="shared" si="31"/>
        <v>-7</v>
      </c>
      <c r="I702" s="1">
        <f>+(F702^14)/((F702^14+G702^14))</f>
        <v>0.28968354582770361</v>
      </c>
      <c r="J702" s="2">
        <v>106.8</v>
      </c>
      <c r="K702" s="2">
        <v>113.7</v>
      </c>
      <c r="L702" s="2">
        <f t="shared" si="32"/>
        <v>-6.9000000000000057</v>
      </c>
      <c r="M702">
        <v>98.4</v>
      </c>
      <c r="N702">
        <v>105.9</v>
      </c>
      <c r="O702">
        <v>0.4</v>
      </c>
    </row>
    <row r="703" spans="1:15">
      <c r="A703" t="s">
        <v>64</v>
      </c>
      <c r="B703" t="s">
        <v>18</v>
      </c>
      <c r="C703">
        <v>46</v>
      </c>
      <c r="D703">
        <v>36</v>
      </c>
      <c r="E703" s="1">
        <f t="shared" si="30"/>
        <v>0.56097560975609762</v>
      </c>
      <c r="F703" s="2">
        <v>110.1</v>
      </c>
      <c r="G703" s="2">
        <v>108.4</v>
      </c>
      <c r="H703" s="2">
        <f t="shared" si="31"/>
        <v>1.6999999999999886</v>
      </c>
      <c r="I703" s="1">
        <f>+(F703^14)/((F703^14+G703^14))</f>
        <v>0.55424895602857005</v>
      </c>
      <c r="J703" s="2">
        <v>113.3</v>
      </c>
      <c r="K703" s="2">
        <v>111.5</v>
      </c>
      <c r="L703" s="2">
        <f t="shared" si="32"/>
        <v>1.7999999999999972</v>
      </c>
      <c r="M703">
        <v>99.3</v>
      </c>
      <c r="N703">
        <v>112.6</v>
      </c>
      <c r="O703">
        <v>-1.2</v>
      </c>
    </row>
    <row r="704" spans="1:15">
      <c r="A704" t="s">
        <v>64</v>
      </c>
      <c r="B704" t="s">
        <v>19</v>
      </c>
      <c r="C704">
        <v>49</v>
      </c>
      <c r="D704">
        <v>32</v>
      </c>
      <c r="E704" s="1">
        <f t="shared" si="30"/>
        <v>0.60493827160493829</v>
      </c>
      <c r="F704" s="2">
        <v>119</v>
      </c>
      <c r="G704" s="2">
        <v>116.2</v>
      </c>
      <c r="H704" s="2">
        <f t="shared" si="31"/>
        <v>2.7999999999999972</v>
      </c>
      <c r="I704" s="1">
        <f>+(F704^14)/((F704^14+G704^14))</f>
        <v>0.58257403618210546</v>
      </c>
      <c r="J704" s="2">
        <v>117.7</v>
      </c>
      <c r="K704" s="2">
        <v>114.9</v>
      </c>
      <c r="L704" s="2">
        <f t="shared" si="32"/>
        <v>2.7999999999999972</v>
      </c>
      <c r="M704">
        <v>122</v>
      </c>
      <c r="N704">
        <v>106.2</v>
      </c>
      <c r="O704">
        <v>0.1</v>
      </c>
    </row>
    <row r="705" spans="1:15">
      <c r="A705" t="s">
        <v>64</v>
      </c>
      <c r="B705" t="s">
        <v>20</v>
      </c>
      <c r="C705">
        <v>56</v>
      </c>
      <c r="D705">
        <v>26</v>
      </c>
      <c r="E705" s="1">
        <f t="shared" si="30"/>
        <v>0.68292682926829273</v>
      </c>
      <c r="F705" s="2">
        <v>113</v>
      </c>
      <c r="G705" s="2">
        <v>106.5</v>
      </c>
      <c r="H705" s="2">
        <f t="shared" si="31"/>
        <v>6.5</v>
      </c>
      <c r="I705" s="1">
        <f>+(F705^14)/((F705^14+G705^14))</f>
        <v>0.6962279782158256</v>
      </c>
      <c r="J705" s="2">
        <v>114.6</v>
      </c>
      <c r="K705" s="2">
        <v>108.4</v>
      </c>
      <c r="L705" s="2">
        <f t="shared" si="32"/>
        <v>6.1999999999999886</v>
      </c>
      <c r="M705">
        <v>104.9</v>
      </c>
      <c r="N705">
        <v>116.7</v>
      </c>
      <c r="O705">
        <v>1.2</v>
      </c>
    </row>
    <row r="706" spans="1:15">
      <c r="A706" t="s">
        <v>64</v>
      </c>
      <c r="B706" t="s">
        <v>53</v>
      </c>
      <c r="C706">
        <v>49</v>
      </c>
      <c r="D706">
        <v>32</v>
      </c>
      <c r="E706" s="1">
        <f t="shared" si="30"/>
        <v>0.60493827160493829</v>
      </c>
      <c r="F706" s="2">
        <v>115.4</v>
      </c>
      <c r="G706" s="2">
        <v>110.4</v>
      </c>
      <c r="H706" s="2">
        <f t="shared" si="31"/>
        <v>5</v>
      </c>
      <c r="I706" s="1">
        <f>+(F706^14)/((F706^14+G706^14))</f>
        <v>0.65024563171173744</v>
      </c>
      <c r="J706" s="2">
        <v>116.9</v>
      </c>
      <c r="K706" s="2">
        <v>111.7</v>
      </c>
      <c r="L706" s="2">
        <f t="shared" si="32"/>
        <v>5.2000000000000028</v>
      </c>
      <c r="M706">
        <v>99</v>
      </c>
      <c r="N706">
        <v>112.3</v>
      </c>
      <c r="O706">
        <v>-0.3</v>
      </c>
    </row>
    <row r="707" spans="1:15">
      <c r="A707" t="s">
        <v>64</v>
      </c>
      <c r="B707" t="s">
        <v>22</v>
      </c>
      <c r="C707">
        <v>50</v>
      </c>
      <c r="D707">
        <v>32</v>
      </c>
      <c r="E707" s="1">
        <f t="shared" ref="E707:E770" si="33">+C707/(C707+D707)</f>
        <v>0.6097560975609756</v>
      </c>
      <c r="F707" s="2">
        <v>112.8</v>
      </c>
      <c r="G707" s="2">
        <v>108.2</v>
      </c>
      <c r="H707" s="2">
        <f t="shared" ref="H707:H770" si="34">+F707-G707</f>
        <v>4.5999999999999943</v>
      </c>
      <c r="I707" s="1">
        <f>+(F707^14)/((F707^14+G707^14))</f>
        <v>0.64173203581076255</v>
      </c>
      <c r="J707" s="2">
        <v>117.3</v>
      </c>
      <c r="K707" s="2">
        <v>112.4</v>
      </c>
      <c r="L707" s="2">
        <f t="shared" ref="L707:L770" si="35">+J707-K707</f>
        <v>4.8999999999999915</v>
      </c>
      <c r="M707">
        <v>114.4</v>
      </c>
      <c r="N707">
        <v>100.4</v>
      </c>
      <c r="O707">
        <v>1</v>
      </c>
    </row>
    <row r="708" spans="1:15">
      <c r="A708" t="s">
        <v>64</v>
      </c>
      <c r="B708" t="s">
        <v>46</v>
      </c>
      <c r="C708">
        <v>57</v>
      </c>
      <c r="D708">
        <v>25</v>
      </c>
      <c r="E708" s="1">
        <f t="shared" si="33"/>
        <v>0.69512195121951215</v>
      </c>
      <c r="F708" s="2">
        <v>120.1</v>
      </c>
      <c r="G708" s="2">
        <v>112.7</v>
      </c>
      <c r="H708" s="2">
        <f t="shared" si="34"/>
        <v>7.3999999999999915</v>
      </c>
      <c r="I708" s="1">
        <f>+(F708^14)/((F708^14+G708^14))</f>
        <v>0.70895915812510701</v>
      </c>
      <c r="J708" s="2">
        <v>118.3</v>
      </c>
      <c r="K708" s="2">
        <v>111</v>
      </c>
      <c r="L708" s="2">
        <f t="shared" si="35"/>
        <v>7.2999999999999972</v>
      </c>
      <c r="M708">
        <v>125.5</v>
      </c>
      <c r="N708">
        <v>114</v>
      </c>
      <c r="O708">
        <v>0.8</v>
      </c>
    </row>
    <row r="709" spans="1:15">
      <c r="A709" t="s">
        <v>64</v>
      </c>
      <c r="B709" t="s">
        <v>23</v>
      </c>
      <c r="C709">
        <v>47</v>
      </c>
      <c r="D709">
        <v>35</v>
      </c>
      <c r="E709" s="1">
        <f t="shared" si="33"/>
        <v>0.57317073170731703</v>
      </c>
      <c r="F709" s="2">
        <v>110.5</v>
      </c>
      <c r="G709" s="2">
        <v>108.4</v>
      </c>
      <c r="H709" s="2">
        <f t="shared" si="34"/>
        <v>2.0999999999999943</v>
      </c>
      <c r="I709" s="1">
        <f>+(F709^14)/((F709^14+G709^14))</f>
        <v>0.56675507945775017</v>
      </c>
      <c r="J709" s="2">
        <v>112.9</v>
      </c>
      <c r="K709" s="2">
        <v>110.8</v>
      </c>
      <c r="L709" s="2">
        <f t="shared" si="35"/>
        <v>2.1000000000000085</v>
      </c>
      <c r="M709">
        <v>104.2</v>
      </c>
      <c r="N709">
        <v>100.8</v>
      </c>
      <c r="O709">
        <v>0.6</v>
      </c>
    </row>
    <row r="710" spans="1:15">
      <c r="A710" t="s">
        <v>64</v>
      </c>
      <c r="B710" t="s">
        <v>24</v>
      </c>
      <c r="C710">
        <v>47</v>
      </c>
      <c r="D710">
        <v>35</v>
      </c>
      <c r="E710" s="1">
        <f t="shared" si="33"/>
        <v>0.57317073170731703</v>
      </c>
      <c r="F710" s="2">
        <v>114.6</v>
      </c>
      <c r="G710" s="2">
        <v>111.5</v>
      </c>
      <c r="H710" s="2">
        <f t="shared" si="34"/>
        <v>3.0999999999999943</v>
      </c>
      <c r="I710" s="1">
        <f>+(F710^14)/((F710^14+G710^14))</f>
        <v>0.59481941226835489</v>
      </c>
      <c r="J710" s="2">
        <v>116.2</v>
      </c>
      <c r="K710" s="2">
        <v>113</v>
      </c>
      <c r="L710" s="2">
        <f t="shared" si="35"/>
        <v>3.2000000000000028</v>
      </c>
      <c r="M710">
        <v>115.3</v>
      </c>
      <c r="N710">
        <v>113.2</v>
      </c>
      <c r="O710">
        <v>0.7</v>
      </c>
    </row>
    <row r="711" spans="1:15">
      <c r="A711" t="s">
        <v>64</v>
      </c>
      <c r="B711" t="s">
        <v>25</v>
      </c>
      <c r="C711">
        <v>49</v>
      </c>
      <c r="D711">
        <v>33</v>
      </c>
      <c r="E711" s="1">
        <f t="shared" si="33"/>
        <v>0.59756097560975607</v>
      </c>
      <c r="F711" s="2">
        <v>116.2</v>
      </c>
      <c r="G711" s="2">
        <v>113.2</v>
      </c>
      <c r="H711" s="2">
        <f t="shared" si="34"/>
        <v>3</v>
      </c>
      <c r="I711" s="1">
        <f>+(F711^14)/((F711^14+G711^14))</f>
        <v>0.59053887488262369</v>
      </c>
      <c r="J711" s="2">
        <v>116.8</v>
      </c>
      <c r="K711" s="2">
        <v>113.7</v>
      </c>
      <c r="L711" s="2">
        <f t="shared" si="35"/>
        <v>3.0999999999999943</v>
      </c>
      <c r="M711">
        <v>102</v>
      </c>
      <c r="N711">
        <v>105.2</v>
      </c>
      <c r="O711">
        <v>-2.4</v>
      </c>
    </row>
    <row r="712" spans="1:15">
      <c r="A712" t="s">
        <v>64</v>
      </c>
      <c r="B712" t="s">
        <v>26</v>
      </c>
      <c r="C712">
        <v>21</v>
      </c>
      <c r="D712">
        <v>61</v>
      </c>
      <c r="E712" s="1">
        <f t="shared" si="33"/>
        <v>0.25609756097560976</v>
      </c>
      <c r="F712" s="2">
        <v>106.4</v>
      </c>
      <c r="G712" s="2">
        <v>115.4</v>
      </c>
      <c r="H712" s="2">
        <f t="shared" si="34"/>
        <v>-9</v>
      </c>
      <c r="I712" s="1">
        <f>+(F712^14)/((F712^14+G712^14))</f>
        <v>0.24291151759071603</v>
      </c>
      <c r="J712" s="2">
        <v>107.6</v>
      </c>
      <c r="K712" s="2">
        <v>116.6</v>
      </c>
      <c r="L712" s="2">
        <f t="shared" si="35"/>
        <v>-9</v>
      </c>
      <c r="M712">
        <v>104.8</v>
      </c>
      <c r="N712">
        <v>102.6</v>
      </c>
      <c r="O712">
        <v>-0.6</v>
      </c>
    </row>
    <row r="713" spans="1:15">
      <c r="A713" t="s">
        <v>64</v>
      </c>
      <c r="B713" t="s">
        <v>27</v>
      </c>
      <c r="C713">
        <v>46</v>
      </c>
      <c r="D713">
        <v>36</v>
      </c>
      <c r="E713" s="1">
        <f t="shared" si="33"/>
        <v>0.56097560975609762</v>
      </c>
      <c r="F713" s="2">
        <v>116.6</v>
      </c>
      <c r="G713" s="2">
        <v>114.8</v>
      </c>
      <c r="H713" s="2">
        <f t="shared" si="34"/>
        <v>1.7999999999999972</v>
      </c>
      <c r="I713" s="1">
        <f>+(F713^14)/((F713^14+G713^14))</f>
        <v>0.55423800996909134</v>
      </c>
      <c r="J713" s="2">
        <v>116.2</v>
      </c>
      <c r="K713" s="2">
        <v>114.4</v>
      </c>
      <c r="L713" s="2">
        <f t="shared" si="35"/>
        <v>1.7999999999999972</v>
      </c>
      <c r="M713">
        <v>105.6</v>
      </c>
      <c r="N713">
        <v>104.1</v>
      </c>
      <c r="O713">
        <v>-0.8</v>
      </c>
    </row>
    <row r="714" spans="1:15">
      <c r="A714" t="s">
        <v>64</v>
      </c>
      <c r="B714" t="s">
        <v>28</v>
      </c>
      <c r="C714">
        <v>22</v>
      </c>
      <c r="D714">
        <v>60</v>
      </c>
      <c r="E714" s="1">
        <f t="shared" si="33"/>
        <v>0.26829268292682928</v>
      </c>
      <c r="F714" s="2">
        <v>112.1</v>
      </c>
      <c r="G714" s="2">
        <v>118.6</v>
      </c>
      <c r="H714" s="2">
        <f t="shared" si="34"/>
        <v>-6.5</v>
      </c>
      <c r="I714" s="1">
        <f>+(F714^14)/((F714^14+G714^14))</f>
        <v>0.31235933105064495</v>
      </c>
      <c r="J714" s="2">
        <v>109.3</v>
      </c>
      <c r="K714" s="2">
        <v>115.6</v>
      </c>
      <c r="L714" s="2">
        <f t="shared" si="35"/>
        <v>-6.2999999999999972</v>
      </c>
      <c r="M714">
        <v>101</v>
      </c>
      <c r="N714">
        <v>113.6</v>
      </c>
      <c r="O714">
        <v>-0.2</v>
      </c>
    </row>
    <row r="715" spans="1:15">
      <c r="A715" t="s">
        <v>64</v>
      </c>
      <c r="B715" t="s">
        <v>30</v>
      </c>
      <c r="C715">
        <v>25</v>
      </c>
      <c r="D715">
        <v>57</v>
      </c>
      <c r="E715" s="1">
        <f t="shared" si="33"/>
        <v>0.3048780487804878</v>
      </c>
      <c r="F715" s="2">
        <v>112.4</v>
      </c>
      <c r="G715" s="2">
        <v>118.8</v>
      </c>
      <c r="H715" s="2">
        <f t="shared" si="34"/>
        <v>-6.3999999999999915</v>
      </c>
      <c r="I715" s="1">
        <f>+(F715^14)/((F715^14+G715^14))</f>
        <v>0.3153370573458385</v>
      </c>
      <c r="J715" s="2">
        <v>111.8</v>
      </c>
      <c r="K715" s="2">
        <v>118.1</v>
      </c>
      <c r="L715" s="2">
        <f t="shared" si="35"/>
        <v>-6.2999999999999972</v>
      </c>
      <c r="M715">
        <v>109</v>
      </c>
      <c r="N715">
        <v>115.5</v>
      </c>
      <c r="O715">
        <v>-1</v>
      </c>
    </row>
    <row r="716" spans="1:15">
      <c r="A716" t="s">
        <v>64</v>
      </c>
      <c r="B716" t="s">
        <v>31</v>
      </c>
      <c r="C716">
        <v>31</v>
      </c>
      <c r="D716">
        <v>51</v>
      </c>
      <c r="E716" s="1">
        <f t="shared" si="33"/>
        <v>0.37804878048780488</v>
      </c>
      <c r="F716" s="2">
        <v>115.7</v>
      </c>
      <c r="G716" s="2">
        <v>120.5</v>
      </c>
      <c r="H716" s="2">
        <f t="shared" si="34"/>
        <v>-4.7999999999999972</v>
      </c>
      <c r="I716" s="1">
        <f>+(F716^14)/((F716^14+G716^14))</f>
        <v>0.36144736866912885</v>
      </c>
      <c r="J716" s="2">
        <v>114.5</v>
      </c>
      <c r="K716" s="2">
        <v>119.6</v>
      </c>
      <c r="L716" s="2">
        <f t="shared" si="35"/>
        <v>-5.0999999999999943</v>
      </c>
      <c r="M716">
        <v>116.1</v>
      </c>
      <c r="N716">
        <v>104.3</v>
      </c>
      <c r="O716">
        <v>0.2</v>
      </c>
    </row>
    <row r="717" spans="1:15">
      <c r="A717" t="s">
        <v>64</v>
      </c>
      <c r="B717" t="s">
        <v>33</v>
      </c>
      <c r="C717">
        <v>15</v>
      </c>
      <c r="D717">
        <v>67</v>
      </c>
      <c r="E717" s="1">
        <f t="shared" si="33"/>
        <v>0.18292682926829268</v>
      </c>
      <c r="F717" s="2">
        <v>113.7</v>
      </c>
      <c r="G717" s="2">
        <v>123</v>
      </c>
      <c r="H717" s="2">
        <f t="shared" si="34"/>
        <v>-9.2999999999999972</v>
      </c>
      <c r="I717" s="1">
        <f>+(F717^14)/((F717^14+G717^14))</f>
        <v>0.24961000130344238</v>
      </c>
      <c r="J717" s="2">
        <v>110.2</v>
      </c>
      <c r="K717" s="2">
        <v>118.9</v>
      </c>
      <c r="L717" s="2">
        <f t="shared" si="35"/>
        <v>-8.7000000000000028</v>
      </c>
      <c r="M717">
        <v>85.1</v>
      </c>
      <c r="N717">
        <v>123</v>
      </c>
      <c r="O717">
        <v>-0.3</v>
      </c>
    </row>
    <row r="718" spans="1:15">
      <c r="A718" t="s">
        <v>65</v>
      </c>
      <c r="B718" t="s">
        <v>5</v>
      </c>
      <c r="C718">
        <v>40</v>
      </c>
      <c r="D718">
        <v>41</v>
      </c>
      <c r="E718" s="1">
        <f t="shared" si="33"/>
        <v>0.49382716049382713</v>
      </c>
      <c r="F718" s="2">
        <v>118.4</v>
      </c>
      <c r="G718" s="2">
        <v>119.4</v>
      </c>
      <c r="H718" s="2">
        <f t="shared" si="34"/>
        <v>-1</v>
      </c>
      <c r="I718" s="1">
        <f>+(F718^14)/((F718^14+G718^14))</f>
        <v>0.47059728800481032</v>
      </c>
      <c r="J718" s="2">
        <v>113.9</v>
      </c>
      <c r="K718" s="2">
        <v>114.9</v>
      </c>
      <c r="L718" s="2">
        <f t="shared" si="35"/>
        <v>-1</v>
      </c>
      <c r="M718">
        <v>119.4</v>
      </c>
      <c r="N718">
        <v>109.6</v>
      </c>
      <c r="O718">
        <v>1.1000000000000001</v>
      </c>
    </row>
    <row r="719" spans="1:15">
      <c r="A719" t="s">
        <v>65</v>
      </c>
      <c r="B719" t="s">
        <v>6</v>
      </c>
      <c r="C719">
        <v>61</v>
      </c>
      <c r="D719">
        <v>21</v>
      </c>
      <c r="E719" s="1">
        <f t="shared" si="33"/>
        <v>0.74390243902439024</v>
      </c>
      <c r="F719" s="2">
        <v>116.3</v>
      </c>
      <c r="G719" s="2">
        <v>107.2</v>
      </c>
      <c r="H719" s="2">
        <f t="shared" si="34"/>
        <v>9.0999999999999943</v>
      </c>
      <c r="I719" s="1">
        <f>+(F719^14)/((F719^14+G719^14))</f>
        <v>0.75780361294366638</v>
      </c>
      <c r="J719" s="2">
        <v>119.5</v>
      </c>
      <c r="K719" s="2">
        <v>110.1</v>
      </c>
      <c r="L719" s="2">
        <f t="shared" si="35"/>
        <v>9.4000000000000057</v>
      </c>
      <c r="M719">
        <v>120.4</v>
      </c>
      <c r="N719">
        <v>109.7</v>
      </c>
      <c r="O719">
        <v>0.4</v>
      </c>
    </row>
    <row r="720" spans="1:15">
      <c r="A720" t="s">
        <v>65</v>
      </c>
      <c r="B720" t="s">
        <v>51</v>
      </c>
      <c r="C720">
        <v>26</v>
      </c>
      <c r="D720">
        <v>56</v>
      </c>
      <c r="E720" s="1">
        <f t="shared" si="33"/>
        <v>0.31707317073170732</v>
      </c>
      <c r="F720" s="2">
        <v>105.1</v>
      </c>
      <c r="G720" s="2">
        <v>112.2</v>
      </c>
      <c r="H720" s="2">
        <f t="shared" si="34"/>
        <v>-7.1000000000000085</v>
      </c>
      <c r="I720" s="1">
        <f>+(F720^14)/((F720^14+G720^14))</f>
        <v>0.28593897521823097</v>
      </c>
      <c r="J720" s="2">
        <v>108.1</v>
      </c>
      <c r="K720" s="2">
        <v>115.4</v>
      </c>
      <c r="L720" s="2">
        <f t="shared" si="35"/>
        <v>-7.3000000000000114</v>
      </c>
      <c r="M720">
        <v>100.3</v>
      </c>
      <c r="N720">
        <v>116.9</v>
      </c>
      <c r="O720">
        <v>-1.6</v>
      </c>
    </row>
    <row r="721" spans="1:15">
      <c r="A721" t="s">
        <v>65</v>
      </c>
      <c r="B721" t="s">
        <v>7</v>
      </c>
      <c r="C721">
        <v>19</v>
      </c>
      <c r="D721">
        <v>63</v>
      </c>
      <c r="E721" s="1">
        <f t="shared" si="33"/>
        <v>0.23170731707317074</v>
      </c>
      <c r="F721" s="2">
        <v>105.1</v>
      </c>
      <c r="G721" s="2">
        <v>114.2</v>
      </c>
      <c r="H721" s="2">
        <f t="shared" si="34"/>
        <v>-9.1000000000000085</v>
      </c>
      <c r="I721" s="1">
        <f>+(F721^14)/((F721^14+G721^14))</f>
        <v>0.23820492240798724</v>
      </c>
      <c r="J721" s="2">
        <v>106.7</v>
      </c>
      <c r="K721" s="2">
        <v>115.7</v>
      </c>
      <c r="L721" s="2">
        <f t="shared" si="35"/>
        <v>-9</v>
      </c>
      <c r="M721">
        <v>105.4</v>
      </c>
      <c r="N721">
        <v>111.4</v>
      </c>
      <c r="O721">
        <v>-0.5</v>
      </c>
    </row>
    <row r="722" spans="1:15">
      <c r="A722" t="s">
        <v>65</v>
      </c>
      <c r="B722" t="s">
        <v>8</v>
      </c>
      <c r="C722">
        <v>39</v>
      </c>
      <c r="D722">
        <v>43</v>
      </c>
      <c r="E722" s="1">
        <f t="shared" si="33"/>
        <v>0.47560975609756095</v>
      </c>
      <c r="F722" s="2">
        <v>117.8</v>
      </c>
      <c r="G722" s="2">
        <v>119.4</v>
      </c>
      <c r="H722" s="2">
        <f t="shared" si="34"/>
        <v>-1.6000000000000085</v>
      </c>
      <c r="I722" s="1">
        <f>+(F722^14)/((F722^14+G722^14))</f>
        <v>0.45292161510107215</v>
      </c>
      <c r="J722" s="2">
        <v>113.2</v>
      </c>
      <c r="K722" s="2">
        <v>114.8</v>
      </c>
      <c r="L722" s="2">
        <f t="shared" si="35"/>
        <v>-1.5999999999999943</v>
      </c>
      <c r="M722">
        <v>115.4</v>
      </c>
      <c r="N722">
        <v>100.4</v>
      </c>
      <c r="O722">
        <v>0</v>
      </c>
    </row>
    <row r="723" spans="1:15">
      <c r="A723" t="s">
        <v>65</v>
      </c>
      <c r="B723" t="s">
        <v>9</v>
      </c>
      <c r="C723">
        <v>64</v>
      </c>
      <c r="D723">
        <v>18</v>
      </c>
      <c r="E723" s="1">
        <f t="shared" si="33"/>
        <v>0.78048780487804881</v>
      </c>
      <c r="F723" s="2">
        <v>121.9</v>
      </c>
      <c r="G723" s="2">
        <v>112.4</v>
      </c>
      <c r="H723" s="2">
        <f t="shared" si="34"/>
        <v>9.5</v>
      </c>
      <c r="I723" s="1">
        <f>+(F723^14)/((F723^14+G723^14))</f>
        <v>0.75692964586236922</v>
      </c>
      <c r="J723" s="2">
        <v>121</v>
      </c>
      <c r="K723" s="2">
        <v>111.8</v>
      </c>
      <c r="L723" s="2">
        <f t="shared" si="35"/>
        <v>9.2000000000000028</v>
      </c>
      <c r="M723">
        <v>123.8</v>
      </c>
      <c r="N723">
        <v>104.9</v>
      </c>
      <c r="O723">
        <v>2.9</v>
      </c>
    </row>
    <row r="724" spans="1:15">
      <c r="A724" t="s">
        <v>65</v>
      </c>
      <c r="B724" t="s">
        <v>10</v>
      </c>
      <c r="C724">
        <v>39</v>
      </c>
      <c r="D724">
        <v>43</v>
      </c>
      <c r="E724" s="1">
        <f t="shared" si="33"/>
        <v>0.47560975609756095</v>
      </c>
      <c r="F724" s="2">
        <v>114.2</v>
      </c>
      <c r="G724" s="2">
        <v>115.4</v>
      </c>
      <c r="H724" s="2">
        <f t="shared" si="34"/>
        <v>-1.2000000000000028</v>
      </c>
      <c r="I724" s="1">
        <f>+(F724^14)/((F724^14+G724^14))</f>
        <v>0.46347945541484592</v>
      </c>
      <c r="J724" s="2">
        <v>113.7</v>
      </c>
      <c r="K724" s="2">
        <v>115</v>
      </c>
      <c r="L724" s="2">
        <f t="shared" si="35"/>
        <v>-1.2999999999999972</v>
      </c>
      <c r="M724">
        <v>113</v>
      </c>
      <c r="N724">
        <v>111.7</v>
      </c>
      <c r="O724">
        <v>0.1</v>
      </c>
    </row>
    <row r="725" spans="1:15">
      <c r="A725" t="s">
        <v>65</v>
      </c>
      <c r="B725" t="s">
        <v>11</v>
      </c>
      <c r="C725">
        <v>50</v>
      </c>
      <c r="D725">
        <v>32</v>
      </c>
      <c r="E725" s="1">
        <f t="shared" si="33"/>
        <v>0.6097560975609756</v>
      </c>
      <c r="F725" s="2">
        <v>120.8</v>
      </c>
      <c r="G725" s="2">
        <v>116.9</v>
      </c>
      <c r="H725" s="2">
        <f t="shared" si="34"/>
        <v>3.8999999999999915</v>
      </c>
      <c r="I725" s="1">
        <f>+(F725^14)/((F725^14+G725^14))</f>
        <v>0.61288223083931581</v>
      </c>
      <c r="J725" s="2">
        <v>118.9</v>
      </c>
      <c r="K725" s="2">
        <v>115.1</v>
      </c>
      <c r="L725" s="2">
        <f t="shared" si="35"/>
        <v>3.8000000000000114</v>
      </c>
      <c r="M725">
        <v>126.8</v>
      </c>
      <c r="N725">
        <v>108</v>
      </c>
      <c r="O725">
        <v>0.2</v>
      </c>
    </row>
    <row r="726" spans="1:15">
      <c r="A726" t="s">
        <v>65</v>
      </c>
      <c r="B726" t="s">
        <v>12</v>
      </c>
      <c r="C726">
        <v>44</v>
      </c>
      <c r="D726">
        <v>38</v>
      </c>
      <c r="E726" s="1">
        <f t="shared" si="33"/>
        <v>0.53658536585365857</v>
      </c>
      <c r="F726" s="2">
        <v>115.5</v>
      </c>
      <c r="G726" s="2">
        <v>113.6</v>
      </c>
      <c r="H726" s="2">
        <f t="shared" si="34"/>
        <v>1.9000000000000057</v>
      </c>
      <c r="I726" s="1">
        <f>+(F726^14)/((F726^14+G726^14))</f>
        <v>0.55779509756392176</v>
      </c>
      <c r="J726" s="2">
        <v>114.6</v>
      </c>
      <c r="K726" s="2">
        <v>112.5</v>
      </c>
      <c r="L726" s="2">
        <f t="shared" si="35"/>
        <v>2.0999999999999943</v>
      </c>
      <c r="M726">
        <v>107.4</v>
      </c>
      <c r="N726">
        <v>117.1</v>
      </c>
      <c r="O726">
        <v>0.3</v>
      </c>
    </row>
    <row r="727" spans="1:15">
      <c r="A727" t="s">
        <v>65</v>
      </c>
      <c r="B727" t="s">
        <v>13</v>
      </c>
      <c r="C727">
        <v>48</v>
      </c>
      <c r="D727">
        <v>34</v>
      </c>
      <c r="E727" s="1">
        <f t="shared" si="33"/>
        <v>0.58536585365853655</v>
      </c>
      <c r="F727" s="2">
        <v>113.8</v>
      </c>
      <c r="G727" s="2">
        <v>110.5</v>
      </c>
      <c r="H727" s="2">
        <f t="shared" si="34"/>
        <v>3.2999999999999972</v>
      </c>
      <c r="I727" s="1">
        <f>+(F727^14)/((F727^14+G727^14))</f>
        <v>0.60156207363677106</v>
      </c>
      <c r="J727" s="2">
        <v>114.2</v>
      </c>
      <c r="K727" s="2">
        <v>111</v>
      </c>
      <c r="L727" s="2">
        <f t="shared" si="35"/>
        <v>3.2000000000000028</v>
      </c>
      <c r="M727">
        <v>111</v>
      </c>
      <c r="N727">
        <v>110.3</v>
      </c>
      <c r="O727">
        <v>0.8</v>
      </c>
    </row>
    <row r="728" spans="1:15">
      <c r="A728" t="s">
        <v>65</v>
      </c>
      <c r="B728" t="s">
        <v>14</v>
      </c>
      <c r="C728">
        <v>52</v>
      </c>
      <c r="D728">
        <v>29</v>
      </c>
      <c r="E728" s="1">
        <f t="shared" si="33"/>
        <v>0.64197530864197527</v>
      </c>
      <c r="F728" s="2">
        <v>114.5</v>
      </c>
      <c r="G728" s="2">
        <v>109.8</v>
      </c>
      <c r="H728" s="2">
        <f t="shared" si="34"/>
        <v>4.7000000000000028</v>
      </c>
      <c r="I728" s="1">
        <f>+(F728^14)/((F728^14+G728^14))</f>
        <v>0.64263060711327835</v>
      </c>
      <c r="J728" s="2">
        <v>115.1</v>
      </c>
      <c r="K728" s="2">
        <v>110.2</v>
      </c>
      <c r="L728" s="2">
        <f t="shared" si="35"/>
        <v>4.8999999999999915</v>
      </c>
      <c r="M728">
        <v>107.1</v>
      </c>
      <c r="N728">
        <v>107.1</v>
      </c>
      <c r="O728">
        <v>-0.5</v>
      </c>
    </row>
    <row r="729" spans="1:15">
      <c r="A729" t="s">
        <v>65</v>
      </c>
      <c r="B729" t="s">
        <v>15</v>
      </c>
      <c r="C729">
        <v>50</v>
      </c>
      <c r="D729">
        <v>32</v>
      </c>
      <c r="E729" s="1">
        <f t="shared" si="33"/>
        <v>0.6097560975609756</v>
      </c>
      <c r="F729" s="2">
        <v>117.4</v>
      </c>
      <c r="G729" s="2">
        <v>115.1</v>
      </c>
      <c r="H729" s="2">
        <f t="shared" si="34"/>
        <v>2.3000000000000114</v>
      </c>
      <c r="I729" s="1">
        <f>+(F729^14)/((F729^14+G729^14))</f>
        <v>0.56881015999897555</v>
      </c>
      <c r="J729" s="2">
        <v>115.4</v>
      </c>
      <c r="K729" s="2">
        <v>113.3</v>
      </c>
      <c r="L729" s="2">
        <f t="shared" si="35"/>
        <v>2.1000000000000085</v>
      </c>
      <c r="M729">
        <v>118.3</v>
      </c>
      <c r="N729">
        <v>100.6</v>
      </c>
      <c r="O729">
        <v>2.1</v>
      </c>
    </row>
    <row r="730" spans="1:15">
      <c r="A730" t="s">
        <v>65</v>
      </c>
      <c r="B730" t="s">
        <v>56</v>
      </c>
      <c r="C730">
        <v>50</v>
      </c>
      <c r="D730">
        <v>32</v>
      </c>
      <c r="E730" s="1">
        <f t="shared" si="33"/>
        <v>0.6097560975609756</v>
      </c>
      <c r="F730" s="2">
        <v>112.9</v>
      </c>
      <c r="G730" s="2">
        <v>108.2</v>
      </c>
      <c r="H730" s="2">
        <f t="shared" si="34"/>
        <v>4.7000000000000028</v>
      </c>
      <c r="I730" s="1">
        <f>+(F730^14)/((F730^14+G730^14))</f>
        <v>0.64457924701771829</v>
      </c>
      <c r="J730" s="2">
        <v>114.3</v>
      </c>
      <c r="K730" s="2">
        <v>109.4</v>
      </c>
      <c r="L730" s="2">
        <f t="shared" si="35"/>
        <v>4.8999999999999915</v>
      </c>
      <c r="M730">
        <v>105.9</v>
      </c>
      <c r="N730">
        <v>106</v>
      </c>
      <c r="O730">
        <v>1</v>
      </c>
    </row>
    <row r="731" spans="1:15">
      <c r="A731" t="s">
        <v>65</v>
      </c>
      <c r="B731" t="s">
        <v>17</v>
      </c>
      <c r="C731">
        <v>50</v>
      </c>
      <c r="D731">
        <v>32</v>
      </c>
      <c r="E731" s="1">
        <f t="shared" si="33"/>
        <v>0.6097560975609756</v>
      </c>
      <c r="F731" s="2">
        <v>113.4</v>
      </c>
      <c r="G731" s="2">
        <v>112.2</v>
      </c>
      <c r="H731" s="2">
        <f t="shared" si="34"/>
        <v>1.2000000000000028</v>
      </c>
      <c r="I731" s="1">
        <f>+(F731^14)/((F731^14+G731^14))</f>
        <v>0.5371657170333668</v>
      </c>
      <c r="J731" s="2">
        <v>115</v>
      </c>
      <c r="K731" s="2">
        <v>113.8</v>
      </c>
      <c r="L731" s="2">
        <f t="shared" si="35"/>
        <v>1.2000000000000028</v>
      </c>
      <c r="M731">
        <v>114.6</v>
      </c>
      <c r="N731">
        <v>110.6</v>
      </c>
      <c r="O731">
        <v>-0.7</v>
      </c>
    </row>
    <row r="732" spans="1:15">
      <c r="A732" t="s">
        <v>65</v>
      </c>
      <c r="B732" t="s">
        <v>35</v>
      </c>
      <c r="C732">
        <v>48</v>
      </c>
      <c r="D732">
        <v>34</v>
      </c>
      <c r="E732" s="1">
        <f t="shared" si="33"/>
        <v>0.58536585365853655</v>
      </c>
      <c r="F732" s="2">
        <v>121.7</v>
      </c>
      <c r="G732" s="2">
        <v>116.9</v>
      </c>
      <c r="H732" s="2">
        <f t="shared" si="34"/>
        <v>4.7999999999999972</v>
      </c>
      <c r="I732" s="1">
        <f>+(F732^14)/((F732^14+G732^14))</f>
        <v>0.63723004806999306</v>
      </c>
      <c r="J732" s="2">
        <v>117.2</v>
      </c>
      <c r="K732" s="2">
        <v>112.6</v>
      </c>
      <c r="L732" s="2">
        <f t="shared" si="35"/>
        <v>4.6000000000000085</v>
      </c>
      <c r="M732">
        <v>109.2</v>
      </c>
      <c r="N732">
        <v>100</v>
      </c>
      <c r="O732">
        <v>0.2</v>
      </c>
    </row>
    <row r="733" spans="1:15">
      <c r="A733" t="s">
        <v>65</v>
      </c>
      <c r="B733" t="s">
        <v>18</v>
      </c>
      <c r="C733">
        <v>37</v>
      </c>
      <c r="D733">
        <v>45</v>
      </c>
      <c r="E733" s="1">
        <f t="shared" si="33"/>
        <v>0.45121951219512196</v>
      </c>
      <c r="F733" s="2">
        <v>110.6</v>
      </c>
      <c r="G733" s="2">
        <v>110</v>
      </c>
      <c r="H733" s="2">
        <f t="shared" si="34"/>
        <v>0.59999999999999432</v>
      </c>
      <c r="I733" s="1">
        <f>+(F733^14)/((F733^14+G733^14))</f>
        <v>0.51902983505832589</v>
      </c>
      <c r="J733" s="2">
        <v>112.4</v>
      </c>
      <c r="K733" s="2">
        <v>112</v>
      </c>
      <c r="L733" s="2">
        <f t="shared" si="35"/>
        <v>0.40000000000000568</v>
      </c>
      <c r="M733">
        <v>93.7</v>
      </c>
      <c r="N733">
        <v>109.1</v>
      </c>
      <c r="O733">
        <v>-0.7</v>
      </c>
    </row>
    <row r="734" spans="1:15">
      <c r="A734" t="s">
        <v>65</v>
      </c>
      <c r="B734" t="s">
        <v>19</v>
      </c>
      <c r="C734">
        <v>47</v>
      </c>
      <c r="D734">
        <v>34</v>
      </c>
      <c r="E734" s="1">
        <f t="shared" si="33"/>
        <v>0.58024691358024694</v>
      </c>
      <c r="F734" s="2">
        <v>115.6</v>
      </c>
      <c r="G734" s="2">
        <v>113.2</v>
      </c>
      <c r="H734" s="2">
        <f t="shared" si="34"/>
        <v>2.3999999999999915</v>
      </c>
      <c r="I734" s="1">
        <f>+(F734^14)/((F734^14+G734^14))</f>
        <v>0.57290588785941787</v>
      </c>
      <c r="J734" s="2">
        <v>115.3</v>
      </c>
      <c r="K734" s="2">
        <v>112.9</v>
      </c>
      <c r="L734" s="2">
        <f t="shared" si="35"/>
        <v>2.3999999999999915</v>
      </c>
      <c r="M734">
        <v>102.5</v>
      </c>
      <c r="N734">
        <v>95</v>
      </c>
      <c r="O734">
        <v>0.2</v>
      </c>
    </row>
    <row r="735" spans="1:15">
      <c r="A735" t="s">
        <v>65</v>
      </c>
      <c r="B735" t="s">
        <v>20</v>
      </c>
      <c r="C735">
        <v>49</v>
      </c>
      <c r="D735">
        <v>33</v>
      </c>
      <c r="E735" s="1">
        <f t="shared" si="33"/>
        <v>0.59756097560975607</v>
      </c>
      <c r="F735" s="2">
        <v>114.3</v>
      </c>
      <c r="G735" s="2">
        <v>109.3</v>
      </c>
      <c r="H735" s="2">
        <f t="shared" si="34"/>
        <v>5</v>
      </c>
      <c r="I735" s="1">
        <f>+(F735^14)/((F735^14+G735^14))</f>
        <v>0.65163242349651695</v>
      </c>
      <c r="J735" s="2">
        <v>115.7</v>
      </c>
      <c r="K735" s="2">
        <v>110.8</v>
      </c>
      <c r="L735" s="2">
        <f t="shared" si="35"/>
        <v>4.9000000000000057</v>
      </c>
      <c r="M735">
        <v>105.4</v>
      </c>
      <c r="N735">
        <v>114.9</v>
      </c>
      <c r="O735">
        <v>2.2999999999999998</v>
      </c>
    </row>
    <row r="736" spans="1:15">
      <c r="A736" t="s">
        <v>65</v>
      </c>
      <c r="B736" t="s">
        <v>53</v>
      </c>
      <c r="C736">
        <v>21</v>
      </c>
      <c r="D736">
        <v>61</v>
      </c>
      <c r="E736" s="1">
        <f t="shared" si="33"/>
        <v>0.25609756097560976</v>
      </c>
      <c r="F736" s="2">
        <v>109.8</v>
      </c>
      <c r="G736" s="2">
        <v>119.3</v>
      </c>
      <c r="H736" s="2">
        <f t="shared" si="34"/>
        <v>-9.5</v>
      </c>
      <c r="I736" s="1">
        <f>+(F736^14)/((F736^14+G736^14))</f>
        <v>0.23835285935229417</v>
      </c>
      <c r="J736" s="2">
        <v>109.7</v>
      </c>
      <c r="K736" s="2">
        <v>119.1</v>
      </c>
      <c r="L736" s="2">
        <f t="shared" si="35"/>
        <v>-9.3999999999999915</v>
      </c>
      <c r="M736">
        <v>104.5</v>
      </c>
      <c r="N736">
        <v>103.3</v>
      </c>
      <c r="O736">
        <v>-1</v>
      </c>
    </row>
    <row r="737" spans="1:15">
      <c r="A737" t="s">
        <v>65</v>
      </c>
      <c r="B737" t="s">
        <v>22</v>
      </c>
      <c r="C737">
        <v>51</v>
      </c>
      <c r="D737">
        <v>31</v>
      </c>
      <c r="E737" s="1">
        <f t="shared" si="33"/>
        <v>0.62195121951219512</v>
      </c>
      <c r="F737" s="2">
        <v>115.8</v>
      </c>
      <c r="G737" s="2">
        <v>111.7</v>
      </c>
      <c r="H737" s="2">
        <f t="shared" si="34"/>
        <v>4.0999999999999943</v>
      </c>
      <c r="I737" s="1">
        <f>+(F737^14)/((F737^14+G737^14))</f>
        <v>0.62355617559165299</v>
      </c>
      <c r="J737" s="2">
        <v>117.3</v>
      </c>
      <c r="K737" s="2">
        <v>113.3</v>
      </c>
      <c r="L737" s="2">
        <f t="shared" si="35"/>
        <v>4</v>
      </c>
      <c r="M737">
        <v>111.2</v>
      </c>
      <c r="N737">
        <v>108.4</v>
      </c>
      <c r="O737">
        <v>-1</v>
      </c>
    </row>
    <row r="738" spans="1:15">
      <c r="A738" t="s">
        <v>65</v>
      </c>
      <c r="B738" t="s">
        <v>46</v>
      </c>
      <c r="C738">
        <v>67</v>
      </c>
      <c r="D738">
        <v>14</v>
      </c>
      <c r="E738" s="1">
        <f t="shared" si="33"/>
        <v>0.8271604938271605</v>
      </c>
      <c r="F738" s="2">
        <v>120.6</v>
      </c>
      <c r="G738" s="2">
        <v>107.8</v>
      </c>
      <c r="H738" s="2">
        <f t="shared" si="34"/>
        <v>12.799999999999997</v>
      </c>
      <c r="I738" s="1">
        <f>+(F738^14)/((F738^14+G738^14))</f>
        <v>0.82790086778629035</v>
      </c>
      <c r="J738" s="2">
        <v>119.3</v>
      </c>
      <c r="K738" s="2">
        <v>106.7</v>
      </c>
      <c r="L738" s="2">
        <f t="shared" si="35"/>
        <v>12.599999999999994</v>
      </c>
      <c r="M738">
        <v>118.2</v>
      </c>
      <c r="N738">
        <v>107.1</v>
      </c>
      <c r="O738">
        <v>1.9</v>
      </c>
    </row>
    <row r="739" spans="1:15">
      <c r="A739" t="s">
        <v>65</v>
      </c>
      <c r="B739" t="s">
        <v>23</v>
      </c>
      <c r="C739">
        <v>41</v>
      </c>
      <c r="D739">
        <v>41</v>
      </c>
      <c r="E739" s="1">
        <f t="shared" si="33"/>
        <v>0.5</v>
      </c>
      <c r="F739" s="2">
        <v>105.4</v>
      </c>
      <c r="G739" s="2">
        <v>105.5</v>
      </c>
      <c r="H739" s="2">
        <f t="shared" si="34"/>
        <v>-9.9999999999994316E-2</v>
      </c>
      <c r="I739" s="1">
        <f>+(F739^14)/((F739^14+G739^14))</f>
        <v>0.4966809399213436</v>
      </c>
      <c r="J739" s="2">
        <v>108.9</v>
      </c>
      <c r="K739" s="2">
        <v>109.1</v>
      </c>
      <c r="L739" s="2">
        <f t="shared" si="35"/>
        <v>-0.19999999999998863</v>
      </c>
      <c r="M739">
        <v>104.5</v>
      </c>
      <c r="N739">
        <v>97.5</v>
      </c>
      <c r="O739">
        <v>0.8</v>
      </c>
    </row>
    <row r="740" spans="1:15">
      <c r="A740" t="s">
        <v>65</v>
      </c>
      <c r="B740" t="s">
        <v>24</v>
      </c>
      <c r="C740">
        <v>24</v>
      </c>
      <c r="D740">
        <v>58</v>
      </c>
      <c r="E740" s="1">
        <f t="shared" si="33"/>
        <v>0.29268292682926828</v>
      </c>
      <c r="F740" s="2">
        <v>109.6</v>
      </c>
      <c r="G740" s="2">
        <v>115.8</v>
      </c>
      <c r="H740" s="2">
        <f t="shared" si="34"/>
        <v>-6.2000000000000028</v>
      </c>
      <c r="I740" s="1">
        <f>+(F740^14)/((F740^14+G740^14))</f>
        <v>0.31639676572205722</v>
      </c>
      <c r="J740" s="2">
        <v>111</v>
      </c>
      <c r="K740" s="2">
        <v>117.3</v>
      </c>
      <c r="L740" s="2">
        <f t="shared" si="35"/>
        <v>-6.2999999999999972</v>
      </c>
      <c r="M740">
        <v>104.2</v>
      </c>
      <c r="N740">
        <v>117</v>
      </c>
      <c r="O740">
        <v>-1.9</v>
      </c>
    </row>
    <row r="741" spans="1:15">
      <c r="A741" t="s">
        <v>65</v>
      </c>
      <c r="B741" t="s">
        <v>25</v>
      </c>
      <c r="C741">
        <v>36</v>
      </c>
      <c r="D741">
        <v>46</v>
      </c>
      <c r="E741" s="1">
        <f t="shared" si="33"/>
        <v>0.43902439024390244</v>
      </c>
      <c r="F741" s="2">
        <v>113.6</v>
      </c>
      <c r="G741" s="2">
        <v>116.6</v>
      </c>
      <c r="H741" s="2">
        <f t="shared" si="34"/>
        <v>-3</v>
      </c>
      <c r="I741" s="1">
        <f>+(F741^14)/((F741^14+G741^14))</f>
        <v>0.40976891597843029</v>
      </c>
      <c r="J741" s="2">
        <v>114.7</v>
      </c>
      <c r="K741" s="2">
        <v>117.7</v>
      </c>
      <c r="L741" s="2">
        <f t="shared" si="35"/>
        <v>-3</v>
      </c>
      <c r="M741">
        <v>115.5</v>
      </c>
      <c r="N741">
        <v>121.5</v>
      </c>
      <c r="O741">
        <v>-0.5</v>
      </c>
    </row>
    <row r="742" spans="1:15">
      <c r="A742" t="s">
        <v>65</v>
      </c>
      <c r="B742" t="s">
        <v>26</v>
      </c>
      <c r="C742">
        <v>36</v>
      </c>
      <c r="D742">
        <v>46</v>
      </c>
      <c r="E742" s="1">
        <f t="shared" si="33"/>
        <v>0.43902439024390244</v>
      </c>
      <c r="F742" s="2">
        <v>110.9</v>
      </c>
      <c r="G742" s="2">
        <v>113.9</v>
      </c>
      <c r="H742" s="2">
        <f t="shared" si="34"/>
        <v>-3</v>
      </c>
      <c r="I742" s="1">
        <f>+(F742^14)/((F742^14+G742^14))</f>
        <v>0.40765025304678426</v>
      </c>
      <c r="J742" s="2">
        <v>111</v>
      </c>
      <c r="K742" s="2">
        <v>113.7</v>
      </c>
      <c r="L742" s="2">
        <f t="shared" si="35"/>
        <v>-2.7000000000000028</v>
      </c>
      <c r="M742">
        <v>113.6</v>
      </c>
      <c r="N742">
        <v>121.9</v>
      </c>
      <c r="O742">
        <v>-1.1000000000000001</v>
      </c>
    </row>
    <row r="743" spans="1:15">
      <c r="A743" t="s">
        <v>65</v>
      </c>
      <c r="B743" t="s">
        <v>27</v>
      </c>
      <c r="C743">
        <v>40</v>
      </c>
      <c r="D743">
        <v>42</v>
      </c>
      <c r="E743" s="1">
        <f t="shared" si="33"/>
        <v>0.48780487804878048</v>
      </c>
      <c r="F743" s="2">
        <v>115.7</v>
      </c>
      <c r="G743" s="2">
        <v>115.3</v>
      </c>
      <c r="H743" s="2">
        <f t="shared" si="34"/>
        <v>0.40000000000000568</v>
      </c>
      <c r="I743" s="1">
        <f>+(F743^14)/((F743^14+G743^14))</f>
        <v>0.51211885026131998</v>
      </c>
      <c r="J743" s="2">
        <v>115.9</v>
      </c>
      <c r="K743" s="2">
        <v>115.3</v>
      </c>
      <c r="L743" s="2">
        <f t="shared" si="35"/>
        <v>0.60000000000000853</v>
      </c>
      <c r="M743">
        <v>114.8</v>
      </c>
      <c r="N743">
        <v>108.2</v>
      </c>
      <c r="O743">
        <v>0.2</v>
      </c>
    </row>
    <row r="744" spans="1:15">
      <c r="A744" t="s">
        <v>65</v>
      </c>
      <c r="B744" t="s">
        <v>28</v>
      </c>
      <c r="C744">
        <v>34</v>
      </c>
      <c r="D744">
        <v>48</v>
      </c>
      <c r="E744" s="1">
        <f t="shared" si="33"/>
        <v>0.41463414634146339</v>
      </c>
      <c r="F744" s="2">
        <v>113.9</v>
      </c>
      <c r="G744" s="2">
        <v>116.7</v>
      </c>
      <c r="H744" s="2">
        <f t="shared" si="34"/>
        <v>-2.7999999999999972</v>
      </c>
      <c r="I744" s="1">
        <f>+(F744^14)/((F744^14+G744^14))</f>
        <v>0.41580963161703305</v>
      </c>
      <c r="J744" s="2">
        <v>113.5</v>
      </c>
      <c r="K744" s="2">
        <v>116.3</v>
      </c>
      <c r="L744" s="2">
        <f t="shared" si="35"/>
        <v>-2.7999999999999972</v>
      </c>
      <c r="M744">
        <v>103.5</v>
      </c>
      <c r="N744">
        <v>107.4</v>
      </c>
      <c r="O744">
        <v>-0.2</v>
      </c>
    </row>
    <row r="745" spans="1:15">
      <c r="A745" t="s">
        <v>65</v>
      </c>
      <c r="B745" t="s">
        <v>30</v>
      </c>
      <c r="C745">
        <v>30</v>
      </c>
      <c r="D745">
        <v>52</v>
      </c>
      <c r="E745" s="1">
        <f t="shared" si="33"/>
        <v>0.36585365853658536</v>
      </c>
      <c r="F745" s="2">
        <v>110.9</v>
      </c>
      <c r="G745" s="2">
        <v>115.2</v>
      </c>
      <c r="H745" s="2">
        <f t="shared" si="34"/>
        <v>-4.2999999999999972</v>
      </c>
      <c r="I745" s="1">
        <f>+(F745^14)/((F745^14+G745^14))</f>
        <v>0.36991722047205011</v>
      </c>
      <c r="J745" s="2">
        <v>109.6</v>
      </c>
      <c r="K745" s="2">
        <v>113.6</v>
      </c>
      <c r="L745" s="2">
        <f t="shared" si="35"/>
        <v>-4</v>
      </c>
      <c r="M745">
        <v>99.6</v>
      </c>
      <c r="N745">
        <v>117.6</v>
      </c>
      <c r="O745">
        <v>-0.8</v>
      </c>
    </row>
    <row r="746" spans="1:15">
      <c r="A746" t="s">
        <v>65</v>
      </c>
      <c r="B746" t="s">
        <v>31</v>
      </c>
      <c r="C746">
        <v>17</v>
      </c>
      <c r="D746">
        <v>65</v>
      </c>
      <c r="E746" s="1">
        <f t="shared" si="33"/>
        <v>0.2073170731707317</v>
      </c>
      <c r="F746" s="2">
        <v>111.9</v>
      </c>
      <c r="G746" s="2">
        <v>121.2</v>
      </c>
      <c r="H746" s="2">
        <f t="shared" si="34"/>
        <v>-9.2999999999999972</v>
      </c>
      <c r="I746" s="1">
        <f>+(F746^14)/((F746^14+G746^14))</f>
        <v>0.24643622472101792</v>
      </c>
      <c r="J746" s="2">
        <v>110.2</v>
      </c>
      <c r="K746" s="2">
        <v>119.4</v>
      </c>
      <c r="L746" s="2">
        <f t="shared" si="35"/>
        <v>-9.2000000000000028</v>
      </c>
      <c r="M746">
        <v>106.5</v>
      </c>
      <c r="N746">
        <v>127</v>
      </c>
      <c r="O746">
        <v>-2</v>
      </c>
    </row>
    <row r="747" spans="1:15">
      <c r="A747" t="s">
        <v>65</v>
      </c>
      <c r="B747" t="s">
        <v>33</v>
      </c>
      <c r="C747">
        <v>18</v>
      </c>
      <c r="D747">
        <v>64</v>
      </c>
      <c r="E747" s="1">
        <f t="shared" si="33"/>
        <v>0.21951219512195122</v>
      </c>
      <c r="F747" s="2">
        <v>108</v>
      </c>
      <c r="G747" s="2">
        <v>120.4</v>
      </c>
      <c r="H747" s="2">
        <f t="shared" si="34"/>
        <v>-12.400000000000006</v>
      </c>
      <c r="I747" s="1">
        <f>+(F747^14)/((F747^14+G747^14))</f>
        <v>0.17922069515019554</v>
      </c>
      <c r="J747" s="2">
        <v>105.8</v>
      </c>
      <c r="K747" s="2">
        <v>118</v>
      </c>
      <c r="L747" s="2">
        <f t="shared" si="35"/>
        <v>-12.200000000000003</v>
      </c>
      <c r="M747">
        <v>102.8</v>
      </c>
      <c r="N747">
        <v>114.2</v>
      </c>
      <c r="O747">
        <v>-2</v>
      </c>
    </row>
    <row r="748" spans="1:15">
      <c r="A748" t="s">
        <v>66</v>
      </c>
      <c r="B748" t="s">
        <v>5</v>
      </c>
      <c r="C748">
        <v>33</v>
      </c>
      <c r="D748">
        <v>31</v>
      </c>
      <c r="E748" s="1">
        <f t="shared" si="33"/>
        <v>0.515625</v>
      </c>
      <c r="F748" s="2">
        <v>117.7</v>
      </c>
      <c r="G748" s="2">
        <v>117.3</v>
      </c>
      <c r="H748" s="2">
        <f t="shared" si="34"/>
        <v>0.40000000000000568</v>
      </c>
      <c r="I748" s="1">
        <f>+(F748^14)/((F748^14+G748^14))</f>
        <v>0.51191265030386746</v>
      </c>
      <c r="J748" s="2">
        <v>114.1</v>
      </c>
      <c r="K748" s="2">
        <v>113.7</v>
      </c>
      <c r="L748" s="2">
        <f t="shared" si="35"/>
        <v>0.39999999999999147</v>
      </c>
      <c r="M748">
        <v>116</v>
      </c>
      <c r="N748">
        <v>112.7</v>
      </c>
      <c r="O748">
        <v>0.7</v>
      </c>
    </row>
    <row r="749" spans="1:15">
      <c r="A749" t="s">
        <v>66</v>
      </c>
      <c r="B749" t="s">
        <v>6</v>
      </c>
      <c r="C749">
        <v>42</v>
      </c>
      <c r="D749">
        <v>21</v>
      </c>
      <c r="E749" s="1">
        <f t="shared" si="33"/>
        <v>0.66666666666666663</v>
      </c>
      <c r="F749" s="2">
        <v>114.5</v>
      </c>
      <c r="G749" s="2">
        <v>107</v>
      </c>
      <c r="H749" s="2">
        <f t="shared" si="34"/>
        <v>7.5</v>
      </c>
      <c r="I749" s="1">
        <f>+(F749^14)/((F749^14+G749^14))</f>
        <v>0.72080211390693061</v>
      </c>
      <c r="J749" s="2">
        <v>119.9</v>
      </c>
      <c r="K749" s="2">
        <v>111.7</v>
      </c>
      <c r="L749" s="2">
        <f t="shared" si="35"/>
        <v>8.2000000000000028</v>
      </c>
      <c r="M749">
        <v>113.1</v>
      </c>
      <c r="N749">
        <v>116.6</v>
      </c>
      <c r="O749">
        <v>1.2</v>
      </c>
    </row>
    <row r="750" spans="1:15">
      <c r="A750" t="s">
        <v>66</v>
      </c>
      <c r="B750" t="s">
        <v>51</v>
      </c>
      <c r="C750">
        <v>16</v>
      </c>
      <c r="D750">
        <v>47</v>
      </c>
      <c r="E750" s="1">
        <f t="shared" si="33"/>
        <v>0.25396825396825395</v>
      </c>
      <c r="F750" s="2">
        <v>106.9</v>
      </c>
      <c r="G750" s="2">
        <v>115.6</v>
      </c>
      <c r="H750" s="2">
        <f t="shared" si="34"/>
        <v>-8.6999999999999886</v>
      </c>
      <c r="I750" s="1">
        <f>+(F750^14)/((F750^14+G750^14))</f>
        <v>0.25060467792949209</v>
      </c>
      <c r="J750" s="2">
        <v>109.6</v>
      </c>
      <c r="K750" s="2">
        <v>118.3</v>
      </c>
      <c r="L750" s="2">
        <f t="shared" si="35"/>
        <v>-8.7000000000000028</v>
      </c>
      <c r="M750">
        <v>99.4</v>
      </c>
      <c r="N750">
        <v>132.1</v>
      </c>
      <c r="O750">
        <v>-1.3</v>
      </c>
    </row>
    <row r="751" spans="1:15">
      <c r="A751" t="s">
        <v>66</v>
      </c>
      <c r="B751" t="s">
        <v>7</v>
      </c>
      <c r="C751">
        <v>32</v>
      </c>
      <c r="D751">
        <v>32</v>
      </c>
      <c r="E751" s="1">
        <f t="shared" si="33"/>
        <v>0.5</v>
      </c>
      <c r="F751" s="2">
        <v>116.2</v>
      </c>
      <c r="G751" s="2">
        <v>112.5</v>
      </c>
      <c r="H751" s="2">
        <f t="shared" si="34"/>
        <v>3.7000000000000028</v>
      </c>
      <c r="I751" s="1">
        <f>+(F751^14)/((F751^14+G751^14))</f>
        <v>0.61136052280832021</v>
      </c>
      <c r="J751" s="2">
        <v>117.8</v>
      </c>
      <c r="K751" s="2">
        <v>114.1</v>
      </c>
      <c r="L751" s="2">
        <f t="shared" si="35"/>
        <v>3.7000000000000028</v>
      </c>
      <c r="M751">
        <v>108</v>
      </c>
      <c r="N751">
        <v>115.5</v>
      </c>
      <c r="O751">
        <v>-0.9</v>
      </c>
    </row>
    <row r="752" spans="1:15">
      <c r="A752" t="s">
        <v>66</v>
      </c>
      <c r="B752" t="s">
        <v>8</v>
      </c>
      <c r="C752">
        <v>26</v>
      </c>
      <c r="D752">
        <v>37</v>
      </c>
      <c r="E752" s="1">
        <f t="shared" si="33"/>
        <v>0.41269841269841268</v>
      </c>
      <c r="F752" s="2">
        <v>115.5</v>
      </c>
      <c r="G752" s="2">
        <v>119.7</v>
      </c>
      <c r="H752" s="2">
        <f t="shared" si="34"/>
        <v>-4.2000000000000028</v>
      </c>
      <c r="I752" s="1">
        <f>+(F752^14)/((F752^14+G752^14))</f>
        <v>0.37752817692129625</v>
      </c>
      <c r="J752" s="2">
        <v>112.2</v>
      </c>
      <c r="K752" s="2">
        <v>116.6</v>
      </c>
      <c r="L752" s="2">
        <f t="shared" si="35"/>
        <v>-4.3999999999999915</v>
      </c>
      <c r="M752">
        <v>108.4</v>
      </c>
      <c r="N752">
        <v>117.1</v>
      </c>
      <c r="O752">
        <v>-0.6</v>
      </c>
    </row>
    <row r="753" spans="1:15">
      <c r="A753" t="s">
        <v>66</v>
      </c>
      <c r="B753" t="s">
        <v>9</v>
      </c>
      <c r="C753">
        <v>39</v>
      </c>
      <c r="D753">
        <v>24</v>
      </c>
      <c r="E753" s="1">
        <f t="shared" si="33"/>
        <v>0.61904761904761907</v>
      </c>
      <c r="F753" s="2">
        <v>119.1</v>
      </c>
      <c r="G753" s="2">
        <v>114.9</v>
      </c>
      <c r="H753" s="2">
        <f t="shared" si="34"/>
        <v>4.1999999999999886</v>
      </c>
      <c r="I753" s="1">
        <f>+(F753^14)/((F753^14+G753^14))</f>
        <v>0.62307439243207641</v>
      </c>
      <c r="J753" s="2">
        <v>117.4</v>
      </c>
      <c r="K753" s="2">
        <v>113.1</v>
      </c>
      <c r="L753" s="2">
        <f t="shared" si="35"/>
        <v>4.3000000000000114</v>
      </c>
      <c r="M753">
        <v>114.8</v>
      </c>
      <c r="N753">
        <v>107</v>
      </c>
      <c r="O753">
        <v>1.9</v>
      </c>
    </row>
    <row r="754" spans="1:15">
      <c r="A754" t="s">
        <v>66</v>
      </c>
      <c r="B754" t="s">
        <v>10</v>
      </c>
      <c r="C754">
        <v>21</v>
      </c>
      <c r="D754">
        <v>42</v>
      </c>
      <c r="E754" s="1">
        <f t="shared" si="33"/>
        <v>0.33333333333333331</v>
      </c>
      <c r="F754" s="2">
        <v>113.3</v>
      </c>
      <c r="G754" s="2">
        <v>117.7</v>
      </c>
      <c r="H754" s="2">
        <f t="shared" si="34"/>
        <v>-4.4000000000000057</v>
      </c>
      <c r="I754" s="1">
        <f>+(F754^14)/((F754^14+G754^14))</f>
        <v>0.36972474338344835</v>
      </c>
      <c r="J754" s="2">
        <v>109.8</v>
      </c>
      <c r="K754" s="2">
        <v>114</v>
      </c>
      <c r="L754" s="2">
        <f t="shared" si="35"/>
        <v>-4.2000000000000028</v>
      </c>
      <c r="M754">
        <v>103.6</v>
      </c>
      <c r="N754">
        <v>113.4</v>
      </c>
      <c r="O754">
        <v>-0.3</v>
      </c>
    </row>
    <row r="755" spans="1:15">
      <c r="A755" t="s">
        <v>66</v>
      </c>
      <c r="B755" t="s">
        <v>11</v>
      </c>
      <c r="C755">
        <v>39</v>
      </c>
      <c r="D755">
        <v>25</v>
      </c>
      <c r="E755" s="1">
        <f t="shared" si="33"/>
        <v>0.609375</v>
      </c>
      <c r="F755" s="2">
        <v>120.2</v>
      </c>
      <c r="G755" s="2">
        <v>116.5</v>
      </c>
      <c r="H755" s="2">
        <f t="shared" si="34"/>
        <v>3.7000000000000028</v>
      </c>
      <c r="I755" s="1">
        <f>+(F755^14)/((F755^14+G755^14))</f>
        <v>0.6077157346709432</v>
      </c>
      <c r="J755" s="2">
        <v>120</v>
      </c>
      <c r="K755" s="2">
        <v>116.3</v>
      </c>
      <c r="L755" s="2">
        <f t="shared" si="35"/>
        <v>3.7000000000000028</v>
      </c>
      <c r="M755">
        <v>119.4</v>
      </c>
      <c r="N755">
        <v>128.5</v>
      </c>
      <c r="O755">
        <v>-0.5</v>
      </c>
    </row>
    <row r="756" spans="1:15">
      <c r="A756" t="s">
        <v>66</v>
      </c>
      <c r="B756" t="s">
        <v>12</v>
      </c>
      <c r="C756">
        <v>45</v>
      </c>
      <c r="D756">
        <v>17</v>
      </c>
      <c r="E756" s="1">
        <f t="shared" si="33"/>
        <v>0.72580645161290325</v>
      </c>
      <c r="F756" s="2">
        <v>116.8</v>
      </c>
      <c r="G756" s="2">
        <v>109.6</v>
      </c>
      <c r="H756" s="2">
        <f t="shared" si="34"/>
        <v>7.2000000000000028</v>
      </c>
      <c r="I756" s="1">
        <f>+(F756^14)/((F756^14+G756^14))</f>
        <v>0.70904693182577805</v>
      </c>
      <c r="J756" s="2">
        <v>116.1</v>
      </c>
      <c r="K756" s="2">
        <v>108.7</v>
      </c>
      <c r="L756" s="2">
        <f t="shared" si="35"/>
        <v>7.3999999999999915</v>
      </c>
      <c r="M756">
        <v>116.3</v>
      </c>
      <c r="N756">
        <v>103.1</v>
      </c>
      <c r="O756">
        <v>1.1000000000000001</v>
      </c>
    </row>
    <row r="757" spans="1:15">
      <c r="A757" t="s">
        <v>66</v>
      </c>
      <c r="B757" t="s">
        <v>13</v>
      </c>
      <c r="C757">
        <v>32</v>
      </c>
      <c r="D757">
        <v>31</v>
      </c>
      <c r="E757" s="1">
        <f t="shared" si="33"/>
        <v>0.50793650793650791</v>
      </c>
      <c r="F757" s="2">
        <v>115</v>
      </c>
      <c r="G757" s="2">
        <v>113.9</v>
      </c>
      <c r="H757" s="2">
        <f t="shared" si="34"/>
        <v>1.0999999999999943</v>
      </c>
      <c r="I757" s="1">
        <f>+(F757^14)/((F757^14+G757^14))</f>
        <v>0.53358873886110747</v>
      </c>
      <c r="J757" s="2">
        <v>114.1</v>
      </c>
      <c r="K757" s="2">
        <v>112.9</v>
      </c>
      <c r="L757" s="2">
        <f t="shared" si="35"/>
        <v>1.1999999999999886</v>
      </c>
      <c r="M757">
        <v>118.2</v>
      </c>
      <c r="N757">
        <v>123.4</v>
      </c>
      <c r="O757">
        <v>1</v>
      </c>
    </row>
    <row r="758" spans="1:15">
      <c r="A758" t="s">
        <v>66</v>
      </c>
      <c r="B758" t="s">
        <v>14</v>
      </c>
      <c r="C758">
        <v>39</v>
      </c>
      <c r="D758">
        <v>23</v>
      </c>
      <c r="E758" s="1">
        <f t="shared" si="33"/>
        <v>0.62903225806451613</v>
      </c>
      <c r="F758" s="2">
        <v>114.5</v>
      </c>
      <c r="G758" s="2">
        <v>109.3</v>
      </c>
      <c r="H758" s="2">
        <f t="shared" si="34"/>
        <v>5.2000000000000028</v>
      </c>
      <c r="I758" s="1">
        <f>+(F758^14)/((F758^14+G758^14))</f>
        <v>0.65716773573957665</v>
      </c>
      <c r="J758" s="2">
        <v>116.8</v>
      </c>
      <c r="K758" s="2">
        <v>111.6</v>
      </c>
      <c r="L758" s="2">
        <f t="shared" si="35"/>
        <v>5.2000000000000028</v>
      </c>
      <c r="M758">
        <v>114.4</v>
      </c>
      <c r="N758">
        <v>117.7</v>
      </c>
      <c r="O758">
        <v>-0.3</v>
      </c>
    </row>
    <row r="759" spans="1:15">
      <c r="A759" t="s">
        <v>66</v>
      </c>
      <c r="B759" t="s">
        <v>15</v>
      </c>
      <c r="C759">
        <v>15</v>
      </c>
      <c r="D759">
        <v>48</v>
      </c>
      <c r="E759" s="1">
        <f t="shared" si="33"/>
        <v>0.23809523809523808</v>
      </c>
      <c r="F759" s="2">
        <v>111.4</v>
      </c>
      <c r="G759" s="2">
        <v>119.9</v>
      </c>
      <c r="H759" s="2">
        <f t="shared" si="34"/>
        <v>-8.5</v>
      </c>
      <c r="I759" s="1">
        <f>+(F759^14)/((F759^14+G759^14))</f>
        <v>0.26319457048820816</v>
      </c>
      <c r="J759" s="2">
        <v>108.7</v>
      </c>
      <c r="K759" s="2">
        <v>117</v>
      </c>
      <c r="L759" s="2">
        <f t="shared" si="35"/>
        <v>-8.2999999999999972</v>
      </c>
      <c r="M759">
        <v>97.6</v>
      </c>
      <c r="N759">
        <v>107</v>
      </c>
      <c r="O759">
        <v>-1</v>
      </c>
    </row>
    <row r="760" spans="1:15">
      <c r="A760" t="s">
        <v>66</v>
      </c>
      <c r="B760" t="s">
        <v>56</v>
      </c>
      <c r="C760">
        <v>31</v>
      </c>
      <c r="D760">
        <v>32</v>
      </c>
      <c r="E760" s="1">
        <f t="shared" si="33"/>
        <v>0.49206349206349204</v>
      </c>
      <c r="F760" s="2">
        <v>112.6</v>
      </c>
      <c r="G760" s="2">
        <v>112.2</v>
      </c>
      <c r="H760" s="2">
        <f t="shared" si="34"/>
        <v>0.39999999999999147</v>
      </c>
      <c r="I760" s="1">
        <f>+(F760^14)/((F760^14+G760^14))</f>
        <v>0.51245295332770446</v>
      </c>
      <c r="J760" s="2">
        <v>115.6</v>
      </c>
      <c r="K760" s="2">
        <v>115.3</v>
      </c>
      <c r="L760" s="2">
        <f t="shared" si="35"/>
        <v>0.29999999999999716</v>
      </c>
      <c r="M760">
        <v>115.7</v>
      </c>
      <c r="N760">
        <v>116.4</v>
      </c>
      <c r="O760">
        <v>-0.7</v>
      </c>
    </row>
    <row r="761" spans="1:15">
      <c r="A761" t="s">
        <v>66</v>
      </c>
      <c r="B761" t="s">
        <v>17</v>
      </c>
      <c r="C761">
        <v>38</v>
      </c>
      <c r="D761">
        <v>25</v>
      </c>
      <c r="E761" s="1">
        <f t="shared" si="33"/>
        <v>0.60317460317460314</v>
      </c>
      <c r="F761" s="2">
        <v>116</v>
      </c>
      <c r="G761" s="2">
        <v>115.3</v>
      </c>
      <c r="H761" s="2">
        <f t="shared" si="34"/>
        <v>0.70000000000000284</v>
      </c>
      <c r="I761" s="1">
        <f>+(F761^14)/((F761^14+G761^14))</f>
        <v>0.52117200586871404</v>
      </c>
      <c r="J761" s="2">
        <v>116.5</v>
      </c>
      <c r="K761" s="2">
        <v>116.1</v>
      </c>
      <c r="L761" s="2">
        <f t="shared" si="35"/>
        <v>0.40000000000000568</v>
      </c>
      <c r="M761">
        <v>135.9</v>
      </c>
      <c r="N761">
        <v>109.1</v>
      </c>
      <c r="O761">
        <v>1.6</v>
      </c>
    </row>
    <row r="762" spans="1:15">
      <c r="A762" t="s">
        <v>66</v>
      </c>
      <c r="B762" t="s">
        <v>35</v>
      </c>
      <c r="C762">
        <v>23</v>
      </c>
      <c r="D762">
        <v>39</v>
      </c>
      <c r="E762" s="1">
        <f t="shared" si="33"/>
        <v>0.37096774193548387</v>
      </c>
      <c r="F762" s="2">
        <v>115.7</v>
      </c>
      <c r="G762" s="2">
        <v>117.8</v>
      </c>
      <c r="H762" s="2">
        <f t="shared" si="34"/>
        <v>-2.0999999999999943</v>
      </c>
      <c r="I762" s="1">
        <f>+(F762^14)/((F762^14+G762^14))</f>
        <v>0.43737388346402561</v>
      </c>
      <c r="J762" s="2">
        <v>113.5</v>
      </c>
      <c r="K762" s="2">
        <v>115.8</v>
      </c>
      <c r="L762" s="2">
        <f t="shared" si="35"/>
        <v>-2.2999999999999972</v>
      </c>
      <c r="M762">
        <v>100.4</v>
      </c>
      <c r="N762">
        <v>118.6</v>
      </c>
      <c r="O762">
        <v>-1.1000000000000001</v>
      </c>
    </row>
    <row r="763" spans="1:15">
      <c r="A763" t="s">
        <v>66</v>
      </c>
      <c r="B763" t="s">
        <v>18</v>
      </c>
      <c r="C763">
        <v>35</v>
      </c>
      <c r="D763">
        <v>29</v>
      </c>
      <c r="E763" s="1">
        <f t="shared" si="33"/>
        <v>0.546875</v>
      </c>
      <c r="F763" s="2">
        <v>120.1</v>
      </c>
      <c r="G763" s="2">
        <v>116.6</v>
      </c>
      <c r="H763" s="2">
        <f t="shared" si="34"/>
        <v>3.5</v>
      </c>
      <c r="I763" s="1">
        <f>+(F763^14)/((F763^14+G763^14))</f>
        <v>0.60206012084803828</v>
      </c>
      <c r="J763" s="2">
        <v>114.7</v>
      </c>
      <c r="K763" s="2">
        <v>111.5</v>
      </c>
      <c r="L763" s="2">
        <f t="shared" si="35"/>
        <v>3.2000000000000028</v>
      </c>
      <c r="M763">
        <v>109.9</v>
      </c>
      <c r="N763">
        <v>113.6</v>
      </c>
      <c r="O763">
        <v>0.9</v>
      </c>
    </row>
    <row r="764" spans="1:15">
      <c r="A764" t="s">
        <v>66</v>
      </c>
      <c r="B764" t="s">
        <v>19</v>
      </c>
      <c r="C764">
        <v>27</v>
      </c>
      <c r="D764">
        <v>35</v>
      </c>
      <c r="E764" s="1">
        <f t="shared" si="33"/>
        <v>0.43548387096774194</v>
      </c>
      <c r="F764" s="2">
        <v>111.4</v>
      </c>
      <c r="G764" s="2">
        <v>115.5</v>
      </c>
      <c r="H764" s="2">
        <f t="shared" si="34"/>
        <v>-4.0999999999999943</v>
      </c>
      <c r="I764" s="1">
        <f>+(F764^14)/((F764^14+G764^14))</f>
        <v>0.37613055154918495</v>
      </c>
      <c r="J764" s="2">
        <v>112.7</v>
      </c>
      <c r="K764" s="2">
        <v>116.7</v>
      </c>
      <c r="L764" s="2">
        <f t="shared" si="35"/>
        <v>-4</v>
      </c>
      <c r="M764">
        <v>119.7</v>
      </c>
      <c r="N764">
        <v>111.6</v>
      </c>
      <c r="O764">
        <v>-0.3</v>
      </c>
    </row>
    <row r="765" spans="1:15">
      <c r="A765" t="s">
        <v>66</v>
      </c>
      <c r="B765" t="s">
        <v>20</v>
      </c>
      <c r="C765">
        <v>40</v>
      </c>
      <c r="D765">
        <v>24</v>
      </c>
      <c r="E765" s="1">
        <f t="shared" si="33"/>
        <v>0.625</v>
      </c>
      <c r="F765" s="2">
        <v>118.6</v>
      </c>
      <c r="G765" s="2">
        <v>114.5</v>
      </c>
      <c r="H765" s="2">
        <f t="shared" si="34"/>
        <v>4.0999999999999943</v>
      </c>
      <c r="I765" s="1">
        <f>+(F765^14)/((F765^14+G765^14))</f>
        <v>0.62070538318450608</v>
      </c>
      <c r="J765" s="2">
        <v>116.1</v>
      </c>
      <c r="K765" s="2">
        <v>112.2</v>
      </c>
      <c r="L765" s="2">
        <f t="shared" si="35"/>
        <v>3.8999999999999915</v>
      </c>
      <c r="M765">
        <v>117.2</v>
      </c>
      <c r="N765">
        <v>113.4</v>
      </c>
      <c r="O765">
        <v>1.6</v>
      </c>
    </row>
    <row r="766" spans="1:15">
      <c r="A766" t="s">
        <v>66</v>
      </c>
      <c r="B766" t="s">
        <v>53</v>
      </c>
      <c r="C766">
        <v>20</v>
      </c>
      <c r="D766">
        <v>45</v>
      </c>
      <c r="E766" s="1">
        <f t="shared" si="33"/>
        <v>0.30769230769230771</v>
      </c>
      <c r="F766" s="2">
        <v>115.2</v>
      </c>
      <c r="G766" s="2">
        <v>120.2</v>
      </c>
      <c r="H766" s="2">
        <f t="shared" si="34"/>
        <v>-5</v>
      </c>
      <c r="I766" s="1">
        <f>+(F766^14)/((F766^14+G766^14))</f>
        <v>0.35552926815627678</v>
      </c>
      <c r="J766" s="2">
        <v>112.8</v>
      </c>
      <c r="K766" s="2">
        <v>117.8</v>
      </c>
      <c r="L766" s="2">
        <f t="shared" si="35"/>
        <v>-5</v>
      </c>
      <c r="M766">
        <v>105.7</v>
      </c>
      <c r="N766">
        <v>123.7</v>
      </c>
      <c r="O766">
        <v>-1.1000000000000001</v>
      </c>
    </row>
    <row r="767" spans="1:15">
      <c r="A767" t="s">
        <v>66</v>
      </c>
      <c r="B767" t="s">
        <v>22</v>
      </c>
      <c r="C767">
        <v>40</v>
      </c>
      <c r="D767">
        <v>23</v>
      </c>
      <c r="E767" s="1">
        <f t="shared" si="33"/>
        <v>0.63492063492063489</v>
      </c>
      <c r="F767" s="2">
        <v>117</v>
      </c>
      <c r="G767" s="2">
        <v>110.5</v>
      </c>
      <c r="H767" s="2">
        <f t="shared" si="34"/>
        <v>6.5</v>
      </c>
      <c r="I767" s="1">
        <f>+(F767^14)/((F767^14+G767^14))</f>
        <v>0.6900210673968612</v>
      </c>
      <c r="J767" s="2">
        <v>118.3</v>
      </c>
      <c r="K767" s="2">
        <v>111.7</v>
      </c>
      <c r="L767" s="2">
        <f t="shared" si="35"/>
        <v>6.5999999999999943</v>
      </c>
      <c r="M767">
        <v>120.9</v>
      </c>
      <c r="N767">
        <v>100.5</v>
      </c>
      <c r="O767">
        <v>2.7</v>
      </c>
    </row>
    <row r="768" spans="1:15">
      <c r="A768" t="s">
        <v>66</v>
      </c>
      <c r="B768" t="s">
        <v>46</v>
      </c>
      <c r="C768">
        <v>50</v>
      </c>
      <c r="D768">
        <v>14</v>
      </c>
      <c r="E768" s="1">
        <f t="shared" si="33"/>
        <v>0.78125</v>
      </c>
      <c r="F768" s="2">
        <v>118.8</v>
      </c>
      <c r="G768" s="2">
        <v>107.5</v>
      </c>
      <c r="H768" s="2">
        <f t="shared" si="34"/>
        <v>11.299999999999997</v>
      </c>
      <c r="I768" s="1">
        <f>+(F768^14)/((F768^14+G768^14))</f>
        <v>0.80207402882582313</v>
      </c>
      <c r="J768" s="2">
        <v>117.2</v>
      </c>
      <c r="K768" s="2">
        <v>106</v>
      </c>
      <c r="L768" s="2">
        <f t="shared" si="35"/>
        <v>11.200000000000003</v>
      </c>
      <c r="M768">
        <v>123.7</v>
      </c>
      <c r="N768">
        <v>99.2</v>
      </c>
      <c r="O768">
        <v>1.8</v>
      </c>
    </row>
    <row r="769" spans="1:15">
      <c r="A769" t="s">
        <v>66</v>
      </c>
      <c r="B769" t="s">
        <v>23</v>
      </c>
      <c r="C769">
        <v>34</v>
      </c>
      <c r="D769">
        <v>27</v>
      </c>
      <c r="E769" s="1">
        <f t="shared" si="33"/>
        <v>0.55737704918032782</v>
      </c>
      <c r="F769" s="2">
        <v>114.8</v>
      </c>
      <c r="G769" s="2">
        <v>113.7</v>
      </c>
      <c r="H769" s="2">
        <f t="shared" si="34"/>
        <v>1.0999999999999943</v>
      </c>
      <c r="I769" s="1">
        <f>+(F769^14)/((F769^14+G769^14))</f>
        <v>0.53364736091127729</v>
      </c>
      <c r="J769" s="2">
        <v>113.7</v>
      </c>
      <c r="K769" s="2">
        <v>112.7</v>
      </c>
      <c r="L769" s="2">
        <f t="shared" si="35"/>
        <v>1</v>
      </c>
      <c r="M769">
        <v>109.6</v>
      </c>
      <c r="N769">
        <v>107.4</v>
      </c>
      <c r="O769">
        <v>0.7</v>
      </c>
    </row>
    <row r="770" spans="1:15">
      <c r="A770" t="s">
        <v>66</v>
      </c>
      <c r="B770" t="s">
        <v>24</v>
      </c>
      <c r="C770">
        <v>34</v>
      </c>
      <c r="D770">
        <v>29</v>
      </c>
      <c r="E770" s="1">
        <f t="shared" si="33"/>
        <v>0.53968253968253965</v>
      </c>
      <c r="F770" s="2">
        <v>115.8</v>
      </c>
      <c r="G770" s="2">
        <v>116.1</v>
      </c>
      <c r="H770" s="2">
        <f t="shared" si="34"/>
        <v>-0.29999999999999716</v>
      </c>
      <c r="I770" s="1">
        <f>+(F770^14)/((F770^14+G770^14))</f>
        <v>0.49094535752934715</v>
      </c>
      <c r="J770" s="2">
        <v>114.3</v>
      </c>
      <c r="K770" s="2">
        <v>114.6</v>
      </c>
      <c r="L770" s="2">
        <f t="shared" si="35"/>
        <v>-0.29999999999999716</v>
      </c>
      <c r="M770">
        <v>120.5</v>
      </c>
      <c r="N770">
        <v>99.7</v>
      </c>
      <c r="O770">
        <v>1.3</v>
      </c>
    </row>
    <row r="771" spans="1:15">
      <c r="A771" t="s">
        <v>66</v>
      </c>
      <c r="B771" t="s">
        <v>25</v>
      </c>
      <c r="C771">
        <v>36</v>
      </c>
      <c r="D771">
        <v>27</v>
      </c>
      <c r="E771" s="1">
        <f t="shared" ref="E771:E777" si="36">+C771/(C771+D771)</f>
        <v>0.5714285714285714</v>
      </c>
      <c r="F771" s="2">
        <v>112.1</v>
      </c>
      <c r="G771" s="2">
        <v>111.2</v>
      </c>
      <c r="H771" s="2">
        <f t="shared" ref="H771:H777" si="37">+F771-G771</f>
        <v>0.89999999999999147</v>
      </c>
      <c r="I771" s="1">
        <f>+(F771^14)/((F771^14+G771^14))</f>
        <v>0.52818341359119181</v>
      </c>
      <c r="J771" s="2">
        <v>113.4</v>
      </c>
      <c r="K771" s="2">
        <v>112.5</v>
      </c>
      <c r="L771" s="2">
        <f t="shared" ref="L771:L777" si="38">+J771-K771</f>
        <v>0.90000000000000568</v>
      </c>
      <c r="M771">
        <v>113.4</v>
      </c>
      <c r="N771">
        <v>114.2</v>
      </c>
      <c r="O771">
        <v>-1.1000000000000001</v>
      </c>
    </row>
    <row r="772" spans="1:15">
      <c r="A772" t="s">
        <v>66</v>
      </c>
      <c r="B772" t="s">
        <v>26</v>
      </c>
      <c r="C772">
        <v>30</v>
      </c>
      <c r="D772">
        <v>34</v>
      </c>
      <c r="E772" s="1">
        <f t="shared" si="36"/>
        <v>0.46875</v>
      </c>
      <c r="F772" s="2">
        <v>115.1</v>
      </c>
      <c r="G772" s="2">
        <v>118.1</v>
      </c>
      <c r="H772" s="2">
        <f t="shared" si="37"/>
        <v>-3</v>
      </c>
      <c r="I772" s="1">
        <f>+(F772^14)/((F772^14+G772^14))</f>
        <v>0.41090493030680209</v>
      </c>
      <c r="J772" s="2">
        <v>112.4</v>
      </c>
      <c r="K772" s="2">
        <v>115.5</v>
      </c>
      <c r="L772" s="2">
        <f t="shared" si="38"/>
        <v>-3.0999999999999943</v>
      </c>
      <c r="M772">
        <v>116.5</v>
      </c>
      <c r="N772">
        <v>120</v>
      </c>
      <c r="O772">
        <v>-1.2</v>
      </c>
    </row>
    <row r="773" spans="1:15">
      <c r="A773" t="s">
        <v>66</v>
      </c>
      <c r="B773" t="s">
        <v>27</v>
      </c>
      <c r="C773">
        <v>14</v>
      </c>
      <c r="D773">
        <v>50</v>
      </c>
      <c r="E773" s="1">
        <f t="shared" si="36"/>
        <v>0.21875</v>
      </c>
      <c r="F773" s="2">
        <v>110.4</v>
      </c>
      <c r="G773" s="2">
        <v>121.3</v>
      </c>
      <c r="H773" s="2">
        <f t="shared" si="37"/>
        <v>-10.899999999999991</v>
      </c>
      <c r="I773" s="1">
        <f>+(F773^14)/((F773^14+G773^14))</f>
        <v>0.21111899676961832</v>
      </c>
      <c r="J773" s="2">
        <v>109.6</v>
      </c>
      <c r="K773" s="2">
        <v>120.2</v>
      </c>
      <c r="L773" s="2">
        <f t="shared" si="38"/>
        <v>-10.600000000000009</v>
      </c>
      <c r="M773">
        <v>103.5</v>
      </c>
      <c r="N773">
        <v>115.8</v>
      </c>
      <c r="O773">
        <v>-3.1</v>
      </c>
    </row>
    <row r="774" spans="1:15">
      <c r="A774" t="s">
        <v>66</v>
      </c>
      <c r="B774" t="s">
        <v>28</v>
      </c>
      <c r="C774">
        <v>45</v>
      </c>
      <c r="D774">
        <v>17</v>
      </c>
      <c r="E774" s="1">
        <f t="shared" si="36"/>
        <v>0.72580645161290325</v>
      </c>
      <c r="F774" s="2">
        <v>118.3</v>
      </c>
      <c r="G774" s="2">
        <v>111.4</v>
      </c>
      <c r="H774" s="2">
        <f t="shared" si="37"/>
        <v>6.8999999999999915</v>
      </c>
      <c r="I774" s="1">
        <f>+(F774^14)/((F774^14+G774^14))</f>
        <v>0.69874950937248992</v>
      </c>
      <c r="J774" s="2">
        <v>117.3</v>
      </c>
      <c r="K774" s="2">
        <v>110.2</v>
      </c>
      <c r="L774" s="2">
        <f t="shared" si="38"/>
        <v>7.0999999999999943</v>
      </c>
      <c r="M774">
        <v>128.19999999999999</v>
      </c>
      <c r="N774">
        <v>115.8</v>
      </c>
      <c r="O774">
        <v>1.3</v>
      </c>
    </row>
    <row r="775" spans="1:15">
      <c r="A775" t="s">
        <v>66</v>
      </c>
      <c r="B775" t="s">
        <v>30</v>
      </c>
      <c r="C775">
        <v>35</v>
      </c>
      <c r="D775">
        <v>27</v>
      </c>
      <c r="E775" s="1">
        <f t="shared" si="36"/>
        <v>0.56451612903225812</v>
      </c>
      <c r="F775" s="2">
        <v>113.5</v>
      </c>
      <c r="G775" s="2">
        <v>112</v>
      </c>
      <c r="H775" s="2">
        <f t="shared" si="37"/>
        <v>1.5</v>
      </c>
      <c r="I775" s="1">
        <f>+(F775^14)/((F775^14+G775^14))</f>
        <v>0.54642973229059522</v>
      </c>
      <c r="J775" s="2">
        <v>113.7</v>
      </c>
      <c r="K775" s="2">
        <v>112.2</v>
      </c>
      <c r="L775" s="2">
        <f t="shared" si="38"/>
        <v>1.5</v>
      </c>
      <c r="M775">
        <v>104.3</v>
      </c>
      <c r="N775">
        <v>104.1</v>
      </c>
      <c r="O775">
        <v>-0.5</v>
      </c>
    </row>
    <row r="776" spans="1:15">
      <c r="A776" t="s">
        <v>66</v>
      </c>
      <c r="B776" t="s">
        <v>31</v>
      </c>
      <c r="C776">
        <v>19</v>
      </c>
      <c r="D776">
        <v>45</v>
      </c>
      <c r="E776" s="1">
        <f t="shared" si="36"/>
        <v>0.296875</v>
      </c>
      <c r="F776" s="2">
        <v>117.4</v>
      </c>
      <c r="G776" s="2">
        <v>125</v>
      </c>
      <c r="H776" s="2">
        <f t="shared" si="37"/>
        <v>-7.5999999999999943</v>
      </c>
      <c r="I776" s="1">
        <f>+(F776^14)/((F776^14+G776^14))</f>
        <v>0.29355597812960449</v>
      </c>
      <c r="J776" s="2">
        <v>113.2</v>
      </c>
      <c r="K776" s="2">
        <v>120.5</v>
      </c>
      <c r="L776" s="2">
        <f t="shared" si="38"/>
        <v>-7.2999999999999972</v>
      </c>
      <c r="M776">
        <v>113.6</v>
      </c>
      <c r="N776">
        <v>106.1</v>
      </c>
      <c r="O776">
        <v>-0.7</v>
      </c>
    </row>
    <row r="777" spans="1:15">
      <c r="A777" t="s">
        <v>66</v>
      </c>
      <c r="B777" t="s">
        <v>33</v>
      </c>
      <c r="C777">
        <v>16</v>
      </c>
      <c r="D777">
        <v>46</v>
      </c>
      <c r="E777" s="1">
        <f t="shared" si="36"/>
        <v>0.25806451612903225</v>
      </c>
      <c r="F777" s="2">
        <v>112.2</v>
      </c>
      <c r="G777" s="2">
        <v>123</v>
      </c>
      <c r="H777" s="2">
        <f t="shared" si="37"/>
        <v>-10.799999999999997</v>
      </c>
      <c r="I777" s="1">
        <f>+(F777^14)/((F777^14+G777^14))</f>
        <v>0.21642561770690236</v>
      </c>
      <c r="J777" s="2">
        <v>109.5</v>
      </c>
      <c r="K777" s="2">
        <v>120.3</v>
      </c>
      <c r="L777" s="2">
        <f t="shared" si="38"/>
        <v>-10.799999999999997</v>
      </c>
      <c r="M777">
        <v>112.8</v>
      </c>
      <c r="N777">
        <v>114.5</v>
      </c>
      <c r="O777">
        <v>-2.9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44005-F2D9-0145-A829-AE286A04FD79}">
  <dimension ref="A2:Q784"/>
  <sheetViews>
    <sheetView workbookViewId="0">
      <pane xSplit="2" ySplit="8" topLeftCell="G9" activePane="bottomRight" state="frozen"/>
      <selection pane="topRight" activeCell="C1" sqref="C1"/>
      <selection pane="bottomLeft" activeCell="A9" sqref="A9"/>
      <selection pane="bottomRight" activeCell="P9" sqref="P9:P16"/>
    </sheetView>
  </sheetViews>
  <sheetFormatPr baseColWidth="10" defaultRowHeight="18"/>
  <cols>
    <col min="2" max="2" width="20.625" customWidth="1"/>
    <col min="3" max="17" width="12.625" customWidth="1"/>
  </cols>
  <sheetData>
    <row r="2" spans="1:17">
      <c r="E2">
        <v>776</v>
      </c>
      <c r="M2" s="1">
        <v>8.2002597305889102E-2</v>
      </c>
    </row>
    <row r="3" spans="1:17">
      <c r="E3" s="4">
        <f>(E9-MIN(E$9:E$784))/(MAX(E$9:E$784)-MIN(E$9:E$784))</f>
        <v>0.76672950047125343</v>
      </c>
      <c r="I3" s="1">
        <f>+CORREL(I9:I784,E9:E784)</f>
        <v>0.9698472655115643</v>
      </c>
      <c r="M3" s="4">
        <f>(M2-MIN(M$9:M$784))/(MAX(M$9:M$784)-MIN(M$9:M$784))</f>
        <v>0.92185952012573269</v>
      </c>
    </row>
    <row r="4" spans="1:17">
      <c r="M4">
        <f>(RANK(M9,M$9:M$784,1)-1)/(COUNT($M$9:$M$784)-1)</f>
        <v>1</v>
      </c>
    </row>
    <row r="8" spans="1:17">
      <c r="A8" t="s">
        <v>0</v>
      </c>
      <c r="B8" t="s">
        <v>1</v>
      </c>
      <c r="C8" s="3" t="s">
        <v>2</v>
      </c>
      <c r="D8" s="3" t="s">
        <v>3</v>
      </c>
      <c r="E8" s="3" t="s">
        <v>74</v>
      </c>
      <c r="F8" s="3" t="s">
        <v>70</v>
      </c>
      <c r="G8" s="3" t="s">
        <v>71</v>
      </c>
      <c r="H8" s="3" t="s">
        <v>72</v>
      </c>
      <c r="I8" s="3" t="s">
        <v>73</v>
      </c>
      <c r="J8" s="3" t="s">
        <v>67</v>
      </c>
      <c r="K8" s="3" t="s">
        <v>68</v>
      </c>
      <c r="L8" s="3" t="s">
        <v>69</v>
      </c>
      <c r="M8" s="3" t="s">
        <v>75</v>
      </c>
      <c r="N8" s="3" t="s">
        <v>76</v>
      </c>
      <c r="O8" s="3" t="s">
        <v>77</v>
      </c>
      <c r="P8" s="3" t="s">
        <v>79</v>
      </c>
      <c r="Q8" s="3" t="s">
        <v>78</v>
      </c>
    </row>
    <row r="9" spans="1:17">
      <c r="A9" t="s">
        <v>63</v>
      </c>
      <c r="B9" t="s">
        <v>19</v>
      </c>
      <c r="C9">
        <v>58</v>
      </c>
      <c r="D9">
        <v>24</v>
      </c>
      <c r="E9" s="1">
        <f>+C9/(C9+D9)</f>
        <v>0.70731707317073167</v>
      </c>
      <c r="F9" s="2">
        <v>116.9</v>
      </c>
      <c r="G9" s="2">
        <v>113.3</v>
      </c>
      <c r="H9" s="2">
        <f>+F9-G9</f>
        <v>3.6000000000000085</v>
      </c>
      <c r="I9" s="1">
        <f>+(F9^14)/((F9^14+G9^14))</f>
        <v>0.607762297189269</v>
      </c>
      <c r="J9" s="2">
        <v>114.3</v>
      </c>
      <c r="K9" s="2">
        <v>110.9</v>
      </c>
      <c r="L9" s="2">
        <f>+J9-K9</f>
        <v>3.3999999999999915</v>
      </c>
      <c r="M9" s="1">
        <f>+E9-I9</f>
        <v>9.9554775981462673E-2</v>
      </c>
      <c r="N9" s="2">
        <v>109.7</v>
      </c>
      <c r="O9" s="2">
        <v>102.8</v>
      </c>
      <c r="P9" s="2">
        <f>+N9-O9</f>
        <v>6.9000000000000057</v>
      </c>
      <c r="Q9">
        <v>0.7</v>
      </c>
    </row>
    <row r="10" spans="1:17">
      <c r="A10" t="s">
        <v>61</v>
      </c>
      <c r="B10" t="s">
        <v>46</v>
      </c>
      <c r="C10">
        <v>22</v>
      </c>
      <c r="D10">
        <v>50</v>
      </c>
      <c r="E10" s="1">
        <f>+C10/(C10+D10)</f>
        <v>0.30555555555555558</v>
      </c>
      <c r="F10" s="2">
        <v>105</v>
      </c>
      <c r="G10" s="2">
        <v>115.6</v>
      </c>
      <c r="H10" s="2">
        <f>+F10-G10</f>
        <v>-10.599999999999994</v>
      </c>
      <c r="I10" s="1">
        <f>+(F10^14)/((F10^14+G10^14))</f>
        <v>0.20644996928068904</v>
      </c>
      <c r="J10" s="2">
        <v>102.8</v>
      </c>
      <c r="K10" s="2">
        <v>113.4</v>
      </c>
      <c r="L10" s="2">
        <f>+J10-K10</f>
        <v>-10.600000000000009</v>
      </c>
      <c r="M10" s="1">
        <f>+E10-I10</f>
        <v>9.9105586274866542E-2</v>
      </c>
      <c r="N10" s="2">
        <v>102.7</v>
      </c>
      <c r="O10" s="2">
        <v>101.8</v>
      </c>
      <c r="P10" s="2">
        <f t="shared" ref="P10:P73" si="0">+N10-O10</f>
        <v>0.90000000000000568</v>
      </c>
      <c r="Q10">
        <v>-1.1000000000000001</v>
      </c>
    </row>
    <row r="11" spans="1:17">
      <c r="A11" t="s">
        <v>41</v>
      </c>
      <c r="B11" t="s">
        <v>31</v>
      </c>
      <c r="C11">
        <v>41</v>
      </c>
      <c r="D11">
        <v>41</v>
      </c>
      <c r="E11" s="1">
        <f>+C11/(C11+D11)</f>
        <v>0.5</v>
      </c>
      <c r="F11" s="2">
        <v>92.4</v>
      </c>
      <c r="G11" s="2">
        <v>95</v>
      </c>
      <c r="H11" s="2">
        <f>+F11-G11</f>
        <v>-2.5999999999999943</v>
      </c>
      <c r="I11" s="1">
        <f>+(F11^14)/((F11^14+G11^14))</f>
        <v>0.40407874070852795</v>
      </c>
      <c r="J11" s="2">
        <v>102.4</v>
      </c>
      <c r="K11" s="2">
        <v>105.1</v>
      </c>
      <c r="L11" s="2">
        <f>+J11-K11</f>
        <v>-2.6999999999999886</v>
      </c>
      <c r="M11" s="1">
        <f>+E11-I11</f>
        <v>9.592125929147205E-2</v>
      </c>
      <c r="N11" s="2">
        <v>107.2</v>
      </c>
      <c r="O11" s="2">
        <v>103.9</v>
      </c>
      <c r="P11" s="2">
        <f t="shared" si="0"/>
        <v>3.2999999999999972</v>
      </c>
      <c r="Q11">
        <v>0.7</v>
      </c>
    </row>
    <row r="12" spans="1:17">
      <c r="A12" t="s">
        <v>55</v>
      </c>
      <c r="B12" t="s">
        <v>13</v>
      </c>
      <c r="C12">
        <v>73</v>
      </c>
      <c r="D12">
        <v>9</v>
      </c>
      <c r="E12" s="1">
        <f>+C12/(C12+D12)</f>
        <v>0.8902439024390244</v>
      </c>
      <c r="F12" s="2">
        <v>114.9</v>
      </c>
      <c r="G12" s="2">
        <v>104.1</v>
      </c>
      <c r="H12" s="2">
        <f>+F12-G12</f>
        <v>10.800000000000011</v>
      </c>
      <c r="I12" s="1">
        <f>+(F12^14)/((F12^14+G12^14))</f>
        <v>0.7993028619398963</v>
      </c>
      <c r="J12" s="2">
        <v>113.5</v>
      </c>
      <c r="K12" s="2">
        <v>102.8</v>
      </c>
      <c r="L12" s="2">
        <f>+J12-K12</f>
        <v>10.700000000000003</v>
      </c>
      <c r="M12" s="1">
        <f>+E12-I12</f>
        <v>9.0941040499128101E-2</v>
      </c>
      <c r="N12" s="2">
        <v>117</v>
      </c>
      <c r="O12" s="2">
        <v>81.099999999999994</v>
      </c>
      <c r="P12" s="2">
        <f t="shared" si="0"/>
        <v>35.900000000000006</v>
      </c>
      <c r="Q12">
        <v>0.4</v>
      </c>
    </row>
    <row r="13" spans="1:17">
      <c r="A13" t="s">
        <v>44</v>
      </c>
      <c r="B13" t="s">
        <v>21</v>
      </c>
      <c r="C13">
        <v>34</v>
      </c>
      <c r="D13">
        <v>48</v>
      </c>
      <c r="E13" s="1">
        <f>+C13/(C13+D13)</f>
        <v>0.41463414634146339</v>
      </c>
      <c r="F13" s="2">
        <v>95.8</v>
      </c>
      <c r="G13" s="2">
        <v>100.9</v>
      </c>
      <c r="H13" s="2">
        <f>+F13-G13</f>
        <v>-5.1000000000000085</v>
      </c>
      <c r="I13" s="1">
        <f>+(F13^14)/((F13^14+G13^14))</f>
        <v>0.32604204255195213</v>
      </c>
      <c r="J13" s="2">
        <v>102.3</v>
      </c>
      <c r="K13" s="2">
        <v>107.7</v>
      </c>
      <c r="L13" s="2">
        <f>+J13-K13</f>
        <v>-5.4000000000000057</v>
      </c>
      <c r="M13" s="1">
        <f>+E13-I13</f>
        <v>8.8592103789511267E-2</v>
      </c>
      <c r="N13" s="2">
        <v>112.8</v>
      </c>
      <c r="O13" s="2">
        <v>107.1</v>
      </c>
      <c r="P13" s="2">
        <f t="shared" si="0"/>
        <v>5.7000000000000028</v>
      </c>
      <c r="Q13">
        <v>-1.8</v>
      </c>
    </row>
    <row r="14" spans="1:17">
      <c r="A14" t="s">
        <v>55</v>
      </c>
      <c r="B14" t="s">
        <v>35</v>
      </c>
      <c r="C14">
        <v>42</v>
      </c>
      <c r="D14">
        <v>40</v>
      </c>
      <c r="E14" s="1">
        <f>+C14/(C14+D14)</f>
        <v>0.51219512195121952</v>
      </c>
      <c r="F14" s="2">
        <v>99.1</v>
      </c>
      <c r="G14" s="2">
        <v>101.3</v>
      </c>
      <c r="H14" s="2">
        <f>+F14-G14</f>
        <v>-2.2000000000000028</v>
      </c>
      <c r="I14" s="1">
        <f>+(F14^14)/((F14^14+G14^14))</f>
        <v>0.42375008711442541</v>
      </c>
      <c r="J14" s="2">
        <v>104.7</v>
      </c>
      <c r="K14" s="2">
        <v>107.1</v>
      </c>
      <c r="L14" s="2">
        <f>+J14-K14</f>
        <v>-2.3999999999999915</v>
      </c>
      <c r="M14" s="1">
        <f>+E14-I14</f>
        <v>8.8445034836794112E-2</v>
      </c>
      <c r="N14" s="2">
        <v>105.9</v>
      </c>
      <c r="O14" s="2">
        <v>94.5</v>
      </c>
      <c r="P14" s="2">
        <f t="shared" si="0"/>
        <v>11.400000000000006</v>
      </c>
      <c r="Q14">
        <v>-0.1</v>
      </c>
    </row>
    <row r="15" spans="1:17">
      <c r="A15" t="s">
        <v>62</v>
      </c>
      <c r="B15" t="s">
        <v>26</v>
      </c>
      <c r="C15">
        <v>27</v>
      </c>
      <c r="D15">
        <v>55</v>
      </c>
      <c r="E15" s="1">
        <f>+C15/(C15+D15)</f>
        <v>0.32926829268292684</v>
      </c>
      <c r="F15" s="2">
        <v>106.2</v>
      </c>
      <c r="G15" s="2">
        <v>115.1</v>
      </c>
      <c r="H15" s="2">
        <f>+F15-G15</f>
        <v>-8.8999999999999915</v>
      </c>
      <c r="I15" s="1">
        <f>+(F15^14)/((F15^14+G15^14))</f>
        <v>0.24477414963979585</v>
      </c>
      <c r="J15" s="2">
        <v>107.3</v>
      </c>
      <c r="K15" s="2">
        <v>116.3</v>
      </c>
      <c r="L15" s="2">
        <f>+J15-K15</f>
        <v>-9</v>
      </c>
      <c r="M15" s="1">
        <f>+E15-I15</f>
        <v>8.4494143043130993E-2</v>
      </c>
      <c r="N15" s="2">
        <v>107</v>
      </c>
      <c r="O15" s="2">
        <v>105.8</v>
      </c>
      <c r="P15" s="2">
        <f t="shared" si="0"/>
        <v>1.2000000000000028</v>
      </c>
      <c r="Q15">
        <v>-3.6</v>
      </c>
    </row>
    <row r="16" spans="1:17">
      <c r="A16" t="s">
        <v>66</v>
      </c>
      <c r="B16" t="s">
        <v>17</v>
      </c>
      <c r="C16">
        <v>38</v>
      </c>
      <c r="D16">
        <v>25</v>
      </c>
      <c r="E16" s="1">
        <f>+C16/(C16+D16)</f>
        <v>0.60317460317460314</v>
      </c>
      <c r="F16" s="2">
        <v>116</v>
      </c>
      <c r="G16" s="2">
        <v>115.3</v>
      </c>
      <c r="H16" s="2">
        <f>+F16-G16</f>
        <v>0.70000000000000284</v>
      </c>
      <c r="I16" s="1">
        <f>+(F16^14)/((F16^14+G16^14))</f>
        <v>0.52117200586871404</v>
      </c>
      <c r="J16" s="2">
        <v>116.5</v>
      </c>
      <c r="K16" s="2">
        <v>116.1</v>
      </c>
      <c r="L16" s="2">
        <f>+J16-K16</f>
        <v>0.40000000000000568</v>
      </c>
      <c r="M16" s="1">
        <f>+E16-I16</f>
        <v>8.2002597305889102E-2</v>
      </c>
      <c r="N16" s="2">
        <v>135.9</v>
      </c>
      <c r="O16" s="2">
        <v>109.1</v>
      </c>
      <c r="P16" s="2">
        <f t="shared" si="0"/>
        <v>26.800000000000011</v>
      </c>
      <c r="Q16" s="2">
        <v>1.6</v>
      </c>
    </row>
    <row r="17" spans="1:17">
      <c r="A17" t="s">
        <v>58</v>
      </c>
      <c r="B17" t="s">
        <v>9</v>
      </c>
      <c r="C17">
        <v>50</v>
      </c>
      <c r="D17">
        <v>32</v>
      </c>
      <c r="E17" s="1">
        <f>+C17/(C17+D17)</f>
        <v>0.6097560975609756</v>
      </c>
      <c r="F17" s="2">
        <v>110.9</v>
      </c>
      <c r="G17" s="2">
        <v>109.9</v>
      </c>
      <c r="H17" s="2">
        <f>+F17-G17</f>
        <v>1</v>
      </c>
      <c r="I17" s="1">
        <f>+(F17^14)/((F17^14+G17^14))</f>
        <v>0.53166069765175683</v>
      </c>
      <c r="J17" s="2">
        <v>112</v>
      </c>
      <c r="K17" s="2">
        <v>111.1</v>
      </c>
      <c r="L17" s="2">
        <f>+J17-K17</f>
        <v>0.90000000000000568</v>
      </c>
      <c r="M17" s="1">
        <f>+E17-I17</f>
        <v>7.8095399909218766E-2</v>
      </c>
      <c r="N17" s="2">
        <v>116.9</v>
      </c>
      <c r="O17" s="2">
        <v>96.1</v>
      </c>
      <c r="P17" s="2">
        <f t="shared" si="0"/>
        <v>20.800000000000011</v>
      </c>
      <c r="Q17">
        <v>0.6</v>
      </c>
    </row>
    <row r="18" spans="1:17">
      <c r="A18" t="s">
        <v>47</v>
      </c>
      <c r="B18" t="s">
        <v>10</v>
      </c>
      <c r="C18">
        <v>55</v>
      </c>
      <c r="D18">
        <v>27</v>
      </c>
      <c r="E18" s="1">
        <f>+C18/(C18+D18)</f>
        <v>0.67073170731707321</v>
      </c>
      <c r="F18" s="2">
        <v>102</v>
      </c>
      <c r="G18" s="2">
        <v>99.3</v>
      </c>
      <c r="H18" s="2">
        <f>+F18-G18</f>
        <v>2.7000000000000028</v>
      </c>
      <c r="I18" s="1">
        <f>+(F18^14)/((F18^14+G18^14))</f>
        <v>0.59280694774061193</v>
      </c>
      <c r="J18" s="2">
        <v>107.8</v>
      </c>
      <c r="K18" s="2">
        <v>105</v>
      </c>
      <c r="L18" s="2">
        <f>+J18-K18</f>
        <v>2.7999999999999972</v>
      </c>
      <c r="M18" s="1">
        <f>+E18-I18</f>
        <v>7.7924759576461278E-2</v>
      </c>
      <c r="N18" s="2">
        <v>114.1</v>
      </c>
      <c r="O18" s="2">
        <v>95.3</v>
      </c>
      <c r="P18" s="2">
        <f t="shared" si="0"/>
        <v>18.799999999999997</v>
      </c>
      <c r="Q18">
        <v>0.6</v>
      </c>
    </row>
    <row r="19" spans="1:17">
      <c r="A19" t="s">
        <v>43</v>
      </c>
      <c r="B19" t="s">
        <v>10</v>
      </c>
      <c r="C19">
        <v>67</v>
      </c>
      <c r="D19">
        <v>15</v>
      </c>
      <c r="E19" s="1">
        <f>+C19/(C19+D19)</f>
        <v>0.81707317073170727</v>
      </c>
      <c r="F19" s="2">
        <v>100</v>
      </c>
      <c r="G19" s="2">
        <v>92.8</v>
      </c>
      <c r="H19" s="2">
        <f>+F19-G19</f>
        <v>7.2000000000000028</v>
      </c>
      <c r="I19" s="1">
        <f>+(F19^14)/((F19^14+G19^14))</f>
        <v>0.74003099281791473</v>
      </c>
      <c r="J19" s="2">
        <v>109.7</v>
      </c>
      <c r="K19" s="2">
        <v>102.1</v>
      </c>
      <c r="L19" s="2">
        <f>+J19-K19</f>
        <v>7.6000000000000085</v>
      </c>
      <c r="M19" s="1">
        <f>+E19-I19</f>
        <v>7.7042177913792531E-2</v>
      </c>
      <c r="N19" s="2">
        <v>109.8</v>
      </c>
      <c r="O19" s="2">
        <v>84.5</v>
      </c>
      <c r="P19" s="2">
        <f t="shared" si="0"/>
        <v>25.299999999999997</v>
      </c>
      <c r="Q19">
        <v>1.1000000000000001</v>
      </c>
    </row>
    <row r="20" spans="1:17">
      <c r="A20" t="s">
        <v>62</v>
      </c>
      <c r="B20" t="s">
        <v>8</v>
      </c>
      <c r="C20">
        <v>46</v>
      </c>
      <c r="D20">
        <v>36</v>
      </c>
      <c r="E20" s="1">
        <f>+C20/(C20+D20)</f>
        <v>0.56097560975609762</v>
      </c>
      <c r="F20" s="2">
        <v>111.6</v>
      </c>
      <c r="G20" s="2">
        <v>112</v>
      </c>
      <c r="H20" s="2">
        <f>+F20-G20</f>
        <v>-0.40000000000000568</v>
      </c>
      <c r="I20" s="1">
        <f>+(F20^14)/((F20^14+G20^14))</f>
        <v>0.48748024280159491</v>
      </c>
      <c r="J20" s="2">
        <v>112.7</v>
      </c>
      <c r="K20" s="2">
        <v>113.2</v>
      </c>
      <c r="L20" s="2">
        <f>+J20-K20</f>
        <v>-0.5</v>
      </c>
      <c r="M20" s="1">
        <f>+E20-I20</f>
        <v>7.3495366954502706E-2</v>
      </c>
      <c r="N20" s="2">
        <v>121</v>
      </c>
      <c r="O20" s="2">
        <v>104.9</v>
      </c>
      <c r="P20" s="2">
        <f t="shared" si="0"/>
        <v>16.099999999999994</v>
      </c>
      <c r="Q20">
        <v>0.9</v>
      </c>
    </row>
    <row r="21" spans="1:17">
      <c r="A21" t="s">
        <v>4</v>
      </c>
      <c r="B21" t="s">
        <v>11</v>
      </c>
      <c r="C21">
        <v>40</v>
      </c>
      <c r="D21">
        <v>42</v>
      </c>
      <c r="E21" s="1">
        <f>+C21/(C21+D21)</f>
        <v>0.48780487804878048</v>
      </c>
      <c r="F21" s="2">
        <v>96.6</v>
      </c>
      <c r="G21" s="2">
        <v>99</v>
      </c>
      <c r="H21" s="2">
        <f>+F21-G21</f>
        <v>-2.4000000000000057</v>
      </c>
      <c r="I21" s="1">
        <f>+(F21^14)/((F21^14+G21^14))</f>
        <v>0.41494120163391823</v>
      </c>
      <c r="J21" s="2">
        <v>102.2</v>
      </c>
      <c r="K21" s="2">
        <v>104.9</v>
      </c>
      <c r="L21" s="2">
        <f>+J21-K21</f>
        <v>-2.7000000000000028</v>
      </c>
      <c r="M21" s="1">
        <f>+E21-I21</f>
        <v>7.2863676414862244E-2</v>
      </c>
      <c r="N21" s="2">
        <v>100.5</v>
      </c>
      <c r="O21" s="2">
        <v>95.5</v>
      </c>
      <c r="P21" s="2">
        <f t="shared" si="0"/>
        <v>5</v>
      </c>
      <c r="Q21">
        <v>0.1</v>
      </c>
    </row>
    <row r="22" spans="1:17">
      <c r="A22" t="s">
        <v>65</v>
      </c>
      <c r="B22" t="s">
        <v>17</v>
      </c>
      <c r="C22">
        <v>50</v>
      </c>
      <c r="D22">
        <v>32</v>
      </c>
      <c r="E22" s="1">
        <f>+C22/(C22+D22)</f>
        <v>0.6097560975609756</v>
      </c>
      <c r="F22" s="2">
        <v>113.4</v>
      </c>
      <c r="G22" s="2">
        <v>112.2</v>
      </c>
      <c r="H22" s="2">
        <f>+F22-G22</f>
        <v>1.2000000000000028</v>
      </c>
      <c r="I22" s="1">
        <f>+(F22^14)/((F22^14+G22^14))</f>
        <v>0.5371657170333668</v>
      </c>
      <c r="J22" s="2">
        <v>115</v>
      </c>
      <c r="K22" s="2">
        <v>113.8</v>
      </c>
      <c r="L22" s="2">
        <f>+J22-K22</f>
        <v>1.2000000000000028</v>
      </c>
      <c r="M22" s="1">
        <f>+E22-I22</f>
        <v>7.25903805276088E-2</v>
      </c>
      <c r="N22" s="2">
        <v>114.6</v>
      </c>
      <c r="O22" s="2">
        <v>110.6</v>
      </c>
      <c r="P22" s="2">
        <f t="shared" si="0"/>
        <v>4</v>
      </c>
      <c r="Q22">
        <v>-0.7</v>
      </c>
    </row>
    <row r="23" spans="1:17">
      <c r="A23" t="s">
        <v>52</v>
      </c>
      <c r="B23" t="s">
        <v>51</v>
      </c>
      <c r="C23">
        <v>44</v>
      </c>
      <c r="D23">
        <v>38</v>
      </c>
      <c r="E23" s="1">
        <f>+C23/(C23+D23)</f>
        <v>0.53658536585365857</v>
      </c>
      <c r="F23" s="2">
        <v>98.5</v>
      </c>
      <c r="G23" s="2">
        <v>99.5</v>
      </c>
      <c r="H23" s="2">
        <f>+F23-G23</f>
        <v>-1</v>
      </c>
      <c r="I23" s="1">
        <f>+(F23^14)/((F23^14+G23^14))</f>
        <v>0.46470496450899657</v>
      </c>
      <c r="J23" s="2">
        <v>105.4</v>
      </c>
      <c r="K23" s="2">
        <v>106.7</v>
      </c>
      <c r="L23" s="2">
        <f>+J23-K23</f>
        <v>-1.2999999999999972</v>
      </c>
      <c r="M23" s="1">
        <f>+E23-I23</f>
        <v>7.1880401344662004E-2</v>
      </c>
      <c r="N23" s="2">
        <v>98.3</v>
      </c>
      <c r="O23" s="2">
        <v>100.6</v>
      </c>
      <c r="P23" s="2">
        <f t="shared" si="0"/>
        <v>-2.2999999999999972</v>
      </c>
      <c r="Q23">
        <v>-1.1000000000000001</v>
      </c>
    </row>
    <row r="24" spans="1:17">
      <c r="A24" t="s">
        <v>49</v>
      </c>
      <c r="B24" t="s">
        <v>17</v>
      </c>
      <c r="C24">
        <v>41</v>
      </c>
      <c r="D24">
        <v>25</v>
      </c>
      <c r="E24" s="1">
        <f>+C24/(C24+D24)</f>
        <v>0.62121212121212122</v>
      </c>
      <c r="F24" s="2">
        <v>97.3</v>
      </c>
      <c r="G24" s="2">
        <v>95.9</v>
      </c>
      <c r="H24" s="2">
        <f>+F24-G24</f>
        <v>1.3999999999999915</v>
      </c>
      <c r="I24" s="1">
        <f>+(F24^14)/((F24^14+G24^14))</f>
        <v>0.55055221133697552</v>
      </c>
      <c r="J24" s="2">
        <v>104.5</v>
      </c>
      <c r="K24" s="2">
        <v>103.2</v>
      </c>
      <c r="L24" s="2">
        <f>+J24-K24</f>
        <v>1.2999999999999972</v>
      </c>
      <c r="M24" s="1">
        <f>+E24-I24</f>
        <v>7.0659909875145699E-2</v>
      </c>
      <c r="N24" s="2">
        <v>111.2</v>
      </c>
      <c r="O24" s="2">
        <v>92.3</v>
      </c>
      <c r="P24" s="2">
        <f t="shared" si="0"/>
        <v>18.900000000000006</v>
      </c>
      <c r="Q24">
        <v>-0.1</v>
      </c>
    </row>
    <row r="25" spans="1:17">
      <c r="A25" t="s">
        <v>43</v>
      </c>
      <c r="B25" t="s">
        <v>18</v>
      </c>
      <c r="C25">
        <v>44</v>
      </c>
      <c r="D25">
        <v>38</v>
      </c>
      <c r="E25" s="1">
        <f>+C25/(C25+D25)</f>
        <v>0.53658536585365857</v>
      </c>
      <c r="F25" s="2">
        <v>94.6</v>
      </c>
      <c r="G25" s="2">
        <v>95.5</v>
      </c>
      <c r="H25" s="2">
        <f>+F25-G25</f>
        <v>-0.90000000000000568</v>
      </c>
      <c r="I25" s="1">
        <f>+(F25^14)/((F25^14+G25^14))</f>
        <v>0.46690774637254517</v>
      </c>
      <c r="J25" s="2">
        <v>103.4</v>
      </c>
      <c r="K25" s="2">
        <v>104.6</v>
      </c>
      <c r="L25" s="2">
        <f>+J25-K25</f>
        <v>-1.1999999999999886</v>
      </c>
      <c r="M25" s="1">
        <f>+E25-I25</f>
        <v>6.9677619481113395E-2</v>
      </c>
      <c r="N25" s="2">
        <v>106.9</v>
      </c>
      <c r="O25" s="2">
        <v>97.6</v>
      </c>
      <c r="P25" s="2">
        <f t="shared" si="0"/>
        <v>9.3000000000000114</v>
      </c>
      <c r="Q25">
        <v>0.5</v>
      </c>
    </row>
    <row r="26" spans="1:17">
      <c r="A26" t="s">
        <v>39</v>
      </c>
      <c r="B26" t="s">
        <v>21</v>
      </c>
      <c r="C26">
        <v>42</v>
      </c>
      <c r="D26">
        <v>40</v>
      </c>
      <c r="E26" s="1">
        <f>+C26/(C26+D26)</f>
        <v>0.51219512195121952</v>
      </c>
      <c r="F26" s="2">
        <v>91.4</v>
      </c>
      <c r="G26" s="2">
        <v>92.9</v>
      </c>
      <c r="H26" s="2">
        <f>+F26-G26</f>
        <v>-1.5</v>
      </c>
      <c r="I26" s="1">
        <f>+(F26^14)/((F26^14+G26^14))</f>
        <v>0.44327172117741881</v>
      </c>
      <c r="J26" s="2">
        <v>99.9</v>
      </c>
      <c r="K26" s="2">
        <v>101.6</v>
      </c>
      <c r="L26" s="2">
        <f>+J26-K26</f>
        <v>-1.6999999999999886</v>
      </c>
      <c r="M26" s="1">
        <f>+E26-I26</f>
        <v>6.8923400773800714E-2</v>
      </c>
      <c r="N26" s="2">
        <v>100</v>
      </c>
      <c r="O26" s="2">
        <v>95.9</v>
      </c>
      <c r="P26" s="2">
        <f t="shared" si="0"/>
        <v>4.0999999999999943</v>
      </c>
      <c r="Q26">
        <v>-2.2000000000000002</v>
      </c>
    </row>
    <row r="27" spans="1:17">
      <c r="A27" t="s">
        <v>54</v>
      </c>
      <c r="B27" t="s">
        <v>14</v>
      </c>
      <c r="C27">
        <v>56</v>
      </c>
      <c r="D27">
        <v>26</v>
      </c>
      <c r="E27" s="1">
        <f>+C27/(C27+D27)</f>
        <v>0.68292682926829273</v>
      </c>
      <c r="F27" s="2">
        <v>103.9</v>
      </c>
      <c r="G27" s="2">
        <v>100.5</v>
      </c>
      <c r="H27" s="2">
        <f>+F27-G27</f>
        <v>3.4000000000000057</v>
      </c>
      <c r="I27" s="1">
        <f>+(F27^14)/((F27^14+G27^14))</f>
        <v>0.61438833657997272</v>
      </c>
      <c r="J27" s="2">
        <v>106</v>
      </c>
      <c r="K27" s="2">
        <v>102.6</v>
      </c>
      <c r="L27" s="2">
        <f>+J27-K27</f>
        <v>3.4000000000000057</v>
      </c>
      <c r="M27" s="1">
        <f>+E27-I27</f>
        <v>6.8538492688320019E-2</v>
      </c>
      <c r="N27" s="2">
        <v>98.4</v>
      </c>
      <c r="O27" s="2">
        <v>100.3</v>
      </c>
      <c r="P27" s="2">
        <f t="shared" si="0"/>
        <v>-1.8999999999999915</v>
      </c>
      <c r="Q27">
        <v>-0.8</v>
      </c>
    </row>
    <row r="28" spans="1:17">
      <c r="A28" t="s">
        <v>41</v>
      </c>
      <c r="B28" t="s">
        <v>42</v>
      </c>
      <c r="C28">
        <v>38</v>
      </c>
      <c r="D28">
        <v>44</v>
      </c>
      <c r="E28" s="1">
        <f>+C28/(C28+D28)</f>
        <v>0.46341463414634149</v>
      </c>
      <c r="F28" s="2">
        <v>92.8</v>
      </c>
      <c r="G28" s="2">
        <v>95.6</v>
      </c>
      <c r="H28" s="2">
        <f>+F28-G28</f>
        <v>-2.7999999999999972</v>
      </c>
      <c r="I28" s="1">
        <f>+(F28^14)/((F28^14+G28^14))</f>
        <v>0.3974344302617922</v>
      </c>
      <c r="J28" s="2">
        <v>102.3</v>
      </c>
      <c r="K28" s="2">
        <v>105.1</v>
      </c>
      <c r="L28" s="2">
        <f>+J28-K28</f>
        <v>-2.7999999999999972</v>
      </c>
      <c r="M28" s="1">
        <f>+E28-I28</f>
        <v>6.5980203884549282E-2</v>
      </c>
      <c r="N28" s="2">
        <v>111.7</v>
      </c>
      <c r="O28" s="2">
        <v>102</v>
      </c>
      <c r="P28" s="2">
        <f t="shared" si="0"/>
        <v>9.7000000000000028</v>
      </c>
      <c r="Q28">
        <v>-0.3</v>
      </c>
    </row>
    <row r="29" spans="1:17">
      <c r="A29" t="s">
        <v>48</v>
      </c>
      <c r="B29" t="s">
        <v>5</v>
      </c>
      <c r="C29">
        <v>44</v>
      </c>
      <c r="D29">
        <v>38</v>
      </c>
      <c r="E29" s="1">
        <f>+C29/(C29+D29)</f>
        <v>0.53658536585365857</v>
      </c>
      <c r="F29" s="2">
        <v>95</v>
      </c>
      <c r="G29" s="2">
        <v>95.8</v>
      </c>
      <c r="H29" s="2">
        <f>+F29-G29</f>
        <v>-0.79999999999999716</v>
      </c>
      <c r="I29" s="1">
        <f>+(F29^14)/((F29^14+G29^14))</f>
        <v>0.47068338807108751</v>
      </c>
      <c r="J29" s="2">
        <v>105.1</v>
      </c>
      <c r="K29" s="2">
        <v>105.8</v>
      </c>
      <c r="L29" s="2">
        <f>+J29-K29</f>
        <v>-0.70000000000000284</v>
      </c>
      <c r="M29" s="1">
        <f>+E29-I29</f>
        <v>6.5901977782571064E-2</v>
      </c>
      <c r="N29" s="2">
        <v>112.6</v>
      </c>
      <c r="O29" s="2">
        <v>103.5</v>
      </c>
      <c r="P29" s="2">
        <f t="shared" si="0"/>
        <v>9.0999999999999943</v>
      </c>
      <c r="Q29">
        <v>-1.5</v>
      </c>
    </row>
    <row r="30" spans="1:17">
      <c r="A30" t="s">
        <v>47</v>
      </c>
      <c r="B30" t="s">
        <v>16</v>
      </c>
      <c r="C30">
        <v>29</v>
      </c>
      <c r="D30">
        <v>53</v>
      </c>
      <c r="E30" s="1">
        <f>+C30/(C30+D30)</f>
        <v>0.35365853658536583</v>
      </c>
      <c r="F30" s="2">
        <v>95.7</v>
      </c>
      <c r="G30" s="2">
        <v>102.1</v>
      </c>
      <c r="H30" s="2">
        <f>+F30-G30</f>
        <v>-6.3999999999999915</v>
      </c>
      <c r="I30" s="1">
        <f>+(F30^14)/((F30^14+G30^14))</f>
        <v>0.28776126250180661</v>
      </c>
      <c r="J30" s="2">
        <v>102.3</v>
      </c>
      <c r="K30" s="2">
        <v>109.1</v>
      </c>
      <c r="L30" s="2">
        <f>+J30-K30</f>
        <v>-6.7999999999999972</v>
      </c>
      <c r="M30" s="1">
        <f>+E30-I30</f>
        <v>6.5897274083559221E-2</v>
      </c>
      <c r="N30" s="2">
        <v>106</v>
      </c>
      <c r="O30" s="2">
        <v>91.3</v>
      </c>
      <c r="P30" s="2">
        <f t="shared" si="0"/>
        <v>14.700000000000003</v>
      </c>
      <c r="Q30">
        <v>-2.1</v>
      </c>
    </row>
    <row r="31" spans="1:17">
      <c r="A31" t="s">
        <v>64</v>
      </c>
      <c r="B31" t="s">
        <v>17</v>
      </c>
      <c r="C31">
        <v>46</v>
      </c>
      <c r="D31">
        <v>35</v>
      </c>
      <c r="E31" s="1">
        <f>+C31/(C31+D31)</f>
        <v>0.5679012345679012</v>
      </c>
      <c r="F31" s="2">
        <v>117.9</v>
      </c>
      <c r="G31" s="2">
        <v>117.8</v>
      </c>
      <c r="H31" s="2">
        <f>+F31-G31</f>
        <v>0.10000000000000853</v>
      </c>
      <c r="I31" s="1">
        <f>+(F31^14)/((F31^14+G31^14))</f>
        <v>0.50296984221450003</v>
      </c>
      <c r="J31" s="2">
        <v>115.2</v>
      </c>
      <c r="K31" s="2">
        <v>115.2</v>
      </c>
      <c r="L31" s="2">
        <f>+J31-K31</f>
        <v>0</v>
      </c>
      <c r="M31" s="1">
        <f>+E31-I31</f>
        <v>6.4931392353401174E-2</v>
      </c>
      <c r="N31" s="2">
        <v>117.6</v>
      </c>
      <c r="O31" s="2">
        <v>108.5</v>
      </c>
      <c r="P31" s="2">
        <f t="shared" si="0"/>
        <v>9.0999999999999943</v>
      </c>
      <c r="Q31">
        <v>0.1</v>
      </c>
    </row>
    <row r="32" spans="1:17">
      <c r="A32" t="s">
        <v>4</v>
      </c>
      <c r="B32" t="s">
        <v>17</v>
      </c>
      <c r="C32">
        <v>56</v>
      </c>
      <c r="D32">
        <v>26</v>
      </c>
      <c r="E32" s="1">
        <f>+C32/(C32+D32)</f>
        <v>0.68292682926829273</v>
      </c>
      <c r="F32" s="2">
        <v>100.6</v>
      </c>
      <c r="G32" s="2">
        <v>97.2</v>
      </c>
      <c r="H32" s="2">
        <f>+F32-G32</f>
        <v>3.3999999999999915</v>
      </c>
      <c r="I32" s="1">
        <f>+(F32^14)/((F32^14+G32^14))</f>
        <v>0.61806463503344422</v>
      </c>
      <c r="J32" s="2">
        <v>107</v>
      </c>
      <c r="K32" s="2">
        <v>103.6</v>
      </c>
      <c r="L32" s="2">
        <f>+J32-K32</f>
        <v>3.4000000000000057</v>
      </c>
      <c r="M32" s="1">
        <f>+E32-I32</f>
        <v>6.4862194234848514E-2</v>
      </c>
      <c r="N32" s="2">
        <v>103.2</v>
      </c>
      <c r="O32" s="2">
        <v>99.2</v>
      </c>
      <c r="P32" s="2">
        <f t="shared" si="0"/>
        <v>4</v>
      </c>
      <c r="Q32">
        <v>-1</v>
      </c>
    </row>
    <row r="33" spans="1:17">
      <c r="A33" t="s">
        <v>54</v>
      </c>
      <c r="B33" t="s">
        <v>51</v>
      </c>
      <c r="C33">
        <v>38</v>
      </c>
      <c r="D33">
        <v>44</v>
      </c>
      <c r="E33" s="1">
        <f>+C33/(C33+D33)</f>
        <v>0.46341463414634149</v>
      </c>
      <c r="F33" s="2">
        <v>98</v>
      </c>
      <c r="G33" s="2">
        <v>100.9</v>
      </c>
      <c r="H33" s="2">
        <f>+F33-G33</f>
        <v>-2.9000000000000057</v>
      </c>
      <c r="I33" s="1">
        <f>+(F33^14)/((F33^14+G33^14))</f>
        <v>0.3993259881358221</v>
      </c>
      <c r="J33" s="2">
        <v>103.4</v>
      </c>
      <c r="K33" s="2">
        <v>106.3</v>
      </c>
      <c r="L33" s="2">
        <f>+J33-K33</f>
        <v>-2.8999999999999915</v>
      </c>
      <c r="M33" s="1">
        <f>+E33-I33</f>
        <v>6.408864601051939E-2</v>
      </c>
      <c r="N33" s="2">
        <v>91.9</v>
      </c>
      <c r="O33" s="2">
        <v>102.5</v>
      </c>
      <c r="P33" s="2">
        <f t="shared" si="0"/>
        <v>-10.599999999999994</v>
      </c>
      <c r="Q33">
        <v>-0.2</v>
      </c>
    </row>
    <row r="34" spans="1:17">
      <c r="A34" t="s">
        <v>60</v>
      </c>
      <c r="B34" t="s">
        <v>11</v>
      </c>
      <c r="C34">
        <v>46</v>
      </c>
      <c r="D34">
        <v>27</v>
      </c>
      <c r="E34" s="1">
        <f>+C34/(C34+D34)</f>
        <v>0.63013698630136983</v>
      </c>
      <c r="F34" s="2">
        <v>111.3</v>
      </c>
      <c r="G34" s="2">
        <v>109.2</v>
      </c>
      <c r="H34" s="2">
        <f>+F34-G34</f>
        <v>2.0999999999999943</v>
      </c>
      <c r="I34" s="1">
        <f>+(F34^14)/((F34^14+G34^14))</f>
        <v>0.56627637451040547</v>
      </c>
      <c r="J34" s="2">
        <v>112.6</v>
      </c>
      <c r="K34" s="2">
        <v>110.4</v>
      </c>
      <c r="L34" s="2">
        <f>+J34-K34</f>
        <v>2.1999999999999886</v>
      </c>
      <c r="M34" s="1">
        <f>+E34-I34</f>
        <v>6.3860611790964361E-2</v>
      </c>
      <c r="N34" s="2">
        <v>118.5</v>
      </c>
      <c r="O34" s="2">
        <v>102.9</v>
      </c>
      <c r="P34" s="2">
        <f t="shared" si="0"/>
        <v>15.599999999999994</v>
      </c>
      <c r="Q34">
        <v>0.3</v>
      </c>
    </row>
    <row r="35" spans="1:17">
      <c r="A35" t="s">
        <v>55</v>
      </c>
      <c r="B35" t="s">
        <v>8</v>
      </c>
      <c r="C35">
        <v>42</v>
      </c>
      <c r="D35">
        <v>40</v>
      </c>
      <c r="E35" s="1">
        <f>+C35/(C35+D35)</f>
        <v>0.51219512195121952</v>
      </c>
      <c r="F35" s="2">
        <v>101.6</v>
      </c>
      <c r="G35" s="2">
        <v>103.1</v>
      </c>
      <c r="H35" s="2">
        <f>+F35-G35</f>
        <v>-1.5</v>
      </c>
      <c r="I35" s="1">
        <f>+(F35^14)/((F35^14+G35^14))</f>
        <v>0.44888371019614143</v>
      </c>
      <c r="J35" s="2">
        <v>104.1</v>
      </c>
      <c r="K35" s="2">
        <v>105.5</v>
      </c>
      <c r="L35" s="2">
        <f>+J35-K35</f>
        <v>-1.4000000000000057</v>
      </c>
      <c r="M35" s="1">
        <f>+E35-I35</f>
        <v>6.3311411755078095E-2</v>
      </c>
      <c r="N35" s="2">
        <v>95.5</v>
      </c>
      <c r="O35" s="2">
        <v>100</v>
      </c>
      <c r="P35" s="2">
        <f t="shared" si="0"/>
        <v>-4.5</v>
      </c>
      <c r="Q35">
        <v>-0.7</v>
      </c>
    </row>
    <row r="36" spans="1:17">
      <c r="A36" t="s">
        <v>41</v>
      </c>
      <c r="B36" t="s">
        <v>26</v>
      </c>
      <c r="C36">
        <v>21</v>
      </c>
      <c r="D36">
        <v>61</v>
      </c>
      <c r="E36" s="1">
        <f>+C36/(C36+D36)</f>
        <v>0.25609756097560976</v>
      </c>
      <c r="F36" s="2">
        <v>88.8</v>
      </c>
      <c r="G36" s="2">
        <v>98.3</v>
      </c>
      <c r="H36" s="2">
        <f>+F36-G36</f>
        <v>-9.5</v>
      </c>
      <c r="I36" s="1">
        <f>+(F36^14)/((F36^14+G36^14))</f>
        <v>0.19420371450144952</v>
      </c>
      <c r="J36" s="2">
        <v>99.7</v>
      </c>
      <c r="K36" s="2">
        <v>110.3</v>
      </c>
      <c r="L36" s="2">
        <f>+J36-K36</f>
        <v>-10.599999999999994</v>
      </c>
      <c r="M36" s="1">
        <f>+E36-I36</f>
        <v>6.1893846474160241E-2</v>
      </c>
      <c r="N36" s="2">
        <v>89.2</v>
      </c>
      <c r="O36" s="2">
        <v>102.4</v>
      </c>
      <c r="P36" s="2">
        <f t="shared" si="0"/>
        <v>-13.200000000000003</v>
      </c>
      <c r="Q36">
        <v>-1.7</v>
      </c>
    </row>
    <row r="37" spans="1:17">
      <c r="A37" t="s">
        <v>57</v>
      </c>
      <c r="B37" t="s">
        <v>6</v>
      </c>
      <c r="C37">
        <v>53</v>
      </c>
      <c r="D37">
        <v>29</v>
      </c>
      <c r="E37" s="1">
        <f>+C37/(C37+D37)</f>
        <v>0.64634146341463417</v>
      </c>
      <c r="F37" s="2">
        <v>108</v>
      </c>
      <c r="G37" s="2">
        <v>105.4</v>
      </c>
      <c r="H37" s="2">
        <f>+F37-G37</f>
        <v>2.5999999999999943</v>
      </c>
      <c r="I37" s="1">
        <f>+(F37^14)/((F37^14+G37^14))</f>
        <v>0.58447233985908875</v>
      </c>
      <c r="J37" s="2">
        <v>110.6</v>
      </c>
      <c r="K37" s="2">
        <v>108</v>
      </c>
      <c r="L37" s="2">
        <f>+J37-K37</f>
        <v>2.5999999999999943</v>
      </c>
      <c r="M37" s="1">
        <f>+E37-I37</f>
        <v>6.1869123555545413E-2</v>
      </c>
      <c r="N37" s="2">
        <v>117.9</v>
      </c>
      <c r="O37" s="2">
        <v>107.8</v>
      </c>
      <c r="P37" s="2">
        <f t="shared" si="0"/>
        <v>10.100000000000009</v>
      </c>
      <c r="Q37">
        <v>0.7</v>
      </c>
    </row>
    <row r="38" spans="1:17">
      <c r="A38" t="s">
        <v>60</v>
      </c>
      <c r="B38" t="s">
        <v>7</v>
      </c>
      <c r="C38">
        <v>23</v>
      </c>
      <c r="D38">
        <v>42</v>
      </c>
      <c r="E38" s="1">
        <f>+C38/(C38+D38)</f>
        <v>0.35384615384615387</v>
      </c>
      <c r="F38" s="2">
        <v>102.9</v>
      </c>
      <c r="G38" s="2">
        <v>109.6</v>
      </c>
      <c r="H38" s="2">
        <f>+F38-G38</f>
        <v>-6.6999999999999886</v>
      </c>
      <c r="I38" s="1">
        <f>+(F38^14)/((F38^14+G38^14))</f>
        <v>0.29253243315718996</v>
      </c>
      <c r="J38" s="2">
        <v>105.9</v>
      </c>
      <c r="K38" s="2">
        <v>112.8</v>
      </c>
      <c r="L38" s="2">
        <f>+J38-K38</f>
        <v>-6.8999999999999915</v>
      </c>
      <c r="M38" s="1">
        <f>+E38-I38</f>
        <v>6.1313720688963902E-2</v>
      </c>
      <c r="N38" s="2">
        <v>120.3</v>
      </c>
      <c r="O38" s="2">
        <v>110.6</v>
      </c>
      <c r="P38" s="2">
        <f t="shared" si="0"/>
        <v>9.7000000000000028</v>
      </c>
      <c r="Q38">
        <v>-2.1</v>
      </c>
    </row>
    <row r="39" spans="1:17">
      <c r="A39" t="s">
        <v>59</v>
      </c>
      <c r="B39" t="s">
        <v>56</v>
      </c>
      <c r="C39">
        <v>48</v>
      </c>
      <c r="D39">
        <v>34</v>
      </c>
      <c r="E39" s="1">
        <f>+C39/(C39+D39)</f>
        <v>0.58536585365853655</v>
      </c>
      <c r="F39" s="2">
        <v>115.1</v>
      </c>
      <c r="G39" s="2">
        <v>114.3</v>
      </c>
      <c r="H39" s="2">
        <f>+F39-G39</f>
        <v>0.79999999999999716</v>
      </c>
      <c r="I39" s="1">
        <f>+(F39^14)/((F39^14+G39^14))</f>
        <v>0.52439222902089777</v>
      </c>
      <c r="J39" s="2">
        <v>111.4</v>
      </c>
      <c r="K39" s="2">
        <v>110.4</v>
      </c>
      <c r="L39" s="2">
        <f>+J39-K39</f>
        <v>1</v>
      </c>
      <c r="M39" s="1">
        <f>+E39-I39</f>
        <v>6.0973624637638779E-2</v>
      </c>
      <c r="N39" s="2">
        <v>117.2</v>
      </c>
      <c r="O39" s="2">
        <v>98.5</v>
      </c>
      <c r="P39" s="2">
        <f t="shared" si="0"/>
        <v>18.700000000000003</v>
      </c>
      <c r="Q39">
        <v>1.2</v>
      </c>
    </row>
    <row r="40" spans="1:17">
      <c r="A40" t="s">
        <v>62</v>
      </c>
      <c r="B40" t="s">
        <v>25</v>
      </c>
      <c r="C40">
        <v>64</v>
      </c>
      <c r="D40">
        <v>18</v>
      </c>
      <c r="E40" s="1">
        <f>+C40/(C40+D40)</f>
        <v>0.78048780487804881</v>
      </c>
      <c r="F40" s="2">
        <v>114.8</v>
      </c>
      <c r="G40" s="2">
        <v>107.3</v>
      </c>
      <c r="H40" s="2">
        <f>+F40-G40</f>
        <v>7.5</v>
      </c>
      <c r="I40" s="1">
        <f>+(F40^14)/((F40^14+G40^14))</f>
        <v>0.72028579383295666</v>
      </c>
      <c r="J40" s="2">
        <v>114.2</v>
      </c>
      <c r="K40" s="2">
        <v>106.8</v>
      </c>
      <c r="L40" s="2">
        <f>+J40-K40</f>
        <v>7.4000000000000057</v>
      </c>
      <c r="M40" s="1">
        <f>+E40-I40</f>
        <v>6.0202011045092152E-2</v>
      </c>
      <c r="N40" s="2">
        <v>131.5</v>
      </c>
      <c r="O40" s="2">
        <v>98.1</v>
      </c>
      <c r="P40" s="2">
        <f t="shared" si="0"/>
        <v>33.400000000000006</v>
      </c>
      <c r="Q40">
        <v>2.7</v>
      </c>
    </row>
    <row r="41" spans="1:17">
      <c r="A41" t="s">
        <v>61</v>
      </c>
      <c r="B41" t="s">
        <v>23</v>
      </c>
      <c r="C41">
        <v>21</v>
      </c>
      <c r="D41">
        <v>51</v>
      </c>
      <c r="E41" s="1">
        <f>+C41/(C41+D41)</f>
        <v>0.29166666666666669</v>
      </c>
      <c r="F41" s="2">
        <v>104</v>
      </c>
      <c r="G41" s="2">
        <v>113.3</v>
      </c>
      <c r="H41" s="2">
        <f>+F41-G41</f>
        <v>-9.2999999999999972</v>
      </c>
      <c r="I41" s="1">
        <f>+(F41^14)/((F41^14+G41^14))</f>
        <v>0.23163967366224553</v>
      </c>
      <c r="J41" s="2">
        <v>104.6</v>
      </c>
      <c r="K41" s="2">
        <v>113.9</v>
      </c>
      <c r="L41" s="2">
        <f>+J41-K41</f>
        <v>-9.3000000000000114</v>
      </c>
      <c r="M41" s="1">
        <f>+E41-I41</f>
        <v>6.0026993004421159E-2</v>
      </c>
      <c r="N41" s="2">
        <v>106.5</v>
      </c>
      <c r="O41" s="2">
        <v>105.7</v>
      </c>
      <c r="P41" s="2">
        <f t="shared" si="0"/>
        <v>0.79999999999999716</v>
      </c>
      <c r="Q41">
        <v>-1.8</v>
      </c>
    </row>
    <row r="42" spans="1:17">
      <c r="A42" t="s">
        <v>44</v>
      </c>
      <c r="B42" t="s">
        <v>9</v>
      </c>
      <c r="C42">
        <v>45</v>
      </c>
      <c r="D42">
        <v>37</v>
      </c>
      <c r="E42" s="1">
        <f>+C42/(C42+D42)</f>
        <v>0.54878048780487809</v>
      </c>
      <c r="F42" s="2">
        <v>96.4</v>
      </c>
      <c r="G42" s="2">
        <v>96.7</v>
      </c>
      <c r="H42" s="2">
        <f>+F42-G42</f>
        <v>-0.29999999999999716</v>
      </c>
      <c r="I42" s="1">
        <f>+(F42^14)/((F42^14+G42^14))</f>
        <v>0.48912651167349064</v>
      </c>
      <c r="J42" s="2">
        <v>104.8</v>
      </c>
      <c r="K42" s="2">
        <v>105.4</v>
      </c>
      <c r="L42" s="2">
        <f>+J42-K42</f>
        <v>-0.60000000000000853</v>
      </c>
      <c r="M42" s="1">
        <f>+E42-I42</f>
        <v>5.9653976131387454E-2</v>
      </c>
      <c r="N42" s="2">
        <v>112.8</v>
      </c>
      <c r="O42" s="2">
        <v>90.9</v>
      </c>
      <c r="P42" s="2">
        <f t="shared" si="0"/>
        <v>21.899999999999991</v>
      </c>
      <c r="Q42">
        <v>1.9</v>
      </c>
    </row>
    <row r="43" spans="1:17">
      <c r="A43" t="s">
        <v>66</v>
      </c>
      <c r="B43" t="s">
        <v>19</v>
      </c>
      <c r="C43">
        <v>27</v>
      </c>
      <c r="D43">
        <v>35</v>
      </c>
      <c r="E43" s="1">
        <f>+C43/(C43+D43)</f>
        <v>0.43548387096774194</v>
      </c>
      <c r="F43" s="2">
        <v>111.4</v>
      </c>
      <c r="G43" s="2">
        <v>115.5</v>
      </c>
      <c r="H43" s="2">
        <f>+F43-G43</f>
        <v>-4.0999999999999943</v>
      </c>
      <c r="I43" s="1">
        <f>+(F43^14)/((F43^14+G43^14))</f>
        <v>0.37613055154918495</v>
      </c>
      <c r="J43" s="2">
        <v>112.7</v>
      </c>
      <c r="K43" s="2">
        <v>116.7</v>
      </c>
      <c r="L43" s="2">
        <f>+J43-K43</f>
        <v>-4</v>
      </c>
      <c r="M43" s="1">
        <f>+E43-I43</f>
        <v>5.9353319418556982E-2</v>
      </c>
      <c r="N43" s="2">
        <v>119.7</v>
      </c>
      <c r="O43" s="2">
        <v>111.6</v>
      </c>
      <c r="P43" s="2">
        <f t="shared" si="0"/>
        <v>8.1000000000000085</v>
      </c>
      <c r="Q43" s="2">
        <v>-0.3</v>
      </c>
    </row>
    <row r="44" spans="1:17">
      <c r="A44" t="s">
        <v>39</v>
      </c>
      <c r="B44" t="s">
        <v>33</v>
      </c>
      <c r="C44">
        <v>45</v>
      </c>
      <c r="D44">
        <v>37</v>
      </c>
      <c r="E44" s="1">
        <f>+C44/(C44+D44)</f>
        <v>0.54878048780487809</v>
      </c>
      <c r="F44" s="2">
        <v>100.5</v>
      </c>
      <c r="G44" s="2">
        <v>100.8</v>
      </c>
      <c r="H44" s="2">
        <f>+F44-G44</f>
        <v>-0.29999999999999716</v>
      </c>
      <c r="I44" s="1">
        <f>+(F44^14)/((F44^14+G44^14))</f>
        <v>0.48956931504516038</v>
      </c>
      <c r="J44" s="2">
        <v>105.4</v>
      </c>
      <c r="K44" s="2">
        <v>105.9</v>
      </c>
      <c r="L44" s="2">
        <f>+J44-K44</f>
        <v>-0.5</v>
      </c>
      <c r="M44" s="1">
        <f>+E44-I44</f>
        <v>5.9211172759717712E-2</v>
      </c>
      <c r="N44" s="2">
        <v>109.6</v>
      </c>
      <c r="O44" s="2">
        <v>109.9</v>
      </c>
      <c r="P44" s="2">
        <f t="shared" si="0"/>
        <v>-0.30000000000001137</v>
      </c>
      <c r="Q44">
        <v>-0.3</v>
      </c>
    </row>
    <row r="45" spans="1:17">
      <c r="A45" t="s">
        <v>38</v>
      </c>
      <c r="B45" t="s">
        <v>31</v>
      </c>
      <c r="C45">
        <v>42</v>
      </c>
      <c r="D45">
        <v>40</v>
      </c>
      <c r="E45" s="1">
        <f>+C45/(C45+D45)</f>
        <v>0.51219512195121952</v>
      </c>
      <c r="F45" s="2">
        <v>88.7</v>
      </c>
      <c r="G45" s="2">
        <v>89.9</v>
      </c>
      <c r="H45" s="2">
        <f>+F45-G45</f>
        <v>-1.2000000000000028</v>
      </c>
      <c r="I45" s="1">
        <f>+(F45^14)/((F45^14+G45^14))</f>
        <v>0.45310505226104381</v>
      </c>
      <c r="J45" s="2">
        <v>100</v>
      </c>
      <c r="K45" s="2">
        <v>101.3</v>
      </c>
      <c r="L45" s="2">
        <f>+J45-K45</f>
        <v>-1.2999999999999972</v>
      </c>
      <c r="M45" s="1">
        <f>+E45-I45</f>
        <v>5.9090069690175717E-2</v>
      </c>
      <c r="N45" s="2">
        <v>108.6</v>
      </c>
      <c r="O45" s="2">
        <v>97.3</v>
      </c>
      <c r="P45" s="2">
        <f t="shared" si="0"/>
        <v>11.299999999999997</v>
      </c>
      <c r="Q45">
        <v>0.3</v>
      </c>
    </row>
    <row r="46" spans="1:17">
      <c r="A46" t="s">
        <v>57</v>
      </c>
      <c r="B46" t="s">
        <v>23</v>
      </c>
      <c r="C46">
        <v>29</v>
      </c>
      <c r="D46">
        <v>53</v>
      </c>
      <c r="E46" s="1">
        <f>+C46/(C46+D46)</f>
        <v>0.35365853658536583</v>
      </c>
      <c r="F46" s="2">
        <v>101.1</v>
      </c>
      <c r="G46" s="2">
        <v>107.6</v>
      </c>
      <c r="H46" s="2">
        <f>+F46-G46</f>
        <v>-6.5</v>
      </c>
      <c r="I46" s="1">
        <f>+(F46^14)/((F46^14+G46^14))</f>
        <v>0.29476611175193784</v>
      </c>
      <c r="J46" s="2">
        <v>103.7</v>
      </c>
      <c r="K46" s="2">
        <v>110.3</v>
      </c>
      <c r="L46" s="2">
        <f>+J46-K46</f>
        <v>-6.5999999999999943</v>
      </c>
      <c r="M46" s="1">
        <f>+E46-I46</f>
        <v>5.8892424833427992E-2</v>
      </c>
      <c r="N46" s="2">
        <v>101.3</v>
      </c>
      <c r="O46" s="2">
        <v>114.2</v>
      </c>
      <c r="P46" s="2">
        <f t="shared" si="0"/>
        <v>-12.900000000000006</v>
      </c>
      <c r="Q46">
        <v>-1.8</v>
      </c>
    </row>
    <row r="47" spans="1:17">
      <c r="A47" t="s">
        <v>66</v>
      </c>
      <c r="B47" t="s">
        <v>26</v>
      </c>
      <c r="C47">
        <v>30</v>
      </c>
      <c r="D47">
        <v>34</v>
      </c>
      <c r="E47" s="1">
        <f>+C47/(C47+D47)</f>
        <v>0.46875</v>
      </c>
      <c r="F47" s="2">
        <v>115.1</v>
      </c>
      <c r="G47" s="2">
        <v>118.1</v>
      </c>
      <c r="H47" s="2">
        <f>+F47-G47</f>
        <v>-3</v>
      </c>
      <c r="I47" s="1">
        <f>+(F47^14)/((F47^14+G47^14))</f>
        <v>0.41090493030680209</v>
      </c>
      <c r="J47" s="2">
        <v>112.4</v>
      </c>
      <c r="K47" s="2">
        <v>115.5</v>
      </c>
      <c r="L47" s="2">
        <f>+J47-K47</f>
        <v>-3.0999999999999943</v>
      </c>
      <c r="M47" s="1">
        <f>+E47-I47</f>
        <v>5.7845069693197915E-2</v>
      </c>
      <c r="N47" s="2">
        <v>116.5</v>
      </c>
      <c r="O47" s="2">
        <v>120</v>
      </c>
      <c r="P47" s="2">
        <f t="shared" si="0"/>
        <v>-3.5</v>
      </c>
      <c r="Q47" s="2">
        <v>-1.2</v>
      </c>
    </row>
    <row r="48" spans="1:17">
      <c r="A48" t="s">
        <v>49</v>
      </c>
      <c r="B48" t="s">
        <v>9</v>
      </c>
      <c r="C48">
        <v>21</v>
      </c>
      <c r="D48">
        <v>45</v>
      </c>
      <c r="E48" s="1">
        <f>+C48/(C48+D48)</f>
        <v>0.31818181818181818</v>
      </c>
      <c r="F48" s="2">
        <v>93</v>
      </c>
      <c r="G48" s="2">
        <v>100.2</v>
      </c>
      <c r="H48" s="2">
        <f>+F48-G48</f>
        <v>-7.2000000000000028</v>
      </c>
      <c r="I48" s="1">
        <f>+(F48^14)/((F48^14+G48^14))</f>
        <v>0.2603862977504619</v>
      </c>
      <c r="J48" s="2">
        <v>100</v>
      </c>
      <c r="K48" s="2">
        <v>107.6</v>
      </c>
      <c r="L48" s="2">
        <f>+J48-K48</f>
        <v>-7.5999999999999943</v>
      </c>
      <c r="M48" s="1">
        <f>+E48-I48</f>
        <v>5.7795520431356273E-2</v>
      </c>
      <c r="N48" s="2">
        <v>103</v>
      </c>
      <c r="O48" s="2">
        <v>106</v>
      </c>
      <c r="P48" s="2">
        <f t="shared" si="0"/>
        <v>-3</v>
      </c>
      <c r="Q48">
        <v>0.3</v>
      </c>
    </row>
    <row r="49" spans="1:17">
      <c r="A49" t="s">
        <v>48</v>
      </c>
      <c r="B49" t="s">
        <v>40</v>
      </c>
      <c r="C49">
        <v>34</v>
      </c>
      <c r="D49">
        <v>48</v>
      </c>
      <c r="E49" s="1">
        <f>+C49/(C49+D49)</f>
        <v>0.41463414634146339</v>
      </c>
      <c r="F49" s="2">
        <v>93.3</v>
      </c>
      <c r="G49" s="2">
        <v>97.3</v>
      </c>
      <c r="H49" s="2">
        <f>+F49-G49</f>
        <v>-4</v>
      </c>
      <c r="I49" s="1">
        <f>+(F49^14)/((F49^14+G49^14))</f>
        <v>0.35716175877963002</v>
      </c>
      <c r="J49" s="2">
        <v>102.8</v>
      </c>
      <c r="K49" s="2">
        <v>107</v>
      </c>
      <c r="L49" s="2">
        <f>+J49-K49</f>
        <v>-4.2000000000000028</v>
      </c>
      <c r="M49" s="1">
        <f>+E49-I49</f>
        <v>5.7472387561833371E-2</v>
      </c>
      <c r="N49" s="2">
        <v>105.8</v>
      </c>
      <c r="O49" s="2">
        <v>98</v>
      </c>
      <c r="P49" s="2">
        <f t="shared" si="0"/>
        <v>7.7999999999999972</v>
      </c>
      <c r="Q49">
        <v>0</v>
      </c>
    </row>
    <row r="50" spans="1:17">
      <c r="A50" t="s">
        <v>54</v>
      </c>
      <c r="B50" t="s">
        <v>35</v>
      </c>
      <c r="C50">
        <v>55</v>
      </c>
      <c r="D50">
        <v>27</v>
      </c>
      <c r="E50" s="1">
        <f>+C50/(C50+D50)</f>
        <v>0.67073170731707321</v>
      </c>
      <c r="F50" s="2">
        <v>98.3</v>
      </c>
      <c r="G50" s="2">
        <v>95.1</v>
      </c>
      <c r="H50" s="2">
        <f>+F50-G50</f>
        <v>3.2000000000000028</v>
      </c>
      <c r="I50" s="1">
        <f>+(F50^14)/((F50^14+G50^14))</f>
        <v>0.61380403794976324</v>
      </c>
      <c r="J50" s="2">
        <v>104.8</v>
      </c>
      <c r="K50" s="2">
        <v>101.2</v>
      </c>
      <c r="L50" s="2">
        <f>+J50-K50</f>
        <v>3.5999999999999943</v>
      </c>
      <c r="M50" s="1">
        <f>+E50-I50</f>
        <v>5.6927669367309974E-2</v>
      </c>
      <c r="N50" s="2">
        <v>108.7</v>
      </c>
      <c r="O50" s="2">
        <v>95.2</v>
      </c>
      <c r="P50" s="2">
        <f t="shared" si="0"/>
        <v>13.5</v>
      </c>
      <c r="Q50">
        <v>0.3</v>
      </c>
    </row>
    <row r="51" spans="1:17">
      <c r="A51" t="s">
        <v>47</v>
      </c>
      <c r="B51" t="s">
        <v>8</v>
      </c>
      <c r="C51">
        <v>41</v>
      </c>
      <c r="D51">
        <v>41</v>
      </c>
      <c r="E51" s="1">
        <f>+C51/(C51+D51)</f>
        <v>0.5</v>
      </c>
      <c r="F51" s="2">
        <v>97.5</v>
      </c>
      <c r="G51" s="2">
        <v>99.1</v>
      </c>
      <c r="H51" s="2">
        <f>+F51-G51</f>
        <v>-1.5999999999999943</v>
      </c>
      <c r="I51" s="1">
        <f>+(F51^14)/((F51^14+G51^14))</f>
        <v>0.44327553553702231</v>
      </c>
      <c r="J51" s="2">
        <v>102.6</v>
      </c>
      <c r="K51" s="2">
        <v>104.2</v>
      </c>
      <c r="L51" s="2">
        <f>+J51-K51</f>
        <v>-1.6000000000000085</v>
      </c>
      <c r="M51" s="1">
        <f>+E51-I51</f>
        <v>5.6724464462977686E-2</v>
      </c>
      <c r="N51" s="2">
        <v>97.2</v>
      </c>
      <c r="O51" s="2">
        <v>98</v>
      </c>
      <c r="P51" s="2">
        <f t="shared" si="0"/>
        <v>-0.79999999999999716</v>
      </c>
      <c r="Q51">
        <v>-0.3</v>
      </c>
    </row>
    <row r="52" spans="1:17">
      <c r="A52" t="s">
        <v>60</v>
      </c>
      <c r="B52" t="s">
        <v>17</v>
      </c>
      <c r="C52">
        <v>52</v>
      </c>
      <c r="D52">
        <v>19</v>
      </c>
      <c r="E52" s="1">
        <f>+C52/(C52+D52)</f>
        <v>0.73239436619718312</v>
      </c>
      <c r="F52" s="2">
        <v>113.4</v>
      </c>
      <c r="G52" s="2">
        <v>107.6</v>
      </c>
      <c r="H52" s="2">
        <f>+F52-G52</f>
        <v>5.8000000000000114</v>
      </c>
      <c r="I52" s="1">
        <f>+(F52^14)/((F52^14+G52^14))</f>
        <v>0.6759038081055907</v>
      </c>
      <c r="J52" s="2">
        <v>111.7</v>
      </c>
      <c r="K52" s="2">
        <v>106.1</v>
      </c>
      <c r="L52" s="2">
        <f>+J52-K52</f>
        <v>5.6000000000000085</v>
      </c>
      <c r="M52" s="1">
        <f>+E52-I52</f>
        <v>5.6490558091592424E-2</v>
      </c>
      <c r="N52" s="2">
        <v>107.4</v>
      </c>
      <c r="O52" s="2">
        <v>101.7</v>
      </c>
      <c r="P52" s="2">
        <f t="shared" si="0"/>
        <v>5.7000000000000028</v>
      </c>
      <c r="Q52">
        <v>1.7</v>
      </c>
    </row>
    <row r="53" spans="1:17">
      <c r="A53" t="s">
        <v>34</v>
      </c>
      <c r="B53" t="s">
        <v>10</v>
      </c>
      <c r="C53">
        <v>57</v>
      </c>
      <c r="D53">
        <v>25</v>
      </c>
      <c r="E53" s="1">
        <f>+C53/(C53+D53)</f>
        <v>0.69512195121951215</v>
      </c>
      <c r="F53" s="2">
        <v>105.2</v>
      </c>
      <c r="G53" s="2">
        <v>101</v>
      </c>
      <c r="H53" s="2">
        <f>+F53-G53</f>
        <v>4.2000000000000028</v>
      </c>
      <c r="I53" s="1">
        <f>+(F53^14)/((F53^14+G53^14))</f>
        <v>0.63885522994426547</v>
      </c>
      <c r="J53" s="2">
        <v>110.3</v>
      </c>
      <c r="K53" s="2">
        <v>106</v>
      </c>
      <c r="L53" s="2">
        <f>+J53-K53</f>
        <v>4.2999999999999972</v>
      </c>
      <c r="M53" s="1">
        <f>+E53-I53</f>
        <v>5.6266721275246678E-2</v>
      </c>
      <c r="N53" s="2">
        <v>115.5</v>
      </c>
      <c r="O53" s="2">
        <v>107.2</v>
      </c>
      <c r="P53" s="2">
        <f t="shared" si="0"/>
        <v>8.2999999999999972</v>
      </c>
      <c r="Q53">
        <v>1.5</v>
      </c>
    </row>
    <row r="54" spans="1:17">
      <c r="A54" t="s">
        <v>61</v>
      </c>
      <c r="B54" t="s">
        <v>9</v>
      </c>
      <c r="C54">
        <v>22</v>
      </c>
      <c r="D54">
        <v>50</v>
      </c>
      <c r="E54" s="1">
        <f>+C54/(C54+D54)</f>
        <v>0.30555555555555558</v>
      </c>
      <c r="F54" s="2">
        <v>103.8</v>
      </c>
      <c r="G54" s="2">
        <v>112.3</v>
      </c>
      <c r="H54" s="2">
        <f>+F54-G54</f>
        <v>-8.5</v>
      </c>
      <c r="I54" s="1">
        <f>+(F54^14)/((F54^14+G54^14))</f>
        <v>0.24938210026428717</v>
      </c>
      <c r="J54" s="2">
        <v>105.2</v>
      </c>
      <c r="K54" s="2">
        <v>113.5</v>
      </c>
      <c r="L54" s="2">
        <f>+J54-K54</f>
        <v>-8.2999999999999972</v>
      </c>
      <c r="M54" s="1">
        <f>+E54-I54</f>
        <v>5.6173455291268409E-2</v>
      </c>
      <c r="N54" s="2">
        <v>99.1</v>
      </c>
      <c r="O54" s="2">
        <v>106.4</v>
      </c>
      <c r="P54" s="2">
        <f t="shared" si="0"/>
        <v>-7.3000000000000114</v>
      </c>
      <c r="Q54">
        <v>-1.5</v>
      </c>
    </row>
    <row r="55" spans="1:17">
      <c r="A55" t="s">
        <v>48</v>
      </c>
      <c r="B55" t="s">
        <v>28</v>
      </c>
      <c r="C55">
        <v>61</v>
      </c>
      <c r="D55">
        <v>21</v>
      </c>
      <c r="E55" s="1">
        <f>+C55/(C55+D55)</f>
        <v>0.74390243902439024</v>
      </c>
      <c r="F55" s="2">
        <v>103.7</v>
      </c>
      <c r="G55" s="2">
        <v>98</v>
      </c>
      <c r="H55" s="2">
        <f>+F55-G55</f>
        <v>5.7000000000000028</v>
      </c>
      <c r="I55" s="1">
        <f>+(F55^14)/((F55^14+G55^14))</f>
        <v>0.68815008100174779</v>
      </c>
      <c r="J55" s="2">
        <v>110.5</v>
      </c>
      <c r="K55" s="2">
        <v>104.4</v>
      </c>
      <c r="L55" s="2">
        <f>+J55-K55</f>
        <v>6.0999999999999943</v>
      </c>
      <c r="M55" s="1">
        <f>+E55-I55</f>
        <v>5.5752358022642445E-2</v>
      </c>
      <c r="N55" s="2">
        <v>100.7</v>
      </c>
      <c r="O55" s="2">
        <v>93.1</v>
      </c>
      <c r="P55" s="2">
        <f t="shared" si="0"/>
        <v>7.6000000000000085</v>
      </c>
      <c r="Q55">
        <v>0.9</v>
      </c>
    </row>
    <row r="56" spans="1:17">
      <c r="A56" t="s">
        <v>60</v>
      </c>
      <c r="B56" t="s">
        <v>15</v>
      </c>
      <c r="C56">
        <v>45</v>
      </c>
      <c r="D56">
        <v>28</v>
      </c>
      <c r="E56" s="1">
        <f>+C56/(C56+D56)</f>
        <v>0.61643835616438358</v>
      </c>
      <c r="F56" s="2">
        <v>109.4</v>
      </c>
      <c r="G56" s="2">
        <v>107.5</v>
      </c>
      <c r="H56" s="2">
        <f>+F56-G56</f>
        <v>1.9000000000000057</v>
      </c>
      <c r="I56" s="1">
        <f>+(F56^14)/((F56^14+G56^14))</f>
        <v>0.56101455538977274</v>
      </c>
      <c r="J56" s="2">
        <v>109.5</v>
      </c>
      <c r="K56" s="2">
        <v>107.5</v>
      </c>
      <c r="L56" s="2">
        <f>+J56-K56</f>
        <v>2</v>
      </c>
      <c r="M56" s="1">
        <f>+E56-I56</f>
        <v>5.5423800774610843E-2</v>
      </c>
      <c r="N56" s="2">
        <v>107</v>
      </c>
      <c r="O56" s="2">
        <v>97.2</v>
      </c>
      <c r="P56" s="2">
        <f t="shared" si="0"/>
        <v>9.7999999999999972</v>
      </c>
      <c r="Q56">
        <v>-0.8</v>
      </c>
    </row>
    <row r="57" spans="1:17">
      <c r="A57" t="s">
        <v>45</v>
      </c>
      <c r="B57" t="s">
        <v>17</v>
      </c>
      <c r="C57">
        <v>65</v>
      </c>
      <c r="D57">
        <v>17</v>
      </c>
      <c r="E57" s="1">
        <f>+C57/(C57+D57)</f>
        <v>0.79268292682926833</v>
      </c>
      <c r="F57" s="2">
        <v>106.9</v>
      </c>
      <c r="G57" s="2">
        <v>99.3</v>
      </c>
      <c r="H57" s="2">
        <f>+F57-G57</f>
        <v>7.6000000000000085</v>
      </c>
      <c r="I57" s="1">
        <f>+(F57^14)/((F57^14+G57^14))</f>
        <v>0.73739553340542874</v>
      </c>
      <c r="J57" s="2">
        <v>111.4</v>
      </c>
      <c r="K57" s="2">
        <v>103.5</v>
      </c>
      <c r="L57" s="2">
        <f>+J57-K57</f>
        <v>7.9000000000000057</v>
      </c>
      <c r="M57" s="1">
        <f>+E57-I57</f>
        <v>5.5287393423839593E-2</v>
      </c>
      <c r="N57" s="2">
        <v>122.7</v>
      </c>
      <c r="O57" s="2">
        <v>104.4</v>
      </c>
      <c r="P57" s="2">
        <f t="shared" si="0"/>
        <v>18.299999999999997</v>
      </c>
      <c r="Q57">
        <v>1.2</v>
      </c>
    </row>
    <row r="58" spans="1:17">
      <c r="A58" t="s">
        <v>52</v>
      </c>
      <c r="B58" t="s">
        <v>35</v>
      </c>
      <c r="C58">
        <v>50</v>
      </c>
      <c r="D58">
        <v>32</v>
      </c>
      <c r="E58" s="1">
        <f>+C58/(C58+D58)</f>
        <v>0.6097560975609756</v>
      </c>
      <c r="F58" s="2">
        <v>96.1</v>
      </c>
      <c r="G58" s="2">
        <v>94.6</v>
      </c>
      <c r="H58" s="2">
        <f>+F58-G58</f>
        <v>1.5</v>
      </c>
      <c r="I58" s="1">
        <f>+(F58^14)/((F58^14+G58^14))</f>
        <v>0.554839936539687</v>
      </c>
      <c r="J58" s="2">
        <v>105.5</v>
      </c>
      <c r="K58" s="2">
        <v>103.8</v>
      </c>
      <c r="L58" s="2">
        <f>+J58-K58</f>
        <v>1.7000000000000028</v>
      </c>
      <c r="M58" s="1">
        <f>+E58-I58</f>
        <v>5.4916161021288601E-2</v>
      </c>
      <c r="N58" s="2">
        <v>108.7</v>
      </c>
      <c r="O58" s="2">
        <v>82</v>
      </c>
      <c r="P58" s="2">
        <f t="shared" si="0"/>
        <v>26.700000000000003</v>
      </c>
      <c r="Q58">
        <v>1.1000000000000001</v>
      </c>
    </row>
    <row r="59" spans="1:17">
      <c r="A59" t="s">
        <v>34</v>
      </c>
      <c r="B59" t="s">
        <v>5</v>
      </c>
      <c r="C59">
        <v>33</v>
      </c>
      <c r="D59">
        <v>49</v>
      </c>
      <c r="E59" s="1">
        <f>+C59/(C59+D59)</f>
        <v>0.40243902439024393</v>
      </c>
      <c r="F59" s="2">
        <v>94</v>
      </c>
      <c r="G59" s="2">
        <v>98.3</v>
      </c>
      <c r="H59" s="2">
        <f>+F59-G59</f>
        <v>-4.2999999999999972</v>
      </c>
      <c r="I59" s="1">
        <f>+(F59^14)/((F59^14+G59^14))</f>
        <v>0.34837053448478683</v>
      </c>
      <c r="J59" s="2">
        <v>100.4</v>
      </c>
      <c r="K59" s="2">
        <v>104.8</v>
      </c>
      <c r="L59" s="2">
        <f>+J59-K59</f>
        <v>-4.3999999999999915</v>
      </c>
      <c r="M59" s="1">
        <f>+E59-I59</f>
        <v>5.4068489905457096E-2</v>
      </c>
      <c r="N59" s="2">
        <v>95.5</v>
      </c>
      <c r="O59" s="2">
        <v>100.6</v>
      </c>
      <c r="P59" s="2">
        <f t="shared" si="0"/>
        <v>-5.0999999999999943</v>
      </c>
      <c r="Q59">
        <v>-1.2</v>
      </c>
    </row>
    <row r="60" spans="1:17">
      <c r="A60" t="s">
        <v>39</v>
      </c>
      <c r="B60" t="s">
        <v>29</v>
      </c>
      <c r="C60">
        <v>52</v>
      </c>
      <c r="D60">
        <v>30</v>
      </c>
      <c r="E60" s="1">
        <f>+C60/(C60+D60)</f>
        <v>0.63414634146341464</v>
      </c>
      <c r="F60" s="2">
        <v>98.9</v>
      </c>
      <c r="G60" s="2">
        <v>96.6</v>
      </c>
      <c r="H60" s="2">
        <f>+F60-G60</f>
        <v>2.3000000000000114</v>
      </c>
      <c r="I60" s="1">
        <f>+(F60^14)/((F60^14+G60^14))</f>
        <v>0.58161994176434872</v>
      </c>
      <c r="J60" s="2">
        <v>110.3</v>
      </c>
      <c r="K60" s="2">
        <v>108</v>
      </c>
      <c r="L60" s="2">
        <f>+J60-K60</f>
        <v>2.2999999999999972</v>
      </c>
      <c r="M60" s="1">
        <f>+E60-I60</f>
        <v>5.2526399699065918E-2</v>
      </c>
      <c r="N60" s="2">
        <v>119.7</v>
      </c>
      <c r="O60" s="2">
        <v>105.3</v>
      </c>
      <c r="P60" s="2">
        <f t="shared" si="0"/>
        <v>14.400000000000006</v>
      </c>
      <c r="Q60">
        <v>1.5</v>
      </c>
    </row>
    <row r="61" spans="1:17">
      <c r="A61" t="s">
        <v>39</v>
      </c>
      <c r="B61" t="s">
        <v>24</v>
      </c>
      <c r="C61">
        <v>43</v>
      </c>
      <c r="D61">
        <v>39</v>
      </c>
      <c r="E61" s="1">
        <f>+C61/(C61+D61)</f>
        <v>0.52439024390243905</v>
      </c>
      <c r="F61" s="2">
        <v>99.1</v>
      </c>
      <c r="G61" s="2">
        <v>99.9</v>
      </c>
      <c r="H61" s="2">
        <f>+F61-G61</f>
        <v>-0.80000000000001137</v>
      </c>
      <c r="I61" s="1">
        <f>+(F61^14)/((F61^14+G61^14))</f>
        <v>0.47188882056574427</v>
      </c>
      <c r="J61" s="2">
        <v>101.8</v>
      </c>
      <c r="K61" s="2">
        <v>102.5</v>
      </c>
      <c r="L61" s="2">
        <f>+J61-K61</f>
        <v>-0.70000000000000284</v>
      </c>
      <c r="M61" s="1">
        <f>+E61-I61</f>
        <v>5.2501423336694775E-2</v>
      </c>
      <c r="N61" s="2">
        <v>95.8</v>
      </c>
      <c r="O61" s="2">
        <v>94.9</v>
      </c>
      <c r="P61" s="2">
        <f t="shared" si="0"/>
        <v>0.89999999999999147</v>
      </c>
      <c r="Q61">
        <v>-0.7</v>
      </c>
    </row>
    <row r="62" spans="1:17">
      <c r="A62" t="s">
        <v>61</v>
      </c>
      <c r="B62" t="s">
        <v>18</v>
      </c>
      <c r="C62">
        <v>40</v>
      </c>
      <c r="D62">
        <v>32</v>
      </c>
      <c r="E62" s="1">
        <f>+C62/(C62+D62)</f>
        <v>0.55555555555555558</v>
      </c>
      <c r="F62" s="2">
        <v>108.1</v>
      </c>
      <c r="G62" s="2">
        <v>108</v>
      </c>
      <c r="H62" s="2">
        <f>+F62-G62</f>
        <v>9.9999999999994316E-2</v>
      </c>
      <c r="I62" s="1">
        <f>+(F62^14)/((F62^14+G62^14))</f>
        <v>0.50323919600627853</v>
      </c>
      <c r="J62" s="2">
        <v>110.6</v>
      </c>
      <c r="K62" s="2">
        <v>110.7</v>
      </c>
      <c r="L62" s="2">
        <f>+J62-K62</f>
        <v>-0.10000000000000853</v>
      </c>
      <c r="M62" s="1">
        <f>+E62-I62</f>
        <v>5.2316359549277047E-2</v>
      </c>
      <c r="N62" s="2">
        <v>95.1</v>
      </c>
      <c r="O62" s="2">
        <v>102.1</v>
      </c>
      <c r="P62" s="2">
        <f t="shared" si="0"/>
        <v>-7</v>
      </c>
      <c r="Q62">
        <v>-1.1000000000000001</v>
      </c>
    </row>
    <row r="63" spans="1:17">
      <c r="A63" t="s">
        <v>58</v>
      </c>
      <c r="B63" t="s">
        <v>27</v>
      </c>
      <c r="C63">
        <v>27</v>
      </c>
      <c r="D63">
        <v>55</v>
      </c>
      <c r="E63" s="1">
        <f>+C63/(C63+D63)</f>
        <v>0.32926829268292684</v>
      </c>
      <c r="F63" s="2">
        <v>98.8</v>
      </c>
      <c r="G63" s="2">
        <v>105.8</v>
      </c>
      <c r="H63" s="2">
        <f>+F63-G63</f>
        <v>-7</v>
      </c>
      <c r="I63" s="1">
        <f>+(F63^14)/((F63^14+G63^14))</f>
        <v>0.27721051622974674</v>
      </c>
      <c r="J63" s="2">
        <v>103.1</v>
      </c>
      <c r="K63" s="2">
        <v>110.4</v>
      </c>
      <c r="L63" s="2">
        <f>+J63-K63</f>
        <v>-7.3000000000000114</v>
      </c>
      <c r="M63" s="1">
        <f>+E63-I63</f>
        <v>5.2057776453180105E-2</v>
      </c>
      <c r="N63" s="2">
        <v>105.8</v>
      </c>
      <c r="O63" s="2">
        <v>103.2</v>
      </c>
      <c r="P63" s="2">
        <f t="shared" si="0"/>
        <v>2.5999999999999943</v>
      </c>
      <c r="Q63">
        <v>-0.9</v>
      </c>
    </row>
    <row r="64" spans="1:17">
      <c r="A64" t="s">
        <v>36</v>
      </c>
      <c r="B64" t="s">
        <v>5</v>
      </c>
      <c r="C64">
        <v>35</v>
      </c>
      <c r="D64">
        <v>47</v>
      </c>
      <c r="E64" s="1">
        <f>+C64/(C64+D64)</f>
        <v>0.42682926829268292</v>
      </c>
      <c r="F64" s="2">
        <v>94.1</v>
      </c>
      <c r="G64" s="2">
        <v>97.6</v>
      </c>
      <c r="H64" s="2">
        <f>+F64-G64</f>
        <v>-3.5</v>
      </c>
      <c r="I64" s="1">
        <f>+(F64^14)/((F64^14+G64^14))</f>
        <v>0.37489532651227531</v>
      </c>
      <c r="J64" s="2">
        <v>100.4</v>
      </c>
      <c r="K64" s="2">
        <v>104.2</v>
      </c>
      <c r="L64" s="2">
        <f>+J64-K64</f>
        <v>-3.7999999999999972</v>
      </c>
      <c r="M64" s="1">
        <f>+E64-I64</f>
        <v>5.1933941780407611E-2</v>
      </c>
      <c r="N64" s="2">
        <v>102</v>
      </c>
      <c r="O64" s="2">
        <v>97.1</v>
      </c>
      <c r="P64" s="2">
        <f t="shared" si="0"/>
        <v>4.9000000000000057</v>
      </c>
      <c r="Q64">
        <v>-2</v>
      </c>
    </row>
    <row r="65" spans="1:17">
      <c r="A65" t="s">
        <v>41</v>
      </c>
      <c r="B65" t="s">
        <v>12</v>
      </c>
      <c r="C65">
        <v>64</v>
      </c>
      <c r="D65">
        <v>18</v>
      </c>
      <c r="E65" s="1">
        <f>+C65/(C65+D65)</f>
        <v>0.78048780487804881</v>
      </c>
      <c r="F65" s="2">
        <v>96.8</v>
      </c>
      <c r="G65" s="2">
        <v>90.2</v>
      </c>
      <c r="H65" s="2">
        <f>+F65-G65</f>
        <v>6.5999999999999943</v>
      </c>
      <c r="I65" s="1">
        <f>+(F65^14)/((F65^14+G65^14))</f>
        <v>0.72882038739462951</v>
      </c>
      <c r="J65" s="2">
        <v>109.3</v>
      </c>
      <c r="K65" s="2">
        <v>101.7</v>
      </c>
      <c r="L65" s="2">
        <f>+J65-K65</f>
        <v>7.5999999999999943</v>
      </c>
      <c r="M65" s="1">
        <f>+E65-I65</f>
        <v>5.1667417483419298E-2</v>
      </c>
      <c r="N65" s="2">
        <v>111.5</v>
      </c>
      <c r="O65" s="2">
        <v>100.3</v>
      </c>
      <c r="P65" s="2">
        <f t="shared" si="0"/>
        <v>11.200000000000003</v>
      </c>
      <c r="Q65">
        <v>0.2</v>
      </c>
    </row>
    <row r="66" spans="1:17">
      <c r="A66" t="s">
        <v>36</v>
      </c>
      <c r="B66" t="s">
        <v>6</v>
      </c>
      <c r="C66">
        <v>44</v>
      </c>
      <c r="D66">
        <v>38</v>
      </c>
      <c r="E66" s="1">
        <f>+C66/(C66+D66)</f>
        <v>0.53658536585365857</v>
      </c>
      <c r="F66" s="2">
        <v>92.7</v>
      </c>
      <c r="G66" s="2">
        <v>93.1</v>
      </c>
      <c r="H66" s="2">
        <f>+F66-G66</f>
        <v>-0.39999999999999147</v>
      </c>
      <c r="I66" s="1">
        <f>+(F66^14)/((F66^14+G66^14))</f>
        <v>0.48493457063949058</v>
      </c>
      <c r="J66" s="2">
        <v>100</v>
      </c>
      <c r="K66" s="2">
        <v>100.5</v>
      </c>
      <c r="L66" s="2">
        <f>+J66-K66</f>
        <v>-0.5</v>
      </c>
      <c r="M66" s="1">
        <f>+E66-I66</f>
        <v>5.1650795214167988E-2</v>
      </c>
      <c r="N66" s="2">
        <v>93.4</v>
      </c>
      <c r="O66" s="2">
        <v>90.4</v>
      </c>
      <c r="P66" s="2">
        <f t="shared" si="0"/>
        <v>3</v>
      </c>
      <c r="Q66">
        <v>0</v>
      </c>
    </row>
    <row r="67" spans="1:17">
      <c r="A67" t="s">
        <v>49</v>
      </c>
      <c r="B67" t="s">
        <v>12</v>
      </c>
      <c r="C67">
        <v>25</v>
      </c>
      <c r="D67">
        <v>41</v>
      </c>
      <c r="E67" s="1">
        <f>+C67/(C67+D67)</f>
        <v>0.37878787878787878</v>
      </c>
      <c r="F67" s="2">
        <v>90.9</v>
      </c>
      <c r="G67" s="2">
        <v>95.7</v>
      </c>
      <c r="H67" s="2">
        <f>+F67-G67</f>
        <v>-4.7999999999999972</v>
      </c>
      <c r="I67" s="1">
        <f>+(F67^14)/((F67^14+G67^14))</f>
        <v>0.32730134783785092</v>
      </c>
      <c r="J67" s="2">
        <v>100</v>
      </c>
      <c r="K67" s="2">
        <v>105</v>
      </c>
      <c r="L67" s="2">
        <f>+J67-K67</f>
        <v>-5</v>
      </c>
      <c r="M67" s="1">
        <f>+E67-I67</f>
        <v>5.1486530950027865E-2</v>
      </c>
      <c r="N67" s="2">
        <v>95.9</v>
      </c>
      <c r="O67" s="2">
        <v>104.7</v>
      </c>
      <c r="P67" s="2">
        <f t="shared" si="0"/>
        <v>-8.7999999999999972</v>
      </c>
      <c r="Q67">
        <v>-2.2999999999999998</v>
      </c>
    </row>
    <row r="68" spans="1:17">
      <c r="A68" t="s">
        <v>57</v>
      </c>
      <c r="B68" t="s">
        <v>5</v>
      </c>
      <c r="C68">
        <v>43</v>
      </c>
      <c r="D68">
        <v>39</v>
      </c>
      <c r="E68" s="1">
        <f>+C68/(C68+D68)</f>
        <v>0.52439024390243905</v>
      </c>
      <c r="F68" s="2">
        <v>103.2</v>
      </c>
      <c r="G68" s="2">
        <v>104</v>
      </c>
      <c r="H68" s="2">
        <f>+F68-G68</f>
        <v>-0.79999999999999716</v>
      </c>
      <c r="I68" s="1">
        <f>+(F68^14)/((F68^14+G68^14))</f>
        <v>0.47299913122451137</v>
      </c>
      <c r="J68" s="2">
        <v>104.5</v>
      </c>
      <c r="K68" s="2">
        <v>105.2</v>
      </c>
      <c r="L68" s="2">
        <f>+J68-K68</f>
        <v>-0.70000000000000284</v>
      </c>
      <c r="M68" s="1">
        <f>+E68-I68</f>
        <v>5.1391112677927675E-2</v>
      </c>
      <c r="N68" s="2">
        <v>109.8</v>
      </c>
      <c r="O68" s="2">
        <v>95.7</v>
      </c>
      <c r="P68" s="2">
        <f t="shared" si="0"/>
        <v>14.099999999999994</v>
      </c>
      <c r="Q68">
        <v>0.6</v>
      </c>
    </row>
    <row r="69" spans="1:17">
      <c r="A69" t="s">
        <v>50</v>
      </c>
      <c r="B69" t="s">
        <v>18</v>
      </c>
      <c r="C69">
        <v>66</v>
      </c>
      <c r="D69">
        <v>16</v>
      </c>
      <c r="E69" s="1">
        <f>+C69/(C69+D69)</f>
        <v>0.80487804878048785</v>
      </c>
      <c r="F69" s="2">
        <v>102.9</v>
      </c>
      <c r="G69" s="2">
        <v>95</v>
      </c>
      <c r="H69" s="2">
        <f>+F69-G69</f>
        <v>7.9000000000000057</v>
      </c>
      <c r="I69" s="1">
        <f>+(F69^14)/((F69^14+G69^14))</f>
        <v>0.75367891326640968</v>
      </c>
      <c r="J69" s="2">
        <v>111.4</v>
      </c>
      <c r="K69" s="2">
        <v>103.2</v>
      </c>
      <c r="L69" s="2">
        <f>+J69-K69</f>
        <v>8.2000000000000028</v>
      </c>
      <c r="M69" s="1">
        <f>+E69-I69</f>
        <v>5.1199135514078176E-2</v>
      </c>
      <c r="N69" s="2">
        <v>117.7</v>
      </c>
      <c r="O69" s="2">
        <v>84.5</v>
      </c>
      <c r="P69" s="2">
        <f t="shared" si="0"/>
        <v>33.200000000000003</v>
      </c>
      <c r="Q69">
        <v>2.1</v>
      </c>
    </row>
    <row r="70" spans="1:17">
      <c r="A70" t="s">
        <v>54</v>
      </c>
      <c r="B70" t="s">
        <v>5</v>
      </c>
      <c r="C70">
        <v>60</v>
      </c>
      <c r="D70">
        <v>22</v>
      </c>
      <c r="E70" s="1">
        <f>+C70/(C70+D70)</f>
        <v>0.73170731707317072</v>
      </c>
      <c r="F70" s="2">
        <v>102.5</v>
      </c>
      <c r="G70" s="2">
        <v>97.1</v>
      </c>
      <c r="H70" s="2">
        <f>+F70-G70</f>
        <v>5.4000000000000057</v>
      </c>
      <c r="I70" s="1">
        <f>+(F70^14)/((F70^14+G70^14))</f>
        <v>0.68085415464788723</v>
      </c>
      <c r="J70" s="2">
        <v>108.2</v>
      </c>
      <c r="K70" s="2">
        <v>102.3</v>
      </c>
      <c r="L70" s="2">
        <f>+J70-K70</f>
        <v>5.9000000000000057</v>
      </c>
      <c r="M70" s="1">
        <f>+E70-I70</f>
        <v>5.0853162425283482E-2</v>
      </c>
      <c r="N70" s="2">
        <v>112.1</v>
      </c>
      <c r="O70" s="2">
        <v>91.3</v>
      </c>
      <c r="P70" s="2">
        <f t="shared" si="0"/>
        <v>20.799999999999997</v>
      </c>
      <c r="Q70">
        <v>1.2</v>
      </c>
    </row>
    <row r="71" spans="1:17">
      <c r="A71" t="s">
        <v>58</v>
      </c>
      <c r="B71" t="s">
        <v>6</v>
      </c>
      <c r="C71">
        <v>55</v>
      </c>
      <c r="D71">
        <v>27</v>
      </c>
      <c r="E71" s="1">
        <f>+C71/(C71+D71)</f>
        <v>0.67073170731707321</v>
      </c>
      <c r="F71" s="2">
        <v>104</v>
      </c>
      <c r="G71" s="2">
        <v>100.4</v>
      </c>
      <c r="H71" s="2">
        <f>+F71-G71</f>
        <v>3.5999999999999943</v>
      </c>
      <c r="I71" s="1">
        <f>+(F71^14)/((F71^14+G71^14))</f>
        <v>0.62086037726466381</v>
      </c>
      <c r="J71" s="2">
        <v>106.8</v>
      </c>
      <c r="K71" s="2">
        <v>103.2</v>
      </c>
      <c r="L71" s="2">
        <f>+J71-K71</f>
        <v>3.5999999999999943</v>
      </c>
      <c r="M71" s="1">
        <f>+E71-I71</f>
        <v>4.9871330052409402E-2</v>
      </c>
      <c r="N71" s="2">
        <v>109.6</v>
      </c>
      <c r="O71" s="2">
        <v>108.6</v>
      </c>
      <c r="P71" s="2">
        <f t="shared" si="0"/>
        <v>1</v>
      </c>
      <c r="Q71">
        <v>0.8</v>
      </c>
    </row>
    <row r="72" spans="1:17">
      <c r="A72" t="s">
        <v>38</v>
      </c>
      <c r="B72" t="s">
        <v>26</v>
      </c>
      <c r="C72">
        <v>41</v>
      </c>
      <c r="D72">
        <v>41</v>
      </c>
      <c r="E72" s="1">
        <f>+C72/(C72+D72)</f>
        <v>0.5</v>
      </c>
      <c r="F72" s="2">
        <v>90.7</v>
      </c>
      <c r="G72" s="2">
        <v>92</v>
      </c>
      <c r="H72" s="2">
        <f>+F72-G72</f>
        <v>-1.2999999999999972</v>
      </c>
      <c r="I72" s="1">
        <f>+(F72^14)/((F72^14+G72^14))</f>
        <v>0.45035484545137711</v>
      </c>
      <c r="J72" s="2">
        <v>102.1</v>
      </c>
      <c r="K72" s="2">
        <v>103.5</v>
      </c>
      <c r="L72" s="2">
        <f>+J72-K72</f>
        <v>-1.4000000000000057</v>
      </c>
      <c r="M72" s="1">
        <f>+E72-I72</f>
        <v>4.9645154548622894E-2</v>
      </c>
      <c r="N72" s="2">
        <v>101.4</v>
      </c>
      <c r="O72" s="2">
        <v>98.8</v>
      </c>
      <c r="P72" s="2">
        <f t="shared" si="0"/>
        <v>2.6000000000000085</v>
      </c>
      <c r="Q72">
        <v>-1.1000000000000001</v>
      </c>
    </row>
    <row r="73" spans="1:17">
      <c r="A73" t="s">
        <v>48</v>
      </c>
      <c r="B73" t="s">
        <v>10</v>
      </c>
      <c r="C73">
        <v>57</v>
      </c>
      <c r="D73">
        <v>25</v>
      </c>
      <c r="E73" s="1">
        <f>+C73/(C73+D73)</f>
        <v>0.69512195121951215</v>
      </c>
      <c r="F73" s="2">
        <v>100.2</v>
      </c>
      <c r="G73" s="2">
        <v>96</v>
      </c>
      <c r="H73" s="2">
        <f>+F73-G73</f>
        <v>4.2000000000000028</v>
      </c>
      <c r="I73" s="1">
        <f>+(F73^14)/((F73^14+G73^14))</f>
        <v>0.64553732038759359</v>
      </c>
      <c r="J73" s="2">
        <v>108.4</v>
      </c>
      <c r="K73" s="2">
        <v>104.1</v>
      </c>
      <c r="L73" s="2">
        <f>+J73-K73</f>
        <v>4.3000000000000114</v>
      </c>
      <c r="M73" s="1">
        <f>+E73-I73</f>
        <v>4.9584630831918552E-2</v>
      </c>
      <c r="N73" s="2">
        <v>118.3</v>
      </c>
      <c r="O73" s="2">
        <v>88.8</v>
      </c>
      <c r="P73" s="2">
        <f t="shared" si="0"/>
        <v>29.5</v>
      </c>
      <c r="Q73">
        <v>1.5</v>
      </c>
    </row>
    <row r="74" spans="1:17">
      <c r="A74" t="s">
        <v>66</v>
      </c>
      <c r="B74" t="s">
        <v>24</v>
      </c>
      <c r="C74">
        <v>34</v>
      </c>
      <c r="D74">
        <v>29</v>
      </c>
      <c r="E74" s="1">
        <f>+C74/(C74+D74)</f>
        <v>0.53968253968253965</v>
      </c>
      <c r="F74" s="2">
        <v>115.8</v>
      </c>
      <c r="G74" s="2">
        <v>116.1</v>
      </c>
      <c r="H74" s="2">
        <f>+F74-G74</f>
        <v>-0.29999999999999716</v>
      </c>
      <c r="I74" s="1">
        <f>+(F74^14)/((F74^14+G74^14))</f>
        <v>0.49094535752934715</v>
      </c>
      <c r="J74" s="2">
        <v>114.3</v>
      </c>
      <c r="K74" s="2">
        <v>114.6</v>
      </c>
      <c r="L74" s="2">
        <f>+J74-K74</f>
        <v>-0.29999999999999716</v>
      </c>
      <c r="M74" s="1">
        <f>+E74-I74</f>
        <v>4.8737182153192504E-2</v>
      </c>
      <c r="N74" s="2">
        <v>120.5</v>
      </c>
      <c r="O74" s="2">
        <v>99.7</v>
      </c>
      <c r="P74" s="2">
        <f t="shared" ref="P74:P137" si="1">+N74-O74</f>
        <v>20.799999999999997</v>
      </c>
      <c r="Q74" s="2">
        <v>1.3</v>
      </c>
    </row>
    <row r="75" spans="1:17">
      <c r="A75" t="s">
        <v>47</v>
      </c>
      <c r="B75" t="s">
        <v>30</v>
      </c>
      <c r="C75">
        <v>40</v>
      </c>
      <c r="D75">
        <v>42</v>
      </c>
      <c r="E75" s="1">
        <f>+C75/(C75+D75)</f>
        <v>0.48780487804878048</v>
      </c>
      <c r="F75" s="2">
        <v>104.1</v>
      </c>
      <c r="G75" s="2">
        <v>105.9</v>
      </c>
      <c r="H75" s="2">
        <f>+F75-G75</f>
        <v>-1.8000000000000114</v>
      </c>
      <c r="I75" s="1">
        <f>+(F75^14)/((F75^14+G75^14))</f>
        <v>0.44028490223940814</v>
      </c>
      <c r="J75" s="2">
        <v>110.2</v>
      </c>
      <c r="K75" s="2">
        <v>112.2</v>
      </c>
      <c r="L75" s="2">
        <f>+J75-K75</f>
        <v>-2</v>
      </c>
      <c r="M75" s="1">
        <f>+E75-I75</f>
        <v>4.7519975809372339E-2</v>
      </c>
      <c r="N75" s="2">
        <v>114.5</v>
      </c>
      <c r="O75" s="2">
        <v>101.9</v>
      </c>
      <c r="P75" s="2">
        <f t="shared" si="1"/>
        <v>12.599999999999994</v>
      </c>
      <c r="Q75">
        <v>-0.5</v>
      </c>
    </row>
    <row r="76" spans="1:17">
      <c r="A76" t="s">
        <v>60</v>
      </c>
      <c r="B76" t="s">
        <v>46</v>
      </c>
      <c r="C76">
        <v>44</v>
      </c>
      <c r="D76">
        <v>28</v>
      </c>
      <c r="E76" s="1">
        <f>+C76/(C76+D76)</f>
        <v>0.61111111111111116</v>
      </c>
      <c r="F76" s="2">
        <v>110.4</v>
      </c>
      <c r="G76" s="2">
        <v>108.4</v>
      </c>
      <c r="H76" s="2">
        <f>+F76-G76</f>
        <v>2</v>
      </c>
      <c r="I76" s="1">
        <f>+(F76^14)/((F76^14+G76^14))</f>
        <v>0.56364011525876911</v>
      </c>
      <c r="J76" s="2">
        <v>110.1</v>
      </c>
      <c r="K76" s="2">
        <v>108.1</v>
      </c>
      <c r="L76" s="2">
        <f>+J76-K76</f>
        <v>2</v>
      </c>
      <c r="M76" s="1">
        <f>+E76-I76</f>
        <v>4.7470995852342046E-2</v>
      </c>
      <c r="N76" s="2">
        <v>120.9</v>
      </c>
      <c r="O76" s="2">
        <v>94.4</v>
      </c>
      <c r="P76" s="2">
        <f t="shared" si="1"/>
        <v>26.5</v>
      </c>
      <c r="Q76">
        <v>2.2000000000000002</v>
      </c>
    </row>
    <row r="77" spans="1:17">
      <c r="A77" t="s">
        <v>49</v>
      </c>
      <c r="B77" t="s">
        <v>35</v>
      </c>
      <c r="C77">
        <v>41</v>
      </c>
      <c r="D77">
        <v>25</v>
      </c>
      <c r="E77" s="1">
        <f>+C77/(C77+D77)</f>
        <v>0.62121212121212122</v>
      </c>
      <c r="F77" s="2">
        <v>95</v>
      </c>
      <c r="G77" s="2">
        <v>93</v>
      </c>
      <c r="H77" s="2">
        <f>+F77-G77</f>
        <v>2</v>
      </c>
      <c r="I77" s="1">
        <f>+(F77^14)/((F77^14+G77^14))</f>
        <v>0.57392505859345744</v>
      </c>
      <c r="J77" s="2">
        <v>102.8</v>
      </c>
      <c r="K77" s="2">
        <v>100.6</v>
      </c>
      <c r="L77" s="2">
        <f>+J77-K77</f>
        <v>2.2000000000000028</v>
      </c>
      <c r="M77" s="1">
        <f>+E77-I77</f>
        <v>4.7287062618663778E-2</v>
      </c>
      <c r="N77" s="2">
        <v>106.8</v>
      </c>
      <c r="O77" s="2">
        <v>93.8</v>
      </c>
      <c r="P77" s="2">
        <f t="shared" si="1"/>
        <v>13</v>
      </c>
      <c r="Q77">
        <v>0.3</v>
      </c>
    </row>
    <row r="78" spans="1:17">
      <c r="A78" t="s">
        <v>58</v>
      </c>
      <c r="B78" t="s">
        <v>8</v>
      </c>
      <c r="C78">
        <v>27</v>
      </c>
      <c r="D78">
        <v>55</v>
      </c>
      <c r="E78" s="1">
        <f>+C78/(C78+D78)</f>
        <v>0.32926829268292684</v>
      </c>
      <c r="F78" s="2">
        <v>102.9</v>
      </c>
      <c r="G78" s="2">
        <v>110</v>
      </c>
      <c r="H78" s="2">
        <f>+F78-G78</f>
        <v>-7.0999999999999943</v>
      </c>
      <c r="I78" s="1">
        <f>+(F78^14)/((F78^14+G78^14))</f>
        <v>0.28208998434784138</v>
      </c>
      <c r="J78" s="2">
        <v>103.4</v>
      </c>
      <c r="K78" s="2">
        <v>110.5</v>
      </c>
      <c r="L78" s="2">
        <f>+J78-K78</f>
        <v>-7.0999999999999943</v>
      </c>
      <c r="M78" s="1">
        <f>+E78-I78</f>
        <v>4.7178308335085462E-2</v>
      </c>
      <c r="N78" s="2">
        <v>98.4</v>
      </c>
      <c r="O78" s="2">
        <v>99.7</v>
      </c>
      <c r="P78" s="2">
        <f t="shared" si="1"/>
        <v>-1.2999999999999972</v>
      </c>
      <c r="Q78">
        <v>-0.5</v>
      </c>
    </row>
    <row r="79" spans="1:17">
      <c r="A79" t="s">
        <v>57</v>
      </c>
      <c r="B79" t="s">
        <v>46</v>
      </c>
      <c r="C79">
        <v>47</v>
      </c>
      <c r="D79">
        <v>35</v>
      </c>
      <c r="E79" s="1">
        <f>+C79/(C79+D79)</f>
        <v>0.57317073170731703</v>
      </c>
      <c r="F79" s="2">
        <v>106.6</v>
      </c>
      <c r="G79" s="2">
        <v>105.8</v>
      </c>
      <c r="H79" s="2">
        <f>+F79-G79</f>
        <v>0.79999999999999716</v>
      </c>
      <c r="I79" s="1">
        <f>+(F79^14)/((F79^14+G79^14))</f>
        <v>0.52634106336275344</v>
      </c>
      <c r="J79" s="2">
        <v>107.9</v>
      </c>
      <c r="K79" s="2">
        <v>107.1</v>
      </c>
      <c r="L79" s="2">
        <f>+J79-K79</f>
        <v>0.80000000000001137</v>
      </c>
      <c r="M79" s="1">
        <f>+E79-I79</f>
        <v>4.6829668344563591E-2</v>
      </c>
      <c r="N79" s="2">
        <v>115.5</v>
      </c>
      <c r="O79" s="2">
        <v>92.6</v>
      </c>
      <c r="P79" s="2">
        <f t="shared" si="1"/>
        <v>22.900000000000006</v>
      </c>
      <c r="Q79">
        <v>0.9</v>
      </c>
    </row>
    <row r="80" spans="1:17">
      <c r="A80" t="s">
        <v>36</v>
      </c>
      <c r="B80" t="s">
        <v>20</v>
      </c>
      <c r="C80">
        <v>51</v>
      </c>
      <c r="D80">
        <v>31</v>
      </c>
      <c r="E80" s="1">
        <f>+C80/(C80+D80)</f>
        <v>0.62195121951219512</v>
      </c>
      <c r="F80" s="2">
        <v>98.1</v>
      </c>
      <c r="G80" s="2">
        <v>96</v>
      </c>
      <c r="H80" s="2">
        <f>+F80-G80</f>
        <v>2.0999999999999943</v>
      </c>
      <c r="I80" s="1">
        <f>+(F80^14)/((F80^14+G80^14))</f>
        <v>0.57516313158502963</v>
      </c>
      <c r="J80" s="2">
        <v>104.8</v>
      </c>
      <c r="K80" s="2">
        <v>102.5</v>
      </c>
      <c r="L80" s="2">
        <f>+J80-K80</f>
        <v>2.2999999999999972</v>
      </c>
      <c r="M80" s="1">
        <f>+E80-I80</f>
        <v>4.6788087927165489E-2</v>
      </c>
      <c r="N80" s="2">
        <v>107.7</v>
      </c>
      <c r="O80" s="2">
        <v>93.4</v>
      </c>
      <c r="P80" s="2">
        <f t="shared" si="1"/>
        <v>14.299999999999997</v>
      </c>
      <c r="Q80">
        <v>0.1</v>
      </c>
    </row>
    <row r="81" spans="1:17">
      <c r="A81" t="s">
        <v>50</v>
      </c>
      <c r="B81" t="s">
        <v>40</v>
      </c>
      <c r="C81">
        <v>21</v>
      </c>
      <c r="D81">
        <v>61</v>
      </c>
      <c r="E81" s="1">
        <f>+C81/(C81+D81)</f>
        <v>0.25609756097560976</v>
      </c>
      <c r="F81" s="2">
        <v>93.4</v>
      </c>
      <c r="G81" s="2">
        <v>102.7</v>
      </c>
      <c r="H81" s="2">
        <f>+F81-G81</f>
        <v>-9.2999999999999972</v>
      </c>
      <c r="I81" s="1">
        <f>+(F81^14)/((F81^14+G81^14))</f>
        <v>0.20934289845958631</v>
      </c>
      <c r="J81" s="2">
        <v>100.4</v>
      </c>
      <c r="K81" s="2">
        <v>110.3</v>
      </c>
      <c r="L81" s="2">
        <f>+J81-K81</f>
        <v>-9.8999999999999915</v>
      </c>
      <c r="M81" s="1">
        <f>+E81-I81</f>
        <v>4.6754662516023449E-2</v>
      </c>
      <c r="N81" s="2">
        <v>95.9</v>
      </c>
      <c r="O81" s="2">
        <v>100.6</v>
      </c>
      <c r="P81" s="2">
        <f t="shared" si="1"/>
        <v>-4.6999999999999886</v>
      </c>
      <c r="Q81">
        <v>-1.8</v>
      </c>
    </row>
    <row r="82" spans="1:17">
      <c r="A82" t="s">
        <v>63</v>
      </c>
      <c r="B82" t="s">
        <v>11</v>
      </c>
      <c r="C82">
        <v>53</v>
      </c>
      <c r="D82">
        <v>29</v>
      </c>
      <c r="E82" s="1">
        <f>+C82/(C82+D82)</f>
        <v>0.64634146341463417</v>
      </c>
      <c r="F82" s="2">
        <v>115.8</v>
      </c>
      <c r="G82" s="2">
        <v>112.5</v>
      </c>
      <c r="H82" s="2">
        <f>+F82-G82</f>
        <v>3.2999999999999972</v>
      </c>
      <c r="I82" s="1">
        <f>+(F82^14)/((F82^14+G82^14))</f>
        <v>0.59983047622888896</v>
      </c>
      <c r="J82" s="2">
        <v>116.8</v>
      </c>
      <c r="K82" s="2">
        <v>113.5</v>
      </c>
      <c r="L82" s="2">
        <f>+J82-K82</f>
        <v>3.2999999999999972</v>
      </c>
      <c r="M82" s="1">
        <f>+E82-I82</f>
        <v>4.6510987185745201E-2</v>
      </c>
      <c r="N82" s="2">
        <v>109.2</v>
      </c>
      <c r="O82" s="2">
        <v>96.5</v>
      </c>
      <c r="P82" s="2">
        <f t="shared" si="1"/>
        <v>12.700000000000003</v>
      </c>
      <c r="Q82">
        <v>-0.5</v>
      </c>
    </row>
    <row r="83" spans="1:17">
      <c r="A83" t="s">
        <v>58</v>
      </c>
      <c r="B83" t="s">
        <v>19</v>
      </c>
      <c r="C83">
        <v>44</v>
      </c>
      <c r="D83">
        <v>38</v>
      </c>
      <c r="E83" s="1">
        <f>+C83/(C83+D83)</f>
        <v>0.53658536585365857</v>
      </c>
      <c r="F83" s="2">
        <v>106.5</v>
      </c>
      <c r="G83" s="2">
        <v>106.8</v>
      </c>
      <c r="H83" s="2">
        <f>+F83-G83</f>
        <v>-0.29999999999999716</v>
      </c>
      <c r="I83" s="1">
        <f>+(F83^14)/((F83^14+G83^14))</f>
        <v>0.49015597738821681</v>
      </c>
      <c r="J83" s="2">
        <v>109</v>
      </c>
      <c r="K83" s="2">
        <v>109.1</v>
      </c>
      <c r="L83" s="2">
        <f>+J83-K83</f>
        <v>-9.9999999999994316E-2</v>
      </c>
      <c r="M83" s="1">
        <f>+E83-I83</f>
        <v>4.6429388465441757E-2</v>
      </c>
      <c r="N83" s="2">
        <v>102.1</v>
      </c>
      <c r="O83" s="2">
        <v>100.3</v>
      </c>
      <c r="P83" s="2">
        <f t="shared" si="1"/>
        <v>1.7999999999999972</v>
      </c>
      <c r="Q83">
        <v>-1.2</v>
      </c>
    </row>
    <row r="84" spans="1:17">
      <c r="A84" t="s">
        <v>63</v>
      </c>
      <c r="B84" t="s">
        <v>18</v>
      </c>
      <c r="C84">
        <v>44</v>
      </c>
      <c r="D84">
        <v>38</v>
      </c>
      <c r="E84" s="1">
        <f>+C84/(C84+D84)</f>
        <v>0.53658536585365857</v>
      </c>
      <c r="F84" s="2">
        <v>109.5</v>
      </c>
      <c r="G84" s="2">
        <v>109.8</v>
      </c>
      <c r="H84" s="2">
        <f>+F84-G84</f>
        <v>-0.29999999999999716</v>
      </c>
      <c r="I84" s="1">
        <f>+(F84^14)/((F84^14+G84^14))</f>
        <v>0.49042524125901932</v>
      </c>
      <c r="J84" s="2">
        <v>112.3</v>
      </c>
      <c r="K84" s="2">
        <v>112.8</v>
      </c>
      <c r="L84" s="2">
        <f>+J84-K84</f>
        <v>-0.5</v>
      </c>
      <c r="M84" s="1">
        <f>+E84-I84</f>
        <v>4.6160124594639251E-2</v>
      </c>
      <c r="N84" s="2">
        <v>112.3</v>
      </c>
      <c r="O84" s="2">
        <v>95.4</v>
      </c>
      <c r="P84" s="2">
        <f t="shared" si="1"/>
        <v>16.899999999999991</v>
      </c>
      <c r="Q84">
        <v>1.3</v>
      </c>
    </row>
    <row r="85" spans="1:17">
      <c r="A85" t="s">
        <v>60</v>
      </c>
      <c r="B85" t="s">
        <v>30</v>
      </c>
      <c r="C85">
        <v>53</v>
      </c>
      <c r="D85">
        <v>19</v>
      </c>
      <c r="E85" s="1">
        <f>+C85/(C85+D85)</f>
        <v>0.73611111111111116</v>
      </c>
      <c r="F85" s="2">
        <v>112.8</v>
      </c>
      <c r="G85" s="2">
        <v>106.5</v>
      </c>
      <c r="H85" s="2">
        <f>+F85-G85</f>
        <v>6.2999999999999972</v>
      </c>
      <c r="I85" s="1">
        <f>+(F85^14)/((F85^14+G85^14))</f>
        <v>0.69095738167684095</v>
      </c>
      <c r="J85" s="2">
        <v>110.8</v>
      </c>
      <c r="K85" s="2">
        <v>104.7</v>
      </c>
      <c r="L85" s="2">
        <f>+J85-K85</f>
        <v>6.0999999999999943</v>
      </c>
      <c r="M85" s="1">
        <f>+E85-I85</f>
        <v>4.5153729434270207E-2</v>
      </c>
      <c r="N85" s="2">
        <v>118.1</v>
      </c>
      <c r="O85" s="2">
        <v>97.4</v>
      </c>
      <c r="P85" s="2">
        <f t="shared" si="1"/>
        <v>20.699999999999989</v>
      </c>
      <c r="Q85">
        <v>1.2</v>
      </c>
    </row>
    <row r="86" spans="1:17">
      <c r="A86" t="s">
        <v>41</v>
      </c>
      <c r="B86" t="s">
        <v>21</v>
      </c>
      <c r="C86">
        <v>49</v>
      </c>
      <c r="D86">
        <v>33</v>
      </c>
      <c r="E86" s="1">
        <f>+C86/(C86+D86)</f>
        <v>0.59756097560975607</v>
      </c>
      <c r="F86" s="2">
        <v>93.8</v>
      </c>
      <c r="G86" s="2">
        <v>92.4</v>
      </c>
      <c r="H86" s="2">
        <f>+F86-G86</f>
        <v>1.3999999999999915</v>
      </c>
      <c r="I86" s="1">
        <f>+(F86^14)/((F86^14+G86^14))</f>
        <v>0.55243902579341386</v>
      </c>
      <c r="J86" s="2">
        <v>102.4</v>
      </c>
      <c r="K86" s="2">
        <v>100.9</v>
      </c>
      <c r="L86" s="2">
        <f>+J86-K86</f>
        <v>1.5</v>
      </c>
      <c r="M86" s="1">
        <f>+E86-I86</f>
        <v>4.5121949816342211E-2</v>
      </c>
      <c r="N86" s="2">
        <v>109.2</v>
      </c>
      <c r="O86" s="2">
        <v>99</v>
      </c>
      <c r="P86" s="2">
        <f t="shared" si="1"/>
        <v>10.200000000000003</v>
      </c>
      <c r="Q86">
        <v>-0.7</v>
      </c>
    </row>
    <row r="87" spans="1:17">
      <c r="A87" t="s">
        <v>54</v>
      </c>
      <c r="B87" t="s">
        <v>18</v>
      </c>
      <c r="C87">
        <v>37</v>
      </c>
      <c r="D87">
        <v>45</v>
      </c>
      <c r="E87" s="1">
        <f>+C87/(C87+D87)</f>
        <v>0.45121951219512196</v>
      </c>
      <c r="F87" s="2">
        <v>94.7</v>
      </c>
      <c r="G87" s="2">
        <v>97.3</v>
      </c>
      <c r="H87" s="2">
        <f>+F87-G87</f>
        <v>-2.5999999999999943</v>
      </c>
      <c r="I87" s="1">
        <f>+(F87^14)/((F87^14+G87^14))</f>
        <v>0.40632231121075763</v>
      </c>
      <c r="J87" s="2">
        <v>103.2</v>
      </c>
      <c r="K87" s="2">
        <v>106.1</v>
      </c>
      <c r="L87" s="2">
        <f>+J87-K87</f>
        <v>-2.8999999999999915</v>
      </c>
      <c r="M87" s="1">
        <f>+E87-I87</f>
        <v>4.4897200984364338E-2</v>
      </c>
      <c r="N87" s="2">
        <v>102.9</v>
      </c>
      <c r="O87" s="2">
        <v>91.3</v>
      </c>
      <c r="P87" s="2">
        <f t="shared" si="1"/>
        <v>11.600000000000009</v>
      </c>
      <c r="Q87">
        <v>-1.1000000000000001</v>
      </c>
    </row>
    <row r="88" spans="1:17">
      <c r="A88" t="s">
        <v>38</v>
      </c>
      <c r="B88" t="s">
        <v>17</v>
      </c>
      <c r="C88">
        <v>56</v>
      </c>
      <c r="D88">
        <v>26</v>
      </c>
      <c r="E88" s="1">
        <f>+C88/(C88+D88)</f>
        <v>0.68292682926829273</v>
      </c>
      <c r="F88" s="2">
        <v>98.2</v>
      </c>
      <c r="G88" s="2">
        <v>94.3</v>
      </c>
      <c r="H88" s="2">
        <f>+F88-G88</f>
        <v>3.9000000000000057</v>
      </c>
      <c r="I88" s="1">
        <f>+(F88^14)/((F88^14+G88^14))</f>
        <v>0.63815156005224649</v>
      </c>
      <c r="J88" s="2">
        <v>104.2</v>
      </c>
      <c r="K88" s="2">
        <v>100.1</v>
      </c>
      <c r="L88" s="2">
        <f>+J88-K88</f>
        <v>4.1000000000000085</v>
      </c>
      <c r="M88" s="1">
        <f>+E88-I88</f>
        <v>4.4775269216046243E-2</v>
      </c>
      <c r="N88" s="2">
        <v>102.8</v>
      </c>
      <c r="O88" s="2">
        <v>85.1</v>
      </c>
      <c r="P88" s="2">
        <f t="shared" si="1"/>
        <v>17.700000000000003</v>
      </c>
      <c r="Q88">
        <v>1.5</v>
      </c>
    </row>
    <row r="89" spans="1:17">
      <c r="A89" t="s">
        <v>45</v>
      </c>
      <c r="B89" t="s">
        <v>11</v>
      </c>
      <c r="C89">
        <v>54</v>
      </c>
      <c r="D89">
        <v>28</v>
      </c>
      <c r="E89" s="1">
        <f>+C89/(C89+D89)</f>
        <v>0.65853658536585369</v>
      </c>
      <c r="F89" s="2">
        <v>104.3</v>
      </c>
      <c r="G89" s="2">
        <v>100.9</v>
      </c>
      <c r="H89" s="2">
        <f>+F89-G89</f>
        <v>3.3999999999999915</v>
      </c>
      <c r="I89" s="1">
        <f>+(F89^14)/((F89^14+G89^14))</f>
        <v>0.61395793719078184</v>
      </c>
      <c r="J89" s="2">
        <v>109</v>
      </c>
      <c r="K89" s="2">
        <v>105.6</v>
      </c>
      <c r="L89" s="2">
        <f>+J89-K89</f>
        <v>3.4000000000000057</v>
      </c>
      <c r="M89" s="1">
        <f>+E89-I89</f>
        <v>4.4578648175071844E-2</v>
      </c>
      <c r="N89" s="2">
        <v>108.5</v>
      </c>
      <c r="O89" s="2">
        <v>106.3</v>
      </c>
      <c r="P89" s="2">
        <f t="shared" si="1"/>
        <v>2.2000000000000028</v>
      </c>
      <c r="Q89">
        <v>-0.4</v>
      </c>
    </row>
    <row r="90" spans="1:17">
      <c r="A90" t="s">
        <v>58</v>
      </c>
      <c r="B90" t="s">
        <v>53</v>
      </c>
      <c r="C90">
        <v>48</v>
      </c>
      <c r="D90">
        <v>34</v>
      </c>
      <c r="E90" s="1">
        <f>+C90/(C90+D90)</f>
        <v>0.58536585365853655</v>
      </c>
      <c r="F90" s="2">
        <v>111.7</v>
      </c>
      <c r="G90" s="2">
        <v>110.4</v>
      </c>
      <c r="H90" s="2">
        <f>+F90-G90</f>
        <v>1.2999999999999972</v>
      </c>
      <c r="I90" s="1">
        <f>+(F90^14)/((F90^14+G90^14))</f>
        <v>0.54088153523494542</v>
      </c>
      <c r="J90" s="2">
        <v>108.5</v>
      </c>
      <c r="K90" s="2">
        <v>107.4</v>
      </c>
      <c r="L90" s="2">
        <f>+J90-K90</f>
        <v>1.0999999999999943</v>
      </c>
      <c r="M90" s="1">
        <f>+E90-I90</f>
        <v>4.4484318423591129E-2</v>
      </c>
      <c r="N90" s="2">
        <v>106</v>
      </c>
      <c r="O90" s="2">
        <v>99.3</v>
      </c>
      <c r="P90" s="2">
        <f t="shared" si="1"/>
        <v>6.7000000000000028</v>
      </c>
      <c r="Q90">
        <v>0.2</v>
      </c>
    </row>
    <row r="91" spans="1:17">
      <c r="A91" t="s">
        <v>48</v>
      </c>
      <c r="B91" t="s">
        <v>46</v>
      </c>
      <c r="C91">
        <v>55</v>
      </c>
      <c r="D91">
        <v>27</v>
      </c>
      <c r="E91" s="1">
        <f>+C91/(C91+D91)</f>
        <v>0.67073170731707321</v>
      </c>
      <c r="F91" s="2">
        <v>104.8</v>
      </c>
      <c r="G91" s="2">
        <v>101</v>
      </c>
      <c r="H91" s="2">
        <f>+F91-G91</f>
        <v>3.7999999999999972</v>
      </c>
      <c r="I91" s="1">
        <f>+(F91^14)/((F91^14+G91^14))</f>
        <v>0.62646134296899791</v>
      </c>
      <c r="J91" s="2">
        <v>109.9</v>
      </c>
      <c r="K91" s="2">
        <v>105.9</v>
      </c>
      <c r="L91" s="2">
        <f>+J91-K91</f>
        <v>4</v>
      </c>
      <c r="M91" s="1">
        <f>+E91-I91</f>
        <v>4.4270364348075297E-2</v>
      </c>
      <c r="N91" s="2">
        <v>105.8</v>
      </c>
      <c r="O91" s="2">
        <v>92</v>
      </c>
      <c r="P91" s="2">
        <f t="shared" si="1"/>
        <v>13.799999999999997</v>
      </c>
      <c r="Q91">
        <v>0.9</v>
      </c>
    </row>
    <row r="92" spans="1:17">
      <c r="A92" t="s">
        <v>45</v>
      </c>
      <c r="B92" t="s">
        <v>10</v>
      </c>
      <c r="C92">
        <v>50</v>
      </c>
      <c r="D92">
        <v>32</v>
      </c>
      <c r="E92" s="1">
        <f>+C92/(C92+D92)</f>
        <v>0.6097560975609756</v>
      </c>
      <c r="F92" s="2">
        <v>101.7</v>
      </c>
      <c r="G92" s="2">
        <v>99.8</v>
      </c>
      <c r="H92" s="2">
        <f>+F92-G92</f>
        <v>1.9000000000000057</v>
      </c>
      <c r="I92" s="1">
        <f>+(F92^14)/((F92^14+G92^14))</f>
        <v>0.56562612482912078</v>
      </c>
      <c r="J92" s="2">
        <v>109</v>
      </c>
      <c r="K92" s="2">
        <v>107</v>
      </c>
      <c r="L92" s="2">
        <f>+J92-K92</f>
        <v>2</v>
      </c>
      <c r="M92" s="1">
        <f>+E92-I92</f>
        <v>4.4129972731854816E-2</v>
      </c>
      <c r="N92" s="2">
        <v>113</v>
      </c>
      <c r="O92" s="2">
        <v>98.7</v>
      </c>
      <c r="P92" s="2">
        <f t="shared" si="1"/>
        <v>14.299999999999997</v>
      </c>
      <c r="Q92">
        <v>-0.2</v>
      </c>
    </row>
    <row r="93" spans="1:17">
      <c r="A93" t="s">
        <v>55</v>
      </c>
      <c r="B93" t="s">
        <v>19</v>
      </c>
      <c r="C93">
        <v>33</v>
      </c>
      <c r="D93">
        <v>49</v>
      </c>
      <c r="E93" s="1">
        <f>+C93/(C93+D93)</f>
        <v>0.40243902439024393</v>
      </c>
      <c r="F93" s="2">
        <v>99</v>
      </c>
      <c r="G93" s="2">
        <v>103.2</v>
      </c>
      <c r="H93" s="2">
        <f>+F93-G93</f>
        <v>-4.2000000000000028</v>
      </c>
      <c r="I93" s="1">
        <f>+(F93^14)/((F93^14+G93^14))</f>
        <v>0.35854472804772958</v>
      </c>
      <c r="J93" s="2">
        <v>103.4</v>
      </c>
      <c r="K93" s="2">
        <v>107.8</v>
      </c>
      <c r="L93" s="2">
        <f>+J93-K93</f>
        <v>-4.3999999999999915</v>
      </c>
      <c r="M93" s="1">
        <f>+E93-I93</f>
        <v>4.389429634251435E-2</v>
      </c>
      <c r="N93" s="2">
        <v>101.2</v>
      </c>
      <c r="O93" s="2">
        <v>95</v>
      </c>
      <c r="P93" s="2">
        <f t="shared" si="1"/>
        <v>6.2000000000000028</v>
      </c>
      <c r="Q93">
        <v>-1.5</v>
      </c>
    </row>
    <row r="94" spans="1:17">
      <c r="A94" t="s">
        <v>66</v>
      </c>
      <c r="B94" t="s">
        <v>25</v>
      </c>
      <c r="C94">
        <v>36</v>
      </c>
      <c r="D94">
        <v>27</v>
      </c>
      <c r="E94" s="1">
        <f>+C94/(C94+D94)</f>
        <v>0.5714285714285714</v>
      </c>
      <c r="F94" s="2">
        <v>112.1</v>
      </c>
      <c r="G94" s="2">
        <v>111.2</v>
      </c>
      <c r="H94" s="2">
        <f>+F94-G94</f>
        <v>0.89999999999999147</v>
      </c>
      <c r="I94" s="1">
        <f>+(F94^14)/((F94^14+G94^14))</f>
        <v>0.52818341359119181</v>
      </c>
      <c r="J94" s="2">
        <v>113.4</v>
      </c>
      <c r="K94" s="2">
        <v>112.5</v>
      </c>
      <c r="L94" s="2">
        <f>+J94-K94</f>
        <v>0.90000000000000568</v>
      </c>
      <c r="M94" s="1">
        <f>+E94-I94</f>
        <v>4.3245157837379589E-2</v>
      </c>
      <c r="N94" s="2">
        <v>113.4</v>
      </c>
      <c r="O94" s="2">
        <v>114.2</v>
      </c>
      <c r="P94" s="2">
        <f t="shared" si="1"/>
        <v>-0.79999999999999716</v>
      </c>
      <c r="Q94" s="2">
        <v>-1.1000000000000001</v>
      </c>
    </row>
    <row r="95" spans="1:17">
      <c r="A95" t="s">
        <v>45</v>
      </c>
      <c r="B95" t="s">
        <v>37</v>
      </c>
      <c r="C95">
        <v>49</v>
      </c>
      <c r="D95">
        <v>33</v>
      </c>
      <c r="E95" s="1">
        <f>+C95/(C95+D95)</f>
        <v>0.59756097560975607</v>
      </c>
      <c r="F95" s="2">
        <v>95.8</v>
      </c>
      <c r="G95" s="2">
        <v>94.3</v>
      </c>
      <c r="H95" s="2">
        <f>+F95-G95</f>
        <v>1.5</v>
      </c>
      <c r="I95" s="1">
        <f>+(F95^14)/((F95^14+G95^14))</f>
        <v>0.55501163326871295</v>
      </c>
      <c r="J95" s="2">
        <v>107.6</v>
      </c>
      <c r="K95" s="2">
        <v>105.8</v>
      </c>
      <c r="L95" s="2">
        <f>+J95-K95</f>
        <v>1.7999999999999972</v>
      </c>
      <c r="M95" s="1">
        <f>+E95-I95</f>
        <v>4.2549342341043128E-2</v>
      </c>
      <c r="N95" s="2">
        <v>124.8</v>
      </c>
      <c r="O95" s="2">
        <v>110.2</v>
      </c>
      <c r="P95" s="2">
        <f t="shared" si="1"/>
        <v>14.599999999999994</v>
      </c>
      <c r="Q95">
        <v>0.9</v>
      </c>
    </row>
    <row r="96" spans="1:17">
      <c r="A96" t="s">
        <v>58</v>
      </c>
      <c r="B96" t="s">
        <v>14</v>
      </c>
      <c r="C96">
        <v>65</v>
      </c>
      <c r="D96">
        <v>17</v>
      </c>
      <c r="E96" s="1">
        <f>+C96/(C96+D96)</f>
        <v>0.79268292682926833</v>
      </c>
      <c r="F96" s="2">
        <v>112.4</v>
      </c>
      <c r="G96" s="2">
        <v>103.9</v>
      </c>
      <c r="H96" s="2">
        <f>+F96-G96</f>
        <v>8.5</v>
      </c>
      <c r="I96" s="1">
        <f>+(F96^14)/((F96^14+G96^14))</f>
        <v>0.75042693083028544</v>
      </c>
      <c r="J96" s="2">
        <v>114.1</v>
      </c>
      <c r="K96" s="2">
        <v>105.7</v>
      </c>
      <c r="L96" s="2">
        <f>+J96-K96</f>
        <v>8.3999999999999915</v>
      </c>
      <c r="M96" s="1">
        <f>+E96-I96</f>
        <v>4.2255995998982887E-2</v>
      </c>
      <c r="N96" s="2">
        <v>122.9</v>
      </c>
      <c r="O96" s="2">
        <v>95.9</v>
      </c>
      <c r="P96" s="2">
        <f t="shared" si="1"/>
        <v>27</v>
      </c>
      <c r="Q96">
        <v>-0.2</v>
      </c>
    </row>
    <row r="97" spans="1:17">
      <c r="A97" t="s">
        <v>50</v>
      </c>
      <c r="B97" t="s">
        <v>13</v>
      </c>
      <c r="C97">
        <v>47</v>
      </c>
      <c r="D97">
        <v>35</v>
      </c>
      <c r="E97" s="1">
        <f>+C97/(C97+D97)</f>
        <v>0.57317073170731703</v>
      </c>
      <c r="F97" s="2">
        <v>101.2</v>
      </c>
      <c r="G97" s="2">
        <v>100.3</v>
      </c>
      <c r="H97" s="2">
        <f>+F97-G97</f>
        <v>0.90000000000000568</v>
      </c>
      <c r="I97" s="1">
        <f>+(F97^14)/((F97^14+G97^14))</f>
        <v>0.53122502870875743</v>
      </c>
      <c r="J97" s="2">
        <v>105.1</v>
      </c>
      <c r="K97" s="2">
        <v>104.2</v>
      </c>
      <c r="L97" s="2">
        <f>+J97-K97</f>
        <v>0.89999999999999147</v>
      </c>
      <c r="M97" s="1">
        <f>+E97-I97</f>
        <v>4.1945702998559597E-2</v>
      </c>
      <c r="N97" s="2">
        <v>101.8</v>
      </c>
      <c r="O97" s="2">
        <v>93.8</v>
      </c>
      <c r="P97" s="2">
        <f t="shared" si="1"/>
        <v>8</v>
      </c>
      <c r="Q97">
        <v>0.8</v>
      </c>
    </row>
    <row r="98" spans="1:17">
      <c r="A98" t="s">
        <v>43</v>
      </c>
      <c r="B98" t="s">
        <v>26</v>
      </c>
      <c r="C98">
        <v>32</v>
      </c>
      <c r="D98">
        <v>50</v>
      </c>
      <c r="E98" s="1">
        <f>+C98/(C98+D98)</f>
        <v>0.3902439024390244</v>
      </c>
      <c r="F98" s="2">
        <v>94.1</v>
      </c>
      <c r="G98" s="2">
        <v>98.4</v>
      </c>
      <c r="H98" s="2">
        <f>+F98-G98</f>
        <v>-4.3000000000000114</v>
      </c>
      <c r="I98" s="1">
        <f>+(F98^14)/((F98^14+G98^14))</f>
        <v>0.34851829160504433</v>
      </c>
      <c r="J98" s="2">
        <v>103.8</v>
      </c>
      <c r="K98" s="2">
        <v>108.6</v>
      </c>
      <c r="L98" s="2">
        <f>+J98-K98</f>
        <v>-4.7999999999999972</v>
      </c>
      <c r="M98" s="1">
        <f>+E98-I98</f>
        <v>4.1725610833980076E-2</v>
      </c>
      <c r="N98" s="2">
        <v>113.4</v>
      </c>
      <c r="O98" s="2">
        <v>112.5</v>
      </c>
      <c r="P98" s="2">
        <f t="shared" si="1"/>
        <v>0.90000000000000568</v>
      </c>
      <c r="Q98">
        <v>-0.5</v>
      </c>
    </row>
    <row r="99" spans="1:17">
      <c r="A99" t="s">
        <v>66</v>
      </c>
      <c r="B99" t="s">
        <v>33</v>
      </c>
      <c r="C99">
        <v>16</v>
      </c>
      <c r="D99">
        <v>46</v>
      </c>
      <c r="E99" s="1">
        <f>+C99/(C99+D99)</f>
        <v>0.25806451612903225</v>
      </c>
      <c r="F99" s="2">
        <v>112.2</v>
      </c>
      <c r="G99" s="2">
        <v>123</v>
      </c>
      <c r="H99" s="2">
        <f>+F99-G99</f>
        <v>-10.799999999999997</v>
      </c>
      <c r="I99" s="1">
        <f>+(F99^14)/((F99^14+G99^14))</f>
        <v>0.21642561770690236</v>
      </c>
      <c r="J99" s="2">
        <v>109.5</v>
      </c>
      <c r="K99" s="2">
        <v>120.3</v>
      </c>
      <c r="L99" s="2">
        <f>+J99-K99</f>
        <v>-10.799999999999997</v>
      </c>
      <c r="M99" s="1">
        <f>+E99-I99</f>
        <v>4.1638898422129894E-2</v>
      </c>
      <c r="N99" s="2">
        <v>112.8</v>
      </c>
      <c r="O99" s="2">
        <v>114.5</v>
      </c>
      <c r="P99" s="2">
        <f t="shared" si="1"/>
        <v>-1.7000000000000028</v>
      </c>
      <c r="Q99" s="2">
        <v>-2.9</v>
      </c>
    </row>
    <row r="100" spans="1:17">
      <c r="A100" t="s">
        <v>48</v>
      </c>
      <c r="B100" t="s">
        <v>31</v>
      </c>
      <c r="C100">
        <v>39</v>
      </c>
      <c r="D100">
        <v>43</v>
      </c>
      <c r="E100" s="1">
        <f>+C100/(C100+D100)</f>
        <v>0.47560975609756095</v>
      </c>
      <c r="F100" s="2">
        <v>99.4</v>
      </c>
      <c r="G100" s="2">
        <v>101.3</v>
      </c>
      <c r="H100" s="2">
        <f>+F100-G100</f>
        <v>-1.8999999999999915</v>
      </c>
      <c r="I100" s="1">
        <f>+(F100^14)/((F100^14+G100^14))</f>
        <v>0.4341153034134177</v>
      </c>
      <c r="J100" s="2">
        <v>107</v>
      </c>
      <c r="K100" s="2">
        <v>108.8</v>
      </c>
      <c r="L100" s="2">
        <f>+J100-K100</f>
        <v>-1.7999999999999972</v>
      </c>
      <c r="M100" s="1">
        <f>+E100-I100</f>
        <v>4.1494452684143257E-2</v>
      </c>
      <c r="N100" s="2">
        <v>111.8</v>
      </c>
      <c r="O100" s="2">
        <v>103.3</v>
      </c>
      <c r="P100" s="2">
        <f t="shared" si="1"/>
        <v>8.5</v>
      </c>
      <c r="Q100">
        <v>1.3</v>
      </c>
    </row>
    <row r="101" spans="1:17">
      <c r="A101" t="s">
        <v>64</v>
      </c>
      <c r="B101" t="s">
        <v>10</v>
      </c>
      <c r="C101">
        <v>50</v>
      </c>
      <c r="D101">
        <v>32</v>
      </c>
      <c r="E101" s="1">
        <f>+C101/(C101+D101)</f>
        <v>0.6097560975609756</v>
      </c>
      <c r="F101" s="2">
        <v>117.9</v>
      </c>
      <c r="G101" s="2">
        <v>115.6</v>
      </c>
      <c r="H101" s="2">
        <f>+F101-G101</f>
        <v>2.3000000000000114</v>
      </c>
      <c r="I101" s="1">
        <f>+(F101^14)/((F101^14+G101^14))</f>
        <v>0.56851916226040555</v>
      </c>
      <c r="J101" s="2">
        <v>117</v>
      </c>
      <c r="K101" s="2">
        <v>114.9</v>
      </c>
      <c r="L101" s="2">
        <f>+J101-K101</f>
        <v>2.0999999999999943</v>
      </c>
      <c r="M101" s="1">
        <f>+E101-I101</f>
        <v>4.1236935300570043E-2</v>
      </c>
      <c r="N101" s="2">
        <v>128.19999999999999</v>
      </c>
      <c r="O101" s="2">
        <v>106.4</v>
      </c>
      <c r="P101" s="2">
        <f t="shared" si="1"/>
        <v>21.799999999999983</v>
      </c>
      <c r="Q101">
        <v>0.5</v>
      </c>
    </row>
    <row r="102" spans="1:17">
      <c r="A102" t="s">
        <v>36</v>
      </c>
      <c r="B102" t="s">
        <v>8</v>
      </c>
      <c r="C102">
        <v>30</v>
      </c>
      <c r="D102">
        <v>52</v>
      </c>
      <c r="E102" s="1">
        <f>+C102/(C102+D102)</f>
        <v>0.36585365853658536</v>
      </c>
      <c r="F102" s="2">
        <v>95</v>
      </c>
      <c r="G102" s="2">
        <v>100.1</v>
      </c>
      <c r="H102" s="2">
        <f>+F102-G102</f>
        <v>-5.0999999999999943</v>
      </c>
      <c r="I102" s="1">
        <f>+(F102^14)/((F102^14+G102^14))</f>
        <v>0.32473425777947651</v>
      </c>
      <c r="J102" s="2">
        <v>99.1</v>
      </c>
      <c r="K102" s="2">
        <v>104.2</v>
      </c>
      <c r="L102" s="2">
        <f>+J102-K102</f>
        <v>-5.1000000000000085</v>
      </c>
      <c r="M102" s="1">
        <f>+E102-I102</f>
        <v>4.1119400757108848E-2</v>
      </c>
      <c r="N102" s="2">
        <v>100.6</v>
      </c>
      <c r="O102" s="2">
        <v>103.8</v>
      </c>
      <c r="P102" s="2">
        <f t="shared" si="1"/>
        <v>-3.2000000000000028</v>
      </c>
      <c r="Q102">
        <v>1.6</v>
      </c>
    </row>
    <row r="103" spans="1:17">
      <c r="A103" t="s">
        <v>65</v>
      </c>
      <c r="B103" t="s">
        <v>15</v>
      </c>
      <c r="C103">
        <v>50</v>
      </c>
      <c r="D103">
        <v>32</v>
      </c>
      <c r="E103" s="1">
        <f>+C103/(C103+D103)</f>
        <v>0.6097560975609756</v>
      </c>
      <c r="F103" s="2">
        <v>117.4</v>
      </c>
      <c r="G103" s="2">
        <v>115.1</v>
      </c>
      <c r="H103" s="2">
        <f>+F103-G103</f>
        <v>2.3000000000000114</v>
      </c>
      <c r="I103" s="1">
        <f>+(F103^14)/((F103^14+G103^14))</f>
        <v>0.56881015999897555</v>
      </c>
      <c r="J103" s="2">
        <v>115.4</v>
      </c>
      <c r="K103" s="2">
        <v>113.3</v>
      </c>
      <c r="L103" s="2">
        <f>+J103-K103</f>
        <v>2.1000000000000085</v>
      </c>
      <c r="M103" s="1">
        <f>+E103-I103</f>
        <v>4.0945937562000045E-2</v>
      </c>
      <c r="N103" s="2">
        <v>118.3</v>
      </c>
      <c r="O103" s="2">
        <v>100.6</v>
      </c>
      <c r="P103" s="2">
        <f t="shared" si="1"/>
        <v>17.700000000000003</v>
      </c>
      <c r="Q103">
        <v>2.1</v>
      </c>
    </row>
    <row r="104" spans="1:17">
      <c r="A104" t="s">
        <v>61</v>
      </c>
      <c r="B104" t="s">
        <v>27</v>
      </c>
      <c r="C104">
        <v>31</v>
      </c>
      <c r="D104">
        <v>41</v>
      </c>
      <c r="E104" s="1">
        <f>+C104/(C104+D104)</f>
        <v>0.43055555555555558</v>
      </c>
      <c r="F104" s="2">
        <v>113.7</v>
      </c>
      <c r="G104" s="2">
        <v>117.4</v>
      </c>
      <c r="H104" s="2">
        <f>+F104-G104</f>
        <v>-3.7000000000000028</v>
      </c>
      <c r="I104" s="1">
        <f>+(F104^14)/((F104^14+G104^14))</f>
        <v>0.38975811254317522</v>
      </c>
      <c r="J104" s="2">
        <v>112.7</v>
      </c>
      <c r="K104" s="2">
        <v>116.5</v>
      </c>
      <c r="L104" s="2">
        <f>+J104-K104</f>
        <v>-3.7999999999999972</v>
      </c>
      <c r="M104" s="1">
        <f>+E104-I104</f>
        <v>4.0797443012380363E-2</v>
      </c>
      <c r="N104" s="2">
        <v>107.9</v>
      </c>
      <c r="O104" s="2">
        <v>114.9</v>
      </c>
      <c r="P104" s="2">
        <f t="shared" si="1"/>
        <v>-7</v>
      </c>
      <c r="Q104">
        <v>-1</v>
      </c>
    </row>
    <row r="105" spans="1:17">
      <c r="A105" t="s">
        <v>44</v>
      </c>
      <c r="B105" t="s">
        <v>19</v>
      </c>
      <c r="C105">
        <v>26</v>
      </c>
      <c r="D105">
        <v>56</v>
      </c>
      <c r="E105" s="1">
        <f>+C105/(C105+D105)</f>
        <v>0.31707317073170732</v>
      </c>
      <c r="F105" s="2">
        <v>97</v>
      </c>
      <c r="G105" s="2">
        <v>103.9</v>
      </c>
      <c r="H105" s="2">
        <f>+F105-G105</f>
        <v>-6.9000000000000057</v>
      </c>
      <c r="I105" s="1">
        <f>+(F105^14)/((F105^14+G105^14))</f>
        <v>0.27646776360303693</v>
      </c>
      <c r="J105" s="2">
        <v>103.9</v>
      </c>
      <c r="K105" s="2">
        <v>111.1</v>
      </c>
      <c r="L105" s="2">
        <f>+J105-K105</f>
        <v>-7.1999999999999886</v>
      </c>
      <c r="M105" s="1">
        <f>+E105-I105</f>
        <v>4.060540712867039E-2</v>
      </c>
      <c r="N105" s="2">
        <v>109.3</v>
      </c>
      <c r="O105" s="2">
        <v>111.5</v>
      </c>
      <c r="P105" s="2">
        <f t="shared" si="1"/>
        <v>-2.2000000000000028</v>
      </c>
      <c r="Q105">
        <v>-1.7</v>
      </c>
    </row>
    <row r="106" spans="1:17">
      <c r="A106" t="s">
        <v>44</v>
      </c>
      <c r="B106" t="s">
        <v>27</v>
      </c>
      <c r="C106">
        <v>38</v>
      </c>
      <c r="D106">
        <v>44</v>
      </c>
      <c r="E106" s="1">
        <f>+C106/(C106+D106)</f>
        <v>0.46341463414634149</v>
      </c>
      <c r="F106" s="2">
        <v>102.5</v>
      </c>
      <c r="G106" s="2">
        <v>104.8</v>
      </c>
      <c r="H106" s="2">
        <f>+F106-G106</f>
        <v>-2.2999999999999972</v>
      </c>
      <c r="I106" s="1">
        <f>+(F106^14)/((F106^14+G106^14))</f>
        <v>0.42295032284639811</v>
      </c>
      <c r="J106" s="2">
        <v>106.2</v>
      </c>
      <c r="K106" s="2">
        <v>108.6</v>
      </c>
      <c r="L106" s="2">
        <f>+J106-K106</f>
        <v>-2.3999999999999915</v>
      </c>
      <c r="M106" s="1">
        <f>+E106-I106</f>
        <v>4.0464311299943378E-2</v>
      </c>
      <c r="N106" s="2">
        <v>109.5</v>
      </c>
      <c r="O106" s="2">
        <v>106.7</v>
      </c>
      <c r="P106" s="2">
        <f t="shared" si="1"/>
        <v>2.7999999999999972</v>
      </c>
      <c r="Q106">
        <v>-0.6</v>
      </c>
    </row>
    <row r="107" spans="1:17">
      <c r="A107" t="s">
        <v>52</v>
      </c>
      <c r="B107" t="s">
        <v>31</v>
      </c>
      <c r="C107">
        <v>25</v>
      </c>
      <c r="D107">
        <v>57</v>
      </c>
      <c r="E107" s="1">
        <f>+C107/(C107+D107)</f>
        <v>0.3048780487804878</v>
      </c>
      <c r="F107" s="2">
        <v>95</v>
      </c>
      <c r="G107" s="2">
        <v>102.2</v>
      </c>
      <c r="H107" s="2">
        <f>+F107-G107</f>
        <v>-7.2000000000000028</v>
      </c>
      <c r="I107" s="1">
        <f>+(F107^14)/((F107^14+G107^14))</f>
        <v>0.26448877178052832</v>
      </c>
      <c r="J107" s="2">
        <v>102.4</v>
      </c>
      <c r="K107" s="2">
        <v>110.1</v>
      </c>
      <c r="L107" s="2">
        <f>+J107-K107</f>
        <v>-7.6999999999999886</v>
      </c>
      <c r="M107" s="1">
        <f>+E107-I107</f>
        <v>4.0389276999959478E-2</v>
      </c>
      <c r="N107" s="2">
        <v>108.8</v>
      </c>
      <c r="O107" s="2">
        <v>121.1</v>
      </c>
      <c r="P107" s="2">
        <f t="shared" si="1"/>
        <v>-12.299999999999997</v>
      </c>
      <c r="Q107">
        <v>-1.8</v>
      </c>
    </row>
    <row r="108" spans="1:17">
      <c r="A108" t="s">
        <v>65</v>
      </c>
      <c r="B108" t="s">
        <v>33</v>
      </c>
      <c r="C108">
        <v>18</v>
      </c>
      <c r="D108">
        <v>64</v>
      </c>
      <c r="E108" s="1">
        <f>+C108/(C108+D108)</f>
        <v>0.21951219512195122</v>
      </c>
      <c r="F108" s="2">
        <v>108</v>
      </c>
      <c r="G108" s="2">
        <v>120.4</v>
      </c>
      <c r="H108" s="2">
        <f>+F108-G108</f>
        <v>-12.400000000000006</v>
      </c>
      <c r="I108" s="1">
        <f>+(F108^14)/((F108^14+G108^14))</f>
        <v>0.17922069515019554</v>
      </c>
      <c r="J108" s="2">
        <v>105.8</v>
      </c>
      <c r="K108" s="2">
        <v>118</v>
      </c>
      <c r="L108" s="2">
        <f>+J108-K108</f>
        <v>-12.200000000000003</v>
      </c>
      <c r="M108" s="1">
        <f>+E108-I108</f>
        <v>4.0291499971755684E-2</v>
      </c>
      <c r="N108" s="2">
        <v>102.8</v>
      </c>
      <c r="O108" s="2">
        <v>114.2</v>
      </c>
      <c r="P108" s="2">
        <f t="shared" si="1"/>
        <v>-11.400000000000006</v>
      </c>
      <c r="Q108">
        <v>-2</v>
      </c>
    </row>
    <row r="109" spans="1:17">
      <c r="A109" t="s">
        <v>4</v>
      </c>
      <c r="B109" t="s">
        <v>25</v>
      </c>
      <c r="C109">
        <v>51</v>
      </c>
      <c r="D109">
        <v>31</v>
      </c>
      <c r="E109" s="1">
        <f>+C109/(C109+D109)</f>
        <v>0.62195121951219512</v>
      </c>
      <c r="F109" s="2">
        <v>94</v>
      </c>
      <c r="G109" s="2">
        <v>91.8</v>
      </c>
      <c r="H109" s="2">
        <f>+F109-G109</f>
        <v>2.2000000000000028</v>
      </c>
      <c r="I109" s="1">
        <f>+(F109^14)/((F109^14+G109^14))</f>
        <v>0.58213763182578848</v>
      </c>
      <c r="J109" s="2">
        <v>98.9</v>
      </c>
      <c r="K109" s="2">
        <v>96.7</v>
      </c>
      <c r="L109" s="2">
        <f>+J109-K109</f>
        <v>2.2000000000000028</v>
      </c>
      <c r="M109" s="1">
        <f>+E109-I109</f>
        <v>3.9813587686406637E-2</v>
      </c>
      <c r="N109" s="2">
        <v>97.7</v>
      </c>
      <c r="O109" s="2">
        <v>87.1</v>
      </c>
      <c r="P109" s="2">
        <f t="shared" si="1"/>
        <v>10.600000000000009</v>
      </c>
      <c r="Q109">
        <v>1.7</v>
      </c>
    </row>
    <row r="110" spans="1:17">
      <c r="A110" t="s">
        <v>59</v>
      </c>
      <c r="B110" t="s">
        <v>24</v>
      </c>
      <c r="C110">
        <v>51</v>
      </c>
      <c r="D110">
        <v>31</v>
      </c>
      <c r="E110" s="1">
        <f>+C110/(C110+D110)</f>
        <v>0.62195121951219512</v>
      </c>
      <c r="F110" s="2">
        <v>115.2</v>
      </c>
      <c r="G110" s="2">
        <v>112.5</v>
      </c>
      <c r="H110" s="2">
        <f>+F110-G110</f>
        <v>2.7000000000000028</v>
      </c>
      <c r="I110" s="1">
        <f>+(F110^14)/((F110^14+G110^14))</f>
        <v>0.58225355885206587</v>
      </c>
      <c r="J110" s="2">
        <v>111.6</v>
      </c>
      <c r="K110" s="2">
        <v>109</v>
      </c>
      <c r="L110" s="2">
        <f>+J110-K110</f>
        <v>2.5999999999999943</v>
      </c>
      <c r="M110" s="1">
        <f>+E110-I110</f>
        <v>3.9697660660129253E-2</v>
      </c>
      <c r="N110" s="2">
        <v>109.5</v>
      </c>
      <c r="O110" s="2">
        <v>106.1</v>
      </c>
      <c r="P110" s="2">
        <f t="shared" si="1"/>
        <v>3.4000000000000057</v>
      </c>
      <c r="Q110">
        <v>-0.1</v>
      </c>
    </row>
    <row r="111" spans="1:17">
      <c r="A111" t="s">
        <v>57</v>
      </c>
      <c r="B111" t="s">
        <v>33</v>
      </c>
      <c r="C111">
        <v>49</v>
      </c>
      <c r="D111">
        <v>33</v>
      </c>
      <c r="E111" s="1">
        <f>+C111/(C111+D111)</f>
        <v>0.59756097560975607</v>
      </c>
      <c r="F111" s="2">
        <v>109.2</v>
      </c>
      <c r="G111" s="2">
        <v>107.4</v>
      </c>
      <c r="H111" s="2">
        <f>+F111-G111</f>
        <v>1.7999999999999972</v>
      </c>
      <c r="I111" s="1">
        <f>+(F111^14)/((F111^14+G111^14))</f>
        <v>0.55791201251406242</v>
      </c>
      <c r="J111" s="2">
        <v>110.4</v>
      </c>
      <c r="K111" s="2">
        <v>108.8</v>
      </c>
      <c r="L111" s="2">
        <f>+J111-K111</f>
        <v>1.6000000000000085</v>
      </c>
      <c r="M111" s="1">
        <f>+E111-I111</f>
        <v>3.9648963095693657E-2</v>
      </c>
      <c r="N111" s="2">
        <v>116.8</v>
      </c>
      <c r="O111" s="2">
        <v>103.8</v>
      </c>
      <c r="P111" s="2">
        <f t="shared" si="1"/>
        <v>13</v>
      </c>
      <c r="Q111">
        <v>0.8</v>
      </c>
    </row>
    <row r="112" spans="1:17">
      <c r="A112" t="s">
        <v>64</v>
      </c>
      <c r="B112" t="s">
        <v>35</v>
      </c>
      <c r="C112">
        <v>27</v>
      </c>
      <c r="D112">
        <v>55</v>
      </c>
      <c r="E112" s="1">
        <f>+C112/(C112+D112)</f>
        <v>0.32926829268292684</v>
      </c>
      <c r="F112" s="2">
        <v>105.8</v>
      </c>
      <c r="G112" s="2">
        <v>112.8</v>
      </c>
      <c r="H112" s="2">
        <f>+F112-G112</f>
        <v>-7</v>
      </c>
      <c r="I112" s="1">
        <f>+(F112^14)/((F112^14+G112^14))</f>
        <v>0.28968354582770361</v>
      </c>
      <c r="J112" s="2">
        <v>106.8</v>
      </c>
      <c r="K112" s="2">
        <v>113.7</v>
      </c>
      <c r="L112" s="2">
        <f>+J112-K112</f>
        <v>-6.9000000000000057</v>
      </c>
      <c r="M112" s="1">
        <f>+E112-I112</f>
        <v>3.958474685522323E-2</v>
      </c>
      <c r="N112" s="2">
        <v>98.4</v>
      </c>
      <c r="O112" s="2">
        <v>105.9</v>
      </c>
      <c r="P112" s="2">
        <f t="shared" si="1"/>
        <v>-7.5</v>
      </c>
      <c r="Q112">
        <v>0.4</v>
      </c>
    </row>
    <row r="113" spans="1:17">
      <c r="A113" t="s">
        <v>36</v>
      </c>
      <c r="B113" t="s">
        <v>28</v>
      </c>
      <c r="C113">
        <v>60</v>
      </c>
      <c r="D113">
        <v>22</v>
      </c>
      <c r="E113" s="1">
        <f>+C113/(C113+D113)</f>
        <v>0.73170731707317072</v>
      </c>
      <c r="F113" s="2">
        <v>95.8</v>
      </c>
      <c r="G113" s="2">
        <v>90.4</v>
      </c>
      <c r="H113" s="2">
        <f>+F113-G113</f>
        <v>5.3999999999999915</v>
      </c>
      <c r="I113" s="1">
        <f>+(F113^14)/((F113^14+G113^14))</f>
        <v>0.6925904288126854</v>
      </c>
      <c r="J113" s="2">
        <v>103.9</v>
      </c>
      <c r="K113" s="2">
        <v>98.1</v>
      </c>
      <c r="L113" s="2">
        <f>+J113-K113</f>
        <v>5.8000000000000114</v>
      </c>
      <c r="M113" s="1">
        <f>+E113-I113</f>
        <v>3.9116888260485316E-2</v>
      </c>
      <c r="N113" s="2">
        <v>102.4</v>
      </c>
      <c r="O113" s="2">
        <v>100</v>
      </c>
      <c r="P113" s="2">
        <f t="shared" si="1"/>
        <v>2.4000000000000057</v>
      </c>
      <c r="Q113">
        <v>-1.9</v>
      </c>
    </row>
    <row r="114" spans="1:17">
      <c r="A114" t="s">
        <v>49</v>
      </c>
      <c r="B114" t="s">
        <v>21</v>
      </c>
      <c r="C114">
        <v>22</v>
      </c>
      <c r="D114">
        <v>44</v>
      </c>
      <c r="E114" s="1">
        <f>+C114/(C114+D114)</f>
        <v>0.33333333333333331</v>
      </c>
      <c r="F114" s="2">
        <v>93.1</v>
      </c>
      <c r="G114" s="2">
        <v>99.1</v>
      </c>
      <c r="H114" s="2">
        <f>+F114-G114</f>
        <v>-6</v>
      </c>
      <c r="I114" s="1">
        <f>+(F114^14)/((F114^14+G114^14))</f>
        <v>0.29434506272936611</v>
      </c>
      <c r="J114" s="2">
        <v>101.8</v>
      </c>
      <c r="K114" s="2">
        <v>108.1</v>
      </c>
      <c r="L114" s="2">
        <f>+J114-K114</f>
        <v>-6.2999999999999972</v>
      </c>
      <c r="M114" s="1">
        <f>+E114-I114</f>
        <v>3.8988270603967201E-2</v>
      </c>
      <c r="N114" s="2">
        <v>102.3</v>
      </c>
      <c r="O114" s="2">
        <v>119.7</v>
      </c>
      <c r="P114" s="2">
        <f t="shared" si="1"/>
        <v>-17.400000000000006</v>
      </c>
      <c r="Q114">
        <v>-1.4</v>
      </c>
    </row>
    <row r="115" spans="1:17">
      <c r="A115" t="s">
        <v>62</v>
      </c>
      <c r="B115" t="s">
        <v>24</v>
      </c>
      <c r="C115">
        <v>51</v>
      </c>
      <c r="D115">
        <v>31</v>
      </c>
      <c r="E115" s="1">
        <f>+C115/(C115+D115)</f>
        <v>0.62195121951219512</v>
      </c>
      <c r="F115" s="2">
        <v>109.9</v>
      </c>
      <c r="G115" s="2">
        <v>107.3</v>
      </c>
      <c r="H115" s="2">
        <f>+F115-G115</f>
        <v>2.6000000000000085</v>
      </c>
      <c r="I115" s="1">
        <f>+(F115^14)/((F115^14+G115^14))</f>
        <v>0.58302187989199494</v>
      </c>
      <c r="J115" s="2">
        <v>113</v>
      </c>
      <c r="K115" s="2">
        <v>110.2</v>
      </c>
      <c r="L115" s="2">
        <f>+J115-K115</f>
        <v>2.7999999999999972</v>
      </c>
      <c r="M115" s="1">
        <f>+E115-I115</f>
        <v>3.8929339620200176E-2</v>
      </c>
      <c r="N115" s="2">
        <v>105.9</v>
      </c>
      <c r="O115" s="2">
        <v>103.6</v>
      </c>
      <c r="P115" s="2">
        <f t="shared" si="1"/>
        <v>2.3000000000000114</v>
      </c>
      <c r="Q115">
        <v>0.5</v>
      </c>
    </row>
    <row r="116" spans="1:17">
      <c r="A116" t="s">
        <v>39</v>
      </c>
      <c r="B116" t="s">
        <v>25</v>
      </c>
      <c r="C116">
        <v>62</v>
      </c>
      <c r="D116">
        <v>20</v>
      </c>
      <c r="E116" s="1">
        <f>+C116/(C116+D116)</f>
        <v>0.75609756097560976</v>
      </c>
      <c r="F116" s="2">
        <v>110.4</v>
      </c>
      <c r="G116" s="2">
        <v>103.3</v>
      </c>
      <c r="H116" s="2">
        <f>+F116-G116</f>
        <v>7.1000000000000085</v>
      </c>
      <c r="I116" s="1">
        <f>+(F116^14)/((F116^14+G116^14))</f>
        <v>0.71720077079913214</v>
      </c>
      <c r="J116" s="2">
        <v>112.7</v>
      </c>
      <c r="K116" s="2">
        <v>105.7</v>
      </c>
      <c r="L116" s="2">
        <f>+J116-K116</f>
        <v>7</v>
      </c>
      <c r="M116" s="1">
        <f>+E116-I116</f>
        <v>3.8896790176477625E-2</v>
      </c>
      <c r="N116" s="2">
        <v>111.8</v>
      </c>
      <c r="O116" s="2">
        <v>98.9</v>
      </c>
      <c r="P116" s="2">
        <f t="shared" si="1"/>
        <v>12.899999999999991</v>
      </c>
      <c r="Q116">
        <v>0.3</v>
      </c>
    </row>
    <row r="117" spans="1:17">
      <c r="A117" t="s">
        <v>58</v>
      </c>
      <c r="B117" t="s">
        <v>15</v>
      </c>
      <c r="C117">
        <v>48</v>
      </c>
      <c r="D117">
        <v>34</v>
      </c>
      <c r="E117" s="1">
        <f>+C117/(C117+D117)</f>
        <v>0.58536585365853655</v>
      </c>
      <c r="F117" s="2">
        <v>105.6</v>
      </c>
      <c r="G117" s="2">
        <v>104.2</v>
      </c>
      <c r="H117" s="2">
        <f>+F117-G117</f>
        <v>1.3999999999999915</v>
      </c>
      <c r="I117" s="1">
        <f>+(F117^14)/((F117^14+G117^14))</f>
        <v>0.54657641949522462</v>
      </c>
      <c r="J117" s="2">
        <v>108.5</v>
      </c>
      <c r="K117" s="2">
        <v>107.3</v>
      </c>
      <c r="L117" s="2">
        <f>+J117-K117</f>
        <v>1.2000000000000028</v>
      </c>
      <c r="M117" s="1">
        <f>+E117-I117</f>
        <v>3.8789434163311931E-2</v>
      </c>
      <c r="N117" s="2">
        <v>112.2</v>
      </c>
      <c r="O117" s="2">
        <v>95.5</v>
      </c>
      <c r="P117" s="2">
        <f t="shared" si="1"/>
        <v>16.700000000000003</v>
      </c>
      <c r="Q117">
        <v>-0.4</v>
      </c>
    </row>
    <row r="118" spans="1:17">
      <c r="A118" t="s">
        <v>39</v>
      </c>
      <c r="B118" t="s">
        <v>27</v>
      </c>
      <c r="C118">
        <v>50</v>
      </c>
      <c r="D118">
        <v>32</v>
      </c>
      <c r="E118" s="1">
        <f>+C118/(C118+D118)</f>
        <v>0.6097560975609756</v>
      </c>
      <c r="F118" s="2">
        <v>103.7</v>
      </c>
      <c r="G118" s="2">
        <v>101.6</v>
      </c>
      <c r="H118" s="2">
        <f>+F118-G118</f>
        <v>2.1000000000000085</v>
      </c>
      <c r="I118" s="1">
        <f>+(F118^14)/((F118^14+G118^14))</f>
        <v>0.57111949434189069</v>
      </c>
      <c r="J118" s="2">
        <v>108.8</v>
      </c>
      <c r="K118" s="2">
        <v>106.5</v>
      </c>
      <c r="L118" s="2">
        <f>+J118-K118</f>
        <v>2.2999999999999972</v>
      </c>
      <c r="M118" s="1">
        <f>+E118-I118</f>
        <v>3.8636603219084908E-2</v>
      </c>
      <c r="N118" s="2">
        <v>105.2</v>
      </c>
      <c r="O118" s="2">
        <v>104.8</v>
      </c>
      <c r="P118" s="2">
        <f t="shared" si="1"/>
        <v>0.40000000000000568</v>
      </c>
      <c r="Q118">
        <v>0</v>
      </c>
    </row>
    <row r="119" spans="1:17">
      <c r="A119" t="s">
        <v>44</v>
      </c>
      <c r="B119" t="s">
        <v>33</v>
      </c>
      <c r="C119">
        <v>43</v>
      </c>
      <c r="D119">
        <v>39</v>
      </c>
      <c r="E119" s="1">
        <f>+C119/(C119+D119)</f>
        <v>0.52439024390243905</v>
      </c>
      <c r="F119" s="2">
        <v>98.8</v>
      </c>
      <c r="G119" s="2">
        <v>99.2</v>
      </c>
      <c r="H119" s="2">
        <f>+F119-G119</f>
        <v>-0.40000000000000568</v>
      </c>
      <c r="I119" s="1">
        <f>+(F119^14)/((F119^14+G119^14))</f>
        <v>0.48586233608877544</v>
      </c>
      <c r="J119" s="2">
        <v>107.6</v>
      </c>
      <c r="K119" s="2">
        <v>107.9</v>
      </c>
      <c r="L119" s="2">
        <f>+J119-K119</f>
        <v>-0.30000000000001137</v>
      </c>
      <c r="M119" s="1">
        <f>+E119-I119</f>
        <v>3.8527907813663609E-2</v>
      </c>
      <c r="N119" s="2">
        <v>110.5</v>
      </c>
      <c r="O119" s="2">
        <v>108.6</v>
      </c>
      <c r="P119" s="2">
        <f t="shared" si="1"/>
        <v>1.9000000000000057</v>
      </c>
      <c r="Q119">
        <v>-0.1</v>
      </c>
    </row>
    <row r="120" spans="1:17">
      <c r="A120" t="s">
        <v>47</v>
      </c>
      <c r="B120" t="s">
        <v>35</v>
      </c>
      <c r="C120">
        <v>40</v>
      </c>
      <c r="D120">
        <v>42</v>
      </c>
      <c r="E120" s="1">
        <f>+C120/(C120+D120)</f>
        <v>0.48780487804878048</v>
      </c>
      <c r="F120" s="2">
        <v>102.5</v>
      </c>
      <c r="G120" s="2">
        <v>104</v>
      </c>
      <c r="H120" s="2">
        <f>+F120-G120</f>
        <v>-1.5</v>
      </c>
      <c r="I120" s="1">
        <f>+(F120^14)/((F120^14+G120^14))</f>
        <v>0.44932622081798346</v>
      </c>
      <c r="J120" s="2">
        <v>107.5</v>
      </c>
      <c r="K120" s="2">
        <v>109</v>
      </c>
      <c r="L120" s="2">
        <f>+J120-K120</f>
        <v>-1.5</v>
      </c>
      <c r="M120" s="1">
        <f>+E120-I120</f>
        <v>3.847865723079702E-2</v>
      </c>
      <c r="N120" s="2">
        <v>98.2</v>
      </c>
      <c r="O120" s="2">
        <v>99</v>
      </c>
      <c r="P120" s="2">
        <f t="shared" si="1"/>
        <v>-0.79999999999999716</v>
      </c>
      <c r="Q120">
        <v>-1.5</v>
      </c>
    </row>
    <row r="121" spans="1:17">
      <c r="A121" t="s">
        <v>64</v>
      </c>
      <c r="B121" t="s">
        <v>7</v>
      </c>
      <c r="C121">
        <v>21</v>
      </c>
      <c r="D121">
        <v>61</v>
      </c>
      <c r="E121" s="1">
        <f>+C121/(C121+D121)</f>
        <v>0.25609756097560976</v>
      </c>
      <c r="F121" s="2">
        <v>106.6</v>
      </c>
      <c r="G121" s="2">
        <v>116.8</v>
      </c>
      <c r="H121" s="2">
        <f>+F121-G121</f>
        <v>-10.200000000000003</v>
      </c>
      <c r="I121" s="1">
        <f>+(F121^14)/((F121^14+G121^14))</f>
        <v>0.21766704901451664</v>
      </c>
      <c r="J121" s="2">
        <v>108.6</v>
      </c>
      <c r="K121" s="2">
        <v>119.2</v>
      </c>
      <c r="L121" s="2">
        <f>+J121-K121</f>
        <v>-10.600000000000009</v>
      </c>
      <c r="M121" s="1">
        <f>+E121-I121</f>
        <v>3.8430511961093122E-2</v>
      </c>
      <c r="N121" s="2">
        <v>112</v>
      </c>
      <c r="O121" s="2">
        <v>113.6</v>
      </c>
      <c r="P121" s="2">
        <f t="shared" si="1"/>
        <v>-1.5999999999999943</v>
      </c>
      <c r="Q121">
        <v>-0.3</v>
      </c>
    </row>
    <row r="122" spans="1:17">
      <c r="A122" t="s">
        <v>43</v>
      </c>
      <c r="B122" t="s">
        <v>30</v>
      </c>
      <c r="C122">
        <v>47</v>
      </c>
      <c r="D122">
        <v>35</v>
      </c>
      <c r="E122" s="1">
        <f>+C122/(C122+D122)</f>
        <v>0.57317073170731703</v>
      </c>
      <c r="F122" s="2">
        <v>99.5</v>
      </c>
      <c r="G122" s="2">
        <v>98.5</v>
      </c>
      <c r="H122" s="2">
        <f>+F122-G122</f>
        <v>1</v>
      </c>
      <c r="I122" s="1">
        <f>+(F122^14)/((F122^14+G122^14))</f>
        <v>0.53529503549100332</v>
      </c>
      <c r="J122" s="2">
        <v>105.7</v>
      </c>
      <c r="K122" s="2">
        <v>104.4</v>
      </c>
      <c r="L122" s="2">
        <f>+J122-K122</f>
        <v>1.2999999999999972</v>
      </c>
      <c r="M122" s="1">
        <f>+E122-I122</f>
        <v>3.7875696216313703E-2</v>
      </c>
      <c r="N122" s="2">
        <v>106.6</v>
      </c>
      <c r="O122" s="2">
        <v>99.7</v>
      </c>
      <c r="P122" s="2">
        <f t="shared" si="1"/>
        <v>6.8999999999999915</v>
      </c>
      <c r="Q122">
        <v>0.3</v>
      </c>
    </row>
    <row r="123" spans="1:17">
      <c r="A123" t="s">
        <v>50</v>
      </c>
      <c r="B123" t="s">
        <v>8</v>
      </c>
      <c r="C123">
        <v>45</v>
      </c>
      <c r="D123">
        <v>37</v>
      </c>
      <c r="E123" s="1">
        <f>+C123/(C123+D123)</f>
        <v>0.54878048780487809</v>
      </c>
      <c r="F123" s="2">
        <v>93.2</v>
      </c>
      <c r="G123" s="2">
        <v>92.9</v>
      </c>
      <c r="H123" s="2">
        <f>+F123-G123</f>
        <v>0.29999999999999716</v>
      </c>
      <c r="I123" s="1">
        <f>+(F123^14)/((F123^14+G123^14))</f>
        <v>0.51128235010405287</v>
      </c>
      <c r="J123" s="2">
        <v>102.4</v>
      </c>
      <c r="K123" s="2">
        <v>101.9</v>
      </c>
      <c r="L123" s="2">
        <f>+J123-K123</f>
        <v>0.5</v>
      </c>
      <c r="M123" s="1">
        <f>+E123-I123</f>
        <v>3.7498137700825218E-2</v>
      </c>
      <c r="N123" s="2">
        <v>101.4</v>
      </c>
      <c r="O123" s="2">
        <v>94.7</v>
      </c>
      <c r="P123" s="2">
        <f t="shared" si="1"/>
        <v>6.7000000000000028</v>
      </c>
      <c r="Q123">
        <v>-0.5</v>
      </c>
    </row>
    <row r="124" spans="1:17">
      <c r="A124" t="s">
        <v>43</v>
      </c>
      <c r="B124" t="s">
        <v>24</v>
      </c>
      <c r="C124">
        <v>35</v>
      </c>
      <c r="D124">
        <v>47</v>
      </c>
      <c r="E124" s="1">
        <f>+C124/(C124+D124)</f>
        <v>0.42682926829268292</v>
      </c>
      <c r="F124" s="2">
        <v>94.9</v>
      </c>
      <c r="G124" s="2">
        <v>98</v>
      </c>
      <c r="H124" s="2">
        <f>+F124-G124</f>
        <v>-3.0999999999999943</v>
      </c>
      <c r="I124" s="1">
        <f>+(F124^14)/((F124^14+G124^14))</f>
        <v>0.38935771732767777</v>
      </c>
      <c r="J124" s="2">
        <v>102.4</v>
      </c>
      <c r="K124" s="2">
        <v>105.6</v>
      </c>
      <c r="L124" s="2">
        <f>+J124-K124</f>
        <v>-3.1999999999999886</v>
      </c>
      <c r="M124" s="1">
        <f>+E124-I124</f>
        <v>3.7471550965005151E-2</v>
      </c>
      <c r="N124" s="2">
        <v>106.5</v>
      </c>
      <c r="O124" s="2">
        <v>97.9</v>
      </c>
      <c r="P124" s="2">
        <f t="shared" si="1"/>
        <v>8.5999999999999943</v>
      </c>
      <c r="Q124">
        <v>-0.1</v>
      </c>
    </row>
    <row r="125" spans="1:17">
      <c r="A125" t="s">
        <v>44</v>
      </c>
      <c r="B125" t="s">
        <v>40</v>
      </c>
      <c r="C125">
        <v>32</v>
      </c>
      <c r="D125">
        <v>50</v>
      </c>
      <c r="E125" s="1">
        <f>+C125/(C125+D125)</f>
        <v>0.3902439024390244</v>
      </c>
      <c r="F125" s="2">
        <v>97.1</v>
      </c>
      <c r="G125" s="2">
        <v>101.4</v>
      </c>
      <c r="H125" s="2">
        <f>+F125-G125</f>
        <v>-4.3000000000000114</v>
      </c>
      <c r="I125" s="1">
        <f>+(F125^14)/((F125^14+G125^14))</f>
        <v>0.35282512141387656</v>
      </c>
      <c r="J125" s="2">
        <v>103.7</v>
      </c>
      <c r="K125" s="2">
        <v>108.2</v>
      </c>
      <c r="L125" s="2">
        <f>+J125-K125</f>
        <v>-4.5</v>
      </c>
      <c r="M125" s="1">
        <f>+E125-I125</f>
        <v>3.741878102514784E-2</v>
      </c>
      <c r="N125" s="2">
        <v>101.9</v>
      </c>
      <c r="O125" s="2">
        <v>100.5</v>
      </c>
      <c r="P125" s="2">
        <f t="shared" si="1"/>
        <v>1.4000000000000057</v>
      </c>
      <c r="Q125">
        <v>-0.5</v>
      </c>
    </row>
    <row r="126" spans="1:17">
      <c r="A126" t="s">
        <v>34</v>
      </c>
      <c r="B126" t="s">
        <v>8</v>
      </c>
      <c r="C126">
        <v>21</v>
      </c>
      <c r="D126">
        <v>61</v>
      </c>
      <c r="E126" s="1">
        <f>+C126/(C126+D126)</f>
        <v>0.25609756097560976</v>
      </c>
      <c r="F126" s="2">
        <v>89.5</v>
      </c>
      <c r="G126" s="2">
        <v>98</v>
      </c>
      <c r="H126" s="2">
        <f>+F126-G126</f>
        <v>-8.5</v>
      </c>
      <c r="I126" s="1">
        <f>+(F126^14)/((F126^14+G126^14))</f>
        <v>0.21922234164546633</v>
      </c>
      <c r="J126" s="2">
        <v>97.2</v>
      </c>
      <c r="K126" s="2">
        <v>106.2</v>
      </c>
      <c r="L126" s="2">
        <f>+J126-K126</f>
        <v>-9</v>
      </c>
      <c r="M126" s="1">
        <f>+E126-I126</f>
        <v>3.6875219330143427E-2</v>
      </c>
      <c r="N126" s="2">
        <v>99.7</v>
      </c>
      <c r="O126" s="2">
        <v>97.6</v>
      </c>
      <c r="P126" s="2">
        <f t="shared" si="1"/>
        <v>2.1000000000000085</v>
      </c>
      <c r="Q126">
        <v>0</v>
      </c>
    </row>
    <row r="127" spans="1:17">
      <c r="A127" t="s">
        <v>47</v>
      </c>
      <c r="B127" t="s">
        <v>37</v>
      </c>
      <c r="C127">
        <v>37</v>
      </c>
      <c r="D127">
        <v>45</v>
      </c>
      <c r="E127" s="1">
        <f>+C127/(C127+D127)</f>
        <v>0.45121951219512196</v>
      </c>
      <c r="F127" s="2">
        <v>100.2</v>
      </c>
      <c r="G127" s="2">
        <v>102.7</v>
      </c>
      <c r="H127" s="2">
        <f>+F127-G127</f>
        <v>-2.5</v>
      </c>
      <c r="I127" s="1">
        <f>+(F127^14)/((F127^14+G127^14))</f>
        <v>0.41459179126180778</v>
      </c>
      <c r="J127" s="2">
        <v>106.5</v>
      </c>
      <c r="K127" s="2">
        <v>108.9</v>
      </c>
      <c r="L127" s="2">
        <f>+J127-K127</f>
        <v>-2.4000000000000057</v>
      </c>
      <c r="M127" s="1">
        <f>+E127-I127</f>
        <v>3.6627720933314178E-2</v>
      </c>
      <c r="N127" s="2">
        <v>109</v>
      </c>
      <c r="O127" s="2">
        <v>99.2</v>
      </c>
      <c r="P127" s="2">
        <f t="shared" si="1"/>
        <v>9.7999999999999972</v>
      </c>
      <c r="Q127">
        <v>0.3</v>
      </c>
    </row>
    <row r="128" spans="1:17">
      <c r="A128" t="s">
        <v>4</v>
      </c>
      <c r="B128" t="s">
        <v>29</v>
      </c>
      <c r="C128">
        <v>44</v>
      </c>
      <c r="D128">
        <v>38</v>
      </c>
      <c r="E128" s="1">
        <f>+C128/(C128+D128)</f>
        <v>0.53658536585365857</v>
      </c>
      <c r="F128" s="2">
        <v>97.3</v>
      </c>
      <c r="G128" s="2">
        <v>97.3</v>
      </c>
      <c r="H128" s="2">
        <f>+F128-G128</f>
        <v>0</v>
      </c>
      <c r="I128" s="1">
        <f>+(F128^14)/((F128^14+G128^14))</f>
        <v>0.5</v>
      </c>
      <c r="J128" s="2">
        <v>104.4</v>
      </c>
      <c r="K128" s="2">
        <v>104.2</v>
      </c>
      <c r="L128" s="2">
        <f>+J128-K128</f>
        <v>0.20000000000000284</v>
      </c>
      <c r="M128" s="1">
        <f>+E128-I128</f>
        <v>3.6585365853658569E-2</v>
      </c>
      <c r="N128" s="2">
        <v>98.3</v>
      </c>
      <c r="O128" s="2">
        <v>102.3</v>
      </c>
      <c r="P128" s="2">
        <f t="shared" si="1"/>
        <v>-4</v>
      </c>
      <c r="Q128">
        <v>-0.4</v>
      </c>
    </row>
    <row r="129" spans="1:17">
      <c r="A129" t="s">
        <v>63</v>
      </c>
      <c r="B129" t="s">
        <v>28</v>
      </c>
      <c r="C129">
        <v>22</v>
      </c>
      <c r="D129">
        <v>60</v>
      </c>
      <c r="E129" s="1">
        <f>+C129/(C129+D129)</f>
        <v>0.26829268292682928</v>
      </c>
      <c r="F129" s="2">
        <v>113</v>
      </c>
      <c r="G129" s="2">
        <v>123.1</v>
      </c>
      <c r="H129" s="2">
        <f>+F129-G129</f>
        <v>-10.099999999999994</v>
      </c>
      <c r="I129" s="1">
        <f>+(F129^14)/((F129^14+G129^14))</f>
        <v>0.23173700210202122</v>
      </c>
      <c r="J129" s="2">
        <v>109.7</v>
      </c>
      <c r="K129" s="2">
        <v>119.6</v>
      </c>
      <c r="L129" s="2">
        <f>+J129-K129</f>
        <v>-9.8999999999999915</v>
      </c>
      <c r="M129" s="1">
        <f>+E129-I129</f>
        <v>3.6555680824808062E-2</v>
      </c>
      <c r="N129" s="2">
        <v>98.2</v>
      </c>
      <c r="O129" s="2">
        <v>112.4</v>
      </c>
      <c r="P129" s="2">
        <f t="shared" si="1"/>
        <v>-14.200000000000003</v>
      </c>
      <c r="Q129">
        <v>-3.9</v>
      </c>
    </row>
    <row r="130" spans="1:17">
      <c r="A130" t="s">
        <v>54</v>
      </c>
      <c r="B130" t="s">
        <v>33</v>
      </c>
      <c r="C130">
        <v>46</v>
      </c>
      <c r="D130">
        <v>36</v>
      </c>
      <c r="E130" s="1">
        <f>+C130/(C130+D130)</f>
        <v>0.56097560975609762</v>
      </c>
      <c r="F130" s="2">
        <v>98.5</v>
      </c>
      <c r="G130" s="2">
        <v>97.8</v>
      </c>
      <c r="H130" s="2">
        <f>+F130-G130</f>
        <v>0.70000000000000284</v>
      </c>
      <c r="I130" s="1">
        <f>+(F130^14)/((F130^14+G130^14))</f>
        <v>0.52494118140879675</v>
      </c>
      <c r="J130" s="2">
        <v>103</v>
      </c>
      <c r="K130" s="2">
        <v>102.4</v>
      </c>
      <c r="L130" s="2">
        <f>+J130-K130</f>
        <v>0.59999999999999432</v>
      </c>
      <c r="M130" s="1">
        <f>+E130-I130</f>
        <v>3.6034428347300862E-2</v>
      </c>
      <c r="N130" s="2">
        <v>89.6</v>
      </c>
      <c r="O130" s="2">
        <v>104</v>
      </c>
      <c r="P130" s="2">
        <f t="shared" si="1"/>
        <v>-14.400000000000006</v>
      </c>
      <c r="Q130">
        <v>-1.7</v>
      </c>
    </row>
    <row r="131" spans="1:17">
      <c r="A131" t="s">
        <v>64</v>
      </c>
      <c r="B131" t="s">
        <v>11</v>
      </c>
      <c r="C131">
        <v>57</v>
      </c>
      <c r="D131">
        <v>25</v>
      </c>
      <c r="E131" s="1">
        <f>+C131/(C131+D131)</f>
        <v>0.69512195121951215</v>
      </c>
      <c r="F131" s="2">
        <v>114.9</v>
      </c>
      <c r="G131" s="2">
        <v>109.6</v>
      </c>
      <c r="H131" s="2">
        <f>+F131-G131</f>
        <v>5.3000000000000114</v>
      </c>
      <c r="I131" s="1">
        <f>+(F131^14)/((F131^14+G131^14))</f>
        <v>0.65951807642431337</v>
      </c>
      <c r="J131" s="2">
        <v>117.8</v>
      </c>
      <c r="K131" s="2">
        <v>112.3</v>
      </c>
      <c r="L131" s="2">
        <f>+J131-K131</f>
        <v>5.5</v>
      </c>
      <c r="M131" s="1">
        <f>+E131-I131</f>
        <v>3.5603874795198776E-2</v>
      </c>
      <c r="N131" s="2">
        <v>121.1</v>
      </c>
      <c r="O131" s="2">
        <v>95.6</v>
      </c>
      <c r="P131" s="2">
        <f t="shared" si="1"/>
        <v>25.5</v>
      </c>
      <c r="Q131">
        <v>1.2</v>
      </c>
    </row>
    <row r="132" spans="1:17">
      <c r="A132" t="s">
        <v>47</v>
      </c>
      <c r="B132" t="s">
        <v>17</v>
      </c>
      <c r="C132">
        <v>57</v>
      </c>
      <c r="D132">
        <v>25</v>
      </c>
      <c r="E132" s="1">
        <f>+C132/(C132+D132)</f>
        <v>0.69512195121951215</v>
      </c>
      <c r="F132" s="2">
        <v>101.7</v>
      </c>
      <c r="G132" s="2">
        <v>97</v>
      </c>
      <c r="H132" s="2">
        <f>+F132-G132</f>
        <v>4.7000000000000028</v>
      </c>
      <c r="I132" s="1">
        <f>+(F132^14)/((F132^14+G132^14))</f>
        <v>0.65980571592524628</v>
      </c>
      <c r="J132" s="2">
        <v>107.6</v>
      </c>
      <c r="K132" s="2">
        <v>102.7</v>
      </c>
      <c r="L132" s="2">
        <f>+J132-K132</f>
        <v>4.8999999999999915</v>
      </c>
      <c r="M132" s="1">
        <f>+E132-I132</f>
        <v>3.5316235294265863E-2</v>
      </c>
      <c r="N132" s="2">
        <v>99.7</v>
      </c>
      <c r="O132" s="2">
        <v>95.9</v>
      </c>
      <c r="P132" s="2">
        <f t="shared" si="1"/>
        <v>3.7999999999999972</v>
      </c>
      <c r="Q132">
        <v>0.2</v>
      </c>
    </row>
    <row r="133" spans="1:17">
      <c r="A133" t="s">
        <v>66</v>
      </c>
      <c r="B133" t="s">
        <v>8</v>
      </c>
      <c r="C133">
        <v>26</v>
      </c>
      <c r="D133">
        <v>37</v>
      </c>
      <c r="E133" s="1">
        <f>+C133/(C133+D133)</f>
        <v>0.41269841269841268</v>
      </c>
      <c r="F133" s="2">
        <v>115.5</v>
      </c>
      <c r="G133" s="2">
        <v>119.7</v>
      </c>
      <c r="H133" s="2">
        <f>+F133-G133</f>
        <v>-4.2000000000000028</v>
      </c>
      <c r="I133" s="1">
        <f>+(F133^14)/((F133^14+G133^14))</f>
        <v>0.37752817692129625</v>
      </c>
      <c r="J133" s="2">
        <v>112.2</v>
      </c>
      <c r="K133" s="2">
        <v>116.6</v>
      </c>
      <c r="L133" s="2">
        <f>+J133-K133</f>
        <v>-4.3999999999999915</v>
      </c>
      <c r="M133" s="1">
        <f>+E133-I133</f>
        <v>3.5170235777116421E-2</v>
      </c>
      <c r="N133" s="2">
        <v>108.4</v>
      </c>
      <c r="O133" s="2">
        <v>117.1</v>
      </c>
      <c r="P133" s="2">
        <f t="shared" si="1"/>
        <v>-8.6999999999999886</v>
      </c>
      <c r="Q133">
        <v>-0.6</v>
      </c>
    </row>
    <row r="134" spans="1:17">
      <c r="A134" t="s">
        <v>61</v>
      </c>
      <c r="B134" t="s">
        <v>25</v>
      </c>
      <c r="C134">
        <v>51</v>
      </c>
      <c r="D134">
        <v>21</v>
      </c>
      <c r="E134" s="1">
        <f>+C134/(C134+D134)</f>
        <v>0.70833333333333337</v>
      </c>
      <c r="F134" s="2">
        <v>115.3</v>
      </c>
      <c r="G134" s="2">
        <v>109.5</v>
      </c>
      <c r="H134" s="2">
        <f>+F134-G134</f>
        <v>5.7999999999999972</v>
      </c>
      <c r="I134" s="1">
        <f>+(F134^14)/((F134^14+G134^14))</f>
        <v>0.67317496175026137</v>
      </c>
      <c r="J134" s="2">
        <v>116.3</v>
      </c>
      <c r="K134" s="2">
        <v>110.4</v>
      </c>
      <c r="L134" s="2">
        <f>+J134-K134</f>
        <v>5.8999999999999915</v>
      </c>
      <c r="M134" s="1">
        <f>+E134-I134</f>
        <v>3.5158371583072001E-2</v>
      </c>
      <c r="N134" s="2">
        <v>110.3</v>
      </c>
      <c r="O134" s="2">
        <v>107.9</v>
      </c>
      <c r="P134" s="2">
        <f t="shared" si="1"/>
        <v>2.3999999999999915</v>
      </c>
      <c r="Q134">
        <v>0.7</v>
      </c>
    </row>
    <row r="135" spans="1:17">
      <c r="A135" t="s">
        <v>61</v>
      </c>
      <c r="B135" t="s">
        <v>51</v>
      </c>
      <c r="C135">
        <v>48</v>
      </c>
      <c r="D135">
        <v>24</v>
      </c>
      <c r="E135" s="1">
        <f>+C135/(C135+D135)</f>
        <v>0.66666666666666663</v>
      </c>
      <c r="F135" s="2">
        <v>118.6</v>
      </c>
      <c r="G135" s="2">
        <v>114.1</v>
      </c>
      <c r="H135" s="2">
        <f>+F135-G135</f>
        <v>4.5</v>
      </c>
      <c r="I135" s="1">
        <f>+(F135^14)/((F135^14+G135^14))</f>
        <v>0.63216994078193656</v>
      </c>
      <c r="J135" s="2">
        <v>117.3</v>
      </c>
      <c r="K135" s="2">
        <v>113.1</v>
      </c>
      <c r="L135" s="2">
        <f>+J135-K135</f>
        <v>4.2000000000000028</v>
      </c>
      <c r="M135" s="1">
        <f>+E135-I135</f>
        <v>3.4496725884730073E-2</v>
      </c>
      <c r="N135" s="2">
        <v>113.2</v>
      </c>
      <c r="O135" s="2">
        <v>103.5</v>
      </c>
      <c r="P135" s="2">
        <f t="shared" si="1"/>
        <v>9.7000000000000028</v>
      </c>
      <c r="Q135">
        <v>0.9</v>
      </c>
    </row>
    <row r="136" spans="1:17">
      <c r="A136" t="s">
        <v>50</v>
      </c>
      <c r="B136" t="s">
        <v>24</v>
      </c>
      <c r="C136">
        <v>34</v>
      </c>
      <c r="D136">
        <v>48</v>
      </c>
      <c r="E136" s="1">
        <f>+C136/(C136+D136)</f>
        <v>0.41463414634146339</v>
      </c>
      <c r="F136" s="2">
        <v>93.2</v>
      </c>
      <c r="G136" s="2">
        <v>96.5</v>
      </c>
      <c r="H136" s="2">
        <f>+F136-G136</f>
        <v>-3.2999999999999972</v>
      </c>
      <c r="I136" s="1">
        <f>+(F136^14)/((F136^14+G136^14))</f>
        <v>0.38056895293996196</v>
      </c>
      <c r="J136" s="2">
        <v>101</v>
      </c>
      <c r="K136" s="2">
        <v>104.7</v>
      </c>
      <c r="L136" s="2">
        <f>+J136-K136</f>
        <v>-3.7000000000000028</v>
      </c>
      <c r="M136" s="1">
        <f>+E136-I136</f>
        <v>3.4065193401501437E-2</v>
      </c>
      <c r="N136" s="2">
        <v>94.2</v>
      </c>
      <c r="O136" s="2">
        <v>100</v>
      </c>
      <c r="P136" s="2">
        <f t="shared" si="1"/>
        <v>-5.7999999999999972</v>
      </c>
      <c r="Q136">
        <v>-0.7</v>
      </c>
    </row>
    <row r="137" spans="1:17">
      <c r="A137" t="s">
        <v>62</v>
      </c>
      <c r="B137" t="s">
        <v>46</v>
      </c>
      <c r="C137">
        <v>24</v>
      </c>
      <c r="D137">
        <v>58</v>
      </c>
      <c r="E137" s="1">
        <f>+C137/(C137+D137)</f>
        <v>0.29268292682926828</v>
      </c>
      <c r="F137" s="2">
        <v>103.7</v>
      </c>
      <c r="G137" s="2">
        <v>111.8</v>
      </c>
      <c r="H137" s="2">
        <f>+F137-G137</f>
        <v>-8.0999999999999943</v>
      </c>
      <c r="I137" s="1">
        <f>+(F137^14)/((F137^14+G137^14))</f>
        <v>0.25866242852383342</v>
      </c>
      <c r="J137" s="2">
        <v>103.8</v>
      </c>
      <c r="K137" s="2">
        <v>111.7</v>
      </c>
      <c r="L137" s="2">
        <f>+J137-K137</f>
        <v>-7.9000000000000057</v>
      </c>
      <c r="M137" s="1">
        <f>+E137-I137</f>
        <v>3.4020498305434854E-2</v>
      </c>
      <c r="N137" s="2">
        <v>105.1</v>
      </c>
      <c r="O137" s="2">
        <v>108.7</v>
      </c>
      <c r="P137" s="2">
        <f t="shared" si="1"/>
        <v>-3.6000000000000085</v>
      </c>
      <c r="Q137">
        <v>-0.7</v>
      </c>
    </row>
    <row r="138" spans="1:17">
      <c r="A138" t="s">
        <v>43</v>
      </c>
      <c r="B138" t="s">
        <v>42</v>
      </c>
      <c r="C138">
        <v>39</v>
      </c>
      <c r="D138">
        <v>43</v>
      </c>
      <c r="E138" s="1">
        <f>+C138/(C138+D138)</f>
        <v>0.47560975609756095</v>
      </c>
      <c r="F138" s="2">
        <v>95.5</v>
      </c>
      <c r="G138" s="2">
        <v>97.1</v>
      </c>
      <c r="H138" s="2">
        <f>+F138-G138</f>
        <v>-1.5999999999999943</v>
      </c>
      <c r="I138" s="1">
        <f>+(F138^14)/((F138^14+G138^14))</f>
        <v>0.44210785442582834</v>
      </c>
      <c r="J138" s="2">
        <v>103.7</v>
      </c>
      <c r="K138" s="2">
        <v>105.4</v>
      </c>
      <c r="L138" s="2">
        <f>+J138-K138</f>
        <v>-1.7000000000000028</v>
      </c>
      <c r="M138" s="1">
        <f>+E138-I138</f>
        <v>3.3501901671732615E-2</v>
      </c>
      <c r="N138" s="2">
        <v>101.2</v>
      </c>
      <c r="O138" s="2">
        <v>96.6</v>
      </c>
      <c r="P138" s="2">
        <f t="shared" ref="P138:P201" si="2">+N138-O138</f>
        <v>4.6000000000000085</v>
      </c>
      <c r="Q138">
        <v>-0.2</v>
      </c>
    </row>
    <row r="139" spans="1:17">
      <c r="A139" t="s">
        <v>62</v>
      </c>
      <c r="B139" t="s">
        <v>33</v>
      </c>
      <c r="C139">
        <v>35</v>
      </c>
      <c r="D139">
        <v>47</v>
      </c>
      <c r="E139" s="1">
        <f>+C139/(C139+D139)</f>
        <v>0.42682926829268292</v>
      </c>
      <c r="F139" s="2">
        <v>108.6</v>
      </c>
      <c r="G139" s="2">
        <v>112</v>
      </c>
      <c r="H139" s="2">
        <f>+F139-G139</f>
        <v>-3.4000000000000057</v>
      </c>
      <c r="I139" s="1">
        <f>+(F139^14)/((F139^14+G139^14))</f>
        <v>0.39374803277968673</v>
      </c>
      <c r="J139" s="2">
        <v>110.2</v>
      </c>
      <c r="K139" s="2">
        <v>113.6</v>
      </c>
      <c r="L139" s="2">
        <f>+J139-K139</f>
        <v>-3.3999999999999915</v>
      </c>
      <c r="M139" s="1">
        <f>+E139-I139</f>
        <v>3.3081235512996188E-2</v>
      </c>
      <c r="N139" s="2">
        <v>111.5</v>
      </c>
      <c r="O139" s="2">
        <v>98.8</v>
      </c>
      <c r="P139" s="2">
        <f t="shared" si="2"/>
        <v>12.700000000000003</v>
      </c>
      <c r="Q139">
        <v>0.5</v>
      </c>
    </row>
    <row r="140" spans="1:17">
      <c r="A140" t="s">
        <v>44</v>
      </c>
      <c r="B140" t="s">
        <v>26</v>
      </c>
      <c r="C140">
        <v>41</v>
      </c>
      <c r="D140">
        <v>41</v>
      </c>
      <c r="E140" s="1">
        <f>+C140/(C140+D140)</f>
        <v>0.5</v>
      </c>
      <c r="F140" s="2">
        <v>95.4</v>
      </c>
      <c r="G140" s="2">
        <v>96.3</v>
      </c>
      <c r="H140" s="2">
        <f>+F140-G140</f>
        <v>-0.89999999999999147</v>
      </c>
      <c r="I140" s="1">
        <f>+(F140^14)/((F140^14+G140^14))</f>
        <v>0.46718315355083007</v>
      </c>
      <c r="J140" s="2">
        <v>105.9</v>
      </c>
      <c r="K140" s="2">
        <v>106.8</v>
      </c>
      <c r="L140" s="2">
        <f>+J140-K140</f>
        <v>-0.89999999999999147</v>
      </c>
      <c r="M140" s="1">
        <f>+E140-I140</f>
        <v>3.2816846449169934E-2</v>
      </c>
      <c r="N140" s="2">
        <v>110.6</v>
      </c>
      <c r="O140" s="2">
        <v>107.7</v>
      </c>
      <c r="P140" s="2">
        <f t="shared" si="2"/>
        <v>2.8999999999999915</v>
      </c>
      <c r="Q140">
        <v>0.1</v>
      </c>
    </row>
    <row r="141" spans="1:17">
      <c r="A141" t="s">
        <v>52</v>
      </c>
      <c r="B141" t="s">
        <v>24</v>
      </c>
      <c r="C141">
        <v>19</v>
      </c>
      <c r="D141">
        <v>63</v>
      </c>
      <c r="E141" s="1">
        <f>+C141/(C141+D141)</f>
        <v>0.23170731707317074</v>
      </c>
      <c r="F141" s="2">
        <v>99.5</v>
      </c>
      <c r="G141" s="2">
        <v>109.9</v>
      </c>
      <c r="H141" s="2">
        <f>+F141-G141</f>
        <v>-10.400000000000006</v>
      </c>
      <c r="I141" s="1">
        <f>+(F141^14)/((F141^14+G141^14))</f>
        <v>0.19912293805378545</v>
      </c>
      <c r="J141" s="2">
        <v>99</v>
      </c>
      <c r="K141" s="2">
        <v>109</v>
      </c>
      <c r="L141" s="2">
        <f>+J141-K141</f>
        <v>-10</v>
      </c>
      <c r="M141" s="1">
        <f>+E141-I141</f>
        <v>3.2584379019385296E-2</v>
      </c>
      <c r="N141" s="2">
        <v>105</v>
      </c>
      <c r="O141" s="2">
        <v>99</v>
      </c>
      <c r="P141" s="2">
        <f t="shared" si="2"/>
        <v>6</v>
      </c>
      <c r="Q141">
        <v>-0.8</v>
      </c>
    </row>
    <row r="142" spans="1:17">
      <c r="A142" t="s">
        <v>59</v>
      </c>
      <c r="B142" t="s">
        <v>11</v>
      </c>
      <c r="C142">
        <v>54</v>
      </c>
      <c r="D142">
        <v>28</v>
      </c>
      <c r="E142" s="1">
        <f>+C142/(C142+D142)</f>
        <v>0.65853658536585369</v>
      </c>
      <c r="F142" s="2">
        <v>110.7</v>
      </c>
      <c r="G142" s="2">
        <v>106.7</v>
      </c>
      <c r="H142" s="2">
        <f>+F142-G142</f>
        <v>4</v>
      </c>
      <c r="I142" s="1">
        <f>+(F142^14)/((F142^14+G142^14))</f>
        <v>0.62603347117131569</v>
      </c>
      <c r="J142" s="2">
        <v>112.1</v>
      </c>
      <c r="K142" s="2">
        <v>108.1</v>
      </c>
      <c r="L142" s="2">
        <f>+J142-K142</f>
        <v>4</v>
      </c>
      <c r="M142" s="1">
        <f>+E142-I142</f>
        <v>3.2503114194537996E-2</v>
      </c>
      <c r="N142" s="2">
        <v>106.7</v>
      </c>
      <c r="O142" s="2">
        <v>94.9</v>
      </c>
      <c r="P142" s="2">
        <f t="shared" si="2"/>
        <v>11.799999999999997</v>
      </c>
      <c r="Q142">
        <v>1.6</v>
      </c>
    </row>
    <row r="143" spans="1:17">
      <c r="A143" t="s">
        <v>50</v>
      </c>
      <c r="B143" t="s">
        <v>11</v>
      </c>
      <c r="C143">
        <v>57</v>
      </c>
      <c r="D143">
        <v>25</v>
      </c>
      <c r="E143" s="1">
        <f>+C143/(C143+D143)</f>
        <v>0.69512195121951215</v>
      </c>
      <c r="F143" s="2">
        <v>106.1</v>
      </c>
      <c r="G143" s="2">
        <v>101.1</v>
      </c>
      <c r="H143" s="2">
        <f>+F143-G143</f>
        <v>5</v>
      </c>
      <c r="I143" s="1">
        <f>+(F143^14)/((F143^14+G143^14))</f>
        <v>0.66280219358548198</v>
      </c>
      <c r="J143" s="2">
        <v>109.3</v>
      </c>
      <c r="K143" s="2">
        <v>104.2</v>
      </c>
      <c r="L143" s="2">
        <f>+J143-K143</f>
        <v>5.0999999999999943</v>
      </c>
      <c r="M143" s="1">
        <f>+E143-I143</f>
        <v>3.2319757634030166E-2</v>
      </c>
      <c r="N143" s="2">
        <v>107.2</v>
      </c>
      <c r="O143" s="2">
        <v>95.7</v>
      </c>
      <c r="P143" s="2">
        <f t="shared" si="2"/>
        <v>11.5</v>
      </c>
      <c r="Q143">
        <v>1.4</v>
      </c>
    </row>
    <row r="144" spans="1:17">
      <c r="A144" t="s">
        <v>50</v>
      </c>
      <c r="B144" t="s">
        <v>51</v>
      </c>
      <c r="C144">
        <v>49</v>
      </c>
      <c r="D144">
        <v>33</v>
      </c>
      <c r="E144" s="1">
        <f>+C144/(C144+D144)</f>
        <v>0.59756097560975607</v>
      </c>
      <c r="F144" s="2">
        <v>96.9</v>
      </c>
      <c r="G144" s="2">
        <v>95.1</v>
      </c>
      <c r="H144" s="2">
        <f>+F144-G144</f>
        <v>1.8000000000000114</v>
      </c>
      <c r="I144" s="1">
        <f>+(F144^14)/((F144^14+G144^14))</f>
        <v>0.56525263753000543</v>
      </c>
      <c r="J144" s="2">
        <v>106.9</v>
      </c>
      <c r="K144" s="2">
        <v>104.8</v>
      </c>
      <c r="L144" s="2">
        <f>+J144-K144</f>
        <v>2.1000000000000085</v>
      </c>
      <c r="M144" s="1">
        <f>+E144-I144</f>
        <v>3.2308338079750643E-2</v>
      </c>
      <c r="N144" s="2">
        <v>98.8</v>
      </c>
      <c r="O144" s="2">
        <v>99.7</v>
      </c>
      <c r="P144" s="2">
        <f t="shared" si="2"/>
        <v>-0.90000000000000568</v>
      </c>
      <c r="Q144">
        <v>0.4</v>
      </c>
    </row>
    <row r="145" spans="1:17">
      <c r="A145" t="s">
        <v>39</v>
      </c>
      <c r="B145" t="s">
        <v>8</v>
      </c>
      <c r="C145">
        <v>47</v>
      </c>
      <c r="D145">
        <v>35</v>
      </c>
      <c r="E145" s="1">
        <f>+C145/(C145+D145)</f>
        <v>0.57317073170731703</v>
      </c>
      <c r="F145" s="2">
        <v>94.5</v>
      </c>
      <c r="G145" s="2">
        <v>93.4</v>
      </c>
      <c r="H145" s="2">
        <f>+F145-G145</f>
        <v>1.0999999999999943</v>
      </c>
      <c r="I145" s="1">
        <f>+(F145^14)/((F145^14+G145^14))</f>
        <v>0.54088819998710902</v>
      </c>
      <c r="J145" s="2">
        <v>100.5</v>
      </c>
      <c r="K145" s="2">
        <v>99.1</v>
      </c>
      <c r="L145" s="2">
        <f>+J145-K145</f>
        <v>1.4000000000000057</v>
      </c>
      <c r="M145" s="1">
        <f>+E145-I145</f>
        <v>3.2282531720208008E-2</v>
      </c>
      <c r="N145" s="2">
        <v>96.7</v>
      </c>
      <c r="O145" s="2">
        <v>87</v>
      </c>
      <c r="P145" s="2">
        <f t="shared" si="2"/>
        <v>9.7000000000000028</v>
      </c>
      <c r="Q145">
        <v>0.8</v>
      </c>
    </row>
    <row r="146" spans="1:17">
      <c r="A146" t="s">
        <v>60</v>
      </c>
      <c r="B146" t="s">
        <v>31</v>
      </c>
      <c r="C146">
        <v>44</v>
      </c>
      <c r="D146">
        <v>28</v>
      </c>
      <c r="E146" s="1">
        <f>+C146/(C146+D146)</f>
        <v>0.61111111111111116</v>
      </c>
      <c r="F146" s="2">
        <v>111.3</v>
      </c>
      <c r="G146" s="2">
        <v>108.8</v>
      </c>
      <c r="H146" s="2">
        <f>+F146-G146</f>
        <v>2.5</v>
      </c>
      <c r="I146" s="1">
        <f>+(F146^14)/((F146^14+G146^14))</f>
        <v>0.57884917653720358</v>
      </c>
      <c r="J146" s="2">
        <v>111.8</v>
      </c>
      <c r="K146" s="2">
        <v>109.3</v>
      </c>
      <c r="L146" s="2">
        <f>+J146-K146</f>
        <v>2.5</v>
      </c>
      <c r="M146" s="1">
        <f>+E146-I146</f>
        <v>3.226193457390758E-2</v>
      </c>
      <c r="N146" s="2">
        <v>112.8</v>
      </c>
      <c r="O146" s="2">
        <v>100.3</v>
      </c>
      <c r="P146" s="2">
        <f t="shared" si="2"/>
        <v>12.5</v>
      </c>
      <c r="Q146">
        <v>0.1</v>
      </c>
    </row>
    <row r="147" spans="1:17">
      <c r="A147" t="s">
        <v>34</v>
      </c>
      <c r="B147" t="s">
        <v>35</v>
      </c>
      <c r="C147">
        <v>23</v>
      </c>
      <c r="D147">
        <v>59</v>
      </c>
      <c r="E147" s="1">
        <f>+C147/(C147+D147)</f>
        <v>0.28048780487804881</v>
      </c>
      <c r="F147" s="2">
        <v>89.9</v>
      </c>
      <c r="G147" s="2">
        <v>97.3</v>
      </c>
      <c r="H147" s="2">
        <f>+F147-G147</f>
        <v>-7.3999999999999915</v>
      </c>
      <c r="I147" s="1">
        <f>+(F147^14)/((F147^14+G147^14))</f>
        <v>0.24835318847310597</v>
      </c>
      <c r="J147" s="2">
        <v>96.6</v>
      </c>
      <c r="K147" s="2">
        <v>104.7</v>
      </c>
      <c r="L147" s="2">
        <f>+J147-K147</f>
        <v>-8.1000000000000085</v>
      </c>
      <c r="M147" s="1">
        <f>+E147-I147</f>
        <v>3.2134616404942834E-2</v>
      </c>
      <c r="N147" s="2">
        <v>89.1</v>
      </c>
      <c r="O147" s="2">
        <v>98.5</v>
      </c>
      <c r="P147" s="2">
        <f t="shared" si="2"/>
        <v>-9.4000000000000057</v>
      </c>
      <c r="Q147">
        <v>-1.2</v>
      </c>
    </row>
    <row r="148" spans="1:17">
      <c r="A148" t="s">
        <v>38</v>
      </c>
      <c r="B148" t="s">
        <v>22</v>
      </c>
      <c r="C148">
        <v>39</v>
      </c>
      <c r="D148">
        <v>43</v>
      </c>
      <c r="E148" s="1">
        <f>+C148/(C148+D148)</f>
        <v>0.47560975609756095</v>
      </c>
      <c r="F148" s="2">
        <v>92</v>
      </c>
      <c r="G148" s="2">
        <v>93.5</v>
      </c>
      <c r="H148" s="2">
        <f>+F148-G148</f>
        <v>-1.5</v>
      </c>
      <c r="I148" s="1">
        <f>+(F148^14)/((F148^14+G148^14))</f>
        <v>0.44363558545762971</v>
      </c>
      <c r="J148" s="2">
        <v>99.7</v>
      </c>
      <c r="K148" s="2">
        <v>101.3</v>
      </c>
      <c r="L148" s="2">
        <f>+J148-K148</f>
        <v>-1.5999999999999943</v>
      </c>
      <c r="M148" s="1">
        <f>+E148-I148</f>
        <v>3.1974170639931243E-2</v>
      </c>
      <c r="N148" s="2">
        <v>103.3</v>
      </c>
      <c r="O148" s="2">
        <v>92.4</v>
      </c>
      <c r="P148" s="2">
        <f t="shared" si="2"/>
        <v>10.899999999999991</v>
      </c>
      <c r="Q148">
        <v>0.1</v>
      </c>
    </row>
    <row r="149" spans="1:17">
      <c r="A149" t="s">
        <v>59</v>
      </c>
      <c r="B149" t="s">
        <v>28</v>
      </c>
      <c r="C149">
        <v>48</v>
      </c>
      <c r="D149">
        <v>34</v>
      </c>
      <c r="E149" s="1">
        <f>+C149/(C149+D149)</f>
        <v>0.58536585365853655</v>
      </c>
      <c r="F149" s="2">
        <v>111.7</v>
      </c>
      <c r="G149" s="2">
        <v>110</v>
      </c>
      <c r="H149" s="2">
        <f>+F149-G149</f>
        <v>1.7000000000000028</v>
      </c>
      <c r="I149" s="1">
        <f>+(F149^14)/((F149^14+G149^14))</f>
        <v>0.55347192797788125</v>
      </c>
      <c r="J149" s="2">
        <v>112.2</v>
      </c>
      <c r="K149" s="2">
        <v>110.6</v>
      </c>
      <c r="L149" s="2">
        <f>+J149-K149</f>
        <v>1.6000000000000085</v>
      </c>
      <c r="M149" s="1">
        <f>+E149-I149</f>
        <v>3.18939256806553E-2</v>
      </c>
      <c r="N149" s="2">
        <v>113.6</v>
      </c>
      <c r="O149" s="2">
        <v>112.5</v>
      </c>
      <c r="P149" s="2">
        <f t="shared" si="2"/>
        <v>1.0999999999999943</v>
      </c>
      <c r="Q149">
        <v>0.4</v>
      </c>
    </row>
    <row r="150" spans="1:17">
      <c r="A150" t="s">
        <v>52</v>
      </c>
      <c r="B150" t="s">
        <v>40</v>
      </c>
      <c r="C150">
        <v>43</v>
      </c>
      <c r="D150">
        <v>39</v>
      </c>
      <c r="E150" s="1">
        <f>+C150/(C150+D150)</f>
        <v>0.52439024390243905</v>
      </c>
      <c r="F150" s="2">
        <v>96.9</v>
      </c>
      <c r="G150" s="2">
        <v>97.1</v>
      </c>
      <c r="H150" s="2">
        <f>+F150-G150</f>
        <v>-0.19999999999998863</v>
      </c>
      <c r="I150" s="1">
        <f>+(F150^14)/((F150^14+G150^14))</f>
        <v>0.49278400364904085</v>
      </c>
      <c r="J150" s="2">
        <v>103</v>
      </c>
      <c r="K150" s="2">
        <v>103.3</v>
      </c>
      <c r="L150" s="2">
        <f>+J150-K150</f>
        <v>-0.29999999999999716</v>
      </c>
      <c r="M150" s="1">
        <f>+E150-I150</f>
        <v>3.1606240253398199E-2</v>
      </c>
      <c r="N150" s="2">
        <v>94.6</v>
      </c>
      <c r="O150" s="2">
        <v>92.6</v>
      </c>
      <c r="P150" s="2">
        <f t="shared" si="2"/>
        <v>2</v>
      </c>
      <c r="Q150">
        <v>-0.4</v>
      </c>
    </row>
    <row r="151" spans="1:17">
      <c r="A151" t="s">
        <v>34</v>
      </c>
      <c r="B151" t="s">
        <v>12</v>
      </c>
      <c r="C151">
        <v>50</v>
      </c>
      <c r="D151">
        <v>32</v>
      </c>
      <c r="E151" s="1">
        <f>+C151/(C151+D151)</f>
        <v>0.6097560975609756</v>
      </c>
      <c r="F151" s="2">
        <v>94.3</v>
      </c>
      <c r="G151" s="2">
        <v>92.2</v>
      </c>
      <c r="H151" s="2">
        <f>+F151-G151</f>
        <v>2.0999999999999943</v>
      </c>
      <c r="I151" s="1">
        <f>+(F151^14)/((F151^14+G151^14))</f>
        <v>0.57817713942580595</v>
      </c>
      <c r="J151" s="2">
        <v>103.2</v>
      </c>
      <c r="K151" s="2">
        <v>100.9</v>
      </c>
      <c r="L151" s="2">
        <f>+J151-K151</f>
        <v>2.2999999999999972</v>
      </c>
      <c r="M151" s="1">
        <f>+E151-I151</f>
        <v>3.1578958135169644E-2</v>
      </c>
      <c r="N151" s="2">
        <v>96.6</v>
      </c>
      <c r="O151" s="2">
        <v>93.2</v>
      </c>
      <c r="P151" s="2">
        <f t="shared" si="2"/>
        <v>3.3999999999999915</v>
      </c>
      <c r="Q151">
        <v>1</v>
      </c>
    </row>
    <row r="152" spans="1:17">
      <c r="A152" t="s">
        <v>65</v>
      </c>
      <c r="B152" t="s">
        <v>26</v>
      </c>
      <c r="C152">
        <v>36</v>
      </c>
      <c r="D152">
        <v>46</v>
      </c>
      <c r="E152" s="1">
        <f>+C152/(C152+D152)</f>
        <v>0.43902439024390244</v>
      </c>
      <c r="F152" s="2">
        <v>110.9</v>
      </c>
      <c r="G152" s="2">
        <v>113.9</v>
      </c>
      <c r="H152" s="2">
        <f>+F152-G152</f>
        <v>-3</v>
      </c>
      <c r="I152" s="1">
        <f>+(F152^14)/((F152^14+G152^14))</f>
        <v>0.40765025304678426</v>
      </c>
      <c r="J152" s="2">
        <v>111</v>
      </c>
      <c r="K152" s="2">
        <v>113.7</v>
      </c>
      <c r="L152" s="2">
        <f>+J152-K152</f>
        <v>-2.7000000000000028</v>
      </c>
      <c r="M152" s="1">
        <f>+E152-I152</f>
        <v>3.1374137197118179E-2</v>
      </c>
      <c r="N152" s="2">
        <v>113.6</v>
      </c>
      <c r="O152" s="2">
        <v>121.9</v>
      </c>
      <c r="P152" s="2">
        <f t="shared" si="2"/>
        <v>-8.3000000000000114</v>
      </c>
      <c r="Q152">
        <v>-1.1000000000000001</v>
      </c>
    </row>
    <row r="153" spans="1:17">
      <c r="A153" t="s">
        <v>65</v>
      </c>
      <c r="B153" t="s">
        <v>51</v>
      </c>
      <c r="C153">
        <v>26</v>
      </c>
      <c r="D153">
        <v>56</v>
      </c>
      <c r="E153" s="1">
        <f>+C153/(C153+D153)</f>
        <v>0.31707317073170732</v>
      </c>
      <c r="F153" s="2">
        <v>105.1</v>
      </c>
      <c r="G153" s="2">
        <v>112.2</v>
      </c>
      <c r="H153" s="2">
        <f>+F153-G153</f>
        <v>-7.1000000000000085</v>
      </c>
      <c r="I153" s="1">
        <f>+(F153^14)/((F153^14+G153^14))</f>
        <v>0.28593897521823097</v>
      </c>
      <c r="J153" s="2">
        <v>108.1</v>
      </c>
      <c r="K153" s="2">
        <v>115.4</v>
      </c>
      <c r="L153" s="2">
        <f>+J153-K153</f>
        <v>-7.3000000000000114</v>
      </c>
      <c r="M153" s="1">
        <f>+E153-I153</f>
        <v>3.1134195513476348E-2</v>
      </c>
      <c r="N153" s="2">
        <v>100.3</v>
      </c>
      <c r="O153" s="2">
        <v>116.9</v>
      </c>
      <c r="P153" s="2">
        <f t="shared" si="2"/>
        <v>-16.600000000000009</v>
      </c>
      <c r="Q153">
        <v>-1.6</v>
      </c>
    </row>
    <row r="154" spans="1:17">
      <c r="A154" t="s">
        <v>52</v>
      </c>
      <c r="B154" t="s">
        <v>26</v>
      </c>
      <c r="C154">
        <v>54</v>
      </c>
      <c r="D154">
        <v>28</v>
      </c>
      <c r="E154" s="1">
        <f>+C154/(C154+D154)</f>
        <v>0.65853658536585369</v>
      </c>
      <c r="F154" s="2">
        <v>106.7</v>
      </c>
      <c r="G154" s="2">
        <v>102.8</v>
      </c>
      <c r="H154" s="2">
        <f>+F154-G154</f>
        <v>3.9000000000000057</v>
      </c>
      <c r="I154" s="1">
        <f>+(F154^14)/((F154^14+G154^14))</f>
        <v>0.62745199732003099</v>
      </c>
      <c r="J154" s="2">
        <v>110.4</v>
      </c>
      <c r="K154" s="2">
        <v>106.2</v>
      </c>
      <c r="L154" s="2">
        <f>+J154-K154</f>
        <v>4.2000000000000028</v>
      </c>
      <c r="M154" s="1">
        <f>+E154-I154</f>
        <v>3.1084588045822703E-2</v>
      </c>
      <c r="N154" s="2">
        <v>113.7</v>
      </c>
      <c r="O154" s="2">
        <v>101</v>
      </c>
      <c r="P154" s="2">
        <f t="shared" si="2"/>
        <v>12.700000000000003</v>
      </c>
      <c r="Q154">
        <v>0.6</v>
      </c>
    </row>
    <row r="155" spans="1:17">
      <c r="A155" t="s">
        <v>55</v>
      </c>
      <c r="B155" t="s">
        <v>30</v>
      </c>
      <c r="C155">
        <v>56</v>
      </c>
      <c r="D155">
        <v>26</v>
      </c>
      <c r="E155" s="1">
        <f>+C155/(C155+D155)</f>
        <v>0.68292682926829273</v>
      </c>
      <c r="F155" s="2">
        <v>102.7</v>
      </c>
      <c r="G155" s="2">
        <v>98.2</v>
      </c>
      <c r="H155" s="2">
        <f>+F155-G155</f>
        <v>4.5</v>
      </c>
      <c r="I155" s="1">
        <f>+(F155^14)/((F155^14+G155^14))</f>
        <v>0.65187304994551343</v>
      </c>
      <c r="J155" s="2">
        <v>109.3</v>
      </c>
      <c r="K155" s="2">
        <v>104.8</v>
      </c>
      <c r="L155" s="2">
        <f>+J155-K155</f>
        <v>4.5</v>
      </c>
      <c r="M155" s="1">
        <f>+E155-I155</f>
        <v>3.1053779322779307E-2</v>
      </c>
      <c r="N155" s="2">
        <v>108.5</v>
      </c>
      <c r="O155" s="2">
        <v>100.3</v>
      </c>
      <c r="P155" s="2">
        <f t="shared" si="2"/>
        <v>8.2000000000000028</v>
      </c>
      <c r="Q155">
        <v>1.5</v>
      </c>
    </row>
    <row r="156" spans="1:17">
      <c r="A156" t="s">
        <v>41</v>
      </c>
      <c r="B156" t="s">
        <v>28</v>
      </c>
      <c r="C156">
        <v>63</v>
      </c>
      <c r="D156">
        <v>19</v>
      </c>
      <c r="E156" s="1">
        <f>+C156/(C156+D156)</f>
        <v>0.76829268292682928</v>
      </c>
      <c r="F156" s="2">
        <v>95.6</v>
      </c>
      <c r="G156" s="2">
        <v>88.8</v>
      </c>
      <c r="H156" s="2">
        <f>+F156-G156</f>
        <v>6.7999999999999972</v>
      </c>
      <c r="I156" s="1">
        <f>+(F156^14)/((F156^14+G156^14))</f>
        <v>0.7374983301821354</v>
      </c>
      <c r="J156" s="2">
        <v>106.2</v>
      </c>
      <c r="K156" s="2">
        <v>98.7</v>
      </c>
      <c r="L156" s="2">
        <f>+J156-K156</f>
        <v>7.5</v>
      </c>
      <c r="M156" s="1">
        <f>+E156-I156</f>
        <v>3.0794352744693887E-2</v>
      </c>
      <c r="N156" s="2">
        <v>102.1</v>
      </c>
      <c r="O156" s="2">
        <v>89.8</v>
      </c>
      <c r="P156" s="2">
        <f t="shared" si="2"/>
        <v>12.299999999999997</v>
      </c>
      <c r="Q156">
        <v>0.2</v>
      </c>
    </row>
    <row r="157" spans="1:17">
      <c r="A157" t="s">
        <v>49</v>
      </c>
      <c r="B157" t="s">
        <v>23</v>
      </c>
      <c r="C157">
        <v>37</v>
      </c>
      <c r="D157">
        <v>29</v>
      </c>
      <c r="E157" s="1">
        <f>+C157/(C157+D157)</f>
        <v>0.56060606060606055</v>
      </c>
      <c r="F157" s="2">
        <v>94.2</v>
      </c>
      <c r="G157" s="2">
        <v>93.4</v>
      </c>
      <c r="H157" s="2">
        <f>+F157-G157</f>
        <v>0.79999999999999716</v>
      </c>
      <c r="I157" s="1">
        <f>+(F157^14)/((F157^14+G157^14))</f>
        <v>0.52981551170793983</v>
      </c>
      <c r="J157" s="2">
        <v>104</v>
      </c>
      <c r="K157" s="2">
        <v>103.4</v>
      </c>
      <c r="L157" s="2">
        <f>+J157-K157</f>
        <v>0.59999999999999432</v>
      </c>
      <c r="M157" s="1">
        <f>+E157-I157</f>
        <v>3.0790548898120718E-2</v>
      </c>
      <c r="N157" s="2">
        <v>110</v>
      </c>
      <c r="O157" s="2">
        <v>95.1</v>
      </c>
      <c r="P157" s="2">
        <f t="shared" si="2"/>
        <v>14.900000000000006</v>
      </c>
      <c r="Q157">
        <v>-0.5</v>
      </c>
    </row>
    <row r="158" spans="1:17">
      <c r="A158" t="s">
        <v>50</v>
      </c>
      <c r="B158" t="s">
        <v>35</v>
      </c>
      <c r="C158">
        <v>56</v>
      </c>
      <c r="D158">
        <v>26</v>
      </c>
      <c r="E158" s="1">
        <f>+C158/(C158+D158)</f>
        <v>0.68292682926829273</v>
      </c>
      <c r="F158" s="2">
        <v>93.4</v>
      </c>
      <c r="G158" s="2">
        <v>89.3</v>
      </c>
      <c r="H158" s="2">
        <f>+F158-G158</f>
        <v>4.1000000000000085</v>
      </c>
      <c r="I158" s="1">
        <f>+(F158^14)/((F158^14+G158^14))</f>
        <v>0.65213973687486437</v>
      </c>
      <c r="J158" s="2">
        <v>103.6</v>
      </c>
      <c r="K158" s="2">
        <v>99.1</v>
      </c>
      <c r="L158" s="2">
        <f>+J158-K158</f>
        <v>4.5</v>
      </c>
      <c r="M158" s="1">
        <f>+E158-I158</f>
        <v>3.0787092393428361E-2</v>
      </c>
      <c r="N158" s="2">
        <v>97.9</v>
      </c>
      <c r="O158" s="2">
        <v>90.4</v>
      </c>
      <c r="P158" s="2">
        <f t="shared" si="2"/>
        <v>7.5</v>
      </c>
      <c r="Q158">
        <v>-0.7</v>
      </c>
    </row>
    <row r="159" spans="1:17">
      <c r="A159" t="s">
        <v>43</v>
      </c>
      <c r="B159" t="s">
        <v>5</v>
      </c>
      <c r="C159">
        <v>30</v>
      </c>
      <c r="D159">
        <v>52</v>
      </c>
      <c r="E159" s="1">
        <f>+C159/(C159+D159)</f>
        <v>0.36585365853658536</v>
      </c>
      <c r="F159" s="2">
        <v>93.7</v>
      </c>
      <c r="G159" s="2">
        <v>98.4</v>
      </c>
      <c r="H159" s="2">
        <f>+F159-G159</f>
        <v>-4.7000000000000028</v>
      </c>
      <c r="I159" s="1">
        <f>+(F159^14)/((F159^14+G159^14))</f>
        <v>0.33510246231607854</v>
      </c>
      <c r="J159" s="2">
        <v>102</v>
      </c>
      <c r="K159" s="2">
        <v>107</v>
      </c>
      <c r="L159" s="2">
        <f>+J159-K159</f>
        <v>-5</v>
      </c>
      <c r="M159" s="1">
        <f>+E159-I159</f>
        <v>3.0751196220506816E-2</v>
      </c>
      <c r="N159" s="2">
        <v>95.5</v>
      </c>
      <c r="O159" s="2">
        <v>100.9</v>
      </c>
      <c r="P159" s="2">
        <f t="shared" si="2"/>
        <v>-5.4000000000000057</v>
      </c>
      <c r="Q159">
        <v>-0.5</v>
      </c>
    </row>
    <row r="160" spans="1:17">
      <c r="A160" t="s">
        <v>34</v>
      </c>
      <c r="B160" t="s">
        <v>11</v>
      </c>
      <c r="C160">
        <v>27</v>
      </c>
      <c r="D160">
        <v>55</v>
      </c>
      <c r="E160" s="1">
        <f>+C160/(C160+D160)</f>
        <v>0.32926829268292684</v>
      </c>
      <c r="F160" s="2">
        <v>92.2</v>
      </c>
      <c r="G160" s="2">
        <v>98</v>
      </c>
      <c r="H160" s="2">
        <f>+F160-G160</f>
        <v>-5.7999999999999972</v>
      </c>
      <c r="I160" s="1">
        <f>+(F160^14)/((F160^14+G160^14))</f>
        <v>0.29857289504453155</v>
      </c>
      <c r="J160" s="2">
        <v>100.3</v>
      </c>
      <c r="K160" s="2">
        <v>106.6</v>
      </c>
      <c r="L160" s="2">
        <f>+J160-K160</f>
        <v>-6.2999999999999972</v>
      </c>
      <c r="M160" s="1">
        <f>+E160-I160</f>
        <v>3.0695397638395294E-2</v>
      </c>
      <c r="N160" s="2">
        <v>89.7</v>
      </c>
      <c r="O160" s="2">
        <v>95.4</v>
      </c>
      <c r="P160" s="2">
        <f t="shared" si="2"/>
        <v>-5.7000000000000028</v>
      </c>
      <c r="Q160">
        <v>0.1</v>
      </c>
    </row>
    <row r="161" spans="1:17">
      <c r="A161" t="s">
        <v>43</v>
      </c>
      <c r="B161" t="s">
        <v>40</v>
      </c>
      <c r="C161">
        <v>33</v>
      </c>
      <c r="D161">
        <v>49</v>
      </c>
      <c r="E161" s="1">
        <f>+C161/(C161+D161)</f>
        <v>0.40243902439024393</v>
      </c>
      <c r="F161" s="2">
        <v>96.9</v>
      </c>
      <c r="G161" s="2">
        <v>100.6</v>
      </c>
      <c r="H161" s="2">
        <f>+F161-G161</f>
        <v>-3.6999999999999886</v>
      </c>
      <c r="I161" s="1">
        <f>+(F161^14)/((F161^14+G161^14))</f>
        <v>0.37177294637427477</v>
      </c>
      <c r="J161" s="2">
        <v>102.4</v>
      </c>
      <c r="K161" s="2">
        <v>106.3</v>
      </c>
      <c r="L161" s="2">
        <f>+J161-K161</f>
        <v>-3.8999999999999915</v>
      </c>
      <c r="M161" s="1">
        <f>+E161-I161</f>
        <v>3.0666078015969156E-2</v>
      </c>
      <c r="N161" s="2">
        <v>93.9</v>
      </c>
      <c r="O161" s="2">
        <v>103.3</v>
      </c>
      <c r="P161" s="2">
        <f t="shared" si="2"/>
        <v>-9.3999999999999915</v>
      </c>
      <c r="Q161">
        <v>-1.2</v>
      </c>
    </row>
    <row r="162" spans="1:17">
      <c r="A162" t="s">
        <v>48</v>
      </c>
      <c r="B162" t="s">
        <v>26</v>
      </c>
      <c r="C162">
        <v>48</v>
      </c>
      <c r="D162">
        <v>34</v>
      </c>
      <c r="E162" s="1">
        <f>+C162/(C162+D162)</f>
        <v>0.58536585365853655</v>
      </c>
      <c r="F162" s="2">
        <v>96.3</v>
      </c>
      <c r="G162" s="2">
        <v>94.8</v>
      </c>
      <c r="H162" s="2">
        <f>+F162-G162</f>
        <v>1.5</v>
      </c>
      <c r="I162" s="1">
        <f>+(F162^14)/((F162^14+G162^14))</f>
        <v>0.55472606384506307</v>
      </c>
      <c r="J162" s="2">
        <v>107.3</v>
      </c>
      <c r="K162" s="2">
        <v>105.7</v>
      </c>
      <c r="L162" s="2">
        <f>+J162-K162</f>
        <v>1.5999999999999943</v>
      </c>
      <c r="M162" s="1">
        <f>+E162-I162</f>
        <v>3.0639789813473484E-2</v>
      </c>
      <c r="N162" s="2">
        <v>108.5</v>
      </c>
      <c r="O162" s="2">
        <v>95.4</v>
      </c>
      <c r="P162" s="2">
        <f t="shared" si="2"/>
        <v>13.099999999999994</v>
      </c>
      <c r="Q162">
        <v>-0.1</v>
      </c>
    </row>
    <row r="163" spans="1:17">
      <c r="A163" t="s">
        <v>41</v>
      </c>
      <c r="B163" t="s">
        <v>9</v>
      </c>
      <c r="C163">
        <v>50</v>
      </c>
      <c r="D163">
        <v>32</v>
      </c>
      <c r="E163" s="1">
        <f>+C163/(C163+D163)</f>
        <v>0.6097560975609756</v>
      </c>
      <c r="F163" s="2">
        <v>97.6</v>
      </c>
      <c r="G163" s="2">
        <v>95.4</v>
      </c>
      <c r="H163" s="2">
        <f>+F163-G163</f>
        <v>2.1999999999999886</v>
      </c>
      <c r="I163" s="1">
        <f>+(F163^14)/((F163^14+G163^14))</f>
        <v>0.57912557114227126</v>
      </c>
      <c r="J163" s="2">
        <v>106.6</v>
      </c>
      <c r="K163" s="2">
        <v>104.4</v>
      </c>
      <c r="L163" s="2">
        <f>+J163-K163</f>
        <v>2.1999999999999886</v>
      </c>
      <c r="M163" s="1">
        <f>+E163-I163</f>
        <v>3.063052641870434E-2</v>
      </c>
      <c r="N163" s="2">
        <v>113.8</v>
      </c>
      <c r="O163" s="2">
        <v>106.9</v>
      </c>
      <c r="P163" s="2">
        <f t="shared" si="2"/>
        <v>6.8999999999999915</v>
      </c>
      <c r="Q163">
        <v>0.6</v>
      </c>
    </row>
    <row r="164" spans="1:17">
      <c r="A164" t="s">
        <v>62</v>
      </c>
      <c r="B164" t="s">
        <v>27</v>
      </c>
      <c r="C164">
        <v>30</v>
      </c>
      <c r="D164">
        <v>52</v>
      </c>
      <c r="E164" s="1">
        <f>+C164/(C164+D164)</f>
        <v>0.36585365853658536</v>
      </c>
      <c r="F164" s="2">
        <v>110.3</v>
      </c>
      <c r="G164" s="2">
        <v>115.8</v>
      </c>
      <c r="H164" s="2">
        <f>+F164-G164</f>
        <v>-5.5</v>
      </c>
      <c r="I164" s="1">
        <f>+(F164^14)/((F164^14+G164^14))</f>
        <v>0.33598260819490139</v>
      </c>
      <c r="J164" s="2">
        <v>109.6</v>
      </c>
      <c r="K164" s="2">
        <v>114.8</v>
      </c>
      <c r="L164" s="2">
        <f>+J164-K164</f>
        <v>-5.2000000000000028</v>
      </c>
      <c r="M164" s="1">
        <f>+E164-I164</f>
        <v>2.9871050341683969E-2</v>
      </c>
      <c r="N164" s="2">
        <v>110.6</v>
      </c>
      <c r="O164" s="2">
        <v>109.2</v>
      </c>
      <c r="P164" s="2">
        <f t="shared" si="2"/>
        <v>1.3999999999999915</v>
      </c>
      <c r="Q164">
        <v>-1.3</v>
      </c>
    </row>
    <row r="165" spans="1:17">
      <c r="A165" t="s">
        <v>41</v>
      </c>
      <c r="B165" t="s">
        <v>11</v>
      </c>
      <c r="C165">
        <v>44</v>
      </c>
      <c r="D165">
        <v>38</v>
      </c>
      <c r="E165" s="1">
        <f>+C165/(C165+D165)</f>
        <v>0.53658536585365857</v>
      </c>
      <c r="F165" s="2">
        <v>100.3</v>
      </c>
      <c r="G165" s="2">
        <v>100.1</v>
      </c>
      <c r="H165" s="2">
        <f>+F165-G165</f>
        <v>0.20000000000000284</v>
      </c>
      <c r="I165" s="1">
        <f>+(F165^14)/((F165^14+G165^14))</f>
        <v>0.50698557569827274</v>
      </c>
      <c r="J165" s="2">
        <v>104.4</v>
      </c>
      <c r="K165" s="2">
        <v>104.1</v>
      </c>
      <c r="L165" s="2">
        <f>+J165-K165</f>
        <v>0.30000000000001137</v>
      </c>
      <c r="M165" s="1">
        <f>+E165-I165</f>
        <v>2.959979015538583E-2</v>
      </c>
      <c r="N165" s="2">
        <v>102.1</v>
      </c>
      <c r="O165" s="2">
        <v>101.8</v>
      </c>
      <c r="P165" s="2">
        <f t="shared" si="2"/>
        <v>0.29999999999999716</v>
      </c>
      <c r="Q165">
        <v>0.1</v>
      </c>
    </row>
    <row r="166" spans="1:17">
      <c r="A166" t="s">
        <v>59</v>
      </c>
      <c r="B166" t="s">
        <v>5</v>
      </c>
      <c r="C166">
        <v>29</v>
      </c>
      <c r="D166">
        <v>53</v>
      </c>
      <c r="E166" s="1">
        <f>+C166/(C166+D166)</f>
        <v>0.35365853658536583</v>
      </c>
      <c r="F166" s="2">
        <v>113.3</v>
      </c>
      <c r="G166" s="2">
        <v>119.4</v>
      </c>
      <c r="H166" s="2">
        <f>+F166-G166</f>
        <v>-6.1000000000000085</v>
      </c>
      <c r="I166" s="1">
        <f>+(F166^14)/((F166^14+G166^14))</f>
        <v>0.32428240772060213</v>
      </c>
      <c r="J166" s="2">
        <v>107.5</v>
      </c>
      <c r="K166" s="2">
        <v>113.1</v>
      </c>
      <c r="L166" s="2">
        <f>+J166-K166</f>
        <v>-5.5999999999999943</v>
      </c>
      <c r="M166" s="1">
        <f>+E166-I166</f>
        <v>2.9376128864763706E-2</v>
      </c>
      <c r="N166" s="2">
        <v>104</v>
      </c>
      <c r="O166" s="2">
        <v>97.8</v>
      </c>
      <c r="P166" s="2">
        <f t="shared" si="2"/>
        <v>6.2000000000000028</v>
      </c>
      <c r="Q166">
        <v>-0.1</v>
      </c>
    </row>
    <row r="167" spans="1:17">
      <c r="A167" t="s">
        <v>38</v>
      </c>
      <c r="B167" t="s">
        <v>15</v>
      </c>
      <c r="C167">
        <v>61</v>
      </c>
      <c r="D167">
        <v>21</v>
      </c>
      <c r="E167" s="1">
        <f>+C167/(C167+D167)</f>
        <v>0.74390243902439024</v>
      </c>
      <c r="F167" s="2">
        <v>91.4</v>
      </c>
      <c r="G167" s="2">
        <v>85.6</v>
      </c>
      <c r="H167" s="2">
        <f>+F167-G167</f>
        <v>5.8000000000000114</v>
      </c>
      <c r="I167" s="1">
        <f>+(F167^14)/((F167^14+G167^14))</f>
        <v>0.71460234412394263</v>
      </c>
      <c r="J167" s="2">
        <v>102.5</v>
      </c>
      <c r="K167" s="2">
        <v>96.2</v>
      </c>
      <c r="L167" s="2">
        <f>+J167-K167</f>
        <v>6.2999999999999972</v>
      </c>
      <c r="M167" s="1">
        <f>+E167-I167</f>
        <v>2.9300094900447604E-2</v>
      </c>
      <c r="N167" s="2">
        <v>103.6</v>
      </c>
      <c r="O167" s="2">
        <v>85</v>
      </c>
      <c r="P167" s="2">
        <f t="shared" si="2"/>
        <v>18.599999999999994</v>
      </c>
      <c r="Q167">
        <v>1.5</v>
      </c>
    </row>
    <row r="168" spans="1:17">
      <c r="A168" t="s">
        <v>41</v>
      </c>
      <c r="B168" t="s">
        <v>24</v>
      </c>
      <c r="C168">
        <v>38</v>
      </c>
      <c r="D168">
        <v>44</v>
      </c>
      <c r="E168" s="1">
        <f>+C168/(C168+D168)</f>
        <v>0.46341463414634149</v>
      </c>
      <c r="F168" s="2">
        <v>99.4</v>
      </c>
      <c r="G168" s="2">
        <v>101.3</v>
      </c>
      <c r="H168" s="2">
        <f>+F168-G168</f>
        <v>-1.8999999999999915</v>
      </c>
      <c r="I168" s="1">
        <f>+(F168^14)/((F168^14+G168^14))</f>
        <v>0.4341153034134177</v>
      </c>
      <c r="J168" s="2">
        <v>104.7</v>
      </c>
      <c r="K168" s="2">
        <v>106.5</v>
      </c>
      <c r="L168" s="2">
        <f>+J168-K168</f>
        <v>-1.7999999999999972</v>
      </c>
      <c r="M168" s="1">
        <f>+E168-I168</f>
        <v>2.929933073292379E-2</v>
      </c>
      <c r="N168" s="2">
        <v>89.7</v>
      </c>
      <c r="O168" s="2">
        <v>93.5</v>
      </c>
      <c r="P168" s="2">
        <f t="shared" si="2"/>
        <v>-3.7999999999999972</v>
      </c>
      <c r="Q168">
        <v>-1</v>
      </c>
    </row>
    <row r="169" spans="1:17">
      <c r="A169" t="s">
        <v>65</v>
      </c>
      <c r="B169" t="s">
        <v>25</v>
      </c>
      <c r="C169">
        <v>36</v>
      </c>
      <c r="D169">
        <v>46</v>
      </c>
      <c r="E169" s="1">
        <f>+C169/(C169+D169)</f>
        <v>0.43902439024390244</v>
      </c>
      <c r="F169" s="2">
        <v>113.6</v>
      </c>
      <c r="G169" s="2">
        <v>116.6</v>
      </c>
      <c r="H169" s="2">
        <f>+F169-G169</f>
        <v>-3</v>
      </c>
      <c r="I169" s="1">
        <f>+(F169^14)/((F169^14+G169^14))</f>
        <v>0.40976891597843029</v>
      </c>
      <c r="J169" s="2">
        <v>114.7</v>
      </c>
      <c r="K169" s="2">
        <v>117.7</v>
      </c>
      <c r="L169" s="2">
        <f>+J169-K169</f>
        <v>-3</v>
      </c>
      <c r="M169" s="1">
        <f>+E169-I169</f>
        <v>2.9255474265472148E-2</v>
      </c>
      <c r="N169" s="2">
        <v>115.5</v>
      </c>
      <c r="O169" s="2">
        <v>121.5</v>
      </c>
      <c r="P169" s="2">
        <f t="shared" si="2"/>
        <v>-6</v>
      </c>
      <c r="Q169">
        <v>-0.5</v>
      </c>
    </row>
    <row r="170" spans="1:17">
      <c r="A170" t="s">
        <v>55</v>
      </c>
      <c r="B170" t="s">
        <v>18</v>
      </c>
      <c r="C170">
        <v>48</v>
      </c>
      <c r="D170">
        <v>34</v>
      </c>
      <c r="E170" s="1">
        <f>+C170/(C170+D170)</f>
        <v>0.58536585365853655</v>
      </c>
      <c r="F170" s="2">
        <v>100</v>
      </c>
      <c r="G170" s="2">
        <v>98.4</v>
      </c>
      <c r="H170" s="2">
        <f>+F170-G170</f>
        <v>1.5999999999999943</v>
      </c>
      <c r="I170" s="1">
        <f>+(F170^14)/((F170^14+G170^14))</f>
        <v>0.55621417253941718</v>
      </c>
      <c r="J170" s="2">
        <v>105.5</v>
      </c>
      <c r="K170" s="2">
        <v>103.7</v>
      </c>
      <c r="L170" s="2">
        <f>+J170-K170</f>
        <v>1.7999999999999972</v>
      </c>
      <c r="M170" s="1">
        <f>+E170-I170</f>
        <v>2.9151681119119366E-2</v>
      </c>
      <c r="N170" s="2">
        <v>111.1</v>
      </c>
      <c r="O170" s="2">
        <v>95.2</v>
      </c>
      <c r="P170" s="2">
        <f t="shared" si="2"/>
        <v>15.899999999999991</v>
      </c>
      <c r="Q170">
        <v>0.8</v>
      </c>
    </row>
    <row r="171" spans="1:17">
      <c r="A171" t="s">
        <v>61</v>
      </c>
      <c r="B171" t="s">
        <v>26</v>
      </c>
      <c r="C171">
        <v>42</v>
      </c>
      <c r="D171">
        <v>30</v>
      </c>
      <c r="E171" s="1">
        <f>+C171/(C171+D171)</f>
        <v>0.58333333333333337</v>
      </c>
      <c r="F171" s="2">
        <v>116.1</v>
      </c>
      <c r="G171" s="2">
        <v>114.3</v>
      </c>
      <c r="H171" s="2">
        <f>+F171-G171</f>
        <v>1.7999999999999972</v>
      </c>
      <c r="I171" s="1">
        <f>+(F171^14)/((F171^14+G171^14))</f>
        <v>0.55447156441574497</v>
      </c>
      <c r="J171" s="2">
        <v>117.1</v>
      </c>
      <c r="K171" s="2">
        <v>115.3</v>
      </c>
      <c r="L171" s="2">
        <f>+J171-K171</f>
        <v>1.7999999999999972</v>
      </c>
      <c r="M171" s="1">
        <f>+E171-I171</f>
        <v>2.8861768917588404E-2</v>
      </c>
      <c r="N171" s="2">
        <v>127.7</v>
      </c>
      <c r="O171" s="2">
        <v>98.6</v>
      </c>
      <c r="P171" s="2">
        <f t="shared" si="2"/>
        <v>29.100000000000009</v>
      </c>
      <c r="Q171">
        <v>0.7</v>
      </c>
    </row>
    <row r="172" spans="1:17">
      <c r="A172" t="s">
        <v>47</v>
      </c>
      <c r="B172" t="s">
        <v>9</v>
      </c>
      <c r="C172">
        <v>61</v>
      </c>
      <c r="D172">
        <v>21</v>
      </c>
      <c r="E172" s="1">
        <f>+C172/(C172+D172)</f>
        <v>0.74390243902439024</v>
      </c>
      <c r="F172" s="2">
        <v>102.1</v>
      </c>
      <c r="G172" s="2">
        <v>95.6</v>
      </c>
      <c r="H172" s="2">
        <f>+F172-G172</f>
        <v>6.5</v>
      </c>
      <c r="I172" s="1">
        <f>+(F172^14)/((F172^14+G172^14))</f>
        <v>0.71522925438381391</v>
      </c>
      <c r="J172" s="2">
        <v>110.6</v>
      </c>
      <c r="K172" s="2">
        <v>103.8</v>
      </c>
      <c r="L172" s="2">
        <f>+J172-K172</f>
        <v>6.7999999999999972</v>
      </c>
      <c r="M172" s="1">
        <f>+E172-I172</f>
        <v>2.8673184640576332E-2</v>
      </c>
      <c r="N172" s="2">
        <v>115.9</v>
      </c>
      <c r="O172" s="2">
        <v>93.2</v>
      </c>
      <c r="P172" s="2">
        <f t="shared" si="2"/>
        <v>22.700000000000003</v>
      </c>
      <c r="Q172">
        <v>1</v>
      </c>
    </row>
    <row r="173" spans="1:17">
      <c r="A173" t="s">
        <v>61</v>
      </c>
      <c r="B173" t="s">
        <v>33</v>
      </c>
      <c r="C173">
        <v>34</v>
      </c>
      <c r="D173">
        <v>38</v>
      </c>
      <c r="E173" s="1">
        <f>+C173/(C173+D173)</f>
        <v>0.47222222222222221</v>
      </c>
      <c r="F173" s="2">
        <v>116.6</v>
      </c>
      <c r="G173" s="2">
        <v>118.5</v>
      </c>
      <c r="H173" s="2">
        <f>+F173-G173</f>
        <v>-1.9000000000000057</v>
      </c>
      <c r="I173" s="1">
        <f>+(F173^14)/((F173^14+G173^14))</f>
        <v>0.44366728176929326</v>
      </c>
      <c r="J173" s="2">
        <v>110.7</v>
      </c>
      <c r="K173" s="2">
        <v>112.3</v>
      </c>
      <c r="L173" s="2">
        <f>+J173-K173</f>
        <v>-1.5999999999999943</v>
      </c>
      <c r="M173" s="1">
        <f>+E173-I173</f>
        <v>2.8554940452928945E-2</v>
      </c>
      <c r="N173" s="2">
        <v>110.5</v>
      </c>
      <c r="O173" s="2">
        <v>107.7</v>
      </c>
      <c r="P173" s="2">
        <f t="shared" si="2"/>
        <v>2.7999999999999972</v>
      </c>
      <c r="Q173">
        <v>-0.3</v>
      </c>
    </row>
    <row r="174" spans="1:17">
      <c r="A174" t="s">
        <v>63</v>
      </c>
      <c r="B174" t="s">
        <v>24</v>
      </c>
      <c r="C174">
        <v>54</v>
      </c>
      <c r="D174">
        <v>28</v>
      </c>
      <c r="E174" s="1">
        <f>+C174/(C174+D174)</f>
        <v>0.65853658536585369</v>
      </c>
      <c r="F174" s="2">
        <v>115.2</v>
      </c>
      <c r="G174" s="2">
        <v>110.9</v>
      </c>
      <c r="H174" s="2">
        <f>+F174-G174</f>
        <v>4.2999999999999972</v>
      </c>
      <c r="I174" s="1">
        <f>+(F174^14)/((F174^14+G174^14))</f>
        <v>0.63008277952794978</v>
      </c>
      <c r="J174" s="2">
        <v>117</v>
      </c>
      <c r="K174" s="2">
        <v>112.7</v>
      </c>
      <c r="L174" s="2">
        <f>+J174-K174</f>
        <v>4.2999999999999972</v>
      </c>
      <c r="M174" s="1">
        <f>+E174-I174</f>
        <v>2.8453805837903912E-2</v>
      </c>
      <c r="N174" s="2">
        <v>110.2</v>
      </c>
      <c r="O174" s="2">
        <v>93.3</v>
      </c>
      <c r="P174" s="2">
        <f t="shared" si="2"/>
        <v>16.900000000000006</v>
      </c>
      <c r="Q174">
        <v>2</v>
      </c>
    </row>
    <row r="175" spans="1:17">
      <c r="A175" t="s">
        <v>50</v>
      </c>
      <c r="B175" t="s">
        <v>31</v>
      </c>
      <c r="C175">
        <v>43</v>
      </c>
      <c r="D175">
        <v>39</v>
      </c>
      <c r="E175" s="1">
        <f>+C175/(C175+D175)</f>
        <v>0.52439024390243905</v>
      </c>
      <c r="F175" s="2">
        <v>98</v>
      </c>
      <c r="G175" s="2">
        <v>98.1</v>
      </c>
      <c r="H175" s="2">
        <f>+F175-G175</f>
        <v>-9.9999999999994316E-2</v>
      </c>
      <c r="I175" s="1">
        <f>+(F175^14)/((F175^14+G175^14))</f>
        <v>0.49643045299187905</v>
      </c>
      <c r="J175" s="2">
        <v>105.4</v>
      </c>
      <c r="K175" s="2">
        <v>105.6</v>
      </c>
      <c r="L175" s="2">
        <f>+J175-K175</f>
        <v>-0.19999999999998863</v>
      </c>
      <c r="M175" s="1">
        <f>+E175-I175</f>
        <v>2.7959790910560001E-2</v>
      </c>
      <c r="N175" s="2">
        <v>106.4</v>
      </c>
      <c r="O175" s="2">
        <v>101.2</v>
      </c>
      <c r="P175" s="2">
        <f t="shared" si="2"/>
        <v>5.2000000000000028</v>
      </c>
      <c r="Q175">
        <v>-0.1</v>
      </c>
    </row>
    <row r="176" spans="1:17">
      <c r="A176" t="s">
        <v>48</v>
      </c>
      <c r="B176" t="s">
        <v>37</v>
      </c>
      <c r="C176">
        <v>46</v>
      </c>
      <c r="D176">
        <v>36</v>
      </c>
      <c r="E176" s="1">
        <f>+C176/(C176+D176)</f>
        <v>0.56097560975609762</v>
      </c>
      <c r="F176" s="2">
        <v>94.9</v>
      </c>
      <c r="G176" s="2">
        <v>94</v>
      </c>
      <c r="H176" s="2">
        <f>+F176-G176</f>
        <v>0.90000000000000568</v>
      </c>
      <c r="I176" s="1">
        <f>+(F176^14)/((F176^14+G176^14))</f>
        <v>0.53330185727266632</v>
      </c>
      <c r="J176" s="2">
        <v>105.4</v>
      </c>
      <c r="K176" s="2">
        <v>104.4</v>
      </c>
      <c r="L176" s="2">
        <f>+J176-K176</f>
        <v>1</v>
      </c>
      <c r="M176" s="1">
        <f>+E176-I176</f>
        <v>2.7673752483431291E-2</v>
      </c>
      <c r="N176" s="2">
        <v>101</v>
      </c>
      <c r="O176" s="2">
        <v>90.4</v>
      </c>
      <c r="P176" s="2">
        <f t="shared" si="2"/>
        <v>10.599999999999994</v>
      </c>
      <c r="Q176">
        <v>-0.4</v>
      </c>
    </row>
    <row r="177" spans="1:17">
      <c r="A177" t="s">
        <v>34</v>
      </c>
      <c r="B177" t="s">
        <v>30</v>
      </c>
      <c r="C177">
        <v>42</v>
      </c>
      <c r="D177">
        <v>40</v>
      </c>
      <c r="E177" s="1">
        <f>+C177/(C177+D177)</f>
        <v>0.51219512195121952</v>
      </c>
      <c r="F177" s="2">
        <v>91.4</v>
      </c>
      <c r="G177" s="2">
        <v>91.8</v>
      </c>
      <c r="H177" s="2">
        <f>+F177-G177</f>
        <v>-0.39999999999999147</v>
      </c>
      <c r="I177" s="1">
        <f>+(F177^14)/((F177^14+G177^14))</f>
        <v>0.48472089148498448</v>
      </c>
      <c r="J177" s="2">
        <v>101.1</v>
      </c>
      <c r="K177" s="2">
        <v>101.7</v>
      </c>
      <c r="L177" s="2">
        <f>+J177-K177</f>
        <v>-0.60000000000000853</v>
      </c>
      <c r="M177" s="1">
        <f>+E177-I177</f>
        <v>2.7474230466235039E-2</v>
      </c>
      <c r="N177" s="2">
        <v>93</v>
      </c>
      <c r="O177" s="2">
        <v>90.4</v>
      </c>
      <c r="P177" s="2">
        <f t="shared" si="2"/>
        <v>2.5999999999999943</v>
      </c>
      <c r="Q177">
        <v>-0.8</v>
      </c>
    </row>
    <row r="178" spans="1:17">
      <c r="A178" t="s">
        <v>59</v>
      </c>
      <c r="B178" t="s">
        <v>30</v>
      </c>
      <c r="C178">
        <v>58</v>
      </c>
      <c r="D178">
        <v>24</v>
      </c>
      <c r="E178" s="1">
        <f>+C178/(C178+D178)</f>
        <v>0.70731707317073167</v>
      </c>
      <c r="F178" s="2">
        <v>114.4</v>
      </c>
      <c r="G178" s="2">
        <v>108.4</v>
      </c>
      <c r="H178" s="2">
        <f>+F178-G178</f>
        <v>6</v>
      </c>
      <c r="I178" s="1">
        <f>+(F178^14)/((F178^14+G178^14))</f>
        <v>0.68009792442204564</v>
      </c>
      <c r="J178" s="2">
        <v>112.6</v>
      </c>
      <c r="K178" s="2">
        <v>106.8</v>
      </c>
      <c r="L178" s="2">
        <f>+J178-K178</f>
        <v>5.7999999999999972</v>
      </c>
      <c r="M178" s="1">
        <f>+E178-I178</f>
        <v>2.7219148748686028E-2</v>
      </c>
      <c r="N178" s="2">
        <v>108.1</v>
      </c>
      <c r="O178" s="2">
        <v>100.3</v>
      </c>
      <c r="P178" s="2">
        <f t="shared" si="2"/>
        <v>7.7999999999999972</v>
      </c>
      <c r="Q178">
        <v>-0.5</v>
      </c>
    </row>
    <row r="179" spans="1:17">
      <c r="A179" t="s">
        <v>62</v>
      </c>
      <c r="B179" t="s">
        <v>10</v>
      </c>
      <c r="C179">
        <v>52</v>
      </c>
      <c r="D179">
        <v>30</v>
      </c>
      <c r="E179" s="1">
        <f>+C179/(C179+D179)</f>
        <v>0.63414634146341464</v>
      </c>
      <c r="F179" s="2">
        <v>108</v>
      </c>
      <c r="G179" s="2">
        <v>104.7</v>
      </c>
      <c r="H179" s="2">
        <f>+F179-G179</f>
        <v>3.2999999999999972</v>
      </c>
      <c r="I179" s="1">
        <f>+(F179^14)/((F179^14+G179^14))</f>
        <v>0.60693567293355</v>
      </c>
      <c r="J179" s="2">
        <v>112.5</v>
      </c>
      <c r="K179" s="2">
        <v>109.1</v>
      </c>
      <c r="L179" s="2">
        <f>+J179-K179</f>
        <v>3.4000000000000057</v>
      </c>
      <c r="M179" s="1">
        <f>+E179-I179</f>
        <v>2.7210668529864646E-2</v>
      </c>
      <c r="N179" s="2">
        <v>109.5</v>
      </c>
      <c r="O179" s="2">
        <v>117</v>
      </c>
      <c r="P179" s="2">
        <f t="shared" si="2"/>
        <v>-7.5</v>
      </c>
      <c r="Q179">
        <v>-0.1</v>
      </c>
    </row>
    <row r="180" spans="1:17">
      <c r="A180" t="s">
        <v>66</v>
      </c>
      <c r="B180" t="s">
        <v>28</v>
      </c>
      <c r="C180">
        <v>45</v>
      </c>
      <c r="D180">
        <v>17</v>
      </c>
      <c r="E180" s="1">
        <f>+C180/(C180+D180)</f>
        <v>0.72580645161290325</v>
      </c>
      <c r="F180" s="2">
        <v>118.3</v>
      </c>
      <c r="G180" s="2">
        <v>111.4</v>
      </c>
      <c r="H180" s="2">
        <f>+F180-G180</f>
        <v>6.8999999999999915</v>
      </c>
      <c r="I180" s="1">
        <f>+(F180^14)/((F180^14+G180^14))</f>
        <v>0.69874950937248992</v>
      </c>
      <c r="J180" s="2">
        <v>117.3</v>
      </c>
      <c r="K180" s="2">
        <v>110.2</v>
      </c>
      <c r="L180" s="2">
        <f>+J180-K180</f>
        <v>7.0999999999999943</v>
      </c>
      <c r="M180" s="1">
        <f>+E180-I180</f>
        <v>2.7056942240413329E-2</v>
      </c>
      <c r="N180" s="2">
        <v>128.19999999999999</v>
      </c>
      <c r="O180" s="2">
        <v>115.8</v>
      </c>
      <c r="P180" s="2">
        <f t="shared" si="2"/>
        <v>12.399999999999991</v>
      </c>
      <c r="Q180" s="2">
        <v>1.3</v>
      </c>
    </row>
    <row r="181" spans="1:17">
      <c r="A181" t="s">
        <v>39</v>
      </c>
      <c r="B181" t="s">
        <v>11</v>
      </c>
      <c r="C181">
        <v>49</v>
      </c>
      <c r="D181">
        <v>33</v>
      </c>
      <c r="E181" s="1">
        <f>+C181/(C181+D181)</f>
        <v>0.59756097560975607</v>
      </c>
      <c r="F181" s="2">
        <v>99.5</v>
      </c>
      <c r="G181" s="2">
        <v>97.5</v>
      </c>
      <c r="H181" s="2">
        <f>+F181-G181</f>
        <v>2</v>
      </c>
      <c r="I181" s="1">
        <f>+(F181^14)/((F181^14+G181^14))</f>
        <v>0.57059367194887745</v>
      </c>
      <c r="J181" s="2">
        <v>104.7</v>
      </c>
      <c r="K181" s="2">
        <v>102.6</v>
      </c>
      <c r="L181" s="2">
        <f>+J181-K181</f>
        <v>2.1000000000000085</v>
      </c>
      <c r="M181" s="1">
        <f>+E181-I181</f>
        <v>2.6967303660878628E-2</v>
      </c>
      <c r="N181" s="2">
        <v>107.4</v>
      </c>
      <c r="O181" s="2">
        <v>96.7</v>
      </c>
      <c r="P181" s="2">
        <f t="shared" si="2"/>
        <v>10.700000000000003</v>
      </c>
      <c r="Q181">
        <v>1.1000000000000001</v>
      </c>
    </row>
    <row r="182" spans="1:17">
      <c r="A182" t="s">
        <v>57</v>
      </c>
      <c r="B182" t="s">
        <v>17</v>
      </c>
      <c r="C182">
        <v>26</v>
      </c>
      <c r="D182">
        <v>56</v>
      </c>
      <c r="E182" s="1">
        <f>+C182/(C182+D182)</f>
        <v>0.31707317073170732</v>
      </c>
      <c r="F182" s="2">
        <v>104.6</v>
      </c>
      <c r="G182" s="2">
        <v>111.5</v>
      </c>
      <c r="H182" s="2">
        <f>+F182-G182</f>
        <v>-6.9000000000000057</v>
      </c>
      <c r="I182" s="1">
        <f>+(F182^14)/((F182^14+G182^14))</f>
        <v>0.29021613910677707</v>
      </c>
      <c r="J182" s="2">
        <v>105.3</v>
      </c>
      <c r="K182" s="2">
        <v>112</v>
      </c>
      <c r="L182" s="2">
        <f>+J182-K182</f>
        <v>-6.7000000000000028</v>
      </c>
      <c r="M182" s="1">
        <f>+E182-I182</f>
        <v>2.685703162493025E-2</v>
      </c>
      <c r="N182" s="2">
        <v>106.9</v>
      </c>
      <c r="O182" s="2">
        <v>123.2</v>
      </c>
      <c r="P182" s="2">
        <f t="shared" si="2"/>
        <v>-16.299999999999997</v>
      </c>
      <c r="Q182">
        <v>-0.7</v>
      </c>
    </row>
    <row r="183" spans="1:17">
      <c r="A183" t="s">
        <v>58</v>
      </c>
      <c r="B183" t="s">
        <v>25</v>
      </c>
      <c r="C183">
        <v>21</v>
      </c>
      <c r="D183">
        <v>61</v>
      </c>
      <c r="E183" s="1">
        <f>+C183/(C183+D183)</f>
        <v>0.25609756097560976</v>
      </c>
      <c r="F183" s="2">
        <v>103.9</v>
      </c>
      <c r="G183" s="2">
        <v>113.3</v>
      </c>
      <c r="H183" s="2">
        <f>+F183-G183</f>
        <v>-9.3999999999999915</v>
      </c>
      <c r="I183" s="1">
        <f>+(F183^14)/((F183^14+G183^14))</f>
        <v>0.22925126807249627</v>
      </c>
      <c r="J183" s="2">
        <v>102.8</v>
      </c>
      <c r="K183" s="2">
        <v>111.7</v>
      </c>
      <c r="L183" s="2">
        <f>+J183-K183</f>
        <v>-8.9000000000000057</v>
      </c>
      <c r="M183" s="1">
        <f>+E183-I183</f>
        <v>2.6846292903113494E-2</v>
      </c>
      <c r="N183" s="2">
        <v>95.3</v>
      </c>
      <c r="O183" s="2">
        <v>104.9</v>
      </c>
      <c r="P183" s="2">
        <f t="shared" si="2"/>
        <v>-9.6000000000000085</v>
      </c>
      <c r="Q183">
        <v>-0.4</v>
      </c>
    </row>
    <row r="184" spans="1:17">
      <c r="A184" t="s">
        <v>41</v>
      </c>
      <c r="B184" t="s">
        <v>29</v>
      </c>
      <c r="C184">
        <v>35</v>
      </c>
      <c r="D184">
        <v>47</v>
      </c>
      <c r="E184" s="1">
        <f>+C184/(C184+D184)</f>
        <v>0.42682926829268292</v>
      </c>
      <c r="F184" s="2">
        <v>102.6</v>
      </c>
      <c r="G184" s="2">
        <v>105.6</v>
      </c>
      <c r="H184" s="2">
        <f>+F184-G184</f>
        <v>-3</v>
      </c>
      <c r="I184" s="1">
        <f>+(F184^14)/((F184^14+G184^14))</f>
        <v>0.40047504632184655</v>
      </c>
      <c r="J184" s="2">
        <v>109.4</v>
      </c>
      <c r="K184" s="2">
        <v>112.7</v>
      </c>
      <c r="L184" s="2">
        <f>+J184-K184</f>
        <v>-3.2999999999999972</v>
      </c>
      <c r="M184" s="1">
        <f>+E184-I184</f>
        <v>2.6354221970836367E-2</v>
      </c>
      <c r="N184" s="2">
        <v>112.8</v>
      </c>
      <c r="O184" s="2">
        <v>111.5</v>
      </c>
      <c r="P184" s="2">
        <f t="shared" si="2"/>
        <v>1.2999999999999972</v>
      </c>
      <c r="Q184">
        <v>-1.2</v>
      </c>
    </row>
    <row r="185" spans="1:17">
      <c r="A185" t="s">
        <v>4</v>
      </c>
      <c r="B185" t="s">
        <v>20</v>
      </c>
      <c r="C185">
        <v>47</v>
      </c>
      <c r="D185">
        <v>35</v>
      </c>
      <c r="E185" s="1">
        <f>+C185/(C185+D185)</f>
        <v>0.57317073170731703</v>
      </c>
      <c r="F185" s="2">
        <v>97.3</v>
      </c>
      <c r="G185" s="2">
        <v>96</v>
      </c>
      <c r="H185" s="2">
        <f>+F185-G185</f>
        <v>1.2999999999999972</v>
      </c>
      <c r="I185" s="1">
        <f>+(F185^14)/((F185^14+G185^14))</f>
        <v>0.546939164426965</v>
      </c>
      <c r="J185" s="2">
        <v>103.9</v>
      </c>
      <c r="K185" s="2">
        <v>102.4</v>
      </c>
      <c r="L185" s="2">
        <f>+J185-K185</f>
        <v>1.5</v>
      </c>
      <c r="M185" s="1">
        <f>+E185-I185</f>
        <v>2.6231567280352031E-2</v>
      </c>
      <c r="N185" s="2">
        <v>102.8</v>
      </c>
      <c r="O185" s="2">
        <v>106.9</v>
      </c>
      <c r="P185" s="2">
        <f t="shared" si="2"/>
        <v>-4.1000000000000085</v>
      </c>
      <c r="Q185">
        <v>-0.5</v>
      </c>
    </row>
    <row r="186" spans="1:17">
      <c r="A186" t="s">
        <v>41</v>
      </c>
      <c r="B186" t="s">
        <v>10</v>
      </c>
      <c r="C186">
        <v>60</v>
      </c>
      <c r="D186">
        <v>22</v>
      </c>
      <c r="E186" s="1">
        <f>+C186/(C186+D186)</f>
        <v>0.73170731707317072</v>
      </c>
      <c r="F186" s="2">
        <v>99.1</v>
      </c>
      <c r="G186" s="2">
        <v>93.1</v>
      </c>
      <c r="H186" s="2">
        <f>+F186-G186</f>
        <v>6</v>
      </c>
      <c r="I186" s="1">
        <f>+(F186^14)/((F186^14+G186^14))</f>
        <v>0.70565493727063389</v>
      </c>
      <c r="J186" s="2">
        <v>109.9</v>
      </c>
      <c r="K186" s="2">
        <v>103.2</v>
      </c>
      <c r="L186" s="2">
        <f>+J186-K186</f>
        <v>6.7000000000000028</v>
      </c>
      <c r="M186" s="1">
        <f>+E186-I186</f>
        <v>2.6052379802536829E-2</v>
      </c>
      <c r="N186" s="2">
        <v>105.6</v>
      </c>
      <c r="O186" s="2">
        <v>97.4</v>
      </c>
      <c r="P186" s="2">
        <f t="shared" si="2"/>
        <v>8.1999999999999886</v>
      </c>
      <c r="Q186">
        <v>1.6</v>
      </c>
    </row>
    <row r="187" spans="1:17">
      <c r="A187" t="s">
        <v>58</v>
      </c>
      <c r="B187" t="s">
        <v>13</v>
      </c>
      <c r="C187">
        <v>58</v>
      </c>
      <c r="D187">
        <v>24</v>
      </c>
      <c r="E187" s="1">
        <f>+C187/(C187+D187)</f>
        <v>0.70731707317073167</v>
      </c>
      <c r="F187" s="2">
        <v>113.5</v>
      </c>
      <c r="G187" s="2">
        <v>107.5</v>
      </c>
      <c r="H187" s="2">
        <f>+F187-G187</f>
        <v>6</v>
      </c>
      <c r="I187" s="1">
        <f>+(F187^14)/((F187^14+G187^14))</f>
        <v>0.68143359288372995</v>
      </c>
      <c r="J187" s="2">
        <v>112.8</v>
      </c>
      <c r="K187" s="2">
        <v>106.8</v>
      </c>
      <c r="L187" s="2">
        <f>+J187-K187</f>
        <v>6</v>
      </c>
      <c r="M187" s="1">
        <f>+E187-I187</f>
        <v>2.5883480287001714E-2</v>
      </c>
      <c r="N187" s="2">
        <v>113.1</v>
      </c>
      <c r="O187" s="2">
        <v>105.3</v>
      </c>
      <c r="P187" s="2">
        <f t="shared" si="2"/>
        <v>7.7999999999999972</v>
      </c>
      <c r="Q187">
        <v>0</v>
      </c>
    </row>
    <row r="188" spans="1:17">
      <c r="A188" t="s">
        <v>36</v>
      </c>
      <c r="B188" t="s">
        <v>17</v>
      </c>
      <c r="C188">
        <v>50</v>
      </c>
      <c r="D188">
        <v>32</v>
      </c>
      <c r="E188" s="1">
        <f>+C188/(C188+D188)</f>
        <v>0.6097560975609756</v>
      </c>
      <c r="F188" s="2">
        <v>100.4</v>
      </c>
      <c r="G188" s="2">
        <v>98</v>
      </c>
      <c r="H188" s="2">
        <f>+F188-G188</f>
        <v>2.4000000000000057</v>
      </c>
      <c r="I188" s="1">
        <f>+(F188^14)/((F188^14+G188^14))</f>
        <v>0.58388106859457733</v>
      </c>
      <c r="J188" s="2">
        <v>105.6</v>
      </c>
      <c r="K188" s="2">
        <v>103.4</v>
      </c>
      <c r="L188" s="2">
        <f>+J188-K188</f>
        <v>2.1999999999999886</v>
      </c>
      <c r="M188" s="1">
        <f>+E188-I188</f>
        <v>2.5875028966398261E-2</v>
      </c>
      <c r="N188" s="2">
        <v>111.5</v>
      </c>
      <c r="O188" s="2">
        <v>100.9</v>
      </c>
      <c r="P188" s="2">
        <f t="shared" si="2"/>
        <v>10.599999999999994</v>
      </c>
      <c r="Q188">
        <v>0.5</v>
      </c>
    </row>
    <row r="189" spans="1:17">
      <c r="A189" t="s">
        <v>4</v>
      </c>
      <c r="B189" t="s">
        <v>24</v>
      </c>
      <c r="C189">
        <v>56</v>
      </c>
      <c r="D189">
        <v>26</v>
      </c>
      <c r="E189" s="1">
        <f>+C189/(C189+D189)</f>
        <v>0.68292682926829273</v>
      </c>
      <c r="F189" s="2">
        <v>94.7</v>
      </c>
      <c r="G189" s="2">
        <v>90.4</v>
      </c>
      <c r="H189" s="2">
        <f>+F189-G189</f>
        <v>4.2999999999999972</v>
      </c>
      <c r="I189" s="1">
        <f>+(F189^14)/((F189^14+G189^14))</f>
        <v>0.65714030959602765</v>
      </c>
      <c r="J189" s="2">
        <v>101.9</v>
      </c>
      <c r="K189" s="2">
        <v>97.3</v>
      </c>
      <c r="L189" s="2">
        <f>+J189-K189</f>
        <v>4.6000000000000085</v>
      </c>
      <c r="M189" s="1">
        <f>+E189-I189</f>
        <v>2.5786519672265085E-2</v>
      </c>
      <c r="N189" s="2">
        <v>101.9</v>
      </c>
      <c r="O189" s="2">
        <v>94.6</v>
      </c>
      <c r="P189" s="2">
        <f t="shared" si="2"/>
        <v>7.3000000000000114</v>
      </c>
      <c r="Q189">
        <v>0.4</v>
      </c>
    </row>
    <row r="190" spans="1:17">
      <c r="A190" t="s">
        <v>45</v>
      </c>
      <c r="B190" t="s">
        <v>28</v>
      </c>
      <c r="C190">
        <v>54</v>
      </c>
      <c r="D190">
        <v>28</v>
      </c>
      <c r="E190" s="1">
        <f>+C190/(C190+D190)</f>
        <v>0.65853658536585369</v>
      </c>
      <c r="F190" s="2">
        <v>97</v>
      </c>
      <c r="G190" s="2">
        <v>93.3</v>
      </c>
      <c r="H190" s="2">
        <f>+F190-G190</f>
        <v>3.7000000000000028</v>
      </c>
      <c r="I190" s="1">
        <f>+(F190^14)/((F190^14+G190^14))</f>
        <v>0.63285214825789127</v>
      </c>
      <c r="J190" s="2">
        <v>107.6</v>
      </c>
      <c r="K190" s="2">
        <v>103.4</v>
      </c>
      <c r="L190" s="2">
        <f>+J190-K190</f>
        <v>4.1999999999999886</v>
      </c>
      <c r="M190" s="1">
        <f>+E190-I190</f>
        <v>2.5684437107962421E-2</v>
      </c>
      <c r="N190" s="2">
        <v>104.3</v>
      </c>
      <c r="O190" s="2">
        <v>95.9</v>
      </c>
      <c r="P190" s="2">
        <f t="shared" si="2"/>
        <v>8.3999999999999915</v>
      </c>
      <c r="Q190">
        <v>0.7</v>
      </c>
    </row>
    <row r="191" spans="1:17">
      <c r="A191" t="s">
        <v>52</v>
      </c>
      <c r="B191" t="s">
        <v>15</v>
      </c>
      <c r="C191">
        <v>56</v>
      </c>
      <c r="D191">
        <v>26</v>
      </c>
      <c r="E191" s="1">
        <f>+C191/(C191+D191)</f>
        <v>0.68292682926829273</v>
      </c>
      <c r="F191" s="2">
        <v>96.7</v>
      </c>
      <c r="G191" s="2">
        <v>92.3</v>
      </c>
      <c r="H191" s="2">
        <f>+F191-G191</f>
        <v>4.4000000000000057</v>
      </c>
      <c r="I191" s="1">
        <f>+(F191^14)/((F191^14+G191^14))</f>
        <v>0.65745418217817553</v>
      </c>
      <c r="J191" s="2">
        <v>103.6</v>
      </c>
      <c r="K191" s="2">
        <v>98.9</v>
      </c>
      <c r="L191" s="2">
        <f>+J191-K191</f>
        <v>4.6999999999999886</v>
      </c>
      <c r="M191" s="1">
        <f>+E191-I191</f>
        <v>2.5472647090117206E-2</v>
      </c>
      <c r="N191" s="2">
        <v>113.9</v>
      </c>
      <c r="O191" s="2">
        <v>94.6</v>
      </c>
      <c r="P191" s="2">
        <f t="shared" si="2"/>
        <v>19.300000000000011</v>
      </c>
      <c r="Q191">
        <v>1.4</v>
      </c>
    </row>
    <row r="192" spans="1:17">
      <c r="A192" t="s">
        <v>43</v>
      </c>
      <c r="B192" t="s">
        <v>13</v>
      </c>
      <c r="C192">
        <v>42</v>
      </c>
      <c r="D192">
        <v>40</v>
      </c>
      <c r="E192" s="1">
        <f>+C192/(C192+D192)</f>
        <v>0.51219512195121952</v>
      </c>
      <c r="F192" s="2">
        <v>106.5</v>
      </c>
      <c r="G192" s="2">
        <v>106.9</v>
      </c>
      <c r="H192" s="2">
        <f>+F192-G192</f>
        <v>-0.40000000000000568</v>
      </c>
      <c r="I192" s="1">
        <f>+(F192^14)/((F192^14+G192^14))</f>
        <v>0.48688209591984372</v>
      </c>
      <c r="J192" s="2">
        <v>106.2</v>
      </c>
      <c r="K192" s="2">
        <v>106.5</v>
      </c>
      <c r="L192" s="2">
        <f>+J192-K192</f>
        <v>-0.29999999999999716</v>
      </c>
      <c r="M192" s="1">
        <f>+E192-I192</f>
        <v>2.5313026031375807E-2</v>
      </c>
      <c r="N192" s="2">
        <v>98.2</v>
      </c>
      <c r="O192" s="2">
        <v>105</v>
      </c>
      <c r="P192" s="2">
        <f t="shared" si="2"/>
        <v>-6.7999999999999972</v>
      </c>
      <c r="Q192">
        <v>-0.5</v>
      </c>
    </row>
    <row r="193" spans="1:17">
      <c r="A193" t="s">
        <v>49</v>
      </c>
      <c r="B193" t="s">
        <v>28</v>
      </c>
      <c r="C193">
        <v>50</v>
      </c>
      <c r="D193">
        <v>16</v>
      </c>
      <c r="E193" s="1">
        <f>+C193/(C193+D193)</f>
        <v>0.75757575757575757</v>
      </c>
      <c r="F193" s="2">
        <v>103.7</v>
      </c>
      <c r="G193" s="2">
        <v>96.5</v>
      </c>
      <c r="H193" s="2">
        <f>+F193-G193</f>
        <v>7.2000000000000028</v>
      </c>
      <c r="I193" s="1">
        <f>+(F193^14)/((F193^14+G193^14))</f>
        <v>0.7325164044661483</v>
      </c>
      <c r="J193" s="2">
        <v>110</v>
      </c>
      <c r="K193" s="2">
        <v>102.3</v>
      </c>
      <c r="L193" s="2">
        <f>+J193-K193</f>
        <v>7.7000000000000028</v>
      </c>
      <c r="M193" s="1">
        <f>+E193-I193</f>
        <v>2.5059353109609273E-2</v>
      </c>
      <c r="N193" s="2">
        <v>104.3</v>
      </c>
      <c r="O193" s="2">
        <v>88.6</v>
      </c>
      <c r="P193" s="2">
        <f t="shared" si="2"/>
        <v>15.700000000000003</v>
      </c>
      <c r="Q193">
        <v>1.1000000000000001</v>
      </c>
    </row>
    <row r="194" spans="1:17">
      <c r="A194" t="s">
        <v>43</v>
      </c>
      <c r="B194" t="s">
        <v>21</v>
      </c>
      <c r="C194">
        <v>41</v>
      </c>
      <c r="D194">
        <v>41</v>
      </c>
      <c r="E194" s="1">
        <f>+C194/(C194+D194)</f>
        <v>0.5</v>
      </c>
      <c r="F194" s="2">
        <v>97.6</v>
      </c>
      <c r="G194" s="2">
        <v>98.3</v>
      </c>
      <c r="H194" s="2">
        <f>+F194-G194</f>
        <v>-0.70000000000000284</v>
      </c>
      <c r="I194" s="1">
        <f>+(F194^14)/((F194^14+G194^14))</f>
        <v>0.47500797658493921</v>
      </c>
      <c r="J194" s="2">
        <v>104.2</v>
      </c>
      <c r="K194" s="2">
        <v>105.1</v>
      </c>
      <c r="L194" s="2">
        <f>+J194-K194</f>
        <v>-0.89999999999999147</v>
      </c>
      <c r="M194" s="1">
        <f>+E194-I194</f>
        <v>2.4992023415060793E-2</v>
      </c>
      <c r="N194" s="2">
        <v>101.7</v>
      </c>
      <c r="O194" s="2">
        <v>110.4</v>
      </c>
      <c r="P194" s="2">
        <f t="shared" si="2"/>
        <v>-8.7000000000000028</v>
      </c>
      <c r="Q194">
        <v>-0.6</v>
      </c>
    </row>
    <row r="195" spans="1:17">
      <c r="A195" t="s">
        <v>38</v>
      </c>
      <c r="B195" t="s">
        <v>30</v>
      </c>
      <c r="C195">
        <v>33</v>
      </c>
      <c r="D195">
        <v>49</v>
      </c>
      <c r="E195" s="1">
        <f>+C195/(C195+D195)</f>
        <v>0.40243902439024393</v>
      </c>
      <c r="F195" s="2">
        <v>85.4</v>
      </c>
      <c r="G195" s="2">
        <v>88.5</v>
      </c>
      <c r="H195" s="2">
        <f>+F195-G195</f>
        <v>-3.0999999999999943</v>
      </c>
      <c r="I195" s="1">
        <f>+(F195^14)/((F195^14+G195^14))</f>
        <v>0.37773096615035939</v>
      </c>
      <c r="J195" s="2">
        <v>95.3</v>
      </c>
      <c r="K195" s="2">
        <v>98.8</v>
      </c>
      <c r="L195" s="2">
        <f>+J195-K195</f>
        <v>-3.5</v>
      </c>
      <c r="M195" s="1">
        <f>+E195-I195</f>
        <v>2.4708058239884534E-2</v>
      </c>
      <c r="N195" s="2">
        <v>92.7</v>
      </c>
      <c r="O195" s="2">
        <v>97.2</v>
      </c>
      <c r="P195" s="2">
        <f t="shared" si="2"/>
        <v>-4.5</v>
      </c>
      <c r="Q195">
        <v>0.3</v>
      </c>
    </row>
    <row r="196" spans="1:17">
      <c r="A196" t="s">
        <v>66</v>
      </c>
      <c r="B196" t="s">
        <v>23</v>
      </c>
      <c r="C196">
        <v>34</v>
      </c>
      <c r="D196">
        <v>27</v>
      </c>
      <c r="E196" s="1">
        <f>+C196/(C196+D196)</f>
        <v>0.55737704918032782</v>
      </c>
      <c r="F196" s="2">
        <v>114.8</v>
      </c>
      <c r="G196" s="2">
        <v>113.7</v>
      </c>
      <c r="H196" s="2">
        <f>+F196-G196</f>
        <v>1.0999999999999943</v>
      </c>
      <c r="I196" s="1">
        <f>+(F196^14)/((F196^14+G196^14))</f>
        <v>0.53364736091127729</v>
      </c>
      <c r="J196" s="2">
        <v>113.7</v>
      </c>
      <c r="K196" s="2">
        <v>112.7</v>
      </c>
      <c r="L196" s="2">
        <f>+J196-K196</f>
        <v>1</v>
      </c>
      <c r="M196" s="1">
        <f>+E196-I196</f>
        <v>2.3729688269050531E-2</v>
      </c>
      <c r="N196" s="2">
        <v>109.6</v>
      </c>
      <c r="O196" s="2">
        <v>107.4</v>
      </c>
      <c r="P196" s="2">
        <f t="shared" si="2"/>
        <v>2.1999999999999886</v>
      </c>
      <c r="Q196" s="2">
        <v>0.7</v>
      </c>
    </row>
    <row r="197" spans="1:17">
      <c r="A197" t="s">
        <v>65</v>
      </c>
      <c r="B197" t="s">
        <v>9</v>
      </c>
      <c r="C197">
        <v>64</v>
      </c>
      <c r="D197">
        <v>18</v>
      </c>
      <c r="E197" s="1">
        <f>+C197/(C197+D197)</f>
        <v>0.78048780487804881</v>
      </c>
      <c r="F197" s="2">
        <v>121.9</v>
      </c>
      <c r="G197" s="2">
        <v>112.4</v>
      </c>
      <c r="H197" s="2">
        <f>+F197-G197</f>
        <v>9.5</v>
      </c>
      <c r="I197" s="1">
        <f>+(F197^14)/((F197^14+G197^14))</f>
        <v>0.75692964586236922</v>
      </c>
      <c r="J197" s="2">
        <v>121</v>
      </c>
      <c r="K197" s="2">
        <v>111.8</v>
      </c>
      <c r="L197" s="2">
        <f>+J197-K197</f>
        <v>9.2000000000000028</v>
      </c>
      <c r="M197" s="1">
        <f>+E197-I197</f>
        <v>2.3558159015679592E-2</v>
      </c>
      <c r="N197" s="2">
        <v>123.8</v>
      </c>
      <c r="O197" s="2">
        <v>104.9</v>
      </c>
      <c r="P197" s="2">
        <f t="shared" si="2"/>
        <v>18.899999999999991</v>
      </c>
      <c r="Q197">
        <v>2.9</v>
      </c>
    </row>
    <row r="198" spans="1:17">
      <c r="A198" t="s">
        <v>57</v>
      </c>
      <c r="B198" t="s">
        <v>9</v>
      </c>
      <c r="C198">
        <v>51</v>
      </c>
      <c r="D198">
        <v>31</v>
      </c>
      <c r="E198" s="1">
        <f>+C198/(C198+D198)</f>
        <v>0.62195121951219512</v>
      </c>
      <c r="F198" s="2">
        <v>110.3</v>
      </c>
      <c r="G198" s="2">
        <v>107.2</v>
      </c>
      <c r="H198" s="2">
        <f>+F198-G198</f>
        <v>3.0999999999999943</v>
      </c>
      <c r="I198" s="1">
        <f>+(F198^14)/((F198^14+G198^14))</f>
        <v>0.59847320533092052</v>
      </c>
      <c r="J198" s="2">
        <v>112.8</v>
      </c>
      <c r="K198" s="2">
        <v>109.7</v>
      </c>
      <c r="L198" s="2">
        <f>+J198-K198</f>
        <v>3.0999999999999943</v>
      </c>
      <c r="M198" s="1">
        <f>+E198-I198</f>
        <v>2.3478014181274598E-2</v>
      </c>
      <c r="N198" s="2">
        <v>117.1</v>
      </c>
      <c r="O198" s="2">
        <v>103.5</v>
      </c>
      <c r="P198" s="2">
        <f t="shared" si="2"/>
        <v>13.599999999999994</v>
      </c>
      <c r="Q198">
        <v>-1.2</v>
      </c>
    </row>
    <row r="199" spans="1:17">
      <c r="A199" t="s">
        <v>41</v>
      </c>
      <c r="B199" t="s">
        <v>19</v>
      </c>
      <c r="C199">
        <v>40</v>
      </c>
      <c r="D199">
        <v>42</v>
      </c>
      <c r="E199" s="1">
        <f>+C199/(C199+D199)</f>
        <v>0.48780487804878048</v>
      </c>
      <c r="F199" s="2">
        <v>97.8</v>
      </c>
      <c r="G199" s="2">
        <v>98.8</v>
      </c>
      <c r="H199" s="2">
        <f>+F199-G199</f>
        <v>-1</v>
      </c>
      <c r="I199" s="1">
        <f>+(F199^14)/((F199^14+G199^14))</f>
        <v>0.46445446690558873</v>
      </c>
      <c r="J199" s="2">
        <v>104.9</v>
      </c>
      <c r="K199" s="2">
        <v>105.9</v>
      </c>
      <c r="L199" s="2">
        <f>+J199-K199</f>
        <v>-1</v>
      </c>
      <c r="M199" s="1">
        <f>+E199-I199</f>
        <v>2.3350411143191752E-2</v>
      </c>
      <c r="N199" s="2">
        <v>103.7</v>
      </c>
      <c r="O199" s="2">
        <v>95.3</v>
      </c>
      <c r="P199" s="2">
        <f t="shared" si="2"/>
        <v>8.4000000000000057</v>
      </c>
      <c r="Q199">
        <v>-1.1000000000000001</v>
      </c>
    </row>
    <row r="200" spans="1:17">
      <c r="A200" t="s">
        <v>65</v>
      </c>
      <c r="B200" t="s">
        <v>5</v>
      </c>
      <c r="C200">
        <v>40</v>
      </c>
      <c r="D200">
        <v>41</v>
      </c>
      <c r="E200" s="1">
        <f>+C200/(C200+D200)</f>
        <v>0.49382716049382713</v>
      </c>
      <c r="F200" s="2">
        <v>118.4</v>
      </c>
      <c r="G200" s="2">
        <v>119.4</v>
      </c>
      <c r="H200" s="2">
        <f>+F200-G200</f>
        <v>-1</v>
      </c>
      <c r="I200" s="1">
        <f>+(F200^14)/((F200^14+G200^14))</f>
        <v>0.47059728800481032</v>
      </c>
      <c r="J200" s="2">
        <v>113.9</v>
      </c>
      <c r="K200" s="2">
        <v>114.9</v>
      </c>
      <c r="L200" s="2">
        <f>+J200-K200</f>
        <v>-1</v>
      </c>
      <c r="M200" s="1">
        <f>+E200-I200</f>
        <v>2.3229872489016812E-2</v>
      </c>
      <c r="N200" s="2">
        <v>119.4</v>
      </c>
      <c r="O200" s="2">
        <v>109.6</v>
      </c>
      <c r="P200" s="2">
        <f t="shared" si="2"/>
        <v>9.8000000000000114</v>
      </c>
      <c r="Q200">
        <v>1.1000000000000001</v>
      </c>
    </row>
    <row r="201" spans="1:17">
      <c r="A201" t="s">
        <v>54</v>
      </c>
      <c r="B201" t="s">
        <v>13</v>
      </c>
      <c r="C201">
        <v>67</v>
      </c>
      <c r="D201">
        <v>15</v>
      </c>
      <c r="E201" s="1">
        <f>+C201/(C201+D201)</f>
        <v>0.81707317073170727</v>
      </c>
      <c r="F201" s="2">
        <v>110</v>
      </c>
      <c r="G201" s="2">
        <v>99.9</v>
      </c>
      <c r="H201" s="2">
        <f>+F201-G201</f>
        <v>10.099999999999994</v>
      </c>
      <c r="I201" s="1">
        <f>+(F201^14)/((F201^14+G201^14))</f>
        <v>0.79385966423964438</v>
      </c>
      <c r="J201" s="2">
        <v>110.4</v>
      </c>
      <c r="K201" s="2">
        <v>100.4</v>
      </c>
      <c r="L201" s="2">
        <f>+J201-K201</f>
        <v>10</v>
      </c>
      <c r="M201" s="1">
        <f>+E201-I201</f>
        <v>2.3213506492062885E-2</v>
      </c>
      <c r="N201" s="2">
        <v>111</v>
      </c>
      <c r="O201" s="2">
        <v>92.1</v>
      </c>
      <c r="P201" s="2">
        <f t="shared" si="2"/>
        <v>18.900000000000006</v>
      </c>
      <c r="Q201">
        <v>0.4</v>
      </c>
    </row>
    <row r="202" spans="1:17">
      <c r="A202" t="s">
        <v>52</v>
      </c>
      <c r="B202" t="s">
        <v>17</v>
      </c>
      <c r="C202">
        <v>27</v>
      </c>
      <c r="D202">
        <v>55</v>
      </c>
      <c r="E202" s="1">
        <f>+C202/(C202+D202)</f>
        <v>0.32926829268292684</v>
      </c>
      <c r="F202" s="2">
        <v>103</v>
      </c>
      <c r="G202" s="2">
        <v>109.2</v>
      </c>
      <c r="H202" s="2">
        <f>+F202-G202</f>
        <v>-6.2000000000000028</v>
      </c>
      <c r="I202" s="1">
        <f>+(F202^14)/((F202^14+G202^14))</f>
        <v>0.30611847103175666</v>
      </c>
      <c r="J202" s="2">
        <v>103.2</v>
      </c>
      <c r="K202" s="2">
        <v>109.3</v>
      </c>
      <c r="L202" s="2">
        <f>+J202-K202</f>
        <v>-6.0999999999999943</v>
      </c>
      <c r="M202" s="1">
        <f>+E202-I202</f>
        <v>2.3149821651170188E-2</v>
      </c>
      <c r="N202" s="2">
        <v>100.8</v>
      </c>
      <c r="O202" s="2">
        <v>100</v>
      </c>
      <c r="P202" s="2">
        <f t="shared" ref="P202:P265" si="3">+N202-O202</f>
        <v>0.79999999999999716</v>
      </c>
      <c r="Q202">
        <v>0.5</v>
      </c>
    </row>
    <row r="203" spans="1:17">
      <c r="A203" t="s">
        <v>60</v>
      </c>
      <c r="B203" t="s">
        <v>9</v>
      </c>
      <c r="C203">
        <v>19</v>
      </c>
      <c r="D203">
        <v>46</v>
      </c>
      <c r="E203" s="1">
        <f>+C203/(C203+D203)</f>
        <v>0.29230769230769232</v>
      </c>
      <c r="F203" s="2">
        <v>106.9</v>
      </c>
      <c r="G203" s="2">
        <v>114.8</v>
      </c>
      <c r="H203" s="2">
        <f>+F203-G203</f>
        <v>-7.8999999999999915</v>
      </c>
      <c r="I203" s="1">
        <f>+(F203^14)/((F203^14+G203^14))</f>
        <v>0.26930190028801032</v>
      </c>
      <c r="J203" s="2">
        <v>106.9</v>
      </c>
      <c r="K203" s="2">
        <v>114.8</v>
      </c>
      <c r="L203" s="2">
        <f>+J203-K203</f>
        <v>-7.8999999999999915</v>
      </c>
      <c r="M203" s="1">
        <f>+E203-I203</f>
        <v>2.3005792019682003E-2</v>
      </c>
      <c r="N203" s="2">
        <v>103.5</v>
      </c>
      <c r="O203" s="2">
        <v>110.1</v>
      </c>
      <c r="P203" s="2">
        <f t="shared" si="3"/>
        <v>-6.5999999999999943</v>
      </c>
      <c r="Q203">
        <v>0</v>
      </c>
    </row>
    <row r="204" spans="1:17">
      <c r="A204" t="s">
        <v>38</v>
      </c>
      <c r="B204" t="s">
        <v>35</v>
      </c>
      <c r="C204">
        <v>50</v>
      </c>
      <c r="D204">
        <v>32</v>
      </c>
      <c r="E204" s="1">
        <f>+C204/(C204+D204)</f>
        <v>0.6097560975609756</v>
      </c>
      <c r="F204" s="2">
        <v>96.7</v>
      </c>
      <c r="G204" s="2">
        <v>94.3</v>
      </c>
      <c r="H204" s="2">
        <f>+F204-G204</f>
        <v>2.4000000000000057</v>
      </c>
      <c r="I204" s="1">
        <f>+(F204^14)/((F204^14+G204^14))</f>
        <v>0.58706636453816929</v>
      </c>
      <c r="J204" s="2">
        <v>103.4</v>
      </c>
      <c r="K204" s="2">
        <v>100.8</v>
      </c>
      <c r="L204" s="2">
        <f>+J204-K204</f>
        <v>2.6000000000000085</v>
      </c>
      <c r="M204" s="1">
        <f>+E204-I204</f>
        <v>2.2689733022806302E-2</v>
      </c>
      <c r="N204" s="2">
        <v>105.6</v>
      </c>
      <c r="O204" s="2">
        <v>95.5</v>
      </c>
      <c r="P204" s="2">
        <f t="shared" si="3"/>
        <v>10.099999999999994</v>
      </c>
      <c r="Q204">
        <v>2</v>
      </c>
    </row>
    <row r="205" spans="1:17">
      <c r="A205" t="s">
        <v>65</v>
      </c>
      <c r="B205" t="s">
        <v>8</v>
      </c>
      <c r="C205">
        <v>39</v>
      </c>
      <c r="D205">
        <v>43</v>
      </c>
      <c r="E205" s="1">
        <f>+C205/(C205+D205)</f>
        <v>0.47560975609756095</v>
      </c>
      <c r="F205" s="2">
        <v>117.8</v>
      </c>
      <c r="G205" s="2">
        <v>119.4</v>
      </c>
      <c r="H205" s="2">
        <f>+F205-G205</f>
        <v>-1.6000000000000085</v>
      </c>
      <c r="I205" s="1">
        <f>+(F205^14)/((F205^14+G205^14))</f>
        <v>0.45292161510107215</v>
      </c>
      <c r="J205" s="2">
        <v>113.2</v>
      </c>
      <c r="K205" s="2">
        <v>114.8</v>
      </c>
      <c r="L205" s="2">
        <f>+J205-K205</f>
        <v>-1.5999999999999943</v>
      </c>
      <c r="M205" s="1">
        <f>+E205-I205</f>
        <v>2.2688140996488804E-2</v>
      </c>
      <c r="N205" s="2">
        <v>115.4</v>
      </c>
      <c r="O205" s="2">
        <v>100.4</v>
      </c>
      <c r="P205" s="2">
        <f t="shared" si="3"/>
        <v>15</v>
      </c>
      <c r="Q205">
        <v>0</v>
      </c>
    </row>
    <row r="206" spans="1:17">
      <c r="A206" t="s">
        <v>57</v>
      </c>
      <c r="B206" t="s">
        <v>24</v>
      </c>
      <c r="C206">
        <v>28</v>
      </c>
      <c r="D206">
        <v>54</v>
      </c>
      <c r="E206" s="1">
        <f>+C206/(C206+D206)</f>
        <v>0.34146341463414637</v>
      </c>
      <c r="F206" s="2">
        <v>102.4</v>
      </c>
      <c r="G206" s="2">
        <v>108.1</v>
      </c>
      <c r="H206" s="2">
        <f>+F206-G206</f>
        <v>-5.6999999999999886</v>
      </c>
      <c r="I206" s="1">
        <f>+(F206^14)/((F206^14+G206^14))</f>
        <v>0.31899805241383661</v>
      </c>
      <c r="J206" s="2">
        <v>102.7</v>
      </c>
      <c r="K206" s="2">
        <v>108.2</v>
      </c>
      <c r="L206" s="2">
        <f>+J206-K206</f>
        <v>-5.5</v>
      </c>
      <c r="M206" s="1">
        <f>+E206-I206</f>
        <v>2.2465362220309759E-2</v>
      </c>
      <c r="N206" s="2">
        <v>98.1</v>
      </c>
      <c r="O206" s="2">
        <v>109.1</v>
      </c>
      <c r="P206" s="2">
        <f t="shared" si="3"/>
        <v>-11</v>
      </c>
      <c r="Q206">
        <v>-1.4</v>
      </c>
    </row>
    <row r="207" spans="1:17">
      <c r="A207" t="s">
        <v>55</v>
      </c>
      <c r="B207" t="s">
        <v>10</v>
      </c>
      <c r="C207">
        <v>42</v>
      </c>
      <c r="D207">
        <v>40</v>
      </c>
      <c r="E207" s="1">
        <f>+C207/(C207+D207)</f>
        <v>0.51219512195121952</v>
      </c>
      <c r="F207" s="2">
        <v>102.3</v>
      </c>
      <c r="G207" s="2">
        <v>102.6</v>
      </c>
      <c r="H207" s="2">
        <f>+F207-G207</f>
        <v>-0.29999999999999716</v>
      </c>
      <c r="I207" s="1">
        <f>+(F207^14)/((F207^14+G207^14))</f>
        <v>0.4897525259278111</v>
      </c>
      <c r="J207" s="2">
        <v>105.5</v>
      </c>
      <c r="K207" s="2">
        <v>105.9</v>
      </c>
      <c r="L207" s="2">
        <f>+J207-K207</f>
        <v>-0.40000000000000568</v>
      </c>
      <c r="M207" s="1">
        <f>+E207-I207</f>
        <v>2.2442596023408423E-2</v>
      </c>
      <c r="N207" s="2">
        <v>113.5</v>
      </c>
      <c r="O207" s="2">
        <v>99.1</v>
      </c>
      <c r="P207" s="2">
        <f t="shared" si="3"/>
        <v>14.400000000000006</v>
      </c>
      <c r="Q207">
        <v>0.3</v>
      </c>
    </row>
    <row r="208" spans="1:17">
      <c r="A208" t="s">
        <v>47</v>
      </c>
      <c r="B208" t="s">
        <v>14</v>
      </c>
      <c r="C208">
        <v>42</v>
      </c>
      <c r="D208">
        <v>40</v>
      </c>
      <c r="E208" s="1">
        <f>+C208/(C208+D208)</f>
        <v>0.51219512195121952</v>
      </c>
      <c r="F208" s="2">
        <v>102.4</v>
      </c>
      <c r="G208" s="2">
        <v>102.7</v>
      </c>
      <c r="H208" s="2">
        <f>+F208-G208</f>
        <v>-0.29999999999999716</v>
      </c>
      <c r="I208" s="1">
        <f>+(F208^14)/((F208^14+G208^14))</f>
        <v>0.48976251580890345</v>
      </c>
      <c r="J208" s="2">
        <v>106.8</v>
      </c>
      <c r="K208" s="2">
        <v>106.8</v>
      </c>
      <c r="L208" s="2">
        <f>+J208-K208</f>
        <v>0</v>
      </c>
      <c r="M208" s="1">
        <f>+E208-I208</f>
        <v>2.2432606142316069E-2</v>
      </c>
      <c r="N208" s="2">
        <v>103.5</v>
      </c>
      <c r="O208" s="2">
        <v>97.2</v>
      </c>
      <c r="P208" s="2">
        <f t="shared" si="3"/>
        <v>6.2999999999999972</v>
      </c>
      <c r="Q208">
        <v>-0.8</v>
      </c>
    </row>
    <row r="209" spans="1:17">
      <c r="A209" t="s">
        <v>64</v>
      </c>
      <c r="B209" t="s">
        <v>19</v>
      </c>
      <c r="C209">
        <v>49</v>
      </c>
      <c r="D209">
        <v>32</v>
      </c>
      <c r="E209" s="1">
        <f>+C209/(C209+D209)</f>
        <v>0.60493827160493829</v>
      </c>
      <c r="F209" s="2">
        <v>119</v>
      </c>
      <c r="G209" s="2">
        <v>116.2</v>
      </c>
      <c r="H209" s="2">
        <f>+F209-G209</f>
        <v>2.7999999999999972</v>
      </c>
      <c r="I209" s="1">
        <f>+(F209^14)/((F209^14+G209^14))</f>
        <v>0.58257403618210546</v>
      </c>
      <c r="J209" s="2">
        <v>117.7</v>
      </c>
      <c r="K209" s="2">
        <v>114.9</v>
      </c>
      <c r="L209" s="2">
        <f>+J209-K209</f>
        <v>2.7999999999999972</v>
      </c>
      <c r="M209" s="1">
        <f>+E209-I209</f>
        <v>2.2364235422832834E-2</v>
      </c>
      <c r="N209" s="2">
        <v>122</v>
      </c>
      <c r="O209" s="2">
        <v>106.2</v>
      </c>
      <c r="P209" s="2">
        <f t="shared" si="3"/>
        <v>15.799999999999997</v>
      </c>
      <c r="Q209">
        <v>0.1</v>
      </c>
    </row>
    <row r="210" spans="1:17">
      <c r="A210" t="s">
        <v>38</v>
      </c>
      <c r="B210" t="s">
        <v>9</v>
      </c>
      <c r="C210">
        <v>35</v>
      </c>
      <c r="D210">
        <v>47</v>
      </c>
      <c r="E210" s="1">
        <f>+C210/(C210+D210)</f>
        <v>0.42682926829268292</v>
      </c>
      <c r="F210" s="2">
        <v>92.9</v>
      </c>
      <c r="G210" s="2">
        <v>95.5</v>
      </c>
      <c r="H210" s="2">
        <f>+F210-G210</f>
        <v>-2.5999999999999943</v>
      </c>
      <c r="I210" s="1">
        <f>+(F210^14)/((F210^14+G210^14))</f>
        <v>0.40457545277008533</v>
      </c>
      <c r="J210" s="2">
        <v>100.6</v>
      </c>
      <c r="K210" s="2">
        <v>103.1</v>
      </c>
      <c r="L210" s="2">
        <f>+J210-K210</f>
        <v>-2.5</v>
      </c>
      <c r="M210" s="1">
        <f>+E210-I210</f>
        <v>2.2253815522597586E-2</v>
      </c>
      <c r="N210" s="2">
        <v>93.1</v>
      </c>
      <c r="O210" s="2">
        <v>97.1</v>
      </c>
      <c r="P210" s="2">
        <f t="shared" si="3"/>
        <v>-4</v>
      </c>
      <c r="Q210">
        <v>-0.5</v>
      </c>
    </row>
    <row r="211" spans="1:17">
      <c r="A211" t="s">
        <v>64</v>
      </c>
      <c r="B211" t="s">
        <v>56</v>
      </c>
      <c r="C211">
        <v>51</v>
      </c>
      <c r="D211">
        <v>31</v>
      </c>
      <c r="E211" s="1">
        <f>+C211/(C211+D211)</f>
        <v>0.62195121951219512</v>
      </c>
      <c r="F211" s="2">
        <v>115.6</v>
      </c>
      <c r="G211" s="2">
        <v>112.3</v>
      </c>
      <c r="H211" s="2">
        <f>+F211-G211</f>
        <v>3.2999999999999972</v>
      </c>
      <c r="I211" s="1">
        <f>+(F211^14)/((F211^14+G211^14))</f>
        <v>0.60000101155304963</v>
      </c>
      <c r="J211" s="2">
        <v>117.9</v>
      </c>
      <c r="K211" s="2">
        <v>114.6</v>
      </c>
      <c r="L211" s="2">
        <f>+J211-K211</f>
        <v>3.3000000000000114</v>
      </c>
      <c r="M211" s="1">
        <f>+E211-I211</f>
        <v>2.1950207959145485E-2</v>
      </c>
      <c r="N211" s="2">
        <v>124.6</v>
      </c>
      <c r="O211" s="2">
        <v>107.8</v>
      </c>
      <c r="P211" s="2">
        <f t="shared" si="3"/>
        <v>16.799999999999997</v>
      </c>
      <c r="Q211">
        <v>-0.5</v>
      </c>
    </row>
    <row r="212" spans="1:17">
      <c r="A212" t="s">
        <v>43</v>
      </c>
      <c r="B212" t="s">
        <v>31</v>
      </c>
      <c r="C212">
        <v>51</v>
      </c>
      <c r="D212">
        <v>31</v>
      </c>
      <c r="E212" s="1">
        <f>+C212/(C212+D212)</f>
        <v>0.62195121951219512</v>
      </c>
      <c r="F212" s="2">
        <v>101.5</v>
      </c>
      <c r="G212" s="2">
        <v>98.6</v>
      </c>
      <c r="H212" s="2">
        <f>+F212-G212</f>
        <v>2.9000000000000057</v>
      </c>
      <c r="I212" s="1">
        <f>+(F212^14)/((F212^14+G212^14))</f>
        <v>0.60008649482988841</v>
      </c>
      <c r="J212" s="2">
        <v>108.6</v>
      </c>
      <c r="K212" s="2">
        <v>105.6</v>
      </c>
      <c r="L212" s="2">
        <f>+J212-K212</f>
        <v>3</v>
      </c>
      <c r="M212" s="1">
        <f>+E212-I212</f>
        <v>2.1864724682306713E-2</v>
      </c>
      <c r="N212" s="2">
        <v>116.1</v>
      </c>
      <c r="O212" s="2">
        <v>109.7</v>
      </c>
      <c r="P212" s="2">
        <f t="shared" si="3"/>
        <v>6.3999999999999915</v>
      </c>
      <c r="Q212">
        <v>1.9</v>
      </c>
    </row>
    <row r="213" spans="1:17">
      <c r="A213" t="s">
        <v>60</v>
      </c>
      <c r="B213" t="s">
        <v>14</v>
      </c>
      <c r="C213">
        <v>44</v>
      </c>
      <c r="D213">
        <v>28</v>
      </c>
      <c r="E213" s="1">
        <f>+C213/(C213+D213)</f>
        <v>0.61111111111111116</v>
      </c>
      <c r="F213" s="2">
        <v>117.8</v>
      </c>
      <c r="G213" s="2">
        <v>114.8</v>
      </c>
      <c r="H213" s="2">
        <f>+F213-G213</f>
        <v>3</v>
      </c>
      <c r="I213" s="1">
        <f>+(F213^14)/((F213^14+G213^14))</f>
        <v>0.58932000368838899</v>
      </c>
      <c r="J213" s="2">
        <v>112.5</v>
      </c>
      <c r="K213" s="2">
        <v>109.8</v>
      </c>
      <c r="L213" s="2">
        <f>+J213-K213</f>
        <v>2.7000000000000028</v>
      </c>
      <c r="M213" s="1">
        <f>+E213-I213</f>
        <v>2.1791107422722167E-2</v>
      </c>
      <c r="N213" s="2">
        <v>115.7</v>
      </c>
      <c r="O213" s="2">
        <v>97</v>
      </c>
      <c r="P213" s="2">
        <f t="shared" si="3"/>
        <v>18.700000000000003</v>
      </c>
      <c r="Q213">
        <v>-0.5</v>
      </c>
    </row>
    <row r="214" spans="1:17">
      <c r="A214" t="s">
        <v>63</v>
      </c>
      <c r="B214" t="s">
        <v>26</v>
      </c>
      <c r="C214">
        <v>33</v>
      </c>
      <c r="D214">
        <v>49</v>
      </c>
      <c r="E214" s="1">
        <f>+C214/(C214+D214)</f>
        <v>0.40243902439024393</v>
      </c>
      <c r="F214" s="2">
        <v>113.4</v>
      </c>
      <c r="G214" s="2">
        <v>117.4</v>
      </c>
      <c r="H214" s="2">
        <f>+F214-G214</f>
        <v>-4</v>
      </c>
      <c r="I214" s="1">
        <f>+(F214^14)/((F214^14+G214^14))</f>
        <v>0.3809973284555101</v>
      </c>
      <c r="J214" s="2">
        <v>114</v>
      </c>
      <c r="K214" s="2">
        <v>118</v>
      </c>
      <c r="L214" s="2">
        <f>+J214-K214</f>
        <v>-4</v>
      </c>
      <c r="M214" s="1">
        <f>+E214-I214</f>
        <v>2.1441695934733829E-2</v>
      </c>
      <c r="N214" s="2">
        <v>107.1</v>
      </c>
      <c r="O214" s="2">
        <v>113.9</v>
      </c>
      <c r="P214" s="2">
        <f t="shared" si="3"/>
        <v>-6.8000000000000114</v>
      </c>
      <c r="Q214">
        <v>-1.2</v>
      </c>
    </row>
    <row r="215" spans="1:17">
      <c r="A215" t="s">
        <v>63</v>
      </c>
      <c r="B215" t="s">
        <v>56</v>
      </c>
      <c r="C215">
        <v>44</v>
      </c>
      <c r="D215">
        <v>38</v>
      </c>
      <c r="E215" s="1">
        <f>+C215/(C215+D215)</f>
        <v>0.53658536585365857</v>
      </c>
      <c r="F215" s="2">
        <v>113.6</v>
      </c>
      <c r="G215" s="2">
        <v>113.1</v>
      </c>
      <c r="H215" s="2">
        <f>+F215-G215</f>
        <v>0.5</v>
      </c>
      <c r="I215" s="1">
        <f>+(F215^14)/((F215^14+G215^14))</f>
        <v>0.515434026237649</v>
      </c>
      <c r="J215" s="2">
        <v>114</v>
      </c>
      <c r="K215" s="2">
        <v>113.6</v>
      </c>
      <c r="L215" s="2">
        <f>+J215-K215</f>
        <v>0.40000000000000568</v>
      </c>
      <c r="M215" s="1">
        <f>+E215-I215</f>
        <v>2.1151339616009568E-2</v>
      </c>
      <c r="N215" s="2">
        <v>112.3</v>
      </c>
      <c r="O215" s="2">
        <v>109.8</v>
      </c>
      <c r="P215" s="2">
        <f t="shared" si="3"/>
        <v>2.5</v>
      </c>
      <c r="Q215">
        <v>0.7</v>
      </c>
    </row>
    <row r="216" spans="1:17">
      <c r="A216" t="s">
        <v>44</v>
      </c>
      <c r="B216" t="s">
        <v>16</v>
      </c>
      <c r="C216">
        <v>23</v>
      </c>
      <c r="D216">
        <v>59</v>
      </c>
      <c r="E216" s="1">
        <f>+C216/(C216+D216)</f>
        <v>0.28048780487804881</v>
      </c>
      <c r="F216" s="2">
        <v>93.8</v>
      </c>
      <c r="G216" s="2">
        <v>101.1</v>
      </c>
      <c r="H216" s="2">
        <f>+F216-G216</f>
        <v>-7.2999999999999972</v>
      </c>
      <c r="I216" s="1">
        <f>+(F216^14)/((F216^14+G216^14))</f>
        <v>0.25937226319296447</v>
      </c>
      <c r="J216" s="2">
        <v>99.9</v>
      </c>
      <c r="K216" s="2">
        <v>107.4</v>
      </c>
      <c r="L216" s="2">
        <f>+J216-K216</f>
        <v>-7.5</v>
      </c>
      <c r="M216" s="1">
        <f>+E216-I216</f>
        <v>2.1115541685084338E-2</v>
      </c>
      <c r="N216" s="2">
        <v>110.1</v>
      </c>
      <c r="O216" s="2">
        <v>122.7</v>
      </c>
      <c r="P216" s="2">
        <f t="shared" si="3"/>
        <v>-12.600000000000009</v>
      </c>
      <c r="Q216">
        <v>-1</v>
      </c>
    </row>
    <row r="217" spans="1:17">
      <c r="A217" t="s">
        <v>63</v>
      </c>
      <c r="B217" t="s">
        <v>51</v>
      </c>
      <c r="C217">
        <v>45</v>
      </c>
      <c r="D217">
        <v>37</v>
      </c>
      <c r="E217" s="1">
        <f>+C217/(C217+D217)</f>
        <v>0.54878048780487809</v>
      </c>
      <c r="F217" s="2">
        <v>113.4</v>
      </c>
      <c r="G217" s="2">
        <v>112.5</v>
      </c>
      <c r="H217" s="2">
        <f>+F217-G217</f>
        <v>0.90000000000000568</v>
      </c>
      <c r="I217" s="1">
        <f>+(F217^14)/((F217^14+G217^14))</f>
        <v>0.52785970836604967</v>
      </c>
      <c r="J217" s="2">
        <v>114.6</v>
      </c>
      <c r="K217" s="2">
        <v>113.5</v>
      </c>
      <c r="L217" s="2">
        <f>+J217-K217</f>
        <v>1.0999999999999943</v>
      </c>
      <c r="M217" s="1">
        <f>+E217-I217</f>
        <v>2.0920779438828419E-2</v>
      </c>
      <c r="N217" s="2">
        <v>115.9</v>
      </c>
      <c r="O217" s="2">
        <v>110.2</v>
      </c>
      <c r="P217" s="2">
        <f t="shared" si="3"/>
        <v>5.7000000000000028</v>
      </c>
      <c r="Q217">
        <v>0.3</v>
      </c>
    </row>
    <row r="218" spans="1:17">
      <c r="A218" t="s">
        <v>43</v>
      </c>
      <c r="B218" t="s">
        <v>25</v>
      </c>
      <c r="C218">
        <v>61</v>
      </c>
      <c r="D218">
        <v>21</v>
      </c>
      <c r="E218" s="1">
        <f>+C218/(C218+D218)</f>
        <v>0.74390243902439024</v>
      </c>
      <c r="F218" s="2">
        <v>110.2</v>
      </c>
      <c r="G218" s="2">
        <v>102.9</v>
      </c>
      <c r="H218" s="2">
        <f>+F218-G218</f>
        <v>7.2999999999999972</v>
      </c>
      <c r="I218" s="1">
        <f>+(F218^14)/((F218^14+G218^14))</f>
        <v>0.72303160932792188</v>
      </c>
      <c r="J218" s="2">
        <v>112.9</v>
      </c>
      <c r="K218" s="2">
        <v>105.5</v>
      </c>
      <c r="L218" s="2">
        <f>+J218-K218</f>
        <v>7.4000000000000057</v>
      </c>
      <c r="M218" s="1">
        <f>+E218-I218</f>
        <v>2.0870829696468363E-2</v>
      </c>
      <c r="N218" s="2">
        <v>108.6</v>
      </c>
      <c r="O218" s="2">
        <v>101.9</v>
      </c>
      <c r="P218" s="2">
        <f t="shared" si="3"/>
        <v>6.6999999999999886</v>
      </c>
      <c r="Q218">
        <v>0.9</v>
      </c>
    </row>
    <row r="219" spans="1:17">
      <c r="A219" t="s">
        <v>49</v>
      </c>
      <c r="B219" t="s">
        <v>31</v>
      </c>
      <c r="C219">
        <v>36</v>
      </c>
      <c r="D219">
        <v>30</v>
      </c>
      <c r="E219" s="1">
        <f>+C219/(C219+D219)</f>
        <v>0.54545454545454541</v>
      </c>
      <c r="F219" s="2">
        <v>99.7</v>
      </c>
      <c r="G219" s="2">
        <v>99</v>
      </c>
      <c r="H219" s="2">
        <f>+F219-G219</f>
        <v>0.70000000000000284</v>
      </c>
      <c r="I219" s="1">
        <f>+(F219^14)/((F219^14+G219^14))</f>
        <v>0.52464041755417556</v>
      </c>
      <c r="J219" s="2">
        <v>105.5</v>
      </c>
      <c r="K219" s="2">
        <v>104.9</v>
      </c>
      <c r="L219" s="2">
        <f>+J219-K219</f>
        <v>0.59999999999999432</v>
      </c>
      <c r="M219" s="1">
        <f>+E219-I219</f>
        <v>2.081412790036985E-2</v>
      </c>
      <c r="N219" s="2">
        <v>96.6</v>
      </c>
      <c r="O219" s="2">
        <v>98.2</v>
      </c>
      <c r="P219" s="2">
        <f t="shared" si="3"/>
        <v>-1.6000000000000085</v>
      </c>
      <c r="Q219">
        <v>0</v>
      </c>
    </row>
    <row r="220" spans="1:17">
      <c r="A220" t="s">
        <v>60</v>
      </c>
      <c r="B220" t="s">
        <v>5</v>
      </c>
      <c r="C220">
        <v>20</v>
      </c>
      <c r="D220">
        <v>47</v>
      </c>
      <c r="E220" s="1">
        <f>+C220/(C220+D220)</f>
        <v>0.29850746268656714</v>
      </c>
      <c r="F220" s="2">
        <v>111.8</v>
      </c>
      <c r="G220" s="2">
        <v>119.7</v>
      </c>
      <c r="H220" s="2">
        <f>+F220-G220</f>
        <v>-7.9000000000000057</v>
      </c>
      <c r="I220" s="1">
        <f>+(F220^14)/((F220^14+G220^14))</f>
        <v>0.27770410092072012</v>
      </c>
      <c r="J220" s="2">
        <v>107</v>
      </c>
      <c r="K220" s="2">
        <v>114.4</v>
      </c>
      <c r="L220" s="2">
        <f>+J220-K220</f>
        <v>-7.4000000000000057</v>
      </c>
      <c r="M220" s="1">
        <f>+E220-I220</f>
        <v>2.0803361765847017E-2</v>
      </c>
      <c r="N220" s="2">
        <v>97.4</v>
      </c>
      <c r="O220" s="2">
        <v>98.9</v>
      </c>
      <c r="P220" s="2">
        <f t="shared" si="3"/>
        <v>-1.5</v>
      </c>
      <c r="Q220">
        <v>-1</v>
      </c>
    </row>
    <row r="221" spans="1:17">
      <c r="A221" t="s">
        <v>63</v>
      </c>
      <c r="B221" t="s">
        <v>15</v>
      </c>
      <c r="C221">
        <v>35</v>
      </c>
      <c r="D221">
        <v>47</v>
      </c>
      <c r="E221" s="1">
        <f>+C221/(C221+D221)</f>
        <v>0.42682926829268292</v>
      </c>
      <c r="F221" s="2">
        <v>116.3</v>
      </c>
      <c r="G221" s="2">
        <v>119.5</v>
      </c>
      <c r="H221" s="2">
        <f>+F221-G221</f>
        <v>-3.2000000000000028</v>
      </c>
      <c r="I221" s="1">
        <f>+(F221^14)/((F221^14+G221^14))</f>
        <v>0.40612536169941066</v>
      </c>
      <c r="J221" s="2">
        <v>113.8</v>
      </c>
      <c r="K221" s="2">
        <v>117.1</v>
      </c>
      <c r="L221" s="2">
        <f>+J221-K221</f>
        <v>-3.2999999999999972</v>
      </c>
      <c r="M221" s="1">
        <f>+E221-I221</f>
        <v>2.0703906593272259E-2</v>
      </c>
      <c r="N221" s="2">
        <v>110</v>
      </c>
      <c r="O221" s="2">
        <v>110.7</v>
      </c>
      <c r="P221" s="2">
        <f t="shared" si="3"/>
        <v>-0.70000000000000284</v>
      </c>
      <c r="Q221">
        <v>0.7</v>
      </c>
    </row>
    <row r="222" spans="1:17">
      <c r="A222" t="s">
        <v>50</v>
      </c>
      <c r="B222" t="s">
        <v>10</v>
      </c>
      <c r="C222">
        <v>41</v>
      </c>
      <c r="D222">
        <v>41</v>
      </c>
      <c r="E222" s="1">
        <f>+C222/(C222+D222)</f>
        <v>0.5</v>
      </c>
      <c r="F222" s="2">
        <v>101.1</v>
      </c>
      <c r="G222" s="2">
        <v>101.7</v>
      </c>
      <c r="H222" s="2">
        <f>+F222-G222</f>
        <v>-0.60000000000000853</v>
      </c>
      <c r="I222" s="1">
        <f>+(F222^14)/((F222^14+G222^14))</f>
        <v>0.47930171595662069</v>
      </c>
      <c r="J222" s="2">
        <v>104.7</v>
      </c>
      <c r="K222" s="2">
        <v>105.4</v>
      </c>
      <c r="L222" s="2">
        <f>+J222-K222</f>
        <v>-0.70000000000000284</v>
      </c>
      <c r="M222" s="1">
        <f>+E222-I222</f>
        <v>2.0698284043379311E-2</v>
      </c>
      <c r="N222" s="2">
        <v>101</v>
      </c>
      <c r="O222" s="2">
        <v>102.2</v>
      </c>
      <c r="P222" s="2">
        <f t="shared" si="3"/>
        <v>-1.2000000000000028</v>
      </c>
      <c r="Q222">
        <v>-0.3</v>
      </c>
    </row>
    <row r="223" spans="1:17">
      <c r="A223" t="s">
        <v>54</v>
      </c>
      <c r="B223" t="s">
        <v>53</v>
      </c>
      <c r="C223">
        <v>45</v>
      </c>
      <c r="D223">
        <v>37</v>
      </c>
      <c r="E223" s="1">
        <f>+C223/(C223+D223)</f>
        <v>0.54878048780487809</v>
      </c>
      <c r="F223" s="2">
        <v>99.4</v>
      </c>
      <c r="G223" s="2">
        <v>98.6</v>
      </c>
      <c r="H223" s="2">
        <f>+F223-G223</f>
        <v>0.80000000000001137</v>
      </c>
      <c r="I223" s="1">
        <f>+(F223^14)/((F223^14+G223^14))</f>
        <v>0.52825285498297569</v>
      </c>
      <c r="J223" s="2">
        <v>107.1</v>
      </c>
      <c r="K223" s="2">
        <v>106.3</v>
      </c>
      <c r="L223" s="2">
        <f>+J223-K223</f>
        <v>0.79999999999999716</v>
      </c>
      <c r="M223" s="1">
        <f>+E223-I223</f>
        <v>2.0527632821902397E-2</v>
      </c>
      <c r="N223" s="2">
        <v>106.2</v>
      </c>
      <c r="O223" s="2">
        <v>105.3</v>
      </c>
      <c r="P223" s="2">
        <f t="shared" si="3"/>
        <v>0.90000000000000568</v>
      </c>
      <c r="Q223">
        <v>-0.2</v>
      </c>
    </row>
    <row r="224" spans="1:17">
      <c r="A224" t="s">
        <v>4</v>
      </c>
      <c r="B224" t="s">
        <v>9</v>
      </c>
      <c r="C224">
        <v>30</v>
      </c>
      <c r="D224">
        <v>52</v>
      </c>
      <c r="E224" s="1">
        <f>+C224/(C224+D224)</f>
        <v>0.36585365853658536</v>
      </c>
      <c r="F224" s="2">
        <v>92.2</v>
      </c>
      <c r="G224" s="2">
        <v>96.5</v>
      </c>
      <c r="H224" s="2">
        <f>+F224-G224</f>
        <v>-4.2999999999999972</v>
      </c>
      <c r="I224" s="1">
        <f>+(F224^14)/((F224^14+G224^14))</f>
        <v>0.34566252690458571</v>
      </c>
      <c r="J224" s="2">
        <v>99.3</v>
      </c>
      <c r="K224" s="2">
        <v>103.5</v>
      </c>
      <c r="L224" s="2">
        <f>+J224-K224</f>
        <v>-4.2000000000000028</v>
      </c>
      <c r="M224" s="1">
        <f>+E224-I224</f>
        <v>2.0191131631999648E-2</v>
      </c>
      <c r="N224" s="2">
        <v>91.3</v>
      </c>
      <c r="O224" s="2">
        <v>86.8</v>
      </c>
      <c r="P224" s="2">
        <f t="shared" si="3"/>
        <v>4.5</v>
      </c>
      <c r="Q224">
        <v>1</v>
      </c>
    </row>
    <row r="225" spans="1:17">
      <c r="A225" t="s">
        <v>43</v>
      </c>
      <c r="B225" t="s">
        <v>33</v>
      </c>
      <c r="C225">
        <v>41</v>
      </c>
      <c r="D225">
        <v>41</v>
      </c>
      <c r="E225" s="1">
        <f>+C225/(C225+D225)</f>
        <v>0.5</v>
      </c>
      <c r="F225" s="2">
        <v>104.3</v>
      </c>
      <c r="G225" s="2">
        <v>104.9</v>
      </c>
      <c r="H225" s="2">
        <f>+F225-G225</f>
        <v>-0.60000000000000853</v>
      </c>
      <c r="I225" s="1">
        <f>+(F225^14)/((F225^14+G225^14))</f>
        <v>0.47993424575681876</v>
      </c>
      <c r="J225" s="2">
        <v>108.7</v>
      </c>
      <c r="K225" s="2">
        <v>109.1</v>
      </c>
      <c r="L225" s="2">
        <f>+J225-K225</f>
        <v>-0.39999999999999147</v>
      </c>
      <c r="M225" s="1">
        <f>+E225-I225</f>
        <v>2.0065754243181244E-2</v>
      </c>
      <c r="N225" s="2">
        <v>102.3</v>
      </c>
      <c r="O225" s="2">
        <v>114.7</v>
      </c>
      <c r="P225" s="2">
        <f t="shared" si="3"/>
        <v>-12.400000000000006</v>
      </c>
      <c r="Q225">
        <v>-1.4</v>
      </c>
    </row>
    <row r="226" spans="1:17">
      <c r="A226" t="s">
        <v>58</v>
      </c>
      <c r="B226" t="s">
        <v>18</v>
      </c>
      <c r="C226">
        <v>44</v>
      </c>
      <c r="D226">
        <v>38</v>
      </c>
      <c r="E226" s="1">
        <f>+C226/(C226+D226)</f>
        <v>0.53658536585365857</v>
      </c>
      <c r="F226" s="2">
        <v>103.4</v>
      </c>
      <c r="G226" s="2">
        <v>102.9</v>
      </c>
      <c r="H226" s="2">
        <f>+F226-G226</f>
        <v>0.5</v>
      </c>
      <c r="I226" s="1">
        <f>+(F226^14)/((F226^14+G226^14))</f>
        <v>0.5169591093166388</v>
      </c>
      <c r="J226" s="2">
        <v>106.2</v>
      </c>
      <c r="K226" s="2">
        <v>105.8</v>
      </c>
      <c r="L226" s="2">
        <f>+J226-K226</f>
        <v>0.40000000000000568</v>
      </c>
      <c r="M226" s="1">
        <f>+E226-I226</f>
        <v>1.9626256537019771E-2</v>
      </c>
      <c r="N226" s="2">
        <v>108.7</v>
      </c>
      <c r="O226" s="2">
        <v>100.4</v>
      </c>
      <c r="P226" s="2">
        <f t="shared" si="3"/>
        <v>8.2999999999999972</v>
      </c>
      <c r="Q226">
        <v>0.7</v>
      </c>
    </row>
    <row r="227" spans="1:17">
      <c r="A227" t="s">
        <v>57</v>
      </c>
      <c r="B227" t="s">
        <v>26</v>
      </c>
      <c r="C227">
        <v>41</v>
      </c>
      <c r="D227">
        <v>41</v>
      </c>
      <c r="E227" s="1">
        <f>+C227/(C227+D227)</f>
        <v>0.5</v>
      </c>
      <c r="F227" s="2">
        <v>107.9</v>
      </c>
      <c r="G227" s="2">
        <v>108.5</v>
      </c>
      <c r="H227" s="2">
        <f>+F227-G227</f>
        <v>-0.59999999999999432</v>
      </c>
      <c r="I227" s="1">
        <f>+(F227^14)/((F227^14+G227^14))</f>
        <v>0.48060118968049892</v>
      </c>
      <c r="J227" s="2">
        <v>109.4</v>
      </c>
      <c r="K227" s="2">
        <v>110</v>
      </c>
      <c r="L227" s="2">
        <f>+J227-K227</f>
        <v>-0.59999999999999432</v>
      </c>
      <c r="M227" s="1">
        <f>+E227-I227</f>
        <v>1.9398810319501081E-2</v>
      </c>
      <c r="N227" s="2">
        <v>104.9</v>
      </c>
      <c r="O227" s="2">
        <v>102.4</v>
      </c>
      <c r="P227" s="2">
        <f t="shared" si="3"/>
        <v>2.5</v>
      </c>
      <c r="Q227">
        <v>-0.1</v>
      </c>
    </row>
    <row r="228" spans="1:17">
      <c r="A228" t="s">
        <v>4</v>
      </c>
      <c r="B228" t="s">
        <v>18</v>
      </c>
      <c r="C228">
        <v>50</v>
      </c>
      <c r="D228">
        <v>32</v>
      </c>
      <c r="E228" s="1">
        <f>+C228/(C228+D228)</f>
        <v>0.6097560975609756</v>
      </c>
      <c r="F228" s="2">
        <v>88.9</v>
      </c>
      <c r="G228" s="2">
        <v>86.6</v>
      </c>
      <c r="H228" s="2">
        <f>+F228-G228</f>
        <v>2.3000000000000114</v>
      </c>
      <c r="I228" s="1">
        <f>+(F228^14)/((F228^14+G228^14))</f>
        <v>0.59072724433353874</v>
      </c>
      <c r="J228" s="2">
        <v>99.4</v>
      </c>
      <c r="K228" s="2">
        <v>97.1</v>
      </c>
      <c r="L228" s="2">
        <f>+J228-K228</f>
        <v>2.3000000000000114</v>
      </c>
      <c r="M228" s="1">
        <f>+E228-I228</f>
        <v>1.9028853227436859E-2</v>
      </c>
      <c r="N228" s="2">
        <v>99.1</v>
      </c>
      <c r="O228" s="2">
        <v>92.1</v>
      </c>
      <c r="P228" s="2">
        <f t="shared" si="3"/>
        <v>7</v>
      </c>
      <c r="Q228">
        <v>-0.3</v>
      </c>
    </row>
    <row r="229" spans="1:17">
      <c r="A229" t="s">
        <v>57</v>
      </c>
      <c r="B229" t="s">
        <v>19</v>
      </c>
      <c r="C229">
        <v>42</v>
      </c>
      <c r="D229">
        <v>40</v>
      </c>
      <c r="E229" s="1">
        <f>+C229/(C229+D229)</f>
        <v>0.51219512195121952</v>
      </c>
      <c r="F229" s="2">
        <v>103.6</v>
      </c>
      <c r="G229" s="2">
        <v>103.8</v>
      </c>
      <c r="H229" s="2">
        <f>+F229-G229</f>
        <v>-0.20000000000000284</v>
      </c>
      <c r="I229" s="1">
        <f>+(F229^14)/((F229^14+G229^14))</f>
        <v>0.49325016690450357</v>
      </c>
      <c r="J229" s="2">
        <v>108.5</v>
      </c>
      <c r="K229" s="2">
        <v>108.7</v>
      </c>
      <c r="L229" s="2">
        <f>+J229-K229</f>
        <v>-0.20000000000000284</v>
      </c>
      <c r="M229" s="1">
        <f>+E229-I229</f>
        <v>1.894495504671595E-2</v>
      </c>
      <c r="N229" s="2">
        <v>88.9</v>
      </c>
      <c r="O229" s="2">
        <v>100</v>
      </c>
      <c r="P229" s="2">
        <f t="shared" si="3"/>
        <v>-11.099999999999994</v>
      </c>
      <c r="Q229">
        <v>0.2</v>
      </c>
    </row>
    <row r="230" spans="1:17">
      <c r="A230" t="s">
        <v>45</v>
      </c>
      <c r="B230" t="s">
        <v>9</v>
      </c>
      <c r="C230">
        <v>66</v>
      </c>
      <c r="D230">
        <v>16</v>
      </c>
      <c r="E230" s="1">
        <f>+C230/(C230+D230)</f>
        <v>0.80487804878048785</v>
      </c>
      <c r="F230" s="2">
        <v>100.3</v>
      </c>
      <c r="G230" s="2">
        <v>91.4</v>
      </c>
      <c r="H230" s="2">
        <f>+F230-G230</f>
        <v>8.8999999999999915</v>
      </c>
      <c r="I230" s="1">
        <f>+(F230^14)/((F230^14+G230^14))</f>
        <v>0.78598355822200683</v>
      </c>
      <c r="J230" s="2">
        <v>111.2</v>
      </c>
      <c r="K230" s="2">
        <v>101.6</v>
      </c>
      <c r="L230" s="2">
        <f>+J230-K230</f>
        <v>9.6000000000000085</v>
      </c>
      <c r="M230" s="1">
        <f>+E230-I230</f>
        <v>1.8894490558481025E-2</v>
      </c>
      <c r="N230" s="2">
        <v>127.1</v>
      </c>
      <c r="O230" s="2">
        <v>93.9</v>
      </c>
      <c r="P230" s="2">
        <f t="shared" si="3"/>
        <v>33.199999999999989</v>
      </c>
      <c r="Q230">
        <v>2</v>
      </c>
    </row>
    <row r="231" spans="1:17">
      <c r="A231" t="s">
        <v>62</v>
      </c>
      <c r="B231" t="s">
        <v>19</v>
      </c>
      <c r="C231">
        <v>51</v>
      </c>
      <c r="D231">
        <v>31</v>
      </c>
      <c r="E231" s="1">
        <f>+C231/(C231+D231)</f>
        <v>0.62195121951219512</v>
      </c>
      <c r="F231" s="2">
        <v>115.5</v>
      </c>
      <c r="G231" s="2">
        <v>112.1</v>
      </c>
      <c r="H231" s="2">
        <f>+F231-G231</f>
        <v>3.4000000000000057</v>
      </c>
      <c r="I231" s="1">
        <f>+(F231^14)/((F231^14+G231^14))</f>
        <v>0.60307848942796871</v>
      </c>
      <c r="J231" s="2">
        <v>114.3</v>
      </c>
      <c r="K231" s="2">
        <v>111.1</v>
      </c>
      <c r="L231" s="2">
        <f>+J231-K231</f>
        <v>3.2000000000000028</v>
      </c>
      <c r="M231" s="1">
        <f>+E231-I231</f>
        <v>1.8872730084226408E-2</v>
      </c>
      <c r="N231" s="2">
        <v>118.1</v>
      </c>
      <c r="O231" s="2">
        <v>102.8</v>
      </c>
      <c r="P231" s="2">
        <f t="shared" si="3"/>
        <v>15.299999999999997</v>
      </c>
      <c r="Q231">
        <v>1</v>
      </c>
    </row>
    <row r="232" spans="1:17">
      <c r="A232" t="s">
        <v>64</v>
      </c>
      <c r="B232" t="s">
        <v>8</v>
      </c>
      <c r="C232">
        <v>39</v>
      </c>
      <c r="D232">
        <v>43</v>
      </c>
      <c r="E232" s="1">
        <f>+C232/(C232+D232)</f>
        <v>0.47560975609756095</v>
      </c>
      <c r="F232" s="2">
        <v>112.3</v>
      </c>
      <c r="G232" s="2">
        <v>113.7</v>
      </c>
      <c r="H232" s="2">
        <f>+F232-G232</f>
        <v>-1.4000000000000057</v>
      </c>
      <c r="I232" s="1">
        <f>+(F232^14)/((F232^14+G232^14))</f>
        <v>0.45674500707162874</v>
      </c>
      <c r="J232" s="2">
        <v>114</v>
      </c>
      <c r="K232" s="2">
        <v>115.7</v>
      </c>
      <c r="L232" s="2">
        <f>+J232-K232</f>
        <v>-1.7000000000000028</v>
      </c>
      <c r="M232" s="1">
        <f>+E232-I232</f>
        <v>1.8864749025932215E-2</v>
      </c>
      <c r="N232" s="2">
        <v>119.5</v>
      </c>
      <c r="O232" s="2">
        <v>95.5</v>
      </c>
      <c r="P232" s="2">
        <f t="shared" si="3"/>
        <v>24</v>
      </c>
      <c r="Q232">
        <v>0</v>
      </c>
    </row>
    <row r="233" spans="1:17">
      <c r="A233" t="s">
        <v>57</v>
      </c>
      <c r="B233" t="s">
        <v>15</v>
      </c>
      <c r="C233">
        <v>42</v>
      </c>
      <c r="D233">
        <v>40</v>
      </c>
      <c r="E233" s="1">
        <f>+C233/(C233+D233)</f>
        <v>0.51219512195121952</v>
      </c>
      <c r="F233" s="2">
        <v>105.1</v>
      </c>
      <c r="G233" s="2">
        <v>105.3</v>
      </c>
      <c r="H233" s="2">
        <f>+F233-G233</f>
        <v>-0.20000000000000284</v>
      </c>
      <c r="I233" s="1">
        <f>+(F233^14)/((F233^14+G233^14))</f>
        <v>0.49334639838574956</v>
      </c>
      <c r="J233" s="2">
        <v>107.9</v>
      </c>
      <c r="K233" s="2">
        <v>108.1</v>
      </c>
      <c r="L233" s="2">
        <f>+J233-K233</f>
        <v>-0.19999999999998863</v>
      </c>
      <c r="M233" s="1">
        <f>+E233-I233</f>
        <v>1.884872356546996E-2</v>
      </c>
      <c r="N233" s="2">
        <v>103.1</v>
      </c>
      <c r="O233" s="2">
        <v>104.3</v>
      </c>
      <c r="P233" s="2">
        <f t="shared" si="3"/>
        <v>-1.2000000000000028</v>
      </c>
      <c r="Q233">
        <v>-0.6</v>
      </c>
    </row>
    <row r="234" spans="1:17">
      <c r="A234" t="s">
        <v>4</v>
      </c>
      <c r="B234" t="s">
        <v>6</v>
      </c>
      <c r="C234">
        <v>36</v>
      </c>
      <c r="D234">
        <v>46</v>
      </c>
      <c r="E234" s="1">
        <f>+C234/(C234+D234)</f>
        <v>0.43902439024390244</v>
      </c>
      <c r="F234" s="2">
        <v>94.6</v>
      </c>
      <c r="G234" s="2">
        <v>96.8</v>
      </c>
      <c r="H234" s="2">
        <f>+F234-G234</f>
        <v>-2.2000000000000028</v>
      </c>
      <c r="I234" s="1">
        <f>+(F234^14)/((F234^14+G234^14))</f>
        <v>0.42022416188672446</v>
      </c>
      <c r="J234" s="2">
        <v>100.1</v>
      </c>
      <c r="K234" s="2">
        <v>102.3</v>
      </c>
      <c r="L234" s="2">
        <f>+J234-K234</f>
        <v>-2.2000000000000028</v>
      </c>
      <c r="M234" s="1">
        <f>+E234-I234</f>
        <v>1.8800228357177984E-2</v>
      </c>
      <c r="N234" s="2">
        <v>95.1</v>
      </c>
      <c r="O234" s="2">
        <v>96.9</v>
      </c>
      <c r="P234" s="2">
        <f t="shared" si="3"/>
        <v>-1.8000000000000114</v>
      </c>
      <c r="Q234">
        <v>-0.8</v>
      </c>
    </row>
    <row r="235" spans="1:17">
      <c r="A235" t="s">
        <v>50</v>
      </c>
      <c r="B235" t="s">
        <v>5</v>
      </c>
      <c r="C235">
        <v>44</v>
      </c>
      <c r="D235">
        <v>38</v>
      </c>
      <c r="E235" s="1">
        <f>+C235/(C235+D235)</f>
        <v>0.53658536585365857</v>
      </c>
      <c r="F235" s="2">
        <v>98</v>
      </c>
      <c r="G235" s="2">
        <v>97.5</v>
      </c>
      <c r="H235" s="2">
        <f>+F235-G235</f>
        <v>0.5</v>
      </c>
      <c r="I235" s="1">
        <f>+(F235^14)/((F235^14+G235^14))</f>
        <v>0.51789520548021317</v>
      </c>
      <c r="J235" s="2">
        <v>103.7</v>
      </c>
      <c r="K235" s="2">
        <v>103.4</v>
      </c>
      <c r="L235" s="2">
        <f>+J235-K235</f>
        <v>0.29999999999999716</v>
      </c>
      <c r="M235" s="1">
        <f>+E235-I235</f>
        <v>1.8690160373445397E-2</v>
      </c>
      <c r="N235" s="2">
        <v>102.2</v>
      </c>
      <c r="O235" s="2">
        <v>87.5</v>
      </c>
      <c r="P235" s="2">
        <f t="shared" si="3"/>
        <v>14.700000000000003</v>
      </c>
      <c r="Q235">
        <v>-0.2</v>
      </c>
    </row>
    <row r="236" spans="1:17">
      <c r="A236" t="s">
        <v>59</v>
      </c>
      <c r="B236" t="s">
        <v>26</v>
      </c>
      <c r="C236">
        <v>53</v>
      </c>
      <c r="D236">
        <v>29</v>
      </c>
      <c r="E236" s="1">
        <f>+C236/(C236+D236)</f>
        <v>0.64634146341463417</v>
      </c>
      <c r="F236" s="2">
        <v>114.7</v>
      </c>
      <c r="G236" s="2">
        <v>110.5</v>
      </c>
      <c r="H236" s="2">
        <f>+F236-G236</f>
        <v>4.2000000000000028</v>
      </c>
      <c r="I236" s="1">
        <f>+(F236^14)/((F236^14+G236^14))</f>
        <v>0.62767678935512594</v>
      </c>
      <c r="J236" s="2">
        <v>113.7</v>
      </c>
      <c r="K236" s="2">
        <v>109.5</v>
      </c>
      <c r="L236" s="2">
        <f>+J236-K236</f>
        <v>4.2000000000000028</v>
      </c>
      <c r="M236" s="1">
        <f>+E236-I236</f>
        <v>1.8664674059508224E-2</v>
      </c>
      <c r="N236" s="2">
        <v>117.2</v>
      </c>
      <c r="O236" s="2">
        <v>108</v>
      </c>
      <c r="P236" s="2">
        <f t="shared" si="3"/>
        <v>9.2000000000000028</v>
      </c>
      <c r="Q236">
        <v>0.1</v>
      </c>
    </row>
    <row r="237" spans="1:17">
      <c r="A237" t="s">
        <v>49</v>
      </c>
      <c r="B237" t="s">
        <v>15</v>
      </c>
      <c r="C237">
        <v>42</v>
      </c>
      <c r="D237">
        <v>24</v>
      </c>
      <c r="E237" s="1">
        <f>+C237/(C237+D237)</f>
        <v>0.63636363636363635</v>
      </c>
      <c r="F237" s="2">
        <v>97.7</v>
      </c>
      <c r="G237" s="2">
        <v>94.4</v>
      </c>
      <c r="H237" s="2">
        <f>+F237-G237</f>
        <v>3.2999999999999972</v>
      </c>
      <c r="I237" s="1">
        <f>+(F237^14)/((F237^14+G237^14))</f>
        <v>0.61799503146389967</v>
      </c>
      <c r="J237" s="2">
        <v>105.5</v>
      </c>
      <c r="K237" s="2">
        <v>102.1</v>
      </c>
      <c r="L237" s="2">
        <f>+J237-K237</f>
        <v>3.4000000000000057</v>
      </c>
      <c r="M237" s="1">
        <f>+E237-I237</f>
        <v>1.8368604899736685E-2</v>
      </c>
      <c r="N237" s="2">
        <v>106.5</v>
      </c>
      <c r="O237" s="2">
        <v>85.1</v>
      </c>
      <c r="P237" s="2">
        <f t="shared" si="3"/>
        <v>21.400000000000006</v>
      </c>
      <c r="Q237">
        <v>0.7</v>
      </c>
    </row>
    <row r="238" spans="1:17">
      <c r="A238" t="s">
        <v>39</v>
      </c>
      <c r="B238" t="s">
        <v>23</v>
      </c>
      <c r="C238">
        <v>36</v>
      </c>
      <c r="D238">
        <v>46</v>
      </c>
      <c r="E238" s="1">
        <f>+C238/(C238+D238)</f>
        <v>0.43902439024390244</v>
      </c>
      <c r="F238" s="2">
        <v>99.5</v>
      </c>
      <c r="G238" s="2">
        <v>101.8</v>
      </c>
      <c r="H238" s="2">
        <f>+F238-G238</f>
        <v>-2.2999999999999972</v>
      </c>
      <c r="I238" s="1">
        <f>+(F238^14)/((F238^14+G238^14))</f>
        <v>0.42069172557292256</v>
      </c>
      <c r="J238" s="2">
        <v>103.4</v>
      </c>
      <c r="K238" s="2">
        <v>105.7</v>
      </c>
      <c r="L238" s="2">
        <f>+J238-K238</f>
        <v>-2.2999999999999972</v>
      </c>
      <c r="M238" s="1">
        <f>+E238-I238</f>
        <v>1.8332664670979881E-2</v>
      </c>
      <c r="N238" s="2">
        <v>97.2</v>
      </c>
      <c r="O238" s="2">
        <v>106.7</v>
      </c>
      <c r="P238" s="2">
        <f t="shared" si="3"/>
        <v>-9.5</v>
      </c>
      <c r="Q238">
        <v>-0.4</v>
      </c>
    </row>
    <row r="239" spans="1:17">
      <c r="A239" t="s">
        <v>61</v>
      </c>
      <c r="B239" t="s">
        <v>7</v>
      </c>
      <c r="C239">
        <v>33</v>
      </c>
      <c r="D239">
        <v>39</v>
      </c>
      <c r="E239" s="1">
        <f>+C239/(C239+D239)</f>
        <v>0.45833333333333331</v>
      </c>
      <c r="F239" s="2">
        <v>109.5</v>
      </c>
      <c r="G239" s="2">
        <v>111.4</v>
      </c>
      <c r="H239" s="2">
        <f>+F239-G239</f>
        <v>-1.9000000000000057</v>
      </c>
      <c r="I239" s="1">
        <f>+(F239^14)/((F239^14+G239^14))</f>
        <v>0.4400796285378884</v>
      </c>
      <c r="J239" s="2">
        <v>110.1</v>
      </c>
      <c r="K239" s="2">
        <v>112</v>
      </c>
      <c r="L239" s="2">
        <f>+J239-K239</f>
        <v>-1.9000000000000057</v>
      </c>
      <c r="M239" s="1">
        <f>+E239-I239</f>
        <v>1.8253704795444914E-2</v>
      </c>
      <c r="N239" s="2">
        <v>122.2</v>
      </c>
      <c r="O239" s="2">
        <v>102.4</v>
      </c>
      <c r="P239" s="2">
        <f t="shared" si="3"/>
        <v>19.799999999999997</v>
      </c>
      <c r="Q239">
        <v>0</v>
      </c>
    </row>
    <row r="240" spans="1:17">
      <c r="A240" t="s">
        <v>66</v>
      </c>
      <c r="B240" t="s">
        <v>30</v>
      </c>
      <c r="C240">
        <v>35</v>
      </c>
      <c r="D240">
        <v>27</v>
      </c>
      <c r="E240" s="1">
        <f>+C240/(C240+D240)</f>
        <v>0.56451612903225812</v>
      </c>
      <c r="F240" s="2">
        <v>113.5</v>
      </c>
      <c r="G240" s="2">
        <v>112</v>
      </c>
      <c r="H240" s="2">
        <f>+F240-G240</f>
        <v>1.5</v>
      </c>
      <c r="I240" s="1">
        <f>+(F240^14)/((F240^14+G240^14))</f>
        <v>0.54642973229059522</v>
      </c>
      <c r="J240" s="2">
        <v>113.7</v>
      </c>
      <c r="K240" s="2">
        <v>112.2</v>
      </c>
      <c r="L240" s="2">
        <f>+J240-K240</f>
        <v>1.5</v>
      </c>
      <c r="M240" s="1">
        <f>+E240-I240</f>
        <v>1.8086396741662902E-2</v>
      </c>
      <c r="N240" s="2">
        <v>104.3</v>
      </c>
      <c r="O240" s="2">
        <v>104.1</v>
      </c>
      <c r="P240" s="2">
        <f t="shared" si="3"/>
        <v>0.20000000000000284</v>
      </c>
      <c r="Q240" s="2">
        <v>-0.5</v>
      </c>
    </row>
    <row r="241" spans="1:17">
      <c r="A241" t="s">
        <v>50</v>
      </c>
      <c r="B241" t="s">
        <v>25</v>
      </c>
      <c r="C241">
        <v>25</v>
      </c>
      <c r="D241">
        <v>57</v>
      </c>
      <c r="E241" s="1">
        <f>+C241/(C241+D241)</f>
        <v>0.3048780487804878</v>
      </c>
      <c r="F241" s="2">
        <v>95.2</v>
      </c>
      <c r="G241" s="2">
        <v>101.6</v>
      </c>
      <c r="H241" s="2">
        <f>+F241-G241</f>
        <v>-6.3999999999999915</v>
      </c>
      <c r="I241" s="1">
        <f>+(F241^14)/((F241^14+G241^14))</f>
        <v>0.28681768748070391</v>
      </c>
      <c r="J241" s="2">
        <v>100.2</v>
      </c>
      <c r="K241" s="2">
        <v>106.9</v>
      </c>
      <c r="L241" s="2">
        <f>+J241-K241</f>
        <v>-6.7000000000000028</v>
      </c>
      <c r="M241" s="1">
        <f>+E241-I241</f>
        <v>1.8060361299783889E-2</v>
      </c>
      <c r="N241" s="2">
        <v>94.8</v>
      </c>
      <c r="O241" s="2">
        <v>100.3</v>
      </c>
      <c r="P241" s="2">
        <f t="shared" si="3"/>
        <v>-5.5</v>
      </c>
      <c r="Q241">
        <v>-1.5</v>
      </c>
    </row>
    <row r="242" spans="1:17">
      <c r="A242" t="s">
        <v>39</v>
      </c>
      <c r="B242" t="s">
        <v>17</v>
      </c>
      <c r="C242">
        <v>34</v>
      </c>
      <c r="D242">
        <v>48</v>
      </c>
      <c r="E242" s="1">
        <f>+C242/(C242+D242)</f>
        <v>0.41463414634146339</v>
      </c>
      <c r="F242" s="2">
        <v>98.7</v>
      </c>
      <c r="G242" s="2">
        <v>101.7</v>
      </c>
      <c r="H242" s="2">
        <f>+F242-G242</f>
        <v>-3</v>
      </c>
      <c r="I242" s="1">
        <f>+(F242^14)/((F242^14+G242^14))</f>
        <v>0.39670987603328994</v>
      </c>
      <c r="J242" s="2">
        <v>106.4</v>
      </c>
      <c r="K242" s="2">
        <v>109.6</v>
      </c>
      <c r="L242" s="2">
        <f>+J242-K242</f>
        <v>-3.1999999999999886</v>
      </c>
      <c r="M242" s="1">
        <f>+E242-I242</f>
        <v>1.7924270308173451E-2</v>
      </c>
      <c r="N242" s="2">
        <v>104.3</v>
      </c>
      <c r="O242" s="2">
        <v>101.5</v>
      </c>
      <c r="P242" s="2">
        <f t="shared" si="3"/>
        <v>2.7999999999999972</v>
      </c>
      <c r="Q242">
        <v>0.7</v>
      </c>
    </row>
    <row r="243" spans="1:17">
      <c r="A243" t="s">
        <v>65</v>
      </c>
      <c r="B243" t="s">
        <v>53</v>
      </c>
      <c r="C243">
        <v>21</v>
      </c>
      <c r="D243">
        <v>61</v>
      </c>
      <c r="E243" s="1">
        <f>+C243/(C243+D243)</f>
        <v>0.25609756097560976</v>
      </c>
      <c r="F243" s="2">
        <v>109.8</v>
      </c>
      <c r="G243" s="2">
        <v>119.3</v>
      </c>
      <c r="H243" s="2">
        <f>+F243-G243</f>
        <v>-9.5</v>
      </c>
      <c r="I243" s="1">
        <f>+(F243^14)/((F243^14+G243^14))</f>
        <v>0.23835285935229417</v>
      </c>
      <c r="J243" s="2">
        <v>109.7</v>
      </c>
      <c r="K243" s="2">
        <v>119.1</v>
      </c>
      <c r="L243" s="2">
        <f>+J243-K243</f>
        <v>-9.3999999999999915</v>
      </c>
      <c r="M243" s="1">
        <f>+E243-I243</f>
        <v>1.7744701623315595E-2</v>
      </c>
      <c r="N243" s="2">
        <v>104.5</v>
      </c>
      <c r="O243" s="2">
        <v>103.3</v>
      </c>
      <c r="P243" s="2">
        <f t="shared" si="3"/>
        <v>1.2000000000000028</v>
      </c>
      <c r="Q243">
        <v>-1</v>
      </c>
    </row>
    <row r="244" spans="1:17">
      <c r="A244" t="s">
        <v>57</v>
      </c>
      <c r="B244" t="s">
        <v>27</v>
      </c>
      <c r="C244">
        <v>32</v>
      </c>
      <c r="D244">
        <v>50</v>
      </c>
      <c r="E244" s="1">
        <f>+C244/(C244+D244)</f>
        <v>0.3902439024390244</v>
      </c>
      <c r="F244" s="2">
        <v>102.8</v>
      </c>
      <c r="G244" s="2">
        <v>106.7</v>
      </c>
      <c r="H244" s="2">
        <f>+F244-G244</f>
        <v>-3.9000000000000057</v>
      </c>
      <c r="I244" s="1">
        <f>+(F244^14)/((F244^14+G244^14))</f>
        <v>0.37254800267996896</v>
      </c>
      <c r="J244" s="2">
        <v>106.6</v>
      </c>
      <c r="K244" s="2">
        <v>110.8</v>
      </c>
      <c r="L244" s="2">
        <f>+J244-K244</f>
        <v>-4.2000000000000028</v>
      </c>
      <c r="M244" s="1">
        <f>+E244-I244</f>
        <v>1.7695899759055445E-2</v>
      </c>
      <c r="N244" s="2">
        <v>97.7</v>
      </c>
      <c r="O244" s="2">
        <v>108.9</v>
      </c>
      <c r="P244" s="2">
        <f t="shared" si="3"/>
        <v>-11.200000000000003</v>
      </c>
      <c r="Q244">
        <v>0.4</v>
      </c>
    </row>
    <row r="245" spans="1:17">
      <c r="A245" t="s">
        <v>48</v>
      </c>
      <c r="B245" t="s">
        <v>25</v>
      </c>
      <c r="C245">
        <v>40</v>
      </c>
      <c r="D245">
        <v>42</v>
      </c>
      <c r="E245" s="1">
        <f>+C245/(C245+D245)</f>
        <v>0.48780487804878048</v>
      </c>
      <c r="F245" s="2">
        <v>105</v>
      </c>
      <c r="G245" s="2">
        <v>105.9</v>
      </c>
      <c r="H245" s="2">
        <f>+F245-G245</f>
        <v>-0.90000000000000568</v>
      </c>
      <c r="I245" s="1">
        <f>+(F245^14)/((F245^14+G245^14))</f>
        <v>0.47016333248324643</v>
      </c>
      <c r="J245" s="2">
        <v>108.6</v>
      </c>
      <c r="K245" s="2">
        <v>109.4</v>
      </c>
      <c r="L245" s="2">
        <f>+J245-K245</f>
        <v>-0.80000000000001137</v>
      </c>
      <c r="M245" s="1">
        <f>+E245-I245</f>
        <v>1.7641545565534045E-2</v>
      </c>
      <c r="N245" s="2">
        <v>106.3</v>
      </c>
      <c r="O245" s="2">
        <v>106</v>
      </c>
      <c r="P245" s="2">
        <f t="shared" si="3"/>
        <v>0.29999999999999716</v>
      </c>
      <c r="Q245">
        <v>-0.1</v>
      </c>
    </row>
    <row r="246" spans="1:17">
      <c r="A246" t="s">
        <v>39</v>
      </c>
      <c r="B246" t="s">
        <v>6</v>
      </c>
      <c r="C246">
        <v>45</v>
      </c>
      <c r="D246">
        <v>37</v>
      </c>
      <c r="E246" s="1">
        <f>+C246/(C246+D246)</f>
        <v>0.54878048780487809</v>
      </c>
      <c r="F246" s="2">
        <v>101.3</v>
      </c>
      <c r="G246" s="2">
        <v>100.4</v>
      </c>
      <c r="H246" s="2">
        <f>+F246-G246</f>
        <v>0.89999999999999147</v>
      </c>
      <c r="I246" s="1">
        <f>+(F246^14)/((F246^14+G246^14))</f>
        <v>0.53119414689005995</v>
      </c>
      <c r="J246" s="2">
        <v>105.9</v>
      </c>
      <c r="K246" s="2">
        <v>105.1</v>
      </c>
      <c r="L246" s="2">
        <f>+J246-K246</f>
        <v>0.80000000000001137</v>
      </c>
      <c r="M246" s="1">
        <f>+E246-I246</f>
        <v>1.7586340914818144E-2</v>
      </c>
      <c r="N246" s="2">
        <v>98.3</v>
      </c>
      <c r="O246" s="2">
        <v>94.9</v>
      </c>
      <c r="P246" s="2">
        <f t="shared" si="3"/>
        <v>3.3999999999999915</v>
      </c>
      <c r="Q246">
        <v>0.2</v>
      </c>
    </row>
    <row r="247" spans="1:17">
      <c r="A247" t="s">
        <v>49</v>
      </c>
      <c r="B247" t="s">
        <v>27</v>
      </c>
      <c r="C247">
        <v>22</v>
      </c>
      <c r="D247">
        <v>44</v>
      </c>
      <c r="E247" s="1">
        <f>+C247/(C247+D247)</f>
        <v>0.33333333333333331</v>
      </c>
      <c r="F247" s="2">
        <v>98.8</v>
      </c>
      <c r="G247" s="2">
        <v>104.4</v>
      </c>
      <c r="H247" s="2">
        <f>+F247-G247</f>
        <v>-5.6000000000000085</v>
      </c>
      <c r="I247" s="1">
        <f>+(F247^14)/((F247^14+G247^14))</f>
        <v>0.31607926844552064</v>
      </c>
      <c r="J247" s="2">
        <v>102.9</v>
      </c>
      <c r="K247" s="2">
        <v>108.7</v>
      </c>
      <c r="L247" s="2">
        <f>+J247-K247</f>
        <v>-5.7999999999999972</v>
      </c>
      <c r="M247" s="1">
        <f>+E247-I247</f>
        <v>1.725406488781267E-2</v>
      </c>
      <c r="N247" s="2">
        <v>100</v>
      </c>
      <c r="O247" s="2">
        <v>92.5</v>
      </c>
      <c r="P247" s="2">
        <f t="shared" si="3"/>
        <v>7.5</v>
      </c>
      <c r="Q247">
        <v>0</v>
      </c>
    </row>
    <row r="248" spans="1:17">
      <c r="A248" t="s">
        <v>52</v>
      </c>
      <c r="B248" t="s">
        <v>10</v>
      </c>
      <c r="C248">
        <v>49</v>
      </c>
      <c r="D248">
        <v>33</v>
      </c>
      <c r="E248" s="1">
        <f>+C248/(C248+D248)</f>
        <v>0.59756097560975607</v>
      </c>
      <c r="F248" s="2">
        <v>104.8</v>
      </c>
      <c r="G248" s="2">
        <v>102.4</v>
      </c>
      <c r="H248" s="2">
        <f>+F248-G248</f>
        <v>2.3999999999999915</v>
      </c>
      <c r="I248" s="1">
        <f>+(F248^14)/((F248^14+G248^14))</f>
        <v>0.58038129278939099</v>
      </c>
      <c r="J248" s="2">
        <v>109.5</v>
      </c>
      <c r="K248" s="2">
        <v>107.2</v>
      </c>
      <c r="L248" s="2">
        <f>+J248-K248</f>
        <v>2.2999999999999972</v>
      </c>
      <c r="M248" s="1">
        <f>+E248-I248</f>
        <v>1.7179682820365083E-2</v>
      </c>
      <c r="N248" s="2">
        <v>110.6</v>
      </c>
      <c r="O248" s="2">
        <v>98.1</v>
      </c>
      <c r="P248" s="2">
        <f t="shared" si="3"/>
        <v>12.5</v>
      </c>
      <c r="Q248">
        <v>0.7</v>
      </c>
    </row>
    <row r="249" spans="1:17">
      <c r="A249" t="s">
        <v>39</v>
      </c>
      <c r="B249" t="s">
        <v>10</v>
      </c>
      <c r="C249">
        <v>58</v>
      </c>
      <c r="D249">
        <v>24</v>
      </c>
      <c r="E249" s="1">
        <f>+C249/(C249+D249)</f>
        <v>0.70731707317073167</v>
      </c>
      <c r="F249" s="2">
        <v>102.5</v>
      </c>
      <c r="G249" s="2">
        <v>96.8</v>
      </c>
      <c r="H249" s="2">
        <f>+F249-G249</f>
        <v>5.7000000000000028</v>
      </c>
      <c r="I249" s="1">
        <f>+(F249^14)/((F249^14+G249^14))</f>
        <v>0.69019289618045576</v>
      </c>
      <c r="J249" s="2">
        <v>108.5</v>
      </c>
      <c r="K249" s="2">
        <v>102.6</v>
      </c>
      <c r="L249" s="2">
        <f>+J249-K249</f>
        <v>5.9000000000000057</v>
      </c>
      <c r="M249" s="1">
        <f>+E249-I249</f>
        <v>1.7124176990275908E-2</v>
      </c>
      <c r="N249" s="2">
        <v>113.3</v>
      </c>
      <c r="O249" s="2">
        <v>96.8</v>
      </c>
      <c r="P249" s="2">
        <f t="shared" si="3"/>
        <v>16.5</v>
      </c>
      <c r="Q249">
        <v>0.8</v>
      </c>
    </row>
    <row r="250" spans="1:17">
      <c r="A250" t="s">
        <v>39</v>
      </c>
      <c r="B250" t="s">
        <v>12</v>
      </c>
      <c r="C250">
        <v>54</v>
      </c>
      <c r="D250">
        <v>28</v>
      </c>
      <c r="E250" s="1">
        <f>+C250/(C250+D250)</f>
        <v>0.65853658536585369</v>
      </c>
      <c r="F250" s="2">
        <v>93.3</v>
      </c>
      <c r="G250" s="2">
        <v>89.5</v>
      </c>
      <c r="H250" s="2">
        <f>+F250-G250</f>
        <v>3.7999999999999972</v>
      </c>
      <c r="I250" s="1">
        <f>+(F250^14)/((F250^14+G250^14))</f>
        <v>0.64155984536555377</v>
      </c>
      <c r="J250" s="2">
        <v>103.9</v>
      </c>
      <c r="K250" s="2">
        <v>99.6</v>
      </c>
      <c r="L250" s="2">
        <f>+J250-K250</f>
        <v>4.3000000000000114</v>
      </c>
      <c r="M250" s="1">
        <f>+E250-I250</f>
        <v>1.6976740000299917E-2</v>
      </c>
      <c r="N250" s="2">
        <v>100</v>
      </c>
      <c r="O250" s="2">
        <v>92</v>
      </c>
      <c r="P250" s="2">
        <f t="shared" si="3"/>
        <v>8</v>
      </c>
      <c r="Q250">
        <v>0.1</v>
      </c>
    </row>
    <row r="251" spans="1:17">
      <c r="A251" t="s">
        <v>59</v>
      </c>
      <c r="B251" t="s">
        <v>8</v>
      </c>
      <c r="C251">
        <v>22</v>
      </c>
      <c r="D251">
        <v>60</v>
      </c>
      <c r="E251" s="1">
        <f>+C251/(C251+D251)</f>
        <v>0.26829268292682928</v>
      </c>
      <c r="F251" s="2">
        <v>104.9</v>
      </c>
      <c r="G251" s="2">
        <v>113.4</v>
      </c>
      <c r="H251" s="2">
        <f>+F251-G251</f>
        <v>-8.5</v>
      </c>
      <c r="I251" s="1">
        <f>+(F251^14)/((F251^14+G251^14))</f>
        <v>0.25146874309736672</v>
      </c>
      <c r="J251" s="2">
        <v>104.5</v>
      </c>
      <c r="K251" s="2">
        <v>112.8</v>
      </c>
      <c r="L251" s="2">
        <f>+J251-K251</f>
        <v>-8.2999999999999972</v>
      </c>
      <c r="M251" s="1">
        <f>+E251-I251</f>
        <v>1.6823939829462564E-2</v>
      </c>
      <c r="N251" s="2">
        <v>98.8</v>
      </c>
      <c r="O251" s="2">
        <v>107.1</v>
      </c>
      <c r="P251" s="2">
        <f t="shared" si="3"/>
        <v>-8.2999999999999972</v>
      </c>
      <c r="Q251">
        <v>-1</v>
      </c>
    </row>
    <row r="252" spans="1:17">
      <c r="A252" t="s">
        <v>55</v>
      </c>
      <c r="B252" t="s">
        <v>33</v>
      </c>
      <c r="C252">
        <v>41</v>
      </c>
      <c r="D252">
        <v>41</v>
      </c>
      <c r="E252" s="1">
        <f>+C252/(C252+D252)</f>
        <v>0.5</v>
      </c>
      <c r="F252" s="2">
        <v>104.1</v>
      </c>
      <c r="G252" s="2">
        <v>104.6</v>
      </c>
      <c r="H252" s="2">
        <f>+F252-G252</f>
        <v>-0.5</v>
      </c>
      <c r="I252" s="1">
        <f>+(F252^14)/((F252^14+G252^14))</f>
        <v>0.48323577008477736</v>
      </c>
      <c r="J252" s="2">
        <v>104.5</v>
      </c>
      <c r="K252" s="2">
        <v>105.1</v>
      </c>
      <c r="L252" s="2">
        <f>+J252-K252</f>
        <v>-0.59999999999999432</v>
      </c>
      <c r="M252" s="1">
        <f>+E252-I252</f>
        <v>1.6764229915222639E-2</v>
      </c>
      <c r="N252" s="2">
        <v>101.4</v>
      </c>
      <c r="O252" s="2">
        <v>104.5</v>
      </c>
      <c r="P252" s="2">
        <f t="shared" si="3"/>
        <v>-3.0999999999999943</v>
      </c>
      <c r="Q252">
        <v>-0.3</v>
      </c>
    </row>
    <row r="253" spans="1:17">
      <c r="A253" t="s">
        <v>66</v>
      </c>
      <c r="B253" t="s">
        <v>12</v>
      </c>
      <c r="C253">
        <v>45</v>
      </c>
      <c r="D253">
        <v>17</v>
      </c>
      <c r="E253" s="1">
        <f>+C253/(C253+D253)</f>
        <v>0.72580645161290325</v>
      </c>
      <c r="F253" s="2">
        <v>116.8</v>
      </c>
      <c r="G253" s="2">
        <v>109.6</v>
      </c>
      <c r="H253" s="2">
        <f>+F253-G253</f>
        <v>7.2000000000000028</v>
      </c>
      <c r="I253" s="1">
        <f>+(F253^14)/((F253^14+G253^14))</f>
        <v>0.70904693182577805</v>
      </c>
      <c r="J253" s="2">
        <v>116.1</v>
      </c>
      <c r="K253" s="2">
        <v>108.7</v>
      </c>
      <c r="L253" s="2">
        <f>+J253-K253</f>
        <v>7.3999999999999915</v>
      </c>
      <c r="M253" s="1">
        <f>+E253-I253</f>
        <v>1.6759519787125199E-2</v>
      </c>
      <c r="N253" s="2">
        <v>116.3</v>
      </c>
      <c r="O253" s="2">
        <v>103.1</v>
      </c>
      <c r="P253" s="2">
        <f t="shared" si="3"/>
        <v>13.200000000000003</v>
      </c>
      <c r="Q253" s="2">
        <v>1.1000000000000001</v>
      </c>
    </row>
    <row r="254" spans="1:17">
      <c r="A254" t="s">
        <v>48</v>
      </c>
      <c r="B254" t="s">
        <v>33</v>
      </c>
      <c r="C254">
        <v>23</v>
      </c>
      <c r="D254">
        <v>59</v>
      </c>
      <c r="E254" s="1">
        <f>+C254/(C254+D254)</f>
        <v>0.28048780487804881</v>
      </c>
      <c r="F254" s="2">
        <v>97.3</v>
      </c>
      <c r="G254" s="2">
        <v>104.7</v>
      </c>
      <c r="H254" s="2">
        <f>+F254-G254</f>
        <v>-7.4000000000000057</v>
      </c>
      <c r="I254" s="1">
        <f>+(F254^14)/((F254^14+G254^14))</f>
        <v>0.26382112647972111</v>
      </c>
      <c r="J254" s="2">
        <v>101.3</v>
      </c>
      <c r="K254" s="2">
        <v>109.1</v>
      </c>
      <c r="L254" s="2">
        <f>+J254-K254</f>
        <v>-7.7999999999999972</v>
      </c>
      <c r="M254" s="1">
        <f>+E254-I254</f>
        <v>1.6666678398327694E-2</v>
      </c>
      <c r="N254" s="2">
        <v>98.1</v>
      </c>
      <c r="O254" s="2">
        <v>113.7</v>
      </c>
      <c r="P254" s="2">
        <f t="shared" si="3"/>
        <v>-15.600000000000009</v>
      </c>
      <c r="Q254">
        <v>-1</v>
      </c>
    </row>
    <row r="255" spans="1:17">
      <c r="A255" t="s">
        <v>64</v>
      </c>
      <c r="B255" t="s">
        <v>31</v>
      </c>
      <c r="C255">
        <v>31</v>
      </c>
      <c r="D255">
        <v>51</v>
      </c>
      <c r="E255" s="1">
        <f>+C255/(C255+D255)</f>
        <v>0.37804878048780488</v>
      </c>
      <c r="F255" s="2">
        <v>115.7</v>
      </c>
      <c r="G255" s="2">
        <v>120.5</v>
      </c>
      <c r="H255" s="2">
        <f>+F255-G255</f>
        <v>-4.7999999999999972</v>
      </c>
      <c r="I255" s="1">
        <f>+(F255^14)/((F255^14+G255^14))</f>
        <v>0.36144736866912885</v>
      </c>
      <c r="J255" s="2">
        <v>114.5</v>
      </c>
      <c r="K255" s="2">
        <v>119.6</v>
      </c>
      <c r="L255" s="2">
        <f>+J255-K255</f>
        <v>-5.0999999999999943</v>
      </c>
      <c r="M255" s="1">
        <f>+E255-I255</f>
        <v>1.6601411818676026E-2</v>
      </c>
      <c r="N255" s="2">
        <v>116.1</v>
      </c>
      <c r="O255" s="2">
        <v>104.3</v>
      </c>
      <c r="P255" s="2">
        <f t="shared" si="3"/>
        <v>11.799999999999997</v>
      </c>
      <c r="Q255">
        <v>0.2</v>
      </c>
    </row>
    <row r="256" spans="1:17">
      <c r="A256" t="s">
        <v>43</v>
      </c>
      <c r="B256" t="s">
        <v>20</v>
      </c>
      <c r="C256">
        <v>32</v>
      </c>
      <c r="D256">
        <v>50</v>
      </c>
      <c r="E256" s="1">
        <f>+C256/(C256+D256)</f>
        <v>0.3902439024390244</v>
      </c>
      <c r="F256" s="2">
        <v>96.1</v>
      </c>
      <c r="G256" s="2">
        <v>99.7</v>
      </c>
      <c r="H256" s="2">
        <f>+F256-G256</f>
        <v>-3.6000000000000085</v>
      </c>
      <c r="I256" s="1">
        <f>+(F256^14)/((F256^14+G256^14))</f>
        <v>0.37405280109871952</v>
      </c>
      <c r="J256" s="2">
        <v>102.4</v>
      </c>
      <c r="K256" s="2">
        <v>106.5</v>
      </c>
      <c r="L256" s="2">
        <f>+J256-K256</f>
        <v>-4.0999999999999943</v>
      </c>
      <c r="M256" s="1">
        <f>+E256-I256</f>
        <v>1.6191101340304881E-2</v>
      </c>
      <c r="N256" s="2">
        <v>98.2</v>
      </c>
      <c r="O256" s="2">
        <v>101.3</v>
      </c>
      <c r="P256" s="2">
        <f t="shared" si="3"/>
        <v>-3.0999999999999943</v>
      </c>
      <c r="Q256">
        <v>0</v>
      </c>
    </row>
    <row r="257" spans="1:17">
      <c r="A257" t="s">
        <v>49</v>
      </c>
      <c r="B257" t="s">
        <v>16</v>
      </c>
      <c r="C257">
        <v>40</v>
      </c>
      <c r="D257">
        <v>26</v>
      </c>
      <c r="E257" s="1">
        <f>+C257/(C257+D257)</f>
        <v>0.60606060606060608</v>
      </c>
      <c r="F257" s="2">
        <v>97.5</v>
      </c>
      <c r="G257" s="2">
        <v>95</v>
      </c>
      <c r="H257" s="2">
        <f>+F257-G257</f>
        <v>2.5</v>
      </c>
      <c r="I257" s="1">
        <f>+(F257^14)/((F257^14+G257^14))</f>
        <v>0.58992535543589308</v>
      </c>
      <c r="J257" s="2">
        <v>107.5</v>
      </c>
      <c r="K257" s="2">
        <v>104.8</v>
      </c>
      <c r="L257" s="2">
        <f>+J257-K257</f>
        <v>2.7000000000000028</v>
      </c>
      <c r="M257" s="1">
        <f>+E257-I257</f>
        <v>1.6135250624712993E-2</v>
      </c>
      <c r="N257" s="2">
        <v>98.4</v>
      </c>
      <c r="O257" s="2">
        <v>99.5</v>
      </c>
      <c r="P257" s="2">
        <f t="shared" si="3"/>
        <v>-1.0999999999999943</v>
      </c>
      <c r="Q257">
        <v>0.9</v>
      </c>
    </row>
    <row r="258" spans="1:17">
      <c r="A258" t="s">
        <v>52</v>
      </c>
      <c r="B258" t="s">
        <v>9</v>
      </c>
      <c r="C258">
        <v>33</v>
      </c>
      <c r="D258">
        <v>49</v>
      </c>
      <c r="E258" s="1">
        <f>+C258/(C258+D258)</f>
        <v>0.40243902439024393</v>
      </c>
      <c r="F258" s="2">
        <v>98.2</v>
      </c>
      <c r="G258" s="2">
        <v>101.5</v>
      </c>
      <c r="H258" s="2">
        <f>+F258-G258</f>
        <v>-3.2999999999999972</v>
      </c>
      <c r="I258" s="1">
        <f>+(F258^14)/((F258^14+G258^14))</f>
        <v>0.38633693083562831</v>
      </c>
      <c r="J258" s="2">
        <v>103.5</v>
      </c>
      <c r="K258" s="2">
        <v>107</v>
      </c>
      <c r="L258" s="2">
        <f>+J258-K258</f>
        <v>-3.5</v>
      </c>
      <c r="M258" s="1">
        <f>+E258-I258</f>
        <v>1.6102093554615615E-2</v>
      </c>
      <c r="N258" s="2">
        <v>95.4</v>
      </c>
      <c r="O258" s="2">
        <v>102.2</v>
      </c>
      <c r="P258" s="2">
        <f t="shared" si="3"/>
        <v>-6.7999999999999972</v>
      </c>
      <c r="Q258">
        <v>0.2</v>
      </c>
    </row>
    <row r="259" spans="1:17">
      <c r="A259" t="s">
        <v>60</v>
      </c>
      <c r="B259" t="s">
        <v>24</v>
      </c>
      <c r="C259">
        <v>43</v>
      </c>
      <c r="D259">
        <v>30</v>
      </c>
      <c r="E259" s="1">
        <f>+C259/(C259+D259)</f>
        <v>0.58904109589041098</v>
      </c>
      <c r="F259" s="2">
        <v>110.7</v>
      </c>
      <c r="G259" s="2">
        <v>108.4</v>
      </c>
      <c r="H259" s="2">
        <f>+F259-G259</f>
        <v>2.2999999999999972</v>
      </c>
      <c r="I259" s="1">
        <f>+(F259^14)/((F259^14+G259^14))</f>
        <v>0.57296056014659968</v>
      </c>
      <c r="J259" s="2">
        <v>110.7</v>
      </c>
      <c r="K259" s="2">
        <v>108.4</v>
      </c>
      <c r="L259" s="2">
        <f>+J259-K259</f>
        <v>2.2999999999999972</v>
      </c>
      <c r="M259" s="1">
        <f>+E259-I259</f>
        <v>1.6080535743811297E-2</v>
      </c>
      <c r="N259" s="2">
        <v>108.9</v>
      </c>
      <c r="O259" s="2">
        <v>103.6</v>
      </c>
      <c r="P259" s="2">
        <f t="shared" si="3"/>
        <v>5.3000000000000114</v>
      </c>
      <c r="Q259">
        <v>0</v>
      </c>
    </row>
    <row r="260" spans="1:17">
      <c r="A260" t="s">
        <v>55</v>
      </c>
      <c r="B260" t="s">
        <v>12</v>
      </c>
      <c r="C260">
        <v>44</v>
      </c>
      <c r="D260">
        <v>38</v>
      </c>
      <c r="E260" s="1">
        <f>+C260/(C260+D260)</f>
        <v>0.53658536585365857</v>
      </c>
      <c r="F260" s="2">
        <v>102</v>
      </c>
      <c r="G260" s="2">
        <v>101.4</v>
      </c>
      <c r="H260" s="2">
        <f>+F260-G260</f>
        <v>0.59999999999999432</v>
      </c>
      <c r="I260" s="1">
        <f>+(F260^14)/((F260^14+G260^14))</f>
        <v>0.52063729627420186</v>
      </c>
      <c r="J260" s="2">
        <v>105.3</v>
      </c>
      <c r="K260" s="2">
        <v>104.9</v>
      </c>
      <c r="L260" s="2">
        <f>+J260-K260</f>
        <v>0.39999999999999147</v>
      </c>
      <c r="M260" s="1">
        <f>+E260-I260</f>
        <v>1.5948069579456714E-2</v>
      </c>
      <c r="N260" s="2">
        <v>104.4</v>
      </c>
      <c r="O260" s="2">
        <v>93.9</v>
      </c>
      <c r="P260" s="2">
        <f t="shared" si="3"/>
        <v>10.5</v>
      </c>
      <c r="Q260">
        <v>1.5</v>
      </c>
    </row>
    <row r="261" spans="1:17">
      <c r="A261" t="s">
        <v>50</v>
      </c>
      <c r="B261" t="s">
        <v>19</v>
      </c>
      <c r="C261">
        <v>38</v>
      </c>
      <c r="D261">
        <v>44</v>
      </c>
      <c r="E261" s="1">
        <f>+C261/(C261+D261)</f>
        <v>0.46341463414634149</v>
      </c>
      <c r="F261" s="2">
        <v>98.9</v>
      </c>
      <c r="G261" s="2">
        <v>100.4</v>
      </c>
      <c r="H261" s="2">
        <f>+F261-G261</f>
        <v>-1.5</v>
      </c>
      <c r="I261" s="1">
        <f>+(F261^14)/((F261^14+G261^14))</f>
        <v>0.44750873634234695</v>
      </c>
      <c r="J261" s="2">
        <v>102.5</v>
      </c>
      <c r="K261" s="2">
        <v>104.2</v>
      </c>
      <c r="L261" s="2">
        <f>+J261-K261</f>
        <v>-1.7000000000000028</v>
      </c>
      <c r="M261" s="1">
        <f>+E261-I261</f>
        <v>1.590589780399454E-2</v>
      </c>
      <c r="N261" s="2">
        <v>101.6</v>
      </c>
      <c r="O261" s="2">
        <v>99.1</v>
      </c>
      <c r="P261" s="2">
        <f t="shared" si="3"/>
        <v>2.5</v>
      </c>
      <c r="Q261">
        <v>-1.2</v>
      </c>
    </row>
    <row r="262" spans="1:17">
      <c r="A262" t="s">
        <v>45</v>
      </c>
      <c r="B262" t="s">
        <v>5</v>
      </c>
      <c r="C262">
        <v>47</v>
      </c>
      <c r="D262">
        <v>35</v>
      </c>
      <c r="E262" s="1">
        <f>+C262/(C262+D262)</f>
        <v>0.57317073170731703</v>
      </c>
      <c r="F262" s="2">
        <v>98.1</v>
      </c>
      <c r="G262" s="2">
        <v>96.5</v>
      </c>
      <c r="H262" s="2">
        <f>+F262-G262</f>
        <v>1.5999999999999943</v>
      </c>
      <c r="I262" s="1">
        <f>+(F262^14)/((F262^14+G262^14))</f>
        <v>0.55730238336398075</v>
      </c>
      <c r="J262" s="2">
        <v>108.3</v>
      </c>
      <c r="K262" s="2">
        <v>106.7</v>
      </c>
      <c r="L262" s="2">
        <f>+J262-K262</f>
        <v>1.5999999999999943</v>
      </c>
      <c r="M262" s="1">
        <f>+E262-I262</f>
        <v>1.586834834333628E-2</v>
      </c>
      <c r="N262" s="2">
        <v>106.7</v>
      </c>
      <c r="O262" s="2">
        <v>93.9</v>
      </c>
      <c r="P262" s="2">
        <f t="shared" si="3"/>
        <v>12.799999999999997</v>
      </c>
      <c r="Q262">
        <v>2.1</v>
      </c>
    </row>
    <row r="263" spans="1:17">
      <c r="A263" t="s">
        <v>44</v>
      </c>
      <c r="B263" t="s">
        <v>13</v>
      </c>
      <c r="C263">
        <v>48</v>
      </c>
      <c r="D263">
        <v>34</v>
      </c>
      <c r="E263" s="1">
        <f>+C263/(C263+D263)</f>
        <v>0.58536585365853655</v>
      </c>
      <c r="F263" s="2">
        <v>111</v>
      </c>
      <c r="G263" s="2">
        <v>108.8</v>
      </c>
      <c r="H263" s="2">
        <f>+F263-G263</f>
        <v>2.2000000000000028</v>
      </c>
      <c r="I263" s="1">
        <f>+(F263^14)/((F263^14+G263^14))</f>
        <v>0.56961097932319371</v>
      </c>
      <c r="J263" s="2">
        <v>110.4</v>
      </c>
      <c r="K263" s="2">
        <v>108.5</v>
      </c>
      <c r="L263" s="2">
        <f>+J263-K263</f>
        <v>1.9000000000000057</v>
      </c>
      <c r="M263" s="1">
        <f>+E263-I263</f>
        <v>1.5754874335342839E-2</v>
      </c>
      <c r="N263" s="2">
        <v>117.2</v>
      </c>
      <c r="O263" s="2">
        <v>103.9</v>
      </c>
      <c r="P263" s="2">
        <f t="shared" si="3"/>
        <v>13.299999999999997</v>
      </c>
      <c r="Q263">
        <v>0.5</v>
      </c>
    </row>
    <row r="264" spans="1:17">
      <c r="A264" t="s">
        <v>43</v>
      </c>
      <c r="B264" t="s">
        <v>17</v>
      </c>
      <c r="C264">
        <v>42</v>
      </c>
      <c r="D264">
        <v>40</v>
      </c>
      <c r="E264" s="1">
        <f>+C264/(C264+D264)</f>
        <v>0.51219512195121952</v>
      </c>
      <c r="F264" s="2">
        <v>103.3</v>
      </c>
      <c r="G264" s="2">
        <v>103.4</v>
      </c>
      <c r="H264" s="2">
        <f>+F264-G264</f>
        <v>-0.10000000000000853</v>
      </c>
      <c r="I264" s="1">
        <f>+(F264^14)/((F264^14+G264^14))</f>
        <v>0.49661350096437384</v>
      </c>
      <c r="J264" s="2">
        <v>107.3</v>
      </c>
      <c r="K264" s="2">
        <v>107.5</v>
      </c>
      <c r="L264" s="2">
        <f>+J264-K264</f>
        <v>-0.20000000000000284</v>
      </c>
      <c r="M264" s="1">
        <f>+E264-I264</f>
        <v>1.5581620986845679E-2</v>
      </c>
      <c r="N264" s="2">
        <v>105</v>
      </c>
      <c r="O264" s="2">
        <v>106.1</v>
      </c>
      <c r="P264" s="2">
        <f t="shared" si="3"/>
        <v>-1.0999999999999943</v>
      </c>
      <c r="Q264">
        <v>-0.2</v>
      </c>
    </row>
    <row r="265" spans="1:17">
      <c r="A265" t="s">
        <v>60</v>
      </c>
      <c r="B265" t="s">
        <v>22</v>
      </c>
      <c r="C265">
        <v>21</v>
      </c>
      <c r="D265">
        <v>45</v>
      </c>
      <c r="E265" s="1">
        <f>+C265/(C265+D265)</f>
        <v>0.31818181818181818</v>
      </c>
      <c r="F265" s="2">
        <v>105.8</v>
      </c>
      <c r="G265" s="2">
        <v>112.3</v>
      </c>
      <c r="H265" s="2">
        <f>+F265-G265</f>
        <v>-6.5</v>
      </c>
      <c r="I265" s="1">
        <f>+(F265^14)/((F265^14+G265^14))</f>
        <v>0.30264654338217839</v>
      </c>
      <c r="J265" s="2">
        <v>105.9</v>
      </c>
      <c r="K265" s="2">
        <v>112.4</v>
      </c>
      <c r="L265" s="2">
        <f>+J265-K265</f>
        <v>-6.5</v>
      </c>
      <c r="M265" s="1">
        <f>+E265-I265</f>
        <v>1.5535274799639787E-2</v>
      </c>
      <c r="N265" s="2">
        <v>106.3</v>
      </c>
      <c r="O265" s="2">
        <v>102.5</v>
      </c>
      <c r="P265" s="2">
        <f t="shared" si="3"/>
        <v>3.7999999999999972</v>
      </c>
      <c r="Q265">
        <v>-0.8</v>
      </c>
    </row>
    <row r="266" spans="1:17">
      <c r="A266" t="s">
        <v>48</v>
      </c>
      <c r="B266" t="s">
        <v>13</v>
      </c>
      <c r="C266">
        <v>36</v>
      </c>
      <c r="D266">
        <v>46</v>
      </c>
      <c r="E266" s="1">
        <f>+C266/(C266+D266)</f>
        <v>0.43902439024390244</v>
      </c>
      <c r="F266" s="2">
        <v>103.4</v>
      </c>
      <c r="G266" s="2">
        <v>105.7</v>
      </c>
      <c r="H266" s="2">
        <f>+F266-G266</f>
        <v>-2.2999999999999972</v>
      </c>
      <c r="I266" s="1">
        <f>+(F266^14)/((F266^14+G266^14))</f>
        <v>0.42360322763648928</v>
      </c>
      <c r="J266" s="2">
        <v>107.1</v>
      </c>
      <c r="K266" s="2">
        <v>109.4</v>
      </c>
      <c r="L266" s="2">
        <f>+J266-K266</f>
        <v>-2.3000000000000114</v>
      </c>
      <c r="M266" s="1">
        <f>+E266-I266</f>
        <v>1.5421162607413164E-2</v>
      </c>
      <c r="N266" s="2">
        <v>113</v>
      </c>
      <c r="O266" s="2">
        <v>111.2</v>
      </c>
      <c r="P266" s="2">
        <f t="shared" ref="P266:P329" si="4">+N266-O266</f>
        <v>1.7999999999999972</v>
      </c>
      <c r="Q266">
        <v>-0.1</v>
      </c>
    </row>
    <row r="267" spans="1:17">
      <c r="A267" t="s">
        <v>41</v>
      </c>
      <c r="B267" t="s">
        <v>16</v>
      </c>
      <c r="C267">
        <v>47</v>
      </c>
      <c r="D267">
        <v>35</v>
      </c>
      <c r="E267" s="1">
        <f>+C267/(C267+D267)</f>
        <v>0.57317073170731703</v>
      </c>
      <c r="F267" s="2">
        <v>97.2</v>
      </c>
      <c r="G267" s="2">
        <v>95.6</v>
      </c>
      <c r="H267" s="2">
        <f>+F267-G267</f>
        <v>1.6000000000000085</v>
      </c>
      <c r="I267" s="1">
        <f>+(F267^14)/((F267^14+G267^14))</f>
        <v>0.55783262608685169</v>
      </c>
      <c r="J267" s="2">
        <v>103.8</v>
      </c>
      <c r="K267" s="2">
        <v>102.2</v>
      </c>
      <c r="L267" s="2">
        <f>+J267-K267</f>
        <v>1.5999999999999943</v>
      </c>
      <c r="M267" s="1">
        <f>+E267-I267</f>
        <v>1.5338105620465337E-2</v>
      </c>
      <c r="N267" s="2">
        <v>112</v>
      </c>
      <c r="O267" s="2">
        <v>92.3</v>
      </c>
      <c r="P267" s="2">
        <f t="shared" si="4"/>
        <v>19.700000000000003</v>
      </c>
      <c r="Q267">
        <v>0.7</v>
      </c>
    </row>
    <row r="268" spans="1:17">
      <c r="A268" t="s">
        <v>59</v>
      </c>
      <c r="B268" t="s">
        <v>51</v>
      </c>
      <c r="C268">
        <v>42</v>
      </c>
      <c r="D268">
        <v>40</v>
      </c>
      <c r="E268" s="1">
        <f>+C268/(C268+D268)</f>
        <v>0.51219512195121952</v>
      </c>
      <c r="F268" s="2">
        <v>112.2</v>
      </c>
      <c r="G268" s="2">
        <v>112.3</v>
      </c>
      <c r="H268" s="2">
        <f>+F268-G268</f>
        <v>-9.9999999999994316E-2</v>
      </c>
      <c r="I268" s="1">
        <f>+(F268^14)/((F268^14+G268^14))</f>
        <v>0.49688200012291167</v>
      </c>
      <c r="J268" s="2">
        <v>108.9</v>
      </c>
      <c r="K268" s="2">
        <v>109</v>
      </c>
      <c r="L268" s="2">
        <f>+J268-K268</f>
        <v>-9.9999999999994316E-2</v>
      </c>
      <c r="M268" s="1">
        <f>+E268-I268</f>
        <v>1.5313121828307852E-2</v>
      </c>
      <c r="N268" s="2">
        <v>109.7</v>
      </c>
      <c r="O268" s="2">
        <v>111.8</v>
      </c>
      <c r="P268" s="2">
        <f t="shared" si="4"/>
        <v>-2.0999999999999943</v>
      </c>
      <c r="Q268">
        <v>-0.3</v>
      </c>
    </row>
    <row r="269" spans="1:17">
      <c r="A269" t="s">
        <v>34</v>
      </c>
      <c r="B269" t="s">
        <v>14</v>
      </c>
      <c r="C269">
        <v>28</v>
      </c>
      <c r="D269">
        <v>54</v>
      </c>
      <c r="E269" s="1">
        <f>+C269/(C269+D269)</f>
        <v>0.34146341463414637</v>
      </c>
      <c r="F269" s="2">
        <v>92.3</v>
      </c>
      <c r="G269" s="2">
        <v>97.2</v>
      </c>
      <c r="H269" s="2">
        <f>+F269-G269</f>
        <v>-4.9000000000000057</v>
      </c>
      <c r="I269" s="1">
        <f>+(F269^14)/((F269^14+G269^14))</f>
        <v>0.3264749470449273</v>
      </c>
      <c r="J269" s="2">
        <v>101.6</v>
      </c>
      <c r="K269" s="2">
        <v>106.9</v>
      </c>
      <c r="L269" s="2">
        <f>+J269-K269</f>
        <v>-5.3000000000000114</v>
      </c>
      <c r="M269" s="1">
        <f>+E269-I269</f>
        <v>1.4988467589219068E-2</v>
      </c>
      <c r="N269" s="2">
        <v>96.6</v>
      </c>
      <c r="O269" s="2">
        <v>106.7</v>
      </c>
      <c r="P269" s="2">
        <f t="shared" si="4"/>
        <v>-10.100000000000009</v>
      </c>
      <c r="Q269">
        <v>-1</v>
      </c>
    </row>
    <row r="270" spans="1:17">
      <c r="A270" t="s">
        <v>52</v>
      </c>
      <c r="B270" t="s">
        <v>46</v>
      </c>
      <c r="C270">
        <v>59</v>
      </c>
      <c r="D270">
        <v>23</v>
      </c>
      <c r="E270" s="1">
        <f>+C270/(C270+D270)</f>
        <v>0.71951219512195119</v>
      </c>
      <c r="F270" s="2">
        <v>106.2</v>
      </c>
      <c r="G270" s="2">
        <v>99.8</v>
      </c>
      <c r="H270" s="2">
        <f>+F270-G270</f>
        <v>6.4000000000000057</v>
      </c>
      <c r="I270" s="1">
        <f>+(F270^14)/((F270^14+G270^14))</f>
        <v>0.70478376609010041</v>
      </c>
      <c r="J270" s="2">
        <v>109.4</v>
      </c>
      <c r="K270" s="2">
        <v>103</v>
      </c>
      <c r="L270" s="2">
        <f>+J270-K270</f>
        <v>6.4000000000000057</v>
      </c>
      <c r="M270" s="1">
        <f>+E270-I270</f>
        <v>1.4728429031850787E-2</v>
      </c>
      <c r="N270" s="2">
        <v>103.7</v>
      </c>
      <c r="O270" s="2">
        <v>99.7</v>
      </c>
      <c r="P270" s="2">
        <f t="shared" si="4"/>
        <v>4</v>
      </c>
      <c r="Q270">
        <v>1.1000000000000001</v>
      </c>
    </row>
    <row r="271" spans="1:17">
      <c r="A271" t="s">
        <v>61</v>
      </c>
      <c r="B271" t="s">
        <v>10</v>
      </c>
      <c r="C271">
        <v>42</v>
      </c>
      <c r="D271">
        <v>30</v>
      </c>
      <c r="E271" s="1">
        <f>+C271/(C271+D271)</f>
        <v>0.58333333333333337</v>
      </c>
      <c r="F271" s="2">
        <v>112.4</v>
      </c>
      <c r="G271" s="2">
        <v>110.2</v>
      </c>
      <c r="H271" s="2">
        <f>+F271-G271</f>
        <v>2.2000000000000028</v>
      </c>
      <c r="I271" s="1">
        <f>+(F271^14)/((F271^14+G271^14))</f>
        <v>0.56874646032092568</v>
      </c>
      <c r="J271" s="2">
        <v>114.6</v>
      </c>
      <c r="K271" s="2">
        <v>112.3</v>
      </c>
      <c r="L271" s="2">
        <f>+J271-K271</f>
        <v>2.2999999999999972</v>
      </c>
      <c r="M271" s="1">
        <f>+E271-I271</f>
        <v>1.4586873012407686E-2</v>
      </c>
      <c r="N271" s="2">
        <v>116.3</v>
      </c>
      <c r="O271" s="2">
        <v>122</v>
      </c>
      <c r="P271" s="2">
        <f t="shared" si="4"/>
        <v>-5.7000000000000028</v>
      </c>
      <c r="Q271">
        <v>-0.3</v>
      </c>
    </row>
    <row r="272" spans="1:17">
      <c r="A272" t="s">
        <v>57</v>
      </c>
      <c r="B272" t="s">
        <v>28</v>
      </c>
      <c r="C272">
        <v>61</v>
      </c>
      <c r="D272">
        <v>21</v>
      </c>
      <c r="E272" s="1">
        <f>+C272/(C272+D272)</f>
        <v>0.74390243902439024</v>
      </c>
      <c r="F272" s="2">
        <v>105.3</v>
      </c>
      <c r="G272" s="2">
        <v>98.1</v>
      </c>
      <c r="H272" s="2">
        <f>+F272-G272</f>
        <v>7.2000000000000028</v>
      </c>
      <c r="I272" s="1">
        <f>+(F272^14)/((F272^14+G272^14))</f>
        <v>0.72939687618809401</v>
      </c>
      <c r="J272" s="2">
        <v>110.3</v>
      </c>
      <c r="K272" s="2">
        <v>102.9</v>
      </c>
      <c r="L272" s="2">
        <f>+J272-K272</f>
        <v>7.3999999999999915</v>
      </c>
      <c r="M272" s="1">
        <f>+E272-I272</f>
        <v>1.4505562836296226E-2</v>
      </c>
      <c r="N272" s="2">
        <v>111.4</v>
      </c>
      <c r="O272" s="2">
        <v>89.6</v>
      </c>
      <c r="P272" s="2">
        <f t="shared" si="4"/>
        <v>21.800000000000011</v>
      </c>
      <c r="Q272">
        <v>1.2</v>
      </c>
    </row>
    <row r="273" spans="1:17">
      <c r="A273" t="s">
        <v>44</v>
      </c>
      <c r="B273" t="s">
        <v>5</v>
      </c>
      <c r="C273">
        <v>37</v>
      </c>
      <c r="D273">
        <v>45</v>
      </c>
      <c r="E273" s="1">
        <f>+C273/(C273+D273)</f>
        <v>0.45121951219512196</v>
      </c>
      <c r="F273" s="2">
        <v>98.2</v>
      </c>
      <c r="G273" s="2">
        <v>100</v>
      </c>
      <c r="H273" s="2">
        <f>+F273-G273</f>
        <v>-1.7999999999999972</v>
      </c>
      <c r="I273" s="1">
        <f>+(F273^14)/((F273^14+G273^14))</f>
        <v>0.43676649224387093</v>
      </c>
      <c r="J273" s="2">
        <v>105.5</v>
      </c>
      <c r="K273" s="2">
        <v>107.3</v>
      </c>
      <c r="L273" s="2">
        <f>+J273-K273</f>
        <v>-1.7999999999999972</v>
      </c>
      <c r="M273" s="1">
        <f>+E273-I273</f>
        <v>1.4453019951251034E-2</v>
      </c>
      <c r="N273" s="2">
        <v>100.3</v>
      </c>
      <c r="O273" s="2">
        <v>111.2</v>
      </c>
      <c r="P273" s="2">
        <f t="shared" si="4"/>
        <v>-10.900000000000006</v>
      </c>
      <c r="Q273">
        <v>-0.1</v>
      </c>
    </row>
    <row r="274" spans="1:17">
      <c r="A274" t="s">
        <v>44</v>
      </c>
      <c r="B274" t="s">
        <v>29</v>
      </c>
      <c r="C274">
        <v>20</v>
      </c>
      <c r="D274">
        <v>62</v>
      </c>
      <c r="E274" s="1">
        <f>+C274/(C274+D274)</f>
        <v>0.24390243902439024</v>
      </c>
      <c r="F274" s="2">
        <v>97.5</v>
      </c>
      <c r="G274" s="2">
        <v>106.3</v>
      </c>
      <c r="H274" s="2">
        <f>+F274-G274</f>
        <v>-8.7999999999999972</v>
      </c>
      <c r="I274" s="1">
        <f>+(F274^14)/((F274^14+G274^14))</f>
        <v>0.22973985536315381</v>
      </c>
      <c r="J274" s="2">
        <v>99.6</v>
      </c>
      <c r="K274" s="2">
        <v>108.3</v>
      </c>
      <c r="L274" s="2">
        <f>+J274-K274</f>
        <v>-8.7000000000000028</v>
      </c>
      <c r="M274" s="1">
        <f>+E274-I274</f>
        <v>1.4162583661236433E-2</v>
      </c>
      <c r="N274" s="2">
        <v>105.6</v>
      </c>
      <c r="O274" s="2">
        <v>105.8</v>
      </c>
      <c r="P274" s="2">
        <f t="shared" si="4"/>
        <v>-0.20000000000000284</v>
      </c>
      <c r="Q274">
        <v>-2.6</v>
      </c>
    </row>
    <row r="275" spans="1:17">
      <c r="A275" t="s">
        <v>52</v>
      </c>
      <c r="B275" t="s">
        <v>8</v>
      </c>
      <c r="C275">
        <v>48</v>
      </c>
      <c r="D275">
        <v>34</v>
      </c>
      <c r="E275" s="1">
        <f>+C275/(C275+D275)</f>
        <v>0.58536585365853655</v>
      </c>
      <c r="F275" s="2">
        <v>93.7</v>
      </c>
      <c r="G275" s="2">
        <v>91.8</v>
      </c>
      <c r="H275" s="2">
        <f>+F275-G275</f>
        <v>1.9000000000000057</v>
      </c>
      <c r="I275" s="1">
        <f>+(F275^14)/((F275^14+G275^14))</f>
        <v>0.57121314816076207</v>
      </c>
      <c r="J275" s="2">
        <v>101.7</v>
      </c>
      <c r="K275" s="2">
        <v>99.9</v>
      </c>
      <c r="L275" s="2">
        <f>+J275-K275</f>
        <v>1.7999999999999972</v>
      </c>
      <c r="M275" s="1">
        <f>+E275-I275</f>
        <v>1.4152705497774476E-2</v>
      </c>
      <c r="N275" s="2">
        <v>91.5</v>
      </c>
      <c r="O275" s="2">
        <v>83.4</v>
      </c>
      <c r="P275" s="2">
        <f t="shared" si="4"/>
        <v>8.0999999999999943</v>
      </c>
      <c r="Q275">
        <v>1</v>
      </c>
    </row>
    <row r="276" spans="1:17">
      <c r="A276" t="s">
        <v>54</v>
      </c>
      <c r="B276" t="s">
        <v>7</v>
      </c>
      <c r="C276">
        <v>33</v>
      </c>
      <c r="D276">
        <v>49</v>
      </c>
      <c r="E276" s="1">
        <f>+C276/(C276+D276)</f>
        <v>0.40243902439024393</v>
      </c>
      <c r="F276" s="2">
        <v>94.2</v>
      </c>
      <c r="G276" s="2">
        <v>97.3</v>
      </c>
      <c r="H276" s="2">
        <f>+F276-G276</f>
        <v>-3.0999999999999943</v>
      </c>
      <c r="I276" s="1">
        <f>+(F276^14)/((F276^14+G276^14))</f>
        <v>0.38857566297444734</v>
      </c>
      <c r="J276" s="2">
        <v>99.6</v>
      </c>
      <c r="K276" s="2">
        <v>103</v>
      </c>
      <c r="L276" s="2">
        <f>+J276-K276</f>
        <v>-3.4000000000000057</v>
      </c>
      <c r="M276" s="1">
        <f>+E276-I276</f>
        <v>1.3863361415796582E-2</v>
      </c>
      <c r="N276" s="2">
        <v>89.8</v>
      </c>
      <c r="O276" s="2">
        <v>99.4</v>
      </c>
      <c r="P276" s="2">
        <f t="shared" si="4"/>
        <v>-9.6000000000000085</v>
      </c>
      <c r="Q276">
        <v>-1.2</v>
      </c>
    </row>
    <row r="277" spans="1:17">
      <c r="A277" t="s">
        <v>34</v>
      </c>
      <c r="B277" t="s">
        <v>6</v>
      </c>
      <c r="C277">
        <v>49</v>
      </c>
      <c r="D277">
        <v>33</v>
      </c>
      <c r="E277" s="1">
        <f>+C277/(C277+D277)</f>
        <v>0.59756097560975607</v>
      </c>
      <c r="F277" s="2">
        <v>96.4</v>
      </c>
      <c r="G277" s="2">
        <v>94.1</v>
      </c>
      <c r="H277" s="2">
        <f>+F277-G277</f>
        <v>2.3000000000000114</v>
      </c>
      <c r="I277" s="1">
        <f>+(F277^14)/((F277^14+G277^14))</f>
        <v>0.58372264017274567</v>
      </c>
      <c r="J277" s="2">
        <v>102.1</v>
      </c>
      <c r="K277" s="2">
        <v>99.9</v>
      </c>
      <c r="L277" s="2">
        <f>+J277-K277</f>
        <v>2.1999999999999886</v>
      </c>
      <c r="M277" s="1">
        <f>+E277-I277</f>
        <v>1.3838335437010407E-2</v>
      </c>
      <c r="N277" s="2">
        <v>107.8</v>
      </c>
      <c r="O277" s="2">
        <v>90.2</v>
      </c>
      <c r="P277" s="2">
        <f t="shared" si="4"/>
        <v>17.599999999999994</v>
      </c>
      <c r="Q277">
        <v>1</v>
      </c>
    </row>
    <row r="278" spans="1:17">
      <c r="A278" t="s">
        <v>62</v>
      </c>
      <c r="B278" t="s">
        <v>11</v>
      </c>
      <c r="C278">
        <v>48</v>
      </c>
      <c r="D278">
        <v>34</v>
      </c>
      <c r="E278" s="1">
        <f>+C278/(C278+D278)</f>
        <v>0.58536585365853655</v>
      </c>
      <c r="F278" s="2">
        <v>112.7</v>
      </c>
      <c r="G278" s="2">
        <v>110.4</v>
      </c>
      <c r="H278" s="2">
        <f>+F278-G278</f>
        <v>2.2999999999999972</v>
      </c>
      <c r="I278" s="1">
        <f>+(F278^14)/((F278^14+G278^14))</f>
        <v>0.57167050088011562</v>
      </c>
      <c r="J278" s="2">
        <v>113.8</v>
      </c>
      <c r="K278" s="2">
        <v>111.5</v>
      </c>
      <c r="L278" s="2">
        <f>+J278-K278</f>
        <v>2.2999999999999972</v>
      </c>
      <c r="M278" s="1">
        <f>+E278-I278</f>
        <v>1.3695352778420933E-2</v>
      </c>
      <c r="N278" s="2">
        <v>106.9</v>
      </c>
      <c r="O278" s="2">
        <v>103.2</v>
      </c>
      <c r="P278" s="2">
        <f t="shared" si="4"/>
        <v>3.7000000000000028</v>
      </c>
      <c r="Q278">
        <v>-1.8</v>
      </c>
    </row>
    <row r="279" spans="1:17">
      <c r="A279" t="s">
        <v>45</v>
      </c>
      <c r="B279" t="s">
        <v>18</v>
      </c>
      <c r="C279">
        <v>43</v>
      </c>
      <c r="D279">
        <v>39</v>
      </c>
      <c r="E279" s="1">
        <f>+C279/(C279+D279)</f>
        <v>0.52439024390243905</v>
      </c>
      <c r="F279" s="2">
        <v>98.3</v>
      </c>
      <c r="G279" s="2">
        <v>98</v>
      </c>
      <c r="H279" s="2">
        <f>+F279-G279</f>
        <v>0.29999999999999716</v>
      </c>
      <c r="I279" s="1">
        <f>+(F279^14)/((F279^14+G279^14))</f>
        <v>0.51069628754963348</v>
      </c>
      <c r="J279" s="2">
        <v>106.8</v>
      </c>
      <c r="K279" s="2">
        <v>106.5</v>
      </c>
      <c r="L279" s="2">
        <f>+J279-K279</f>
        <v>0.29999999999999716</v>
      </c>
      <c r="M279" s="1">
        <f>+E279-I279</f>
        <v>1.369395635280557E-2</v>
      </c>
      <c r="N279" s="2">
        <v>114.1</v>
      </c>
      <c r="O279" s="2">
        <v>112.2</v>
      </c>
      <c r="P279" s="2">
        <f t="shared" si="4"/>
        <v>1.8999999999999915</v>
      </c>
      <c r="Q279">
        <v>-0.7</v>
      </c>
    </row>
    <row r="280" spans="1:17">
      <c r="A280" t="s">
        <v>50</v>
      </c>
      <c r="B280" t="s">
        <v>26</v>
      </c>
      <c r="C280">
        <v>33</v>
      </c>
      <c r="D280">
        <v>49</v>
      </c>
      <c r="E280" s="1">
        <f>+C280/(C280+D280)</f>
        <v>0.40243902439024393</v>
      </c>
      <c r="F280" s="2">
        <v>97.5</v>
      </c>
      <c r="G280" s="2">
        <v>100.7</v>
      </c>
      <c r="H280" s="2">
        <f>+F280-G280</f>
        <v>-3.2000000000000028</v>
      </c>
      <c r="I280" s="1">
        <f>+(F280^14)/((F280^14+G280^14))</f>
        <v>0.38885971000700537</v>
      </c>
      <c r="J280" s="2">
        <v>104.5</v>
      </c>
      <c r="K280" s="2">
        <v>107.9</v>
      </c>
      <c r="L280" s="2">
        <f>+J280-K280</f>
        <v>-3.4000000000000057</v>
      </c>
      <c r="M280" s="1">
        <f>+E280-I280</f>
        <v>1.3579314383238561E-2</v>
      </c>
      <c r="N280" s="2">
        <v>105.1</v>
      </c>
      <c r="O280" s="2">
        <v>106.7</v>
      </c>
      <c r="P280" s="2">
        <f t="shared" si="4"/>
        <v>-1.6000000000000085</v>
      </c>
      <c r="Q280">
        <v>-0.2</v>
      </c>
    </row>
    <row r="281" spans="1:17">
      <c r="A281" t="s">
        <v>61</v>
      </c>
      <c r="B281" t="s">
        <v>24</v>
      </c>
      <c r="C281">
        <v>49</v>
      </c>
      <c r="D281">
        <v>23</v>
      </c>
      <c r="E281" s="1">
        <f>+C281/(C281+D281)</f>
        <v>0.68055555555555558</v>
      </c>
      <c r="F281" s="2">
        <v>113.6</v>
      </c>
      <c r="G281" s="2">
        <v>108.1</v>
      </c>
      <c r="H281" s="2">
        <f>+F281-G281</f>
        <v>5.5</v>
      </c>
      <c r="I281" s="1">
        <f>+(F281^14)/((F281^14+G281^14))</f>
        <v>0.66702829346339876</v>
      </c>
      <c r="J281" s="2">
        <v>112.5</v>
      </c>
      <c r="K281" s="2">
        <v>107</v>
      </c>
      <c r="L281" s="2">
        <f>+J281-K281</f>
        <v>5.5</v>
      </c>
      <c r="M281" s="1">
        <f>+E281-I281</f>
        <v>1.3527262092156822E-2</v>
      </c>
      <c r="N281" s="2">
        <v>112.5</v>
      </c>
      <c r="O281" s="2">
        <v>97.4</v>
      </c>
      <c r="P281" s="2">
        <f t="shared" si="4"/>
        <v>15.099999999999994</v>
      </c>
      <c r="Q281">
        <v>1.3</v>
      </c>
    </row>
    <row r="282" spans="1:17">
      <c r="A282" t="s">
        <v>50</v>
      </c>
      <c r="B282" t="s">
        <v>6</v>
      </c>
      <c r="C282">
        <v>41</v>
      </c>
      <c r="D282">
        <v>40</v>
      </c>
      <c r="E282" s="1">
        <f>+C282/(C282+D282)</f>
        <v>0.50617283950617287</v>
      </c>
      <c r="F282" s="2">
        <v>96.5</v>
      </c>
      <c r="G282" s="2">
        <v>96.7</v>
      </c>
      <c r="H282" s="2">
        <f>+F282-G282</f>
        <v>-0.20000000000000284</v>
      </c>
      <c r="I282" s="1">
        <f>+(F282^14)/((F282^14+G282^14))</f>
        <v>0.49275412790061462</v>
      </c>
      <c r="J282" s="2">
        <v>102.2</v>
      </c>
      <c r="K282" s="2">
        <v>102.6</v>
      </c>
      <c r="L282" s="2">
        <f>+J282-K282</f>
        <v>-0.39999999999999147</v>
      </c>
      <c r="M282" s="1">
        <f>+E282-I282</f>
        <v>1.3418711605558242E-2</v>
      </c>
      <c r="N282" s="2">
        <v>92.5</v>
      </c>
      <c r="O282" s="2">
        <v>95.1</v>
      </c>
      <c r="P282" s="2">
        <f t="shared" si="4"/>
        <v>-2.5999999999999943</v>
      </c>
      <c r="Q282">
        <v>-0.6</v>
      </c>
    </row>
    <row r="283" spans="1:17">
      <c r="A283" t="s">
        <v>64</v>
      </c>
      <c r="B283" t="s">
        <v>26</v>
      </c>
      <c r="C283">
        <v>21</v>
      </c>
      <c r="D283">
        <v>61</v>
      </c>
      <c r="E283" s="1">
        <f>+C283/(C283+D283)</f>
        <v>0.25609756097560976</v>
      </c>
      <c r="F283" s="2">
        <v>106.4</v>
      </c>
      <c r="G283" s="2">
        <v>115.4</v>
      </c>
      <c r="H283" s="2">
        <f>+F283-G283</f>
        <v>-9</v>
      </c>
      <c r="I283" s="1">
        <f>+(F283^14)/((F283^14+G283^14))</f>
        <v>0.24291151759071603</v>
      </c>
      <c r="J283" s="2">
        <v>107.6</v>
      </c>
      <c r="K283" s="2">
        <v>116.6</v>
      </c>
      <c r="L283" s="2">
        <f>+J283-K283</f>
        <v>-9</v>
      </c>
      <c r="M283" s="1">
        <f>+E283-I283</f>
        <v>1.3186043384893736E-2</v>
      </c>
      <c r="N283" s="2">
        <v>104.8</v>
      </c>
      <c r="O283" s="2">
        <v>102.6</v>
      </c>
      <c r="P283" s="2">
        <f t="shared" si="4"/>
        <v>2.2000000000000028</v>
      </c>
      <c r="Q283">
        <v>-0.6</v>
      </c>
    </row>
    <row r="284" spans="1:17">
      <c r="A284" t="s">
        <v>54</v>
      </c>
      <c r="B284" t="s">
        <v>10</v>
      </c>
      <c r="C284">
        <v>50</v>
      </c>
      <c r="D284">
        <v>32</v>
      </c>
      <c r="E284" s="1">
        <f>+C284/(C284+D284)</f>
        <v>0.6097560975609756</v>
      </c>
      <c r="F284" s="2">
        <v>105.2</v>
      </c>
      <c r="G284" s="2">
        <v>102.3</v>
      </c>
      <c r="H284" s="2">
        <f>+F284-G284</f>
        <v>2.9000000000000057</v>
      </c>
      <c r="I284" s="1">
        <f>+(F284^14)/((F284^14+G284^14))</f>
        <v>0.59660783043206966</v>
      </c>
      <c r="J284" s="2">
        <v>108.2</v>
      </c>
      <c r="K284" s="2">
        <v>104.9</v>
      </c>
      <c r="L284" s="2">
        <f>+J284-K284</f>
        <v>3.2999999999999972</v>
      </c>
      <c r="M284" s="1">
        <f>+E284-I284</f>
        <v>1.3148267128905933E-2</v>
      </c>
      <c r="N284" s="2">
        <v>113.1</v>
      </c>
      <c r="O284" s="2">
        <v>95.3</v>
      </c>
      <c r="P284" s="2">
        <f t="shared" si="4"/>
        <v>17.799999999999997</v>
      </c>
      <c r="Q284">
        <v>0.8</v>
      </c>
    </row>
    <row r="285" spans="1:17">
      <c r="A285" t="s">
        <v>58</v>
      </c>
      <c r="B285" t="s">
        <v>11</v>
      </c>
      <c r="C285">
        <v>46</v>
      </c>
      <c r="D285">
        <v>36</v>
      </c>
      <c r="E285" s="1">
        <f>+C285/(C285+D285)</f>
        <v>0.56097560975609762</v>
      </c>
      <c r="F285" s="2">
        <v>110</v>
      </c>
      <c r="G285" s="2">
        <v>108.5</v>
      </c>
      <c r="H285" s="2">
        <f>+F285-G285</f>
        <v>1.5</v>
      </c>
      <c r="I285" s="1">
        <f>+(F285^14)/((F285^14+G285^14))</f>
        <v>0.54790824985193565</v>
      </c>
      <c r="J285" s="2">
        <v>111.4</v>
      </c>
      <c r="K285" s="2">
        <v>110</v>
      </c>
      <c r="L285" s="2">
        <f>+J285-K285</f>
        <v>1.4000000000000057</v>
      </c>
      <c r="M285" s="1">
        <f>+E285-I285</f>
        <v>1.3067359904161968E-2</v>
      </c>
      <c r="N285" s="2">
        <v>103.6</v>
      </c>
      <c r="O285" s="2">
        <v>99.5</v>
      </c>
      <c r="P285" s="2">
        <f t="shared" si="4"/>
        <v>4.0999999999999943</v>
      </c>
      <c r="Q285">
        <v>-0.6</v>
      </c>
    </row>
    <row r="286" spans="1:17">
      <c r="A286" t="s">
        <v>62</v>
      </c>
      <c r="B286" t="s">
        <v>35</v>
      </c>
      <c r="C286">
        <v>56</v>
      </c>
      <c r="D286">
        <v>26</v>
      </c>
      <c r="E286" s="1">
        <f>+C286/(C286+D286)</f>
        <v>0.68292682926829273</v>
      </c>
      <c r="F286" s="2">
        <v>115.6</v>
      </c>
      <c r="G286" s="2">
        <v>109.9</v>
      </c>
      <c r="H286" s="2">
        <f>+F286-G286</f>
        <v>5.6999999999999886</v>
      </c>
      <c r="I286" s="1">
        <f>+(F286^14)/((F286^14+G286^14))</f>
        <v>0.66993947540957544</v>
      </c>
      <c r="J286" s="2">
        <v>114.3</v>
      </c>
      <c r="K286" s="2">
        <v>108.9</v>
      </c>
      <c r="L286" s="2">
        <f>+J286-K286</f>
        <v>5.3999999999999915</v>
      </c>
      <c r="M286" s="1">
        <f>+E286-I286</f>
        <v>1.2987353858717299E-2</v>
      </c>
      <c r="N286" s="2">
        <v>111.6</v>
      </c>
      <c r="O286" s="2">
        <v>103.7</v>
      </c>
      <c r="P286" s="2">
        <f t="shared" si="4"/>
        <v>7.8999999999999915</v>
      </c>
      <c r="Q286">
        <v>0.1</v>
      </c>
    </row>
    <row r="287" spans="1:17">
      <c r="A287" t="s">
        <v>43</v>
      </c>
      <c r="B287" t="s">
        <v>15</v>
      </c>
      <c r="C287">
        <v>35</v>
      </c>
      <c r="D287">
        <v>47</v>
      </c>
      <c r="E287" s="1">
        <f>+C287/(C287+D287)</f>
        <v>0.42682926829268292</v>
      </c>
      <c r="F287" s="2">
        <v>95.6</v>
      </c>
      <c r="G287" s="2">
        <v>98</v>
      </c>
      <c r="H287" s="2">
        <f>+F287-G287</f>
        <v>-2.4000000000000057</v>
      </c>
      <c r="I287" s="1">
        <f>+(F287^14)/((F287^14+G287^14))</f>
        <v>0.41407972075394056</v>
      </c>
      <c r="J287" s="2">
        <v>101.9</v>
      </c>
      <c r="K287" s="2">
        <v>104.4</v>
      </c>
      <c r="L287" s="2">
        <f>+J287-K287</f>
        <v>-2.5</v>
      </c>
      <c r="M287" s="1">
        <f>+E287-I287</f>
        <v>1.2749547538742356E-2</v>
      </c>
      <c r="N287" s="2">
        <v>102.9</v>
      </c>
      <c r="O287" s="2">
        <v>101.2</v>
      </c>
      <c r="P287" s="2">
        <f t="shared" si="4"/>
        <v>1.7000000000000028</v>
      </c>
      <c r="Q287">
        <v>-0.4</v>
      </c>
    </row>
    <row r="288" spans="1:17">
      <c r="A288" t="s">
        <v>47</v>
      </c>
      <c r="B288" t="s">
        <v>11</v>
      </c>
      <c r="C288">
        <v>53</v>
      </c>
      <c r="D288">
        <v>29</v>
      </c>
      <c r="E288" s="1">
        <f>+C288/(C288+D288)</f>
        <v>0.64634146341463417</v>
      </c>
      <c r="F288" s="2">
        <v>106.5</v>
      </c>
      <c r="G288" s="2">
        <v>102.4</v>
      </c>
      <c r="H288" s="2">
        <f>+F288-G288</f>
        <v>4.0999999999999943</v>
      </c>
      <c r="I288" s="1">
        <f>+(F288^14)/((F288^14+G288^14))</f>
        <v>0.63404645270509008</v>
      </c>
      <c r="J288" s="2">
        <v>110.8</v>
      </c>
      <c r="K288" s="2">
        <v>106.5</v>
      </c>
      <c r="L288" s="2">
        <f>+J288-K288</f>
        <v>4.2999999999999972</v>
      </c>
      <c r="M288" s="1">
        <f>+E288-I288</f>
        <v>1.2295010709544085E-2</v>
      </c>
      <c r="N288" s="2">
        <v>117.7</v>
      </c>
      <c r="O288" s="2">
        <v>110.2</v>
      </c>
      <c r="P288" s="2">
        <f t="shared" si="4"/>
        <v>7.5</v>
      </c>
      <c r="Q288">
        <v>1.6</v>
      </c>
    </row>
    <row r="289" spans="1:17">
      <c r="A289" t="s">
        <v>38</v>
      </c>
      <c r="B289" t="s">
        <v>20</v>
      </c>
      <c r="C289">
        <v>58</v>
      </c>
      <c r="D289">
        <v>24</v>
      </c>
      <c r="E289" s="1">
        <f>+C289/(C289+D289)</f>
        <v>0.70731707317073167</v>
      </c>
      <c r="F289" s="2">
        <v>94.5</v>
      </c>
      <c r="G289" s="2">
        <v>89.1</v>
      </c>
      <c r="H289" s="2">
        <f>+F289-G289</f>
        <v>5.4000000000000057</v>
      </c>
      <c r="I289" s="1">
        <f>+(F289^14)/((F289^14+G289^14))</f>
        <v>0.6950353841239254</v>
      </c>
      <c r="J289" s="2">
        <v>104.2</v>
      </c>
      <c r="K289" s="2">
        <v>98.5</v>
      </c>
      <c r="L289" s="2">
        <f>+J289-K289</f>
        <v>5.7000000000000028</v>
      </c>
      <c r="M289" s="1">
        <f>+E289-I289</f>
        <v>1.2281689046806266E-2</v>
      </c>
      <c r="N289" s="2">
        <v>110.4</v>
      </c>
      <c r="O289" s="2">
        <v>99.4</v>
      </c>
      <c r="P289" s="2">
        <f t="shared" si="4"/>
        <v>11</v>
      </c>
      <c r="Q289">
        <v>1.3</v>
      </c>
    </row>
    <row r="290" spans="1:17">
      <c r="A290" t="s">
        <v>62</v>
      </c>
      <c r="B290" t="s">
        <v>7</v>
      </c>
      <c r="C290">
        <v>43</v>
      </c>
      <c r="D290">
        <v>39</v>
      </c>
      <c r="E290" s="1">
        <f>+C290/(C290+D290)</f>
        <v>0.52439024390243905</v>
      </c>
      <c r="F290" s="2">
        <v>115.3</v>
      </c>
      <c r="G290" s="2">
        <v>114.9</v>
      </c>
      <c r="H290" s="2">
        <f>+F290-G290</f>
        <v>0.39999999999999147</v>
      </c>
      <c r="I290" s="1">
        <f>+(F290^14)/((F290^14+G290^14))</f>
        <v>0.5121609496635926</v>
      </c>
      <c r="J290" s="2">
        <v>113.6</v>
      </c>
      <c r="K290" s="2">
        <v>113.1</v>
      </c>
      <c r="L290" s="2">
        <f>+J290-K290</f>
        <v>0.5</v>
      </c>
      <c r="M290" s="1">
        <f>+E290-I290</f>
        <v>1.2229294238846444E-2</v>
      </c>
      <c r="N290" s="2">
        <v>109.6</v>
      </c>
      <c r="O290" s="2">
        <v>111.6</v>
      </c>
      <c r="P290" s="2">
        <f t="shared" si="4"/>
        <v>-2</v>
      </c>
      <c r="Q290">
        <v>0.8</v>
      </c>
    </row>
    <row r="291" spans="1:17">
      <c r="A291" t="s">
        <v>58</v>
      </c>
      <c r="B291" t="s">
        <v>56</v>
      </c>
      <c r="C291">
        <v>42</v>
      </c>
      <c r="D291">
        <v>40</v>
      </c>
      <c r="E291" s="1">
        <f>+C291/(C291+D291)</f>
        <v>0.51219512195121952</v>
      </c>
      <c r="F291" s="2">
        <v>109</v>
      </c>
      <c r="G291" s="2">
        <v>109</v>
      </c>
      <c r="H291" s="2">
        <f>+F291-G291</f>
        <v>0</v>
      </c>
      <c r="I291" s="1">
        <f>+(F291^14)/((F291^14+G291^14))</f>
        <v>0.5</v>
      </c>
      <c r="J291" s="2">
        <v>109.4</v>
      </c>
      <c r="K291" s="2">
        <v>109.2</v>
      </c>
      <c r="L291" s="2">
        <f>+J291-K291</f>
        <v>0.20000000000000284</v>
      </c>
      <c r="M291" s="1">
        <f>+E291-I291</f>
        <v>1.2195121951219523E-2</v>
      </c>
      <c r="N291" s="2">
        <v>110.5</v>
      </c>
      <c r="O291" s="2">
        <v>119.1</v>
      </c>
      <c r="P291" s="2">
        <f t="shared" si="4"/>
        <v>-8.5999999999999943</v>
      </c>
      <c r="Q291">
        <v>1.5</v>
      </c>
    </row>
    <row r="292" spans="1:17">
      <c r="A292" t="s">
        <v>62</v>
      </c>
      <c r="B292" t="s">
        <v>56</v>
      </c>
      <c r="C292">
        <v>42</v>
      </c>
      <c r="D292">
        <v>40</v>
      </c>
      <c r="E292" s="1">
        <f>+C292/(C292+D292)</f>
        <v>0.51219512195121952</v>
      </c>
      <c r="F292" s="2">
        <v>108.4</v>
      </c>
      <c r="G292" s="2">
        <v>108.4</v>
      </c>
      <c r="H292" s="2">
        <f>+F292-G292</f>
        <v>0</v>
      </c>
      <c r="I292" s="1">
        <f>+(F292^14)/((F292^14+G292^14))</f>
        <v>0.5</v>
      </c>
      <c r="J292" s="2">
        <v>109.5</v>
      </c>
      <c r="K292" s="2">
        <v>109.5</v>
      </c>
      <c r="L292" s="2">
        <f>+J292-K292</f>
        <v>0</v>
      </c>
      <c r="M292" s="1">
        <f>+E292-I292</f>
        <v>1.2195121951219523E-2</v>
      </c>
      <c r="N292" s="2">
        <v>123.8</v>
      </c>
      <c r="O292" s="2">
        <v>114.3</v>
      </c>
      <c r="P292" s="2">
        <f t="shared" si="4"/>
        <v>9.5</v>
      </c>
      <c r="Q292">
        <v>1.1000000000000001</v>
      </c>
    </row>
    <row r="293" spans="1:17">
      <c r="A293" t="s">
        <v>63</v>
      </c>
      <c r="B293" t="s">
        <v>20</v>
      </c>
      <c r="C293">
        <v>42</v>
      </c>
      <c r="D293">
        <v>40</v>
      </c>
      <c r="E293" s="1">
        <f>+C293/(C293+D293)</f>
        <v>0.51219512195121952</v>
      </c>
      <c r="F293" s="2">
        <v>115.8</v>
      </c>
      <c r="G293" s="2">
        <v>115.8</v>
      </c>
      <c r="H293" s="2">
        <f>+F293-G293</f>
        <v>0</v>
      </c>
      <c r="I293" s="1">
        <f>+(F293^14)/((F293^14+G293^14))</f>
        <v>0.5</v>
      </c>
      <c r="J293" s="2">
        <v>113.3</v>
      </c>
      <c r="K293" s="2">
        <v>113.1</v>
      </c>
      <c r="L293" s="2">
        <f>+J293-K293</f>
        <v>0.20000000000000284</v>
      </c>
      <c r="M293" s="1">
        <f>+E293-I293</f>
        <v>1.2195121951219523E-2</v>
      </c>
      <c r="N293" s="2">
        <v>100.3</v>
      </c>
      <c r="O293" s="2">
        <v>100.5</v>
      </c>
      <c r="P293" s="2">
        <f t="shared" si="4"/>
        <v>-0.20000000000000284</v>
      </c>
      <c r="Q293">
        <v>-0.2</v>
      </c>
    </row>
    <row r="294" spans="1:17">
      <c r="A294" t="s">
        <v>65</v>
      </c>
      <c r="B294" t="s">
        <v>10</v>
      </c>
      <c r="C294">
        <v>39</v>
      </c>
      <c r="D294">
        <v>43</v>
      </c>
      <c r="E294" s="1">
        <f>+C294/(C294+D294)</f>
        <v>0.47560975609756095</v>
      </c>
      <c r="F294" s="2">
        <v>114.2</v>
      </c>
      <c r="G294" s="2">
        <v>115.4</v>
      </c>
      <c r="H294" s="2">
        <f>+F294-G294</f>
        <v>-1.2000000000000028</v>
      </c>
      <c r="I294" s="1">
        <f>+(F294^14)/((F294^14+G294^14))</f>
        <v>0.46347945541484592</v>
      </c>
      <c r="J294" s="2">
        <v>113.7</v>
      </c>
      <c r="K294" s="2">
        <v>115</v>
      </c>
      <c r="L294" s="2">
        <f>+J294-K294</f>
        <v>-1.2999999999999972</v>
      </c>
      <c r="M294" s="1">
        <f>+E294-I294</f>
        <v>1.2130300682715034E-2</v>
      </c>
      <c r="N294" s="2">
        <v>113</v>
      </c>
      <c r="O294" s="2">
        <v>111.7</v>
      </c>
      <c r="P294" s="2">
        <f t="shared" si="4"/>
        <v>1.2999999999999972</v>
      </c>
      <c r="Q294">
        <v>0.1</v>
      </c>
    </row>
    <row r="295" spans="1:17">
      <c r="A295" t="s">
        <v>60</v>
      </c>
      <c r="B295" t="s">
        <v>18</v>
      </c>
      <c r="C295">
        <v>44</v>
      </c>
      <c r="D295">
        <v>29</v>
      </c>
      <c r="E295" s="1">
        <f>+C295/(C295+D295)</f>
        <v>0.60273972602739723</v>
      </c>
      <c r="F295" s="2">
        <v>112</v>
      </c>
      <c r="G295" s="2">
        <v>109.1</v>
      </c>
      <c r="H295" s="2">
        <f>+F295-G295</f>
        <v>2.9000000000000057</v>
      </c>
      <c r="I295" s="1">
        <f>+(F295^14)/((F295^14+G295^14))</f>
        <v>0.5908005274630016</v>
      </c>
      <c r="J295" s="2">
        <v>111.9</v>
      </c>
      <c r="K295" s="2">
        <v>109.3</v>
      </c>
      <c r="L295" s="2">
        <f>+J295-K295</f>
        <v>2.6000000000000085</v>
      </c>
      <c r="M295" s="1">
        <f>+E295-I295</f>
        <v>1.1939198564395626E-2</v>
      </c>
      <c r="N295" s="2">
        <v>98.1</v>
      </c>
      <c r="O295" s="2">
        <v>115.1</v>
      </c>
      <c r="P295" s="2">
        <f t="shared" si="4"/>
        <v>-17</v>
      </c>
      <c r="Q295">
        <v>-1.2</v>
      </c>
    </row>
    <row r="296" spans="1:17">
      <c r="A296" t="s">
        <v>62</v>
      </c>
      <c r="B296" t="s">
        <v>51</v>
      </c>
      <c r="C296">
        <v>44</v>
      </c>
      <c r="D296">
        <v>38</v>
      </c>
      <c r="E296" s="1">
        <f>+C296/(C296+D296)</f>
        <v>0.53658536585365857</v>
      </c>
      <c r="F296" s="2">
        <v>112.9</v>
      </c>
      <c r="G296" s="2">
        <v>112.1</v>
      </c>
      <c r="H296" s="2">
        <f>+F296-G296</f>
        <v>0.80000000000001137</v>
      </c>
      <c r="I296" s="1">
        <f>+(F296^14)/((F296^14+G296^14))</f>
        <v>0.52486845707756435</v>
      </c>
      <c r="J296" s="2">
        <v>113.2</v>
      </c>
      <c r="K296" s="2">
        <v>112.3</v>
      </c>
      <c r="L296" s="2">
        <f>+J296-K296</f>
        <v>0.90000000000000568</v>
      </c>
      <c r="M296" s="1">
        <f>+E296-I296</f>
        <v>1.1716908776094215E-2</v>
      </c>
      <c r="N296" s="2">
        <v>112.6</v>
      </c>
      <c r="O296" s="2">
        <v>103</v>
      </c>
      <c r="P296" s="2">
        <f t="shared" si="4"/>
        <v>9.5999999999999943</v>
      </c>
      <c r="Q296">
        <v>-0.1</v>
      </c>
    </row>
    <row r="297" spans="1:17">
      <c r="A297" t="s">
        <v>62</v>
      </c>
      <c r="B297" t="s">
        <v>30</v>
      </c>
      <c r="C297">
        <v>48</v>
      </c>
      <c r="D297">
        <v>34</v>
      </c>
      <c r="E297" s="1">
        <f>+C297/(C297+D297)</f>
        <v>0.58536585365853655</v>
      </c>
      <c r="F297" s="2">
        <v>109.4</v>
      </c>
      <c r="G297" s="2">
        <v>107.1</v>
      </c>
      <c r="H297" s="2">
        <f>+F297-G297</f>
        <v>2.3000000000000114</v>
      </c>
      <c r="I297" s="1">
        <f>+(F297^14)/((F297^14+G297^14))</f>
        <v>0.57382411075027417</v>
      </c>
      <c r="J297" s="2">
        <v>112.1</v>
      </c>
      <c r="K297" s="2">
        <v>109.9</v>
      </c>
      <c r="L297" s="2">
        <f>+J297-K297</f>
        <v>2.1999999999999886</v>
      </c>
      <c r="M297" s="1">
        <f>+E297-I297</f>
        <v>1.1541742908262376E-2</v>
      </c>
      <c r="N297" s="2">
        <v>112.5</v>
      </c>
      <c r="O297" s="2">
        <v>102</v>
      </c>
      <c r="P297" s="2">
        <f t="shared" si="4"/>
        <v>10.5</v>
      </c>
      <c r="Q297">
        <v>1</v>
      </c>
    </row>
    <row r="298" spans="1:17">
      <c r="A298" t="s">
        <v>61</v>
      </c>
      <c r="B298" t="s">
        <v>28</v>
      </c>
      <c r="C298">
        <v>33</v>
      </c>
      <c r="D298">
        <v>39</v>
      </c>
      <c r="E298" s="1">
        <f>+C298/(C298+D298)</f>
        <v>0.45833333333333331</v>
      </c>
      <c r="F298" s="2">
        <v>111.1</v>
      </c>
      <c r="G298" s="2">
        <v>112.8</v>
      </c>
      <c r="H298" s="2">
        <f>+F298-G298</f>
        <v>-1.7000000000000028</v>
      </c>
      <c r="I298" s="1">
        <f>+(F298^14)/((F298^14+G298^14))</f>
        <v>0.44704954082867138</v>
      </c>
      <c r="J298" s="2">
        <v>110.5</v>
      </c>
      <c r="K298" s="2">
        <v>112</v>
      </c>
      <c r="L298" s="2">
        <f>+J298-K298</f>
        <v>-1.5</v>
      </c>
      <c r="M298" s="1">
        <f>+E298-I298</f>
        <v>1.1283792504661938E-2</v>
      </c>
      <c r="N298" s="2">
        <v>105</v>
      </c>
      <c r="O298" s="2">
        <v>108.9</v>
      </c>
      <c r="P298" s="2">
        <f t="shared" si="4"/>
        <v>-3.9000000000000057</v>
      </c>
      <c r="Q298">
        <v>-0.3</v>
      </c>
    </row>
    <row r="299" spans="1:17">
      <c r="A299" t="s">
        <v>58</v>
      </c>
      <c r="B299" t="s">
        <v>26</v>
      </c>
      <c r="C299">
        <v>49</v>
      </c>
      <c r="D299">
        <v>33</v>
      </c>
      <c r="E299" s="1">
        <f>+C299/(C299+D299)</f>
        <v>0.59756097560975607</v>
      </c>
      <c r="F299" s="2">
        <v>105.6</v>
      </c>
      <c r="G299" s="2">
        <v>103</v>
      </c>
      <c r="H299" s="2">
        <f>+F299-G299</f>
        <v>2.5999999999999943</v>
      </c>
      <c r="I299" s="1">
        <f>+(F299^14)/((F299^14+G299^14))</f>
        <v>0.5863778164099368</v>
      </c>
      <c r="J299" s="2">
        <v>108.4</v>
      </c>
      <c r="K299" s="2">
        <v>105.7</v>
      </c>
      <c r="L299" s="2">
        <f>+J299-K299</f>
        <v>2.7000000000000028</v>
      </c>
      <c r="M299" s="1">
        <f>+E299-I299</f>
        <v>1.118315919981927E-2</v>
      </c>
      <c r="N299" s="2">
        <v>103</v>
      </c>
      <c r="O299" s="2">
        <v>96.7</v>
      </c>
      <c r="P299" s="2">
        <f t="shared" si="4"/>
        <v>6.2999999999999972</v>
      </c>
      <c r="Q299">
        <v>-0.4</v>
      </c>
    </row>
    <row r="300" spans="1:17">
      <c r="A300" t="s">
        <v>34</v>
      </c>
      <c r="B300" t="s">
        <v>22</v>
      </c>
      <c r="C300">
        <v>30</v>
      </c>
      <c r="D300">
        <v>52</v>
      </c>
      <c r="E300" s="1">
        <f>+C300/(C300+D300)</f>
        <v>0.36585365853658536</v>
      </c>
      <c r="F300" s="2">
        <v>91.6</v>
      </c>
      <c r="G300" s="2">
        <v>95.6</v>
      </c>
      <c r="H300" s="2">
        <f>+F300-G300</f>
        <v>-4</v>
      </c>
      <c r="I300" s="1">
        <f>+(F300^14)/((F300^14+G300^14))</f>
        <v>0.35471402772199295</v>
      </c>
      <c r="J300" s="2">
        <v>100.4</v>
      </c>
      <c r="K300" s="2">
        <v>104.6</v>
      </c>
      <c r="L300" s="2">
        <f>+J300-K300</f>
        <v>-4.1999999999999886</v>
      </c>
      <c r="M300" s="1">
        <f>+E300-I300</f>
        <v>1.1139630814592405E-2</v>
      </c>
      <c r="N300" s="2">
        <v>89.8</v>
      </c>
      <c r="O300" s="2">
        <v>100.5</v>
      </c>
      <c r="P300" s="2">
        <f t="shared" si="4"/>
        <v>-10.700000000000003</v>
      </c>
      <c r="Q300">
        <v>-1.2</v>
      </c>
    </row>
    <row r="301" spans="1:17">
      <c r="A301" t="s">
        <v>48</v>
      </c>
      <c r="B301" t="s">
        <v>9</v>
      </c>
      <c r="C301">
        <v>19</v>
      </c>
      <c r="D301">
        <v>63</v>
      </c>
      <c r="E301" s="1">
        <f>+C301/(C301+D301)</f>
        <v>0.23170731707317074</v>
      </c>
      <c r="F301" s="2">
        <v>95.5</v>
      </c>
      <c r="G301" s="2">
        <v>104.5</v>
      </c>
      <c r="H301" s="2">
        <f>+F301-G301</f>
        <v>-9</v>
      </c>
      <c r="I301" s="1">
        <f>+(F301^14)/((F301^14+G301^14))</f>
        <v>0.22082734006674018</v>
      </c>
      <c r="J301" s="2">
        <v>101.5</v>
      </c>
      <c r="K301" s="2">
        <v>110.9</v>
      </c>
      <c r="L301" s="2">
        <f>+J301-K301</f>
        <v>-9.4000000000000057</v>
      </c>
      <c r="M301" s="1">
        <f>+E301-I301</f>
        <v>1.0879977006430563E-2</v>
      </c>
      <c r="N301" s="2">
        <v>110.9</v>
      </c>
      <c r="O301" s="2">
        <v>102.2</v>
      </c>
      <c r="P301" s="2">
        <f t="shared" si="4"/>
        <v>8.7000000000000028</v>
      </c>
      <c r="Q301">
        <v>-0.8</v>
      </c>
    </row>
    <row r="302" spans="1:17">
      <c r="A302" t="s">
        <v>63</v>
      </c>
      <c r="B302" t="s">
        <v>7</v>
      </c>
      <c r="C302">
        <v>27</v>
      </c>
      <c r="D302">
        <v>55</v>
      </c>
      <c r="E302" s="1">
        <f>+C302/(C302+D302)</f>
        <v>0.32926829268292684</v>
      </c>
      <c r="F302" s="2">
        <v>111</v>
      </c>
      <c r="G302" s="2">
        <v>117.2</v>
      </c>
      <c r="H302" s="2">
        <f>+F302-G302</f>
        <v>-6.2000000000000028</v>
      </c>
      <c r="I302" s="1">
        <f>+(F302^14)/((F302^14+G302^14))</f>
        <v>0.31844580628258201</v>
      </c>
      <c r="J302" s="2">
        <v>108.4</v>
      </c>
      <c r="K302" s="2">
        <v>114.7</v>
      </c>
      <c r="L302" s="2">
        <f>+J302-K302</f>
        <v>-6.2999999999999972</v>
      </c>
      <c r="M302" s="1">
        <f>+E302-I302</f>
        <v>1.0822486400344833E-2</v>
      </c>
      <c r="N302" s="2">
        <v>108.6</v>
      </c>
      <c r="O302" s="2">
        <v>114.4</v>
      </c>
      <c r="P302" s="2">
        <f t="shared" si="4"/>
        <v>-5.8000000000000114</v>
      </c>
      <c r="Q302">
        <v>-0.3</v>
      </c>
    </row>
    <row r="303" spans="1:17">
      <c r="A303" t="s">
        <v>61</v>
      </c>
      <c r="B303" t="s">
        <v>13</v>
      </c>
      <c r="C303">
        <v>39</v>
      </c>
      <c r="D303">
        <v>33</v>
      </c>
      <c r="E303" s="1">
        <f>+C303/(C303+D303)</f>
        <v>0.54166666666666663</v>
      </c>
      <c r="F303" s="2">
        <v>113.7</v>
      </c>
      <c r="G303" s="2">
        <v>112.7</v>
      </c>
      <c r="H303" s="2">
        <f>+F303-G303</f>
        <v>1</v>
      </c>
      <c r="I303" s="1">
        <f>+(F303^14)/((F303^14+G303^14))</f>
        <v>0.53087957866492586</v>
      </c>
      <c r="J303" s="2">
        <v>110.5</v>
      </c>
      <c r="K303" s="2">
        <v>109.4</v>
      </c>
      <c r="L303" s="2">
        <f>+J303-K303</f>
        <v>1.0999999999999943</v>
      </c>
      <c r="M303" s="1">
        <f>+E303-I303</f>
        <v>1.0787088001740774E-2</v>
      </c>
      <c r="N303" s="2">
        <v>112.6</v>
      </c>
      <c r="O303" s="2">
        <v>119.3</v>
      </c>
      <c r="P303" s="2">
        <f t="shared" si="4"/>
        <v>-6.7000000000000028</v>
      </c>
      <c r="Q303">
        <v>0.2</v>
      </c>
    </row>
    <row r="304" spans="1:17">
      <c r="A304" t="s">
        <v>44</v>
      </c>
      <c r="B304" t="s">
        <v>25</v>
      </c>
      <c r="C304">
        <v>55</v>
      </c>
      <c r="D304">
        <v>27</v>
      </c>
      <c r="E304" s="1">
        <f>+C304/(C304+D304)</f>
        <v>0.67073170731707321</v>
      </c>
      <c r="F304" s="2">
        <v>110.1</v>
      </c>
      <c r="G304" s="2">
        <v>105</v>
      </c>
      <c r="H304" s="2">
        <f>+F304-G304</f>
        <v>5.0999999999999943</v>
      </c>
      <c r="I304" s="1">
        <f>+(F304^14)/((F304^14+G304^14))</f>
        <v>0.66015874335995706</v>
      </c>
      <c r="J304" s="2">
        <v>112</v>
      </c>
      <c r="K304" s="2">
        <v>107</v>
      </c>
      <c r="L304" s="2">
        <f>+J304-K304</f>
        <v>5</v>
      </c>
      <c r="M304" s="1">
        <f>+E304-I304</f>
        <v>1.0572963957116155E-2</v>
      </c>
      <c r="N304" s="2">
        <v>110.9</v>
      </c>
      <c r="O304" s="2">
        <v>96.8</v>
      </c>
      <c r="P304" s="2">
        <f t="shared" si="4"/>
        <v>14.100000000000009</v>
      </c>
      <c r="Q304">
        <v>0.6</v>
      </c>
    </row>
    <row r="305" spans="1:17">
      <c r="A305" t="s">
        <v>64</v>
      </c>
      <c r="B305" t="s">
        <v>9</v>
      </c>
      <c r="C305">
        <v>48</v>
      </c>
      <c r="D305">
        <v>34</v>
      </c>
      <c r="E305" s="1">
        <f>+C305/(C305+D305)</f>
        <v>0.58536585365853655</v>
      </c>
      <c r="F305" s="2">
        <v>112.6</v>
      </c>
      <c r="G305" s="2">
        <v>110.2</v>
      </c>
      <c r="H305" s="2">
        <f>+F305-G305</f>
        <v>2.3999999999999915</v>
      </c>
      <c r="I305" s="1">
        <f>+(F305^14)/((F305^14+G305^14))</f>
        <v>0.57484031607485653</v>
      </c>
      <c r="J305" s="2">
        <v>114.7</v>
      </c>
      <c r="K305" s="2">
        <v>112.1</v>
      </c>
      <c r="L305" s="2">
        <f>+J305-K305</f>
        <v>2.6000000000000085</v>
      </c>
      <c r="M305" s="1">
        <f>+E305-I305</f>
        <v>1.0525537583680022E-2</v>
      </c>
      <c r="N305" s="2">
        <v>106.4</v>
      </c>
      <c r="O305" s="2">
        <v>111.1</v>
      </c>
      <c r="P305" s="2">
        <f t="shared" si="4"/>
        <v>-4.6999999999999886</v>
      </c>
      <c r="Q305">
        <v>0.3</v>
      </c>
    </row>
    <row r="306" spans="1:17">
      <c r="A306" t="s">
        <v>44</v>
      </c>
      <c r="B306" t="s">
        <v>8</v>
      </c>
      <c r="C306">
        <v>33</v>
      </c>
      <c r="D306">
        <v>49</v>
      </c>
      <c r="E306" s="1">
        <f>+C306/(C306+D306)</f>
        <v>0.40243902439024393</v>
      </c>
      <c r="F306" s="2">
        <v>97.3</v>
      </c>
      <c r="G306" s="2">
        <v>100.4</v>
      </c>
      <c r="H306" s="2">
        <f>+F306-G306</f>
        <v>-3.1000000000000085</v>
      </c>
      <c r="I306" s="1">
        <f>+(F306^14)/((F306^14+G306^14))</f>
        <v>0.39195900440907944</v>
      </c>
      <c r="J306" s="2">
        <v>102.9</v>
      </c>
      <c r="K306" s="2">
        <v>106</v>
      </c>
      <c r="L306" s="2">
        <f>+J306-K306</f>
        <v>-3.0999999999999943</v>
      </c>
      <c r="M306" s="1">
        <f>+E306-I306</f>
        <v>1.048001998116449E-2</v>
      </c>
      <c r="N306" s="2">
        <v>90</v>
      </c>
      <c r="O306" s="2">
        <v>116</v>
      </c>
      <c r="P306" s="2">
        <f t="shared" si="4"/>
        <v>-26</v>
      </c>
      <c r="Q306">
        <v>-1.5</v>
      </c>
    </row>
    <row r="307" spans="1:17">
      <c r="A307" t="s">
        <v>36</v>
      </c>
      <c r="B307" t="s">
        <v>26</v>
      </c>
      <c r="C307">
        <v>50</v>
      </c>
      <c r="D307">
        <v>32</v>
      </c>
      <c r="E307" s="1">
        <f>+C307/(C307+D307)</f>
        <v>0.6097560975609756</v>
      </c>
      <c r="F307" s="2">
        <v>95.2</v>
      </c>
      <c r="G307" s="2">
        <v>92.5</v>
      </c>
      <c r="H307" s="2">
        <f>+F307-G307</f>
        <v>2.7000000000000028</v>
      </c>
      <c r="I307" s="1">
        <f>+(F307^14)/((F307^14+G307^14))</f>
        <v>0.59935976254287349</v>
      </c>
      <c r="J307" s="2">
        <v>104.2</v>
      </c>
      <c r="K307" s="2">
        <v>101.5</v>
      </c>
      <c r="L307" s="2">
        <f>+J307-K307</f>
        <v>2.7000000000000028</v>
      </c>
      <c r="M307" s="1">
        <f>+E307-I307</f>
        <v>1.039633501810211E-2</v>
      </c>
      <c r="N307" s="2">
        <v>97.3</v>
      </c>
      <c r="O307" s="2">
        <v>98.3</v>
      </c>
      <c r="P307" s="2">
        <f t="shared" si="4"/>
        <v>-1</v>
      </c>
      <c r="Q307">
        <v>-1</v>
      </c>
    </row>
    <row r="308" spans="1:17">
      <c r="A308" t="s">
        <v>52</v>
      </c>
      <c r="B308" t="s">
        <v>14</v>
      </c>
      <c r="C308">
        <v>54</v>
      </c>
      <c r="D308">
        <v>28</v>
      </c>
      <c r="E308" s="1">
        <f>+C308/(C308+D308)</f>
        <v>0.65853658536585369</v>
      </c>
      <c r="F308" s="2">
        <v>107.7</v>
      </c>
      <c r="G308" s="2">
        <v>103.1</v>
      </c>
      <c r="H308" s="2">
        <f>+F308-G308</f>
        <v>4.6000000000000085</v>
      </c>
      <c r="I308" s="1">
        <f>+(F308^14)/((F308^14+G308^14))</f>
        <v>0.648192302705629</v>
      </c>
      <c r="J308" s="2">
        <v>109.8</v>
      </c>
      <c r="K308" s="2">
        <v>105.2</v>
      </c>
      <c r="L308" s="2">
        <f>+J308-K308</f>
        <v>4.5999999999999943</v>
      </c>
      <c r="M308" s="1">
        <f>+E308-I308</f>
        <v>1.0344282660224691E-2</v>
      </c>
      <c r="N308" s="2">
        <v>111.2</v>
      </c>
      <c r="O308" s="2">
        <v>96.1</v>
      </c>
      <c r="P308" s="2">
        <f t="shared" si="4"/>
        <v>15.100000000000009</v>
      </c>
      <c r="Q308">
        <v>-0.2</v>
      </c>
    </row>
    <row r="309" spans="1:17">
      <c r="A309" t="s">
        <v>52</v>
      </c>
      <c r="B309" t="s">
        <v>28</v>
      </c>
      <c r="C309">
        <v>62</v>
      </c>
      <c r="D309">
        <v>20</v>
      </c>
      <c r="E309" s="1">
        <f>+C309/(C309+D309)</f>
        <v>0.75609756097560976</v>
      </c>
      <c r="F309" s="2">
        <v>105.4</v>
      </c>
      <c r="G309" s="2">
        <v>97.6</v>
      </c>
      <c r="H309" s="2">
        <f>+F309-G309</f>
        <v>7.8000000000000114</v>
      </c>
      <c r="I309" s="1">
        <f>+(F309^14)/((F309^14+G309^14))</f>
        <v>0.74581059535578331</v>
      </c>
      <c r="J309" s="2">
        <v>109.5</v>
      </c>
      <c r="K309" s="2">
        <v>101.4</v>
      </c>
      <c r="L309" s="2">
        <f>+J309-K309</f>
        <v>8.0999999999999943</v>
      </c>
      <c r="M309" s="1">
        <f>+E309-I309</f>
        <v>1.0286965619826449E-2</v>
      </c>
      <c r="N309" s="2">
        <v>116.2</v>
      </c>
      <c r="O309" s="2">
        <v>103</v>
      </c>
      <c r="P309" s="2">
        <f t="shared" si="4"/>
        <v>13.200000000000003</v>
      </c>
      <c r="Q309">
        <v>2</v>
      </c>
    </row>
    <row r="310" spans="1:17">
      <c r="A310" t="s">
        <v>45</v>
      </c>
      <c r="B310" t="s">
        <v>8</v>
      </c>
      <c r="C310">
        <v>41</v>
      </c>
      <c r="D310">
        <v>41</v>
      </c>
      <c r="E310" s="1">
        <f>+C310/(C310+D310)</f>
        <v>0.5</v>
      </c>
      <c r="F310" s="2">
        <v>102.2</v>
      </c>
      <c r="G310" s="2">
        <v>102.5</v>
      </c>
      <c r="H310" s="2">
        <f>+F310-G310</f>
        <v>-0.29999999999999716</v>
      </c>
      <c r="I310" s="1">
        <f>+(F310^14)/((F310^14+G310^14))</f>
        <v>0.48974251653386769</v>
      </c>
      <c r="J310" s="2">
        <v>107.2</v>
      </c>
      <c r="K310" s="2">
        <v>107.5</v>
      </c>
      <c r="L310" s="2">
        <f>+J310-K310</f>
        <v>-0.29999999999999716</v>
      </c>
      <c r="M310" s="1">
        <f>+E310-I310</f>
        <v>1.0257483466132311E-2</v>
      </c>
      <c r="N310" s="2">
        <v>107.2</v>
      </c>
      <c r="O310" s="2">
        <v>104.5</v>
      </c>
      <c r="P310" s="2">
        <f t="shared" si="4"/>
        <v>2.7000000000000028</v>
      </c>
      <c r="Q310">
        <v>1.6</v>
      </c>
    </row>
    <row r="311" spans="1:17">
      <c r="A311" t="s">
        <v>48</v>
      </c>
      <c r="B311" t="s">
        <v>8</v>
      </c>
      <c r="C311">
        <v>62</v>
      </c>
      <c r="D311">
        <v>20</v>
      </c>
      <c r="E311" s="1">
        <f>+C311/(C311+D311)</f>
        <v>0.75609756097560976</v>
      </c>
      <c r="F311" s="2">
        <v>98.6</v>
      </c>
      <c r="G311" s="2">
        <v>91.3</v>
      </c>
      <c r="H311" s="2">
        <f>+F311-G311</f>
        <v>7.2999999999999972</v>
      </c>
      <c r="I311" s="1">
        <f>+(F311^14)/((F311^14+G311^14))</f>
        <v>0.7459043561062102</v>
      </c>
      <c r="J311" s="2">
        <v>107.2</v>
      </c>
      <c r="K311" s="2">
        <v>99.5</v>
      </c>
      <c r="L311" s="2">
        <f>+J311-K311</f>
        <v>7.7000000000000028</v>
      </c>
      <c r="M311" s="1">
        <f>+E311-I311</f>
        <v>1.0193204869399564E-2</v>
      </c>
      <c r="N311" s="2">
        <v>106.7</v>
      </c>
      <c r="O311" s="2">
        <v>88.9</v>
      </c>
      <c r="P311" s="2">
        <f t="shared" si="4"/>
        <v>17.799999999999997</v>
      </c>
      <c r="Q311">
        <v>2.2999999999999998</v>
      </c>
    </row>
    <row r="312" spans="1:17">
      <c r="A312" t="s">
        <v>59</v>
      </c>
      <c r="B312" t="s">
        <v>7</v>
      </c>
      <c r="C312">
        <v>39</v>
      </c>
      <c r="D312">
        <v>43</v>
      </c>
      <c r="E312" s="1">
        <f>+C312/(C312+D312)</f>
        <v>0.47560975609756095</v>
      </c>
      <c r="F312" s="2">
        <v>110.7</v>
      </c>
      <c r="G312" s="2">
        <v>111.8</v>
      </c>
      <c r="H312" s="2">
        <f>+F312-G312</f>
        <v>-1.0999999999999943</v>
      </c>
      <c r="I312" s="1">
        <f>+(F312^14)/((F312^14+G312^14))</f>
        <v>0.46544813340769592</v>
      </c>
      <c r="J312" s="2">
        <v>110.7</v>
      </c>
      <c r="K312" s="2">
        <v>112</v>
      </c>
      <c r="L312" s="2">
        <f>+J312-K312</f>
        <v>-1.2999999999999972</v>
      </c>
      <c r="M312" s="1">
        <f>+E312-I312</f>
        <v>1.0161622689865035E-2</v>
      </c>
      <c r="N312" s="2">
        <v>109.3</v>
      </c>
      <c r="O312" s="2">
        <v>111.2</v>
      </c>
      <c r="P312" s="2">
        <f t="shared" si="4"/>
        <v>-1.9000000000000057</v>
      </c>
      <c r="Q312">
        <v>-1.1000000000000001</v>
      </c>
    </row>
    <row r="313" spans="1:17">
      <c r="A313" t="s">
        <v>62</v>
      </c>
      <c r="B313" t="s">
        <v>12</v>
      </c>
      <c r="C313">
        <v>23</v>
      </c>
      <c r="D313">
        <v>59</v>
      </c>
      <c r="E313" s="1">
        <f>+C313/(C313+D313)</f>
        <v>0.28048780487804881</v>
      </c>
      <c r="F313" s="2">
        <v>104.8</v>
      </c>
      <c r="G313" s="2">
        <v>112.5</v>
      </c>
      <c r="H313" s="2">
        <f>+F313-G313</f>
        <v>-7.7000000000000028</v>
      </c>
      <c r="I313" s="1">
        <f>+(F313^14)/((F313^14+G313^14))</f>
        <v>0.27040035471369911</v>
      </c>
      <c r="J313" s="2">
        <v>105.6</v>
      </c>
      <c r="K313" s="2">
        <v>113.3</v>
      </c>
      <c r="L313" s="2">
        <f>+J313-K313</f>
        <v>-7.7000000000000028</v>
      </c>
      <c r="M313" s="1">
        <f>+E313-I313</f>
        <v>1.0087450164349698E-2</v>
      </c>
      <c r="N313" s="2">
        <v>94.1</v>
      </c>
      <c r="O313" s="2">
        <v>110.3</v>
      </c>
      <c r="P313" s="2">
        <f t="shared" si="4"/>
        <v>-16.200000000000003</v>
      </c>
      <c r="Q313">
        <v>-1.3</v>
      </c>
    </row>
    <row r="314" spans="1:17">
      <c r="A314" t="s">
        <v>55</v>
      </c>
      <c r="B314" t="s">
        <v>26</v>
      </c>
      <c r="C314">
        <v>44</v>
      </c>
      <c r="D314">
        <v>38</v>
      </c>
      <c r="E314" s="1">
        <f>+C314/(C314+D314)</f>
        <v>0.53658536585365857</v>
      </c>
      <c r="F314" s="2">
        <v>105.1</v>
      </c>
      <c r="G314" s="2">
        <v>104.3</v>
      </c>
      <c r="H314" s="2">
        <f>+F314-G314</f>
        <v>0.79999999999999716</v>
      </c>
      <c r="I314" s="1">
        <f>+(F314^14)/((F314^14+G314^14))</f>
        <v>0.52671773242887121</v>
      </c>
      <c r="J314" s="2">
        <v>107.6</v>
      </c>
      <c r="K314" s="2">
        <v>106.8</v>
      </c>
      <c r="L314" s="2">
        <f>+J314-K314</f>
        <v>0.79999999999999716</v>
      </c>
      <c r="M314" s="1">
        <f>+E314-I314</f>
        <v>9.8676334247873587E-3</v>
      </c>
      <c r="N314" s="2">
        <v>106.2</v>
      </c>
      <c r="O314" s="2">
        <v>108.1</v>
      </c>
      <c r="P314" s="2">
        <f t="shared" si="4"/>
        <v>-1.8999999999999915</v>
      </c>
      <c r="Q314">
        <v>-0.3</v>
      </c>
    </row>
    <row r="315" spans="1:17">
      <c r="A315" t="s">
        <v>59</v>
      </c>
      <c r="B315" t="s">
        <v>12</v>
      </c>
      <c r="C315">
        <v>41</v>
      </c>
      <c r="D315">
        <v>41</v>
      </c>
      <c r="E315" s="1">
        <f>+C315/(C315+D315)</f>
        <v>0.5</v>
      </c>
      <c r="F315" s="2">
        <v>107</v>
      </c>
      <c r="G315" s="2">
        <v>107.3</v>
      </c>
      <c r="H315" s="2">
        <f>+F315-G315</f>
        <v>-0.29999999999999716</v>
      </c>
      <c r="I315" s="1">
        <f>+(F315^14)/((F315^14+G315^14))</f>
        <v>0.4902019013698185</v>
      </c>
      <c r="J315" s="2">
        <v>108.4</v>
      </c>
      <c r="K315" s="2">
        <v>108.7</v>
      </c>
      <c r="L315" s="2">
        <f>+J315-K315</f>
        <v>-0.29999999999999716</v>
      </c>
      <c r="M315" s="1">
        <f>+E315-I315</f>
        <v>9.7980986301814954E-3</v>
      </c>
      <c r="N315" s="2">
        <v>111.9</v>
      </c>
      <c r="O315" s="2">
        <v>114</v>
      </c>
      <c r="P315" s="2">
        <f t="shared" si="4"/>
        <v>-2.0999999999999943</v>
      </c>
      <c r="Q315">
        <v>1.1000000000000001</v>
      </c>
    </row>
    <row r="316" spans="1:17">
      <c r="A316" t="s">
        <v>63</v>
      </c>
      <c r="B316" t="s">
        <v>27</v>
      </c>
      <c r="C316">
        <v>48</v>
      </c>
      <c r="D316">
        <v>34</v>
      </c>
      <c r="E316" s="1">
        <f>+C316/(C316+D316)</f>
        <v>0.58536585365853655</v>
      </c>
      <c r="F316" s="2">
        <v>120.7</v>
      </c>
      <c r="G316" s="2">
        <v>118.1</v>
      </c>
      <c r="H316" s="2">
        <f>+F316-G316</f>
        <v>2.6000000000000085</v>
      </c>
      <c r="I316" s="1">
        <f>+(F316^14)/((F316^14+G316^14))</f>
        <v>0.57563251403873306</v>
      </c>
      <c r="J316" s="2">
        <v>118.6</v>
      </c>
      <c r="K316" s="2">
        <v>116</v>
      </c>
      <c r="L316" s="2">
        <f>+J316-K316</f>
        <v>2.5999999999999943</v>
      </c>
      <c r="M316" s="1">
        <f>+E316-I316</f>
        <v>9.7333396198034938E-3</v>
      </c>
      <c r="N316" s="2">
        <v>129.19999999999999</v>
      </c>
      <c r="O316" s="2">
        <v>116.8</v>
      </c>
      <c r="P316" s="2">
        <f t="shared" si="4"/>
        <v>12.399999999999991</v>
      </c>
      <c r="Q316">
        <v>0.9</v>
      </c>
    </row>
    <row r="317" spans="1:17">
      <c r="A317" t="s">
        <v>44</v>
      </c>
      <c r="B317" t="s">
        <v>28</v>
      </c>
      <c r="C317">
        <v>56</v>
      </c>
      <c r="D317">
        <v>26</v>
      </c>
      <c r="E317" s="1">
        <f>+C317/(C317+D317)</f>
        <v>0.68292682926829273</v>
      </c>
      <c r="F317" s="2">
        <v>95.4</v>
      </c>
      <c r="G317" s="2">
        <v>90.6</v>
      </c>
      <c r="H317" s="2">
        <f>+F317-G317</f>
        <v>4.8000000000000114</v>
      </c>
      <c r="I317" s="1">
        <f>+(F317^14)/((F317^14+G317^14))</f>
        <v>0.6732103435940866</v>
      </c>
      <c r="J317" s="2">
        <v>106</v>
      </c>
      <c r="K317" s="2">
        <v>100.7</v>
      </c>
      <c r="L317" s="2">
        <f>+J317-K317</f>
        <v>5.2999999999999972</v>
      </c>
      <c r="M317" s="1">
        <f>+E317-I317</f>
        <v>9.7164856742061323E-3</v>
      </c>
      <c r="N317" s="2">
        <v>110.6</v>
      </c>
      <c r="O317" s="2">
        <v>100.4</v>
      </c>
      <c r="P317" s="2">
        <f t="shared" si="4"/>
        <v>10.199999999999989</v>
      </c>
      <c r="Q317">
        <v>1</v>
      </c>
    </row>
    <row r="318" spans="1:17">
      <c r="A318" t="s">
        <v>50</v>
      </c>
      <c r="B318" t="s">
        <v>22</v>
      </c>
      <c r="C318">
        <v>54</v>
      </c>
      <c r="D318">
        <v>28</v>
      </c>
      <c r="E318" s="1">
        <f>+C318/(C318+D318)</f>
        <v>0.65853658536585369</v>
      </c>
      <c r="F318" s="2">
        <v>100</v>
      </c>
      <c r="G318" s="2">
        <v>95.7</v>
      </c>
      <c r="H318" s="2">
        <f>+F318-G318</f>
        <v>4.2999999999999972</v>
      </c>
      <c r="I318" s="1">
        <f>+(F318^14)/((F318^14+G318^14))</f>
        <v>0.64915487217242029</v>
      </c>
      <c r="J318" s="2">
        <v>109.8</v>
      </c>
      <c r="K318" s="2">
        <v>105.4</v>
      </c>
      <c r="L318" s="2">
        <f>+J318-K318</f>
        <v>4.3999999999999915</v>
      </c>
      <c r="M318" s="1">
        <f>+E318-I318</f>
        <v>9.3817131934333942E-3</v>
      </c>
      <c r="N318" s="2">
        <v>94.7</v>
      </c>
      <c r="O318" s="2">
        <v>88.8</v>
      </c>
      <c r="P318" s="2">
        <f t="shared" si="4"/>
        <v>5.9000000000000057</v>
      </c>
      <c r="Q318">
        <v>2.1</v>
      </c>
    </row>
    <row r="319" spans="1:17">
      <c r="A319" t="s">
        <v>45</v>
      </c>
      <c r="B319" t="s">
        <v>6</v>
      </c>
      <c r="C319">
        <v>62</v>
      </c>
      <c r="D319">
        <v>20</v>
      </c>
      <c r="E319" s="1">
        <f>+C319/(C319+D319)</f>
        <v>0.75609756097560976</v>
      </c>
      <c r="F319" s="2">
        <v>100.9</v>
      </c>
      <c r="G319" s="2">
        <v>93.4</v>
      </c>
      <c r="H319" s="2">
        <f>+F319-G319</f>
        <v>7.5</v>
      </c>
      <c r="I319" s="1">
        <f>+(F319^14)/((F319^14+G319^14))</f>
        <v>0.74674751044772081</v>
      </c>
      <c r="J319" s="2">
        <v>109.5</v>
      </c>
      <c r="K319" s="2">
        <v>101.6</v>
      </c>
      <c r="L319" s="2">
        <f>+J319-K319</f>
        <v>7.9000000000000057</v>
      </c>
      <c r="M319" s="1">
        <f>+E319-I319</f>
        <v>9.3500505278889534E-3</v>
      </c>
      <c r="N319" s="2">
        <v>113.7</v>
      </c>
      <c r="O319" s="2">
        <v>101.4</v>
      </c>
      <c r="P319" s="2">
        <f t="shared" si="4"/>
        <v>12.299999999999997</v>
      </c>
      <c r="Q319">
        <v>0.5</v>
      </c>
    </row>
    <row r="320" spans="1:17">
      <c r="A320" t="s">
        <v>36</v>
      </c>
      <c r="B320" t="s">
        <v>9</v>
      </c>
      <c r="C320">
        <v>17</v>
      </c>
      <c r="D320">
        <v>65</v>
      </c>
      <c r="E320" s="1">
        <f>+C320/(C320+D320)</f>
        <v>0.2073170731707317</v>
      </c>
      <c r="F320" s="2">
        <v>91.4</v>
      </c>
      <c r="G320" s="2">
        <v>101</v>
      </c>
      <c r="H320" s="2">
        <f>+F320-G320</f>
        <v>-9.5999999999999943</v>
      </c>
      <c r="I320" s="1">
        <f>+(F320^14)/((F320^14+G320^14))</f>
        <v>0.19809387151453933</v>
      </c>
      <c r="J320" s="2">
        <v>95.2</v>
      </c>
      <c r="K320" s="2">
        <v>105.1</v>
      </c>
      <c r="L320" s="2">
        <f>+J320-K320</f>
        <v>-9.8999999999999915</v>
      </c>
      <c r="M320" s="1">
        <f>+E320-I320</f>
        <v>9.2232016561923647E-3</v>
      </c>
      <c r="N320" s="2">
        <v>86.6</v>
      </c>
      <c r="O320" s="2">
        <v>96.1</v>
      </c>
      <c r="P320" s="2">
        <f t="shared" si="4"/>
        <v>-9.5</v>
      </c>
      <c r="Q320">
        <v>-0.2</v>
      </c>
    </row>
    <row r="321" spans="1:17">
      <c r="A321" t="s">
        <v>59</v>
      </c>
      <c r="B321" t="s">
        <v>27</v>
      </c>
      <c r="C321">
        <v>39</v>
      </c>
      <c r="D321">
        <v>43</v>
      </c>
      <c r="E321" s="1">
        <f>+C321/(C321+D321)</f>
        <v>0.47560975609756095</v>
      </c>
      <c r="F321" s="2">
        <v>114.2</v>
      </c>
      <c r="G321" s="2">
        <v>115.3</v>
      </c>
      <c r="H321" s="2">
        <f>+F321-G321</f>
        <v>-1.0999999999999943</v>
      </c>
      <c r="I321" s="1">
        <f>+(F321^14)/((F321^14+G321^14))</f>
        <v>0.466498812781387</v>
      </c>
      <c r="J321" s="2">
        <v>109.6</v>
      </c>
      <c r="K321" s="2">
        <v>110.8</v>
      </c>
      <c r="L321" s="2">
        <f>+J321-K321</f>
        <v>-1.2000000000000028</v>
      </c>
      <c r="M321" s="1">
        <f>+E321-I321</f>
        <v>9.1109433161739584E-3</v>
      </c>
      <c r="N321" s="2">
        <v>106.1</v>
      </c>
      <c r="O321" s="2">
        <v>107.2</v>
      </c>
      <c r="P321" s="2">
        <f t="shared" si="4"/>
        <v>-1.1000000000000085</v>
      </c>
      <c r="Q321">
        <v>-0.2</v>
      </c>
    </row>
    <row r="322" spans="1:17">
      <c r="A322" t="s">
        <v>49</v>
      </c>
      <c r="B322" t="s">
        <v>10</v>
      </c>
      <c r="C322">
        <v>36</v>
      </c>
      <c r="D322">
        <v>30</v>
      </c>
      <c r="E322" s="1">
        <f>+C322/(C322+D322)</f>
        <v>0.54545454545454541</v>
      </c>
      <c r="F322" s="2">
        <v>95.8</v>
      </c>
      <c r="G322" s="2">
        <v>94.8</v>
      </c>
      <c r="H322" s="2">
        <f>+F322-G322</f>
        <v>1</v>
      </c>
      <c r="I322" s="1">
        <f>+(F322^14)/((F322^14+G322^14))</f>
        <v>0.53666055673861812</v>
      </c>
      <c r="J322" s="2">
        <v>102.1</v>
      </c>
      <c r="K322" s="2">
        <v>100.9</v>
      </c>
      <c r="L322" s="2">
        <f>+J322-K322</f>
        <v>1.1999999999999886</v>
      </c>
      <c r="M322" s="1">
        <f>+E322-I322</f>
        <v>8.7939887159272923E-3</v>
      </c>
      <c r="N322" s="2">
        <v>101</v>
      </c>
      <c r="O322" s="2">
        <v>98.7</v>
      </c>
      <c r="P322" s="2">
        <f t="shared" si="4"/>
        <v>2.2999999999999972</v>
      </c>
      <c r="Q322">
        <v>-0.6</v>
      </c>
    </row>
    <row r="323" spans="1:17">
      <c r="A323" t="s">
        <v>36</v>
      </c>
      <c r="B323" t="s">
        <v>23</v>
      </c>
      <c r="C323">
        <v>42</v>
      </c>
      <c r="D323">
        <v>40</v>
      </c>
      <c r="E323" s="1">
        <f>+C323/(C323+D323)</f>
        <v>0.51219512195121952</v>
      </c>
      <c r="F323" s="2">
        <v>98.5</v>
      </c>
      <c r="G323" s="2">
        <v>98.4</v>
      </c>
      <c r="H323" s="2">
        <f>+F323-G323</f>
        <v>9.9999999999994316E-2</v>
      </c>
      <c r="I323" s="1">
        <f>+(F323^14)/((F323^14+G323^14))</f>
        <v>0.5035550445111181</v>
      </c>
      <c r="J323" s="2">
        <v>103.7</v>
      </c>
      <c r="K323" s="2">
        <v>103.7</v>
      </c>
      <c r="L323" s="2">
        <f>+J323-K323</f>
        <v>0</v>
      </c>
      <c r="M323" s="1">
        <f>+E323-I323</f>
        <v>8.6400774401014235E-3</v>
      </c>
      <c r="N323" s="2">
        <v>95.9</v>
      </c>
      <c r="O323" s="2">
        <v>94.6</v>
      </c>
      <c r="P323" s="2">
        <f t="shared" si="4"/>
        <v>1.3000000000000114</v>
      </c>
      <c r="Q323">
        <v>-1</v>
      </c>
    </row>
    <row r="324" spans="1:17">
      <c r="A324" t="s">
        <v>52</v>
      </c>
      <c r="B324" t="s">
        <v>11</v>
      </c>
      <c r="C324">
        <v>36</v>
      </c>
      <c r="D324">
        <v>46</v>
      </c>
      <c r="E324" s="1">
        <f>+C324/(C324+D324)</f>
        <v>0.43902439024390244</v>
      </c>
      <c r="F324" s="2">
        <v>104.4</v>
      </c>
      <c r="G324" s="2">
        <v>106.5</v>
      </c>
      <c r="H324" s="2">
        <f>+F324-G324</f>
        <v>-2.0999999999999943</v>
      </c>
      <c r="I324" s="1">
        <f>+(F324^14)/((F324^14+G324^14))</f>
        <v>0.43074448136951871</v>
      </c>
      <c r="J324" s="2">
        <v>105.1</v>
      </c>
      <c r="K324" s="2">
        <v>107.3</v>
      </c>
      <c r="L324" s="2">
        <f>+J324-K324</f>
        <v>-2.2000000000000028</v>
      </c>
      <c r="M324" s="1">
        <f>+E324-I324</f>
        <v>8.2799088743837346E-3</v>
      </c>
      <c r="N324" s="2">
        <v>98.8</v>
      </c>
      <c r="O324" s="2">
        <v>105.6</v>
      </c>
      <c r="P324" s="2">
        <f t="shared" si="4"/>
        <v>-6.7999999999999972</v>
      </c>
      <c r="Q324">
        <v>-0.5</v>
      </c>
    </row>
    <row r="325" spans="1:17">
      <c r="A325" t="s">
        <v>49</v>
      </c>
      <c r="B325" t="s">
        <v>14</v>
      </c>
      <c r="C325">
        <v>34</v>
      </c>
      <c r="D325">
        <v>32</v>
      </c>
      <c r="E325" s="1">
        <f>+C325/(C325+D325)</f>
        <v>0.51515151515151514</v>
      </c>
      <c r="F325" s="2">
        <v>98.1</v>
      </c>
      <c r="G325" s="2">
        <v>97.9</v>
      </c>
      <c r="H325" s="2">
        <f>+F325-G325</f>
        <v>0.19999999999998863</v>
      </c>
      <c r="I325" s="1">
        <f>+(F325^14)/((F325^14+G325^14))</f>
        <v>0.5071423737524916</v>
      </c>
      <c r="J325" s="2">
        <v>104.2</v>
      </c>
      <c r="K325" s="2">
        <v>104</v>
      </c>
      <c r="L325" s="2">
        <f>+J325-K325</f>
        <v>0.20000000000000284</v>
      </c>
      <c r="M325" s="1">
        <f>+E325-I325</f>
        <v>8.0091413990235338E-3</v>
      </c>
      <c r="N325" s="2">
        <v>104.5</v>
      </c>
      <c r="O325" s="2">
        <v>97.9</v>
      </c>
      <c r="P325" s="2">
        <f t="shared" si="4"/>
        <v>6.5999999999999943</v>
      </c>
      <c r="Q325">
        <v>-0.5</v>
      </c>
    </row>
    <row r="326" spans="1:17">
      <c r="A326" t="s">
        <v>38</v>
      </c>
      <c r="B326" t="s">
        <v>5</v>
      </c>
      <c r="C326">
        <v>28</v>
      </c>
      <c r="D326">
        <v>54</v>
      </c>
      <c r="E326" s="1">
        <f>+C326/(C326+D326)</f>
        <v>0.34146341463414637</v>
      </c>
      <c r="F326" s="2">
        <v>92.8</v>
      </c>
      <c r="G326" s="2">
        <v>97.5</v>
      </c>
      <c r="H326" s="2">
        <f>+F326-G326</f>
        <v>-4.7000000000000028</v>
      </c>
      <c r="I326" s="1">
        <f>+(F326^14)/((F326^14+G326^14))</f>
        <v>0.33365937867276591</v>
      </c>
      <c r="J326" s="2">
        <v>99.1</v>
      </c>
      <c r="K326" s="2">
        <v>103.9</v>
      </c>
      <c r="L326" s="2">
        <f>+J326-K326</f>
        <v>-4.8000000000000114</v>
      </c>
      <c r="M326" s="1">
        <f>+E326-I326</f>
        <v>7.8040359613804622E-3</v>
      </c>
      <c r="N326" s="2">
        <v>89.9</v>
      </c>
      <c r="O326" s="2">
        <v>106.7</v>
      </c>
      <c r="P326" s="2">
        <f t="shared" si="4"/>
        <v>-16.799999999999997</v>
      </c>
      <c r="Q326">
        <v>-1.9</v>
      </c>
    </row>
    <row r="327" spans="1:17">
      <c r="A327" t="s">
        <v>49</v>
      </c>
      <c r="B327" t="s">
        <v>46</v>
      </c>
      <c r="C327">
        <v>47</v>
      </c>
      <c r="D327">
        <v>19</v>
      </c>
      <c r="E327" s="1">
        <f>+C327/(C327+D327)</f>
        <v>0.71212121212121215</v>
      </c>
      <c r="F327" s="2">
        <v>103.1</v>
      </c>
      <c r="G327" s="2">
        <v>96.9</v>
      </c>
      <c r="H327" s="2">
        <f>+F327-G327</f>
        <v>6.1999999999999886</v>
      </c>
      <c r="I327" s="1">
        <f>+(F327^14)/((F327^14+G327^14))</f>
        <v>0.70438730300910357</v>
      </c>
      <c r="J327" s="2">
        <v>108.4</v>
      </c>
      <c r="K327" s="2">
        <v>102.1</v>
      </c>
      <c r="L327" s="2">
        <f>+J327-K327</f>
        <v>6.3000000000000114</v>
      </c>
      <c r="M327" s="1">
        <f>+E327-I327</f>
        <v>7.7339091121085835E-3</v>
      </c>
      <c r="N327" s="2">
        <v>103.4</v>
      </c>
      <c r="O327" s="2">
        <v>97.9</v>
      </c>
      <c r="P327" s="2">
        <f t="shared" si="4"/>
        <v>5.5</v>
      </c>
      <c r="Q327">
        <v>0.1</v>
      </c>
    </row>
    <row r="328" spans="1:17">
      <c r="A328" t="s">
        <v>66</v>
      </c>
      <c r="B328" t="s">
        <v>27</v>
      </c>
      <c r="C328">
        <v>14</v>
      </c>
      <c r="D328">
        <v>50</v>
      </c>
      <c r="E328" s="1">
        <f>+C328/(C328+D328)</f>
        <v>0.21875</v>
      </c>
      <c r="F328" s="2">
        <v>110.4</v>
      </c>
      <c r="G328" s="2">
        <v>121.3</v>
      </c>
      <c r="H328" s="2">
        <f>+F328-G328</f>
        <v>-10.899999999999991</v>
      </c>
      <c r="I328" s="1">
        <f>+(F328^14)/((F328^14+G328^14))</f>
        <v>0.21111899676961832</v>
      </c>
      <c r="J328" s="2">
        <v>109.6</v>
      </c>
      <c r="K328" s="2">
        <v>120.2</v>
      </c>
      <c r="L328" s="2">
        <f>+J328-K328</f>
        <v>-10.600000000000009</v>
      </c>
      <c r="M328" s="1">
        <f>+E328-I328</f>
        <v>7.6310032303816833E-3</v>
      </c>
      <c r="N328" s="2">
        <v>103.5</v>
      </c>
      <c r="O328" s="2">
        <v>115.8</v>
      </c>
      <c r="P328" s="2">
        <f t="shared" si="4"/>
        <v>-12.299999999999997</v>
      </c>
      <c r="Q328" s="2">
        <v>-3.1</v>
      </c>
    </row>
    <row r="329" spans="1:17">
      <c r="A329" t="s">
        <v>4</v>
      </c>
      <c r="B329" t="s">
        <v>15</v>
      </c>
      <c r="C329">
        <v>41</v>
      </c>
      <c r="D329">
        <v>41</v>
      </c>
      <c r="E329" s="1">
        <f>+C329/(C329+D329)</f>
        <v>0.5</v>
      </c>
      <c r="F329" s="2">
        <v>92.6</v>
      </c>
      <c r="G329" s="2">
        <v>92.8</v>
      </c>
      <c r="H329" s="2">
        <f>+F329-G329</f>
        <v>-0.20000000000000284</v>
      </c>
      <c r="I329" s="1">
        <f>+(F329^14)/((F329^14+G329^14))</f>
        <v>0.49244933056629364</v>
      </c>
      <c r="J329" s="2">
        <v>100.3</v>
      </c>
      <c r="K329" s="2">
        <v>100.5</v>
      </c>
      <c r="L329" s="2">
        <f>+J329-K329</f>
        <v>-0.20000000000000284</v>
      </c>
      <c r="M329" s="1">
        <f>+E329-I329</f>
        <v>7.5506694337063585E-3</v>
      </c>
      <c r="N329" s="2">
        <v>93.1</v>
      </c>
      <c r="O329" s="2">
        <v>92.3</v>
      </c>
      <c r="P329" s="2">
        <f t="shared" si="4"/>
        <v>0.79999999999999716</v>
      </c>
      <c r="Q329">
        <v>0</v>
      </c>
    </row>
    <row r="330" spans="1:17">
      <c r="A330" t="s">
        <v>50</v>
      </c>
      <c r="B330" t="s">
        <v>17</v>
      </c>
      <c r="C330">
        <v>45</v>
      </c>
      <c r="D330">
        <v>37</v>
      </c>
      <c r="E330" s="1">
        <f>+C330/(C330+D330)</f>
        <v>0.54878048780487809</v>
      </c>
      <c r="F330" s="2">
        <v>102.2</v>
      </c>
      <c r="G330" s="2">
        <v>101</v>
      </c>
      <c r="H330" s="2">
        <f>+F330-G330</f>
        <v>1.2000000000000028</v>
      </c>
      <c r="I330" s="1">
        <f>+(F330^14)/((F330^14+G330^14))</f>
        <v>0.54124512665476499</v>
      </c>
      <c r="J330" s="2">
        <v>107</v>
      </c>
      <c r="K330" s="2">
        <v>105.9</v>
      </c>
      <c r="L330" s="2">
        <f>+J330-K330</f>
        <v>1.0999999999999943</v>
      </c>
      <c r="M330" s="1">
        <f>+E330-I330</f>
        <v>7.5353611501131068E-3</v>
      </c>
      <c r="N330" s="2">
        <v>104.3</v>
      </c>
      <c r="O330" s="2">
        <v>91.6</v>
      </c>
      <c r="P330" s="2">
        <f t="shared" ref="P330:P393" si="5">+N330-O330</f>
        <v>12.700000000000003</v>
      </c>
      <c r="Q330">
        <v>1.4</v>
      </c>
    </row>
    <row r="331" spans="1:17">
      <c r="A331" t="s">
        <v>65</v>
      </c>
      <c r="B331" t="s">
        <v>19</v>
      </c>
      <c r="C331">
        <v>47</v>
      </c>
      <c r="D331">
        <v>34</v>
      </c>
      <c r="E331" s="1">
        <f>+C331/(C331+D331)</f>
        <v>0.58024691358024694</v>
      </c>
      <c r="F331" s="2">
        <v>115.6</v>
      </c>
      <c r="G331" s="2">
        <v>113.2</v>
      </c>
      <c r="H331" s="2">
        <f>+F331-G331</f>
        <v>2.3999999999999915</v>
      </c>
      <c r="I331" s="1">
        <f>+(F331^14)/((F331^14+G331^14))</f>
        <v>0.57290588785941787</v>
      </c>
      <c r="J331" s="2">
        <v>115.3</v>
      </c>
      <c r="K331" s="2">
        <v>112.9</v>
      </c>
      <c r="L331" s="2">
        <f>+J331-K331</f>
        <v>2.3999999999999915</v>
      </c>
      <c r="M331" s="1">
        <f>+E331-I331</f>
        <v>7.3410257208290641E-3</v>
      </c>
      <c r="N331" s="2">
        <v>102.5</v>
      </c>
      <c r="O331" s="2">
        <v>95</v>
      </c>
      <c r="P331" s="2">
        <f t="shared" si="5"/>
        <v>7.5</v>
      </c>
      <c r="Q331">
        <v>0.2</v>
      </c>
    </row>
    <row r="332" spans="1:17">
      <c r="A332" t="s">
        <v>62</v>
      </c>
      <c r="B332" t="s">
        <v>18</v>
      </c>
      <c r="C332">
        <v>53</v>
      </c>
      <c r="D332">
        <v>29</v>
      </c>
      <c r="E332" s="1">
        <f>+C332/(C332+D332)</f>
        <v>0.64634146341463417</v>
      </c>
      <c r="F332" s="2">
        <v>110</v>
      </c>
      <c r="G332" s="2">
        <v>105.6</v>
      </c>
      <c r="H332" s="2">
        <f>+F332-G332</f>
        <v>4.4000000000000057</v>
      </c>
      <c r="I332" s="1">
        <f>+(F332^14)/((F332^14+G332^14))</f>
        <v>0.63911104772076754</v>
      </c>
      <c r="J332" s="2">
        <v>113</v>
      </c>
      <c r="K332" s="2">
        <v>108.4</v>
      </c>
      <c r="L332" s="2">
        <f>+J332-K332</f>
        <v>4.5999999999999943</v>
      </c>
      <c r="M332" s="1">
        <f>+E332-I332</f>
        <v>7.2304156938666209E-3</v>
      </c>
      <c r="N332" s="2">
        <v>100.4</v>
      </c>
      <c r="O332" s="2">
        <v>99.2</v>
      </c>
      <c r="P332" s="2">
        <f t="shared" si="5"/>
        <v>1.2000000000000028</v>
      </c>
      <c r="Q332">
        <v>0.4</v>
      </c>
    </row>
    <row r="333" spans="1:17">
      <c r="A333" t="s">
        <v>34</v>
      </c>
      <c r="B333" t="s">
        <v>19</v>
      </c>
      <c r="C333">
        <v>41</v>
      </c>
      <c r="D333">
        <v>41</v>
      </c>
      <c r="E333" s="1">
        <f>+C333/(C333+D333)</f>
        <v>0.5</v>
      </c>
      <c r="F333" s="2">
        <v>97.5</v>
      </c>
      <c r="G333" s="2">
        <v>97.7</v>
      </c>
      <c r="H333" s="2">
        <f>+F333-G333</f>
        <v>-0.20000000000000284</v>
      </c>
      <c r="I333" s="1">
        <f>+(F333^14)/((F333^14+G333^14))</f>
        <v>0.49282835821021359</v>
      </c>
      <c r="J333" s="2">
        <v>105.3</v>
      </c>
      <c r="K333" s="2">
        <v>105.6</v>
      </c>
      <c r="L333" s="2">
        <f>+J333-K333</f>
        <v>-0.29999999999999716</v>
      </c>
      <c r="M333" s="1">
        <f>+E333-I333</f>
        <v>7.1716417897864093E-3</v>
      </c>
      <c r="N333" s="2">
        <v>107.5</v>
      </c>
      <c r="O333" s="2">
        <v>100.2</v>
      </c>
      <c r="P333" s="2">
        <f t="shared" si="5"/>
        <v>7.2999999999999972</v>
      </c>
      <c r="Q333">
        <v>0.4</v>
      </c>
    </row>
    <row r="334" spans="1:17">
      <c r="A334" t="s">
        <v>49</v>
      </c>
      <c r="B334" t="s">
        <v>25</v>
      </c>
      <c r="C334">
        <v>33</v>
      </c>
      <c r="D334">
        <v>33</v>
      </c>
      <c r="E334" s="1">
        <f>+C334/(C334+D334)</f>
        <v>0.5</v>
      </c>
      <c r="F334" s="2">
        <v>98.4</v>
      </c>
      <c r="G334" s="2">
        <v>98.6</v>
      </c>
      <c r="H334" s="2">
        <f>+F334-G334</f>
        <v>-0.19999999999998863</v>
      </c>
      <c r="I334" s="1">
        <f>+(F334^14)/((F334^14+G334^14))</f>
        <v>0.49289387708201343</v>
      </c>
      <c r="J334" s="2">
        <v>105.2</v>
      </c>
      <c r="K334" s="2">
        <v>105.2</v>
      </c>
      <c r="L334" s="2">
        <f>+J334-K334</f>
        <v>0</v>
      </c>
      <c r="M334" s="1">
        <f>+E334-I334</f>
        <v>7.1061229179865681E-3</v>
      </c>
      <c r="N334" s="2">
        <v>100</v>
      </c>
      <c r="O334" s="2">
        <v>114.4</v>
      </c>
      <c r="P334" s="2">
        <f t="shared" si="5"/>
        <v>-14.400000000000006</v>
      </c>
      <c r="Q334">
        <v>0</v>
      </c>
    </row>
    <row r="335" spans="1:17">
      <c r="A335" t="s">
        <v>45</v>
      </c>
      <c r="B335" t="s">
        <v>16</v>
      </c>
      <c r="C335">
        <v>19</v>
      </c>
      <c r="D335">
        <v>63</v>
      </c>
      <c r="E335" s="1">
        <f>+C335/(C335+D335)</f>
        <v>0.23170731707317074</v>
      </c>
      <c r="F335" s="2">
        <v>95.1</v>
      </c>
      <c r="G335" s="2">
        <v>103.9</v>
      </c>
      <c r="H335" s="2">
        <f>+F335-G335</f>
        <v>-8.8000000000000114</v>
      </c>
      <c r="I335" s="1">
        <f>+(F335^14)/((F335^14+G335^14))</f>
        <v>0.22461027237292155</v>
      </c>
      <c r="J335" s="2">
        <v>101</v>
      </c>
      <c r="K335" s="2">
        <v>110.1</v>
      </c>
      <c r="L335" s="2">
        <f>+J335-K335</f>
        <v>-9.0999999999999943</v>
      </c>
      <c r="M335" s="1">
        <f>+E335-I335</f>
        <v>7.0970447002491888E-3</v>
      </c>
      <c r="N335" s="2">
        <v>92.9</v>
      </c>
      <c r="O335" s="2">
        <v>113.7</v>
      </c>
      <c r="P335" s="2">
        <f t="shared" si="5"/>
        <v>-20.799999999999997</v>
      </c>
      <c r="Q335">
        <v>-2.2000000000000002</v>
      </c>
    </row>
    <row r="336" spans="1:17">
      <c r="A336" t="s">
        <v>52</v>
      </c>
      <c r="B336" t="s">
        <v>53</v>
      </c>
      <c r="C336">
        <v>34</v>
      </c>
      <c r="D336">
        <v>48</v>
      </c>
      <c r="E336" s="1">
        <f>+C336/(C336+D336)</f>
        <v>0.41463414634146339</v>
      </c>
      <c r="F336" s="2">
        <v>99.7</v>
      </c>
      <c r="G336" s="2">
        <v>102.4</v>
      </c>
      <c r="H336" s="2">
        <f>+F336-G336</f>
        <v>-2.7000000000000028</v>
      </c>
      <c r="I336" s="1">
        <f>+(F336^14)/((F336^14+G336^14))</f>
        <v>0.40755201801637742</v>
      </c>
      <c r="J336" s="2">
        <v>106.2</v>
      </c>
      <c r="K336" s="2">
        <v>109.1</v>
      </c>
      <c r="L336" s="2">
        <f>+J336-K336</f>
        <v>-2.8999999999999915</v>
      </c>
      <c r="M336" s="1">
        <f>+E336-I336</f>
        <v>7.082128325085979E-3</v>
      </c>
      <c r="N336" s="2">
        <v>103.6</v>
      </c>
      <c r="O336" s="2">
        <v>105.4</v>
      </c>
      <c r="P336" s="2">
        <f t="shared" si="5"/>
        <v>-1.8000000000000114</v>
      </c>
      <c r="Q336">
        <v>-0.2</v>
      </c>
    </row>
    <row r="337" spans="1:17">
      <c r="A337" t="s">
        <v>64</v>
      </c>
      <c r="B337" t="s">
        <v>25</v>
      </c>
      <c r="C337">
        <v>49</v>
      </c>
      <c r="D337">
        <v>33</v>
      </c>
      <c r="E337" s="1">
        <f>+C337/(C337+D337)</f>
        <v>0.59756097560975607</v>
      </c>
      <c r="F337" s="2">
        <v>116.2</v>
      </c>
      <c r="G337" s="2">
        <v>113.2</v>
      </c>
      <c r="H337" s="2">
        <f>+F337-G337</f>
        <v>3</v>
      </c>
      <c r="I337" s="1">
        <f>+(F337^14)/((F337^14+G337^14))</f>
        <v>0.59053887488262369</v>
      </c>
      <c r="J337" s="2">
        <v>116.8</v>
      </c>
      <c r="K337" s="2">
        <v>113.7</v>
      </c>
      <c r="L337" s="2">
        <f>+J337-K337</f>
        <v>3.0999999999999943</v>
      </c>
      <c r="M337" s="1">
        <f>+E337-I337</f>
        <v>7.0221007271323854E-3</v>
      </c>
      <c r="N337" s="2">
        <v>102</v>
      </c>
      <c r="O337" s="2">
        <v>105.2</v>
      </c>
      <c r="P337" s="2">
        <f t="shared" si="5"/>
        <v>-3.2000000000000028</v>
      </c>
      <c r="Q337">
        <v>-2.4</v>
      </c>
    </row>
    <row r="338" spans="1:17">
      <c r="A338" t="s">
        <v>57</v>
      </c>
      <c r="B338" t="s">
        <v>35</v>
      </c>
      <c r="C338">
        <v>43</v>
      </c>
      <c r="D338">
        <v>39</v>
      </c>
      <c r="E338" s="1">
        <f>+C338/(C338+D338)</f>
        <v>0.52439024390243905</v>
      </c>
      <c r="F338" s="2">
        <v>100.5</v>
      </c>
      <c r="G338" s="2">
        <v>100</v>
      </c>
      <c r="H338" s="2">
        <f>+F338-G338</f>
        <v>0.5</v>
      </c>
      <c r="I338" s="1">
        <f>+(F338^14)/((F338^14+G338^14))</f>
        <v>0.51744930619443652</v>
      </c>
      <c r="J338" s="2">
        <v>107</v>
      </c>
      <c r="K338" s="2">
        <v>106.5</v>
      </c>
      <c r="L338" s="2">
        <f>+J338-K338</f>
        <v>0.5</v>
      </c>
      <c r="M338" s="1">
        <f>+E338-I338</f>
        <v>6.9409377080025259E-3</v>
      </c>
      <c r="N338" s="2">
        <v>101.1</v>
      </c>
      <c r="O338" s="2">
        <v>95</v>
      </c>
      <c r="P338" s="2">
        <f t="shared" si="5"/>
        <v>6.0999999999999943</v>
      </c>
      <c r="Q338">
        <v>1.2</v>
      </c>
    </row>
    <row r="339" spans="1:17">
      <c r="A339" t="s">
        <v>64</v>
      </c>
      <c r="B339" t="s">
        <v>27</v>
      </c>
      <c r="C339">
        <v>46</v>
      </c>
      <c r="D339">
        <v>36</v>
      </c>
      <c r="E339" s="1">
        <f>+C339/(C339+D339)</f>
        <v>0.56097560975609762</v>
      </c>
      <c r="F339" s="2">
        <v>116.6</v>
      </c>
      <c r="G339" s="2">
        <v>114.8</v>
      </c>
      <c r="H339" s="2">
        <f>+F339-G339</f>
        <v>1.7999999999999972</v>
      </c>
      <c r="I339" s="1">
        <f>+(F339^14)/((F339^14+G339^14))</f>
        <v>0.55423800996909134</v>
      </c>
      <c r="J339" s="2">
        <v>116.2</v>
      </c>
      <c r="K339" s="2">
        <v>114.4</v>
      </c>
      <c r="L339" s="2">
        <f>+J339-K339</f>
        <v>1.7999999999999972</v>
      </c>
      <c r="M339" s="1">
        <f>+E339-I339</f>
        <v>6.7375997870062765E-3</v>
      </c>
      <c r="N339" s="2">
        <v>105.6</v>
      </c>
      <c r="O339" s="2">
        <v>104.1</v>
      </c>
      <c r="P339" s="2">
        <f t="shared" si="5"/>
        <v>1.5</v>
      </c>
      <c r="Q339">
        <v>-0.8</v>
      </c>
    </row>
    <row r="340" spans="1:17">
      <c r="A340" t="s">
        <v>64</v>
      </c>
      <c r="B340" t="s">
        <v>18</v>
      </c>
      <c r="C340">
        <v>46</v>
      </c>
      <c r="D340">
        <v>36</v>
      </c>
      <c r="E340" s="1">
        <f>+C340/(C340+D340)</f>
        <v>0.56097560975609762</v>
      </c>
      <c r="F340" s="2">
        <v>110.1</v>
      </c>
      <c r="G340" s="2">
        <v>108.4</v>
      </c>
      <c r="H340" s="2">
        <f>+F340-G340</f>
        <v>1.6999999999999886</v>
      </c>
      <c r="I340" s="1">
        <f>+(F340^14)/((F340^14+G340^14))</f>
        <v>0.55424895602857005</v>
      </c>
      <c r="J340" s="2">
        <v>113.3</v>
      </c>
      <c r="K340" s="2">
        <v>111.5</v>
      </c>
      <c r="L340" s="2">
        <f>+J340-K340</f>
        <v>1.7999999999999972</v>
      </c>
      <c r="M340" s="1">
        <f>+E340-I340</f>
        <v>6.7266537275275651E-3</v>
      </c>
      <c r="N340" s="2">
        <v>99.3</v>
      </c>
      <c r="O340" s="2">
        <v>112.6</v>
      </c>
      <c r="P340" s="2">
        <f t="shared" si="5"/>
        <v>-13.299999999999997</v>
      </c>
      <c r="Q340">
        <v>-1.2</v>
      </c>
    </row>
    <row r="341" spans="1:17">
      <c r="A341" t="s">
        <v>54</v>
      </c>
      <c r="B341" t="s">
        <v>24</v>
      </c>
      <c r="C341">
        <v>18</v>
      </c>
      <c r="D341">
        <v>64</v>
      </c>
      <c r="E341" s="1">
        <f>+C341/(C341+D341)</f>
        <v>0.21951219512195122</v>
      </c>
      <c r="F341" s="2">
        <v>92</v>
      </c>
      <c r="G341" s="2">
        <v>101</v>
      </c>
      <c r="H341" s="2">
        <f>+F341-G341</f>
        <v>-9</v>
      </c>
      <c r="I341" s="1">
        <f>+(F341^14)/((F341^14+G341^14))</f>
        <v>0.21304843690621958</v>
      </c>
      <c r="J341" s="2">
        <v>94.9</v>
      </c>
      <c r="K341" s="2">
        <v>103.9</v>
      </c>
      <c r="L341" s="2">
        <f>+J341-K341</f>
        <v>-9</v>
      </c>
      <c r="M341" s="1">
        <f>+E341-I341</f>
        <v>6.4637582157316409E-3</v>
      </c>
      <c r="N341" s="2">
        <v>84.7</v>
      </c>
      <c r="O341" s="2">
        <v>91.9</v>
      </c>
      <c r="P341" s="2">
        <f t="shared" si="5"/>
        <v>-7.2000000000000028</v>
      </c>
      <c r="Q341">
        <v>-1</v>
      </c>
    </row>
    <row r="342" spans="1:17">
      <c r="A342" t="s">
        <v>63</v>
      </c>
      <c r="B342" t="s">
        <v>6</v>
      </c>
      <c r="C342">
        <v>57</v>
      </c>
      <c r="D342">
        <v>25</v>
      </c>
      <c r="E342" s="1">
        <f>+C342/(C342+D342)</f>
        <v>0.69512195121951215</v>
      </c>
      <c r="F342" s="2">
        <v>117.9</v>
      </c>
      <c r="G342" s="2">
        <v>111.4</v>
      </c>
      <c r="H342" s="2">
        <f>+F342-G342</f>
        <v>6.5</v>
      </c>
      <c r="I342" s="1">
        <f>+(F342^14)/((F342^14+G342^14))</f>
        <v>0.6886751375801452</v>
      </c>
      <c r="J342" s="2">
        <v>117.3</v>
      </c>
      <c r="K342" s="2">
        <v>110.6</v>
      </c>
      <c r="L342" s="2">
        <f>+J342-K342</f>
        <v>6.7000000000000028</v>
      </c>
      <c r="M342" s="1">
        <f>+E342-I342</f>
        <v>6.446813639366944E-3</v>
      </c>
      <c r="N342" s="2">
        <v>107.4</v>
      </c>
      <c r="O342" s="2">
        <v>103.1</v>
      </c>
      <c r="P342" s="2">
        <f t="shared" si="5"/>
        <v>4.3000000000000114</v>
      </c>
      <c r="Q342">
        <v>0.6</v>
      </c>
    </row>
    <row r="343" spans="1:17">
      <c r="A343" t="s">
        <v>63</v>
      </c>
      <c r="B343" t="s">
        <v>17</v>
      </c>
      <c r="C343">
        <v>43</v>
      </c>
      <c r="D343">
        <v>39</v>
      </c>
      <c r="E343" s="1">
        <f>+C343/(C343+D343)</f>
        <v>0.52439024390243905</v>
      </c>
      <c r="F343" s="2">
        <v>117.2</v>
      </c>
      <c r="G343" s="2">
        <v>116.6</v>
      </c>
      <c r="H343" s="2">
        <f>+F343-G343</f>
        <v>0.60000000000000853</v>
      </c>
      <c r="I343" s="1">
        <f>+(F343^14)/((F343^14+G343^14))</f>
        <v>0.5179563857008791</v>
      </c>
      <c r="J343" s="2">
        <v>113.9</v>
      </c>
      <c r="K343" s="2">
        <v>113.2</v>
      </c>
      <c r="L343" s="2">
        <f>+J343-K343</f>
        <v>0.70000000000000284</v>
      </c>
      <c r="M343" s="1">
        <f>+E343-I343</f>
        <v>6.4338582015599499E-3</v>
      </c>
      <c r="N343" s="2">
        <v>115.9</v>
      </c>
      <c r="O343" s="2">
        <v>111.5</v>
      </c>
      <c r="P343" s="2">
        <f t="shared" si="5"/>
        <v>4.4000000000000057</v>
      </c>
      <c r="Q343">
        <v>1.9</v>
      </c>
    </row>
    <row r="344" spans="1:17">
      <c r="A344" t="s">
        <v>64</v>
      </c>
      <c r="B344" t="s">
        <v>23</v>
      </c>
      <c r="C344">
        <v>47</v>
      </c>
      <c r="D344">
        <v>35</v>
      </c>
      <c r="E344" s="1">
        <f>+C344/(C344+D344)</f>
        <v>0.57317073170731703</v>
      </c>
      <c r="F344" s="2">
        <v>110.5</v>
      </c>
      <c r="G344" s="2">
        <v>108.4</v>
      </c>
      <c r="H344" s="2">
        <f>+F344-G344</f>
        <v>2.0999999999999943</v>
      </c>
      <c r="I344" s="1">
        <f>+(F344^14)/((F344^14+G344^14))</f>
        <v>0.56675507945775017</v>
      </c>
      <c r="J344" s="2">
        <v>112.9</v>
      </c>
      <c r="K344" s="2">
        <v>110.8</v>
      </c>
      <c r="L344" s="2">
        <f>+J344-K344</f>
        <v>2.1000000000000085</v>
      </c>
      <c r="M344" s="1">
        <f>+E344-I344</f>
        <v>6.4156522495668611E-3</v>
      </c>
      <c r="N344" s="2">
        <v>104.2</v>
      </c>
      <c r="O344" s="2">
        <v>100.8</v>
      </c>
      <c r="P344" s="2">
        <f t="shared" si="5"/>
        <v>3.4000000000000057</v>
      </c>
      <c r="Q344">
        <v>0.6</v>
      </c>
    </row>
    <row r="345" spans="1:17">
      <c r="A345" t="s">
        <v>39</v>
      </c>
      <c r="B345" t="s">
        <v>15</v>
      </c>
      <c r="C345">
        <v>44</v>
      </c>
      <c r="D345">
        <v>38</v>
      </c>
      <c r="E345" s="1">
        <f>+C345/(C345+D345)</f>
        <v>0.53658536585365857</v>
      </c>
      <c r="F345" s="2">
        <v>93</v>
      </c>
      <c r="G345" s="2">
        <v>92.2</v>
      </c>
      <c r="H345" s="2">
        <f>+F345-G345</f>
        <v>0.79999999999999716</v>
      </c>
      <c r="I345" s="1">
        <f>+(F345^14)/((F345^14+G345^14))</f>
        <v>0.53020096014425155</v>
      </c>
      <c r="J345" s="2">
        <v>103.7</v>
      </c>
      <c r="K345" s="2">
        <v>102.7</v>
      </c>
      <c r="L345" s="2">
        <f>+J345-K345</f>
        <v>1</v>
      </c>
      <c r="M345" s="1">
        <f>+E345-I345</f>
        <v>6.384405709407015E-3</v>
      </c>
      <c r="N345" s="2">
        <v>102.5</v>
      </c>
      <c r="O345" s="2">
        <v>93.4</v>
      </c>
      <c r="P345" s="2">
        <f t="shared" si="5"/>
        <v>9.0999999999999943</v>
      </c>
      <c r="Q345">
        <v>0</v>
      </c>
    </row>
    <row r="346" spans="1:17">
      <c r="A346" t="s">
        <v>62</v>
      </c>
      <c r="B346" t="s">
        <v>23</v>
      </c>
      <c r="C346">
        <v>22</v>
      </c>
      <c r="D346">
        <v>60</v>
      </c>
      <c r="E346" s="1">
        <f>+C346/(C346+D346)</f>
        <v>0.26829268292682928</v>
      </c>
      <c r="F346" s="2">
        <v>104.2</v>
      </c>
      <c r="G346" s="2">
        <v>112.2</v>
      </c>
      <c r="H346" s="2">
        <f>+F346-G346</f>
        <v>-8</v>
      </c>
      <c r="I346" s="1">
        <f>+(F346^14)/((F346^14+G346^14))</f>
        <v>0.26200139759286833</v>
      </c>
      <c r="J346" s="2">
        <v>103.9</v>
      </c>
      <c r="K346" s="2">
        <v>112.1</v>
      </c>
      <c r="L346" s="2">
        <f>+J346-K346</f>
        <v>-8.1999999999999886</v>
      </c>
      <c r="M346" s="1">
        <f>+E346-I346</f>
        <v>6.2912853339609498E-3</v>
      </c>
      <c r="N346" s="2">
        <v>98.8</v>
      </c>
      <c r="O346" s="2">
        <v>101.2</v>
      </c>
      <c r="P346" s="2">
        <f t="shared" si="5"/>
        <v>-2.4000000000000057</v>
      </c>
      <c r="Q346">
        <v>-0.2</v>
      </c>
    </row>
    <row r="347" spans="1:17">
      <c r="A347" t="s">
        <v>60</v>
      </c>
      <c r="B347" t="s">
        <v>26</v>
      </c>
      <c r="C347">
        <v>35</v>
      </c>
      <c r="D347">
        <v>39</v>
      </c>
      <c r="E347" s="1">
        <f>+C347/(C347+D347)</f>
        <v>0.47297297297297297</v>
      </c>
      <c r="F347" s="2">
        <v>115</v>
      </c>
      <c r="G347" s="2">
        <v>116.1</v>
      </c>
      <c r="H347" s="2">
        <f>+F347-G347</f>
        <v>-1.0999999999999943</v>
      </c>
      <c r="I347" s="1">
        <f>+(F347^14)/((F347^14+G347^14))</f>
        <v>0.46673007111560078</v>
      </c>
      <c r="J347" s="2">
        <v>113.2</v>
      </c>
      <c r="K347" s="2">
        <v>114.3</v>
      </c>
      <c r="L347" s="2">
        <f>+J347-K347</f>
        <v>-1.0999999999999943</v>
      </c>
      <c r="M347" s="1">
        <f>+E347-I347</f>
        <v>6.2429018573721962E-3</v>
      </c>
      <c r="N347" s="2">
        <v>117.2</v>
      </c>
      <c r="O347" s="2">
        <v>111.2</v>
      </c>
      <c r="P347" s="2">
        <f t="shared" si="5"/>
        <v>6</v>
      </c>
      <c r="Q347">
        <v>1</v>
      </c>
    </row>
    <row r="348" spans="1:17">
      <c r="A348" t="s">
        <v>54</v>
      </c>
      <c r="B348" t="s">
        <v>25</v>
      </c>
      <c r="C348">
        <v>39</v>
      </c>
      <c r="D348">
        <v>43</v>
      </c>
      <c r="E348" s="1">
        <f>+C348/(C348+D348)</f>
        <v>0.47560975609756095</v>
      </c>
      <c r="F348" s="2">
        <v>102.4</v>
      </c>
      <c r="G348" s="2">
        <v>103.3</v>
      </c>
      <c r="H348" s="2">
        <f>+F348-G348</f>
        <v>-0.89999999999999147</v>
      </c>
      <c r="I348" s="1">
        <f>+(F348^14)/((F348^14+G348^14))</f>
        <v>0.4694109261885151</v>
      </c>
      <c r="J348" s="2">
        <v>104.2</v>
      </c>
      <c r="K348" s="2">
        <v>105.3</v>
      </c>
      <c r="L348" s="2">
        <f>+J348-K348</f>
        <v>-1.0999999999999943</v>
      </c>
      <c r="M348" s="1">
        <f>+E348-I348</f>
        <v>6.1988299090458554E-3</v>
      </c>
      <c r="N348" s="2">
        <v>98</v>
      </c>
      <c r="O348" s="2">
        <v>96.5</v>
      </c>
      <c r="P348" s="2">
        <f t="shared" si="5"/>
        <v>1.5</v>
      </c>
      <c r="Q348">
        <v>0.9</v>
      </c>
    </row>
    <row r="349" spans="1:17">
      <c r="A349" t="s">
        <v>47</v>
      </c>
      <c r="B349" t="s">
        <v>12</v>
      </c>
      <c r="C349">
        <v>27</v>
      </c>
      <c r="D349">
        <v>55</v>
      </c>
      <c r="E349" s="1">
        <f>+C349/(C349+D349)</f>
        <v>0.32926829268292684</v>
      </c>
      <c r="F349" s="2">
        <v>94</v>
      </c>
      <c r="G349" s="2">
        <v>99.1</v>
      </c>
      <c r="H349" s="2">
        <f>+F349-G349</f>
        <v>-5.0999999999999943</v>
      </c>
      <c r="I349" s="1">
        <f>+(F349^14)/((F349^14+G349^14))</f>
        <v>0.32307297980123056</v>
      </c>
      <c r="J349" s="2">
        <v>104.5</v>
      </c>
      <c r="K349" s="2">
        <v>110.3</v>
      </c>
      <c r="L349" s="2">
        <f>+J349-K349</f>
        <v>-5.7999999999999972</v>
      </c>
      <c r="M349" s="1">
        <f>+E349-I349</f>
        <v>6.1953128816962799E-3</v>
      </c>
      <c r="N349" s="2">
        <v>98.1</v>
      </c>
      <c r="O349" s="2">
        <v>105.1</v>
      </c>
      <c r="P349" s="2">
        <f t="shared" si="5"/>
        <v>-7</v>
      </c>
      <c r="Q349">
        <v>-1.1000000000000001</v>
      </c>
    </row>
    <row r="350" spans="1:17">
      <c r="A350" t="s">
        <v>59</v>
      </c>
      <c r="B350" t="s">
        <v>13</v>
      </c>
      <c r="C350">
        <v>57</v>
      </c>
      <c r="D350">
        <v>25</v>
      </c>
      <c r="E350" s="1">
        <f>+C350/(C350+D350)</f>
        <v>0.69512195121951215</v>
      </c>
      <c r="F350" s="2">
        <v>117.7</v>
      </c>
      <c r="G350" s="2">
        <v>111.2</v>
      </c>
      <c r="H350" s="2">
        <f>+F350-G350</f>
        <v>6.5</v>
      </c>
      <c r="I350" s="1">
        <f>+(F350^14)/((F350^14+G350^14))</f>
        <v>0.68897267779673199</v>
      </c>
      <c r="J350" s="2">
        <v>115</v>
      </c>
      <c r="K350" s="2">
        <v>108.6</v>
      </c>
      <c r="L350" s="2">
        <f>+J350-K350</f>
        <v>6.4000000000000057</v>
      </c>
      <c r="M350" s="1">
        <f>+E350-I350</f>
        <v>6.1492734227801549E-3</v>
      </c>
      <c r="N350" s="2">
        <v>110.5</v>
      </c>
      <c r="O350" s="2">
        <v>104.6</v>
      </c>
      <c r="P350" s="2">
        <f t="shared" si="5"/>
        <v>5.9000000000000057</v>
      </c>
      <c r="Q350">
        <v>0.2</v>
      </c>
    </row>
    <row r="351" spans="1:17">
      <c r="A351" t="s">
        <v>43</v>
      </c>
      <c r="B351" t="s">
        <v>16</v>
      </c>
      <c r="C351">
        <v>40</v>
      </c>
      <c r="D351">
        <v>42</v>
      </c>
      <c r="E351" s="1">
        <f>+C351/(C351+D351)</f>
        <v>0.48780487804878048</v>
      </c>
      <c r="F351" s="2">
        <v>95.6</v>
      </c>
      <c r="G351" s="2">
        <v>96.1</v>
      </c>
      <c r="H351" s="2">
        <f>+F351-G351</f>
        <v>-0.5</v>
      </c>
      <c r="I351" s="1">
        <f>+(F351^14)/((F351^14+G351^14))</f>
        <v>0.48175037478926502</v>
      </c>
      <c r="J351" s="2">
        <v>103.8</v>
      </c>
      <c r="K351" s="2">
        <v>104.2</v>
      </c>
      <c r="L351" s="2">
        <f>+J351-K351</f>
        <v>-0.40000000000000568</v>
      </c>
      <c r="M351" s="1">
        <f>+E351-I351</f>
        <v>6.0545032595154535E-3</v>
      </c>
      <c r="N351" s="2">
        <v>105.7</v>
      </c>
      <c r="O351" s="2">
        <v>107.9</v>
      </c>
      <c r="P351" s="2">
        <f t="shared" si="5"/>
        <v>-2.2000000000000028</v>
      </c>
      <c r="Q351">
        <v>-0.3</v>
      </c>
    </row>
    <row r="352" spans="1:17">
      <c r="A352" t="s">
        <v>55</v>
      </c>
      <c r="B352" t="s">
        <v>11</v>
      </c>
      <c r="C352">
        <v>33</v>
      </c>
      <c r="D352">
        <v>49</v>
      </c>
      <c r="E352" s="1">
        <f>+C352/(C352+D352)</f>
        <v>0.40243902439024393</v>
      </c>
      <c r="F352" s="2">
        <v>101.9</v>
      </c>
      <c r="G352" s="2">
        <v>105</v>
      </c>
      <c r="H352" s="2">
        <f>+F352-G352</f>
        <v>-3.0999999999999943</v>
      </c>
      <c r="I352" s="1">
        <f>+(F352^14)/((F352^14+G352^14))</f>
        <v>0.39662258414921886</v>
      </c>
      <c r="J352" s="2">
        <v>104.9</v>
      </c>
      <c r="K352" s="2">
        <v>108.2</v>
      </c>
      <c r="L352" s="2">
        <f>+J352-K352</f>
        <v>-3.2999999999999972</v>
      </c>
      <c r="M352" s="1">
        <f>+E352-I352</f>
        <v>5.8164402410250671E-3</v>
      </c>
      <c r="N352" s="2">
        <v>89.7</v>
      </c>
      <c r="O352" s="2">
        <v>96</v>
      </c>
      <c r="P352" s="2">
        <f t="shared" si="5"/>
        <v>-6.2999999999999972</v>
      </c>
      <c r="Q352">
        <v>-0.2</v>
      </c>
    </row>
    <row r="353" spans="1:17">
      <c r="A353" t="s">
        <v>59</v>
      </c>
      <c r="B353" t="s">
        <v>9</v>
      </c>
      <c r="C353">
        <v>19</v>
      </c>
      <c r="D353">
        <v>63</v>
      </c>
      <c r="E353" s="1">
        <f>+C353/(C353+D353)</f>
        <v>0.23170731707317074</v>
      </c>
      <c r="F353" s="2">
        <v>104.5</v>
      </c>
      <c r="G353" s="2">
        <v>114.1</v>
      </c>
      <c r="H353" s="2">
        <f>+F353-G353</f>
        <v>-9.5999999999999943</v>
      </c>
      <c r="I353" s="1">
        <f>+(F353^14)/((F353^14+G353^14))</f>
        <v>0.22610537023312996</v>
      </c>
      <c r="J353" s="2">
        <v>106.8</v>
      </c>
      <c r="K353" s="2">
        <v>116.8</v>
      </c>
      <c r="L353" s="2">
        <f>+J353-K353</f>
        <v>-10</v>
      </c>
      <c r="M353" s="1">
        <f>+E353-I353</f>
        <v>5.6019468400407835E-3</v>
      </c>
      <c r="N353" s="2">
        <v>99</v>
      </c>
      <c r="O353" s="2">
        <v>110.6</v>
      </c>
      <c r="P353" s="2">
        <f t="shared" si="5"/>
        <v>-11.599999999999994</v>
      </c>
      <c r="Q353">
        <v>-1.7</v>
      </c>
    </row>
    <row r="354" spans="1:17">
      <c r="A354" t="s">
        <v>54</v>
      </c>
      <c r="B354" t="s">
        <v>8</v>
      </c>
      <c r="C354">
        <v>50</v>
      </c>
      <c r="D354">
        <v>32</v>
      </c>
      <c r="E354" s="1">
        <f>+C354/(C354+D354)</f>
        <v>0.6097560975609756</v>
      </c>
      <c r="F354" s="2">
        <v>100.8</v>
      </c>
      <c r="G354" s="2">
        <v>97.8</v>
      </c>
      <c r="H354" s="2">
        <f>+F354-G354</f>
        <v>3</v>
      </c>
      <c r="I354" s="1">
        <f>+(F354^14)/((F354^14+G354^14))</f>
        <v>0.60419920235636659</v>
      </c>
      <c r="J354" s="2">
        <v>106.3</v>
      </c>
      <c r="K354" s="2">
        <v>103.3</v>
      </c>
      <c r="L354" s="2">
        <f>+J354-K354</f>
        <v>3</v>
      </c>
      <c r="M354" s="1">
        <f>+E354-I354</f>
        <v>5.5568952046090025E-3</v>
      </c>
      <c r="N354" s="2">
        <v>99.7</v>
      </c>
      <c r="O354" s="2">
        <v>90.5</v>
      </c>
      <c r="P354" s="2">
        <f t="shared" si="5"/>
        <v>9.2000000000000028</v>
      </c>
      <c r="Q354">
        <v>1.5</v>
      </c>
    </row>
    <row r="355" spans="1:17">
      <c r="A355" t="s">
        <v>63</v>
      </c>
      <c r="B355" t="s">
        <v>35</v>
      </c>
      <c r="C355">
        <v>51</v>
      </c>
      <c r="D355">
        <v>31</v>
      </c>
      <c r="E355" s="1">
        <f>+C355/(C355+D355)</f>
        <v>0.62195121951219512</v>
      </c>
      <c r="F355" s="2">
        <v>116.9</v>
      </c>
      <c r="G355" s="2">
        <v>113</v>
      </c>
      <c r="H355" s="2">
        <f>+F355-G355</f>
        <v>3.9000000000000057</v>
      </c>
      <c r="I355" s="1">
        <f>+(F355^14)/((F355^14+G355^14))</f>
        <v>0.61657470721768026</v>
      </c>
      <c r="J355" s="2">
        <v>114.7</v>
      </c>
      <c r="K355" s="2">
        <v>110.7</v>
      </c>
      <c r="L355" s="2">
        <f>+J355-K355</f>
        <v>4</v>
      </c>
      <c r="M355" s="1">
        <f>+E355-I355</f>
        <v>5.3765122945148569E-3</v>
      </c>
      <c r="N355" s="2">
        <v>114.9</v>
      </c>
      <c r="O355" s="2">
        <v>113.9</v>
      </c>
      <c r="P355" s="2">
        <f t="shared" si="5"/>
        <v>1</v>
      </c>
      <c r="Q355">
        <v>-1.1000000000000001</v>
      </c>
    </row>
    <row r="356" spans="1:17">
      <c r="A356" t="s">
        <v>36</v>
      </c>
      <c r="B356" t="s">
        <v>19</v>
      </c>
      <c r="C356">
        <v>42</v>
      </c>
      <c r="D356">
        <v>40</v>
      </c>
      <c r="E356" s="1">
        <f>+C356/(C356+D356)</f>
        <v>0.51219512195121952</v>
      </c>
      <c r="F356" s="2">
        <v>99.5</v>
      </c>
      <c r="G356" s="2">
        <v>99.3</v>
      </c>
      <c r="H356" s="2">
        <f>+F356-G356</f>
        <v>0.20000000000000284</v>
      </c>
      <c r="I356" s="1">
        <f>+(F356^14)/((F356^14+G356^14))</f>
        <v>0.50704179026833252</v>
      </c>
      <c r="J356" s="2">
        <v>107.2</v>
      </c>
      <c r="K356" s="2">
        <v>106.9</v>
      </c>
      <c r="L356" s="2">
        <f>+J356-K356</f>
        <v>0.29999999999999716</v>
      </c>
      <c r="M356" s="1">
        <f>+E356-I356</f>
        <v>5.1533316828870079E-3</v>
      </c>
      <c r="N356" s="2">
        <v>104.2</v>
      </c>
      <c r="O356" s="2">
        <v>102</v>
      </c>
      <c r="P356" s="2">
        <f t="shared" si="5"/>
        <v>2.2000000000000028</v>
      </c>
      <c r="Q356">
        <v>1.8</v>
      </c>
    </row>
    <row r="357" spans="1:17">
      <c r="A357" t="s">
        <v>45</v>
      </c>
      <c r="B357" t="s">
        <v>14</v>
      </c>
      <c r="C357">
        <v>53</v>
      </c>
      <c r="D357">
        <v>29</v>
      </c>
      <c r="E357" s="1">
        <f>+C357/(C357+D357)</f>
        <v>0.64634146341463417</v>
      </c>
      <c r="F357" s="2">
        <v>98.4</v>
      </c>
      <c r="G357" s="2">
        <v>94.4</v>
      </c>
      <c r="H357" s="2">
        <f>+F357-G357</f>
        <v>4</v>
      </c>
      <c r="I357" s="1">
        <f>+(F357^14)/((F357^14+G357^14))</f>
        <v>0.64129660723482429</v>
      </c>
      <c r="J357" s="2">
        <v>107.1</v>
      </c>
      <c r="K357" s="2">
        <v>102.9</v>
      </c>
      <c r="L357" s="2">
        <f>+J357-K357</f>
        <v>4.1999999999999886</v>
      </c>
      <c r="M357" s="1">
        <f>+E357-I357</f>
        <v>5.0448561798098757E-3</v>
      </c>
      <c r="N357" s="2">
        <v>93.3</v>
      </c>
      <c r="O357" s="2">
        <v>103.8</v>
      </c>
      <c r="P357" s="2">
        <f t="shared" si="5"/>
        <v>-10.5</v>
      </c>
      <c r="Q357">
        <v>-0.6</v>
      </c>
    </row>
    <row r="358" spans="1:17">
      <c r="A358" t="s">
        <v>58</v>
      </c>
      <c r="B358" t="s">
        <v>33</v>
      </c>
      <c r="C358">
        <v>43</v>
      </c>
      <c r="D358">
        <v>39</v>
      </c>
      <c r="E358" s="1">
        <f>+C358/(C358+D358)</f>
        <v>0.52439024390243905</v>
      </c>
      <c r="F358" s="2">
        <v>106.6</v>
      </c>
      <c r="G358" s="2">
        <v>106</v>
      </c>
      <c r="H358" s="2">
        <f>+F358-G358</f>
        <v>0.59999999999999432</v>
      </c>
      <c r="I358" s="1">
        <f>+(F358^14)/((F358^14+G358^14))</f>
        <v>0.51974518791445967</v>
      </c>
      <c r="J358" s="2">
        <v>108.1</v>
      </c>
      <c r="K358" s="2">
        <v>107.7</v>
      </c>
      <c r="L358" s="2">
        <f>+J358-K358</f>
        <v>0.39999999999999147</v>
      </c>
      <c r="M358" s="1">
        <f>+E358-I358</f>
        <v>4.645055987979374E-3</v>
      </c>
      <c r="N358" s="2">
        <v>96</v>
      </c>
      <c r="O358" s="2">
        <v>104.3</v>
      </c>
      <c r="P358" s="2">
        <f t="shared" si="5"/>
        <v>-8.2999999999999972</v>
      </c>
      <c r="Q358">
        <v>-0.8</v>
      </c>
    </row>
    <row r="359" spans="1:17">
      <c r="A359" t="s">
        <v>47</v>
      </c>
      <c r="B359" t="s">
        <v>25</v>
      </c>
      <c r="C359">
        <v>54</v>
      </c>
      <c r="D359">
        <v>28</v>
      </c>
      <c r="E359" s="1">
        <f>+C359/(C359+D359)</f>
        <v>0.65853658536585369</v>
      </c>
      <c r="F359" s="2">
        <v>110.2</v>
      </c>
      <c r="G359" s="2">
        <v>105.3</v>
      </c>
      <c r="H359" s="2">
        <f>+F359-G359</f>
        <v>4.9000000000000057</v>
      </c>
      <c r="I359" s="1">
        <f>+(F359^14)/((F359^14+G359^14))</f>
        <v>0.654022652875209</v>
      </c>
      <c r="J359" s="2">
        <v>113.9</v>
      </c>
      <c r="K359" s="2">
        <v>109.1</v>
      </c>
      <c r="L359" s="2">
        <f>+J359-K359</f>
        <v>4.8000000000000114</v>
      </c>
      <c r="M359" s="1">
        <f>+E359-I359</f>
        <v>4.5139324906446898E-3</v>
      </c>
      <c r="N359" s="2">
        <v>118.3</v>
      </c>
      <c r="O359" s="2">
        <v>112.5</v>
      </c>
      <c r="P359" s="2">
        <f t="shared" si="5"/>
        <v>5.7999999999999972</v>
      </c>
      <c r="Q359">
        <v>0.8</v>
      </c>
    </row>
    <row r="360" spans="1:17">
      <c r="A360" t="s">
        <v>66</v>
      </c>
      <c r="B360" t="s">
        <v>20</v>
      </c>
      <c r="C360">
        <v>40</v>
      </c>
      <c r="D360">
        <v>24</v>
      </c>
      <c r="E360" s="1">
        <f>+C360/(C360+D360)</f>
        <v>0.625</v>
      </c>
      <c r="F360" s="2">
        <v>118.6</v>
      </c>
      <c r="G360" s="2">
        <v>114.5</v>
      </c>
      <c r="H360" s="2">
        <f>+F360-G360</f>
        <v>4.0999999999999943</v>
      </c>
      <c r="I360" s="1">
        <f>+(F360^14)/((F360^14+G360^14))</f>
        <v>0.62070538318450608</v>
      </c>
      <c r="J360" s="2">
        <v>116.1</v>
      </c>
      <c r="K360" s="2">
        <v>112.2</v>
      </c>
      <c r="L360" s="2">
        <f>+J360-K360</f>
        <v>3.8999999999999915</v>
      </c>
      <c r="M360" s="1">
        <f>+E360-I360</f>
        <v>4.2946168154939235E-3</v>
      </c>
      <c r="N360" s="2">
        <v>117.2</v>
      </c>
      <c r="O360" s="2">
        <v>113.4</v>
      </c>
      <c r="P360" s="2">
        <f t="shared" si="5"/>
        <v>3.7999999999999972</v>
      </c>
      <c r="Q360" s="2">
        <v>1.6</v>
      </c>
    </row>
    <row r="361" spans="1:17">
      <c r="A361" t="s">
        <v>36</v>
      </c>
      <c r="B361" t="s">
        <v>13</v>
      </c>
      <c r="C361">
        <v>38</v>
      </c>
      <c r="D361">
        <v>44</v>
      </c>
      <c r="E361" s="1">
        <f>+C361/(C361+D361)</f>
        <v>0.46341463414634149</v>
      </c>
      <c r="F361" s="2">
        <v>102.4</v>
      </c>
      <c r="G361" s="2">
        <v>103.6</v>
      </c>
      <c r="H361" s="2">
        <f>+F361-G361</f>
        <v>-1.1999999999999886</v>
      </c>
      <c r="I361" s="1">
        <f>+(F361^14)/((F361^14+G361^14))</f>
        <v>0.45931300428144822</v>
      </c>
      <c r="J361" s="2">
        <v>106.4</v>
      </c>
      <c r="K361" s="2">
        <v>107.7</v>
      </c>
      <c r="L361" s="2">
        <f>+J361-K361</f>
        <v>-1.2999999999999972</v>
      </c>
      <c r="M361" s="1">
        <f>+E361-I361</f>
        <v>4.1016298648932636E-3</v>
      </c>
      <c r="N361" s="2">
        <v>100.3</v>
      </c>
      <c r="O361" s="2">
        <v>105.2</v>
      </c>
      <c r="P361" s="2">
        <f t="shared" si="5"/>
        <v>-4.9000000000000057</v>
      </c>
      <c r="Q361">
        <v>-0.2</v>
      </c>
    </row>
    <row r="362" spans="1:17">
      <c r="A362" t="s">
        <v>59</v>
      </c>
      <c r="B362" t="s">
        <v>17</v>
      </c>
      <c r="C362">
        <v>37</v>
      </c>
      <c r="D362">
        <v>45</v>
      </c>
      <c r="E362" s="1">
        <f>+C362/(C362+D362)</f>
        <v>0.45121951219512196</v>
      </c>
      <c r="F362" s="2">
        <v>111.8</v>
      </c>
      <c r="G362" s="2">
        <v>113.5</v>
      </c>
      <c r="H362" s="2">
        <f>+F362-G362</f>
        <v>-1.7000000000000028</v>
      </c>
      <c r="I362" s="1">
        <f>+(F362^14)/((F362^14+G362^14))</f>
        <v>0.44737614127951658</v>
      </c>
      <c r="J362" s="2">
        <v>107.4</v>
      </c>
      <c r="K362" s="2">
        <v>108.9</v>
      </c>
      <c r="L362" s="2">
        <f>+J362-K362</f>
        <v>-1.5</v>
      </c>
      <c r="M362" s="1">
        <f>+E362-I362</f>
        <v>3.8433709156053819E-3</v>
      </c>
      <c r="N362" s="2">
        <v>114.7</v>
      </c>
      <c r="O362" s="2">
        <v>107.5</v>
      </c>
      <c r="P362" s="2">
        <f t="shared" si="5"/>
        <v>7.2000000000000028</v>
      </c>
      <c r="Q362">
        <v>-0.8</v>
      </c>
    </row>
    <row r="363" spans="1:17">
      <c r="A363" t="s">
        <v>38</v>
      </c>
      <c r="B363" t="s">
        <v>37</v>
      </c>
      <c r="C363">
        <v>41</v>
      </c>
      <c r="D363">
        <v>41</v>
      </c>
      <c r="E363" s="1">
        <f>+C363/(C363+D363)</f>
        <v>0.5</v>
      </c>
      <c r="F363" s="2">
        <v>91.8</v>
      </c>
      <c r="G363" s="2">
        <v>91.9</v>
      </c>
      <c r="H363" s="2">
        <f>+F363-G363</f>
        <v>-0.10000000000000853</v>
      </c>
      <c r="I363" s="1">
        <f>+(F363^14)/((F363^14+G363^14))</f>
        <v>0.49618951269946909</v>
      </c>
      <c r="J363" s="2">
        <v>100.7</v>
      </c>
      <c r="K363" s="2">
        <v>100.6</v>
      </c>
      <c r="L363" s="2">
        <f>+J363-K363</f>
        <v>0.10000000000000853</v>
      </c>
      <c r="M363" s="1">
        <f>+E363-I363</f>
        <v>3.810487300530907E-3</v>
      </c>
      <c r="N363" s="2">
        <v>94.3</v>
      </c>
      <c r="O363" s="2">
        <v>92.4</v>
      </c>
      <c r="P363" s="2">
        <f t="shared" si="5"/>
        <v>1.8999999999999915</v>
      </c>
      <c r="Q363">
        <v>1.1000000000000001</v>
      </c>
    </row>
    <row r="364" spans="1:17">
      <c r="A364" t="s">
        <v>66</v>
      </c>
      <c r="B364" t="s">
        <v>5</v>
      </c>
      <c r="C364">
        <v>33</v>
      </c>
      <c r="D364">
        <v>31</v>
      </c>
      <c r="E364" s="1">
        <f>+C364/(C364+D364)</f>
        <v>0.515625</v>
      </c>
      <c r="F364" s="2">
        <v>117.7</v>
      </c>
      <c r="G364" s="2">
        <v>117.3</v>
      </c>
      <c r="H364" s="2">
        <f>+F364-G364</f>
        <v>0.40000000000000568</v>
      </c>
      <c r="I364" s="1">
        <f>+(F364^14)/((F364^14+G364^14))</f>
        <v>0.51191265030386746</v>
      </c>
      <c r="J364" s="2">
        <v>114.1</v>
      </c>
      <c r="K364" s="2">
        <v>113.7</v>
      </c>
      <c r="L364" s="2">
        <f>+J364-K364</f>
        <v>0.39999999999999147</v>
      </c>
      <c r="M364" s="1">
        <f>+E364-I364</f>
        <v>3.7123496961325442E-3</v>
      </c>
      <c r="N364" s="2">
        <v>116</v>
      </c>
      <c r="O364" s="2">
        <v>112.7</v>
      </c>
      <c r="P364" s="2">
        <f t="shared" si="5"/>
        <v>3.2999999999999972</v>
      </c>
      <c r="Q364">
        <v>0.7</v>
      </c>
    </row>
    <row r="365" spans="1:17">
      <c r="A365" t="s">
        <v>34</v>
      </c>
      <c r="B365" t="s">
        <v>31</v>
      </c>
      <c r="C365">
        <v>44</v>
      </c>
      <c r="D365">
        <v>38</v>
      </c>
      <c r="E365" s="1">
        <f>+C365/(C365+D365)</f>
        <v>0.53658536585365857</v>
      </c>
      <c r="F365" s="2">
        <v>96</v>
      </c>
      <c r="G365" s="2">
        <v>95.1</v>
      </c>
      <c r="H365" s="2">
        <f>+F365-G365</f>
        <v>0.90000000000000568</v>
      </c>
      <c r="I365" s="1">
        <f>+(F365^14)/((F365^14+G365^14))</f>
        <v>0.53291958603886924</v>
      </c>
      <c r="J365" s="2">
        <v>103.8</v>
      </c>
      <c r="K365" s="2">
        <v>102.9</v>
      </c>
      <c r="L365" s="2">
        <f>+J365-K365</f>
        <v>0.89999999999999147</v>
      </c>
      <c r="M365" s="1">
        <f>+E365-I365</f>
        <v>3.6657798147893272E-3</v>
      </c>
      <c r="N365" s="2">
        <v>102.8</v>
      </c>
      <c r="O365" s="2">
        <v>106.5</v>
      </c>
      <c r="P365" s="2">
        <f t="shared" si="5"/>
        <v>-3.7000000000000028</v>
      </c>
      <c r="Q365">
        <v>0.6</v>
      </c>
    </row>
    <row r="366" spans="1:17">
      <c r="A366" t="s">
        <v>36</v>
      </c>
      <c r="B366" t="s">
        <v>27</v>
      </c>
      <c r="C366">
        <v>59</v>
      </c>
      <c r="D366">
        <v>23</v>
      </c>
      <c r="E366" s="1">
        <f>+C366/(C366+D366)</f>
        <v>0.71951219512195119</v>
      </c>
      <c r="F366" s="2">
        <v>101.7</v>
      </c>
      <c r="G366" s="2">
        <v>95.2</v>
      </c>
      <c r="H366" s="2">
        <f>+F366-G366</f>
        <v>6.5</v>
      </c>
      <c r="I366" s="1">
        <f>+(F366^14)/((F366^14+G366^14))</f>
        <v>0.71599128231824272</v>
      </c>
      <c r="J366" s="2">
        <v>104.4</v>
      </c>
      <c r="K366" s="2">
        <v>97.8</v>
      </c>
      <c r="L366" s="2">
        <f>+J366-K366</f>
        <v>6.6000000000000085</v>
      </c>
      <c r="M366" s="1">
        <f>+E366-I366</f>
        <v>3.5209128037084758E-3</v>
      </c>
      <c r="N366" s="2">
        <v>104.5</v>
      </c>
      <c r="O366" s="2">
        <v>101.8</v>
      </c>
      <c r="P366" s="2">
        <f t="shared" si="5"/>
        <v>2.7000000000000028</v>
      </c>
      <c r="Q366">
        <v>0.4</v>
      </c>
    </row>
    <row r="367" spans="1:17">
      <c r="A367" t="s">
        <v>34</v>
      </c>
      <c r="B367" t="s">
        <v>33</v>
      </c>
      <c r="C367">
        <v>37</v>
      </c>
      <c r="D367">
        <v>45</v>
      </c>
      <c r="E367" s="1">
        <f>+C367/(C367+D367)</f>
        <v>0.45121951219512196</v>
      </c>
      <c r="F367" s="2">
        <v>92.8</v>
      </c>
      <c r="G367" s="2">
        <v>94.2</v>
      </c>
      <c r="H367" s="2">
        <f>+F367-G367</f>
        <v>-1.4000000000000057</v>
      </c>
      <c r="I367" s="1">
        <f>+(F367^14)/((F367^14+G367^14))</f>
        <v>0.4477836824349537</v>
      </c>
      <c r="J367" s="2">
        <v>102.9</v>
      </c>
      <c r="K367" s="2">
        <v>104.5</v>
      </c>
      <c r="L367" s="2">
        <f>+J367-K367</f>
        <v>-1.5999999999999943</v>
      </c>
      <c r="M367" s="1">
        <f>+E367-I367</f>
        <v>3.435829760168263E-3</v>
      </c>
      <c r="N367" s="2">
        <v>100.3</v>
      </c>
      <c r="O367" s="2">
        <v>101</v>
      </c>
      <c r="P367" s="2">
        <f t="shared" si="5"/>
        <v>-0.70000000000000284</v>
      </c>
      <c r="Q367">
        <v>-0.4</v>
      </c>
    </row>
    <row r="368" spans="1:17">
      <c r="A368" t="s">
        <v>55</v>
      </c>
      <c r="B368" t="s">
        <v>56</v>
      </c>
      <c r="C368">
        <v>53</v>
      </c>
      <c r="D368">
        <v>29</v>
      </c>
      <c r="E368" s="1">
        <f>+C368/(C368+D368)</f>
        <v>0.64634146341463417</v>
      </c>
      <c r="F368" s="2">
        <v>104.5</v>
      </c>
      <c r="G368" s="2">
        <v>100.2</v>
      </c>
      <c r="H368" s="2">
        <f>+F368-G368</f>
        <v>4.2999999999999972</v>
      </c>
      <c r="I368" s="1">
        <f>+(F368^14)/((F368^14+G368^14))</f>
        <v>0.64296680993487854</v>
      </c>
      <c r="J368" s="2">
        <v>107.2</v>
      </c>
      <c r="K368" s="2">
        <v>102.7</v>
      </c>
      <c r="L368" s="2">
        <f>+J368-K368</f>
        <v>4.5</v>
      </c>
      <c r="M368" s="1">
        <f>+E368-I368</f>
        <v>3.3746534797556293E-3</v>
      </c>
      <c r="N368" s="2">
        <v>111.5</v>
      </c>
      <c r="O368" s="2">
        <v>102.8</v>
      </c>
      <c r="P368" s="2">
        <f t="shared" si="5"/>
        <v>8.7000000000000028</v>
      </c>
      <c r="Q368">
        <v>-0.2</v>
      </c>
    </row>
    <row r="369" spans="1:17">
      <c r="A369" t="s">
        <v>66</v>
      </c>
      <c r="B369" t="s">
        <v>51</v>
      </c>
      <c r="C369">
        <v>16</v>
      </c>
      <c r="D369">
        <v>47</v>
      </c>
      <c r="E369" s="1">
        <f>+C369/(C369+D369)</f>
        <v>0.25396825396825395</v>
      </c>
      <c r="F369" s="2">
        <v>106.9</v>
      </c>
      <c r="G369" s="2">
        <v>115.6</v>
      </c>
      <c r="H369" s="2">
        <f>+F369-G369</f>
        <v>-8.6999999999999886</v>
      </c>
      <c r="I369" s="1">
        <f>+(F369^14)/((F369^14+G369^14))</f>
        <v>0.25060467792949209</v>
      </c>
      <c r="J369" s="2">
        <v>109.6</v>
      </c>
      <c r="K369" s="2">
        <v>118.3</v>
      </c>
      <c r="L369" s="2">
        <f>+J369-K369</f>
        <v>-8.7000000000000028</v>
      </c>
      <c r="M369" s="1">
        <f>+E369-I369</f>
        <v>3.3635760387618618E-3</v>
      </c>
      <c r="N369" s="2">
        <v>99.4</v>
      </c>
      <c r="O369" s="2">
        <v>132.1</v>
      </c>
      <c r="P369" s="2">
        <f t="shared" si="5"/>
        <v>-32.699999999999989</v>
      </c>
      <c r="Q369">
        <v>-1.3</v>
      </c>
    </row>
    <row r="370" spans="1:17">
      <c r="A370" t="s">
        <v>65</v>
      </c>
      <c r="B370" t="s">
        <v>23</v>
      </c>
      <c r="C370">
        <v>41</v>
      </c>
      <c r="D370">
        <v>41</v>
      </c>
      <c r="E370" s="1">
        <f>+C370/(C370+D370)</f>
        <v>0.5</v>
      </c>
      <c r="F370" s="2">
        <v>105.4</v>
      </c>
      <c r="G370" s="2">
        <v>105.5</v>
      </c>
      <c r="H370" s="2">
        <f>+F370-G370</f>
        <v>-9.9999999999994316E-2</v>
      </c>
      <c r="I370" s="1">
        <f>+(F370^14)/((F370^14+G370^14))</f>
        <v>0.4966809399213436</v>
      </c>
      <c r="J370" s="2">
        <v>108.9</v>
      </c>
      <c r="K370" s="2">
        <v>109.1</v>
      </c>
      <c r="L370" s="2">
        <f>+J370-K370</f>
        <v>-0.19999999999998863</v>
      </c>
      <c r="M370" s="1">
        <f>+E370-I370</f>
        <v>3.3190600786563995E-3</v>
      </c>
      <c r="N370" s="2">
        <v>104.5</v>
      </c>
      <c r="O370" s="2">
        <v>97.5</v>
      </c>
      <c r="P370" s="2">
        <f t="shared" si="5"/>
        <v>7</v>
      </c>
      <c r="Q370">
        <v>0.8</v>
      </c>
    </row>
    <row r="371" spans="1:17">
      <c r="A371" t="s">
        <v>66</v>
      </c>
      <c r="B371" t="s">
        <v>31</v>
      </c>
      <c r="C371">
        <v>19</v>
      </c>
      <c r="D371">
        <v>45</v>
      </c>
      <c r="E371" s="1">
        <f>+C371/(C371+D371)</f>
        <v>0.296875</v>
      </c>
      <c r="F371" s="2">
        <v>117.4</v>
      </c>
      <c r="G371" s="2">
        <v>125</v>
      </c>
      <c r="H371" s="2">
        <f>+F371-G371</f>
        <v>-7.5999999999999943</v>
      </c>
      <c r="I371" s="1">
        <f>+(F371^14)/((F371^14+G371^14))</f>
        <v>0.29355597812960449</v>
      </c>
      <c r="J371" s="2">
        <v>113.2</v>
      </c>
      <c r="K371" s="2">
        <v>120.5</v>
      </c>
      <c r="L371" s="2">
        <f>+J371-K371</f>
        <v>-7.2999999999999972</v>
      </c>
      <c r="M371" s="1">
        <f>+E371-I371</f>
        <v>3.319021870395511E-3</v>
      </c>
      <c r="N371" s="2">
        <v>113.6</v>
      </c>
      <c r="O371" s="2">
        <v>106.1</v>
      </c>
      <c r="P371" s="2">
        <f t="shared" si="5"/>
        <v>7.5</v>
      </c>
      <c r="Q371" s="2">
        <v>-0.7</v>
      </c>
    </row>
    <row r="372" spans="1:17">
      <c r="A372" t="s">
        <v>57</v>
      </c>
      <c r="B372" t="s">
        <v>10</v>
      </c>
      <c r="C372">
        <v>33</v>
      </c>
      <c r="D372">
        <v>49</v>
      </c>
      <c r="E372" s="1">
        <f>+C372/(C372+D372)</f>
        <v>0.40243902439024393</v>
      </c>
      <c r="F372" s="2">
        <v>97.9</v>
      </c>
      <c r="G372" s="2">
        <v>100.8</v>
      </c>
      <c r="H372" s="2">
        <f>+F372-G372</f>
        <v>-2.8999999999999915</v>
      </c>
      <c r="I372" s="1">
        <f>+(F372^14)/((F372^14+G372^14))</f>
        <v>0.39922740690355496</v>
      </c>
      <c r="J372" s="2">
        <v>104.7</v>
      </c>
      <c r="K372" s="2">
        <v>107.7</v>
      </c>
      <c r="L372" s="2">
        <f>+J372-K372</f>
        <v>-3</v>
      </c>
      <c r="M372" s="1">
        <f>+E372-I372</f>
        <v>3.2116174866889668E-3</v>
      </c>
      <c r="N372" s="2">
        <v>101.7</v>
      </c>
      <c r="O372" s="2">
        <v>107.8</v>
      </c>
      <c r="P372" s="2">
        <f t="shared" si="5"/>
        <v>-6.0999999999999943</v>
      </c>
      <c r="Q372">
        <v>-0.6</v>
      </c>
    </row>
    <row r="373" spans="1:17">
      <c r="A373" t="s">
        <v>64</v>
      </c>
      <c r="B373" t="s">
        <v>5</v>
      </c>
      <c r="C373">
        <v>36</v>
      </c>
      <c r="D373">
        <v>46</v>
      </c>
      <c r="E373" s="1">
        <f>+C373/(C373+D373)</f>
        <v>0.43902439024390244</v>
      </c>
      <c r="F373" s="2">
        <v>118.3</v>
      </c>
      <c r="G373" s="2">
        <v>120.5</v>
      </c>
      <c r="H373" s="2">
        <f>+F373-G373</f>
        <v>-2.2000000000000028</v>
      </c>
      <c r="I373" s="1">
        <f>+(F373^14)/((F373^14+G373^14))</f>
        <v>0.43586432994244823</v>
      </c>
      <c r="J373" s="2">
        <v>116.4</v>
      </c>
      <c r="K373" s="2">
        <v>118.4</v>
      </c>
      <c r="L373" s="2">
        <f>+J373-K373</f>
        <v>-2</v>
      </c>
      <c r="M373" s="1">
        <f>+E373-I373</f>
        <v>3.160060301454215E-3</v>
      </c>
      <c r="N373" s="2">
        <v>103.9</v>
      </c>
      <c r="O373" s="2">
        <v>118.7</v>
      </c>
      <c r="P373" s="2">
        <f t="shared" si="5"/>
        <v>-14.799999999999997</v>
      </c>
      <c r="Q373">
        <v>-0.9</v>
      </c>
    </row>
    <row r="374" spans="1:17">
      <c r="A374" t="s">
        <v>39</v>
      </c>
      <c r="B374" t="s">
        <v>18</v>
      </c>
      <c r="C374">
        <v>59</v>
      </c>
      <c r="D374">
        <v>23</v>
      </c>
      <c r="E374" s="1">
        <f>+C374/(C374+D374)</f>
        <v>0.71951219512195119</v>
      </c>
      <c r="F374" s="2">
        <v>101.5</v>
      </c>
      <c r="G374" s="2">
        <v>95</v>
      </c>
      <c r="H374" s="2">
        <f>+F374-G374</f>
        <v>6.5</v>
      </c>
      <c r="I374" s="1">
        <f>+(F374^14)/((F374^14+G374^14))</f>
        <v>0.71637416016050837</v>
      </c>
      <c r="J374" s="2">
        <v>108.9</v>
      </c>
      <c r="K374" s="2">
        <v>102.2</v>
      </c>
      <c r="L374" s="2">
        <f>+J374-K374</f>
        <v>6.7000000000000028</v>
      </c>
      <c r="M374" s="1">
        <f>+E374-I374</f>
        <v>3.138034961442826E-3</v>
      </c>
      <c r="N374" s="2">
        <v>108.8</v>
      </c>
      <c r="O374" s="2">
        <v>97.7</v>
      </c>
      <c r="P374" s="2">
        <f t="shared" si="5"/>
        <v>11.099999999999994</v>
      </c>
      <c r="Q374">
        <v>2.4</v>
      </c>
    </row>
    <row r="375" spans="1:17">
      <c r="A375" t="s">
        <v>44</v>
      </c>
      <c r="B375" t="s">
        <v>14</v>
      </c>
      <c r="C375">
        <v>55</v>
      </c>
      <c r="D375">
        <v>27</v>
      </c>
      <c r="E375" s="1">
        <f>+C375/(C375+D375)</f>
        <v>0.67073170731707321</v>
      </c>
      <c r="F375" s="2">
        <v>96.7</v>
      </c>
      <c r="G375" s="2">
        <v>92</v>
      </c>
      <c r="H375" s="2">
        <f>+F375-G375</f>
        <v>4.7000000000000028</v>
      </c>
      <c r="I375" s="1">
        <f>+(F375^14)/((F375^14+G375^14))</f>
        <v>0.6676438096091204</v>
      </c>
      <c r="J375" s="2">
        <v>105.4</v>
      </c>
      <c r="K375" s="2">
        <v>100.5</v>
      </c>
      <c r="L375" s="2">
        <f>+J375-K375</f>
        <v>4.9000000000000057</v>
      </c>
      <c r="M375" s="1">
        <f>+E375-I375</f>
        <v>3.0878977079528136E-3</v>
      </c>
      <c r="N375" s="2">
        <v>99.2</v>
      </c>
      <c r="O375" s="2">
        <v>104.5</v>
      </c>
      <c r="P375" s="2">
        <f t="shared" si="5"/>
        <v>-5.2999999999999972</v>
      </c>
      <c r="Q375">
        <v>0.1</v>
      </c>
    </row>
    <row r="376" spans="1:17">
      <c r="A376" t="s">
        <v>57</v>
      </c>
      <c r="B376" t="s">
        <v>13</v>
      </c>
      <c r="C376">
        <v>67</v>
      </c>
      <c r="D376">
        <v>15</v>
      </c>
      <c r="E376" s="1">
        <f>+C376/(C376+D376)</f>
        <v>0.81707317073170727</v>
      </c>
      <c r="F376" s="2">
        <v>115.9</v>
      </c>
      <c r="G376" s="2">
        <v>104.3</v>
      </c>
      <c r="H376" s="2">
        <f>+F376-G376</f>
        <v>11.600000000000009</v>
      </c>
      <c r="I376" s="1">
        <f>+(F376^14)/((F376^14+G376^14))</f>
        <v>0.81402660694533269</v>
      </c>
      <c r="J376" s="2">
        <v>114.8</v>
      </c>
      <c r="K376" s="2">
        <v>103.4</v>
      </c>
      <c r="L376" s="2">
        <f>+J376-K376</f>
        <v>11.399999999999991</v>
      </c>
      <c r="M376" s="1">
        <f>+E376-I376</f>
        <v>3.0465637863745787E-3</v>
      </c>
      <c r="N376" s="2">
        <v>109.7</v>
      </c>
      <c r="O376" s="2">
        <v>100</v>
      </c>
      <c r="P376" s="2">
        <f t="shared" si="5"/>
        <v>9.7000000000000028</v>
      </c>
      <c r="Q376">
        <v>0.2</v>
      </c>
    </row>
    <row r="377" spans="1:17">
      <c r="A377" t="s">
        <v>38</v>
      </c>
      <c r="B377" t="s">
        <v>27</v>
      </c>
      <c r="C377">
        <v>55</v>
      </c>
      <c r="D377">
        <v>27</v>
      </c>
      <c r="E377" s="1">
        <f>+C377/(C377+D377)</f>
        <v>0.67073170731707321</v>
      </c>
      <c r="F377" s="2">
        <v>102.8</v>
      </c>
      <c r="G377" s="2">
        <v>97.8</v>
      </c>
      <c r="H377" s="2">
        <f>+F377-G377</f>
        <v>5</v>
      </c>
      <c r="I377" s="1">
        <f>+(F377^14)/((F377^14+G377^14))</f>
        <v>0.66775548198710677</v>
      </c>
      <c r="J377" s="2">
        <v>108.6</v>
      </c>
      <c r="K377" s="2">
        <v>103.2</v>
      </c>
      <c r="L377" s="2">
        <f>+J377-K377</f>
        <v>5.3999999999999915</v>
      </c>
      <c r="M377" s="1">
        <f>+E377-I377</f>
        <v>2.9762253299664421E-3</v>
      </c>
      <c r="N377" s="2">
        <v>105.1</v>
      </c>
      <c r="O377" s="2">
        <v>96.7</v>
      </c>
      <c r="P377" s="2">
        <f t="shared" si="5"/>
        <v>8.3999999999999915</v>
      </c>
      <c r="Q377">
        <v>1.5</v>
      </c>
    </row>
    <row r="378" spans="1:17">
      <c r="A378" t="s">
        <v>4</v>
      </c>
      <c r="B378" t="s">
        <v>19</v>
      </c>
      <c r="C378">
        <v>52</v>
      </c>
      <c r="D378">
        <v>30</v>
      </c>
      <c r="E378" s="1">
        <f>+C378/(C378+D378)</f>
        <v>0.63414634146341464</v>
      </c>
      <c r="F378" s="2">
        <v>100.7</v>
      </c>
      <c r="G378" s="2">
        <v>96.9</v>
      </c>
      <c r="H378" s="2">
        <f>+F378-G378</f>
        <v>3.7999999999999972</v>
      </c>
      <c r="I378" s="1">
        <f>+(F378^14)/((F378^14+G378^14))</f>
        <v>0.63146991070867009</v>
      </c>
      <c r="J378" s="2">
        <v>106.8</v>
      </c>
      <c r="K378" s="2">
        <v>102.6</v>
      </c>
      <c r="L378" s="2">
        <f>+J378-K378</f>
        <v>4.2000000000000028</v>
      </c>
      <c r="M378" s="1">
        <f>+E378-I378</f>
        <v>2.6764307547445521E-3</v>
      </c>
      <c r="N378" s="2">
        <v>112.2</v>
      </c>
      <c r="O378" s="2">
        <v>103.8</v>
      </c>
      <c r="P378" s="2">
        <f t="shared" si="5"/>
        <v>8.4000000000000057</v>
      </c>
      <c r="Q378">
        <v>0.2</v>
      </c>
    </row>
    <row r="379" spans="1:17">
      <c r="A379" t="s">
        <v>50</v>
      </c>
      <c r="B379" t="s">
        <v>27</v>
      </c>
      <c r="C379">
        <v>28</v>
      </c>
      <c r="D379">
        <v>54</v>
      </c>
      <c r="E379" s="1">
        <f>+C379/(C379+D379)</f>
        <v>0.34146341463414637</v>
      </c>
      <c r="F379" s="2">
        <v>100.2</v>
      </c>
      <c r="G379" s="2">
        <v>105.1</v>
      </c>
      <c r="H379" s="2">
        <f>+F379-G379</f>
        <v>-4.8999999999999915</v>
      </c>
      <c r="I379" s="1">
        <f>+(F379^14)/((F379^14+G379^14))</f>
        <v>0.33885133571043297</v>
      </c>
      <c r="J379" s="2">
        <v>105.3</v>
      </c>
      <c r="K379" s="2">
        <v>110</v>
      </c>
      <c r="L379" s="2">
        <f>+J379-K379</f>
        <v>-4.7000000000000028</v>
      </c>
      <c r="M379" s="1">
        <f>+E379-I379</f>
        <v>2.6120789237134012E-3</v>
      </c>
      <c r="N379" s="2">
        <v>101</v>
      </c>
      <c r="O379" s="2">
        <v>102.3</v>
      </c>
      <c r="P379" s="2">
        <f t="shared" si="5"/>
        <v>-1.2999999999999972</v>
      </c>
      <c r="Q379">
        <v>-0.2</v>
      </c>
    </row>
    <row r="380" spans="1:17">
      <c r="A380" t="s">
        <v>58</v>
      </c>
      <c r="B380" t="s">
        <v>20</v>
      </c>
      <c r="C380">
        <v>47</v>
      </c>
      <c r="D380">
        <v>35</v>
      </c>
      <c r="E380" s="1">
        <f>+C380/(C380+D380)</f>
        <v>0.57317073170731703</v>
      </c>
      <c r="F380" s="2">
        <v>109.5</v>
      </c>
      <c r="G380" s="2">
        <v>107.3</v>
      </c>
      <c r="H380" s="2">
        <f>+F380-G380</f>
        <v>2.2000000000000028</v>
      </c>
      <c r="I380" s="1">
        <f>+(F380^14)/((F380^14+G380^14))</f>
        <v>0.57056154224834466</v>
      </c>
      <c r="J380" s="2">
        <v>112.5</v>
      </c>
      <c r="K380" s="2">
        <v>110.2</v>
      </c>
      <c r="L380" s="2">
        <f>+J380-K380</f>
        <v>2.2999999999999972</v>
      </c>
      <c r="M380" s="1">
        <f>+E380-I380</f>
        <v>2.6091894589723719E-3</v>
      </c>
      <c r="N380" s="2">
        <v>107.4</v>
      </c>
      <c r="O380" s="2">
        <v>114.8</v>
      </c>
      <c r="P380" s="2">
        <f t="shared" si="5"/>
        <v>-7.3999999999999915</v>
      </c>
      <c r="Q380">
        <v>-0.6</v>
      </c>
    </row>
    <row r="381" spans="1:17">
      <c r="A381" t="s">
        <v>44</v>
      </c>
      <c r="B381" t="s">
        <v>37</v>
      </c>
      <c r="C381">
        <v>56</v>
      </c>
      <c r="D381">
        <v>26</v>
      </c>
      <c r="E381" s="1">
        <f>+C381/(C381+D381)</f>
        <v>0.68292682926829273</v>
      </c>
      <c r="F381" s="2">
        <v>100.9</v>
      </c>
      <c r="G381" s="2">
        <v>95.6</v>
      </c>
      <c r="H381" s="2">
        <f>+F381-G381</f>
        <v>5.3000000000000114</v>
      </c>
      <c r="I381" s="1">
        <f>+(F381^14)/((F381^14+G381^14))</f>
        <v>0.68035408366862116</v>
      </c>
      <c r="J381" s="2">
        <v>110</v>
      </c>
      <c r="K381" s="2">
        <v>104.4</v>
      </c>
      <c r="L381" s="2">
        <f>+J381-K381</f>
        <v>5.5999999999999943</v>
      </c>
      <c r="M381" s="1">
        <f>+E381-I381</f>
        <v>2.5727455996715776E-3</v>
      </c>
      <c r="N381" s="2">
        <v>105.2</v>
      </c>
      <c r="O381" s="2">
        <v>98.5</v>
      </c>
      <c r="P381" s="2">
        <f t="shared" si="5"/>
        <v>6.7000000000000028</v>
      </c>
      <c r="Q381">
        <v>1.4</v>
      </c>
    </row>
    <row r="382" spans="1:17">
      <c r="A382" t="s">
        <v>61</v>
      </c>
      <c r="B382" t="s">
        <v>11</v>
      </c>
      <c r="C382">
        <v>47</v>
      </c>
      <c r="D382">
        <v>25</v>
      </c>
      <c r="E382" s="1">
        <f>+C382/(C382+D382)</f>
        <v>0.65277777777777779</v>
      </c>
      <c r="F382" s="2">
        <v>115.1</v>
      </c>
      <c r="G382" s="2">
        <v>110.1</v>
      </c>
      <c r="H382" s="2">
        <f>+F382-G382</f>
        <v>5</v>
      </c>
      <c r="I382" s="1">
        <f>+(F382^14)/((F382^14+G382^14))</f>
        <v>0.65062141130812434</v>
      </c>
      <c r="J382" s="2">
        <v>116.3</v>
      </c>
      <c r="K382" s="2">
        <v>111.5</v>
      </c>
      <c r="L382" s="2">
        <f>+J382-K382</f>
        <v>4.7999999999999972</v>
      </c>
      <c r="M382" s="1">
        <f>+E382-I382</f>
        <v>2.1563664696534479E-3</v>
      </c>
      <c r="N382" s="2">
        <v>114.4</v>
      </c>
      <c r="O382" s="2">
        <v>109</v>
      </c>
      <c r="P382" s="2">
        <f t="shared" si="5"/>
        <v>5.4000000000000057</v>
      </c>
      <c r="Q382">
        <v>0.7</v>
      </c>
    </row>
    <row r="383" spans="1:17">
      <c r="A383" t="s">
        <v>45</v>
      </c>
      <c r="B383" t="s">
        <v>30</v>
      </c>
      <c r="C383">
        <v>33</v>
      </c>
      <c r="D383">
        <v>49</v>
      </c>
      <c r="E383" s="1">
        <f>+C383/(C383+D383)</f>
        <v>0.40243902439024393</v>
      </c>
      <c r="F383" s="2">
        <v>99</v>
      </c>
      <c r="G383" s="2">
        <v>101.9</v>
      </c>
      <c r="H383" s="2">
        <f>+F383-G383</f>
        <v>-2.9000000000000057</v>
      </c>
      <c r="I383" s="1">
        <f>+(F383^14)/((F383^14+G383^14))</f>
        <v>0.4003014410465785</v>
      </c>
      <c r="J383" s="2">
        <v>105.5</v>
      </c>
      <c r="K383" s="2">
        <v>108.6</v>
      </c>
      <c r="L383" s="2">
        <f>+J383-K383</f>
        <v>-3.0999999999999943</v>
      </c>
      <c r="M383" s="1">
        <f>+E383-I383</f>
        <v>2.1375833436654279E-3</v>
      </c>
      <c r="N383" s="2">
        <v>107</v>
      </c>
      <c r="O383" s="2">
        <v>111</v>
      </c>
      <c r="P383" s="2">
        <f t="shared" si="5"/>
        <v>-4</v>
      </c>
      <c r="Q383">
        <v>-0.5</v>
      </c>
    </row>
    <row r="384" spans="1:17">
      <c r="A384" t="s">
        <v>48</v>
      </c>
      <c r="B384" t="s">
        <v>21</v>
      </c>
      <c r="C384">
        <v>24</v>
      </c>
      <c r="D384">
        <v>58</v>
      </c>
      <c r="E384" s="1">
        <f>+C384/(C384+D384)</f>
        <v>0.29268292682926828</v>
      </c>
      <c r="F384" s="2">
        <v>94.2</v>
      </c>
      <c r="G384" s="2">
        <v>100.4</v>
      </c>
      <c r="H384" s="2">
        <f>+F384-G384</f>
        <v>-6.2000000000000028</v>
      </c>
      <c r="I384" s="1">
        <f>+(F384^14)/((F384^14+G384^14))</f>
        <v>0.29061719989236251</v>
      </c>
      <c r="J384" s="2">
        <v>102.1</v>
      </c>
      <c r="K384" s="2">
        <v>108.9</v>
      </c>
      <c r="L384" s="2">
        <f>+J384-K384</f>
        <v>-6.8000000000000114</v>
      </c>
      <c r="M384" s="1">
        <f>+E384-I384</f>
        <v>2.0657269369057651E-3</v>
      </c>
      <c r="N384" s="2">
        <v>100.5</v>
      </c>
      <c r="O384" s="2">
        <v>106.6</v>
      </c>
      <c r="P384" s="2">
        <f t="shared" si="5"/>
        <v>-6.0999999999999943</v>
      </c>
      <c r="Q384">
        <v>-0.4</v>
      </c>
    </row>
    <row r="385" spans="1:17">
      <c r="A385" t="s">
        <v>36</v>
      </c>
      <c r="B385" t="s">
        <v>24</v>
      </c>
      <c r="C385">
        <v>48</v>
      </c>
      <c r="D385">
        <v>34</v>
      </c>
      <c r="E385" s="1">
        <f>+C385/(C385+D385)</f>
        <v>0.58536585365853655</v>
      </c>
      <c r="F385" s="2">
        <v>96.8</v>
      </c>
      <c r="G385" s="2">
        <v>94.5</v>
      </c>
      <c r="H385" s="2">
        <f>+F385-G385</f>
        <v>2.2999999999999972</v>
      </c>
      <c r="I385" s="1">
        <f>+(F385^14)/((F385^14+G385^14))</f>
        <v>0.58337902714403844</v>
      </c>
      <c r="J385" s="2">
        <v>103.2</v>
      </c>
      <c r="K385" s="2">
        <v>100.6</v>
      </c>
      <c r="L385" s="2">
        <f>+J385-K385</f>
        <v>2.6000000000000085</v>
      </c>
      <c r="M385" s="1">
        <f>+E385-I385</f>
        <v>1.9868265144981079E-3</v>
      </c>
      <c r="N385" s="2">
        <v>102.4</v>
      </c>
      <c r="O385" s="2">
        <v>98.5</v>
      </c>
      <c r="P385" s="2">
        <f t="shared" si="5"/>
        <v>3.9000000000000057</v>
      </c>
      <c r="Q385">
        <v>1.1000000000000001</v>
      </c>
    </row>
    <row r="386" spans="1:17">
      <c r="A386" t="s">
        <v>34</v>
      </c>
      <c r="B386" t="s">
        <v>27</v>
      </c>
      <c r="C386">
        <v>61</v>
      </c>
      <c r="D386">
        <v>21</v>
      </c>
      <c r="E386" s="1">
        <f>+C386/(C386+D386)</f>
        <v>0.74390243902439024</v>
      </c>
      <c r="F386" s="2">
        <v>104.6</v>
      </c>
      <c r="G386" s="2">
        <v>97</v>
      </c>
      <c r="H386" s="2">
        <f>+F386-G386</f>
        <v>7.5999999999999943</v>
      </c>
      <c r="I386" s="1">
        <f>+(F386^14)/((F386^14+G386^14))</f>
        <v>0.74193612519657792</v>
      </c>
      <c r="J386" s="2">
        <v>107.9</v>
      </c>
      <c r="K386" s="2">
        <v>99.7</v>
      </c>
      <c r="L386" s="2">
        <f>+J386-K386</f>
        <v>8.2000000000000028</v>
      </c>
      <c r="M386" s="1">
        <f>+E386-I386</f>
        <v>1.966313827812316E-3</v>
      </c>
      <c r="N386" s="2">
        <v>105</v>
      </c>
      <c r="O386" s="2">
        <v>89.6</v>
      </c>
      <c r="P386" s="2">
        <f t="shared" si="5"/>
        <v>15.400000000000006</v>
      </c>
      <c r="Q386">
        <v>0.8</v>
      </c>
    </row>
    <row r="387" spans="1:17">
      <c r="A387" t="s">
        <v>60</v>
      </c>
      <c r="B387" t="s">
        <v>51</v>
      </c>
      <c r="C387">
        <v>35</v>
      </c>
      <c r="D387">
        <v>37</v>
      </c>
      <c r="E387" s="1">
        <f>+C387/(C387+D387)</f>
        <v>0.4861111111111111</v>
      </c>
      <c r="F387" s="2">
        <v>111.8</v>
      </c>
      <c r="G387" s="2">
        <v>112.3</v>
      </c>
      <c r="H387" s="2">
        <f>+F387-G387</f>
        <v>-0.5</v>
      </c>
      <c r="I387" s="1">
        <f>+(F387^14)/((F387^14+G387^14))</f>
        <v>0.48438702391890293</v>
      </c>
      <c r="J387" s="2">
        <v>108.7</v>
      </c>
      <c r="K387" s="2">
        <v>109.2</v>
      </c>
      <c r="L387" s="2">
        <f>+J387-K387</f>
        <v>-0.5</v>
      </c>
      <c r="M387" s="1">
        <f>+E387-I387</f>
        <v>1.7240871922081791E-3</v>
      </c>
      <c r="N387" s="2">
        <v>110.4</v>
      </c>
      <c r="O387" s="2">
        <v>107.2</v>
      </c>
      <c r="P387" s="2">
        <f t="shared" si="5"/>
        <v>3.2000000000000028</v>
      </c>
      <c r="Q387">
        <v>-1.3</v>
      </c>
    </row>
    <row r="388" spans="1:17">
      <c r="A388" t="s">
        <v>38</v>
      </c>
      <c r="B388" t="s">
        <v>8</v>
      </c>
      <c r="C388">
        <v>23</v>
      </c>
      <c r="D388">
        <v>59</v>
      </c>
      <c r="E388" s="1">
        <f>+C388/(C388+D388)</f>
        <v>0.28048780487804881</v>
      </c>
      <c r="F388" s="2">
        <v>89.7</v>
      </c>
      <c r="G388" s="2">
        <v>96</v>
      </c>
      <c r="H388" s="2">
        <f>+F388-G388</f>
        <v>-6.2999999999999972</v>
      </c>
      <c r="I388" s="1">
        <f>+(F388^14)/((F388^14+G388^14))</f>
        <v>0.27882772823461371</v>
      </c>
      <c r="J388" s="2">
        <v>95.6</v>
      </c>
      <c r="K388" s="2">
        <v>102.1</v>
      </c>
      <c r="L388" s="2">
        <f>+J388-K388</f>
        <v>-6.5</v>
      </c>
      <c r="M388" s="1">
        <f>+E388-I388</f>
        <v>1.6600766434350933E-3</v>
      </c>
      <c r="N388" s="2">
        <v>84</v>
      </c>
      <c r="O388" s="2">
        <v>100.8</v>
      </c>
      <c r="P388" s="2">
        <f t="shared" si="5"/>
        <v>-16.799999999999997</v>
      </c>
      <c r="Q388">
        <v>-2.2000000000000002</v>
      </c>
    </row>
    <row r="389" spans="1:17">
      <c r="A389" t="s">
        <v>66</v>
      </c>
      <c r="B389" t="s">
        <v>11</v>
      </c>
      <c r="C389">
        <v>39</v>
      </c>
      <c r="D389">
        <v>25</v>
      </c>
      <c r="E389" s="1">
        <f>+C389/(C389+D389)</f>
        <v>0.609375</v>
      </c>
      <c r="F389" s="2">
        <v>120.2</v>
      </c>
      <c r="G389" s="2">
        <v>116.5</v>
      </c>
      <c r="H389" s="2">
        <f>+F389-G389</f>
        <v>3.7000000000000028</v>
      </c>
      <c r="I389" s="1">
        <f>+(F389^14)/((F389^14+G389^14))</f>
        <v>0.6077157346709432</v>
      </c>
      <c r="J389" s="2">
        <v>120</v>
      </c>
      <c r="K389" s="2">
        <v>116.3</v>
      </c>
      <c r="L389" s="2">
        <f>+J389-K389</f>
        <v>3.7000000000000028</v>
      </c>
      <c r="M389" s="1">
        <f>+E389-I389</f>
        <v>1.6592653290568027E-3</v>
      </c>
      <c r="N389" s="2">
        <v>119.4</v>
      </c>
      <c r="O389" s="2">
        <v>128.5</v>
      </c>
      <c r="P389" s="2">
        <f t="shared" si="5"/>
        <v>-9.0999999999999943</v>
      </c>
      <c r="Q389" s="2">
        <v>-0.5</v>
      </c>
    </row>
    <row r="390" spans="1:17">
      <c r="A390" t="s">
        <v>38</v>
      </c>
      <c r="B390" t="s">
        <v>16</v>
      </c>
      <c r="C390">
        <v>28</v>
      </c>
      <c r="D390">
        <v>54</v>
      </c>
      <c r="E390" s="1">
        <f>+C390/(C390+D390)</f>
        <v>0.34146341463414637</v>
      </c>
      <c r="F390" s="2">
        <v>94.8</v>
      </c>
      <c r="G390" s="2">
        <v>99.4</v>
      </c>
      <c r="H390" s="2">
        <f>+F390-G390</f>
        <v>-4.6000000000000085</v>
      </c>
      <c r="I390" s="1">
        <f>+(F390^14)/((F390^14+G390^14))</f>
        <v>0.33998571838438196</v>
      </c>
      <c r="J390" s="2">
        <v>101.9</v>
      </c>
      <c r="K390" s="2">
        <v>106.6</v>
      </c>
      <c r="L390" s="2">
        <f>+J390-K390</f>
        <v>-4.6999999999999886</v>
      </c>
      <c r="M390" s="1">
        <f>+E390-I390</f>
        <v>1.4776962497644042E-3</v>
      </c>
      <c r="N390" s="2">
        <v>93</v>
      </c>
      <c r="O390" s="2">
        <v>105.5</v>
      </c>
      <c r="P390" s="2">
        <f t="shared" si="5"/>
        <v>-12.5</v>
      </c>
      <c r="Q390">
        <v>-1.3</v>
      </c>
    </row>
    <row r="391" spans="1:17">
      <c r="A391" t="s">
        <v>54</v>
      </c>
      <c r="B391" t="s">
        <v>22</v>
      </c>
      <c r="C391">
        <v>17</v>
      </c>
      <c r="D391">
        <v>65</v>
      </c>
      <c r="E391" s="1">
        <f>+C391/(C391+D391)</f>
        <v>0.2073170731707317</v>
      </c>
      <c r="F391" s="2">
        <v>91.9</v>
      </c>
      <c r="G391" s="2">
        <v>101.2</v>
      </c>
      <c r="H391" s="2">
        <f>+F391-G391</f>
        <v>-9.2999999999999972</v>
      </c>
      <c r="I391" s="1">
        <f>+(F391^14)/((F391^14+G391^14))</f>
        <v>0.20594097725423322</v>
      </c>
      <c r="J391" s="2">
        <v>98.9</v>
      </c>
      <c r="K391" s="2">
        <v>109</v>
      </c>
      <c r="L391" s="2">
        <f>+J391-K391</f>
        <v>-10.099999999999994</v>
      </c>
      <c r="M391" s="1">
        <f>+E391-I391</f>
        <v>1.3760959164984821E-3</v>
      </c>
      <c r="N391" s="2">
        <v>91.9</v>
      </c>
      <c r="O391" s="2">
        <v>101.5</v>
      </c>
      <c r="P391" s="2">
        <f t="shared" si="5"/>
        <v>-9.5999999999999943</v>
      </c>
      <c r="Q391">
        <v>0.6</v>
      </c>
    </row>
    <row r="392" spans="1:17">
      <c r="A392" t="s">
        <v>34</v>
      </c>
      <c r="B392" t="s">
        <v>15</v>
      </c>
      <c r="C392">
        <v>42</v>
      </c>
      <c r="D392">
        <v>40</v>
      </c>
      <c r="E392" s="1">
        <f>+C392/(C392+D392)</f>
        <v>0.51219512195121952</v>
      </c>
      <c r="F392" s="2">
        <v>96.8</v>
      </c>
      <c r="G392" s="2">
        <v>96.5</v>
      </c>
      <c r="H392" s="2">
        <f>+F392-G392</f>
        <v>0.29999999999999716</v>
      </c>
      <c r="I392" s="1">
        <f>+(F392^14)/((F392^14+G392^14))</f>
        <v>0.51086224147445425</v>
      </c>
      <c r="J392" s="2">
        <v>102.8</v>
      </c>
      <c r="K392" s="2">
        <v>102.4</v>
      </c>
      <c r="L392" s="2">
        <f>+J392-K392</f>
        <v>0.39999999999999147</v>
      </c>
      <c r="M392" s="1">
        <f>+E392-I392</f>
        <v>1.3328804767652747E-3</v>
      </c>
      <c r="N392" s="2">
        <v>101.1</v>
      </c>
      <c r="O392" s="2">
        <v>103</v>
      </c>
      <c r="P392" s="2">
        <f t="shared" si="5"/>
        <v>-1.9000000000000057</v>
      </c>
      <c r="Q392">
        <v>-0.1</v>
      </c>
    </row>
    <row r="393" spans="1:17">
      <c r="A393" t="s">
        <v>38</v>
      </c>
      <c r="B393" t="s">
        <v>33</v>
      </c>
      <c r="C393">
        <v>25</v>
      </c>
      <c r="D393">
        <v>57</v>
      </c>
      <c r="E393" s="1">
        <f>+C393/(C393+D393)</f>
        <v>0.3048780487804878</v>
      </c>
      <c r="F393" s="2">
        <v>91.8</v>
      </c>
      <c r="G393" s="2">
        <v>97.4</v>
      </c>
      <c r="H393" s="2">
        <f>+F393-G393</f>
        <v>-5.6000000000000085</v>
      </c>
      <c r="I393" s="1">
        <f>+(F393^14)/((F393^14+G393^14))</f>
        <v>0.30385766011408771</v>
      </c>
      <c r="J393" s="2">
        <v>97.1</v>
      </c>
      <c r="K393" s="2">
        <v>102.9</v>
      </c>
      <c r="L393" s="2">
        <f>+J393-K393</f>
        <v>-5.8000000000000114</v>
      </c>
      <c r="M393" s="1">
        <f>+E393-I393</f>
        <v>1.020388666400085E-3</v>
      </c>
      <c r="N393" s="2">
        <v>96.3</v>
      </c>
      <c r="O393" s="2">
        <v>108.8</v>
      </c>
      <c r="P393" s="2">
        <f t="shared" si="5"/>
        <v>-12.5</v>
      </c>
      <c r="Q393">
        <v>-1.1000000000000001</v>
      </c>
    </row>
    <row r="394" spans="1:17">
      <c r="A394" t="s">
        <v>57</v>
      </c>
      <c r="B394" t="s">
        <v>14</v>
      </c>
      <c r="C394">
        <v>55</v>
      </c>
      <c r="D394">
        <v>27</v>
      </c>
      <c r="E394" s="1">
        <f>+C394/(C394+D394)</f>
        <v>0.67073170731707321</v>
      </c>
      <c r="F394" s="2">
        <v>115.3</v>
      </c>
      <c r="G394" s="2">
        <v>109.6</v>
      </c>
      <c r="H394" s="2">
        <f>+F394-G394</f>
        <v>5.7000000000000028</v>
      </c>
      <c r="I394" s="1">
        <f>+(F394^14)/((F394^14+G394^14))</f>
        <v>0.67035712884085974</v>
      </c>
      <c r="J394" s="2">
        <v>114.1</v>
      </c>
      <c r="K394" s="2">
        <v>108.4</v>
      </c>
      <c r="L394" s="2">
        <f>+J394-K394</f>
        <v>5.6999999999999886</v>
      </c>
      <c r="M394" s="1">
        <f>+E394-I394</f>
        <v>3.7457847621347184E-4</v>
      </c>
      <c r="N394" s="2">
        <v>100</v>
      </c>
      <c r="O394" s="2">
        <v>105.7</v>
      </c>
      <c r="P394" s="2">
        <f t="shared" ref="P394:P457" si="6">+N394-O394</f>
        <v>-5.7000000000000028</v>
      </c>
      <c r="Q394">
        <v>-1.1000000000000001</v>
      </c>
    </row>
    <row r="395" spans="1:17">
      <c r="A395" t="s">
        <v>43</v>
      </c>
      <c r="B395" t="s">
        <v>22</v>
      </c>
      <c r="C395">
        <v>33</v>
      </c>
      <c r="D395">
        <v>49</v>
      </c>
      <c r="E395" s="1">
        <f>+C395/(C395+D395)</f>
        <v>0.40243902439024393</v>
      </c>
      <c r="F395" s="2">
        <v>97.5</v>
      </c>
      <c r="G395" s="2">
        <v>100.3</v>
      </c>
      <c r="H395" s="2">
        <f>+F395-G395</f>
        <v>-2.7999999999999972</v>
      </c>
      <c r="I395" s="1">
        <f>+(F395^14)/((F395^14+G395^14))</f>
        <v>0.40218084588560077</v>
      </c>
      <c r="J395" s="2">
        <v>104.3</v>
      </c>
      <c r="K395" s="2">
        <v>107.4</v>
      </c>
      <c r="L395" s="2">
        <f>+J395-K395</f>
        <v>-3.1000000000000085</v>
      </c>
      <c r="M395" s="1">
        <f>+E395-I395</f>
        <v>2.5817850464315839E-4</v>
      </c>
      <c r="N395" s="2">
        <v>107.4</v>
      </c>
      <c r="O395" s="2">
        <v>102.9</v>
      </c>
      <c r="P395" s="2">
        <f t="shared" si="6"/>
        <v>4.5</v>
      </c>
      <c r="Q395">
        <v>-0.2</v>
      </c>
    </row>
    <row r="396" spans="1:17">
      <c r="A396" t="s">
        <v>48</v>
      </c>
      <c r="B396" t="s">
        <v>16</v>
      </c>
      <c r="C396">
        <v>32</v>
      </c>
      <c r="D396">
        <v>50</v>
      </c>
      <c r="E396" s="1">
        <f>+C396/(C396+D396)</f>
        <v>0.3902439024390244</v>
      </c>
      <c r="F396" s="2">
        <v>98.6</v>
      </c>
      <c r="G396" s="2">
        <v>101.8</v>
      </c>
      <c r="H396" s="2">
        <f>+F396-G396</f>
        <v>-3.2000000000000028</v>
      </c>
      <c r="I396" s="1">
        <f>+(F396^14)/((F396^14+G396^14))</f>
        <v>0.39004006855823664</v>
      </c>
      <c r="J396" s="2">
        <v>104.8</v>
      </c>
      <c r="K396" s="2">
        <v>108</v>
      </c>
      <c r="L396" s="2">
        <f>+J396-K396</f>
        <v>-3.2000000000000028</v>
      </c>
      <c r="M396" s="1">
        <f>+E396-I396</f>
        <v>2.0383388078776266E-4</v>
      </c>
      <c r="N396" s="2">
        <v>107.1</v>
      </c>
      <c r="O396" s="2">
        <v>108.2</v>
      </c>
      <c r="P396" s="2">
        <f t="shared" si="6"/>
        <v>-1.1000000000000085</v>
      </c>
      <c r="Q396">
        <v>-1.1000000000000001</v>
      </c>
    </row>
    <row r="397" spans="1:17">
      <c r="A397" t="s">
        <v>59</v>
      </c>
      <c r="B397" t="s">
        <v>14</v>
      </c>
      <c r="C397">
        <v>53</v>
      </c>
      <c r="D397">
        <v>29</v>
      </c>
      <c r="E397" s="1">
        <f>+C397/(C397+D397)</f>
        <v>0.64634146341463417</v>
      </c>
      <c r="F397" s="2">
        <v>113.9</v>
      </c>
      <c r="G397" s="2">
        <v>109.1</v>
      </c>
      <c r="H397" s="2">
        <f>+F397-G397</f>
        <v>4.8000000000000114</v>
      </c>
      <c r="I397" s="1">
        <f>+(F397^14)/((F397^14+G397^14))</f>
        <v>0.64629291131974342</v>
      </c>
      <c r="J397" s="2">
        <v>114.9</v>
      </c>
      <c r="K397" s="2">
        <v>110.1</v>
      </c>
      <c r="L397" s="2">
        <f>+J397-K397</f>
        <v>4.8000000000000114</v>
      </c>
      <c r="M397" s="1">
        <f>+E397-I397</f>
        <v>4.8552094890741415E-5</v>
      </c>
      <c r="N397" s="2">
        <v>111.8</v>
      </c>
      <c r="O397" s="2">
        <v>113.4</v>
      </c>
      <c r="P397" s="2">
        <f t="shared" si="6"/>
        <v>-1.6000000000000085</v>
      </c>
      <c r="Q397">
        <v>0.5</v>
      </c>
    </row>
    <row r="398" spans="1:17">
      <c r="A398" t="s">
        <v>45</v>
      </c>
      <c r="B398" t="s">
        <v>25</v>
      </c>
      <c r="C398">
        <v>46</v>
      </c>
      <c r="D398">
        <v>36</v>
      </c>
      <c r="E398" s="1">
        <f>+C398/(C398+D398)</f>
        <v>0.56097560975609762</v>
      </c>
      <c r="F398" s="2">
        <v>109.4</v>
      </c>
      <c r="G398" s="2">
        <v>107.5</v>
      </c>
      <c r="H398" s="2">
        <f>+F398-G398</f>
        <v>1.9000000000000057</v>
      </c>
      <c r="I398" s="1">
        <f>+(F398^14)/((F398^14+G398^14))</f>
        <v>0.56101455538977274</v>
      </c>
      <c r="J398" s="2">
        <v>112.4</v>
      </c>
      <c r="K398" s="2">
        <v>110.4</v>
      </c>
      <c r="L398" s="2">
        <f>+J398-K398</f>
        <v>2</v>
      </c>
      <c r="M398" s="1">
        <f>+E398-I398</f>
        <v>-3.8945633675124824E-5</v>
      </c>
      <c r="N398" s="2">
        <v>111.9</v>
      </c>
      <c r="O398" s="2">
        <v>109.8</v>
      </c>
      <c r="P398" s="2">
        <f t="shared" si="6"/>
        <v>2.1000000000000085</v>
      </c>
      <c r="Q398">
        <v>1.5</v>
      </c>
    </row>
    <row r="399" spans="1:17">
      <c r="A399" t="s">
        <v>47</v>
      </c>
      <c r="B399" t="s">
        <v>19</v>
      </c>
      <c r="C399">
        <v>46</v>
      </c>
      <c r="D399">
        <v>36</v>
      </c>
      <c r="E399" s="1">
        <f>+C399/(C399+D399)</f>
        <v>0.56097560975609762</v>
      </c>
      <c r="F399" s="2">
        <v>97.7</v>
      </c>
      <c r="G399" s="2">
        <v>96</v>
      </c>
      <c r="H399" s="2">
        <f>+F399-G399</f>
        <v>1.7000000000000028</v>
      </c>
      <c r="I399" s="1">
        <f>+(F399^14)/((F399^14+G399^14))</f>
        <v>0.56112945331002462</v>
      </c>
      <c r="J399" s="2">
        <v>104</v>
      </c>
      <c r="K399" s="2">
        <v>101.9</v>
      </c>
      <c r="L399" s="2">
        <f>+J399-K399</f>
        <v>2.0999999999999943</v>
      </c>
      <c r="M399" s="1">
        <f>+E399-I399</f>
        <v>-1.5384355392700222E-4</v>
      </c>
      <c r="N399" s="2">
        <v>99.6</v>
      </c>
      <c r="O399" s="2">
        <v>95.1</v>
      </c>
      <c r="P399" s="2">
        <f t="shared" si="6"/>
        <v>4.5</v>
      </c>
      <c r="Q399">
        <v>0.2</v>
      </c>
    </row>
    <row r="400" spans="1:17">
      <c r="A400" t="s">
        <v>60</v>
      </c>
      <c r="B400" t="s">
        <v>35</v>
      </c>
      <c r="C400">
        <v>34</v>
      </c>
      <c r="D400">
        <v>39</v>
      </c>
      <c r="E400" s="1">
        <f>+C400/(C400+D400)</f>
        <v>0.46575342465753422</v>
      </c>
      <c r="F400" s="2">
        <v>112.6</v>
      </c>
      <c r="G400" s="2">
        <v>113.7</v>
      </c>
      <c r="H400" s="2">
        <f>+F400-G400</f>
        <v>-1.1000000000000085</v>
      </c>
      <c r="I400" s="1">
        <f>+(F400^14)/((F400^14+G400^14))</f>
        <v>0.46602653038070502</v>
      </c>
      <c r="J400" s="2">
        <v>108.7</v>
      </c>
      <c r="K400" s="2">
        <v>109.7</v>
      </c>
      <c r="L400" s="2">
        <f>+J400-K400</f>
        <v>-1</v>
      </c>
      <c r="M400" s="1">
        <f>+E400-I400</f>
        <v>-2.7310572317079673E-4</v>
      </c>
      <c r="N400" s="2">
        <v>100</v>
      </c>
      <c r="O400" s="2">
        <v>116.1</v>
      </c>
      <c r="P400" s="2">
        <f t="shared" si="6"/>
        <v>-16.099999999999994</v>
      </c>
      <c r="Q400">
        <v>-0.1</v>
      </c>
    </row>
    <row r="401" spans="1:17">
      <c r="A401" t="s">
        <v>36</v>
      </c>
      <c r="B401" t="s">
        <v>30</v>
      </c>
      <c r="C401">
        <v>24</v>
      </c>
      <c r="D401">
        <v>58</v>
      </c>
      <c r="E401" s="1">
        <f>+C401/(C401+D401)</f>
        <v>0.29268292682926828</v>
      </c>
      <c r="F401" s="2">
        <v>90.9</v>
      </c>
      <c r="G401" s="2">
        <v>96.8</v>
      </c>
      <c r="H401" s="2">
        <f>+F401-G401</f>
        <v>-5.8999999999999915</v>
      </c>
      <c r="I401" s="1">
        <f>+(F401^14)/((F401^14+G401^14))</f>
        <v>0.29309118654274396</v>
      </c>
      <c r="J401" s="2">
        <v>99.3</v>
      </c>
      <c r="K401" s="2">
        <v>105.6</v>
      </c>
      <c r="L401" s="2">
        <f>+J401-K401</f>
        <v>-6.2999999999999972</v>
      </c>
      <c r="M401" s="1">
        <f>+E401-I401</f>
        <v>-4.0825971347568935E-4</v>
      </c>
      <c r="N401" s="2">
        <v>101.2</v>
      </c>
      <c r="O401" s="2">
        <v>103.7</v>
      </c>
      <c r="P401" s="2">
        <f t="shared" si="6"/>
        <v>-2.5</v>
      </c>
      <c r="Q401">
        <v>-1</v>
      </c>
    </row>
    <row r="402" spans="1:17">
      <c r="A402" t="s">
        <v>65</v>
      </c>
      <c r="B402" t="s">
        <v>14</v>
      </c>
      <c r="C402">
        <v>52</v>
      </c>
      <c r="D402">
        <v>29</v>
      </c>
      <c r="E402" s="1">
        <f>+C402/(C402+D402)</f>
        <v>0.64197530864197527</v>
      </c>
      <c r="F402" s="2">
        <v>114.5</v>
      </c>
      <c r="G402" s="2">
        <v>109.8</v>
      </c>
      <c r="H402" s="2">
        <f>+F402-G402</f>
        <v>4.7000000000000028</v>
      </c>
      <c r="I402" s="1">
        <f>+(F402^14)/((F402^14+G402^14))</f>
        <v>0.64263060711327835</v>
      </c>
      <c r="J402" s="2">
        <v>115.1</v>
      </c>
      <c r="K402" s="2">
        <v>110.2</v>
      </c>
      <c r="L402" s="2">
        <f>+J402-K402</f>
        <v>4.8999999999999915</v>
      </c>
      <c r="M402" s="1">
        <f>+E402-I402</f>
        <v>-6.552984713030785E-4</v>
      </c>
      <c r="N402" s="2">
        <v>107.1</v>
      </c>
      <c r="O402" s="2">
        <v>107.1</v>
      </c>
      <c r="P402" s="2">
        <f t="shared" si="6"/>
        <v>0</v>
      </c>
      <c r="Q402">
        <v>-0.5</v>
      </c>
    </row>
    <row r="403" spans="1:17">
      <c r="A403" t="s">
        <v>65</v>
      </c>
      <c r="B403" t="s">
        <v>46</v>
      </c>
      <c r="C403">
        <v>67</v>
      </c>
      <c r="D403">
        <v>14</v>
      </c>
      <c r="E403" s="1">
        <f>+C403/(C403+D403)</f>
        <v>0.8271604938271605</v>
      </c>
      <c r="F403" s="2">
        <v>120.6</v>
      </c>
      <c r="G403" s="2">
        <v>107.8</v>
      </c>
      <c r="H403" s="2">
        <f>+F403-G403</f>
        <v>12.799999999999997</v>
      </c>
      <c r="I403" s="1">
        <f>+(F403^14)/((F403^14+G403^14))</f>
        <v>0.82790086778629035</v>
      </c>
      <c r="J403" s="2">
        <v>119.3</v>
      </c>
      <c r="K403" s="2">
        <v>106.7</v>
      </c>
      <c r="L403" s="2">
        <f>+J403-K403</f>
        <v>12.599999999999994</v>
      </c>
      <c r="M403" s="1">
        <f>+E403-I403</f>
        <v>-7.4037395912984749E-4</v>
      </c>
      <c r="N403" s="2">
        <v>118.2</v>
      </c>
      <c r="O403" s="2">
        <v>107.1</v>
      </c>
      <c r="P403" s="2">
        <f t="shared" si="6"/>
        <v>11.100000000000009</v>
      </c>
      <c r="Q403">
        <v>1.9</v>
      </c>
    </row>
    <row r="404" spans="1:17">
      <c r="A404" t="s">
        <v>38</v>
      </c>
      <c r="B404" t="s">
        <v>24</v>
      </c>
      <c r="C404">
        <v>33</v>
      </c>
      <c r="D404">
        <v>49</v>
      </c>
      <c r="E404" s="1">
        <f>+C404/(C404+D404)</f>
        <v>0.40243902439024393</v>
      </c>
      <c r="F404" s="2">
        <v>88</v>
      </c>
      <c r="G404" s="2">
        <v>90.5</v>
      </c>
      <c r="H404" s="2">
        <f>+F404-G404</f>
        <v>-2.5</v>
      </c>
      <c r="I404" s="1">
        <f>+(F404^14)/((F404^14+G404^14))</f>
        <v>0.4031920171201035</v>
      </c>
      <c r="J404" s="2">
        <v>97.8</v>
      </c>
      <c r="K404" s="2">
        <v>100.4</v>
      </c>
      <c r="L404" s="2">
        <f>+J404-K404</f>
        <v>-2.6000000000000085</v>
      </c>
      <c r="M404" s="1">
        <f>+E404-I404</f>
        <v>-7.5299272985956955E-4</v>
      </c>
      <c r="N404" s="2">
        <v>82.5</v>
      </c>
      <c r="O404" s="2">
        <v>90.9</v>
      </c>
      <c r="P404" s="2">
        <f t="shared" si="6"/>
        <v>-8.4000000000000057</v>
      </c>
      <c r="Q404">
        <v>-0.1</v>
      </c>
    </row>
    <row r="405" spans="1:17">
      <c r="A405" t="s">
        <v>34</v>
      </c>
      <c r="B405" t="s">
        <v>7</v>
      </c>
      <c r="C405">
        <v>44</v>
      </c>
      <c r="D405">
        <v>38</v>
      </c>
      <c r="E405" s="1">
        <f>+C405/(C405+D405)</f>
        <v>0.53658536585365857</v>
      </c>
      <c r="F405" s="2">
        <v>93.9</v>
      </c>
      <c r="G405" s="2">
        <v>92.9</v>
      </c>
      <c r="H405" s="2">
        <f>+F405-G405</f>
        <v>1</v>
      </c>
      <c r="I405" s="1">
        <f>+(F405^14)/((F405^14+G405^14))</f>
        <v>0.5374035846136257</v>
      </c>
      <c r="J405" s="2">
        <v>102.9</v>
      </c>
      <c r="K405" s="2">
        <v>101.8</v>
      </c>
      <c r="L405" s="2">
        <f>+J405-K405</f>
        <v>1.1000000000000085</v>
      </c>
      <c r="M405" s="1">
        <f>+E405-I405</f>
        <v>-8.1821875996712645E-4</v>
      </c>
      <c r="N405" s="2">
        <v>101.1</v>
      </c>
      <c r="O405" s="2">
        <v>97.9</v>
      </c>
      <c r="P405" s="2">
        <f t="shared" si="6"/>
        <v>3.1999999999999886</v>
      </c>
      <c r="Q405">
        <v>-0.5</v>
      </c>
    </row>
    <row r="406" spans="1:17">
      <c r="A406" t="s">
        <v>45</v>
      </c>
      <c r="B406" t="s">
        <v>23</v>
      </c>
      <c r="C406">
        <v>59</v>
      </c>
      <c r="D406">
        <v>23</v>
      </c>
      <c r="E406" s="1">
        <f>+C406/(C406+D406)</f>
        <v>0.71951219512195119</v>
      </c>
      <c r="F406" s="2">
        <v>101</v>
      </c>
      <c r="G406" s="2">
        <v>94.4</v>
      </c>
      <c r="H406" s="2">
        <f>+F406-G406</f>
        <v>6.5999999999999943</v>
      </c>
      <c r="I406" s="1">
        <f>+(F406^14)/((F406^14+G406^14))</f>
        <v>0.72033264065959124</v>
      </c>
      <c r="J406" s="2">
        <v>108.3</v>
      </c>
      <c r="K406" s="2">
        <v>101.3</v>
      </c>
      <c r="L406" s="2">
        <f>+J406-K406</f>
        <v>7</v>
      </c>
      <c r="M406" s="1">
        <f>+E406-I406</f>
        <v>-8.2044553764004657E-4</v>
      </c>
      <c r="N406" s="2">
        <v>106.3</v>
      </c>
      <c r="O406" s="2">
        <v>88.6</v>
      </c>
      <c r="P406" s="2">
        <f t="shared" si="6"/>
        <v>17.700000000000003</v>
      </c>
      <c r="Q406">
        <v>1.3</v>
      </c>
    </row>
    <row r="407" spans="1:17">
      <c r="A407" t="s">
        <v>55</v>
      </c>
      <c r="B407" t="s">
        <v>9</v>
      </c>
      <c r="C407">
        <v>57</v>
      </c>
      <c r="D407">
        <v>25</v>
      </c>
      <c r="E407" s="1">
        <f>+C407/(C407+D407)</f>
        <v>0.69512195121951215</v>
      </c>
      <c r="F407" s="2">
        <v>104.3</v>
      </c>
      <c r="G407" s="2">
        <v>98.3</v>
      </c>
      <c r="H407" s="2">
        <f>+F407-G407</f>
        <v>6</v>
      </c>
      <c r="I407" s="1">
        <f>+(F407^14)/((F407^14+G407^14))</f>
        <v>0.6962413060313849</v>
      </c>
      <c r="J407" s="2">
        <v>110.2</v>
      </c>
      <c r="K407" s="2">
        <v>103.9</v>
      </c>
      <c r="L407" s="2">
        <f>+J407-K407</f>
        <v>6.2999999999999972</v>
      </c>
      <c r="M407" s="1">
        <f>+E407-I407</f>
        <v>-1.1193548118727525E-3</v>
      </c>
      <c r="N407" s="2">
        <v>103.4</v>
      </c>
      <c r="O407" s="2">
        <v>98</v>
      </c>
      <c r="P407" s="2">
        <f t="shared" si="6"/>
        <v>5.4000000000000057</v>
      </c>
      <c r="Q407">
        <v>0.7</v>
      </c>
    </row>
    <row r="408" spans="1:17">
      <c r="A408" t="s">
        <v>65</v>
      </c>
      <c r="B408" t="s">
        <v>28</v>
      </c>
      <c r="C408">
        <v>34</v>
      </c>
      <c r="D408">
        <v>48</v>
      </c>
      <c r="E408" s="1">
        <f>+C408/(C408+D408)</f>
        <v>0.41463414634146339</v>
      </c>
      <c r="F408" s="2">
        <v>113.9</v>
      </c>
      <c r="G408" s="2">
        <v>116.7</v>
      </c>
      <c r="H408" s="2">
        <f>+F408-G408</f>
        <v>-2.7999999999999972</v>
      </c>
      <c r="I408" s="1">
        <f>+(F408^14)/((F408^14+G408^14))</f>
        <v>0.41580963161703305</v>
      </c>
      <c r="J408" s="2">
        <v>113.5</v>
      </c>
      <c r="K408" s="2">
        <v>116.3</v>
      </c>
      <c r="L408" s="2">
        <f>+J408-K408</f>
        <v>-2.7999999999999972</v>
      </c>
      <c r="M408" s="1">
        <f>+E408-I408</f>
        <v>-1.1754852755696543E-3</v>
      </c>
      <c r="N408" s="2">
        <v>103.5</v>
      </c>
      <c r="O408" s="2">
        <v>107.4</v>
      </c>
      <c r="P408" s="2">
        <f t="shared" si="6"/>
        <v>-3.9000000000000057</v>
      </c>
      <c r="Q408">
        <v>-0.2</v>
      </c>
    </row>
    <row r="409" spans="1:17">
      <c r="A409" t="s">
        <v>52</v>
      </c>
      <c r="B409" t="s">
        <v>25</v>
      </c>
      <c r="C409">
        <v>48</v>
      </c>
      <c r="D409">
        <v>34</v>
      </c>
      <c r="E409" s="1">
        <f>+C409/(C409+D409)</f>
        <v>0.58536585365853655</v>
      </c>
      <c r="F409" s="2">
        <v>105.2</v>
      </c>
      <c r="G409" s="2">
        <v>102.6</v>
      </c>
      <c r="H409" s="2">
        <f>+F409-G409</f>
        <v>2.6000000000000085</v>
      </c>
      <c r="I409" s="1">
        <f>+(F409^14)/((F409^14+G409^14))</f>
        <v>0.58670369823184843</v>
      </c>
      <c r="J409" s="2">
        <v>108.2</v>
      </c>
      <c r="K409" s="2">
        <v>105.6</v>
      </c>
      <c r="L409" s="2">
        <f>+J409-K409</f>
        <v>2.6000000000000085</v>
      </c>
      <c r="M409" s="1">
        <f>+E409-I409</f>
        <v>-1.3378445733118749E-3</v>
      </c>
      <c r="N409" s="2">
        <v>96.2</v>
      </c>
      <c r="O409" s="2">
        <v>97.1</v>
      </c>
      <c r="P409" s="2">
        <f t="shared" si="6"/>
        <v>-0.89999999999999147</v>
      </c>
      <c r="Q409">
        <v>0.4</v>
      </c>
    </row>
    <row r="410" spans="1:17">
      <c r="A410" t="s">
        <v>34</v>
      </c>
      <c r="B410" t="s">
        <v>18</v>
      </c>
      <c r="C410">
        <v>36</v>
      </c>
      <c r="D410">
        <v>46</v>
      </c>
      <c r="E410" s="1">
        <f>+C410/(C410+D410)</f>
        <v>0.43902439024390244</v>
      </c>
      <c r="F410" s="2">
        <v>87.2</v>
      </c>
      <c r="G410" s="2">
        <v>88.7</v>
      </c>
      <c r="H410" s="2">
        <f>+F410-G410</f>
        <v>-1.5</v>
      </c>
      <c r="I410" s="1">
        <f>+(F410^14)/((F410^14+G410^14))</f>
        <v>0.44058756031569546</v>
      </c>
      <c r="J410" s="2">
        <v>97.3</v>
      </c>
      <c r="K410" s="2">
        <v>99</v>
      </c>
      <c r="L410" s="2">
        <f>+J410-K410</f>
        <v>-1.7000000000000028</v>
      </c>
      <c r="M410" s="1">
        <f>+E410-I410</f>
        <v>-1.5631700717930186E-3</v>
      </c>
      <c r="N410" s="2">
        <v>86.1</v>
      </c>
      <c r="O410" s="2">
        <v>92</v>
      </c>
      <c r="P410" s="2">
        <f t="shared" si="6"/>
        <v>-5.9000000000000057</v>
      </c>
      <c r="Q410">
        <v>-0.4</v>
      </c>
    </row>
    <row r="411" spans="1:17">
      <c r="A411" t="s">
        <v>45</v>
      </c>
      <c r="B411" t="s">
        <v>21</v>
      </c>
      <c r="C411">
        <v>34</v>
      </c>
      <c r="D411">
        <v>48</v>
      </c>
      <c r="E411" s="1">
        <f>+C411/(C411+D411)</f>
        <v>0.41463414634146339</v>
      </c>
      <c r="F411" s="2">
        <v>98.1</v>
      </c>
      <c r="G411" s="2">
        <v>100.5</v>
      </c>
      <c r="H411" s="2">
        <f>+F411-G411</f>
        <v>-2.4000000000000057</v>
      </c>
      <c r="I411" s="1">
        <f>+(F411^14)/((F411^14+G411^14))</f>
        <v>0.41620182026051067</v>
      </c>
      <c r="J411" s="2">
        <v>106.8</v>
      </c>
      <c r="K411" s="2">
        <v>109.5</v>
      </c>
      <c r="L411" s="2">
        <f>+J411-K411</f>
        <v>-2.7000000000000028</v>
      </c>
      <c r="M411" s="1">
        <f>+E411-I411</f>
        <v>-1.5676739190472744E-3</v>
      </c>
      <c r="N411" s="2">
        <v>105.3</v>
      </c>
      <c r="O411" s="2">
        <v>108.1</v>
      </c>
      <c r="P411" s="2">
        <f t="shared" si="6"/>
        <v>-2.7999999999999972</v>
      </c>
      <c r="Q411">
        <v>1.1000000000000001</v>
      </c>
    </row>
    <row r="412" spans="1:17">
      <c r="A412" t="s">
        <v>61</v>
      </c>
      <c r="B412" t="s">
        <v>5</v>
      </c>
      <c r="C412">
        <v>41</v>
      </c>
      <c r="D412">
        <v>31</v>
      </c>
      <c r="E412" s="1">
        <f>+C412/(C412+D412)</f>
        <v>0.56944444444444442</v>
      </c>
      <c r="F412" s="2">
        <v>113.7</v>
      </c>
      <c r="G412" s="2">
        <v>111.4</v>
      </c>
      <c r="H412" s="2">
        <f>+F412-G412</f>
        <v>2.2999999999999972</v>
      </c>
      <c r="I412" s="1">
        <f>+(F412^14)/((F412^14+G412^14))</f>
        <v>0.57104231246361747</v>
      </c>
      <c r="J412" s="2">
        <v>114.3</v>
      </c>
      <c r="K412" s="2">
        <v>112.1</v>
      </c>
      <c r="L412" s="2">
        <f>+J412-K412</f>
        <v>2.2000000000000028</v>
      </c>
      <c r="M412" s="1">
        <f>+E412-I412</f>
        <v>-1.5978680191730543E-3</v>
      </c>
      <c r="N412" s="2">
        <v>113.7</v>
      </c>
      <c r="O412" s="2">
        <v>113.1</v>
      </c>
      <c r="P412" s="2">
        <f t="shared" si="6"/>
        <v>0.60000000000000853</v>
      </c>
      <c r="Q412">
        <v>0.7</v>
      </c>
    </row>
    <row r="413" spans="1:17">
      <c r="A413" t="s">
        <v>65</v>
      </c>
      <c r="B413" t="s">
        <v>22</v>
      </c>
      <c r="C413">
        <v>51</v>
      </c>
      <c r="D413">
        <v>31</v>
      </c>
      <c r="E413" s="1">
        <f>+C413/(C413+D413)</f>
        <v>0.62195121951219512</v>
      </c>
      <c r="F413" s="2">
        <v>115.8</v>
      </c>
      <c r="G413" s="2">
        <v>111.7</v>
      </c>
      <c r="H413" s="2">
        <f>+F413-G413</f>
        <v>4.0999999999999943</v>
      </c>
      <c r="I413" s="1">
        <f>+(F413^14)/((F413^14+G413^14))</f>
        <v>0.62355617559165299</v>
      </c>
      <c r="J413" s="2">
        <v>117.3</v>
      </c>
      <c r="K413" s="2">
        <v>113.3</v>
      </c>
      <c r="L413" s="2">
        <f>+J413-K413</f>
        <v>4</v>
      </c>
      <c r="M413" s="1">
        <f>+E413-I413</f>
        <v>-1.6049560794578754E-3</v>
      </c>
      <c r="N413" s="2">
        <v>111.2</v>
      </c>
      <c r="O413" s="2">
        <v>108.4</v>
      </c>
      <c r="P413" s="2">
        <f t="shared" si="6"/>
        <v>2.7999999999999972</v>
      </c>
      <c r="Q413">
        <v>-1</v>
      </c>
    </row>
    <row r="414" spans="1:17">
      <c r="A414" t="s">
        <v>41</v>
      </c>
      <c r="B414" t="s">
        <v>18</v>
      </c>
      <c r="C414">
        <v>52</v>
      </c>
      <c r="D414">
        <v>30</v>
      </c>
      <c r="E414" s="1">
        <f>+C414/(C414+D414)</f>
        <v>0.63414634146341464</v>
      </c>
      <c r="F414" s="2">
        <v>99.9</v>
      </c>
      <c r="G414" s="2">
        <v>96</v>
      </c>
      <c r="H414" s="2">
        <f>+F414-G414</f>
        <v>3.9000000000000057</v>
      </c>
      <c r="I414" s="1">
        <f>+(F414^14)/((F414^14+G414^14))</f>
        <v>0.63587410412119993</v>
      </c>
      <c r="J414" s="2">
        <v>107.5</v>
      </c>
      <c r="K414" s="2">
        <v>103.4</v>
      </c>
      <c r="L414" s="2">
        <f>+J414-K414</f>
        <v>4.0999999999999943</v>
      </c>
      <c r="M414" s="1">
        <f>+E414-I414</f>
        <v>-1.7277626577852923E-3</v>
      </c>
      <c r="N414" s="2">
        <v>115.1</v>
      </c>
      <c r="O414" s="2">
        <v>105.6</v>
      </c>
      <c r="P414" s="2">
        <f t="shared" si="6"/>
        <v>9.5</v>
      </c>
      <c r="Q414">
        <v>1.5</v>
      </c>
    </row>
    <row r="415" spans="1:17">
      <c r="A415" t="s">
        <v>54</v>
      </c>
      <c r="B415" t="s">
        <v>9</v>
      </c>
      <c r="C415">
        <v>53</v>
      </c>
      <c r="D415">
        <v>29</v>
      </c>
      <c r="E415" s="1">
        <f>+C415/(C415+D415)</f>
        <v>0.64634146341463417</v>
      </c>
      <c r="F415" s="2">
        <v>103.1</v>
      </c>
      <c r="G415" s="2">
        <v>98.7</v>
      </c>
      <c r="H415" s="2">
        <f>+F415-G415</f>
        <v>4.3999999999999915</v>
      </c>
      <c r="I415" s="1">
        <f>+(F415^14)/((F415^14+G415^14))</f>
        <v>0.64807816531272</v>
      </c>
      <c r="J415" s="2">
        <v>110.1</v>
      </c>
      <c r="K415" s="2">
        <v>105.3</v>
      </c>
      <c r="L415" s="2">
        <f>+J415-K415</f>
        <v>4.7999999999999972</v>
      </c>
      <c r="M415" s="1">
        <f>+E415-I415</f>
        <v>-1.7367018980858351E-3</v>
      </c>
      <c r="N415" s="2">
        <v>112.7</v>
      </c>
      <c r="O415" s="2">
        <v>103</v>
      </c>
      <c r="P415" s="2">
        <f t="shared" si="6"/>
        <v>9.7000000000000028</v>
      </c>
      <c r="Q415">
        <v>0</v>
      </c>
    </row>
    <row r="416" spans="1:17">
      <c r="A416" t="s">
        <v>36</v>
      </c>
      <c r="B416" t="s">
        <v>22</v>
      </c>
      <c r="C416">
        <v>37</v>
      </c>
      <c r="D416">
        <v>45</v>
      </c>
      <c r="E416" s="1">
        <f>+C416/(C416+D416)</f>
        <v>0.45121951219512196</v>
      </c>
      <c r="F416" s="2">
        <v>95.9</v>
      </c>
      <c r="G416" s="2">
        <v>97.2</v>
      </c>
      <c r="H416" s="2">
        <f>+F416-G416</f>
        <v>-1.2999999999999972</v>
      </c>
      <c r="I416" s="1">
        <f>+(F416^14)/((F416^14+G416^14))</f>
        <v>0.45301250427242873</v>
      </c>
      <c r="J416" s="2">
        <v>103.3</v>
      </c>
      <c r="K416" s="2">
        <v>104.6</v>
      </c>
      <c r="L416" s="2">
        <f>+J416-K416</f>
        <v>-1.2999999999999972</v>
      </c>
      <c r="M416" s="1">
        <f>+E416-I416</f>
        <v>-1.7929920773067654E-3</v>
      </c>
      <c r="N416" s="2">
        <v>100</v>
      </c>
      <c r="O416" s="2">
        <v>106.3</v>
      </c>
      <c r="P416" s="2">
        <f t="shared" si="6"/>
        <v>-6.2999999999999972</v>
      </c>
      <c r="Q416">
        <v>-0.3</v>
      </c>
    </row>
    <row r="417" spans="1:17">
      <c r="A417" t="s">
        <v>4</v>
      </c>
      <c r="B417" t="s">
        <v>10</v>
      </c>
      <c r="C417">
        <v>53</v>
      </c>
      <c r="D417">
        <v>29</v>
      </c>
      <c r="E417" s="1">
        <f>+C417/(C417+D417)</f>
        <v>0.64634146341463417</v>
      </c>
      <c r="F417" s="2">
        <v>100.5</v>
      </c>
      <c r="G417" s="2">
        <v>96.2</v>
      </c>
      <c r="H417" s="2">
        <f>+F417-G417</f>
        <v>4.2999999999999972</v>
      </c>
      <c r="I417" s="1">
        <f>+(F417^14)/((F417^14+G417^14))</f>
        <v>0.64844184492485568</v>
      </c>
      <c r="J417" s="2">
        <v>105.6</v>
      </c>
      <c r="K417" s="2">
        <v>101.2</v>
      </c>
      <c r="L417" s="2">
        <f>+J417-K417</f>
        <v>4.3999999999999915</v>
      </c>
      <c r="M417" s="1">
        <f>+E417-I417</f>
        <v>-2.1003815102215162E-3</v>
      </c>
      <c r="N417" s="2">
        <v>103.3</v>
      </c>
      <c r="O417" s="2">
        <v>104</v>
      </c>
      <c r="P417" s="2">
        <f t="shared" si="6"/>
        <v>-0.70000000000000284</v>
      </c>
      <c r="Q417">
        <v>1</v>
      </c>
    </row>
    <row r="418" spans="1:17">
      <c r="A418" t="s">
        <v>57</v>
      </c>
      <c r="B418" t="s">
        <v>22</v>
      </c>
      <c r="C418">
        <v>31</v>
      </c>
      <c r="D418">
        <v>51</v>
      </c>
      <c r="E418" s="1">
        <f>+C418/(C418+D418)</f>
        <v>0.37804878048780488</v>
      </c>
      <c r="F418" s="2">
        <v>104.3</v>
      </c>
      <c r="G418" s="2">
        <v>108</v>
      </c>
      <c r="H418" s="2">
        <f>+F418-G418</f>
        <v>-3.7000000000000028</v>
      </c>
      <c r="I418" s="1">
        <f>+(F418^14)/((F418^14+G418^14))</f>
        <v>0.38035584719829063</v>
      </c>
      <c r="J418" s="2">
        <v>107.1</v>
      </c>
      <c r="K418" s="2">
        <v>110.7</v>
      </c>
      <c r="L418" s="2">
        <f>+J418-K418</f>
        <v>-3.6000000000000085</v>
      </c>
      <c r="M418" s="1">
        <f>+E418-I418</f>
        <v>-2.3070667104857501E-3</v>
      </c>
      <c r="N418" s="2">
        <v>104.7</v>
      </c>
      <c r="O418" s="2">
        <v>106.7</v>
      </c>
      <c r="P418" s="2">
        <f t="shared" si="6"/>
        <v>-2</v>
      </c>
      <c r="Q418">
        <v>0.6</v>
      </c>
    </row>
    <row r="419" spans="1:17">
      <c r="A419" t="s">
        <v>55</v>
      </c>
      <c r="B419" t="s">
        <v>28</v>
      </c>
      <c r="C419">
        <v>67</v>
      </c>
      <c r="D419">
        <v>15</v>
      </c>
      <c r="E419" s="1">
        <f>+C419/(C419+D419)</f>
        <v>0.81707317073170727</v>
      </c>
      <c r="F419" s="2">
        <v>103.5</v>
      </c>
      <c r="G419" s="2">
        <v>92.9</v>
      </c>
      <c r="H419" s="2">
        <f>+F419-G419</f>
        <v>10.599999999999994</v>
      </c>
      <c r="I419" s="1">
        <f>+(F419^14)/((F419^14+G419^14))</f>
        <v>0.81945679097395319</v>
      </c>
      <c r="J419" s="2">
        <v>109.3</v>
      </c>
      <c r="K419" s="2">
        <v>98.2</v>
      </c>
      <c r="L419" s="2">
        <f>+J419-K419</f>
        <v>11.099999999999994</v>
      </c>
      <c r="M419" s="1">
        <f>+E419-I419</f>
        <v>-2.3836202422459207E-3</v>
      </c>
      <c r="N419" s="2">
        <v>111.1</v>
      </c>
      <c r="O419" s="2">
        <v>92.4</v>
      </c>
      <c r="P419" s="2">
        <f t="shared" si="6"/>
        <v>18.699999999999989</v>
      </c>
      <c r="Q419">
        <v>2</v>
      </c>
    </row>
    <row r="420" spans="1:17">
      <c r="A420" t="s">
        <v>54</v>
      </c>
      <c r="B420" t="s">
        <v>23</v>
      </c>
      <c r="C420">
        <v>25</v>
      </c>
      <c r="D420">
        <v>57</v>
      </c>
      <c r="E420" s="1">
        <f>+C420/(C420+D420)</f>
        <v>0.3048780487804878</v>
      </c>
      <c r="F420" s="2">
        <v>95.7</v>
      </c>
      <c r="G420" s="2">
        <v>101.4</v>
      </c>
      <c r="H420" s="2">
        <f>+F420-G420</f>
        <v>-5.7000000000000028</v>
      </c>
      <c r="I420" s="1">
        <f>+(F420^14)/((F420^14+G420^14))</f>
        <v>0.3078975070073538</v>
      </c>
      <c r="J420" s="2">
        <v>101</v>
      </c>
      <c r="K420" s="2">
        <v>106.8</v>
      </c>
      <c r="L420" s="2">
        <f>+J420-K420</f>
        <v>-5.7999999999999972</v>
      </c>
      <c r="M420" s="1">
        <f>+E420-I420</f>
        <v>-3.0194582268660008E-3</v>
      </c>
      <c r="N420" s="2">
        <v>100</v>
      </c>
      <c r="O420" s="2">
        <v>100</v>
      </c>
      <c r="P420" s="2">
        <f t="shared" si="6"/>
        <v>0</v>
      </c>
      <c r="Q420">
        <v>-0.5</v>
      </c>
    </row>
    <row r="421" spans="1:17">
      <c r="A421" t="s">
        <v>65</v>
      </c>
      <c r="B421" t="s">
        <v>11</v>
      </c>
      <c r="C421">
        <v>50</v>
      </c>
      <c r="D421">
        <v>32</v>
      </c>
      <c r="E421" s="1">
        <f>+C421/(C421+D421)</f>
        <v>0.6097560975609756</v>
      </c>
      <c r="F421" s="2">
        <v>120.8</v>
      </c>
      <c r="G421" s="2">
        <v>116.9</v>
      </c>
      <c r="H421" s="2">
        <f>+F421-G421</f>
        <v>3.8999999999999915</v>
      </c>
      <c r="I421" s="1">
        <f>+(F421^14)/((F421^14+G421^14))</f>
        <v>0.61288223083931581</v>
      </c>
      <c r="J421" s="2">
        <v>118.9</v>
      </c>
      <c r="K421" s="2">
        <v>115.1</v>
      </c>
      <c r="L421" s="2">
        <f>+J421-K421</f>
        <v>3.8000000000000114</v>
      </c>
      <c r="M421" s="1">
        <f>+E421-I421</f>
        <v>-3.1261332783402151E-3</v>
      </c>
      <c r="N421" s="2">
        <v>126.8</v>
      </c>
      <c r="O421" s="2">
        <v>108</v>
      </c>
      <c r="P421" s="2">
        <f t="shared" si="6"/>
        <v>18.799999999999997</v>
      </c>
      <c r="Q421">
        <v>0.2</v>
      </c>
    </row>
    <row r="422" spans="1:17">
      <c r="A422" t="s">
        <v>61</v>
      </c>
      <c r="B422" t="s">
        <v>17</v>
      </c>
      <c r="C422">
        <v>42</v>
      </c>
      <c r="D422">
        <v>30</v>
      </c>
      <c r="E422" s="1">
        <f>+C422/(C422+D422)</f>
        <v>0.58333333333333337</v>
      </c>
      <c r="F422" s="2">
        <v>109.5</v>
      </c>
      <c r="G422" s="2">
        <v>106.8</v>
      </c>
      <c r="H422" s="2">
        <f>+F422-G422</f>
        <v>2.7000000000000028</v>
      </c>
      <c r="I422" s="1">
        <f>+(F422^14)/((F422^14+G422^14))</f>
        <v>0.58650425971999209</v>
      </c>
      <c r="J422" s="2">
        <v>109.8</v>
      </c>
      <c r="K422" s="2">
        <v>106.8</v>
      </c>
      <c r="L422" s="2">
        <f>+J422-K422</f>
        <v>3</v>
      </c>
      <c r="M422" s="1">
        <f>+E422-I422</f>
        <v>-3.1709263866587234E-3</v>
      </c>
      <c r="N422" s="2">
        <v>110.5</v>
      </c>
      <c r="O422" s="2">
        <v>99.6</v>
      </c>
      <c r="P422" s="2">
        <f t="shared" si="6"/>
        <v>10.900000000000006</v>
      </c>
      <c r="Q422">
        <v>1.3</v>
      </c>
    </row>
    <row r="423" spans="1:17">
      <c r="A423" t="s">
        <v>61</v>
      </c>
      <c r="B423" t="s">
        <v>35</v>
      </c>
      <c r="C423">
        <v>38</v>
      </c>
      <c r="D423">
        <v>34</v>
      </c>
      <c r="E423" s="1">
        <f>+C423/(C423+D423)</f>
        <v>0.52777777777777779</v>
      </c>
      <c r="F423" s="2">
        <v>113.3</v>
      </c>
      <c r="G423" s="2">
        <v>112.3</v>
      </c>
      <c r="H423" s="2">
        <f>+F423-G423</f>
        <v>1</v>
      </c>
      <c r="I423" s="1">
        <f>+(F423^14)/((F423^14+G423^14))</f>
        <v>0.53098880201006593</v>
      </c>
      <c r="J423" s="2">
        <v>111.7</v>
      </c>
      <c r="K423" s="2">
        <v>110.5</v>
      </c>
      <c r="L423" s="2">
        <f>+J423-K423</f>
        <v>1.2000000000000028</v>
      </c>
      <c r="M423" s="1">
        <f>+E423-I423</f>
        <v>-3.2110242322881399E-3</v>
      </c>
      <c r="N423" s="2">
        <v>101.6</v>
      </c>
      <c r="O423" s="2">
        <v>110.9</v>
      </c>
      <c r="P423" s="2">
        <f t="shared" si="6"/>
        <v>-9.3000000000000114</v>
      </c>
      <c r="Q423">
        <v>-0.2</v>
      </c>
    </row>
    <row r="424" spans="1:17">
      <c r="A424" t="s">
        <v>50</v>
      </c>
      <c r="B424" t="s">
        <v>28</v>
      </c>
      <c r="C424">
        <v>58</v>
      </c>
      <c r="D424">
        <v>24</v>
      </c>
      <c r="E424" s="1">
        <f>+C424/(C424+D424)</f>
        <v>0.70731707317073167</v>
      </c>
      <c r="F424" s="2">
        <v>103</v>
      </c>
      <c r="G424" s="2">
        <v>96.6</v>
      </c>
      <c r="H424" s="2">
        <f>+F424-G424</f>
        <v>6.4000000000000057</v>
      </c>
      <c r="I424" s="1">
        <f>+(F424^14)/((F424^14+G424^14))</f>
        <v>0.71055960682270991</v>
      </c>
      <c r="J424" s="2">
        <v>107</v>
      </c>
      <c r="K424" s="2">
        <v>100.3</v>
      </c>
      <c r="L424" s="2">
        <f>+J424-K424</f>
        <v>6.7000000000000028</v>
      </c>
      <c r="M424" s="1">
        <f>+E424-I424</f>
        <v>-3.2425336519782411E-3</v>
      </c>
      <c r="N424" s="2">
        <v>95</v>
      </c>
      <c r="O424" s="2">
        <v>93.5</v>
      </c>
      <c r="P424" s="2">
        <f t="shared" si="6"/>
        <v>1.5</v>
      </c>
      <c r="Q424">
        <v>1.2</v>
      </c>
    </row>
    <row r="425" spans="1:17">
      <c r="A425" t="s">
        <v>55</v>
      </c>
      <c r="B425" t="s">
        <v>14</v>
      </c>
      <c r="C425">
        <v>41</v>
      </c>
      <c r="D425">
        <v>41</v>
      </c>
      <c r="E425" s="1">
        <f>+C425/(C425+D425)</f>
        <v>0.5</v>
      </c>
      <c r="F425" s="2">
        <v>106.5</v>
      </c>
      <c r="G425" s="2">
        <v>106.4</v>
      </c>
      <c r="H425" s="2">
        <f>+F425-G425</f>
        <v>9.9999999999994316E-2</v>
      </c>
      <c r="I425" s="1">
        <f>+(F425^14)/((F425^14+G425^14))</f>
        <v>0.50328788145549319</v>
      </c>
      <c r="J425" s="2">
        <v>107.3</v>
      </c>
      <c r="K425" s="2">
        <v>107.3</v>
      </c>
      <c r="L425" s="2">
        <f>+J425-K425</f>
        <v>0</v>
      </c>
      <c r="M425" s="1">
        <f>+E425-I425</f>
        <v>-3.2878814554931912E-3</v>
      </c>
      <c r="N425" s="2">
        <v>107.3</v>
      </c>
      <c r="O425" s="2">
        <v>96</v>
      </c>
      <c r="P425" s="2">
        <f t="shared" si="6"/>
        <v>11.299999999999997</v>
      </c>
      <c r="Q425">
        <v>1</v>
      </c>
    </row>
    <row r="426" spans="1:17">
      <c r="A426" t="s">
        <v>45</v>
      </c>
      <c r="B426" t="s">
        <v>24</v>
      </c>
      <c r="C426">
        <v>41</v>
      </c>
      <c r="D426">
        <v>41</v>
      </c>
      <c r="E426" s="1">
        <f>+C426/(C426+D426)</f>
        <v>0.5</v>
      </c>
      <c r="F426" s="2">
        <v>97.4</v>
      </c>
      <c r="G426" s="2">
        <v>97.3</v>
      </c>
      <c r="H426" s="2">
        <f>+F426-G426</f>
        <v>0.10000000000000853</v>
      </c>
      <c r="I426" s="1">
        <f>+(F426^14)/((F426^14+G426^14))</f>
        <v>0.50359521313575439</v>
      </c>
      <c r="J426" s="2">
        <v>106.3</v>
      </c>
      <c r="K426" s="2">
        <v>106.1</v>
      </c>
      <c r="L426" s="2">
        <f>+J426-K426</f>
        <v>0.20000000000000284</v>
      </c>
      <c r="M426" s="1">
        <f>+E426-I426</f>
        <v>-3.5952131357543937E-3</v>
      </c>
      <c r="N426" s="2">
        <v>109.6</v>
      </c>
      <c r="O426" s="2">
        <v>97.1</v>
      </c>
      <c r="P426" s="2">
        <f t="shared" si="6"/>
        <v>12.5</v>
      </c>
      <c r="Q426">
        <v>0</v>
      </c>
    </row>
    <row r="427" spans="1:17">
      <c r="A427" t="s">
        <v>52</v>
      </c>
      <c r="B427" t="s">
        <v>18</v>
      </c>
      <c r="C427">
        <v>54</v>
      </c>
      <c r="D427">
        <v>28</v>
      </c>
      <c r="E427" s="1">
        <f>+C427/(C427+D427)</f>
        <v>0.65853658536585369</v>
      </c>
      <c r="F427" s="2">
        <v>102.2</v>
      </c>
      <c r="G427" s="2">
        <v>97.4</v>
      </c>
      <c r="H427" s="2">
        <f>+F427-G427</f>
        <v>4.7999999999999972</v>
      </c>
      <c r="I427" s="1">
        <f>+(F427^14)/((F427^14+G427^14))</f>
        <v>0.66228117698287825</v>
      </c>
      <c r="J427" s="2">
        <v>110</v>
      </c>
      <c r="K427" s="2">
        <v>105</v>
      </c>
      <c r="L427" s="2">
        <f>+J427-K427</f>
        <v>5</v>
      </c>
      <c r="M427" s="1">
        <f>+E427-I427</f>
        <v>-3.7445916170245619E-3</v>
      </c>
      <c r="N427" s="2">
        <v>104.5</v>
      </c>
      <c r="O427" s="2">
        <v>97.6</v>
      </c>
      <c r="P427" s="2">
        <f t="shared" si="6"/>
        <v>6.9000000000000057</v>
      </c>
      <c r="Q427">
        <v>1.6</v>
      </c>
    </row>
    <row r="428" spans="1:17">
      <c r="A428" t="s">
        <v>36</v>
      </c>
      <c r="B428" t="s">
        <v>25</v>
      </c>
      <c r="C428">
        <v>44</v>
      </c>
      <c r="D428">
        <v>38</v>
      </c>
      <c r="E428" s="1">
        <f>+C428/(C428+D428)</f>
        <v>0.53658536585365857</v>
      </c>
      <c r="F428" s="2">
        <v>95.5</v>
      </c>
      <c r="G428" s="2">
        <v>94.4</v>
      </c>
      <c r="H428" s="2">
        <f>+F428-G428</f>
        <v>1.0999999999999943</v>
      </c>
      <c r="I428" s="1">
        <f>+(F428^14)/((F428^14+G428^14))</f>
        <v>0.5404594538627715</v>
      </c>
      <c r="J428" s="2">
        <v>102.6</v>
      </c>
      <c r="K428" s="2">
        <v>101.3</v>
      </c>
      <c r="L428" s="2">
        <f>+J428-K428</f>
        <v>1.2999999999999972</v>
      </c>
      <c r="M428" s="1">
        <f>+E428-I428</f>
        <v>-3.8740880091129304E-3</v>
      </c>
      <c r="N428" s="2">
        <v>109</v>
      </c>
      <c r="O428" s="2">
        <v>88.1</v>
      </c>
      <c r="P428" s="2">
        <f t="shared" si="6"/>
        <v>20.900000000000006</v>
      </c>
      <c r="Q428">
        <v>2.7</v>
      </c>
    </row>
    <row r="429" spans="1:17">
      <c r="A429" t="s">
        <v>55</v>
      </c>
      <c r="B429" t="s">
        <v>17</v>
      </c>
      <c r="C429">
        <v>17</v>
      </c>
      <c r="D429">
        <v>65</v>
      </c>
      <c r="E429" s="1">
        <f>+C429/(C429+D429)</f>
        <v>0.2073170731707317</v>
      </c>
      <c r="F429" s="2">
        <v>97.3</v>
      </c>
      <c r="G429" s="2">
        <v>106.9</v>
      </c>
      <c r="H429" s="2">
        <f>+F429-G429</f>
        <v>-9.6000000000000085</v>
      </c>
      <c r="I429" s="1">
        <f>+(F429^14)/((F429^14+G429^14))</f>
        <v>0.21126325417773295</v>
      </c>
      <c r="J429" s="2">
        <v>100.7</v>
      </c>
      <c r="K429" s="2">
        <v>110.3</v>
      </c>
      <c r="L429" s="2">
        <f>+J429-K429</f>
        <v>-9.5999999999999943</v>
      </c>
      <c r="M429" s="1">
        <f>+E429-I429</f>
        <v>-3.9461810070012537E-3</v>
      </c>
      <c r="N429" s="2">
        <v>108.9</v>
      </c>
      <c r="O429" s="2">
        <v>116.7</v>
      </c>
      <c r="P429" s="2">
        <f t="shared" si="6"/>
        <v>-7.7999999999999972</v>
      </c>
      <c r="Q429">
        <v>-0.1</v>
      </c>
    </row>
    <row r="430" spans="1:17">
      <c r="A430" t="s">
        <v>44</v>
      </c>
      <c r="B430" t="s">
        <v>22</v>
      </c>
      <c r="C430">
        <v>23</v>
      </c>
      <c r="D430">
        <v>59</v>
      </c>
      <c r="E430" s="1">
        <f>+C430/(C430+D430)</f>
        <v>0.28048780487804881</v>
      </c>
      <c r="F430" s="2">
        <v>96.9</v>
      </c>
      <c r="G430" s="2">
        <v>103.5</v>
      </c>
      <c r="H430" s="2">
        <f>+F430-G430</f>
        <v>-6.5999999999999943</v>
      </c>
      <c r="I430" s="1">
        <f>+(F430^14)/((F430^14+G430^14))</f>
        <v>0.28445095118347524</v>
      </c>
      <c r="J430" s="2">
        <v>103.5</v>
      </c>
      <c r="K430" s="2">
        <v>110.4</v>
      </c>
      <c r="L430" s="2">
        <f>+J430-K430</f>
        <v>-6.9000000000000057</v>
      </c>
      <c r="M430" s="1">
        <f>+E430-I430</f>
        <v>-3.9631463054264349E-3</v>
      </c>
      <c r="N430" s="2">
        <v>89.9</v>
      </c>
      <c r="O430" s="2">
        <v>96.9</v>
      </c>
      <c r="P430" s="2">
        <f t="shared" si="6"/>
        <v>-7</v>
      </c>
      <c r="Q430">
        <v>-1.4</v>
      </c>
    </row>
    <row r="431" spans="1:17">
      <c r="A431" t="s">
        <v>66</v>
      </c>
      <c r="B431" t="s">
        <v>9</v>
      </c>
      <c r="C431">
        <v>39</v>
      </c>
      <c r="D431">
        <v>24</v>
      </c>
      <c r="E431" s="1">
        <f>+C431/(C431+D431)</f>
        <v>0.61904761904761907</v>
      </c>
      <c r="F431" s="2">
        <v>119.1</v>
      </c>
      <c r="G431" s="2">
        <v>114.9</v>
      </c>
      <c r="H431" s="2">
        <f>+F431-G431</f>
        <v>4.1999999999999886</v>
      </c>
      <c r="I431" s="1">
        <f>+(F431^14)/((F431^14+G431^14))</f>
        <v>0.62307439243207641</v>
      </c>
      <c r="J431" s="2">
        <v>117.4</v>
      </c>
      <c r="K431" s="2">
        <v>113.1</v>
      </c>
      <c r="L431" s="2">
        <f>+J431-K431</f>
        <v>4.3000000000000114</v>
      </c>
      <c r="M431" s="1">
        <f>+E431-I431</f>
        <v>-4.0267733844573383E-3</v>
      </c>
      <c r="N431" s="2">
        <v>114.8</v>
      </c>
      <c r="O431" s="2">
        <v>107</v>
      </c>
      <c r="P431" s="2">
        <f t="shared" si="6"/>
        <v>7.7999999999999972</v>
      </c>
      <c r="Q431">
        <v>1.9</v>
      </c>
    </row>
    <row r="432" spans="1:17">
      <c r="A432" t="s">
        <v>65</v>
      </c>
      <c r="B432" t="s">
        <v>30</v>
      </c>
      <c r="C432">
        <v>30</v>
      </c>
      <c r="D432">
        <v>52</v>
      </c>
      <c r="E432" s="1">
        <f>+C432/(C432+D432)</f>
        <v>0.36585365853658536</v>
      </c>
      <c r="F432" s="2">
        <v>110.9</v>
      </c>
      <c r="G432" s="2">
        <v>115.2</v>
      </c>
      <c r="H432" s="2">
        <f>+F432-G432</f>
        <v>-4.2999999999999972</v>
      </c>
      <c r="I432" s="1">
        <f>+(F432^14)/((F432^14+G432^14))</f>
        <v>0.36991722047205011</v>
      </c>
      <c r="J432" s="2">
        <v>109.6</v>
      </c>
      <c r="K432" s="2">
        <v>113.6</v>
      </c>
      <c r="L432" s="2">
        <f>+J432-K432</f>
        <v>-4</v>
      </c>
      <c r="M432" s="1">
        <f>+E432-I432</f>
        <v>-4.0635619354647545E-3</v>
      </c>
      <c r="N432" s="2">
        <v>99.6</v>
      </c>
      <c r="O432" s="2">
        <v>117.6</v>
      </c>
      <c r="P432" s="2">
        <f t="shared" si="6"/>
        <v>-18</v>
      </c>
      <c r="Q432">
        <v>-0.8</v>
      </c>
    </row>
    <row r="433" spans="1:17">
      <c r="A433" t="s">
        <v>49</v>
      </c>
      <c r="B433" t="s">
        <v>6</v>
      </c>
      <c r="C433">
        <v>39</v>
      </c>
      <c r="D433">
        <v>27</v>
      </c>
      <c r="E433" s="1">
        <f>+C433/(C433+D433)</f>
        <v>0.59090909090909094</v>
      </c>
      <c r="F433" s="2">
        <v>91.8</v>
      </c>
      <c r="G433" s="2">
        <v>89.3</v>
      </c>
      <c r="H433" s="2">
        <f>+F433-G433</f>
        <v>2.5</v>
      </c>
      <c r="I433" s="1">
        <f>+(F433^14)/((F433^14+G433^14))</f>
        <v>0.59545222881559101</v>
      </c>
      <c r="J433" s="2">
        <v>100.1</v>
      </c>
      <c r="K433" s="2">
        <v>97.5</v>
      </c>
      <c r="L433" s="2">
        <f>+J433-K433</f>
        <v>2.5999999999999943</v>
      </c>
      <c r="M433" s="1">
        <f>+E433-I433</f>
        <v>-4.5431379065000721E-3</v>
      </c>
      <c r="N433" s="2">
        <v>101.2</v>
      </c>
      <c r="O433" s="2">
        <v>100.4</v>
      </c>
      <c r="P433" s="2">
        <f t="shared" si="6"/>
        <v>0.79999999999999716</v>
      </c>
      <c r="Q433">
        <v>0.1</v>
      </c>
    </row>
    <row r="434" spans="1:17">
      <c r="A434" t="s">
        <v>36</v>
      </c>
      <c r="B434" t="s">
        <v>29</v>
      </c>
      <c r="C434">
        <v>40</v>
      </c>
      <c r="D434">
        <v>42</v>
      </c>
      <c r="E434" s="1">
        <f>+C434/(C434+D434)</f>
        <v>0.48780487804878048</v>
      </c>
      <c r="F434" s="2">
        <v>92.1</v>
      </c>
      <c r="G434" s="2">
        <v>92.3</v>
      </c>
      <c r="H434" s="2">
        <f>+F434-G434</f>
        <v>-0.20000000000000284</v>
      </c>
      <c r="I434" s="1">
        <f>+(F434^14)/((F434^14+G434^14))</f>
        <v>0.49240838957943855</v>
      </c>
      <c r="J434" s="2">
        <v>102.4</v>
      </c>
      <c r="K434" s="2">
        <v>102.6</v>
      </c>
      <c r="L434" s="2">
        <f>+J434-K434</f>
        <v>-0.19999999999998863</v>
      </c>
      <c r="M434" s="1">
        <f>+E434-I434</f>
        <v>-4.6035115306580776E-3</v>
      </c>
      <c r="N434" s="2">
        <v>101.6</v>
      </c>
      <c r="O434" s="2">
        <v>99.7</v>
      </c>
      <c r="P434" s="2">
        <f t="shared" si="6"/>
        <v>1.8999999999999915</v>
      </c>
      <c r="Q434">
        <v>-0.5</v>
      </c>
    </row>
    <row r="435" spans="1:17">
      <c r="A435" t="s">
        <v>43</v>
      </c>
      <c r="B435" t="s">
        <v>12</v>
      </c>
      <c r="C435">
        <v>53</v>
      </c>
      <c r="D435">
        <v>29</v>
      </c>
      <c r="E435" s="1">
        <f>+C435/(C435+D435)</f>
        <v>0.64634146341463417</v>
      </c>
      <c r="F435" s="2">
        <v>96</v>
      </c>
      <c r="G435" s="2">
        <v>91.8</v>
      </c>
      <c r="H435" s="2">
        <f>+F435-G435</f>
        <v>4.2000000000000028</v>
      </c>
      <c r="I435" s="1">
        <f>+(F435^14)/((F435^14+G435^14))</f>
        <v>0.65165059639805156</v>
      </c>
      <c r="J435" s="2">
        <v>107.4</v>
      </c>
      <c r="K435" s="2">
        <v>102.6</v>
      </c>
      <c r="L435" s="2">
        <f>+J435-K435</f>
        <v>4.8000000000000114</v>
      </c>
      <c r="M435" s="1">
        <f>+E435-I435</f>
        <v>-5.3091329834173973E-3</v>
      </c>
      <c r="N435" s="2">
        <v>113.9</v>
      </c>
      <c r="O435" s="2">
        <v>101.2</v>
      </c>
      <c r="P435" s="2">
        <f t="shared" si="6"/>
        <v>12.700000000000003</v>
      </c>
      <c r="Q435">
        <v>1.5</v>
      </c>
    </row>
    <row r="436" spans="1:17">
      <c r="A436" t="s">
        <v>63</v>
      </c>
      <c r="B436" t="s">
        <v>23</v>
      </c>
      <c r="C436">
        <v>34</v>
      </c>
      <c r="D436">
        <v>48</v>
      </c>
      <c r="E436" s="1">
        <f>+C436/(C436+D436)</f>
        <v>0.41463414634146339</v>
      </c>
      <c r="F436" s="2">
        <v>111.4</v>
      </c>
      <c r="G436" s="2">
        <v>114</v>
      </c>
      <c r="H436" s="2">
        <f>+F436-G436</f>
        <v>-2.5999999999999943</v>
      </c>
      <c r="I436" s="1">
        <f>+(F436^14)/((F436^14+G436^14))</f>
        <v>0.41994584859669859</v>
      </c>
      <c r="J436" s="2">
        <v>111.3</v>
      </c>
      <c r="K436" s="2">
        <v>113.7</v>
      </c>
      <c r="L436" s="2">
        <f>+J436-K436</f>
        <v>-2.4000000000000057</v>
      </c>
      <c r="M436" s="1">
        <f>+E436-I436</f>
        <v>-5.3117022552351956E-3</v>
      </c>
      <c r="N436" s="2">
        <v>109.2</v>
      </c>
      <c r="O436" s="2">
        <v>120.8</v>
      </c>
      <c r="P436" s="2">
        <f t="shared" si="6"/>
        <v>-11.599999999999994</v>
      </c>
      <c r="Q436">
        <v>0.5</v>
      </c>
    </row>
    <row r="437" spans="1:17">
      <c r="A437" t="s">
        <v>36</v>
      </c>
      <c r="B437" t="s">
        <v>37</v>
      </c>
      <c r="C437">
        <v>47</v>
      </c>
      <c r="D437">
        <v>35</v>
      </c>
      <c r="E437" s="1">
        <f>+C437/(C437+D437)</f>
        <v>0.57317073170731703</v>
      </c>
      <c r="F437" s="2">
        <v>93.9</v>
      </c>
      <c r="G437" s="2">
        <v>91.8</v>
      </c>
      <c r="H437" s="2">
        <f>+F437-G437</f>
        <v>2.1000000000000085</v>
      </c>
      <c r="I437" s="1">
        <f>+(F437^14)/((F437^14+G437^14))</f>
        <v>0.57850840531735526</v>
      </c>
      <c r="J437" s="2">
        <v>102.4</v>
      </c>
      <c r="K437" s="2">
        <v>100</v>
      </c>
      <c r="L437" s="2">
        <f>+J437-K437</f>
        <v>2.4000000000000057</v>
      </c>
      <c r="M437" s="1">
        <f>+E437-I437</f>
        <v>-5.3376736100382294E-3</v>
      </c>
      <c r="N437" s="2">
        <v>101.5</v>
      </c>
      <c r="O437" s="2">
        <v>95.7</v>
      </c>
      <c r="P437" s="2">
        <f t="shared" si="6"/>
        <v>5.7999999999999972</v>
      </c>
      <c r="Q437">
        <v>0.3</v>
      </c>
    </row>
    <row r="438" spans="1:17">
      <c r="A438" t="s">
        <v>49</v>
      </c>
      <c r="B438" t="s">
        <v>40</v>
      </c>
      <c r="C438">
        <v>7</v>
      </c>
      <c r="D438">
        <v>59</v>
      </c>
      <c r="E438" s="1">
        <f>+C438/(C438+D438)</f>
        <v>0.10606060606060606</v>
      </c>
      <c r="F438" s="2">
        <v>87</v>
      </c>
      <c r="G438" s="2">
        <v>100.9</v>
      </c>
      <c r="H438" s="2">
        <f>+F438-G438</f>
        <v>-13.900000000000006</v>
      </c>
      <c r="I438" s="1">
        <f>+(F438^14)/((F438^14+G438^14))</f>
        <v>0.11154010247358601</v>
      </c>
      <c r="J438" s="2">
        <v>94.4</v>
      </c>
      <c r="K438" s="2">
        <v>109.4</v>
      </c>
      <c r="L438" s="2">
        <f>+J438-K438</f>
        <v>-15</v>
      </c>
      <c r="M438" s="1">
        <f>+E438-I438</f>
        <v>-5.4794964129799423E-3</v>
      </c>
      <c r="N438" s="2">
        <v>82.8</v>
      </c>
      <c r="O438" s="2">
        <v>116.2</v>
      </c>
      <c r="P438" s="2">
        <f t="shared" si="6"/>
        <v>-33.400000000000006</v>
      </c>
      <c r="Q438">
        <v>-2.8</v>
      </c>
    </row>
    <row r="439" spans="1:17">
      <c r="A439" t="s">
        <v>45</v>
      </c>
      <c r="B439" t="s">
        <v>12</v>
      </c>
      <c r="C439">
        <v>39</v>
      </c>
      <c r="D439">
        <v>43</v>
      </c>
      <c r="E439" s="1">
        <f>+C439/(C439+D439)</f>
        <v>0.47560975609756095</v>
      </c>
      <c r="F439" s="2">
        <v>94.2</v>
      </c>
      <c r="G439" s="2">
        <v>94.7</v>
      </c>
      <c r="H439" s="2">
        <f>+F439-G439</f>
        <v>-0.5</v>
      </c>
      <c r="I439" s="1">
        <f>+(F439^14)/((F439^14+G439^14))</f>
        <v>0.48148011126820961</v>
      </c>
      <c r="J439" s="2">
        <v>105.8</v>
      </c>
      <c r="K439" s="2">
        <v>106.4</v>
      </c>
      <c r="L439" s="2">
        <f>+J439-K439</f>
        <v>-0.60000000000000853</v>
      </c>
      <c r="M439" s="1">
        <f>+E439-I439</f>
        <v>-5.8703551706486556E-3</v>
      </c>
      <c r="N439" s="2">
        <v>101.4</v>
      </c>
      <c r="O439" s="2">
        <v>106.3</v>
      </c>
      <c r="P439" s="2">
        <f t="shared" si="6"/>
        <v>-4.8999999999999915</v>
      </c>
      <c r="Q439">
        <v>-0.5</v>
      </c>
    </row>
    <row r="440" spans="1:17">
      <c r="A440" t="s">
        <v>4</v>
      </c>
      <c r="B440" t="s">
        <v>21</v>
      </c>
      <c r="C440">
        <v>26</v>
      </c>
      <c r="D440">
        <v>56</v>
      </c>
      <c r="E440" s="1">
        <f>+C440/(C440+D440)</f>
        <v>0.31707317073170732</v>
      </c>
      <c r="F440" s="2">
        <v>92.1</v>
      </c>
      <c r="G440" s="2">
        <v>97.1</v>
      </c>
      <c r="H440" s="2">
        <f>+F440-G440</f>
        <v>-5</v>
      </c>
      <c r="I440" s="1">
        <f>+(F440^14)/((F440^14+G440^14))</f>
        <v>0.32297570638885176</v>
      </c>
      <c r="J440" s="2">
        <v>98.4</v>
      </c>
      <c r="K440" s="2">
        <v>103.8</v>
      </c>
      <c r="L440" s="2">
        <f>+J440-K440</f>
        <v>-5.3999999999999915</v>
      </c>
      <c r="M440" s="1">
        <f>+E440-I440</f>
        <v>-5.9025356571444365E-3</v>
      </c>
      <c r="N440" s="2">
        <v>93.1</v>
      </c>
      <c r="O440" s="2">
        <v>105.7</v>
      </c>
      <c r="P440" s="2">
        <f t="shared" si="6"/>
        <v>-12.600000000000009</v>
      </c>
      <c r="Q440">
        <v>-1.8</v>
      </c>
    </row>
    <row r="441" spans="1:17">
      <c r="A441" t="s">
        <v>4</v>
      </c>
      <c r="B441" t="s">
        <v>30</v>
      </c>
      <c r="C441">
        <v>47</v>
      </c>
      <c r="D441">
        <v>35</v>
      </c>
      <c r="E441" s="1">
        <f>+C441/(C441+D441)</f>
        <v>0.57317073170731703</v>
      </c>
      <c r="F441" s="2">
        <v>97.6</v>
      </c>
      <c r="G441" s="2">
        <v>95.4</v>
      </c>
      <c r="H441" s="2">
        <f>+F441-G441</f>
        <v>2.1999999999999886</v>
      </c>
      <c r="I441" s="1">
        <f>+(F441^14)/((F441^14+G441^14))</f>
        <v>0.57912557114227126</v>
      </c>
      <c r="J441" s="2">
        <v>104.4</v>
      </c>
      <c r="K441" s="2">
        <v>102</v>
      </c>
      <c r="L441" s="2">
        <f>+J441-K441</f>
        <v>2.4000000000000057</v>
      </c>
      <c r="M441" s="1">
        <f>+E441-I441</f>
        <v>-5.9548394349542288E-3</v>
      </c>
      <c r="N441" s="2">
        <v>96.8</v>
      </c>
      <c r="O441" s="2">
        <v>92.1</v>
      </c>
      <c r="P441" s="2">
        <f t="shared" si="6"/>
        <v>4.7000000000000028</v>
      </c>
      <c r="Q441">
        <v>0.7</v>
      </c>
    </row>
    <row r="442" spans="1:17">
      <c r="A442" t="s">
        <v>45</v>
      </c>
      <c r="B442" t="s">
        <v>31</v>
      </c>
      <c r="C442">
        <v>48</v>
      </c>
      <c r="D442">
        <v>34</v>
      </c>
      <c r="E442" s="1">
        <f>+C442/(C442+D442)</f>
        <v>0.58536585365853655</v>
      </c>
      <c r="F442" s="2">
        <v>103.6</v>
      </c>
      <c r="G442" s="2">
        <v>100.9</v>
      </c>
      <c r="H442" s="2">
        <f>+F442-G442</f>
        <v>2.6999999999999886</v>
      </c>
      <c r="I442" s="1">
        <f>+(F442^14)/((F442^14+G442^14))</f>
        <v>0.59138736414412263</v>
      </c>
      <c r="J442" s="2">
        <v>108.5</v>
      </c>
      <c r="K442" s="2">
        <v>105.8</v>
      </c>
      <c r="L442" s="2">
        <f>+J442-K442</f>
        <v>2.7000000000000028</v>
      </c>
      <c r="M442" s="1">
        <f>+E442-I442</f>
        <v>-6.021510485586079E-3</v>
      </c>
      <c r="N442" s="2">
        <v>109.6</v>
      </c>
      <c r="O442" s="2">
        <v>103.4</v>
      </c>
      <c r="P442" s="2">
        <f t="shared" si="6"/>
        <v>6.1999999999999886</v>
      </c>
      <c r="Q442">
        <v>1.2</v>
      </c>
    </row>
    <row r="443" spans="1:17">
      <c r="A443" t="s">
        <v>61</v>
      </c>
      <c r="B443" t="s">
        <v>22</v>
      </c>
      <c r="C443">
        <v>41</v>
      </c>
      <c r="D443">
        <v>31</v>
      </c>
      <c r="E443" s="1">
        <f>+C443/(C443+D443)</f>
        <v>0.56944444444444442</v>
      </c>
      <c r="F443" s="2">
        <v>107</v>
      </c>
      <c r="G443" s="2">
        <v>104.7</v>
      </c>
      <c r="H443" s="2">
        <f>+F443-G443</f>
        <v>2.2999999999999972</v>
      </c>
      <c r="I443" s="1">
        <f>+(F443^14)/((F443^14+G443^14))</f>
        <v>0.57547283603033039</v>
      </c>
      <c r="J443" s="2">
        <v>110.2</v>
      </c>
      <c r="K443" s="2">
        <v>107.8</v>
      </c>
      <c r="L443" s="2">
        <f>+J443-K443</f>
        <v>2.4000000000000057</v>
      </c>
      <c r="M443" s="1">
        <f>+E443-I443</f>
        <v>-6.0283915858859727E-3</v>
      </c>
      <c r="N443" s="2">
        <v>106.3</v>
      </c>
      <c r="O443" s="2">
        <v>94.8</v>
      </c>
      <c r="P443" s="2">
        <f t="shared" si="6"/>
        <v>11.5</v>
      </c>
      <c r="Q443">
        <v>-0.4</v>
      </c>
    </row>
    <row r="444" spans="1:17">
      <c r="A444" t="s">
        <v>62</v>
      </c>
      <c r="B444" t="s">
        <v>17</v>
      </c>
      <c r="C444">
        <v>33</v>
      </c>
      <c r="D444">
        <v>49</v>
      </c>
      <c r="E444" s="1">
        <f>+C444/(C444+D444)</f>
        <v>0.40243902439024393</v>
      </c>
      <c r="F444" s="2">
        <v>112.1</v>
      </c>
      <c r="G444" s="2">
        <v>115.1</v>
      </c>
      <c r="H444" s="2">
        <f>+F444-G444</f>
        <v>-3</v>
      </c>
      <c r="I444" s="1">
        <f>+(F444^14)/((F444^14+G444^14))</f>
        <v>0.40860389677498032</v>
      </c>
      <c r="J444" s="2">
        <v>110</v>
      </c>
      <c r="K444" s="2">
        <v>112.8</v>
      </c>
      <c r="L444" s="2">
        <f>+J444-K444</f>
        <v>-2.7999999999999972</v>
      </c>
      <c r="M444" s="1">
        <f>+E444-I444</f>
        <v>-6.1648723847363973E-3</v>
      </c>
      <c r="N444" s="2">
        <v>103.8</v>
      </c>
      <c r="O444" s="2">
        <v>107.1</v>
      </c>
      <c r="P444" s="2">
        <f t="shared" si="6"/>
        <v>-3.2999999999999972</v>
      </c>
      <c r="Q444">
        <v>0.6</v>
      </c>
    </row>
    <row r="445" spans="1:17">
      <c r="A445" t="s">
        <v>55</v>
      </c>
      <c r="B445" t="s">
        <v>7</v>
      </c>
      <c r="C445">
        <v>48</v>
      </c>
      <c r="D445">
        <v>34</v>
      </c>
      <c r="E445" s="1">
        <f>+C445/(C445+D445)</f>
        <v>0.58536585365853655</v>
      </c>
      <c r="F445" s="2">
        <v>103.4</v>
      </c>
      <c r="G445" s="2">
        <v>100.7</v>
      </c>
      <c r="H445" s="2">
        <f>+F445-G445</f>
        <v>2.7000000000000028</v>
      </c>
      <c r="I445" s="1">
        <f>+(F445^14)/((F445^14+G445^14))</f>
        <v>0.59156246020875802</v>
      </c>
      <c r="J445" s="2">
        <v>106.4</v>
      </c>
      <c r="K445" s="2">
        <v>103.7</v>
      </c>
      <c r="L445" s="2">
        <f>+J445-K445</f>
        <v>2.7000000000000028</v>
      </c>
      <c r="M445" s="1">
        <f>+E445-I445</f>
        <v>-6.1966065502214729E-3</v>
      </c>
      <c r="N445" s="2">
        <v>106</v>
      </c>
      <c r="O445" s="2">
        <v>95.3</v>
      </c>
      <c r="P445" s="2">
        <f t="shared" si="6"/>
        <v>10.700000000000003</v>
      </c>
      <c r="Q445">
        <v>0.6</v>
      </c>
    </row>
    <row r="446" spans="1:17">
      <c r="A446" t="s">
        <v>36</v>
      </c>
      <c r="B446" t="s">
        <v>18</v>
      </c>
      <c r="C446">
        <v>25</v>
      </c>
      <c r="D446">
        <v>57</v>
      </c>
      <c r="E446" s="1">
        <f>+C446/(C446+D446)</f>
        <v>0.3048780487804878</v>
      </c>
      <c r="F446" s="2">
        <v>85.6</v>
      </c>
      <c r="G446" s="2">
        <v>90.6</v>
      </c>
      <c r="H446" s="2">
        <f>+F446-G446</f>
        <v>-5</v>
      </c>
      <c r="I446" s="1">
        <f>+(F446^14)/((F446^14+G446^14))</f>
        <v>0.31114644436616246</v>
      </c>
      <c r="J446" s="2">
        <v>95.4</v>
      </c>
      <c r="K446" s="2">
        <v>101.2</v>
      </c>
      <c r="L446" s="2">
        <f>+J446-K446</f>
        <v>-5.7999999999999972</v>
      </c>
      <c r="M446" s="1">
        <f>+E446-I446</f>
        <v>-6.2683955856746576E-3</v>
      </c>
      <c r="N446" s="2">
        <v>85.2</v>
      </c>
      <c r="O446" s="2">
        <v>102.5</v>
      </c>
      <c r="P446" s="2">
        <f t="shared" si="6"/>
        <v>-17.299999999999997</v>
      </c>
      <c r="Q446">
        <v>-0.9</v>
      </c>
    </row>
    <row r="447" spans="1:17">
      <c r="A447" t="s">
        <v>34</v>
      </c>
      <c r="B447" t="s">
        <v>20</v>
      </c>
      <c r="C447">
        <v>50</v>
      </c>
      <c r="D447">
        <v>32</v>
      </c>
      <c r="E447" s="1">
        <f>+C447/(C447+D447)</f>
        <v>0.6097560975609756</v>
      </c>
      <c r="F447" s="2">
        <v>99.3</v>
      </c>
      <c r="G447" s="2">
        <v>96</v>
      </c>
      <c r="H447" s="2">
        <f>+F447-G447</f>
        <v>3.2999999999999972</v>
      </c>
      <c r="I447" s="1">
        <f>+(F447^14)/((F447^14+G447^14))</f>
        <v>0.6161321966292217</v>
      </c>
      <c r="J447" s="2">
        <v>107.5</v>
      </c>
      <c r="K447" s="2">
        <v>104.1</v>
      </c>
      <c r="L447" s="2">
        <f>+J447-K447</f>
        <v>3.4000000000000057</v>
      </c>
      <c r="M447" s="1">
        <f>+E447-I447</f>
        <v>-6.3760990682460994E-3</v>
      </c>
      <c r="N447" s="2">
        <v>94.3</v>
      </c>
      <c r="O447" s="2">
        <v>102.6</v>
      </c>
      <c r="P447" s="2">
        <f t="shared" si="6"/>
        <v>-8.2999999999999972</v>
      </c>
      <c r="Q447">
        <v>-0.2</v>
      </c>
    </row>
    <row r="448" spans="1:17">
      <c r="A448" t="s">
        <v>59</v>
      </c>
      <c r="B448" t="s">
        <v>46</v>
      </c>
      <c r="C448">
        <v>49</v>
      </c>
      <c r="D448">
        <v>33</v>
      </c>
      <c r="E448" s="1">
        <f>+C448/(C448+D448)</f>
        <v>0.59756097560975607</v>
      </c>
      <c r="F448" s="2">
        <v>114.5</v>
      </c>
      <c r="G448" s="2">
        <v>111.1</v>
      </c>
      <c r="H448" s="2">
        <f>+F448-G448</f>
        <v>3.4000000000000057</v>
      </c>
      <c r="I448" s="1">
        <f>+(F448^14)/((F448^14+G448^14))</f>
        <v>0.60396598327503692</v>
      </c>
      <c r="J448" s="2">
        <v>109.8</v>
      </c>
      <c r="K448" s="2">
        <v>106.5</v>
      </c>
      <c r="L448" s="2">
        <f>+J448-K448</f>
        <v>3.2999999999999972</v>
      </c>
      <c r="M448" s="1">
        <f>+E448-I448</f>
        <v>-6.4050076652808485E-3</v>
      </c>
      <c r="N448" s="2">
        <v>106.9</v>
      </c>
      <c r="O448" s="2">
        <v>104.6</v>
      </c>
      <c r="P448" s="2">
        <f t="shared" si="6"/>
        <v>2.3000000000000114</v>
      </c>
      <c r="Q448">
        <v>1</v>
      </c>
    </row>
    <row r="449" spans="1:17">
      <c r="A449" t="s">
        <v>65</v>
      </c>
      <c r="B449" t="s">
        <v>7</v>
      </c>
      <c r="C449">
        <v>19</v>
      </c>
      <c r="D449">
        <v>63</v>
      </c>
      <c r="E449" s="1">
        <f>+C449/(C449+D449)</f>
        <v>0.23170731707317074</v>
      </c>
      <c r="F449" s="2">
        <v>105.1</v>
      </c>
      <c r="G449" s="2">
        <v>114.2</v>
      </c>
      <c r="H449" s="2">
        <f>+F449-G449</f>
        <v>-9.1000000000000085</v>
      </c>
      <c r="I449" s="1">
        <f>+(F449^14)/((F449^14+G449^14))</f>
        <v>0.23820492240798724</v>
      </c>
      <c r="J449" s="2">
        <v>106.7</v>
      </c>
      <c r="K449" s="2">
        <v>115.7</v>
      </c>
      <c r="L449" s="2">
        <f>+J449-K449</f>
        <v>-9</v>
      </c>
      <c r="M449" s="1">
        <f>+E449-I449</f>
        <v>-6.4976053348164975E-3</v>
      </c>
      <c r="N449" s="2">
        <v>105.4</v>
      </c>
      <c r="O449" s="2">
        <v>111.4</v>
      </c>
      <c r="P449" s="2">
        <f t="shared" si="6"/>
        <v>-6</v>
      </c>
      <c r="Q449">
        <v>-0.5</v>
      </c>
    </row>
    <row r="450" spans="1:17">
      <c r="A450" t="s">
        <v>59</v>
      </c>
      <c r="B450" t="s">
        <v>25</v>
      </c>
      <c r="C450">
        <v>19</v>
      </c>
      <c r="D450">
        <v>63</v>
      </c>
      <c r="E450" s="1">
        <f>+C450/(C450+D450)</f>
        <v>0.23170731707317074</v>
      </c>
      <c r="F450" s="2">
        <v>107.5</v>
      </c>
      <c r="G450" s="2">
        <v>116.8</v>
      </c>
      <c r="H450" s="2">
        <f>+F450-G450</f>
        <v>-9.2999999999999972</v>
      </c>
      <c r="I450" s="1">
        <f>+(F450^14)/((F450^14+G450^14))</f>
        <v>0.2383746596037172</v>
      </c>
      <c r="J450" s="2">
        <v>105.3</v>
      </c>
      <c r="K450" s="2">
        <v>114.2</v>
      </c>
      <c r="L450" s="2">
        <f>+J450-K450</f>
        <v>-8.9000000000000057</v>
      </c>
      <c r="M450" s="1">
        <f>+E450-I450</f>
        <v>-6.6673425305464606E-3</v>
      </c>
      <c r="N450" s="2">
        <v>107.7</v>
      </c>
      <c r="O450" s="2">
        <v>116.9</v>
      </c>
      <c r="P450" s="2">
        <f t="shared" si="6"/>
        <v>-9.2000000000000028</v>
      </c>
      <c r="Q450">
        <v>-2.1</v>
      </c>
    </row>
    <row r="451" spans="1:17">
      <c r="A451" t="s">
        <v>36</v>
      </c>
      <c r="B451" t="s">
        <v>11</v>
      </c>
      <c r="C451">
        <v>17</v>
      </c>
      <c r="D451">
        <v>65</v>
      </c>
      <c r="E451" s="1">
        <f>+C451/(C451+D451)</f>
        <v>0.2073170731707317</v>
      </c>
      <c r="F451" s="2">
        <v>84.2</v>
      </c>
      <c r="G451" s="2">
        <v>92.4</v>
      </c>
      <c r="H451" s="2">
        <f>+F451-G451</f>
        <v>-8.2000000000000028</v>
      </c>
      <c r="I451" s="1">
        <f>+(F451^14)/((F451^14+G451^14))</f>
        <v>0.21398855794642072</v>
      </c>
      <c r="J451" s="2">
        <v>91.2</v>
      </c>
      <c r="K451" s="2">
        <v>100.1</v>
      </c>
      <c r="L451" s="2">
        <f>+J451-K451</f>
        <v>-8.8999999999999915</v>
      </c>
      <c r="M451" s="1">
        <f>+E451-I451</f>
        <v>-6.6714847756890183E-3</v>
      </c>
      <c r="N451" s="2">
        <v>89.6</v>
      </c>
      <c r="O451" s="2">
        <v>110.9</v>
      </c>
      <c r="P451" s="2">
        <f t="shared" si="6"/>
        <v>-21.300000000000011</v>
      </c>
      <c r="Q451">
        <v>-0.5</v>
      </c>
    </row>
    <row r="452" spans="1:17">
      <c r="A452" t="s">
        <v>60</v>
      </c>
      <c r="B452" t="s">
        <v>27</v>
      </c>
      <c r="C452">
        <v>31</v>
      </c>
      <c r="D452">
        <v>41</v>
      </c>
      <c r="E452" s="1">
        <f>+C452/(C452+D452)</f>
        <v>0.43055555555555558</v>
      </c>
      <c r="F452" s="2">
        <v>110.1</v>
      </c>
      <c r="G452" s="2">
        <v>112.1</v>
      </c>
      <c r="H452" s="2">
        <f>+F452-G452</f>
        <v>-2</v>
      </c>
      <c r="I452" s="1">
        <f>+(F452^14)/((F452^14+G452^14))</f>
        <v>0.43732341582347528</v>
      </c>
      <c r="J452" s="2">
        <v>109.5</v>
      </c>
      <c r="K452" s="2">
        <v>111.4</v>
      </c>
      <c r="L452" s="2">
        <f>+J452-K452</f>
        <v>-1.9000000000000057</v>
      </c>
      <c r="M452" s="1">
        <f>+E452-I452</f>
        <v>-6.7678602679197009E-3</v>
      </c>
      <c r="N452" s="2">
        <v>111</v>
      </c>
      <c r="O452" s="2">
        <v>113.7</v>
      </c>
      <c r="P452" s="2">
        <f t="shared" si="6"/>
        <v>-2.7000000000000028</v>
      </c>
      <c r="Q452">
        <v>0.1</v>
      </c>
    </row>
    <row r="453" spans="1:17">
      <c r="A453" t="s">
        <v>54</v>
      </c>
      <c r="B453" t="s">
        <v>30</v>
      </c>
      <c r="C453">
        <v>49</v>
      </c>
      <c r="D453">
        <v>33</v>
      </c>
      <c r="E453" s="1">
        <f>+C453/(C453+D453)</f>
        <v>0.59756097560975607</v>
      </c>
      <c r="F453" s="2">
        <v>104</v>
      </c>
      <c r="G453" s="2">
        <v>100.9</v>
      </c>
      <c r="H453" s="2">
        <f>+F453-G453</f>
        <v>3.0999999999999943</v>
      </c>
      <c r="I453" s="1">
        <f>+(F453^14)/((F453^14+G453^14))</f>
        <v>0.60435719403948929</v>
      </c>
      <c r="J453" s="2">
        <v>110.2</v>
      </c>
      <c r="K453" s="2">
        <v>107.1</v>
      </c>
      <c r="L453" s="2">
        <f>+J453-K453</f>
        <v>3.1000000000000085</v>
      </c>
      <c r="M453" s="1">
        <f>+E453-I453</f>
        <v>-6.796218429733214E-3</v>
      </c>
      <c r="N453" s="2">
        <v>104.4</v>
      </c>
      <c r="O453" s="2">
        <v>108.7</v>
      </c>
      <c r="P453" s="2">
        <f t="shared" si="6"/>
        <v>-4.2999999999999972</v>
      </c>
      <c r="Q453">
        <v>0.3</v>
      </c>
    </row>
    <row r="454" spans="1:17">
      <c r="A454" t="s">
        <v>4</v>
      </c>
      <c r="B454" t="s">
        <v>13</v>
      </c>
      <c r="C454">
        <v>17</v>
      </c>
      <c r="D454">
        <v>65</v>
      </c>
      <c r="E454" s="1">
        <f>+C454/(C454+D454)</f>
        <v>0.2073170731707317</v>
      </c>
      <c r="F454" s="2">
        <v>92.5</v>
      </c>
      <c r="G454" s="2">
        <v>101.5</v>
      </c>
      <c r="H454" s="2">
        <f>+F454-G454</f>
        <v>-9</v>
      </c>
      <c r="I454" s="1">
        <f>+(F454^14)/((F454^14+G454^14))</f>
        <v>0.21418148448904825</v>
      </c>
      <c r="J454" s="2">
        <v>96.3</v>
      </c>
      <c r="K454" s="2">
        <v>105.5</v>
      </c>
      <c r="L454" s="2">
        <f>+J454-K454</f>
        <v>-9.2000000000000028</v>
      </c>
      <c r="M454" s="1">
        <f>+E454-I454</f>
        <v>-6.8644113183165545E-3</v>
      </c>
      <c r="N454" s="2">
        <v>84.6</v>
      </c>
      <c r="O454" s="2">
        <v>107.8</v>
      </c>
      <c r="P454" s="2">
        <f t="shared" si="6"/>
        <v>-23.200000000000003</v>
      </c>
      <c r="Q454">
        <v>-1.1000000000000001</v>
      </c>
    </row>
    <row r="455" spans="1:17">
      <c r="A455" t="s">
        <v>44</v>
      </c>
      <c r="B455" t="s">
        <v>11</v>
      </c>
      <c r="C455">
        <v>50</v>
      </c>
      <c r="D455">
        <v>32</v>
      </c>
      <c r="E455" s="1">
        <f>+C455/(C455+D455)</f>
        <v>0.6097560975609756</v>
      </c>
      <c r="F455" s="2">
        <v>110.7</v>
      </c>
      <c r="G455" s="2">
        <v>107</v>
      </c>
      <c r="H455" s="2">
        <f>+F455-G455</f>
        <v>3.7000000000000028</v>
      </c>
      <c r="I455" s="1">
        <f>+(F455^14)/((F455^14+G455^14))</f>
        <v>0.61678636144729848</v>
      </c>
      <c r="J455" s="2">
        <v>108.9</v>
      </c>
      <c r="K455" s="2">
        <v>105.5</v>
      </c>
      <c r="L455" s="2">
        <f>+J455-K455</f>
        <v>3.4000000000000057</v>
      </c>
      <c r="M455" s="1">
        <f>+E455-I455</f>
        <v>-7.030263886322885E-3</v>
      </c>
      <c r="N455" s="2">
        <v>100.3</v>
      </c>
      <c r="O455" s="2">
        <v>97</v>
      </c>
      <c r="P455" s="2">
        <f t="shared" si="6"/>
        <v>3.2999999999999972</v>
      </c>
      <c r="Q455">
        <v>0.8</v>
      </c>
    </row>
    <row r="456" spans="1:17">
      <c r="A456" t="s">
        <v>41</v>
      </c>
      <c r="B456" t="s">
        <v>22</v>
      </c>
      <c r="C456">
        <v>23</v>
      </c>
      <c r="D456">
        <v>59</v>
      </c>
      <c r="E456" s="1">
        <f>+C456/(C456+D456)</f>
        <v>0.28048780487804881</v>
      </c>
      <c r="F456" s="2">
        <v>95.6</v>
      </c>
      <c r="G456" s="2">
        <v>102</v>
      </c>
      <c r="H456" s="2">
        <f>+F456-G456</f>
        <v>-6.4000000000000057</v>
      </c>
      <c r="I456" s="1">
        <f>+(F456^14)/((F456^14+G456^14))</f>
        <v>0.28757316482715334</v>
      </c>
      <c r="J456" s="2">
        <v>102.7</v>
      </c>
      <c r="K456" s="2">
        <v>109.3</v>
      </c>
      <c r="L456" s="2">
        <f>+J456-K456</f>
        <v>-6.5999999999999943</v>
      </c>
      <c r="M456" s="1">
        <f>+E456-I456</f>
        <v>-7.0853599491045305E-3</v>
      </c>
      <c r="N456" s="2">
        <v>100.3</v>
      </c>
      <c r="O456" s="2">
        <v>113.2</v>
      </c>
      <c r="P456" s="2">
        <f t="shared" si="6"/>
        <v>-12.900000000000006</v>
      </c>
      <c r="Q456">
        <v>1.2</v>
      </c>
    </row>
    <row r="457" spans="1:17">
      <c r="A457" t="s">
        <v>34</v>
      </c>
      <c r="B457" t="s">
        <v>26</v>
      </c>
      <c r="C457">
        <v>49</v>
      </c>
      <c r="D457">
        <v>33</v>
      </c>
      <c r="E457" s="1">
        <f>+C457/(C457+D457)</f>
        <v>0.59756097560975607</v>
      </c>
      <c r="F457" s="2">
        <v>96.6</v>
      </c>
      <c r="G457" s="2">
        <v>93.7</v>
      </c>
      <c r="H457" s="2">
        <f>+F457-G457</f>
        <v>2.8999999999999915</v>
      </c>
      <c r="I457" s="1">
        <f>+(F457^14)/((F457^14+G457^14))</f>
        <v>0.60509200990048839</v>
      </c>
      <c r="J457" s="2">
        <v>105.9</v>
      </c>
      <c r="K457" s="2">
        <v>102.6</v>
      </c>
      <c r="L457" s="2">
        <f>+J457-K457</f>
        <v>3.3000000000000114</v>
      </c>
      <c r="M457" s="1">
        <f>+E457-I457</f>
        <v>-7.5310342907323191E-3</v>
      </c>
      <c r="N457" s="2">
        <v>111.7</v>
      </c>
      <c r="O457" s="2">
        <v>99.7</v>
      </c>
      <c r="P457" s="2">
        <f t="shared" si="6"/>
        <v>12</v>
      </c>
      <c r="Q457">
        <v>-0.2</v>
      </c>
    </row>
    <row r="458" spans="1:17">
      <c r="A458" t="s">
        <v>63</v>
      </c>
      <c r="B458" t="s">
        <v>14</v>
      </c>
      <c r="C458">
        <v>22</v>
      </c>
      <c r="D458">
        <v>60</v>
      </c>
      <c r="E458" s="1">
        <f>+C458/(C458+D458)</f>
        <v>0.26829268292682928</v>
      </c>
      <c r="F458" s="2">
        <v>110.7</v>
      </c>
      <c r="G458" s="2">
        <v>118.6</v>
      </c>
      <c r="H458" s="2">
        <f>+F458-G458</f>
        <v>-7.8999999999999915</v>
      </c>
      <c r="I458" s="1">
        <f>+(F458^14)/((F458^14+G458^14))</f>
        <v>0.27586683135290885</v>
      </c>
      <c r="J458" s="2">
        <v>110.5</v>
      </c>
      <c r="K458" s="2">
        <v>118.6</v>
      </c>
      <c r="L458" s="2">
        <f>+J458-K458</f>
        <v>-8.0999999999999943</v>
      </c>
      <c r="M458" s="1">
        <f>+E458-I458</f>
        <v>-7.5741484260795633E-3</v>
      </c>
      <c r="N458" s="2">
        <v>91.4</v>
      </c>
      <c r="O458" s="2">
        <v>101</v>
      </c>
      <c r="P458" s="2">
        <f t="shared" ref="P458:P521" si="7">+N458-O458</f>
        <v>-9.5999999999999943</v>
      </c>
      <c r="Q458">
        <v>-1.9</v>
      </c>
    </row>
    <row r="459" spans="1:17">
      <c r="A459" t="s">
        <v>57</v>
      </c>
      <c r="B459" t="s">
        <v>12</v>
      </c>
      <c r="C459">
        <v>37</v>
      </c>
      <c r="D459">
        <v>45</v>
      </c>
      <c r="E459" s="1">
        <f>+C459/(C459+D459)</f>
        <v>0.45121951219512196</v>
      </c>
      <c r="F459" s="2">
        <v>101.3</v>
      </c>
      <c r="G459" s="2">
        <v>102.5</v>
      </c>
      <c r="H459" s="2">
        <f>+F459-G459</f>
        <v>-1.2000000000000028</v>
      </c>
      <c r="I459" s="1">
        <f>+(F459^14)/((F459^14+G459^14))</f>
        <v>0.45887575520915785</v>
      </c>
      <c r="J459" s="2">
        <v>105.3</v>
      </c>
      <c r="K459" s="2">
        <v>106.7</v>
      </c>
      <c r="L459" s="2">
        <f>+J459-K459</f>
        <v>-1.4000000000000057</v>
      </c>
      <c r="M459" s="1">
        <f>+E459-I459</f>
        <v>-7.6562430140358906E-3</v>
      </c>
      <c r="N459" s="2">
        <v>100.3</v>
      </c>
      <c r="O459" s="2">
        <v>112.5</v>
      </c>
      <c r="P459" s="2">
        <f t="shared" si="7"/>
        <v>-12.200000000000003</v>
      </c>
      <c r="Q459">
        <v>1.3</v>
      </c>
    </row>
    <row r="460" spans="1:17">
      <c r="A460" t="s">
        <v>47</v>
      </c>
      <c r="B460" t="s">
        <v>26</v>
      </c>
      <c r="C460">
        <v>50</v>
      </c>
      <c r="D460">
        <v>32</v>
      </c>
      <c r="E460" s="1">
        <f>+C460/(C460+D460)</f>
        <v>0.6097560975609756</v>
      </c>
      <c r="F460" s="2">
        <v>98.1</v>
      </c>
      <c r="G460" s="2">
        <v>94.8</v>
      </c>
      <c r="H460" s="2">
        <f>+F460-G460</f>
        <v>3.2999999999999972</v>
      </c>
      <c r="I460" s="1">
        <f>+(F460^14)/((F460^14+G460^14))</f>
        <v>0.61752385224098172</v>
      </c>
      <c r="J460" s="2">
        <v>109.6</v>
      </c>
      <c r="K460" s="2">
        <v>106.1</v>
      </c>
      <c r="L460" s="2">
        <f>+J460-K460</f>
        <v>3.5</v>
      </c>
      <c r="M460" s="1">
        <f>+E460-I460</f>
        <v>-7.7677546800061226E-3</v>
      </c>
      <c r="N460" s="2">
        <v>100.8</v>
      </c>
      <c r="O460" s="2">
        <v>96.2</v>
      </c>
      <c r="P460" s="2">
        <f t="shared" si="7"/>
        <v>4.5999999999999943</v>
      </c>
      <c r="Q460">
        <v>0.4</v>
      </c>
    </row>
    <row r="461" spans="1:17">
      <c r="A461" t="s">
        <v>60</v>
      </c>
      <c r="B461" t="s">
        <v>56</v>
      </c>
      <c r="C461">
        <v>49</v>
      </c>
      <c r="D461">
        <v>23</v>
      </c>
      <c r="E461" s="1">
        <f>+C461/(C461+D461)</f>
        <v>0.68055555555555558</v>
      </c>
      <c r="F461" s="2">
        <v>116.3</v>
      </c>
      <c r="G461" s="2">
        <v>109.9</v>
      </c>
      <c r="H461" s="2">
        <f>+F461-G461</f>
        <v>6.3999999999999915</v>
      </c>
      <c r="I461" s="1">
        <f>+(F461^14)/((F461^14+G461^14))</f>
        <v>0.68835302636242091</v>
      </c>
      <c r="J461" s="2">
        <v>113.3</v>
      </c>
      <c r="K461" s="2">
        <v>106.9</v>
      </c>
      <c r="L461" s="2">
        <f>+J461-K461</f>
        <v>6.3999999999999915</v>
      </c>
      <c r="M461" s="1">
        <f>+E461-I461</f>
        <v>-7.7974708068653253E-3</v>
      </c>
      <c r="N461" s="2">
        <v>116</v>
      </c>
      <c r="O461" s="2">
        <v>108.3</v>
      </c>
      <c r="P461" s="2">
        <f t="shared" si="7"/>
        <v>7.7000000000000028</v>
      </c>
      <c r="Q461">
        <v>0.7</v>
      </c>
    </row>
    <row r="462" spans="1:17">
      <c r="A462" t="s">
        <v>43</v>
      </c>
      <c r="B462" t="s">
        <v>11</v>
      </c>
      <c r="C462">
        <v>45</v>
      </c>
      <c r="D462">
        <v>37</v>
      </c>
      <c r="E462" s="1">
        <f>+C462/(C462+D462)</f>
        <v>0.54878048780487809</v>
      </c>
      <c r="F462" s="2">
        <v>105.4</v>
      </c>
      <c r="G462" s="2">
        <v>103.7</v>
      </c>
      <c r="H462" s="2">
        <f>+F462-G462</f>
        <v>1.7000000000000028</v>
      </c>
      <c r="I462" s="1">
        <f>+(F462^14)/((F462^14+G462^14))</f>
        <v>0.55666731029444283</v>
      </c>
      <c r="J462" s="2">
        <v>106.7</v>
      </c>
      <c r="K462" s="2">
        <v>105.1</v>
      </c>
      <c r="L462" s="2">
        <f>+J462-K462</f>
        <v>1.6000000000000085</v>
      </c>
      <c r="M462" s="1">
        <f>+E462-I462</f>
        <v>-7.8868224895647376E-3</v>
      </c>
      <c r="N462" s="2">
        <v>95.3</v>
      </c>
      <c r="O462" s="2">
        <v>100.3</v>
      </c>
      <c r="P462" s="2">
        <f t="shared" si="7"/>
        <v>-5</v>
      </c>
      <c r="Q462">
        <v>-1.4</v>
      </c>
    </row>
    <row r="463" spans="1:17">
      <c r="A463" t="s">
        <v>44</v>
      </c>
      <c r="B463" t="s">
        <v>20</v>
      </c>
      <c r="C463">
        <v>22</v>
      </c>
      <c r="D463">
        <v>60</v>
      </c>
      <c r="E463" s="1">
        <f>+C463/(C463+D463)</f>
        <v>0.26829268292682928</v>
      </c>
      <c r="F463" s="2">
        <v>95.6</v>
      </c>
      <c r="G463" s="2">
        <v>102.4</v>
      </c>
      <c r="H463" s="2">
        <f>+F463-G463</f>
        <v>-6.8000000000000114</v>
      </c>
      <c r="I463" s="1">
        <f>+(F463^14)/((F463^14+G463^14))</f>
        <v>0.27647904137528079</v>
      </c>
      <c r="J463" s="2">
        <v>102.7</v>
      </c>
      <c r="K463" s="2">
        <v>110</v>
      </c>
      <c r="L463" s="2">
        <f>+J463-K463</f>
        <v>-7.2999999999999972</v>
      </c>
      <c r="M463" s="1">
        <f>+E463-I463</f>
        <v>-8.1863584484515028E-3</v>
      </c>
      <c r="N463" s="2">
        <v>105.4</v>
      </c>
      <c r="O463" s="2">
        <v>118.7</v>
      </c>
      <c r="P463" s="2">
        <f t="shared" si="7"/>
        <v>-13.299999999999997</v>
      </c>
      <c r="Q463">
        <v>-1.9</v>
      </c>
    </row>
    <row r="464" spans="1:17">
      <c r="A464" t="s">
        <v>58</v>
      </c>
      <c r="B464" t="s">
        <v>24</v>
      </c>
      <c r="C464">
        <v>52</v>
      </c>
      <c r="D464">
        <v>30</v>
      </c>
      <c r="E464" s="1">
        <f>+C464/(C464+D464)</f>
        <v>0.63414634146341464</v>
      </c>
      <c r="F464" s="2">
        <v>109.8</v>
      </c>
      <c r="G464" s="2">
        <v>105.3</v>
      </c>
      <c r="H464" s="2">
        <f>+F464-G464</f>
        <v>4.5</v>
      </c>
      <c r="I464" s="1">
        <f>+(F464^14)/((F464^14+G464^14))</f>
        <v>0.64241456879862791</v>
      </c>
      <c r="J464" s="2">
        <v>108.5</v>
      </c>
      <c r="K464" s="2">
        <v>103.9</v>
      </c>
      <c r="L464" s="2">
        <f>+J464-K464</f>
        <v>4.5999999999999943</v>
      </c>
      <c r="M464" s="1">
        <f>+E464-I464</f>
        <v>-8.2682273352132629E-3</v>
      </c>
      <c r="N464" s="2">
        <v>114.5</v>
      </c>
      <c r="O464" s="2">
        <v>97.1</v>
      </c>
      <c r="P464" s="2">
        <f t="shared" si="7"/>
        <v>17.400000000000006</v>
      </c>
      <c r="Q464">
        <v>-1.1000000000000001</v>
      </c>
    </row>
    <row r="465" spans="1:17">
      <c r="A465" t="s">
        <v>48</v>
      </c>
      <c r="B465" t="s">
        <v>6</v>
      </c>
      <c r="C465">
        <v>56</v>
      </c>
      <c r="D465">
        <v>26</v>
      </c>
      <c r="E465" s="1">
        <f>+C465/(C465+D465)</f>
        <v>0.68292682926829273</v>
      </c>
      <c r="F465" s="2">
        <v>96.5</v>
      </c>
      <c r="G465" s="2">
        <v>91.1</v>
      </c>
      <c r="H465" s="2">
        <f>+F465-G465</f>
        <v>5.4000000000000057</v>
      </c>
      <c r="I465" s="1">
        <f>+(F465^14)/((F465^14+G465^14))</f>
        <v>0.69129763241570297</v>
      </c>
      <c r="J465" s="2">
        <v>105.5</v>
      </c>
      <c r="K465" s="2">
        <v>99.8</v>
      </c>
      <c r="L465" s="2">
        <f>+J465-K465</f>
        <v>5.7000000000000028</v>
      </c>
      <c r="M465" s="1">
        <f>+E465-I465</f>
        <v>-8.3708031474102329E-3</v>
      </c>
      <c r="N465" s="2">
        <v>98.7</v>
      </c>
      <c r="O465" s="2">
        <v>98.6</v>
      </c>
      <c r="P465" s="2">
        <f t="shared" si="7"/>
        <v>0.10000000000000853</v>
      </c>
      <c r="Q465">
        <v>0.5</v>
      </c>
    </row>
    <row r="466" spans="1:17">
      <c r="A466" t="s">
        <v>47</v>
      </c>
      <c r="B466" t="s">
        <v>15</v>
      </c>
      <c r="C466">
        <v>32</v>
      </c>
      <c r="D466">
        <v>50</v>
      </c>
      <c r="E466" s="1">
        <f>+C466/(C466+D466)</f>
        <v>0.3902439024390244</v>
      </c>
      <c r="F466" s="2">
        <v>100.8</v>
      </c>
      <c r="G466" s="2">
        <v>103.8</v>
      </c>
      <c r="H466" s="2">
        <f>+F466-G466</f>
        <v>-3</v>
      </c>
      <c r="I466" s="1">
        <f>+(F466^14)/((F466^14+G466^14))</f>
        <v>0.39877147110517808</v>
      </c>
      <c r="J466" s="2">
        <v>103</v>
      </c>
      <c r="K466" s="2">
        <v>106</v>
      </c>
      <c r="L466" s="2">
        <f>+J466-K466</f>
        <v>-3</v>
      </c>
      <c r="M466" s="1">
        <f>+E466-I466</f>
        <v>-8.5275686661536731E-3</v>
      </c>
      <c r="N466" s="2">
        <v>84</v>
      </c>
      <c r="O466" s="2">
        <v>103.9</v>
      </c>
      <c r="P466" s="2">
        <f t="shared" si="7"/>
        <v>-19.900000000000006</v>
      </c>
      <c r="Q466">
        <v>0.2</v>
      </c>
    </row>
    <row r="467" spans="1:17">
      <c r="A467" t="s">
        <v>52</v>
      </c>
      <c r="B467" t="s">
        <v>33</v>
      </c>
      <c r="C467">
        <v>44</v>
      </c>
      <c r="D467">
        <v>38</v>
      </c>
      <c r="E467" s="1">
        <f>+C467/(C467+D467)</f>
        <v>0.53658536585365857</v>
      </c>
      <c r="F467" s="2">
        <v>100.7</v>
      </c>
      <c r="G467" s="2">
        <v>99.4</v>
      </c>
      <c r="H467" s="2">
        <f>+F467-G467</f>
        <v>1.2999999999999972</v>
      </c>
      <c r="I467" s="1">
        <f>+(F467^14)/((F467^14+G467^14))</f>
        <v>0.54535290258851965</v>
      </c>
      <c r="J467" s="2">
        <v>104.9</v>
      </c>
      <c r="K467" s="2">
        <v>103.6</v>
      </c>
      <c r="L467" s="2">
        <f>+J467-K467</f>
        <v>1.3000000000000114</v>
      </c>
      <c r="M467" s="1">
        <f>+E467-I467</f>
        <v>-8.7675367348610811E-3</v>
      </c>
      <c r="N467" s="2">
        <v>92.4</v>
      </c>
      <c r="O467" s="2">
        <v>99</v>
      </c>
      <c r="P467" s="2">
        <f t="shared" si="7"/>
        <v>-6.5999999999999943</v>
      </c>
      <c r="Q467">
        <v>0</v>
      </c>
    </row>
    <row r="468" spans="1:17">
      <c r="A468" t="s">
        <v>39</v>
      </c>
      <c r="B468" t="s">
        <v>13</v>
      </c>
      <c r="C468">
        <v>34</v>
      </c>
      <c r="D468">
        <v>48</v>
      </c>
      <c r="E468" s="1">
        <f>+C468/(C468+D468)</f>
        <v>0.41463414634146339</v>
      </c>
      <c r="F468" s="2">
        <v>98.7</v>
      </c>
      <c r="G468" s="2">
        <v>100.9</v>
      </c>
      <c r="H468" s="2">
        <f>+F468-G468</f>
        <v>-2.2000000000000028</v>
      </c>
      <c r="I468" s="1">
        <f>+(F468^14)/((F468^14+G468^14))</f>
        <v>0.42344924071660006</v>
      </c>
      <c r="J468" s="2">
        <v>103.4</v>
      </c>
      <c r="K468" s="2">
        <v>105.5</v>
      </c>
      <c r="L468" s="2">
        <f>+J468-K468</f>
        <v>-2.0999999999999943</v>
      </c>
      <c r="M468" s="1">
        <f>+E468-I468</f>
        <v>-8.8150943751366673E-3</v>
      </c>
      <c r="N468" s="2">
        <v>99.8</v>
      </c>
      <c r="O468" s="2">
        <v>92.9</v>
      </c>
      <c r="P468" s="2">
        <f t="shared" si="7"/>
        <v>6.8999999999999915</v>
      </c>
      <c r="Q468">
        <v>-0.8</v>
      </c>
    </row>
    <row r="469" spans="1:17">
      <c r="A469" t="s">
        <v>63</v>
      </c>
      <c r="B469" t="s">
        <v>5</v>
      </c>
      <c r="C469">
        <v>41</v>
      </c>
      <c r="D469">
        <v>41</v>
      </c>
      <c r="E469" s="1">
        <f>+C469/(C469+D469)</f>
        <v>0.5</v>
      </c>
      <c r="F469" s="2">
        <v>118.4</v>
      </c>
      <c r="G469" s="2">
        <v>118.1</v>
      </c>
      <c r="H469" s="2">
        <f>+F469-G469</f>
        <v>0.30000000000001137</v>
      </c>
      <c r="I469" s="1">
        <f>+(F469^14)/((F469^14+G469^14))</f>
        <v>0.50887856400324194</v>
      </c>
      <c r="J469" s="2">
        <v>115.5</v>
      </c>
      <c r="K469" s="2">
        <v>115.4</v>
      </c>
      <c r="L469" s="2">
        <f>+J469-K469</f>
        <v>9.9999999999994316E-2</v>
      </c>
      <c r="M469" s="1">
        <f>+E469-I469</f>
        <v>-8.87856400324194E-3</v>
      </c>
      <c r="N469" s="2">
        <v>102.1</v>
      </c>
      <c r="O469" s="2">
        <v>118.6</v>
      </c>
      <c r="P469" s="2">
        <f t="shared" si="7"/>
        <v>-16.5</v>
      </c>
      <c r="Q469">
        <v>-0.9</v>
      </c>
    </row>
    <row r="470" spans="1:17">
      <c r="A470" t="s">
        <v>50</v>
      </c>
      <c r="B470" t="s">
        <v>12</v>
      </c>
      <c r="C470">
        <v>29</v>
      </c>
      <c r="D470">
        <v>53</v>
      </c>
      <c r="E470" s="1">
        <f>+C470/(C470+D470)</f>
        <v>0.35365853658536583</v>
      </c>
      <c r="F470" s="2">
        <v>94.9</v>
      </c>
      <c r="G470" s="2">
        <v>98.8</v>
      </c>
      <c r="H470" s="2">
        <f>+F470-G470</f>
        <v>-3.8999999999999915</v>
      </c>
      <c r="I470" s="1">
        <f>+(F470^14)/((F470^14+G470^14))</f>
        <v>0.36266067514952754</v>
      </c>
      <c r="J470" s="2">
        <v>102.7</v>
      </c>
      <c r="K470" s="2">
        <v>107.2</v>
      </c>
      <c r="L470" s="2">
        <f>+J470-K470</f>
        <v>-4.5</v>
      </c>
      <c r="M470" s="1">
        <f>+E470-I470</f>
        <v>-9.0021385641617102E-3</v>
      </c>
      <c r="N470" s="2">
        <v>101.4</v>
      </c>
      <c r="O470" s="2">
        <v>104.7</v>
      </c>
      <c r="P470" s="2">
        <f t="shared" si="7"/>
        <v>-3.2999999999999972</v>
      </c>
      <c r="Q470">
        <v>-0.5</v>
      </c>
    </row>
    <row r="471" spans="1:17">
      <c r="A471" t="s">
        <v>38</v>
      </c>
      <c r="B471" t="s">
        <v>23</v>
      </c>
      <c r="C471">
        <v>21</v>
      </c>
      <c r="D471">
        <v>61</v>
      </c>
      <c r="E471" s="1">
        <f>+C471/(C471+D471)</f>
        <v>0.25609756097560976</v>
      </c>
      <c r="F471" s="2">
        <v>94</v>
      </c>
      <c r="G471" s="2">
        <v>101.1</v>
      </c>
      <c r="H471" s="2">
        <f>+F471-G471</f>
        <v>-7.0999999999999943</v>
      </c>
      <c r="I471" s="1">
        <f>+(F471^14)/((F471^14+G471^14))</f>
        <v>0.26514140361954713</v>
      </c>
      <c r="J471" s="2">
        <v>101.4</v>
      </c>
      <c r="K471" s="2">
        <v>108.8</v>
      </c>
      <c r="L471" s="2">
        <f>+J471-K471</f>
        <v>-7.3999999999999915</v>
      </c>
      <c r="M471" s="1">
        <f>+E471-I471</f>
        <v>-9.043842643937372E-3</v>
      </c>
      <c r="N471" s="2">
        <v>97.2</v>
      </c>
      <c r="O471" s="2">
        <v>99.4</v>
      </c>
      <c r="P471" s="2">
        <f t="shared" si="7"/>
        <v>-2.2000000000000028</v>
      </c>
      <c r="Q471">
        <v>-2.4</v>
      </c>
    </row>
    <row r="472" spans="1:17">
      <c r="A472" t="s">
        <v>48</v>
      </c>
      <c r="B472" t="s">
        <v>17</v>
      </c>
      <c r="C472">
        <v>57</v>
      </c>
      <c r="D472">
        <v>25</v>
      </c>
      <c r="E472" s="1">
        <f>+C472/(C472+D472)</f>
        <v>0.69512195121951215</v>
      </c>
      <c r="F472" s="2">
        <v>101.5</v>
      </c>
      <c r="G472" s="2">
        <v>95.4</v>
      </c>
      <c r="H472" s="2">
        <f>+F472-G472</f>
        <v>6.0999999999999943</v>
      </c>
      <c r="I472" s="1">
        <f>+(F472^14)/((F472^14+G472^14))</f>
        <v>0.70427169761914954</v>
      </c>
      <c r="J472" s="2">
        <v>109.6</v>
      </c>
      <c r="K472" s="2">
        <v>103.3</v>
      </c>
      <c r="L472" s="2">
        <f>+J472-K472</f>
        <v>6.2999999999999972</v>
      </c>
      <c r="M472" s="1">
        <f>+E472-I472</f>
        <v>-9.1497463996373929E-3</v>
      </c>
      <c r="N472" s="2">
        <v>108</v>
      </c>
      <c r="O472" s="2">
        <v>98.7</v>
      </c>
      <c r="P472" s="2">
        <f t="shared" si="7"/>
        <v>9.2999999999999972</v>
      </c>
      <c r="Q472">
        <v>0</v>
      </c>
    </row>
    <row r="473" spans="1:17">
      <c r="A473" t="s">
        <v>34</v>
      </c>
      <c r="B473" t="s">
        <v>28</v>
      </c>
      <c r="C473">
        <v>58</v>
      </c>
      <c r="D473">
        <v>24</v>
      </c>
      <c r="E473" s="1">
        <f>+C473/(C473+D473)</f>
        <v>0.70731707317073167</v>
      </c>
      <c r="F473" s="2">
        <v>96.7</v>
      </c>
      <c r="G473" s="2">
        <v>90.5</v>
      </c>
      <c r="H473" s="2">
        <f>+F473-G473</f>
        <v>6.2000000000000028</v>
      </c>
      <c r="I473" s="1">
        <f>+(F473^14)/((F473^14+G473^14))</f>
        <v>0.71660634572291726</v>
      </c>
      <c r="J473" s="2">
        <v>105.4</v>
      </c>
      <c r="K473" s="2">
        <v>98.5</v>
      </c>
      <c r="L473" s="2">
        <f>+J473-K473</f>
        <v>6.9000000000000057</v>
      </c>
      <c r="M473" s="1">
        <f>+E473-I473</f>
        <v>-9.2892725521855901E-3</v>
      </c>
      <c r="N473" s="2">
        <v>92.5</v>
      </c>
      <c r="O473" s="2">
        <v>96.7</v>
      </c>
      <c r="P473" s="2">
        <f t="shared" si="7"/>
        <v>-4.2000000000000028</v>
      </c>
      <c r="Q473">
        <v>0.2</v>
      </c>
    </row>
    <row r="474" spans="1:17">
      <c r="A474" t="s">
        <v>48</v>
      </c>
      <c r="B474" t="s">
        <v>12</v>
      </c>
      <c r="C474">
        <v>30</v>
      </c>
      <c r="D474">
        <v>52</v>
      </c>
      <c r="E474" s="1">
        <f>+C474/(C474+D474)</f>
        <v>0.36585365853658536</v>
      </c>
      <c r="F474" s="2">
        <v>97</v>
      </c>
      <c r="G474" s="2">
        <v>100.6</v>
      </c>
      <c r="H474" s="2">
        <f>+F474-G474</f>
        <v>-3.5999999999999943</v>
      </c>
      <c r="I474" s="1">
        <f>+(F474^14)/((F474^14+G474^14))</f>
        <v>0.37515182060576369</v>
      </c>
      <c r="J474" s="2">
        <v>107</v>
      </c>
      <c r="K474" s="2">
        <v>110.7</v>
      </c>
      <c r="L474" s="2">
        <f>+J474-K474</f>
        <v>-3.7000000000000028</v>
      </c>
      <c r="M474" s="1">
        <f>+E474-I474</f>
        <v>-9.2981620691783284E-3</v>
      </c>
      <c r="N474" s="2">
        <v>99.4</v>
      </c>
      <c r="O474" s="2">
        <v>103.6</v>
      </c>
      <c r="P474" s="2">
        <f t="shared" si="7"/>
        <v>-4.1999999999999886</v>
      </c>
      <c r="Q474">
        <v>-1.1000000000000001</v>
      </c>
    </row>
    <row r="475" spans="1:17">
      <c r="A475" t="s">
        <v>60</v>
      </c>
      <c r="B475" t="s">
        <v>19</v>
      </c>
      <c r="C475">
        <v>56</v>
      </c>
      <c r="D475">
        <v>17</v>
      </c>
      <c r="E475" s="1">
        <f>+C475/(C475+D475)</f>
        <v>0.76712328767123283</v>
      </c>
      <c r="F475" s="2">
        <v>118.7</v>
      </c>
      <c r="G475" s="2">
        <v>108.6</v>
      </c>
      <c r="H475" s="2">
        <f>+F475-G475</f>
        <v>10.100000000000009</v>
      </c>
      <c r="I475" s="1">
        <f>+(F475^14)/((F475^14+G475^14))</f>
        <v>0.77643149133297851</v>
      </c>
      <c r="J475" s="2">
        <v>111.9</v>
      </c>
      <c r="K475" s="2">
        <v>102.5</v>
      </c>
      <c r="L475" s="2">
        <f>+J475-K475</f>
        <v>9.4000000000000057</v>
      </c>
      <c r="M475" s="1">
        <f>+E475-I475</f>
        <v>-9.3082036617456732E-3</v>
      </c>
      <c r="N475" s="2">
        <v>110.1</v>
      </c>
      <c r="O475" s="2">
        <v>91.9</v>
      </c>
      <c r="P475" s="2">
        <f t="shared" si="7"/>
        <v>18.199999999999989</v>
      </c>
      <c r="Q475">
        <v>2.5</v>
      </c>
    </row>
    <row r="476" spans="1:17">
      <c r="A476" t="s">
        <v>55</v>
      </c>
      <c r="B476" t="s">
        <v>53</v>
      </c>
      <c r="C476">
        <v>30</v>
      </c>
      <c r="D476">
        <v>52</v>
      </c>
      <c r="E476" s="1">
        <f>+C476/(C476+D476)</f>
        <v>0.36585365853658536</v>
      </c>
      <c r="F476" s="2">
        <v>102.7</v>
      </c>
      <c r="G476" s="2">
        <v>106.5</v>
      </c>
      <c r="H476" s="2">
        <f>+F476-G476</f>
        <v>-3.7999999999999972</v>
      </c>
      <c r="I476" s="1">
        <f>+(F476^14)/((F476^14+G476^14))</f>
        <v>0.37550766895906917</v>
      </c>
      <c r="J476" s="2">
        <v>104.8</v>
      </c>
      <c r="K476" s="2">
        <v>108.4</v>
      </c>
      <c r="L476" s="2">
        <f>+J476-K476</f>
        <v>-3.6000000000000085</v>
      </c>
      <c r="M476" s="1">
        <f>+E476-I476</f>
        <v>-9.6540104224838164E-3</v>
      </c>
      <c r="N476" s="2">
        <v>106.8</v>
      </c>
      <c r="O476" s="2">
        <v>111.8</v>
      </c>
      <c r="P476" s="2">
        <f t="shared" si="7"/>
        <v>-5</v>
      </c>
      <c r="Q476">
        <v>-0.6</v>
      </c>
    </row>
    <row r="477" spans="1:17">
      <c r="A477" t="s">
        <v>55</v>
      </c>
      <c r="B477" t="s">
        <v>15</v>
      </c>
      <c r="C477">
        <v>45</v>
      </c>
      <c r="D477">
        <v>37</v>
      </c>
      <c r="E477" s="1">
        <f>+C477/(C477+D477)</f>
        <v>0.54878048780487809</v>
      </c>
      <c r="F477" s="2">
        <v>102.2</v>
      </c>
      <c r="G477" s="2">
        <v>100.5</v>
      </c>
      <c r="H477" s="2">
        <f>+F477-G477</f>
        <v>1.7000000000000028</v>
      </c>
      <c r="I477" s="1">
        <f>+(F477^14)/((F477^14+G477^14))</f>
        <v>0.55844050126148148</v>
      </c>
      <c r="J477" s="2">
        <v>103.8</v>
      </c>
      <c r="K477" s="2">
        <v>102.2</v>
      </c>
      <c r="L477" s="2">
        <f>+J477-K477</f>
        <v>1.5999999999999943</v>
      </c>
      <c r="M477" s="1">
        <f>+E477-I477</f>
        <v>-9.6600134566033891E-3</v>
      </c>
      <c r="N477" s="2">
        <v>97.1</v>
      </c>
      <c r="O477" s="2">
        <v>103.7</v>
      </c>
      <c r="P477" s="2">
        <f t="shared" si="7"/>
        <v>-6.6000000000000085</v>
      </c>
      <c r="Q477">
        <v>0.7</v>
      </c>
    </row>
    <row r="478" spans="1:17">
      <c r="A478" t="s">
        <v>34</v>
      </c>
      <c r="B478" t="s">
        <v>16</v>
      </c>
      <c r="C478">
        <v>39</v>
      </c>
      <c r="D478">
        <v>43</v>
      </c>
      <c r="E478" s="1">
        <f>+C478/(C478+D478)</f>
        <v>0.47560975609756095</v>
      </c>
      <c r="F478" s="2">
        <v>95.7</v>
      </c>
      <c r="G478" s="2">
        <v>96.1</v>
      </c>
      <c r="H478" s="2">
        <f>+F478-G478</f>
        <v>-0.39999999999999147</v>
      </c>
      <c r="I478" s="1">
        <f>+(F478^14)/((F478^14+G478^14))</f>
        <v>0.48540558556338809</v>
      </c>
      <c r="J478" s="2">
        <v>104.3</v>
      </c>
      <c r="K478" s="2">
        <v>104.7</v>
      </c>
      <c r="L478" s="2">
        <f>+J478-K478</f>
        <v>-0.40000000000000568</v>
      </c>
      <c r="M478" s="1">
        <f>+E478-I478</f>
        <v>-9.7958294658271328E-3</v>
      </c>
      <c r="N478" s="2">
        <v>95.3</v>
      </c>
      <c r="O478" s="2">
        <v>100.3</v>
      </c>
      <c r="P478" s="2">
        <f t="shared" si="7"/>
        <v>-5</v>
      </c>
      <c r="Q478">
        <v>-0.5</v>
      </c>
    </row>
    <row r="479" spans="1:17">
      <c r="A479" t="s">
        <v>49</v>
      </c>
      <c r="B479" t="s">
        <v>18</v>
      </c>
      <c r="C479">
        <v>46</v>
      </c>
      <c r="D479">
        <v>20</v>
      </c>
      <c r="E479" s="1">
        <f>+C479/(C479+D479)</f>
        <v>0.69696969696969702</v>
      </c>
      <c r="F479" s="2">
        <v>98.5</v>
      </c>
      <c r="G479" s="2">
        <v>92.5</v>
      </c>
      <c r="H479" s="2">
        <f>+F479-G479</f>
        <v>6</v>
      </c>
      <c r="I479" s="1">
        <f>+(F479^14)/((F479^14+G479^14))</f>
        <v>0.70679541613451391</v>
      </c>
      <c r="J479" s="2">
        <v>105.6</v>
      </c>
      <c r="K479" s="2">
        <v>99.2</v>
      </c>
      <c r="L479" s="2">
        <f>+J479-K479</f>
        <v>6.3999999999999915</v>
      </c>
      <c r="M479" s="1">
        <f>+E479-I479</f>
        <v>-9.8257191648168929E-3</v>
      </c>
      <c r="N479" s="2">
        <v>100.8</v>
      </c>
      <c r="O479" s="2">
        <v>90.4</v>
      </c>
      <c r="P479" s="2">
        <f t="shared" si="7"/>
        <v>10.399999999999991</v>
      </c>
      <c r="Q479">
        <v>0.6</v>
      </c>
    </row>
    <row r="480" spans="1:17">
      <c r="A480" t="s">
        <v>4</v>
      </c>
      <c r="B480" t="s">
        <v>5</v>
      </c>
      <c r="C480">
        <v>25</v>
      </c>
      <c r="D480">
        <v>57</v>
      </c>
      <c r="E480" s="1">
        <f>+C480/(C480+D480)</f>
        <v>0.3048780487804878</v>
      </c>
      <c r="F480" s="2">
        <v>91</v>
      </c>
      <c r="G480" s="2">
        <v>96.2</v>
      </c>
      <c r="H480" s="2">
        <f>+F480-G480</f>
        <v>-5.2000000000000028</v>
      </c>
      <c r="I480" s="1">
        <f>+(F480^14)/((F480^14+G480^14))</f>
        <v>0.31475585496453756</v>
      </c>
      <c r="J480" s="2">
        <v>96.9</v>
      </c>
      <c r="K480" s="2">
        <v>102.4</v>
      </c>
      <c r="L480" s="2">
        <f>+J480-K480</f>
        <v>-5.5</v>
      </c>
      <c r="M480" s="1">
        <f>+E480-I480</f>
        <v>-9.8778061840497644E-3</v>
      </c>
      <c r="N480" s="2">
        <v>87</v>
      </c>
      <c r="O480" s="2">
        <v>104.5</v>
      </c>
      <c r="P480" s="2">
        <f t="shared" si="7"/>
        <v>-17.5</v>
      </c>
      <c r="Q480">
        <v>-0.9</v>
      </c>
    </row>
    <row r="481" spans="1:17">
      <c r="A481" t="s">
        <v>38</v>
      </c>
      <c r="B481" t="s">
        <v>6</v>
      </c>
      <c r="C481">
        <v>36</v>
      </c>
      <c r="D481">
        <v>46</v>
      </c>
      <c r="E481" s="1">
        <f>+C481/(C481+D481)</f>
        <v>0.43902439024390244</v>
      </c>
      <c r="F481" s="2">
        <v>95.3</v>
      </c>
      <c r="G481" s="2">
        <v>96.7</v>
      </c>
      <c r="H481" s="2">
        <f>+F481-G481</f>
        <v>-1.4000000000000057</v>
      </c>
      <c r="I481" s="1">
        <f>+(F481^14)/((F481^14+G481^14))</f>
        <v>0.44913400395840042</v>
      </c>
      <c r="J481" s="2">
        <v>100.7</v>
      </c>
      <c r="K481" s="2">
        <v>102.2</v>
      </c>
      <c r="L481" s="2">
        <f>+J481-K481</f>
        <v>-1.5</v>
      </c>
      <c r="M481" s="1">
        <f>+E481-I481</f>
        <v>-1.0109613714497978E-2</v>
      </c>
      <c r="N481" s="2">
        <v>100.3</v>
      </c>
      <c r="O481" s="2">
        <v>104.3</v>
      </c>
      <c r="P481" s="2">
        <f t="shared" si="7"/>
        <v>-4</v>
      </c>
      <c r="Q481">
        <v>-0.4</v>
      </c>
    </row>
    <row r="482" spans="1:17">
      <c r="A482" t="s">
        <v>55</v>
      </c>
      <c r="B482" t="s">
        <v>51</v>
      </c>
      <c r="C482">
        <v>21</v>
      </c>
      <c r="D482">
        <v>61</v>
      </c>
      <c r="E482" s="1">
        <f>+C482/(C482+D482)</f>
        <v>0.25609756097560976</v>
      </c>
      <c r="F482" s="2">
        <v>98.6</v>
      </c>
      <c r="G482" s="2">
        <v>106</v>
      </c>
      <c r="H482" s="2">
        <f>+F482-G482</f>
        <v>-7.4000000000000057</v>
      </c>
      <c r="I482" s="1">
        <f>+(F482^14)/((F482^14+G482^14))</f>
        <v>0.26636391076495491</v>
      </c>
      <c r="J482" s="2">
        <v>102.4</v>
      </c>
      <c r="K482" s="2">
        <v>109.7</v>
      </c>
      <c r="L482" s="2">
        <f>+J482-K482</f>
        <v>-7.2999999999999972</v>
      </c>
      <c r="M482" s="1">
        <f>+E482-I482</f>
        <v>-1.0266349789345153E-2</v>
      </c>
      <c r="N482" s="2">
        <v>96.9</v>
      </c>
      <c r="O482" s="2">
        <v>104</v>
      </c>
      <c r="P482" s="2">
        <f t="shared" si="7"/>
        <v>-7.0999999999999943</v>
      </c>
      <c r="Q482">
        <v>-1.8</v>
      </c>
    </row>
    <row r="483" spans="1:17">
      <c r="A483" t="s">
        <v>64</v>
      </c>
      <c r="B483" t="s">
        <v>30</v>
      </c>
      <c r="C483">
        <v>25</v>
      </c>
      <c r="D483">
        <v>57</v>
      </c>
      <c r="E483" s="1">
        <f>+C483/(C483+D483)</f>
        <v>0.3048780487804878</v>
      </c>
      <c r="F483" s="2">
        <v>112.4</v>
      </c>
      <c r="G483" s="2">
        <v>118.8</v>
      </c>
      <c r="H483" s="2">
        <f>+F483-G483</f>
        <v>-6.3999999999999915</v>
      </c>
      <c r="I483" s="1">
        <f>+(F483^14)/((F483^14+G483^14))</f>
        <v>0.3153370573458385</v>
      </c>
      <c r="J483" s="2">
        <v>111.8</v>
      </c>
      <c r="K483" s="2">
        <v>118.1</v>
      </c>
      <c r="L483" s="2">
        <f>+J483-K483</f>
        <v>-6.2999999999999972</v>
      </c>
      <c r="M483" s="1">
        <f>+E483-I483</f>
        <v>-1.0459008565350703E-2</v>
      </c>
      <c r="N483" s="2">
        <v>109</v>
      </c>
      <c r="O483" s="2">
        <v>115.5</v>
      </c>
      <c r="P483" s="2">
        <f t="shared" si="7"/>
        <v>-6.5</v>
      </c>
      <c r="Q483">
        <v>-1</v>
      </c>
    </row>
    <row r="484" spans="1:17">
      <c r="A484" t="s">
        <v>47</v>
      </c>
      <c r="B484" t="s">
        <v>18</v>
      </c>
      <c r="C484">
        <v>47</v>
      </c>
      <c r="D484">
        <v>35</v>
      </c>
      <c r="E484" s="1">
        <f>+C484/(C484+D484)</f>
        <v>0.57317073170731703</v>
      </c>
      <c r="F484" s="2">
        <v>96.5</v>
      </c>
      <c r="G484" s="2">
        <v>94.2</v>
      </c>
      <c r="H484" s="2">
        <f>+F484-G484</f>
        <v>2.2999999999999972</v>
      </c>
      <c r="I484" s="1">
        <f>+(F484^14)/((F484^14+G484^14))</f>
        <v>0.58363647422814535</v>
      </c>
      <c r="J484" s="2">
        <v>105.7</v>
      </c>
      <c r="K484" s="2">
        <v>103.4</v>
      </c>
      <c r="L484" s="2">
        <f>+J484-K484</f>
        <v>2.2999999999999972</v>
      </c>
      <c r="M484" s="1">
        <f>+E484-I484</f>
        <v>-1.0465742520828325E-2</v>
      </c>
      <c r="N484" s="2">
        <v>102.9</v>
      </c>
      <c r="O484" s="2">
        <v>101.7</v>
      </c>
      <c r="P484" s="2">
        <f t="shared" si="7"/>
        <v>1.2000000000000028</v>
      </c>
      <c r="Q484">
        <v>-0.9</v>
      </c>
    </row>
    <row r="485" spans="1:17">
      <c r="A485" t="s">
        <v>48</v>
      </c>
      <c r="B485" t="s">
        <v>15</v>
      </c>
      <c r="C485">
        <v>37</v>
      </c>
      <c r="D485">
        <v>45</v>
      </c>
      <c r="E485" s="1">
        <f>+C485/(C485+D485)</f>
        <v>0.45121951219512196</v>
      </c>
      <c r="F485" s="2">
        <v>99.8</v>
      </c>
      <c r="G485" s="2">
        <v>100.9</v>
      </c>
      <c r="H485" s="2">
        <f>+F485-G485</f>
        <v>-1.1000000000000085</v>
      </c>
      <c r="I485" s="1">
        <f>+(F485^14)/((F485^14+G485^14))</f>
        <v>0.4617090166605291</v>
      </c>
      <c r="J485" s="2">
        <v>104.1</v>
      </c>
      <c r="K485" s="2">
        <v>105</v>
      </c>
      <c r="L485" s="2">
        <f>+J485-K485</f>
        <v>-0.90000000000000568</v>
      </c>
      <c r="M485" s="1">
        <f>+E485-I485</f>
        <v>-1.048950446540714E-2</v>
      </c>
      <c r="N485" s="2">
        <v>96.3</v>
      </c>
      <c r="O485" s="2">
        <v>104.4</v>
      </c>
      <c r="P485" s="2">
        <f t="shared" si="7"/>
        <v>-8.1000000000000085</v>
      </c>
      <c r="Q485">
        <v>-1.5</v>
      </c>
    </row>
    <row r="486" spans="1:17">
      <c r="A486" t="s">
        <v>47</v>
      </c>
      <c r="B486" t="s">
        <v>46</v>
      </c>
      <c r="C486">
        <v>50</v>
      </c>
      <c r="D486">
        <v>32</v>
      </c>
      <c r="E486" s="1">
        <f>+C486/(C486+D486)</f>
        <v>0.6097560975609756</v>
      </c>
      <c r="F486" s="2">
        <v>101.5</v>
      </c>
      <c r="G486" s="2">
        <v>98</v>
      </c>
      <c r="H486" s="2">
        <f>+F486-G486</f>
        <v>3.5</v>
      </c>
      <c r="I486" s="1">
        <f>+(F486^14)/((F486^14+G486^14))</f>
        <v>0.62040756265639296</v>
      </c>
      <c r="J486" s="2">
        <v>107</v>
      </c>
      <c r="K486" s="2">
        <v>103.5</v>
      </c>
      <c r="L486" s="2">
        <f>+J486-K486</f>
        <v>3.5</v>
      </c>
      <c r="M486" s="1">
        <f>+E486-I486</f>
        <v>-1.0651465095417367E-2</v>
      </c>
      <c r="N486" s="2">
        <v>92.3</v>
      </c>
      <c r="O486" s="2">
        <v>98</v>
      </c>
      <c r="P486" s="2">
        <f t="shared" si="7"/>
        <v>-5.7000000000000028</v>
      </c>
      <c r="Q486">
        <v>-0.6</v>
      </c>
    </row>
    <row r="487" spans="1:17">
      <c r="A487" t="s">
        <v>59</v>
      </c>
      <c r="B487" t="s">
        <v>23</v>
      </c>
      <c r="C487">
        <v>42</v>
      </c>
      <c r="D487">
        <v>40</v>
      </c>
      <c r="E487" s="1">
        <f>+C487/(C487+D487)</f>
        <v>0.51219512195121952</v>
      </c>
      <c r="F487" s="2">
        <v>107.3</v>
      </c>
      <c r="G487" s="2">
        <v>106.6</v>
      </c>
      <c r="H487" s="2">
        <f>+F487-G487</f>
        <v>0.70000000000000284</v>
      </c>
      <c r="I487" s="1">
        <f>+(F487^14)/((F487^14+G487^14))</f>
        <v>0.52289196737820709</v>
      </c>
      <c r="J487" s="2">
        <v>108.2</v>
      </c>
      <c r="K487" s="2">
        <v>107.6</v>
      </c>
      <c r="L487" s="2">
        <f>+J487-K487</f>
        <v>0.60000000000000853</v>
      </c>
      <c r="M487" s="1">
        <f>+E487-I487</f>
        <v>-1.0696845426987567E-2</v>
      </c>
      <c r="N487" s="2">
        <v>96</v>
      </c>
      <c r="O487" s="2">
        <v>98.5</v>
      </c>
      <c r="P487" s="2">
        <f t="shared" si="7"/>
        <v>-2.5</v>
      </c>
      <c r="Q487">
        <v>-0.5</v>
      </c>
    </row>
    <row r="488" spans="1:17">
      <c r="A488" t="s">
        <v>36</v>
      </c>
      <c r="B488" t="s">
        <v>33</v>
      </c>
      <c r="C488">
        <v>37</v>
      </c>
      <c r="D488">
        <v>45</v>
      </c>
      <c r="E488" s="1">
        <f>+C488/(C488+D488)</f>
        <v>0.45121951219512196</v>
      </c>
      <c r="F488" s="2">
        <v>91.5</v>
      </c>
      <c r="G488" s="2">
        <v>92.5</v>
      </c>
      <c r="H488" s="2">
        <f>+F488-G488</f>
        <v>-1</v>
      </c>
      <c r="I488" s="1">
        <f>+(F488^14)/((F488^14+G488^14))</f>
        <v>0.4620293938086929</v>
      </c>
      <c r="J488" s="2">
        <v>101.5</v>
      </c>
      <c r="K488" s="2">
        <v>102.6</v>
      </c>
      <c r="L488" s="2">
        <f>+J488-K488</f>
        <v>-1.0999999999999943</v>
      </c>
      <c r="M488" s="1">
        <f>+E488-I488</f>
        <v>-1.0809881613570937E-2</v>
      </c>
      <c r="N488" s="2">
        <v>103.1</v>
      </c>
      <c r="O488" s="2">
        <v>104.3</v>
      </c>
      <c r="P488" s="2">
        <f t="shared" si="7"/>
        <v>-1.2000000000000028</v>
      </c>
      <c r="Q488">
        <v>-0.3</v>
      </c>
    </row>
    <row r="489" spans="1:17">
      <c r="A489" t="s">
        <v>38</v>
      </c>
      <c r="B489" t="s">
        <v>10</v>
      </c>
      <c r="C489">
        <v>52</v>
      </c>
      <c r="D489">
        <v>30</v>
      </c>
      <c r="E489" s="1">
        <f>+C489/(C489+D489)</f>
        <v>0.63414634146341464</v>
      </c>
      <c r="F489" s="2">
        <v>105.2</v>
      </c>
      <c r="G489" s="2">
        <v>100.8</v>
      </c>
      <c r="H489" s="2">
        <f>+F489-G489</f>
        <v>4.4000000000000057</v>
      </c>
      <c r="I489" s="1">
        <f>+(F489^14)/((F489^14+G489^14))</f>
        <v>0.64523276409206387</v>
      </c>
      <c r="J489" s="2">
        <v>110.4</v>
      </c>
      <c r="K489" s="2">
        <v>105.9</v>
      </c>
      <c r="L489" s="2">
        <f>+J489-K489</f>
        <v>4.5</v>
      </c>
      <c r="M489" s="1">
        <f>+E489-I489</f>
        <v>-1.1086422628649228E-2</v>
      </c>
      <c r="N489" s="2">
        <v>95.7</v>
      </c>
      <c r="O489" s="2">
        <v>110.5</v>
      </c>
      <c r="P489" s="2">
        <f t="shared" si="7"/>
        <v>-14.799999999999997</v>
      </c>
      <c r="Q489">
        <v>0.4</v>
      </c>
    </row>
    <row r="490" spans="1:17">
      <c r="A490" t="s">
        <v>38</v>
      </c>
      <c r="B490" t="s">
        <v>18</v>
      </c>
      <c r="C490">
        <v>42</v>
      </c>
      <c r="D490">
        <v>40</v>
      </c>
      <c r="E490" s="1">
        <f>+C490/(C490+D490)</f>
        <v>0.51219512195121952</v>
      </c>
      <c r="F490" s="2">
        <v>90.3</v>
      </c>
      <c r="G490" s="2">
        <v>89.7</v>
      </c>
      <c r="H490" s="2">
        <f>+F490-G490</f>
        <v>0.59999999999999432</v>
      </c>
      <c r="I490" s="1">
        <f>+(F490^14)/((F490^14+G490^14))</f>
        <v>0.52331649603624697</v>
      </c>
      <c r="J490" s="2">
        <v>100.6</v>
      </c>
      <c r="K490" s="2">
        <v>100.3</v>
      </c>
      <c r="L490" s="2">
        <f>+J490-K490</f>
        <v>0.29999999999999716</v>
      </c>
      <c r="M490" s="1">
        <f>+E490-I490</f>
        <v>-1.1121374085027447E-2</v>
      </c>
      <c r="N490" s="2">
        <v>100</v>
      </c>
      <c r="O490" s="2">
        <v>89.1</v>
      </c>
      <c r="P490" s="2">
        <f t="shared" si="7"/>
        <v>10.900000000000006</v>
      </c>
      <c r="Q490">
        <v>0.5</v>
      </c>
    </row>
    <row r="491" spans="1:17">
      <c r="A491" t="s">
        <v>55</v>
      </c>
      <c r="B491" t="s">
        <v>25</v>
      </c>
      <c r="C491">
        <v>23</v>
      </c>
      <c r="D491">
        <v>59</v>
      </c>
      <c r="E491" s="1">
        <f>+C491/(C491+D491)</f>
        <v>0.28048780487804881</v>
      </c>
      <c r="F491" s="2">
        <v>100.9</v>
      </c>
      <c r="G491" s="2">
        <v>107.5</v>
      </c>
      <c r="H491" s="2">
        <f>+F491-G491</f>
        <v>-6.5999999999999943</v>
      </c>
      <c r="I491" s="1">
        <f>+(F491^14)/((F491^14+G491^14))</f>
        <v>0.29171838314513582</v>
      </c>
      <c r="J491" s="2">
        <v>101.5</v>
      </c>
      <c r="K491" s="2">
        <v>107.9</v>
      </c>
      <c r="L491" s="2">
        <f>+J491-K491</f>
        <v>-6.4000000000000057</v>
      </c>
      <c r="M491" s="1">
        <f>+E491-I491</f>
        <v>-1.123057826708701E-2</v>
      </c>
      <c r="N491" s="2">
        <v>88.7</v>
      </c>
      <c r="O491" s="2">
        <v>116.2</v>
      </c>
      <c r="P491" s="2">
        <f t="shared" si="7"/>
        <v>-27.5</v>
      </c>
      <c r="Q491">
        <v>-1.7</v>
      </c>
    </row>
    <row r="492" spans="1:17">
      <c r="A492" t="s">
        <v>59</v>
      </c>
      <c r="B492" t="s">
        <v>35</v>
      </c>
      <c r="C492">
        <v>33</v>
      </c>
      <c r="D492">
        <v>49</v>
      </c>
      <c r="E492" s="1">
        <f>+C492/(C492+D492)</f>
        <v>0.40243902439024393</v>
      </c>
      <c r="F492" s="2">
        <v>103.5</v>
      </c>
      <c r="G492" s="2">
        <v>106.1</v>
      </c>
      <c r="H492" s="2">
        <f>+F492-G492</f>
        <v>-2.5999999999999943</v>
      </c>
      <c r="I492" s="1">
        <f>+(F492^14)/((F492^14+G492^14))</f>
        <v>0.41402614202375848</v>
      </c>
      <c r="J492" s="2">
        <v>105.6</v>
      </c>
      <c r="K492" s="2">
        <v>108</v>
      </c>
      <c r="L492" s="2">
        <f>+J492-K492</f>
        <v>-2.4000000000000057</v>
      </c>
      <c r="M492" s="1">
        <f>+E492-I492</f>
        <v>-1.1587117633514554E-2</v>
      </c>
      <c r="N492" s="2">
        <v>102.9</v>
      </c>
      <c r="O492" s="2">
        <v>109.8</v>
      </c>
      <c r="P492" s="2">
        <f t="shared" si="7"/>
        <v>-6.8999999999999915</v>
      </c>
      <c r="Q492">
        <v>-1.7</v>
      </c>
    </row>
    <row r="493" spans="1:17">
      <c r="A493" t="s">
        <v>4</v>
      </c>
      <c r="B493" t="s">
        <v>23</v>
      </c>
      <c r="C493">
        <v>43</v>
      </c>
      <c r="D493">
        <v>39</v>
      </c>
      <c r="E493" s="1">
        <f>+C493/(C493+D493)</f>
        <v>0.52439024390243905</v>
      </c>
      <c r="F493" s="2">
        <v>97.5</v>
      </c>
      <c r="G493" s="2">
        <v>96.5</v>
      </c>
      <c r="H493" s="2">
        <f>+F493-G493</f>
        <v>1</v>
      </c>
      <c r="I493" s="1">
        <f>+(F493^14)/((F493^14+G493^14))</f>
        <v>0.5360202858252715</v>
      </c>
      <c r="J493" s="2">
        <v>102.1</v>
      </c>
      <c r="K493" s="2">
        <v>101.1</v>
      </c>
      <c r="L493" s="2">
        <f>+J493-K493</f>
        <v>1</v>
      </c>
      <c r="M493" s="1">
        <f>+E493-I493</f>
        <v>-1.1630041922832457E-2</v>
      </c>
      <c r="N493" s="2">
        <v>93.5</v>
      </c>
      <c r="O493" s="2">
        <v>104.3</v>
      </c>
      <c r="P493" s="2">
        <f t="shared" si="7"/>
        <v>-10.799999999999997</v>
      </c>
      <c r="Q493">
        <v>-0.6</v>
      </c>
    </row>
    <row r="494" spans="1:17">
      <c r="A494" t="s">
        <v>44</v>
      </c>
      <c r="B494" t="s">
        <v>6</v>
      </c>
      <c r="C494">
        <v>66</v>
      </c>
      <c r="D494">
        <v>16</v>
      </c>
      <c r="E494" s="1">
        <f>+C494/(C494+D494)</f>
        <v>0.80487804878048785</v>
      </c>
      <c r="F494" s="2">
        <v>100.5</v>
      </c>
      <c r="G494" s="2">
        <v>90.3</v>
      </c>
      <c r="H494" s="2">
        <f>+F494-G494</f>
        <v>10.200000000000003</v>
      </c>
      <c r="I494" s="1">
        <f>+(F494^14)/((F494^14+G494^14))</f>
        <v>0.81731836243506328</v>
      </c>
      <c r="J494" s="2">
        <v>108.8</v>
      </c>
      <c r="K494" s="2">
        <v>98.1</v>
      </c>
      <c r="L494" s="2">
        <f>+J494-K494</f>
        <v>10.700000000000003</v>
      </c>
      <c r="M494" s="1">
        <f>+E494-I494</f>
        <v>-1.244031365457543E-2</v>
      </c>
      <c r="N494" s="2">
        <v>101.4</v>
      </c>
      <c r="O494" s="2">
        <v>99.7</v>
      </c>
      <c r="P494" s="2">
        <f t="shared" si="7"/>
        <v>1.7000000000000028</v>
      </c>
      <c r="Q494">
        <v>1</v>
      </c>
    </row>
    <row r="495" spans="1:17">
      <c r="A495" t="s">
        <v>57</v>
      </c>
      <c r="B495" t="s">
        <v>31</v>
      </c>
      <c r="C495">
        <v>51</v>
      </c>
      <c r="D495">
        <v>31</v>
      </c>
      <c r="E495" s="1">
        <f>+C495/(C495+D495)</f>
        <v>0.62195121951219512</v>
      </c>
      <c r="F495" s="2">
        <v>100.7</v>
      </c>
      <c r="G495" s="2">
        <v>96.8</v>
      </c>
      <c r="H495" s="2">
        <f>+F495-G495</f>
        <v>3.9000000000000057</v>
      </c>
      <c r="I495" s="1">
        <f>+(F495^14)/((F495^14+G495^14))</f>
        <v>0.63482745651575567</v>
      </c>
      <c r="J495" s="2">
        <v>109</v>
      </c>
      <c r="K495" s="2">
        <v>104.7</v>
      </c>
      <c r="L495" s="2">
        <f>+J495-K495</f>
        <v>4.2999999999999972</v>
      </c>
      <c r="M495" s="1">
        <f>+E495-I495</f>
        <v>-1.2876237003560553E-2</v>
      </c>
      <c r="N495" s="2">
        <v>115</v>
      </c>
      <c r="O495" s="2">
        <v>99.3</v>
      </c>
      <c r="P495" s="2">
        <f t="shared" si="7"/>
        <v>15.700000000000003</v>
      </c>
      <c r="Q495">
        <v>2.2000000000000002</v>
      </c>
    </row>
    <row r="496" spans="1:17">
      <c r="A496" t="s">
        <v>63</v>
      </c>
      <c r="B496" t="s">
        <v>25</v>
      </c>
      <c r="C496">
        <v>45</v>
      </c>
      <c r="D496">
        <v>37</v>
      </c>
      <c r="E496" s="1">
        <f>+C496/(C496+D496)</f>
        <v>0.54878048780487809</v>
      </c>
      <c r="F496" s="2">
        <v>113.6</v>
      </c>
      <c r="G496" s="2">
        <v>111.6</v>
      </c>
      <c r="H496" s="2">
        <f>+F496-G496</f>
        <v>2</v>
      </c>
      <c r="I496" s="1">
        <f>+(F496^14)/((F496^14+G496^14))</f>
        <v>0.56185019593174323</v>
      </c>
      <c r="J496" s="2">
        <v>114.5</v>
      </c>
      <c r="K496" s="2">
        <v>112.3</v>
      </c>
      <c r="L496" s="2">
        <f>+J496-K496</f>
        <v>2.2000000000000028</v>
      </c>
      <c r="M496" s="1">
        <f>+E496-I496</f>
        <v>-1.3069708126865143E-2</v>
      </c>
      <c r="N496" s="2">
        <v>109.4</v>
      </c>
      <c r="O496" s="2">
        <v>112.6</v>
      </c>
      <c r="P496" s="2">
        <f t="shared" si="7"/>
        <v>-3.1999999999999886</v>
      </c>
      <c r="Q496">
        <v>-0.2</v>
      </c>
    </row>
    <row r="497" spans="1:17">
      <c r="A497" t="s">
        <v>39</v>
      </c>
      <c r="B497" t="s">
        <v>22</v>
      </c>
      <c r="C497">
        <v>33</v>
      </c>
      <c r="D497">
        <v>49</v>
      </c>
      <c r="E497" s="1">
        <f>+C497/(C497+D497)</f>
        <v>0.40243902439024393</v>
      </c>
      <c r="F497" s="2">
        <v>97.3</v>
      </c>
      <c r="G497" s="2">
        <v>99.7</v>
      </c>
      <c r="H497" s="2">
        <f>+F497-G497</f>
        <v>-2.4000000000000057</v>
      </c>
      <c r="I497" s="1">
        <f>+(F497^14)/((F497^14+G497^14))</f>
        <v>0.4155341313693024</v>
      </c>
      <c r="J497" s="2">
        <v>104.5</v>
      </c>
      <c r="K497" s="2">
        <v>107.2</v>
      </c>
      <c r="L497" s="2">
        <f>+J497-K497</f>
        <v>-2.7000000000000028</v>
      </c>
      <c r="M497" s="1">
        <f>+E497-I497</f>
        <v>-1.3095106979058468E-2</v>
      </c>
      <c r="N497" s="2">
        <v>96.2</v>
      </c>
      <c r="O497" s="2">
        <v>111.3</v>
      </c>
      <c r="P497" s="2">
        <f t="shared" si="7"/>
        <v>-15.099999999999994</v>
      </c>
      <c r="Q497">
        <v>-0.8</v>
      </c>
    </row>
    <row r="498" spans="1:17">
      <c r="A498" t="s">
        <v>64</v>
      </c>
      <c r="B498" t="s">
        <v>20</v>
      </c>
      <c r="C498">
        <v>56</v>
      </c>
      <c r="D498">
        <v>26</v>
      </c>
      <c r="E498" s="1">
        <f>+C498/(C498+D498)</f>
        <v>0.68292682926829273</v>
      </c>
      <c r="F498" s="2">
        <v>113</v>
      </c>
      <c r="G498" s="2">
        <v>106.5</v>
      </c>
      <c r="H498" s="2">
        <f>+F498-G498</f>
        <v>6.5</v>
      </c>
      <c r="I498" s="1">
        <f>+(F498^14)/((F498^14+G498^14))</f>
        <v>0.6962279782158256</v>
      </c>
      <c r="J498" s="2">
        <v>114.6</v>
      </c>
      <c r="K498" s="2">
        <v>108.4</v>
      </c>
      <c r="L498" s="2">
        <f>+J498-K498</f>
        <v>6.1999999999999886</v>
      </c>
      <c r="M498" s="1">
        <f>+E498-I498</f>
        <v>-1.330114894753287E-2</v>
      </c>
      <c r="N498" s="2">
        <v>104.9</v>
      </c>
      <c r="O498" s="2">
        <v>116.7</v>
      </c>
      <c r="P498" s="2">
        <f t="shared" si="7"/>
        <v>-11.799999999999997</v>
      </c>
      <c r="Q498">
        <v>1.2</v>
      </c>
    </row>
    <row r="499" spans="1:17">
      <c r="A499" t="s">
        <v>47</v>
      </c>
      <c r="B499" t="s">
        <v>5</v>
      </c>
      <c r="C499">
        <v>53</v>
      </c>
      <c r="D499">
        <v>29</v>
      </c>
      <c r="E499" s="1">
        <f>+C499/(C499+D499)</f>
        <v>0.64634146341463417</v>
      </c>
      <c r="F499" s="2">
        <v>101.7</v>
      </c>
      <c r="G499" s="2">
        <v>97</v>
      </c>
      <c r="H499" s="2">
        <f>+F499-G499</f>
        <v>4.7000000000000028</v>
      </c>
      <c r="I499" s="1">
        <f>+(F499^14)/((F499^14+G499^14))</f>
        <v>0.65980571592524628</v>
      </c>
      <c r="J499" s="2">
        <v>111</v>
      </c>
      <c r="K499" s="2">
        <v>106</v>
      </c>
      <c r="L499" s="2">
        <f>+J499-K499</f>
        <v>5</v>
      </c>
      <c r="M499" s="1">
        <f>+E499-I499</f>
        <v>-1.3464252510612118E-2</v>
      </c>
      <c r="N499" s="2">
        <v>105.7</v>
      </c>
      <c r="O499" s="2">
        <v>103.7</v>
      </c>
      <c r="P499" s="2">
        <f t="shared" si="7"/>
        <v>2</v>
      </c>
      <c r="Q499">
        <v>0.3</v>
      </c>
    </row>
    <row r="500" spans="1:17">
      <c r="A500" t="s">
        <v>64</v>
      </c>
      <c r="B500" t="s">
        <v>46</v>
      </c>
      <c r="C500">
        <v>57</v>
      </c>
      <c r="D500">
        <v>25</v>
      </c>
      <c r="E500" s="1">
        <f>+C500/(C500+D500)</f>
        <v>0.69512195121951215</v>
      </c>
      <c r="F500" s="2">
        <v>120.1</v>
      </c>
      <c r="G500" s="2">
        <v>112.7</v>
      </c>
      <c r="H500" s="2">
        <f>+F500-G500</f>
        <v>7.3999999999999915</v>
      </c>
      <c r="I500" s="1">
        <f>+(F500^14)/((F500^14+G500^14))</f>
        <v>0.70895915812510701</v>
      </c>
      <c r="J500" s="2">
        <v>118.3</v>
      </c>
      <c r="K500" s="2">
        <v>111</v>
      </c>
      <c r="L500" s="2">
        <f>+J500-K500</f>
        <v>7.2999999999999972</v>
      </c>
      <c r="M500" s="1">
        <f>+E500-I500</f>
        <v>-1.3837206905594868E-2</v>
      </c>
      <c r="N500" s="2">
        <v>125.5</v>
      </c>
      <c r="O500" s="2">
        <v>114</v>
      </c>
      <c r="P500" s="2">
        <f t="shared" si="7"/>
        <v>11.5</v>
      </c>
      <c r="Q500">
        <v>0.8</v>
      </c>
    </row>
    <row r="501" spans="1:17">
      <c r="A501" t="s">
        <v>65</v>
      </c>
      <c r="B501" t="s">
        <v>6</v>
      </c>
      <c r="C501">
        <v>61</v>
      </c>
      <c r="D501">
        <v>21</v>
      </c>
      <c r="E501" s="1">
        <f>+C501/(C501+D501)</f>
        <v>0.74390243902439024</v>
      </c>
      <c r="F501" s="2">
        <v>116.3</v>
      </c>
      <c r="G501" s="2">
        <v>107.2</v>
      </c>
      <c r="H501" s="2">
        <f>+F501-G501</f>
        <v>9.0999999999999943</v>
      </c>
      <c r="I501" s="1">
        <f>+(F501^14)/((F501^14+G501^14))</f>
        <v>0.75780361294366638</v>
      </c>
      <c r="J501" s="2">
        <v>119.5</v>
      </c>
      <c r="K501" s="2">
        <v>110.1</v>
      </c>
      <c r="L501" s="2">
        <f>+J501-K501</f>
        <v>9.4000000000000057</v>
      </c>
      <c r="M501" s="1">
        <f>+E501-I501</f>
        <v>-1.3901173919276144E-2</v>
      </c>
      <c r="N501" s="2">
        <v>120.4</v>
      </c>
      <c r="O501" s="2">
        <v>109.7</v>
      </c>
      <c r="P501" s="2">
        <f t="shared" si="7"/>
        <v>10.700000000000003</v>
      </c>
      <c r="Q501">
        <v>0.4</v>
      </c>
    </row>
    <row r="502" spans="1:17">
      <c r="A502" t="s">
        <v>48</v>
      </c>
      <c r="B502" t="s">
        <v>22</v>
      </c>
      <c r="C502">
        <v>42</v>
      </c>
      <c r="D502">
        <v>40</v>
      </c>
      <c r="E502" s="1">
        <f>+C502/(C502+D502)</f>
        <v>0.51219512195121952</v>
      </c>
      <c r="F502" s="2">
        <v>106.5</v>
      </c>
      <c r="G502" s="2">
        <v>105.7</v>
      </c>
      <c r="H502" s="2">
        <f>+F502-G502</f>
        <v>0.79999999999999716</v>
      </c>
      <c r="I502" s="1">
        <f>+(F502^14)/((F502^14+G502^14))</f>
        <v>0.52636584420943078</v>
      </c>
      <c r="J502" s="2">
        <v>109.9</v>
      </c>
      <c r="K502" s="2">
        <v>109</v>
      </c>
      <c r="L502" s="2">
        <f>+J502-K502</f>
        <v>0.90000000000000568</v>
      </c>
      <c r="M502" s="1">
        <f>+E502-I502</f>
        <v>-1.4170722258211255E-2</v>
      </c>
      <c r="N502" s="2">
        <v>106.4</v>
      </c>
      <c r="O502" s="2">
        <v>110.4</v>
      </c>
      <c r="P502" s="2">
        <f t="shared" si="7"/>
        <v>-4</v>
      </c>
      <c r="Q502">
        <v>-0.4</v>
      </c>
    </row>
    <row r="503" spans="1:17">
      <c r="A503" t="s">
        <v>58</v>
      </c>
      <c r="B503" t="s">
        <v>30</v>
      </c>
      <c r="C503">
        <v>59</v>
      </c>
      <c r="D503">
        <v>23</v>
      </c>
      <c r="E503" s="1">
        <f>+C503/(C503+D503)</f>
        <v>0.71951219512195119</v>
      </c>
      <c r="F503" s="2">
        <v>111.7</v>
      </c>
      <c r="G503" s="2">
        <v>103.9</v>
      </c>
      <c r="H503" s="2">
        <f>+F503-G503</f>
        <v>7.7999999999999972</v>
      </c>
      <c r="I503" s="1">
        <f>+(F503^14)/((F503^14+G503^14))</f>
        <v>0.73369073451534572</v>
      </c>
      <c r="J503" s="2">
        <v>113</v>
      </c>
      <c r="K503" s="2">
        <v>105.3</v>
      </c>
      <c r="L503" s="2">
        <f>+J503-K503</f>
        <v>7.7000000000000028</v>
      </c>
      <c r="M503" s="1">
        <f>+E503-I503</f>
        <v>-1.4178539393394529E-2</v>
      </c>
      <c r="N503" s="2">
        <v>103.1</v>
      </c>
      <c r="O503" s="2">
        <v>102.6</v>
      </c>
      <c r="P503" s="2">
        <f t="shared" si="7"/>
        <v>0.5</v>
      </c>
      <c r="Q503">
        <v>1.9</v>
      </c>
    </row>
    <row r="504" spans="1:17">
      <c r="A504" t="s">
        <v>44</v>
      </c>
      <c r="B504" t="s">
        <v>15</v>
      </c>
      <c r="C504">
        <v>36</v>
      </c>
      <c r="D504">
        <v>46</v>
      </c>
      <c r="E504" s="1">
        <f>+C504/(C504+D504)</f>
        <v>0.43902439024390244</v>
      </c>
      <c r="F504" s="2">
        <v>104</v>
      </c>
      <c r="G504" s="2">
        <v>105.4</v>
      </c>
      <c r="H504" s="2">
        <f>+F504-G504</f>
        <v>-1.4000000000000057</v>
      </c>
      <c r="I504" s="1">
        <f>+(F504^14)/((F504^14+G504^14))</f>
        <v>0.45333512374186213</v>
      </c>
      <c r="J504" s="2">
        <v>105.1</v>
      </c>
      <c r="K504" s="2">
        <v>106.3</v>
      </c>
      <c r="L504" s="2">
        <f>+J504-K504</f>
        <v>-1.2000000000000028</v>
      </c>
      <c r="M504" s="1">
        <f>+E504-I504</f>
        <v>-1.4310733497959693E-2</v>
      </c>
      <c r="N504" s="2">
        <v>101.4</v>
      </c>
      <c r="O504" s="2">
        <v>113.1</v>
      </c>
      <c r="P504" s="2">
        <f t="shared" si="7"/>
        <v>-11.699999999999989</v>
      </c>
      <c r="Q504">
        <v>0.4</v>
      </c>
    </row>
    <row r="505" spans="1:17">
      <c r="A505" t="s">
        <v>54</v>
      </c>
      <c r="B505" t="s">
        <v>19</v>
      </c>
      <c r="C505">
        <v>41</v>
      </c>
      <c r="D505">
        <v>41</v>
      </c>
      <c r="E505" s="1">
        <f>+C505/(C505+D505)</f>
        <v>0.5</v>
      </c>
      <c r="F505" s="2">
        <v>97.8</v>
      </c>
      <c r="G505" s="2">
        <v>97.4</v>
      </c>
      <c r="H505" s="2">
        <f>+F505-G505</f>
        <v>0.39999999999999147</v>
      </c>
      <c r="I505" s="1">
        <f>+(F505^14)/((F505^14+G505^14))</f>
        <v>0.51434034839194509</v>
      </c>
      <c r="J505" s="2">
        <v>102</v>
      </c>
      <c r="K505" s="2">
        <v>101.4</v>
      </c>
      <c r="L505" s="2">
        <f>+J505-K505</f>
        <v>0.59999999999999432</v>
      </c>
      <c r="M505" s="1">
        <f>+E505-I505</f>
        <v>-1.434034839194509E-2</v>
      </c>
      <c r="N505" s="2">
        <v>94.2</v>
      </c>
      <c r="O505" s="2">
        <v>96.2</v>
      </c>
      <c r="P505" s="2">
        <f t="shared" si="7"/>
        <v>-2</v>
      </c>
      <c r="Q505">
        <v>-1</v>
      </c>
    </row>
    <row r="506" spans="1:17">
      <c r="A506" t="s">
        <v>63</v>
      </c>
      <c r="B506" t="s">
        <v>22</v>
      </c>
      <c r="C506">
        <v>47</v>
      </c>
      <c r="D506">
        <v>35</v>
      </c>
      <c r="E506" s="1">
        <f>+C506/(C506+D506)</f>
        <v>0.57317073170731703</v>
      </c>
      <c r="F506" s="2">
        <v>116</v>
      </c>
      <c r="G506" s="2">
        <v>113.1</v>
      </c>
      <c r="H506" s="2">
        <f>+F506-G506</f>
        <v>2.9000000000000057</v>
      </c>
      <c r="I506" s="1">
        <f>+(F506^14)/((F506^14+G506^14))</f>
        <v>0.58769610800156147</v>
      </c>
      <c r="J506" s="2">
        <v>117</v>
      </c>
      <c r="K506" s="2">
        <v>114.2</v>
      </c>
      <c r="L506" s="2">
        <f>+J506-K506</f>
        <v>2.7999999999999972</v>
      </c>
      <c r="M506" s="1">
        <f>+E506-I506</f>
        <v>-1.4525376294244441E-2</v>
      </c>
      <c r="N506" s="2">
        <v>109.1</v>
      </c>
      <c r="O506" s="2">
        <v>119</v>
      </c>
      <c r="P506" s="2">
        <f t="shared" si="7"/>
        <v>-9.9000000000000057</v>
      </c>
      <c r="Q506">
        <v>0</v>
      </c>
    </row>
    <row r="507" spans="1:17">
      <c r="A507" t="s">
        <v>38</v>
      </c>
      <c r="B507" t="s">
        <v>25</v>
      </c>
      <c r="C507">
        <v>29</v>
      </c>
      <c r="D507">
        <v>53</v>
      </c>
      <c r="E507" s="1">
        <f>+C507/(C507+D507)</f>
        <v>0.35365853658536583</v>
      </c>
      <c r="F507" s="2">
        <v>94.2</v>
      </c>
      <c r="G507" s="2">
        <v>97.9</v>
      </c>
      <c r="H507" s="2">
        <f>+F507-G507</f>
        <v>-3.7000000000000028</v>
      </c>
      <c r="I507" s="1">
        <f>+(F507^14)/((F507^14+G507^14))</f>
        <v>0.36833434593522879</v>
      </c>
      <c r="J507" s="2">
        <v>100.3</v>
      </c>
      <c r="K507" s="2">
        <v>104.2</v>
      </c>
      <c r="L507" s="2">
        <f>+J507-K507</f>
        <v>-3.9000000000000057</v>
      </c>
      <c r="M507" s="1">
        <f>+E507-I507</f>
        <v>-1.4675809349862956E-2</v>
      </c>
      <c r="N507" s="2">
        <v>92.8</v>
      </c>
      <c r="O507" s="2">
        <v>106.8</v>
      </c>
      <c r="P507" s="2">
        <f t="shared" si="7"/>
        <v>-14</v>
      </c>
      <c r="Q507">
        <v>-1.6</v>
      </c>
    </row>
    <row r="508" spans="1:17">
      <c r="A508" t="s">
        <v>64</v>
      </c>
      <c r="B508" t="s">
        <v>15</v>
      </c>
      <c r="C508">
        <v>46</v>
      </c>
      <c r="D508">
        <v>35</v>
      </c>
      <c r="E508" s="1">
        <f>+C508/(C508+D508)</f>
        <v>0.5679012345679012</v>
      </c>
      <c r="F508" s="2">
        <v>123.2</v>
      </c>
      <c r="G508" s="2">
        <v>120.3</v>
      </c>
      <c r="H508" s="2">
        <f>+F508-G508</f>
        <v>2.9000000000000057</v>
      </c>
      <c r="I508" s="1">
        <f>+(F508^14)/((F508^14+G508^14))</f>
        <v>0.5826073302631597</v>
      </c>
      <c r="J508" s="2">
        <v>120.5</v>
      </c>
      <c r="K508" s="2">
        <v>117.6</v>
      </c>
      <c r="L508" s="2">
        <f>+J508-K508</f>
        <v>2.9000000000000057</v>
      </c>
      <c r="M508" s="1">
        <f>+E508-I508</f>
        <v>-1.4706095695258492E-2</v>
      </c>
      <c r="N508" s="2">
        <v>117.2</v>
      </c>
      <c r="O508" s="2">
        <v>116.9</v>
      </c>
      <c r="P508" s="2">
        <f t="shared" si="7"/>
        <v>0.29999999999999716</v>
      </c>
      <c r="Q508">
        <v>0.7</v>
      </c>
    </row>
    <row r="509" spans="1:17">
      <c r="A509" t="s">
        <v>59</v>
      </c>
      <c r="B509" t="s">
        <v>20</v>
      </c>
      <c r="C509">
        <v>36</v>
      </c>
      <c r="D509">
        <v>46</v>
      </c>
      <c r="E509" s="1">
        <f>+C509/(C509+D509)</f>
        <v>0.43902439024390244</v>
      </c>
      <c r="F509" s="2">
        <v>112.5</v>
      </c>
      <c r="G509" s="2">
        <v>114</v>
      </c>
      <c r="H509" s="2">
        <f>+F509-G509</f>
        <v>-1.5</v>
      </c>
      <c r="I509" s="1">
        <f>+(F509^14)/((F509^14+G509^14))</f>
        <v>0.45377408880323472</v>
      </c>
      <c r="J509" s="2">
        <v>110.6</v>
      </c>
      <c r="K509" s="2">
        <v>112.2</v>
      </c>
      <c r="L509" s="2">
        <f>+J509-K509</f>
        <v>-1.6000000000000085</v>
      </c>
      <c r="M509" s="1">
        <f>+E509-I509</f>
        <v>-1.474969855933228E-2</v>
      </c>
      <c r="N509" s="2">
        <v>100</v>
      </c>
      <c r="O509" s="2">
        <v>113.4</v>
      </c>
      <c r="P509" s="2">
        <f t="shared" si="7"/>
        <v>-13.400000000000006</v>
      </c>
      <c r="Q509">
        <v>-1.2</v>
      </c>
    </row>
    <row r="510" spans="1:17">
      <c r="A510" t="s">
        <v>43</v>
      </c>
      <c r="B510" t="s">
        <v>19</v>
      </c>
      <c r="C510">
        <v>28</v>
      </c>
      <c r="D510">
        <v>54</v>
      </c>
      <c r="E510" s="1">
        <f>+C510/(C510+D510)</f>
        <v>0.34146341463414637</v>
      </c>
      <c r="F510" s="2">
        <v>99.7</v>
      </c>
      <c r="G510" s="2">
        <v>104</v>
      </c>
      <c r="H510" s="2">
        <f>+F510-G510</f>
        <v>-4.2999999999999972</v>
      </c>
      <c r="I510" s="1">
        <f>+(F510^14)/((F510^14+G510^14))</f>
        <v>0.35637032098910626</v>
      </c>
      <c r="J510" s="2">
        <v>106</v>
      </c>
      <c r="K510" s="2">
        <v>110.3</v>
      </c>
      <c r="L510" s="2">
        <f>+J510-K510</f>
        <v>-4.2999999999999972</v>
      </c>
      <c r="M510" s="1">
        <f>+E510-I510</f>
        <v>-1.4906906354959892E-2</v>
      </c>
      <c r="N510" s="2">
        <v>99.2</v>
      </c>
      <c r="O510" s="2">
        <v>108.4</v>
      </c>
      <c r="P510" s="2">
        <f t="shared" si="7"/>
        <v>-9.2000000000000028</v>
      </c>
      <c r="Q510">
        <v>-1.1000000000000001</v>
      </c>
    </row>
    <row r="511" spans="1:17">
      <c r="A511" t="s">
        <v>38</v>
      </c>
      <c r="B511" t="s">
        <v>11</v>
      </c>
      <c r="C511">
        <v>43</v>
      </c>
      <c r="D511">
        <v>39</v>
      </c>
      <c r="E511" s="1">
        <f>+C511/(C511+D511)</f>
        <v>0.52439024390243905</v>
      </c>
      <c r="F511" s="2">
        <v>97.2</v>
      </c>
      <c r="G511" s="2">
        <v>96.1</v>
      </c>
      <c r="H511" s="2">
        <f>+F511-G511</f>
        <v>1.1000000000000085</v>
      </c>
      <c r="I511" s="1">
        <f>+(F511^14)/((F511^14+G511^14))</f>
        <v>0.53975081670039182</v>
      </c>
      <c r="J511" s="2">
        <v>102.4</v>
      </c>
      <c r="K511" s="2">
        <v>101.4</v>
      </c>
      <c r="L511" s="2">
        <f>+J511-K511</f>
        <v>1</v>
      </c>
      <c r="M511" s="1">
        <f>+E511-I511</f>
        <v>-1.5360572797952776E-2</v>
      </c>
      <c r="N511" s="2">
        <v>103.3</v>
      </c>
      <c r="O511" s="2">
        <v>89.6</v>
      </c>
      <c r="P511" s="2">
        <f t="shared" si="7"/>
        <v>13.700000000000003</v>
      </c>
      <c r="Q511">
        <v>0.1</v>
      </c>
    </row>
    <row r="512" spans="1:17">
      <c r="A512" t="s">
        <v>60</v>
      </c>
      <c r="B512" t="s">
        <v>33</v>
      </c>
      <c r="C512">
        <v>25</v>
      </c>
      <c r="D512">
        <v>47</v>
      </c>
      <c r="E512" s="1">
        <f>+C512/(C512+D512)</f>
        <v>0.34722222222222221</v>
      </c>
      <c r="F512" s="2">
        <v>114.4</v>
      </c>
      <c r="G512" s="2">
        <v>119.1</v>
      </c>
      <c r="H512" s="2">
        <f>+F512-G512</f>
        <v>-4.6999999999999886</v>
      </c>
      <c r="I512" s="1">
        <f>+(F512^14)/((F512^14+G512^14))</f>
        <v>0.36269789474955427</v>
      </c>
      <c r="J512" s="2">
        <v>110.2</v>
      </c>
      <c r="K512" s="2">
        <v>114.7</v>
      </c>
      <c r="L512" s="2">
        <f>+J512-K512</f>
        <v>-4.5</v>
      </c>
      <c r="M512" s="1">
        <f>+E512-I512</f>
        <v>-1.5475672527332063E-2</v>
      </c>
      <c r="N512" s="2">
        <v>104.3</v>
      </c>
      <c r="O512" s="2">
        <v>119.6</v>
      </c>
      <c r="P512" s="2">
        <f t="shared" si="7"/>
        <v>-15.299999999999997</v>
      </c>
      <c r="Q512">
        <v>0.2</v>
      </c>
    </row>
    <row r="513" spans="1:17">
      <c r="A513" t="s">
        <v>60</v>
      </c>
      <c r="B513" t="s">
        <v>23</v>
      </c>
      <c r="C513">
        <v>33</v>
      </c>
      <c r="D513">
        <v>40</v>
      </c>
      <c r="E513" s="1">
        <f>+C513/(C513+D513)</f>
        <v>0.45205479452054792</v>
      </c>
      <c r="F513" s="2">
        <v>107.3</v>
      </c>
      <c r="G513" s="2">
        <v>108.3</v>
      </c>
      <c r="H513" s="2">
        <f>+F513-G513</f>
        <v>-1</v>
      </c>
      <c r="I513" s="1">
        <f>+(F513^14)/((F513^14+G513^14))</f>
        <v>0.46757779264200222</v>
      </c>
      <c r="J513" s="2">
        <v>107.9</v>
      </c>
      <c r="K513" s="2">
        <v>109.2</v>
      </c>
      <c r="L513" s="2">
        <f>+J513-K513</f>
        <v>-1.2999999999999972</v>
      </c>
      <c r="M513" s="1">
        <f>+E513-I513</f>
        <v>-1.5522998121454301E-2</v>
      </c>
      <c r="N513" s="2">
        <v>95.7</v>
      </c>
      <c r="O513" s="2">
        <v>104.7</v>
      </c>
      <c r="P513" s="2">
        <f t="shared" si="7"/>
        <v>-9</v>
      </c>
      <c r="Q513">
        <v>-0.9</v>
      </c>
    </row>
    <row r="514" spans="1:17">
      <c r="A514" t="s">
        <v>59</v>
      </c>
      <c r="B514" t="s">
        <v>19</v>
      </c>
      <c r="C514">
        <v>60</v>
      </c>
      <c r="D514">
        <v>22</v>
      </c>
      <c r="E514" s="1">
        <f>+C514/(C514+D514)</f>
        <v>0.73170731707317072</v>
      </c>
      <c r="F514" s="2">
        <v>118.1</v>
      </c>
      <c r="G514" s="2">
        <v>109.3</v>
      </c>
      <c r="H514" s="2">
        <f>+F514-G514</f>
        <v>8.7999999999999972</v>
      </c>
      <c r="I514" s="1">
        <f>+(F514^14)/((F514^14+G514^14))</f>
        <v>0.7472680645596036</v>
      </c>
      <c r="J514" s="2">
        <v>113.5</v>
      </c>
      <c r="K514" s="2">
        <v>104.9</v>
      </c>
      <c r="L514" s="2">
        <f>+J514-K514</f>
        <v>8.5999999999999943</v>
      </c>
      <c r="M514" s="1">
        <f>+E514-I514</f>
        <v>-1.556074748643288E-2</v>
      </c>
      <c r="N514" s="2">
        <v>113</v>
      </c>
      <c r="O514" s="2">
        <v>110.1</v>
      </c>
      <c r="P514" s="2">
        <f t="shared" si="7"/>
        <v>2.9000000000000057</v>
      </c>
      <c r="Q514">
        <v>2.1</v>
      </c>
    </row>
    <row r="515" spans="1:17">
      <c r="A515" t="s">
        <v>57</v>
      </c>
      <c r="B515" t="s">
        <v>56</v>
      </c>
      <c r="C515">
        <v>51</v>
      </c>
      <c r="D515">
        <v>31</v>
      </c>
      <c r="E515" s="1">
        <f>+C515/(C515+D515)</f>
        <v>0.62195121951219512</v>
      </c>
      <c r="F515" s="2">
        <v>108.7</v>
      </c>
      <c r="G515" s="2">
        <v>104.4</v>
      </c>
      <c r="H515" s="2">
        <f>+F515-G515</f>
        <v>4.2999999999999972</v>
      </c>
      <c r="I515" s="1">
        <f>+(F515^14)/((F515^14+G515^14))</f>
        <v>0.63762474872278996</v>
      </c>
      <c r="J515" s="2">
        <v>111.8</v>
      </c>
      <c r="K515" s="2">
        <v>107.5</v>
      </c>
      <c r="L515" s="2">
        <f>+J515-K515</f>
        <v>4.2999999999999972</v>
      </c>
      <c r="M515" s="1">
        <f>+E515-I515</f>
        <v>-1.5673529210594839E-2</v>
      </c>
      <c r="N515" s="2">
        <v>97.3</v>
      </c>
      <c r="O515" s="2">
        <v>95.5</v>
      </c>
      <c r="P515" s="2">
        <f t="shared" si="7"/>
        <v>1.7999999999999972</v>
      </c>
      <c r="Q515">
        <v>-0.5</v>
      </c>
    </row>
    <row r="516" spans="1:17">
      <c r="A516" t="s">
        <v>36</v>
      </c>
      <c r="B516" t="s">
        <v>31</v>
      </c>
      <c r="C516">
        <v>47</v>
      </c>
      <c r="D516">
        <v>35</v>
      </c>
      <c r="E516" s="1">
        <f>+C516/(C516+D516)</f>
        <v>0.57317073170731703</v>
      </c>
      <c r="F516" s="2">
        <v>94.7</v>
      </c>
      <c r="G516" s="2">
        <v>92.3</v>
      </c>
      <c r="H516" s="2">
        <f>+F516-G516</f>
        <v>2.4000000000000057</v>
      </c>
      <c r="I516" s="1">
        <f>+(F516^14)/((F516^14+G516^14))</f>
        <v>0.58888986228470186</v>
      </c>
      <c r="J516" s="2">
        <v>103.7</v>
      </c>
      <c r="K516" s="2">
        <v>101.1</v>
      </c>
      <c r="L516" s="2">
        <f>+J516-K516</f>
        <v>2.6000000000000085</v>
      </c>
      <c r="M516" s="1">
        <f>+E516-I516</f>
        <v>-1.5719130577384832E-2</v>
      </c>
      <c r="N516" s="2">
        <v>102.6</v>
      </c>
      <c r="O516" s="2">
        <v>99</v>
      </c>
      <c r="P516" s="2">
        <f t="shared" si="7"/>
        <v>3.5999999999999943</v>
      </c>
      <c r="Q516">
        <v>0.3</v>
      </c>
    </row>
    <row r="517" spans="1:17">
      <c r="A517" t="s">
        <v>60</v>
      </c>
      <c r="B517" t="s">
        <v>28</v>
      </c>
      <c r="C517">
        <v>32</v>
      </c>
      <c r="D517">
        <v>39</v>
      </c>
      <c r="E517" s="1">
        <f>+C517/(C517+D517)</f>
        <v>0.45070422535211269</v>
      </c>
      <c r="F517" s="2">
        <v>114.1</v>
      </c>
      <c r="G517" s="2">
        <v>115.2</v>
      </c>
      <c r="H517" s="2">
        <f>+F517-G517</f>
        <v>-1.1000000000000085</v>
      </c>
      <c r="I517" s="1">
        <f>+(F517^14)/((F517^14+G517^14))</f>
        <v>0.46646967958188307</v>
      </c>
      <c r="J517" s="2">
        <v>111.7</v>
      </c>
      <c r="K517" s="2">
        <v>112.6</v>
      </c>
      <c r="L517" s="2">
        <f>+J517-K517</f>
        <v>-0.89999999999999147</v>
      </c>
      <c r="M517" s="1">
        <f>+E517-I517</f>
        <v>-1.5765454229770381E-2</v>
      </c>
      <c r="N517" s="2">
        <v>105.2</v>
      </c>
      <c r="O517" s="2">
        <v>112</v>
      </c>
      <c r="P517" s="2">
        <f t="shared" si="7"/>
        <v>-6.7999999999999972</v>
      </c>
      <c r="Q517">
        <v>-0.9</v>
      </c>
    </row>
    <row r="518" spans="1:17">
      <c r="A518" t="s">
        <v>57</v>
      </c>
      <c r="B518" t="s">
        <v>53</v>
      </c>
      <c r="C518">
        <v>34</v>
      </c>
      <c r="D518">
        <v>48</v>
      </c>
      <c r="E518" s="1">
        <f>+C518/(C518+D518)</f>
        <v>0.41463414634146339</v>
      </c>
      <c r="F518" s="2">
        <v>104.3</v>
      </c>
      <c r="G518" s="2">
        <v>106.4</v>
      </c>
      <c r="H518" s="2">
        <f>+F518-G518</f>
        <v>-2.1000000000000085</v>
      </c>
      <c r="I518" s="1">
        <f>+(F518^14)/((F518^14+G518^14))</f>
        <v>0.4306795838171591</v>
      </c>
      <c r="J518" s="2">
        <v>104.7</v>
      </c>
      <c r="K518" s="2">
        <v>106.8</v>
      </c>
      <c r="L518" s="2">
        <f>+J518-K518</f>
        <v>-2.0999999999999943</v>
      </c>
      <c r="M518" s="1">
        <f>+E518-I518</f>
        <v>-1.6045437475695701E-2</v>
      </c>
      <c r="N518" s="2">
        <v>91.6</v>
      </c>
      <c r="O518" s="2">
        <v>95.6</v>
      </c>
      <c r="P518" s="2">
        <f t="shared" si="7"/>
        <v>-4</v>
      </c>
      <c r="Q518">
        <v>-0.8</v>
      </c>
    </row>
    <row r="519" spans="1:17">
      <c r="A519" t="s">
        <v>55</v>
      </c>
      <c r="B519" t="s">
        <v>22</v>
      </c>
      <c r="C519">
        <v>32</v>
      </c>
      <c r="D519">
        <v>50</v>
      </c>
      <c r="E519" s="1">
        <f>+C519/(C519+D519)</f>
        <v>0.3902439024390244</v>
      </c>
      <c r="F519" s="2">
        <v>98.4</v>
      </c>
      <c r="G519" s="2">
        <v>101.1</v>
      </c>
      <c r="H519" s="2">
        <f>+F519-G519</f>
        <v>-2.6999999999999886</v>
      </c>
      <c r="I519" s="1">
        <f>+(F519^14)/((F519^14+G519^14))</f>
        <v>0.40637522210212157</v>
      </c>
      <c r="J519" s="2">
        <v>103.9</v>
      </c>
      <c r="K519" s="2">
        <v>106.7</v>
      </c>
      <c r="L519" s="2">
        <f>+J519-K519</f>
        <v>-2.7999999999999972</v>
      </c>
      <c r="M519" s="1">
        <f>+E519-I519</f>
        <v>-1.6131319663097166E-2</v>
      </c>
      <c r="N519" s="2">
        <v>100.9</v>
      </c>
      <c r="O519" s="2">
        <v>112</v>
      </c>
      <c r="P519" s="2">
        <f t="shared" si="7"/>
        <v>-11.099999999999994</v>
      </c>
      <c r="Q519">
        <v>-2.2000000000000002</v>
      </c>
    </row>
    <row r="520" spans="1:17">
      <c r="A520" t="s">
        <v>65</v>
      </c>
      <c r="B520" t="s">
        <v>13</v>
      </c>
      <c r="C520">
        <v>48</v>
      </c>
      <c r="D520">
        <v>34</v>
      </c>
      <c r="E520" s="1">
        <f>+C520/(C520+D520)</f>
        <v>0.58536585365853655</v>
      </c>
      <c r="F520" s="2">
        <v>113.8</v>
      </c>
      <c r="G520" s="2">
        <v>110.5</v>
      </c>
      <c r="H520" s="2">
        <f>+F520-G520</f>
        <v>3.2999999999999972</v>
      </c>
      <c r="I520" s="1">
        <f>+(F520^14)/((F520^14+G520^14))</f>
        <v>0.60156207363677106</v>
      </c>
      <c r="J520" s="2">
        <v>114.2</v>
      </c>
      <c r="K520" s="2">
        <v>111</v>
      </c>
      <c r="L520" s="2">
        <f>+J520-K520</f>
        <v>3.2000000000000028</v>
      </c>
      <c r="M520" s="1">
        <f>+E520-I520</f>
        <v>-1.6196219978234505E-2</v>
      </c>
      <c r="N520" s="2">
        <v>111</v>
      </c>
      <c r="O520" s="2">
        <v>110.3</v>
      </c>
      <c r="P520" s="2">
        <f t="shared" si="7"/>
        <v>0.70000000000000284</v>
      </c>
      <c r="Q520">
        <v>0.8</v>
      </c>
    </row>
    <row r="521" spans="1:17">
      <c r="A521" t="s">
        <v>49</v>
      </c>
      <c r="B521" t="s">
        <v>8</v>
      </c>
      <c r="C521">
        <v>50</v>
      </c>
      <c r="D521">
        <v>16</v>
      </c>
      <c r="E521" s="1">
        <f>+C521/(C521+D521)</f>
        <v>0.75757575757575757</v>
      </c>
      <c r="F521" s="2">
        <v>96.3</v>
      </c>
      <c r="G521" s="2">
        <v>88.2</v>
      </c>
      <c r="H521" s="2">
        <f>+F521-G521</f>
        <v>8.0999999999999943</v>
      </c>
      <c r="I521" s="1">
        <f>+(F521^14)/((F521^14+G521^14))</f>
        <v>0.77382889717097558</v>
      </c>
      <c r="J521" s="2">
        <v>106.3</v>
      </c>
      <c r="K521" s="2">
        <v>97.5</v>
      </c>
      <c r="L521" s="2">
        <f>+J521-K521</f>
        <v>8.7999999999999972</v>
      </c>
      <c r="M521" s="1">
        <f>+E521-I521</f>
        <v>-1.6253139595218014E-2</v>
      </c>
      <c r="N521" s="2">
        <v>107.5</v>
      </c>
      <c r="O521" s="2">
        <v>94.1</v>
      </c>
      <c r="P521" s="2">
        <f t="shared" si="7"/>
        <v>13.400000000000006</v>
      </c>
      <c r="Q521">
        <v>2.5</v>
      </c>
    </row>
    <row r="522" spans="1:17">
      <c r="A522" t="s">
        <v>61</v>
      </c>
      <c r="B522" t="s">
        <v>20</v>
      </c>
      <c r="C522">
        <v>23</v>
      </c>
      <c r="D522">
        <v>49</v>
      </c>
      <c r="E522" s="1">
        <f>+C522/(C522+D522)</f>
        <v>0.31944444444444442</v>
      </c>
      <c r="F522" s="2">
        <v>112.1</v>
      </c>
      <c r="G522" s="2">
        <v>117.7</v>
      </c>
      <c r="H522" s="2">
        <f>+F522-G522</f>
        <v>-5.6000000000000085</v>
      </c>
      <c r="I522" s="1">
        <f>+(F522^14)/((F522^14+G522^14))</f>
        <v>0.3357107873197604</v>
      </c>
      <c r="J522" s="2">
        <v>109.3</v>
      </c>
      <c r="K522" s="2">
        <v>114.5</v>
      </c>
      <c r="L522" s="2">
        <f>+J522-K522</f>
        <v>-5.2000000000000028</v>
      </c>
      <c r="M522" s="1">
        <f>+E522-I522</f>
        <v>-1.6266342875315976E-2</v>
      </c>
      <c r="N522" s="2">
        <v>105.4</v>
      </c>
      <c r="O522" s="2">
        <v>117.2</v>
      </c>
      <c r="P522" s="2">
        <f t="shared" ref="P522:P585" si="8">+N522-O522</f>
        <v>-11.799999999999997</v>
      </c>
      <c r="Q522">
        <v>0.4</v>
      </c>
    </row>
    <row r="523" spans="1:17">
      <c r="A523" t="s">
        <v>62</v>
      </c>
      <c r="B523" t="s">
        <v>14</v>
      </c>
      <c r="C523">
        <v>20</v>
      </c>
      <c r="D523">
        <v>62</v>
      </c>
      <c r="E523" s="1">
        <f>+C523/(C523+D523)</f>
        <v>0.24390243902439024</v>
      </c>
      <c r="F523" s="2">
        <v>109.7</v>
      </c>
      <c r="G523" s="2">
        <v>118.2</v>
      </c>
      <c r="H523" s="2">
        <f>+F523-G523</f>
        <v>-8.5</v>
      </c>
      <c r="I523" s="1">
        <f>+(F523^14)/((F523^14+G523^14))</f>
        <v>0.2602244449686712</v>
      </c>
      <c r="J523" s="2">
        <v>108.1</v>
      </c>
      <c r="K523" s="2">
        <v>116.4</v>
      </c>
      <c r="L523" s="2">
        <f>+J523-K523</f>
        <v>-8.3000000000000114</v>
      </c>
      <c r="M523" s="1">
        <f>+E523-I523</f>
        <v>-1.632200594428096E-2</v>
      </c>
      <c r="N523" s="2">
        <v>100.4</v>
      </c>
      <c r="O523" s="2">
        <v>110.3</v>
      </c>
      <c r="P523" s="2">
        <f t="shared" si="8"/>
        <v>-9.8999999999999915</v>
      </c>
      <c r="Q523">
        <v>-0.4</v>
      </c>
    </row>
    <row r="524" spans="1:17">
      <c r="A524" t="s">
        <v>64</v>
      </c>
      <c r="B524" t="s">
        <v>13</v>
      </c>
      <c r="C524">
        <v>46</v>
      </c>
      <c r="D524">
        <v>36</v>
      </c>
      <c r="E524" s="1">
        <f>+C524/(C524+D524)</f>
        <v>0.56097560975609762</v>
      </c>
      <c r="F524" s="2">
        <v>117.8</v>
      </c>
      <c r="G524" s="2">
        <v>115.2</v>
      </c>
      <c r="H524" s="2">
        <f>+F524-G524</f>
        <v>2.5999999999999943</v>
      </c>
      <c r="I524" s="1">
        <f>+(F524^14)/((F524^14+G524^14))</f>
        <v>0.57748543979619871</v>
      </c>
      <c r="J524" s="2">
        <v>116.9</v>
      </c>
      <c r="K524" s="2">
        <v>114.5</v>
      </c>
      <c r="L524" s="2">
        <f>+J524-K524</f>
        <v>2.4000000000000057</v>
      </c>
      <c r="M524" s="1">
        <f>+E524-I524</f>
        <v>-1.6509830040101092E-2</v>
      </c>
      <c r="N524" s="2">
        <v>116.2</v>
      </c>
      <c r="O524" s="2">
        <v>115.9</v>
      </c>
      <c r="P524" s="2">
        <f t="shared" si="8"/>
        <v>0.29999999999999716</v>
      </c>
      <c r="Q524">
        <v>-0.5</v>
      </c>
    </row>
    <row r="525" spans="1:17">
      <c r="A525" t="s">
        <v>63</v>
      </c>
      <c r="B525" t="s">
        <v>13</v>
      </c>
      <c r="C525">
        <v>44</v>
      </c>
      <c r="D525">
        <v>38</v>
      </c>
      <c r="E525" s="1">
        <f>+C525/(C525+D525)</f>
        <v>0.53658536585365857</v>
      </c>
      <c r="F525" s="2">
        <v>118.9</v>
      </c>
      <c r="G525" s="2">
        <v>117.1</v>
      </c>
      <c r="H525" s="2">
        <f>+F525-G525</f>
        <v>1.8000000000000114</v>
      </c>
      <c r="I525" s="1">
        <f>+(F525^14)/((F525^14+G525^14))</f>
        <v>0.55318886020704383</v>
      </c>
      <c r="J525" s="2">
        <v>115.1</v>
      </c>
      <c r="K525" s="2">
        <v>113.4</v>
      </c>
      <c r="L525" s="2">
        <f>+J525-K525</f>
        <v>1.6999999999999886</v>
      </c>
      <c r="M525" s="1">
        <f>+E525-I525</f>
        <v>-1.6603494353385262E-2</v>
      </c>
      <c r="N525" s="2">
        <v>104</v>
      </c>
      <c r="O525" s="2">
        <v>98.6</v>
      </c>
      <c r="P525" s="2">
        <f t="shared" si="8"/>
        <v>5.4000000000000057</v>
      </c>
      <c r="Q525">
        <v>0.8</v>
      </c>
    </row>
    <row r="526" spans="1:17">
      <c r="A526" t="s">
        <v>49</v>
      </c>
      <c r="B526" t="s">
        <v>5</v>
      </c>
      <c r="C526">
        <v>40</v>
      </c>
      <c r="D526">
        <v>26</v>
      </c>
      <c r="E526" s="1">
        <f>+C526/(C526+D526)</f>
        <v>0.60606060606060608</v>
      </c>
      <c r="F526" s="2">
        <v>96.6</v>
      </c>
      <c r="G526" s="2">
        <v>93.2</v>
      </c>
      <c r="H526" s="2">
        <f>+F526-G526</f>
        <v>3.3999999999999915</v>
      </c>
      <c r="I526" s="1">
        <f>+(F526^14)/((F526^14+G526^14))</f>
        <v>0.62284331457936171</v>
      </c>
      <c r="J526" s="2">
        <v>104.2</v>
      </c>
      <c r="K526" s="2">
        <v>100.4</v>
      </c>
      <c r="L526" s="2">
        <f>+J526-K526</f>
        <v>3.7999999999999972</v>
      </c>
      <c r="M526" s="1">
        <f>+E526-I526</f>
        <v>-1.6782708518755629E-2</v>
      </c>
      <c r="N526" s="2">
        <v>107.2</v>
      </c>
      <c r="O526" s="2">
        <v>89.1</v>
      </c>
      <c r="P526" s="2">
        <f t="shared" si="8"/>
        <v>18.100000000000009</v>
      </c>
      <c r="Q526">
        <v>1.4</v>
      </c>
    </row>
    <row r="527" spans="1:17">
      <c r="A527" t="s">
        <v>47</v>
      </c>
      <c r="B527" t="s">
        <v>6</v>
      </c>
      <c r="C527">
        <v>50</v>
      </c>
      <c r="D527">
        <v>32</v>
      </c>
      <c r="E527" s="1">
        <f>+C527/(C527+D527)</f>
        <v>0.6097560975609756</v>
      </c>
      <c r="F527" s="2">
        <v>99.2</v>
      </c>
      <c r="G527" s="2">
        <v>95.6</v>
      </c>
      <c r="H527" s="2">
        <f>+F527-G527</f>
        <v>3.6000000000000085</v>
      </c>
      <c r="I527" s="1">
        <f>+(F527^14)/((F527^14+G527^14))</f>
        <v>0.62656597319638863</v>
      </c>
      <c r="J527" s="2">
        <v>106.9</v>
      </c>
      <c r="K527" s="2">
        <v>103.2</v>
      </c>
      <c r="L527" s="2">
        <f>+J527-K527</f>
        <v>3.7000000000000028</v>
      </c>
      <c r="M527" s="1">
        <f>+E527-I527</f>
        <v>-1.680987563541303E-2</v>
      </c>
      <c r="N527" s="2">
        <v>101.2</v>
      </c>
      <c r="O527" s="2">
        <v>95</v>
      </c>
      <c r="P527" s="2">
        <f t="shared" si="8"/>
        <v>6.2000000000000028</v>
      </c>
      <c r="Q527">
        <v>0</v>
      </c>
    </row>
    <row r="528" spans="1:17">
      <c r="A528" t="s">
        <v>39</v>
      </c>
      <c r="B528" t="s">
        <v>9</v>
      </c>
      <c r="C528">
        <v>42</v>
      </c>
      <c r="D528">
        <v>40</v>
      </c>
      <c r="E528" s="1">
        <f>+C528/(C528+D528)</f>
        <v>0.51219512195121952</v>
      </c>
      <c r="F528" s="2">
        <v>96.5</v>
      </c>
      <c r="G528" s="2">
        <v>95.7</v>
      </c>
      <c r="H528" s="2">
        <f>+F528-G528</f>
        <v>0.79999999999999716</v>
      </c>
      <c r="I528" s="1">
        <f>+(F528^14)/((F528^14+G528^14))</f>
        <v>0.52910354937105664</v>
      </c>
      <c r="J528" s="2">
        <v>105.3</v>
      </c>
      <c r="K528" s="2">
        <v>104.7</v>
      </c>
      <c r="L528" s="2">
        <f>+J528-K528</f>
        <v>0.59999999999999432</v>
      </c>
      <c r="M528" s="1">
        <f>+E528-I528</f>
        <v>-1.6908427419837113E-2</v>
      </c>
      <c r="N528" s="2">
        <v>96.7</v>
      </c>
      <c r="O528" s="2">
        <v>105.1</v>
      </c>
      <c r="P528" s="2">
        <f t="shared" si="8"/>
        <v>-8.3999999999999915</v>
      </c>
      <c r="Q528">
        <v>0.2</v>
      </c>
    </row>
    <row r="529" spans="1:17">
      <c r="A529" t="s">
        <v>57</v>
      </c>
      <c r="B529" t="s">
        <v>8</v>
      </c>
      <c r="C529">
        <v>41</v>
      </c>
      <c r="D529">
        <v>41</v>
      </c>
      <c r="E529" s="1">
        <f>+C529/(C529+D529)</f>
        <v>0.5</v>
      </c>
      <c r="F529" s="2">
        <v>102.9</v>
      </c>
      <c r="G529" s="2">
        <v>102.4</v>
      </c>
      <c r="H529" s="2">
        <f>+F529-G529</f>
        <v>0.5</v>
      </c>
      <c r="I529" s="1">
        <f>+(F529^14)/((F529^14+G529^14))</f>
        <v>0.51704165228301435</v>
      </c>
      <c r="J529" s="2">
        <v>106.5</v>
      </c>
      <c r="K529" s="2">
        <v>106.2</v>
      </c>
      <c r="L529" s="2">
        <f>+J529-K529</f>
        <v>0.29999999999999716</v>
      </c>
      <c r="M529" s="1">
        <f>+E529-I529</f>
        <v>-1.7041652283014352E-2</v>
      </c>
      <c r="N529" s="2">
        <v>107.3</v>
      </c>
      <c r="O529" s="2">
        <v>98.1</v>
      </c>
      <c r="P529" s="2">
        <f t="shared" si="8"/>
        <v>9.2000000000000028</v>
      </c>
      <c r="Q529">
        <v>-0.5</v>
      </c>
    </row>
    <row r="530" spans="1:17">
      <c r="A530" t="s">
        <v>55</v>
      </c>
      <c r="B530" t="s">
        <v>27</v>
      </c>
      <c r="C530">
        <v>33</v>
      </c>
      <c r="D530">
        <v>49</v>
      </c>
      <c r="E530" s="1">
        <f>+C530/(C530+D530)</f>
        <v>0.40243902439024393</v>
      </c>
      <c r="F530" s="2">
        <v>106.6</v>
      </c>
      <c r="G530" s="2">
        <v>109.1</v>
      </c>
      <c r="H530" s="2">
        <f>+F530-G530</f>
        <v>-2.5</v>
      </c>
      <c r="I530" s="1">
        <f>+(F530^14)/((F530^14+G530^14))</f>
        <v>0.41956987710459787</v>
      </c>
      <c r="J530" s="2">
        <v>105.3</v>
      </c>
      <c r="K530" s="2">
        <v>107.6</v>
      </c>
      <c r="L530" s="2">
        <f>+J530-K530</f>
        <v>-2.2999999999999972</v>
      </c>
      <c r="M530" s="1">
        <f>+E530-I530</f>
        <v>-1.7130852714353939E-2</v>
      </c>
      <c r="N530" s="2">
        <v>93</v>
      </c>
      <c r="O530" s="2">
        <v>106.2</v>
      </c>
      <c r="P530" s="2">
        <f t="shared" si="8"/>
        <v>-13.200000000000003</v>
      </c>
      <c r="Q530">
        <v>0</v>
      </c>
    </row>
    <row r="531" spans="1:17">
      <c r="A531" t="s">
        <v>4</v>
      </c>
      <c r="B531" t="s">
        <v>32</v>
      </c>
      <c r="C531">
        <v>23</v>
      </c>
      <c r="D531">
        <v>59</v>
      </c>
      <c r="E531" s="1">
        <f>+C531/(C531+D531)</f>
        <v>0.28048780487804881</v>
      </c>
      <c r="F531" s="2">
        <v>91.7</v>
      </c>
      <c r="G531" s="2">
        <v>97.5</v>
      </c>
      <c r="H531" s="2">
        <f>+F531-G531</f>
        <v>-5.7999999999999972</v>
      </c>
      <c r="I531" s="1">
        <f>+(F531^14)/((F531^14+G531^14))</f>
        <v>0.29762775150060888</v>
      </c>
      <c r="J531" s="2">
        <v>98.2</v>
      </c>
      <c r="K531" s="2">
        <v>104.2</v>
      </c>
      <c r="L531" s="2">
        <f>+J531-K531</f>
        <v>-6</v>
      </c>
      <c r="M531" s="1">
        <f>+E531-I531</f>
        <v>-1.7139946622560076E-2</v>
      </c>
      <c r="N531" s="2">
        <v>102.1</v>
      </c>
      <c r="O531" s="2">
        <v>106.7</v>
      </c>
      <c r="P531" s="2">
        <f t="shared" si="8"/>
        <v>-4.6000000000000085</v>
      </c>
      <c r="Q531">
        <v>-1.3</v>
      </c>
    </row>
    <row r="532" spans="1:17">
      <c r="A532" t="s">
        <v>34</v>
      </c>
      <c r="B532" t="s">
        <v>21</v>
      </c>
      <c r="C532">
        <v>52</v>
      </c>
      <c r="D532">
        <v>30</v>
      </c>
      <c r="E532" s="1">
        <f>+C532/(C532+D532)</f>
        <v>0.63414634146341464</v>
      </c>
      <c r="F532" s="2">
        <v>96.2</v>
      </c>
      <c r="G532" s="2">
        <v>92</v>
      </c>
      <c r="H532" s="2">
        <f>+F532-G532</f>
        <v>4.2000000000000028</v>
      </c>
      <c r="I532" s="1">
        <f>+(F532^14)/((F532^14+G532^14))</f>
        <v>0.65134826278971358</v>
      </c>
      <c r="J532" s="2">
        <v>102.4</v>
      </c>
      <c r="K532" s="2">
        <v>98.1</v>
      </c>
      <c r="L532" s="2">
        <f>+J532-K532</f>
        <v>4.3000000000000114</v>
      </c>
      <c r="M532" s="1">
        <f>+E532-I532</f>
        <v>-1.7201921326298941E-2</v>
      </c>
      <c r="N532" s="2">
        <v>98.1</v>
      </c>
      <c r="O532" s="2">
        <v>98.6</v>
      </c>
      <c r="P532" s="2">
        <f t="shared" si="8"/>
        <v>-0.5</v>
      </c>
      <c r="Q532">
        <v>1</v>
      </c>
    </row>
    <row r="533" spans="1:17">
      <c r="A533" t="s">
        <v>4</v>
      </c>
      <c r="B533" t="s">
        <v>22</v>
      </c>
      <c r="C533">
        <v>48</v>
      </c>
      <c r="D533">
        <v>34</v>
      </c>
      <c r="E533" s="1">
        <f>+C533/(C533+D533)</f>
        <v>0.58536585365853655</v>
      </c>
      <c r="F533" s="2">
        <v>88.7</v>
      </c>
      <c r="G533" s="2">
        <v>86.1</v>
      </c>
      <c r="H533" s="2">
        <f>+F533-G533</f>
        <v>2.6000000000000085</v>
      </c>
      <c r="I533" s="1">
        <f>+(F533^14)/((F533^14+G533^14))</f>
        <v>0.6026470301039869</v>
      </c>
      <c r="J533" s="2">
        <v>100</v>
      </c>
      <c r="K533" s="2">
        <v>97</v>
      </c>
      <c r="L533" s="2">
        <f>+J533-K533</f>
        <v>3</v>
      </c>
      <c r="M533" s="1">
        <f>+E533-I533</f>
        <v>-1.7281176445450352E-2</v>
      </c>
      <c r="N533" s="2">
        <v>82.7</v>
      </c>
      <c r="O533" s="2">
        <v>81</v>
      </c>
      <c r="P533" s="2">
        <f t="shared" si="8"/>
        <v>1.7000000000000028</v>
      </c>
      <c r="Q533">
        <v>1.3</v>
      </c>
    </row>
    <row r="534" spans="1:17">
      <c r="A534" t="s">
        <v>4</v>
      </c>
      <c r="B534" t="s">
        <v>8</v>
      </c>
      <c r="C534">
        <v>15</v>
      </c>
      <c r="D534">
        <v>67</v>
      </c>
      <c r="E534" s="1">
        <f>+C534/(C534+D534)</f>
        <v>0.18292682926829268</v>
      </c>
      <c r="F534" s="2">
        <v>87.6</v>
      </c>
      <c r="G534" s="2">
        <v>96.7</v>
      </c>
      <c r="H534" s="2">
        <f>+F534-G534</f>
        <v>-9.1000000000000085</v>
      </c>
      <c r="I534" s="1">
        <f>+(F534^14)/((F534^14+G534^14))</f>
        <v>0.20042284639847754</v>
      </c>
      <c r="J534" s="2">
        <v>95.9</v>
      </c>
      <c r="K534" s="2">
        <v>105.9</v>
      </c>
      <c r="L534" s="2">
        <f>+J534-K534</f>
        <v>-10</v>
      </c>
      <c r="M534" s="1">
        <f>+E534-I534</f>
        <v>-1.7496017130184865E-2</v>
      </c>
      <c r="N534" s="2">
        <v>93.5</v>
      </c>
      <c r="O534" s="2">
        <v>107.4</v>
      </c>
      <c r="P534" s="2">
        <f t="shared" si="8"/>
        <v>-13.900000000000006</v>
      </c>
      <c r="Q534">
        <v>-2.8</v>
      </c>
    </row>
    <row r="535" spans="1:17">
      <c r="A535" t="s">
        <v>54</v>
      </c>
      <c r="B535" t="s">
        <v>11</v>
      </c>
      <c r="C535">
        <v>30</v>
      </c>
      <c r="D535">
        <v>52</v>
      </c>
      <c r="E535" s="1">
        <f>+C535/(C535+D535)</f>
        <v>0.36585365853658536</v>
      </c>
      <c r="F535" s="2">
        <v>101.5</v>
      </c>
      <c r="G535" s="2">
        <v>105</v>
      </c>
      <c r="H535" s="2">
        <f>+F535-G535</f>
        <v>-3.5</v>
      </c>
      <c r="I535" s="1">
        <f>+(F535^14)/((F535^14+G535^14))</f>
        <v>0.38352292862917464</v>
      </c>
      <c r="J535" s="2">
        <v>103.9</v>
      </c>
      <c r="K535" s="2">
        <v>107.1</v>
      </c>
      <c r="L535" s="2">
        <f>+J535-K535</f>
        <v>-3.1999999999999886</v>
      </c>
      <c r="M535" s="1">
        <f>+E535-I535</f>
        <v>-1.7669270092589284E-2</v>
      </c>
      <c r="N535" s="2">
        <v>104.4</v>
      </c>
      <c r="O535" s="2">
        <v>112.3</v>
      </c>
      <c r="P535" s="2">
        <f t="shared" si="8"/>
        <v>-7.8999999999999915</v>
      </c>
      <c r="Q535">
        <v>-0.8</v>
      </c>
    </row>
    <row r="536" spans="1:17">
      <c r="A536" t="s">
        <v>62</v>
      </c>
      <c r="B536" t="s">
        <v>20</v>
      </c>
      <c r="C536">
        <v>46</v>
      </c>
      <c r="D536">
        <v>36</v>
      </c>
      <c r="E536" s="1">
        <f>+C536/(C536+D536)</f>
        <v>0.56097560975609762</v>
      </c>
      <c r="F536" s="2">
        <v>115.9</v>
      </c>
      <c r="G536" s="2">
        <v>113.3</v>
      </c>
      <c r="H536" s="2">
        <f>+F536-G536</f>
        <v>2.6000000000000085</v>
      </c>
      <c r="I536" s="1">
        <f>+(F536^14)/((F536^14+G536^14))</f>
        <v>0.57874903178603399</v>
      </c>
      <c r="J536" s="2">
        <v>113.8</v>
      </c>
      <c r="K536" s="2">
        <v>111</v>
      </c>
      <c r="L536" s="2">
        <f>+J536-K536</f>
        <v>2.7999999999999972</v>
      </c>
      <c r="M536" s="1">
        <f>+E536-I536</f>
        <v>-1.777342202993637E-2</v>
      </c>
      <c r="N536" s="2">
        <v>107.1</v>
      </c>
      <c r="O536" s="2">
        <v>106</v>
      </c>
      <c r="P536" s="2">
        <f t="shared" si="8"/>
        <v>1.0999999999999943</v>
      </c>
      <c r="Q536">
        <v>-0.9</v>
      </c>
    </row>
    <row r="537" spans="1:17">
      <c r="A537" t="s">
        <v>59</v>
      </c>
      <c r="B537" t="s">
        <v>18</v>
      </c>
      <c r="C537">
        <v>39</v>
      </c>
      <c r="D537">
        <v>43</v>
      </c>
      <c r="E537" s="1">
        <f>+C537/(C537+D537)</f>
        <v>0.47560975609756095</v>
      </c>
      <c r="F537" s="2">
        <v>105.7</v>
      </c>
      <c r="G537" s="2">
        <v>105.9</v>
      </c>
      <c r="H537" s="2">
        <f>+F537-G537</f>
        <v>-0.20000000000000284</v>
      </c>
      <c r="I537" s="1">
        <f>+(F537^14)/((F537^14+G537^14))</f>
        <v>0.49338412708182683</v>
      </c>
      <c r="J537" s="2">
        <v>106.7</v>
      </c>
      <c r="K537" s="2">
        <v>107.1</v>
      </c>
      <c r="L537" s="2">
        <f>+J537-K537</f>
        <v>-0.39999999999999147</v>
      </c>
      <c r="M537" s="1">
        <f>+E537-I537</f>
        <v>-1.7774370984265875E-2</v>
      </c>
      <c r="N537" s="2">
        <v>93.6</v>
      </c>
      <c r="O537" s="2">
        <v>97.9</v>
      </c>
      <c r="P537" s="2">
        <f t="shared" si="8"/>
        <v>-4.3000000000000114</v>
      </c>
      <c r="Q537">
        <v>-0.7</v>
      </c>
    </row>
    <row r="538" spans="1:17">
      <c r="A538" t="s">
        <v>39</v>
      </c>
      <c r="B538" t="s">
        <v>20</v>
      </c>
      <c r="C538">
        <v>44</v>
      </c>
      <c r="D538">
        <v>38</v>
      </c>
      <c r="E538" s="1">
        <f>+C538/(C538+D538)</f>
        <v>0.53658536585365857</v>
      </c>
      <c r="F538" s="2">
        <v>96.8</v>
      </c>
      <c r="G538" s="2">
        <v>95.3</v>
      </c>
      <c r="H538" s="2">
        <f>+F538-G538</f>
        <v>1.5</v>
      </c>
      <c r="I538" s="1">
        <f>+(F538^14)/((F538^14+G538^14))</f>
        <v>0.55444343215777947</v>
      </c>
      <c r="J538" s="2">
        <v>106.6</v>
      </c>
      <c r="K538" s="2">
        <v>105</v>
      </c>
      <c r="L538" s="2">
        <f>+J538-K538</f>
        <v>1.5999999999999943</v>
      </c>
      <c r="M538" s="1">
        <f>+E538-I538</f>
        <v>-1.7858066304120901E-2</v>
      </c>
      <c r="N538" s="2">
        <v>111.9</v>
      </c>
      <c r="O538" s="2">
        <v>99.7</v>
      </c>
      <c r="P538" s="2">
        <f t="shared" si="8"/>
        <v>12.200000000000003</v>
      </c>
      <c r="Q538">
        <v>0.5</v>
      </c>
    </row>
    <row r="539" spans="1:17">
      <c r="A539" t="s">
        <v>57</v>
      </c>
      <c r="B539" t="s">
        <v>30</v>
      </c>
      <c r="C539">
        <v>51</v>
      </c>
      <c r="D539">
        <v>31</v>
      </c>
      <c r="E539" s="1">
        <f>+C539/(C539+D539)</f>
        <v>0.62195121951219512</v>
      </c>
      <c r="F539" s="2">
        <v>106.9</v>
      </c>
      <c r="G539" s="2">
        <v>102.6</v>
      </c>
      <c r="H539" s="2">
        <f>+F539-G539</f>
        <v>4.3000000000000114</v>
      </c>
      <c r="I539" s="1">
        <f>+(F539^14)/((F539^14+G539^14))</f>
        <v>0.6398659537059771</v>
      </c>
      <c r="J539" s="2">
        <v>111.4</v>
      </c>
      <c r="K539" s="2">
        <v>107.1</v>
      </c>
      <c r="L539" s="2">
        <f>+J539-K539</f>
        <v>4.3000000000000114</v>
      </c>
      <c r="M539" s="1">
        <f>+E539-I539</f>
        <v>-1.7914734193781978E-2</v>
      </c>
      <c r="N539" s="2">
        <v>109.9</v>
      </c>
      <c r="O539" s="2">
        <v>95.4</v>
      </c>
      <c r="P539" s="2">
        <f t="shared" si="8"/>
        <v>14.5</v>
      </c>
      <c r="Q539">
        <v>2.8</v>
      </c>
    </row>
    <row r="540" spans="1:17">
      <c r="A540" t="s">
        <v>45</v>
      </c>
      <c r="B540" t="s">
        <v>46</v>
      </c>
      <c r="C540">
        <v>23</v>
      </c>
      <c r="D540">
        <v>59</v>
      </c>
      <c r="E540" s="1">
        <f>+C540/(C540+D540)</f>
        <v>0.28048780487804881</v>
      </c>
      <c r="F540" s="2">
        <v>97</v>
      </c>
      <c r="G540" s="2">
        <v>103.1</v>
      </c>
      <c r="H540" s="2">
        <f>+F540-G540</f>
        <v>-6.0999999999999943</v>
      </c>
      <c r="I540" s="1">
        <f>+(F540^14)/((F540^14+G540^14))</f>
        <v>0.29862841677001067</v>
      </c>
      <c r="J540" s="2">
        <v>101.4</v>
      </c>
      <c r="K540" s="2">
        <v>107.6</v>
      </c>
      <c r="L540" s="2">
        <f>+J540-K540</f>
        <v>-6.1999999999999886</v>
      </c>
      <c r="M540" s="1">
        <f>+E540-I540</f>
        <v>-1.8140611891961866E-2</v>
      </c>
      <c r="N540" s="2">
        <v>100</v>
      </c>
      <c r="O540" s="2">
        <v>101.6</v>
      </c>
      <c r="P540" s="2">
        <f t="shared" si="8"/>
        <v>-1.5999999999999943</v>
      </c>
      <c r="Q540">
        <v>-2.2000000000000002</v>
      </c>
    </row>
    <row r="541" spans="1:17">
      <c r="A541" t="s">
        <v>47</v>
      </c>
      <c r="B541" t="s">
        <v>40</v>
      </c>
      <c r="C541">
        <v>44</v>
      </c>
      <c r="D541">
        <v>38</v>
      </c>
      <c r="E541" s="1">
        <f>+C541/(C541+D541)</f>
        <v>0.53658536585365857</v>
      </c>
      <c r="F541" s="2">
        <v>95.3</v>
      </c>
      <c r="G541" s="2">
        <v>93.8</v>
      </c>
      <c r="H541" s="2">
        <f>+F541-G541</f>
        <v>1.5</v>
      </c>
      <c r="I541" s="1">
        <f>+(F541^14)/((F541^14+G541^14))</f>
        <v>0.55530018627834388</v>
      </c>
      <c r="J541" s="2">
        <v>103.9</v>
      </c>
      <c r="K541" s="2">
        <v>102</v>
      </c>
      <c r="L541" s="2">
        <f>+J541-K541</f>
        <v>1.9000000000000057</v>
      </c>
      <c r="M541" s="1">
        <f>+E541-I541</f>
        <v>-1.8714820424685308E-2</v>
      </c>
      <c r="N541" s="2">
        <v>98.2</v>
      </c>
      <c r="O541" s="2">
        <v>98.8</v>
      </c>
      <c r="P541" s="2">
        <f t="shared" si="8"/>
        <v>-0.59999999999999432</v>
      </c>
      <c r="Q541">
        <v>0.2</v>
      </c>
    </row>
    <row r="542" spans="1:17">
      <c r="A542" t="s">
        <v>60</v>
      </c>
      <c r="B542" t="s">
        <v>13</v>
      </c>
      <c r="C542">
        <v>15</v>
      </c>
      <c r="D542">
        <v>50</v>
      </c>
      <c r="E542" s="1">
        <f>+C542/(C542+D542)</f>
        <v>0.23076923076923078</v>
      </c>
      <c r="F542" s="2">
        <v>106.3</v>
      </c>
      <c r="G542" s="2">
        <v>115</v>
      </c>
      <c r="H542" s="2">
        <f>+F542-G542</f>
        <v>-8.7000000000000028</v>
      </c>
      <c r="I542" s="1">
        <f>+(F542^14)/((F542^14+G542^14))</f>
        <v>0.24948968898515997</v>
      </c>
      <c r="J542" s="2">
        <v>104.4</v>
      </c>
      <c r="K542" s="2">
        <v>113</v>
      </c>
      <c r="L542" s="2">
        <f>+J542-K542</f>
        <v>-8.5999999999999943</v>
      </c>
      <c r="M542" s="1">
        <f>+E542-I542</f>
        <v>-1.8720458215929187E-2</v>
      </c>
      <c r="N542" s="2">
        <v>102.9</v>
      </c>
      <c r="O542" s="2">
        <v>124.9</v>
      </c>
      <c r="P542" s="2">
        <f t="shared" si="8"/>
        <v>-22</v>
      </c>
      <c r="Q542">
        <v>-0.5</v>
      </c>
    </row>
    <row r="543" spans="1:17">
      <c r="A543" t="s">
        <v>47</v>
      </c>
      <c r="B543" t="s">
        <v>33</v>
      </c>
      <c r="C543">
        <v>26</v>
      </c>
      <c r="D543">
        <v>56</v>
      </c>
      <c r="E543" s="1">
        <f>+C543/(C543+D543)</f>
        <v>0.31707317073170732</v>
      </c>
      <c r="F543" s="2">
        <v>96.2</v>
      </c>
      <c r="G543" s="2">
        <v>101</v>
      </c>
      <c r="H543" s="2">
        <f>+F543-G543</f>
        <v>-4.7999999999999972</v>
      </c>
      <c r="I543" s="1">
        <f>+(F543^14)/((F543^14+G543^14))</f>
        <v>0.33588728853069855</v>
      </c>
      <c r="J543" s="2">
        <v>103.1</v>
      </c>
      <c r="K543" s="2">
        <v>108.3</v>
      </c>
      <c r="L543" s="2">
        <f>+J543-K543</f>
        <v>-5.2000000000000028</v>
      </c>
      <c r="M543" s="1">
        <f>+E543-I543</f>
        <v>-1.8814117798991226E-2</v>
      </c>
      <c r="N543" s="2">
        <v>94.2</v>
      </c>
      <c r="O543" s="2">
        <v>103.1</v>
      </c>
      <c r="P543" s="2">
        <f t="shared" si="8"/>
        <v>-8.8999999999999915</v>
      </c>
      <c r="Q543">
        <v>-1</v>
      </c>
    </row>
    <row r="544" spans="1:17">
      <c r="A544" t="s">
        <v>55</v>
      </c>
      <c r="B544" t="s">
        <v>23</v>
      </c>
      <c r="C544">
        <v>35</v>
      </c>
      <c r="D544">
        <v>47</v>
      </c>
      <c r="E544" s="1">
        <f>+C544/(C544+D544)</f>
        <v>0.42682926829268292</v>
      </c>
      <c r="F544" s="2">
        <v>102.1</v>
      </c>
      <c r="G544" s="2">
        <v>103.7</v>
      </c>
      <c r="H544" s="2">
        <f>+F544-G544</f>
        <v>-1.6000000000000085</v>
      </c>
      <c r="I544" s="1">
        <f>+(F544^14)/((F544^14+G544^14))</f>
        <v>0.44579104414763582</v>
      </c>
      <c r="J544" s="2">
        <v>104.4</v>
      </c>
      <c r="K544" s="2">
        <v>106</v>
      </c>
      <c r="L544" s="2">
        <f>+J544-K544</f>
        <v>-1.5999999999999943</v>
      </c>
      <c r="M544" s="1">
        <f>+E544-I544</f>
        <v>-1.89617758549529E-2</v>
      </c>
      <c r="N544" s="2">
        <v>94.2</v>
      </c>
      <c r="O544" s="2">
        <v>97.3</v>
      </c>
      <c r="P544" s="2">
        <f t="shared" si="8"/>
        <v>-3.0999999999999943</v>
      </c>
      <c r="Q544">
        <v>-0.7</v>
      </c>
    </row>
    <row r="545" spans="1:17">
      <c r="A545" t="s">
        <v>36</v>
      </c>
      <c r="B545" t="s">
        <v>10</v>
      </c>
      <c r="C545">
        <v>60</v>
      </c>
      <c r="D545">
        <v>22</v>
      </c>
      <c r="E545" s="1">
        <f>+C545/(C545+D545)</f>
        <v>0.73170731707317072</v>
      </c>
      <c r="F545" s="2">
        <v>103</v>
      </c>
      <c r="G545" s="2">
        <v>95.2</v>
      </c>
      <c r="H545" s="2">
        <f>+F545-G545</f>
        <v>7.7999999999999972</v>
      </c>
      <c r="I545" s="1">
        <f>+(F545^14)/((F545^14+G545^14))</f>
        <v>0.75072573890804006</v>
      </c>
      <c r="J545" s="2">
        <v>109.3</v>
      </c>
      <c r="K545" s="2">
        <v>101</v>
      </c>
      <c r="L545" s="2">
        <f>+J545-K545</f>
        <v>8.2999999999999972</v>
      </c>
      <c r="M545" s="1">
        <f>+E545-I545</f>
        <v>-1.9018421834869348E-2</v>
      </c>
      <c r="N545" s="2">
        <v>112.2</v>
      </c>
      <c r="O545" s="2">
        <v>101</v>
      </c>
      <c r="P545" s="2">
        <f t="shared" si="8"/>
        <v>11.200000000000003</v>
      </c>
      <c r="Q545">
        <v>0.5</v>
      </c>
    </row>
    <row r="546" spans="1:17">
      <c r="A546" t="s">
        <v>41</v>
      </c>
      <c r="B546" t="s">
        <v>25</v>
      </c>
      <c r="C546">
        <v>54</v>
      </c>
      <c r="D546">
        <v>28</v>
      </c>
      <c r="E546" s="1">
        <f>+C546/(C546+D546)</f>
        <v>0.65853658536585369</v>
      </c>
      <c r="F546" s="2">
        <v>108.4</v>
      </c>
      <c r="G546" s="2">
        <v>102.8</v>
      </c>
      <c r="H546" s="2">
        <f>+F546-G546</f>
        <v>5.6000000000000085</v>
      </c>
      <c r="I546" s="1">
        <f>+(F546^14)/((F546^14+G546^14))</f>
        <v>0.67756377223855135</v>
      </c>
      <c r="J546" s="2">
        <v>110.2</v>
      </c>
      <c r="K546" s="2">
        <v>104.7</v>
      </c>
      <c r="L546" s="2">
        <f>+J546-K546</f>
        <v>5.5</v>
      </c>
      <c r="M546" s="1">
        <f>+E546-I546</f>
        <v>-1.9027186872697666E-2</v>
      </c>
      <c r="N546" s="2">
        <v>105.4</v>
      </c>
      <c r="O546" s="2">
        <v>104.9</v>
      </c>
      <c r="P546" s="2">
        <f t="shared" si="8"/>
        <v>0.5</v>
      </c>
      <c r="Q546">
        <v>0.5</v>
      </c>
    </row>
    <row r="547" spans="1:17">
      <c r="A547" t="s">
        <v>4</v>
      </c>
      <c r="B547" t="s">
        <v>16</v>
      </c>
      <c r="C547">
        <v>31</v>
      </c>
      <c r="D547">
        <v>51</v>
      </c>
      <c r="E547" s="1">
        <f>+C547/(C547+D547)</f>
        <v>0.37804878048780488</v>
      </c>
      <c r="F547" s="2">
        <v>92.5</v>
      </c>
      <c r="G547" s="2">
        <v>95.3</v>
      </c>
      <c r="H547" s="2">
        <f>+F547-G547</f>
        <v>-2.7999999999999972</v>
      </c>
      <c r="I547" s="1">
        <f>+(F547^14)/((F547^14+G547^14))</f>
        <v>0.39711601228610965</v>
      </c>
      <c r="J547" s="2">
        <v>100.3</v>
      </c>
      <c r="K547" s="2">
        <v>103.2</v>
      </c>
      <c r="L547" s="2">
        <f>+J547-K547</f>
        <v>-2.9000000000000057</v>
      </c>
      <c r="M547" s="1">
        <f>+E547-I547</f>
        <v>-1.9067231798304773E-2</v>
      </c>
      <c r="N547" s="2">
        <v>95.7</v>
      </c>
      <c r="O547" s="2">
        <v>108.7</v>
      </c>
      <c r="P547" s="2">
        <f t="shared" si="8"/>
        <v>-13</v>
      </c>
      <c r="Q547">
        <v>0.4</v>
      </c>
    </row>
    <row r="548" spans="1:17">
      <c r="A548" t="s">
        <v>54</v>
      </c>
      <c r="B548" t="s">
        <v>6</v>
      </c>
      <c r="C548">
        <v>40</v>
      </c>
      <c r="D548">
        <v>42</v>
      </c>
      <c r="E548" s="1">
        <f>+C548/(C548+D548)</f>
        <v>0.48780487804878048</v>
      </c>
      <c r="F548" s="2">
        <v>101.4</v>
      </c>
      <c r="G548" s="2">
        <v>101.2</v>
      </c>
      <c r="H548" s="2">
        <f>+F548-G548</f>
        <v>0.20000000000000284</v>
      </c>
      <c r="I548" s="1">
        <f>+(F548^14)/((F548^14+G548^14))</f>
        <v>0.50690973014497898</v>
      </c>
      <c r="J548" s="2">
        <v>103.8</v>
      </c>
      <c r="K548" s="2">
        <v>103.5</v>
      </c>
      <c r="L548" s="2">
        <f>+J548-K548</f>
        <v>0.29999999999999716</v>
      </c>
      <c r="M548" s="1">
        <f>+E548-I548</f>
        <v>-1.9104852096198499E-2</v>
      </c>
      <c r="N548" s="2">
        <v>103</v>
      </c>
      <c r="O548" s="2">
        <v>103.8</v>
      </c>
      <c r="P548" s="2">
        <f t="shared" si="8"/>
        <v>-0.79999999999999716</v>
      </c>
      <c r="Q548">
        <v>0.9</v>
      </c>
    </row>
    <row r="549" spans="1:17">
      <c r="A549" t="s">
        <v>4</v>
      </c>
      <c r="B549" t="s">
        <v>7</v>
      </c>
      <c r="C549">
        <v>46</v>
      </c>
      <c r="D549">
        <v>36</v>
      </c>
      <c r="E549" s="1">
        <f>+C549/(C549+D549)</f>
        <v>0.56097560975609762</v>
      </c>
      <c r="F549" s="2">
        <v>91.9</v>
      </c>
      <c r="G549" s="2">
        <v>89.8</v>
      </c>
      <c r="H549" s="2">
        <f>+F549-G549</f>
        <v>2.1000000000000085</v>
      </c>
      <c r="I549" s="1">
        <f>+(F549^14)/((F549^14+G549^14))</f>
        <v>0.58020737825185043</v>
      </c>
      <c r="J549" s="2">
        <v>99.7</v>
      </c>
      <c r="K549" s="2">
        <v>97.6</v>
      </c>
      <c r="L549" s="2">
        <f>+J549-K549</f>
        <v>2.1000000000000085</v>
      </c>
      <c r="M549" s="1">
        <f>+E549-I549</f>
        <v>-1.923176849575281E-2</v>
      </c>
      <c r="N549" s="2">
        <v>91.6</v>
      </c>
      <c r="O549" s="2">
        <v>96.4</v>
      </c>
      <c r="P549" s="2">
        <f t="shared" si="8"/>
        <v>-4.8000000000000114</v>
      </c>
      <c r="Q549">
        <v>-0.2</v>
      </c>
    </row>
    <row r="550" spans="1:17">
      <c r="A550" t="s">
        <v>52</v>
      </c>
      <c r="B550" t="s">
        <v>5</v>
      </c>
      <c r="C550">
        <v>38</v>
      </c>
      <c r="D550">
        <v>44</v>
      </c>
      <c r="E550" s="1">
        <f>+C550/(C550+D550)</f>
        <v>0.46341463414634149</v>
      </c>
      <c r="F550" s="2">
        <v>101</v>
      </c>
      <c r="G550" s="2">
        <v>101.5</v>
      </c>
      <c r="H550" s="2">
        <f>+F550-G550</f>
        <v>-0.5</v>
      </c>
      <c r="I550" s="1">
        <f>+(F550^14)/((F550^14+G550^14))</f>
        <v>0.48272289543770702</v>
      </c>
      <c r="J550" s="2">
        <v>104.9</v>
      </c>
      <c r="K550" s="2">
        <v>105.7</v>
      </c>
      <c r="L550" s="2">
        <f>+J550-K550</f>
        <v>-0.79999999999999716</v>
      </c>
      <c r="M550" s="1">
        <f>+E550-I550</f>
        <v>-1.9308261291365536E-2</v>
      </c>
      <c r="N550" s="2">
        <v>105.6</v>
      </c>
      <c r="O550" s="2">
        <v>100.2</v>
      </c>
      <c r="P550" s="2">
        <f t="shared" si="8"/>
        <v>5.3999999999999915</v>
      </c>
      <c r="Q550">
        <v>-0.9</v>
      </c>
    </row>
    <row r="551" spans="1:17">
      <c r="A551" t="s">
        <v>34</v>
      </c>
      <c r="B551" t="s">
        <v>23</v>
      </c>
      <c r="C551">
        <v>44</v>
      </c>
      <c r="D551">
        <v>38</v>
      </c>
      <c r="E551" s="1">
        <f>+C551/(C551+D551)</f>
        <v>0.53658536585365857</v>
      </c>
      <c r="F551" s="2">
        <v>100.5</v>
      </c>
      <c r="G551" s="2">
        <v>98.9</v>
      </c>
      <c r="H551" s="2">
        <f>+F551-G551</f>
        <v>1.5999999999999943</v>
      </c>
      <c r="I551" s="1">
        <f>+(F551^14)/((F551^14+G551^14))</f>
        <v>0.5559346078100218</v>
      </c>
      <c r="J551" s="2">
        <v>105.6</v>
      </c>
      <c r="K551" s="2">
        <v>104.1</v>
      </c>
      <c r="L551" s="2">
        <f>+J551-K551</f>
        <v>1.5</v>
      </c>
      <c r="M551" s="1">
        <f>+E551-I551</f>
        <v>-1.9349241956363228E-2</v>
      </c>
      <c r="N551" s="2">
        <v>105.5</v>
      </c>
      <c r="O551" s="2">
        <v>100.4</v>
      </c>
      <c r="P551" s="2">
        <f t="shared" si="8"/>
        <v>5.0999999999999943</v>
      </c>
      <c r="Q551">
        <v>-1</v>
      </c>
    </row>
    <row r="552" spans="1:17">
      <c r="A552" t="s">
        <v>39</v>
      </c>
      <c r="B552" t="s">
        <v>16</v>
      </c>
      <c r="C552">
        <v>37</v>
      </c>
      <c r="D552">
        <v>45</v>
      </c>
      <c r="E552" s="1">
        <f>+C552/(C552+D552)</f>
        <v>0.45121951219512196</v>
      </c>
      <c r="F552" s="2">
        <v>95.7</v>
      </c>
      <c r="G552" s="2">
        <v>96.5</v>
      </c>
      <c r="H552" s="2">
        <f>+F552-G552</f>
        <v>-0.79999999999999716</v>
      </c>
      <c r="I552" s="1">
        <f>+(F552^14)/((F552^14+G552^14))</f>
        <v>0.47089645062894331</v>
      </c>
      <c r="J552" s="2">
        <v>103.8</v>
      </c>
      <c r="K552" s="2">
        <v>104.5</v>
      </c>
      <c r="L552" s="2">
        <f>+J552-K552</f>
        <v>-0.70000000000000284</v>
      </c>
      <c r="M552" s="1">
        <f>+E552-I552</f>
        <v>-1.9676938433821345E-2</v>
      </c>
      <c r="N552" s="2">
        <v>101.2</v>
      </c>
      <c r="O552" s="2">
        <v>106.7</v>
      </c>
      <c r="P552" s="2">
        <f t="shared" si="8"/>
        <v>-5.5</v>
      </c>
      <c r="Q552">
        <v>-1.3</v>
      </c>
    </row>
    <row r="553" spans="1:17">
      <c r="A553" t="s">
        <v>48</v>
      </c>
      <c r="B553" t="s">
        <v>35</v>
      </c>
      <c r="C553">
        <v>46</v>
      </c>
      <c r="D553">
        <v>36</v>
      </c>
      <c r="E553" s="1">
        <f>+C553/(C553+D553)</f>
        <v>0.56097560975609762</v>
      </c>
      <c r="F553" s="2">
        <v>99.9</v>
      </c>
      <c r="G553" s="2">
        <v>97.6</v>
      </c>
      <c r="H553" s="2">
        <f>+F553-G553</f>
        <v>2.3000000000000114</v>
      </c>
      <c r="I553" s="1">
        <f>+(F553^14)/((F553^14+G553^14))</f>
        <v>0.58080787890560803</v>
      </c>
      <c r="J553" s="2">
        <v>107</v>
      </c>
      <c r="K553" s="2">
        <v>104.5</v>
      </c>
      <c r="L553" s="2">
        <f>+J553-K553</f>
        <v>2.5</v>
      </c>
      <c r="M553" s="1">
        <f>+E553-I553</f>
        <v>-1.9832269149510418E-2</v>
      </c>
      <c r="N553" s="2">
        <v>101.7</v>
      </c>
      <c r="O553" s="2">
        <v>108.5</v>
      </c>
      <c r="P553" s="2">
        <f t="shared" si="8"/>
        <v>-6.7999999999999972</v>
      </c>
      <c r="Q553">
        <v>1</v>
      </c>
    </row>
    <row r="554" spans="1:17">
      <c r="A554" t="s">
        <v>64</v>
      </c>
      <c r="B554" t="s">
        <v>51</v>
      </c>
      <c r="C554">
        <v>32</v>
      </c>
      <c r="D554">
        <v>50</v>
      </c>
      <c r="E554" s="1">
        <f>+C554/(C554+D554)</f>
        <v>0.3902439024390244</v>
      </c>
      <c r="F554" s="2">
        <v>110.4</v>
      </c>
      <c r="G554" s="2">
        <v>113.3</v>
      </c>
      <c r="H554" s="2">
        <f>+F554-G554</f>
        <v>-2.8999999999999915</v>
      </c>
      <c r="I554" s="1">
        <f>+(F554^14)/((F554^14+G554^14))</f>
        <v>0.41023197755598673</v>
      </c>
      <c r="J554" s="2">
        <v>112.4</v>
      </c>
      <c r="K554" s="2">
        <v>115.4</v>
      </c>
      <c r="L554" s="2">
        <f>+J554-K554</f>
        <v>-3</v>
      </c>
      <c r="M554" s="1">
        <f>+E554-I554</f>
        <v>-1.9988075116962323E-2</v>
      </c>
      <c r="N554" s="2">
        <v>107.5</v>
      </c>
      <c r="O554" s="2">
        <v>114.2</v>
      </c>
      <c r="P554" s="2">
        <f t="shared" si="8"/>
        <v>-6.7000000000000028</v>
      </c>
      <c r="Q554">
        <v>-0.1</v>
      </c>
    </row>
    <row r="555" spans="1:17">
      <c r="A555" t="s">
        <v>54</v>
      </c>
      <c r="B555" t="s">
        <v>26</v>
      </c>
      <c r="C555">
        <v>51</v>
      </c>
      <c r="D555">
        <v>31</v>
      </c>
      <c r="E555" s="1">
        <f>+C555/(C555+D555)</f>
        <v>0.62195121951219512</v>
      </c>
      <c r="F555" s="2">
        <v>102.8</v>
      </c>
      <c r="G555" s="2">
        <v>98.6</v>
      </c>
      <c r="H555" s="2">
        <f>+F555-G555</f>
        <v>4.2000000000000028</v>
      </c>
      <c r="I555" s="1">
        <f>+(F555^14)/((F555^14+G555^14))</f>
        <v>0.64198666077986288</v>
      </c>
      <c r="J555" s="2">
        <v>107.1</v>
      </c>
      <c r="K555" s="2">
        <v>102.8</v>
      </c>
      <c r="L555" s="2">
        <f>+J555-K555</f>
        <v>4.2999999999999972</v>
      </c>
      <c r="M555" s="1">
        <f>+E555-I555</f>
        <v>-2.0035441267667764E-2</v>
      </c>
      <c r="N555" s="2">
        <v>114.2</v>
      </c>
      <c r="O555" s="2">
        <v>100</v>
      </c>
      <c r="P555" s="2">
        <f t="shared" si="8"/>
        <v>14.200000000000003</v>
      </c>
      <c r="Q555">
        <v>1.7</v>
      </c>
    </row>
    <row r="556" spans="1:17">
      <c r="A556" t="s">
        <v>64</v>
      </c>
      <c r="B556" t="s">
        <v>6</v>
      </c>
      <c r="C556">
        <v>64</v>
      </c>
      <c r="D556">
        <v>18</v>
      </c>
      <c r="E556" s="1">
        <f>+C556/(C556+D556)</f>
        <v>0.78048780487804881</v>
      </c>
      <c r="F556" s="2">
        <v>120.6</v>
      </c>
      <c r="G556" s="2">
        <v>109.2</v>
      </c>
      <c r="H556" s="2">
        <f>+F556-G556</f>
        <v>11.399999999999991</v>
      </c>
      <c r="I556" s="1">
        <f>+(F556^14)/((F556^14+G556^14))</f>
        <v>0.80062019440018317</v>
      </c>
      <c r="J556" s="2">
        <v>122.2</v>
      </c>
      <c r="K556" s="2">
        <v>110.6</v>
      </c>
      <c r="L556" s="2">
        <f>+J556-K556</f>
        <v>11.600000000000009</v>
      </c>
      <c r="M556" s="1">
        <f>+E556-I556</f>
        <v>-2.0132389522134364E-2</v>
      </c>
      <c r="N556" s="2">
        <v>116.8</v>
      </c>
      <c r="O556" s="2">
        <v>103.9</v>
      </c>
      <c r="P556" s="2">
        <f t="shared" si="8"/>
        <v>12.899999999999991</v>
      </c>
      <c r="Q556">
        <v>1.9</v>
      </c>
    </row>
    <row r="557" spans="1:17">
      <c r="A557" t="s">
        <v>41</v>
      </c>
      <c r="B557" t="s">
        <v>27</v>
      </c>
      <c r="C557">
        <v>44</v>
      </c>
      <c r="D557">
        <v>38</v>
      </c>
      <c r="E557" s="1">
        <f>+C557/(C557+D557)</f>
        <v>0.53658536585365857</v>
      </c>
      <c r="F557" s="2">
        <v>98.9</v>
      </c>
      <c r="G557" s="2">
        <v>97.3</v>
      </c>
      <c r="H557" s="2">
        <f>+F557-G557</f>
        <v>1.6000000000000085</v>
      </c>
      <c r="I557" s="1">
        <f>+(F557^14)/((F557^14+G557^14))</f>
        <v>0.55683911786058593</v>
      </c>
      <c r="J557" s="2">
        <v>105.3</v>
      </c>
      <c r="K557" s="2">
        <v>103.5</v>
      </c>
      <c r="L557" s="2">
        <f>+J557-K557</f>
        <v>1.7999999999999972</v>
      </c>
      <c r="M557" s="1">
        <f>+E557-I557</f>
        <v>-2.0253752006927361E-2</v>
      </c>
      <c r="N557" s="2">
        <v>101.9</v>
      </c>
      <c r="O557" s="2">
        <v>97.8</v>
      </c>
      <c r="P557" s="2">
        <f t="shared" si="8"/>
        <v>4.1000000000000085</v>
      </c>
      <c r="Q557">
        <v>-0.7</v>
      </c>
    </row>
    <row r="558" spans="1:17">
      <c r="A558" t="s">
        <v>41</v>
      </c>
      <c r="B558" t="s">
        <v>5</v>
      </c>
      <c r="C558">
        <v>26</v>
      </c>
      <c r="D558">
        <v>56</v>
      </c>
      <c r="E558" s="1">
        <f>+C558/(C558+D558)</f>
        <v>0.31707317073170732</v>
      </c>
      <c r="F558" s="2">
        <v>97.2</v>
      </c>
      <c r="G558" s="2">
        <v>102</v>
      </c>
      <c r="H558" s="2">
        <f>+F558-G558</f>
        <v>-4.7999999999999972</v>
      </c>
      <c r="I558" s="1">
        <f>+(F558^14)/((F558^14+G558^14))</f>
        <v>0.33741629653405997</v>
      </c>
      <c r="J558" s="2">
        <v>104.8</v>
      </c>
      <c r="K558" s="2">
        <v>110.1</v>
      </c>
      <c r="L558" s="2">
        <f>+J558-K558</f>
        <v>-5.2999999999999972</v>
      </c>
      <c r="M558" s="1">
        <f>+E558-I558</f>
        <v>-2.0343125802352646E-2</v>
      </c>
      <c r="N558" s="2">
        <v>96</v>
      </c>
      <c r="O558" s="2">
        <v>107.4</v>
      </c>
      <c r="P558" s="2">
        <f t="shared" si="8"/>
        <v>-11.400000000000006</v>
      </c>
      <c r="Q558">
        <v>-0.4</v>
      </c>
    </row>
    <row r="559" spans="1:17">
      <c r="A559" t="s">
        <v>66</v>
      </c>
      <c r="B559" t="s">
        <v>56</v>
      </c>
      <c r="C559">
        <v>31</v>
      </c>
      <c r="D559">
        <v>32</v>
      </c>
      <c r="E559" s="1">
        <f>+C559/(C559+D559)</f>
        <v>0.49206349206349204</v>
      </c>
      <c r="F559" s="2">
        <v>112.6</v>
      </c>
      <c r="G559" s="2">
        <v>112.2</v>
      </c>
      <c r="H559" s="2">
        <f>+F559-G559</f>
        <v>0.39999999999999147</v>
      </c>
      <c r="I559" s="1">
        <f>+(F559^14)/((F559^14+G559^14))</f>
        <v>0.51245295332770446</v>
      </c>
      <c r="J559" s="2">
        <v>115.6</v>
      </c>
      <c r="K559" s="2">
        <v>115.3</v>
      </c>
      <c r="L559" s="2">
        <f>+J559-K559</f>
        <v>0.29999999999999716</v>
      </c>
      <c r="M559" s="1">
        <f>+E559-I559</f>
        <v>-2.0389461264212427E-2</v>
      </c>
      <c r="N559" s="2">
        <v>115.7</v>
      </c>
      <c r="O559" s="2">
        <v>116.4</v>
      </c>
      <c r="P559" s="2">
        <f t="shared" si="8"/>
        <v>-0.70000000000000284</v>
      </c>
      <c r="Q559" s="2">
        <v>-0.7</v>
      </c>
    </row>
    <row r="560" spans="1:17">
      <c r="A560" t="s">
        <v>52</v>
      </c>
      <c r="B560" t="s">
        <v>22</v>
      </c>
      <c r="C560">
        <v>37</v>
      </c>
      <c r="D560">
        <v>45</v>
      </c>
      <c r="E560" s="1">
        <f>+C560/(C560+D560)</f>
        <v>0.45121951219512196</v>
      </c>
      <c r="F560" s="2">
        <v>98.6</v>
      </c>
      <c r="G560" s="2">
        <v>99.4</v>
      </c>
      <c r="H560" s="2">
        <f>+F560-G560</f>
        <v>-0.80000000000001137</v>
      </c>
      <c r="I560" s="1">
        <f>+(F560^14)/((F560^14+G560^14))</f>
        <v>0.47174714501702425</v>
      </c>
      <c r="J560" s="2">
        <v>107</v>
      </c>
      <c r="K560" s="2">
        <v>108.1</v>
      </c>
      <c r="L560" s="2">
        <f>+J560-K560</f>
        <v>-1.0999999999999943</v>
      </c>
      <c r="M560" s="1">
        <f>+E560-I560</f>
        <v>-2.0527632821902286E-2</v>
      </c>
      <c r="N560" s="2">
        <v>92.3</v>
      </c>
      <c r="O560" s="2">
        <v>100.6</v>
      </c>
      <c r="P560" s="2">
        <f t="shared" si="8"/>
        <v>-8.2999999999999972</v>
      </c>
      <c r="Q560">
        <v>-1.2</v>
      </c>
    </row>
    <row r="561" spans="1:17">
      <c r="A561" t="s">
        <v>55</v>
      </c>
      <c r="B561" t="s">
        <v>6</v>
      </c>
      <c r="C561">
        <v>48</v>
      </c>
      <c r="D561">
        <v>34</v>
      </c>
      <c r="E561" s="1">
        <f>+C561/(C561+D561)</f>
        <v>0.58536585365853655</v>
      </c>
      <c r="F561" s="2">
        <v>105.7</v>
      </c>
      <c r="G561" s="2">
        <v>102.5</v>
      </c>
      <c r="H561" s="2">
        <f>+F561-G561</f>
        <v>3.2000000000000028</v>
      </c>
      <c r="I561" s="1">
        <f>+(F561^14)/((F561^14+G561^14))</f>
        <v>0.60596663066011414</v>
      </c>
      <c r="J561" s="2">
        <v>105.8</v>
      </c>
      <c r="K561" s="2">
        <v>102.5</v>
      </c>
      <c r="L561" s="2">
        <f>+J561-K561</f>
        <v>3.2999999999999972</v>
      </c>
      <c r="M561" s="1">
        <f>+E561-I561</f>
        <v>-2.0600777001577586E-2</v>
      </c>
      <c r="N561" s="2">
        <v>112</v>
      </c>
      <c r="O561" s="2">
        <v>105.7</v>
      </c>
      <c r="P561" s="2">
        <f t="shared" si="8"/>
        <v>6.2999999999999972</v>
      </c>
      <c r="Q561">
        <v>0.2</v>
      </c>
    </row>
    <row r="562" spans="1:17">
      <c r="A562" t="s">
        <v>4</v>
      </c>
      <c r="B562" t="s">
        <v>31</v>
      </c>
      <c r="C562">
        <v>53</v>
      </c>
      <c r="D562">
        <v>29</v>
      </c>
      <c r="E562" s="1">
        <f>+C562/(C562+D562)</f>
        <v>0.64634146341463417</v>
      </c>
      <c r="F562" s="2">
        <v>97.1</v>
      </c>
      <c r="G562" s="2">
        <v>92.4</v>
      </c>
      <c r="H562" s="2">
        <f>+F562-G562</f>
        <v>4.6999999999999886</v>
      </c>
      <c r="I562" s="1">
        <f>+(F562^14)/((F562^14+G562^14))</f>
        <v>0.66698978218466165</v>
      </c>
      <c r="J562" s="2">
        <v>106.1</v>
      </c>
      <c r="K562" s="2">
        <v>100.9</v>
      </c>
      <c r="L562" s="2">
        <f>+J562-K562</f>
        <v>5.1999999999999886</v>
      </c>
      <c r="M562" s="1">
        <f>+E562-I562</f>
        <v>-2.0648318770027485E-2</v>
      </c>
      <c r="N562" s="2">
        <v>118.4</v>
      </c>
      <c r="O562" s="2">
        <v>96.8</v>
      </c>
      <c r="P562" s="2">
        <f t="shared" si="8"/>
        <v>21.600000000000009</v>
      </c>
      <c r="Q562">
        <v>2.5</v>
      </c>
    </row>
    <row r="563" spans="1:17">
      <c r="A563" t="s">
        <v>41</v>
      </c>
      <c r="B563" t="s">
        <v>23</v>
      </c>
      <c r="C563">
        <v>36</v>
      </c>
      <c r="D563">
        <v>46</v>
      </c>
      <c r="E563" s="1">
        <f>+C563/(C563+D563)</f>
        <v>0.43902439024390244</v>
      </c>
      <c r="F563" s="2">
        <v>94.9</v>
      </c>
      <c r="G563" s="2">
        <v>96</v>
      </c>
      <c r="H563" s="2">
        <f>+F563-G563</f>
        <v>-1.0999999999999943</v>
      </c>
      <c r="I563" s="1">
        <f>+(F563^14)/((F563^14+G563^14))</f>
        <v>0.45975157223924717</v>
      </c>
      <c r="J563" s="2">
        <v>105.3</v>
      </c>
      <c r="K563" s="2">
        <v>106.6</v>
      </c>
      <c r="L563" s="2">
        <f>+J563-K563</f>
        <v>-1.2999999999999972</v>
      </c>
      <c r="M563" s="1">
        <f>+E563-I563</f>
        <v>-2.0727181995344734E-2</v>
      </c>
      <c r="N563" s="2">
        <v>100.8</v>
      </c>
      <c r="O563" s="2">
        <v>103.9</v>
      </c>
      <c r="P563" s="2">
        <f t="shared" si="8"/>
        <v>-3.1000000000000085</v>
      </c>
      <c r="Q563">
        <v>0.1</v>
      </c>
    </row>
    <row r="564" spans="1:17">
      <c r="A564" t="s">
        <v>66</v>
      </c>
      <c r="B564" t="s">
        <v>46</v>
      </c>
      <c r="C564">
        <v>50</v>
      </c>
      <c r="D564">
        <v>14</v>
      </c>
      <c r="E564" s="1">
        <f>+C564/(C564+D564)</f>
        <v>0.78125</v>
      </c>
      <c r="F564" s="2">
        <v>118.8</v>
      </c>
      <c r="G564" s="2">
        <v>107.5</v>
      </c>
      <c r="H564" s="2">
        <f>+F564-G564</f>
        <v>11.299999999999997</v>
      </c>
      <c r="I564" s="1">
        <f>+(F564^14)/((F564^14+G564^14))</f>
        <v>0.80207402882582313</v>
      </c>
      <c r="J564" s="2">
        <v>117.2</v>
      </c>
      <c r="K564" s="2">
        <v>106</v>
      </c>
      <c r="L564" s="2">
        <f>+J564-K564</f>
        <v>11.200000000000003</v>
      </c>
      <c r="M564" s="1">
        <f>+E564-I564</f>
        <v>-2.0824028825823127E-2</v>
      </c>
      <c r="N564" s="2">
        <v>123.7</v>
      </c>
      <c r="O564" s="2">
        <v>99.2</v>
      </c>
      <c r="P564" s="2">
        <f t="shared" si="8"/>
        <v>24.5</v>
      </c>
      <c r="Q564" s="2">
        <v>1.8</v>
      </c>
    </row>
    <row r="565" spans="1:17">
      <c r="A565" t="s">
        <v>52</v>
      </c>
      <c r="B565" t="s">
        <v>16</v>
      </c>
      <c r="C565">
        <v>57</v>
      </c>
      <c r="D565">
        <v>25</v>
      </c>
      <c r="E565" s="1">
        <f>+C565/(C565+D565)</f>
        <v>0.69512195121951215</v>
      </c>
      <c r="F565" s="2">
        <v>107.9</v>
      </c>
      <c r="G565" s="2">
        <v>101</v>
      </c>
      <c r="H565" s="2">
        <f>+F565-G565</f>
        <v>6.9000000000000057</v>
      </c>
      <c r="I565" s="1">
        <f>+(F565^14)/((F565^14+G565^14))</f>
        <v>0.71609658806886933</v>
      </c>
      <c r="J565" s="2">
        <v>111.3</v>
      </c>
      <c r="K565" s="2">
        <v>104</v>
      </c>
      <c r="L565" s="2">
        <f>+J565-K565</f>
        <v>7.2999999999999972</v>
      </c>
      <c r="M565" s="1">
        <f>+E565-I565</f>
        <v>-2.0974636849357187E-2</v>
      </c>
      <c r="N565" s="2">
        <v>111.8</v>
      </c>
      <c r="O565" s="2">
        <v>100</v>
      </c>
      <c r="P565" s="2">
        <f t="shared" si="8"/>
        <v>11.799999999999997</v>
      </c>
      <c r="Q565">
        <v>1.6</v>
      </c>
    </row>
    <row r="566" spans="1:17">
      <c r="A566" t="s">
        <v>58</v>
      </c>
      <c r="B566" t="s">
        <v>12</v>
      </c>
      <c r="C566">
        <v>39</v>
      </c>
      <c r="D566">
        <v>43</v>
      </c>
      <c r="E566" s="1">
        <f>+C566/(C566+D566)</f>
        <v>0.47560975609756095</v>
      </c>
      <c r="F566" s="2">
        <v>103.8</v>
      </c>
      <c r="G566" s="2">
        <v>103.9</v>
      </c>
      <c r="H566" s="2">
        <f>+F566-G566</f>
        <v>-0.10000000000000853</v>
      </c>
      <c r="I566" s="1">
        <f>+(F566^14)/((F566^14+G566^14))</f>
        <v>0.49662980523369954</v>
      </c>
      <c r="J566" s="2">
        <v>106.6</v>
      </c>
      <c r="K566" s="2">
        <v>106.7</v>
      </c>
      <c r="L566" s="2">
        <f>+J566-K566</f>
        <v>-0.10000000000000853</v>
      </c>
      <c r="M566" s="1">
        <f>+E566-I566</f>
        <v>-2.1020049136138585E-2</v>
      </c>
      <c r="N566" s="2">
        <v>101.4</v>
      </c>
      <c r="O566" s="2">
        <v>109.6</v>
      </c>
      <c r="P566" s="2">
        <f t="shared" si="8"/>
        <v>-8.1999999999999886</v>
      </c>
      <c r="Q566">
        <v>0.8</v>
      </c>
    </row>
    <row r="567" spans="1:17">
      <c r="A567" t="s">
        <v>45</v>
      </c>
      <c r="B567" t="s">
        <v>35</v>
      </c>
      <c r="C567">
        <v>24</v>
      </c>
      <c r="D567">
        <v>58</v>
      </c>
      <c r="E567" s="1">
        <f>+C567/(C567+D567)</f>
        <v>0.29268292682926828</v>
      </c>
      <c r="F567" s="2">
        <v>93.9</v>
      </c>
      <c r="G567" s="2">
        <v>99.3</v>
      </c>
      <c r="H567" s="2">
        <f>+F567-G567</f>
        <v>-5.3999999999999915</v>
      </c>
      <c r="I567" s="1">
        <f>+(F567^14)/((F567^14+G567^14))</f>
        <v>0.31371402581860747</v>
      </c>
      <c r="J567" s="2">
        <v>102.3</v>
      </c>
      <c r="K567" s="2">
        <v>108.2</v>
      </c>
      <c r="L567" s="2">
        <f>+J567-K567</f>
        <v>-5.9000000000000057</v>
      </c>
      <c r="M567" s="1">
        <f>+E567-I567</f>
        <v>-2.1031098989339192E-2</v>
      </c>
      <c r="N567" s="2">
        <v>90.2</v>
      </c>
      <c r="O567" s="2">
        <v>113.7</v>
      </c>
      <c r="P567" s="2">
        <f t="shared" si="8"/>
        <v>-23.5</v>
      </c>
      <c r="Q567">
        <v>-1.6</v>
      </c>
    </row>
    <row r="568" spans="1:17">
      <c r="A568" t="s">
        <v>47</v>
      </c>
      <c r="B568" t="s">
        <v>22</v>
      </c>
      <c r="C568">
        <v>29</v>
      </c>
      <c r="D568">
        <v>53</v>
      </c>
      <c r="E568" s="1">
        <f>+C568/(C568+D568)</f>
        <v>0.35365853658536583</v>
      </c>
      <c r="F568" s="2">
        <v>102.1</v>
      </c>
      <c r="G568" s="2">
        <v>105.9</v>
      </c>
      <c r="H568" s="2">
        <f>+F568-G568</f>
        <v>-3.8000000000000114</v>
      </c>
      <c r="I568" s="1">
        <f>+(F568^14)/((F568^14+G568^14))</f>
        <v>0.3748196047848904</v>
      </c>
      <c r="J568" s="2">
        <v>106.4</v>
      </c>
      <c r="K568" s="2">
        <v>110.3</v>
      </c>
      <c r="L568" s="2">
        <f>+J568-K568</f>
        <v>-3.8999999999999915</v>
      </c>
      <c r="M568" s="1">
        <f>+E568-I568</f>
        <v>-2.1161068199524569E-2</v>
      </c>
      <c r="N568" s="2">
        <v>99.7</v>
      </c>
      <c r="O568" s="2">
        <v>97.4</v>
      </c>
      <c r="P568" s="2">
        <f t="shared" si="8"/>
        <v>2.2999999999999972</v>
      </c>
      <c r="Q568">
        <v>1</v>
      </c>
    </row>
    <row r="569" spans="1:17">
      <c r="A569" t="s">
        <v>65</v>
      </c>
      <c r="B569" t="s">
        <v>12</v>
      </c>
      <c r="C569">
        <v>44</v>
      </c>
      <c r="D569">
        <v>38</v>
      </c>
      <c r="E569" s="1">
        <f>+C569/(C569+D569)</f>
        <v>0.53658536585365857</v>
      </c>
      <c r="F569" s="2">
        <v>115.5</v>
      </c>
      <c r="G569" s="2">
        <v>113.6</v>
      </c>
      <c r="H569" s="2">
        <f>+F569-G569</f>
        <v>1.9000000000000057</v>
      </c>
      <c r="I569" s="1">
        <f>+(F569^14)/((F569^14+G569^14))</f>
        <v>0.55779509756392176</v>
      </c>
      <c r="J569" s="2">
        <v>114.6</v>
      </c>
      <c r="K569" s="2">
        <v>112.5</v>
      </c>
      <c r="L569" s="2">
        <f>+J569-K569</f>
        <v>2.0999999999999943</v>
      </c>
      <c r="M569" s="1">
        <f>+E569-I569</f>
        <v>-2.1209731710263191E-2</v>
      </c>
      <c r="N569" s="2">
        <v>107.4</v>
      </c>
      <c r="O569" s="2">
        <v>117.1</v>
      </c>
      <c r="P569" s="2">
        <f t="shared" si="8"/>
        <v>-9.6999999999999886</v>
      </c>
      <c r="Q569">
        <v>0.3</v>
      </c>
    </row>
    <row r="570" spans="1:17">
      <c r="A570" t="s">
        <v>41</v>
      </c>
      <c r="B570" t="s">
        <v>8</v>
      </c>
      <c r="C570">
        <v>41</v>
      </c>
      <c r="D570">
        <v>41</v>
      </c>
      <c r="E570" s="1">
        <f>+C570/(C570+D570)</f>
        <v>0.5</v>
      </c>
      <c r="F570" s="2">
        <v>97.8</v>
      </c>
      <c r="G570" s="2">
        <v>97.2</v>
      </c>
      <c r="H570" s="2">
        <f>+F570-G570</f>
        <v>0.59999999999999432</v>
      </c>
      <c r="I570" s="1">
        <f>+(F570^14)/((F570^14+G570^14))</f>
        <v>0.52152521685612041</v>
      </c>
      <c r="J570" s="2">
        <v>103.3</v>
      </c>
      <c r="K570" s="2">
        <v>102.7</v>
      </c>
      <c r="L570" s="2">
        <f>+J570-K570</f>
        <v>0.59999999999999432</v>
      </c>
      <c r="M570" s="1">
        <f>+E570-I570</f>
        <v>-2.152521685612041E-2</v>
      </c>
      <c r="N570" s="2">
        <v>107.7</v>
      </c>
      <c r="O570" s="2">
        <v>94.8</v>
      </c>
      <c r="P570" s="2">
        <f t="shared" si="8"/>
        <v>12.900000000000006</v>
      </c>
      <c r="Q570">
        <v>0.7</v>
      </c>
    </row>
    <row r="571" spans="1:17">
      <c r="A571" t="s">
        <v>59</v>
      </c>
      <c r="B571" t="s">
        <v>15</v>
      </c>
      <c r="C571">
        <v>48</v>
      </c>
      <c r="D571">
        <v>34</v>
      </c>
      <c r="E571" s="1">
        <f>+C571/(C571+D571)</f>
        <v>0.58536585365853655</v>
      </c>
      <c r="F571" s="2">
        <v>108</v>
      </c>
      <c r="G571" s="2">
        <v>104.7</v>
      </c>
      <c r="H571" s="2">
        <f>+F571-G571</f>
        <v>3.2999999999999972</v>
      </c>
      <c r="I571" s="1">
        <f>+(F571^14)/((F571^14+G571^14))</f>
        <v>0.60693567293355</v>
      </c>
      <c r="J571" s="2">
        <v>109.4</v>
      </c>
      <c r="K571" s="2">
        <v>106</v>
      </c>
      <c r="L571" s="2">
        <f>+J571-K571</f>
        <v>3.4000000000000057</v>
      </c>
      <c r="M571" s="1">
        <f>+E571-I571</f>
        <v>-2.1569819275013447E-2</v>
      </c>
      <c r="N571" s="2">
        <v>113.9</v>
      </c>
      <c r="O571" s="2">
        <v>104.5</v>
      </c>
      <c r="P571" s="2">
        <f t="shared" si="8"/>
        <v>9.4000000000000057</v>
      </c>
      <c r="Q571">
        <v>0.8</v>
      </c>
    </row>
    <row r="572" spans="1:17">
      <c r="A572" t="s">
        <v>38</v>
      </c>
      <c r="B572" t="s">
        <v>14</v>
      </c>
      <c r="C572">
        <v>45</v>
      </c>
      <c r="D572">
        <v>37</v>
      </c>
      <c r="E572" s="1">
        <f>+C572/(C572+D572)</f>
        <v>0.54878048780487809</v>
      </c>
      <c r="F572" s="2">
        <v>89.8</v>
      </c>
      <c r="G572" s="2">
        <v>88</v>
      </c>
      <c r="H572" s="2">
        <f>+F572-G572</f>
        <v>1.7999999999999972</v>
      </c>
      <c r="I572" s="1">
        <f>+(F572^14)/((F572^14+G572^14))</f>
        <v>0.5703977764006517</v>
      </c>
      <c r="J572" s="2">
        <v>99.7</v>
      </c>
      <c r="K572" s="2">
        <v>97.8</v>
      </c>
      <c r="L572" s="2">
        <f>+J572-K572</f>
        <v>1.9000000000000057</v>
      </c>
      <c r="M572" s="1">
        <f>+E572-I572</f>
        <v>-2.1617288595773609E-2</v>
      </c>
      <c r="N572" s="2">
        <v>105.8</v>
      </c>
      <c r="O572" s="2">
        <v>105.7</v>
      </c>
      <c r="P572" s="2">
        <f t="shared" si="8"/>
        <v>9.9999999999994316E-2</v>
      </c>
      <c r="Q572">
        <v>-0.1</v>
      </c>
    </row>
    <row r="573" spans="1:17">
      <c r="A573" t="s">
        <v>64</v>
      </c>
      <c r="B573" t="s">
        <v>24</v>
      </c>
      <c r="C573">
        <v>47</v>
      </c>
      <c r="D573">
        <v>35</v>
      </c>
      <c r="E573" s="1">
        <f>+C573/(C573+D573)</f>
        <v>0.57317073170731703</v>
      </c>
      <c r="F573" s="2">
        <v>114.6</v>
      </c>
      <c r="G573" s="2">
        <v>111.5</v>
      </c>
      <c r="H573" s="2">
        <f>+F573-G573</f>
        <v>3.0999999999999943</v>
      </c>
      <c r="I573" s="1">
        <f>+(F573^14)/((F573^14+G573^14))</f>
        <v>0.59481941226835489</v>
      </c>
      <c r="J573" s="2">
        <v>116.2</v>
      </c>
      <c r="K573" s="2">
        <v>113</v>
      </c>
      <c r="L573" s="2">
        <f>+J573-K573</f>
        <v>3.2000000000000028</v>
      </c>
      <c r="M573" s="1">
        <f>+E573-I573</f>
        <v>-2.1648680561037859E-2</v>
      </c>
      <c r="N573" s="2">
        <v>115.3</v>
      </c>
      <c r="O573" s="2">
        <v>113.2</v>
      </c>
      <c r="P573" s="2">
        <f t="shared" si="8"/>
        <v>2.0999999999999943</v>
      </c>
      <c r="Q573">
        <v>0.7</v>
      </c>
    </row>
    <row r="574" spans="1:17">
      <c r="A574" t="s">
        <v>49</v>
      </c>
      <c r="B574" t="s">
        <v>11</v>
      </c>
      <c r="C574">
        <v>38</v>
      </c>
      <c r="D574">
        <v>28</v>
      </c>
      <c r="E574" s="1">
        <f>+C574/(C574+D574)</f>
        <v>0.5757575757575758</v>
      </c>
      <c r="F574" s="2">
        <v>104.1</v>
      </c>
      <c r="G574" s="2">
        <v>101.2</v>
      </c>
      <c r="H574" s="2">
        <f>+F574-G574</f>
        <v>2.8999999999999915</v>
      </c>
      <c r="I574" s="1">
        <f>+(F574^14)/((F574^14+G574^14))</f>
        <v>0.59761684455531594</v>
      </c>
      <c r="J574" s="2">
        <v>108.3</v>
      </c>
      <c r="K574" s="2">
        <v>105.1</v>
      </c>
      <c r="L574" s="2">
        <f>+J574-K574</f>
        <v>3.2000000000000028</v>
      </c>
      <c r="M574" s="1">
        <f>+E574-I574</f>
        <v>-2.1859268797740139E-2</v>
      </c>
      <c r="N574" s="2">
        <v>97.9</v>
      </c>
      <c r="O574" s="2">
        <v>100</v>
      </c>
      <c r="P574" s="2">
        <f t="shared" si="8"/>
        <v>-2.0999999999999943</v>
      </c>
      <c r="Q574">
        <v>0.3</v>
      </c>
    </row>
    <row r="575" spans="1:17">
      <c r="A575" t="s">
        <v>62</v>
      </c>
      <c r="B575" t="s">
        <v>5</v>
      </c>
      <c r="C575">
        <v>43</v>
      </c>
      <c r="D575">
        <v>39</v>
      </c>
      <c r="E575" s="1">
        <f>+C575/(C575+D575)</f>
        <v>0.52439024390243905</v>
      </c>
      <c r="F575" s="2">
        <v>113.9</v>
      </c>
      <c r="G575" s="2">
        <v>112.4</v>
      </c>
      <c r="H575" s="2">
        <f>+F575-G575</f>
        <v>1.5</v>
      </c>
      <c r="I575" s="1">
        <f>+(F575^14)/((F575^14+G575^14))</f>
        <v>0.54626653254094071</v>
      </c>
      <c r="J575" s="2">
        <v>115.4</v>
      </c>
      <c r="K575" s="2">
        <v>113.7</v>
      </c>
      <c r="L575" s="2">
        <f>+J575-K575</f>
        <v>1.7000000000000028</v>
      </c>
      <c r="M575" s="1">
        <f>+E575-I575</f>
        <v>-2.1876288638501662E-2</v>
      </c>
      <c r="N575" s="2">
        <v>110.5</v>
      </c>
      <c r="O575" s="2">
        <v>119.4</v>
      </c>
      <c r="P575" s="2">
        <f t="shared" si="8"/>
        <v>-8.9000000000000057</v>
      </c>
      <c r="Q575">
        <v>-1.3</v>
      </c>
    </row>
    <row r="576" spans="1:17">
      <c r="A576" t="s">
        <v>63</v>
      </c>
      <c r="B576" t="s">
        <v>31</v>
      </c>
      <c r="C576">
        <v>37</v>
      </c>
      <c r="D576">
        <v>45</v>
      </c>
      <c r="E576" s="1">
        <f>+C576/(C576+D576)</f>
        <v>0.45121951219512196</v>
      </c>
      <c r="F576" s="2">
        <v>117.1</v>
      </c>
      <c r="G576" s="2">
        <v>118</v>
      </c>
      <c r="H576" s="2">
        <f>+F576-G576</f>
        <v>-0.90000000000000568</v>
      </c>
      <c r="I576" s="1">
        <f>+(F576^14)/((F576^14+G576^14))</f>
        <v>0.47322838921503652</v>
      </c>
      <c r="J576" s="2">
        <v>115.3</v>
      </c>
      <c r="K576" s="2">
        <v>116</v>
      </c>
      <c r="L576" s="2">
        <f>+J576-K576</f>
        <v>-0.70000000000000284</v>
      </c>
      <c r="M576" s="1">
        <f>+E576-I576</f>
        <v>-2.2008877019914552E-2</v>
      </c>
      <c r="N576" s="2">
        <v>117.2</v>
      </c>
      <c r="O576" s="2">
        <v>109.5</v>
      </c>
      <c r="P576" s="2">
        <f t="shared" si="8"/>
        <v>7.7000000000000028</v>
      </c>
      <c r="Q576">
        <v>-0.1</v>
      </c>
    </row>
    <row r="577" spans="1:17">
      <c r="A577" t="s">
        <v>43</v>
      </c>
      <c r="B577" t="s">
        <v>29</v>
      </c>
      <c r="C577">
        <v>31</v>
      </c>
      <c r="D577">
        <v>51</v>
      </c>
      <c r="E577" s="1">
        <f>+C577/(C577+D577)</f>
        <v>0.37804878048780488</v>
      </c>
      <c r="F577" s="2">
        <v>99.1</v>
      </c>
      <c r="G577" s="2">
        <v>102</v>
      </c>
      <c r="H577" s="2">
        <f>+F577-G577</f>
        <v>-2.9000000000000057</v>
      </c>
      <c r="I577" s="1">
        <f>+(F577^14)/((F577^14+G577^14))</f>
        <v>0.40039796208658779</v>
      </c>
      <c r="J577" s="2">
        <v>105.9</v>
      </c>
      <c r="K577" s="2">
        <v>108.9</v>
      </c>
      <c r="L577" s="2">
        <f>+J577-K577</f>
        <v>-3</v>
      </c>
      <c r="M577" s="1">
        <f>+E577-I577</f>
        <v>-2.2349181598782908E-2</v>
      </c>
      <c r="N577" s="2">
        <v>105.5</v>
      </c>
      <c r="O577" s="2">
        <v>103.8</v>
      </c>
      <c r="P577" s="2">
        <f t="shared" si="8"/>
        <v>1.7000000000000028</v>
      </c>
      <c r="Q577">
        <v>-0.4</v>
      </c>
    </row>
    <row r="578" spans="1:17">
      <c r="A578" t="s">
        <v>38</v>
      </c>
      <c r="B578" t="s">
        <v>13</v>
      </c>
      <c r="C578">
        <v>37</v>
      </c>
      <c r="D578">
        <v>45</v>
      </c>
      <c r="E578" s="1">
        <f>+C578/(C578+D578)</f>
        <v>0.45121951219512196</v>
      </c>
      <c r="F578" s="2">
        <v>93.3</v>
      </c>
      <c r="G578" s="2">
        <v>94</v>
      </c>
      <c r="H578" s="2">
        <f>+F578-G578</f>
        <v>-0.70000000000000284</v>
      </c>
      <c r="I578" s="1">
        <f>+(F578^14)/((F578^14+G578^14))</f>
        <v>0.47386248712598766</v>
      </c>
      <c r="J578" s="2">
        <v>101.5</v>
      </c>
      <c r="K578" s="2">
        <v>102.6</v>
      </c>
      <c r="L578" s="2">
        <f>+J578-K578</f>
        <v>-1.0999999999999943</v>
      </c>
      <c r="M578" s="1">
        <f>+E578-I578</f>
        <v>-2.26429749308657E-2</v>
      </c>
      <c r="N578" s="2">
        <v>90.8</v>
      </c>
      <c r="O578" s="2">
        <v>102.6</v>
      </c>
      <c r="P578" s="2">
        <f t="shared" si="8"/>
        <v>-11.799999999999997</v>
      </c>
      <c r="Q578">
        <v>-0.3</v>
      </c>
    </row>
    <row r="579" spans="1:17">
      <c r="A579" t="s">
        <v>59</v>
      </c>
      <c r="B579" t="s">
        <v>33</v>
      </c>
      <c r="C579">
        <v>32</v>
      </c>
      <c r="D579">
        <v>50</v>
      </c>
      <c r="E579" s="1">
        <f>+C579/(C579+D579)</f>
        <v>0.3902439024390244</v>
      </c>
      <c r="F579" s="2">
        <v>114</v>
      </c>
      <c r="G579" s="2">
        <v>116.9</v>
      </c>
      <c r="H579" s="2">
        <f>+F579-G579</f>
        <v>-2.9000000000000057</v>
      </c>
      <c r="I579" s="1">
        <f>+(F579^14)/((F579^14+G579^14))</f>
        <v>0.41297365907785938</v>
      </c>
      <c r="J579" s="2">
        <v>110.2</v>
      </c>
      <c r="K579" s="2">
        <v>112.9</v>
      </c>
      <c r="L579" s="2">
        <f>+J579-K579</f>
        <v>-2.7000000000000028</v>
      </c>
      <c r="M579" s="1">
        <f>+E579-I579</f>
        <v>-2.2729756638834975E-2</v>
      </c>
      <c r="N579" s="2">
        <v>108.1</v>
      </c>
      <c r="O579" s="2">
        <v>111.8</v>
      </c>
      <c r="P579" s="2">
        <f t="shared" si="8"/>
        <v>-3.7000000000000028</v>
      </c>
      <c r="Q579">
        <v>1.1000000000000001</v>
      </c>
    </row>
    <row r="580" spans="1:17">
      <c r="A580" t="s">
        <v>52</v>
      </c>
      <c r="B580" t="s">
        <v>12</v>
      </c>
      <c r="C580">
        <v>29</v>
      </c>
      <c r="D580">
        <v>53</v>
      </c>
      <c r="E580" s="1">
        <f>+C580/(C580+D580)</f>
        <v>0.35365853658536583</v>
      </c>
      <c r="F580" s="2">
        <v>101</v>
      </c>
      <c r="G580" s="2">
        <v>104.7</v>
      </c>
      <c r="H580" s="2">
        <f>+F580-G580</f>
        <v>-3.7000000000000028</v>
      </c>
      <c r="I580" s="1">
        <f>+(F580^14)/((F580^14+G580^14))</f>
        <v>0.37667145253299883</v>
      </c>
      <c r="J580" s="2">
        <v>105.2</v>
      </c>
      <c r="K580" s="2">
        <v>109</v>
      </c>
      <c r="L580" s="2">
        <f>+J580-K580</f>
        <v>-3.7999999999999972</v>
      </c>
      <c r="M580" s="1">
        <f>+E580-I580</f>
        <v>-2.3012915947632995E-2</v>
      </c>
      <c r="N580" s="2">
        <v>85.5</v>
      </c>
      <c r="O580" s="2">
        <v>110</v>
      </c>
      <c r="P580" s="2">
        <f t="shared" si="8"/>
        <v>-24.5</v>
      </c>
      <c r="Q580">
        <v>-2.4</v>
      </c>
    </row>
    <row r="581" spans="1:17">
      <c r="A581" t="s">
        <v>47</v>
      </c>
      <c r="B581" t="s">
        <v>23</v>
      </c>
      <c r="C581">
        <v>59</v>
      </c>
      <c r="D581">
        <v>23</v>
      </c>
      <c r="E581" s="1">
        <f>+C581/(C581+D581)</f>
        <v>0.71951219512195119</v>
      </c>
      <c r="F581" s="2">
        <v>102.8</v>
      </c>
      <c r="G581" s="2">
        <v>95.3</v>
      </c>
      <c r="H581" s="2">
        <f>+F581-G581</f>
        <v>7.5</v>
      </c>
      <c r="I581" s="1">
        <f>+(F581^14)/((F581^14+G581^14))</f>
        <v>0.74280090861208392</v>
      </c>
      <c r="J581" s="2">
        <v>110.7</v>
      </c>
      <c r="K581" s="2">
        <v>102.8</v>
      </c>
      <c r="L581" s="2">
        <f>+J581-K581</f>
        <v>7.9000000000000057</v>
      </c>
      <c r="M581" s="1">
        <f>+E581-I581</f>
        <v>-2.3288713490132729E-2</v>
      </c>
      <c r="N581" s="2">
        <v>107.6</v>
      </c>
      <c r="O581" s="2">
        <v>100</v>
      </c>
      <c r="P581" s="2">
        <f t="shared" si="8"/>
        <v>7.5999999999999943</v>
      </c>
      <c r="Q581">
        <v>1.3</v>
      </c>
    </row>
    <row r="582" spans="1:17">
      <c r="A582" t="s">
        <v>54</v>
      </c>
      <c r="B582" t="s">
        <v>27</v>
      </c>
      <c r="C582">
        <v>29</v>
      </c>
      <c r="D582">
        <v>53</v>
      </c>
      <c r="E582" s="1">
        <f>+C582/(C582+D582)</f>
        <v>0.35365853658536583</v>
      </c>
      <c r="F582" s="2">
        <v>101.3</v>
      </c>
      <c r="G582" s="2">
        <v>105</v>
      </c>
      <c r="H582" s="2">
        <f>+F582-G582</f>
        <v>-3.7000000000000028</v>
      </c>
      <c r="I582" s="1">
        <f>+(F582^14)/((F582^14+G582^14))</f>
        <v>0.37701554546274013</v>
      </c>
      <c r="J582" s="2">
        <v>104.5</v>
      </c>
      <c r="K582" s="2">
        <v>108.2</v>
      </c>
      <c r="L582" s="2">
        <f>+J582-K582</f>
        <v>-3.7000000000000028</v>
      </c>
      <c r="M582" s="1">
        <f>+E582-I582</f>
        <v>-2.3357008877374297E-2</v>
      </c>
      <c r="N582" s="2">
        <v>99.6</v>
      </c>
      <c r="O582" s="2">
        <v>108.6</v>
      </c>
      <c r="P582" s="2">
        <f t="shared" si="8"/>
        <v>-9</v>
      </c>
      <c r="Q582">
        <v>-1.2</v>
      </c>
    </row>
    <row r="583" spans="1:17">
      <c r="A583" t="s">
        <v>38</v>
      </c>
      <c r="B583" t="s">
        <v>29</v>
      </c>
      <c r="C583">
        <v>37</v>
      </c>
      <c r="D583">
        <v>45</v>
      </c>
      <c r="E583" s="1">
        <f>+C583/(C583+D583)</f>
        <v>0.45121951219512196</v>
      </c>
      <c r="F583" s="2">
        <v>97.1</v>
      </c>
      <c r="G583" s="2">
        <v>97.8</v>
      </c>
      <c r="H583" s="2">
        <f>+F583-G583</f>
        <v>-0.70000000000000284</v>
      </c>
      <c r="I583" s="1">
        <f>+(F583^14)/((F583^14+G583^14))</f>
        <v>0.4748799608375659</v>
      </c>
      <c r="J583" s="2">
        <v>105.6</v>
      </c>
      <c r="K583" s="2">
        <v>106.4</v>
      </c>
      <c r="L583" s="2">
        <f>+J583-K583</f>
        <v>-0.80000000000001137</v>
      </c>
      <c r="M583" s="1">
        <f>+E583-I583</f>
        <v>-2.3660448642443932E-2</v>
      </c>
      <c r="N583" s="2">
        <v>111.3</v>
      </c>
      <c r="O583" s="2">
        <v>108.4</v>
      </c>
      <c r="P583" s="2">
        <f t="shared" si="8"/>
        <v>2.8999999999999915</v>
      </c>
      <c r="Q583">
        <v>0.3</v>
      </c>
    </row>
    <row r="584" spans="1:17">
      <c r="A584" t="s">
        <v>65</v>
      </c>
      <c r="B584" t="s">
        <v>24</v>
      </c>
      <c r="C584">
        <v>24</v>
      </c>
      <c r="D584">
        <v>58</v>
      </c>
      <c r="E584" s="1">
        <f>+C584/(C584+D584)</f>
        <v>0.29268292682926828</v>
      </c>
      <c r="F584" s="2">
        <v>109.6</v>
      </c>
      <c r="G584" s="2">
        <v>115.8</v>
      </c>
      <c r="H584" s="2">
        <f>+F584-G584</f>
        <v>-6.2000000000000028</v>
      </c>
      <c r="I584" s="1">
        <f>+(F584^14)/((F584^14+G584^14))</f>
        <v>0.31639676572205722</v>
      </c>
      <c r="J584" s="2">
        <v>111</v>
      </c>
      <c r="K584" s="2">
        <v>117.3</v>
      </c>
      <c r="L584" s="2">
        <f>+J584-K584</f>
        <v>-6.2999999999999972</v>
      </c>
      <c r="M584" s="1">
        <f>+E584-I584</f>
        <v>-2.3713838892788941E-2</v>
      </c>
      <c r="N584" s="2">
        <v>104.2</v>
      </c>
      <c r="O584" s="2">
        <v>117</v>
      </c>
      <c r="P584" s="2">
        <f t="shared" si="8"/>
        <v>-12.799999999999997</v>
      </c>
      <c r="Q584">
        <v>-1.9</v>
      </c>
    </row>
    <row r="585" spans="1:17">
      <c r="A585" t="s">
        <v>38</v>
      </c>
      <c r="B585" t="s">
        <v>21</v>
      </c>
      <c r="C585">
        <v>47</v>
      </c>
      <c r="D585">
        <v>35</v>
      </c>
      <c r="E585" s="1">
        <f>+C585/(C585+D585)</f>
        <v>0.57317073170731703</v>
      </c>
      <c r="F585" s="2">
        <v>90.3</v>
      </c>
      <c r="G585" s="2">
        <v>87.8</v>
      </c>
      <c r="H585" s="2">
        <f>+F585-G585</f>
        <v>2.5</v>
      </c>
      <c r="I585" s="1">
        <f>+(F585^14)/((F585^14+G585^14))</f>
        <v>0.59701994134505132</v>
      </c>
      <c r="J585" s="2">
        <v>99</v>
      </c>
      <c r="K585" s="2">
        <v>96.4</v>
      </c>
      <c r="L585" s="2">
        <f>+J585-K585</f>
        <v>2.5999999999999943</v>
      </c>
      <c r="M585" s="1">
        <f>+E585-I585</f>
        <v>-2.3849209637734292E-2</v>
      </c>
      <c r="N585" s="2">
        <v>96</v>
      </c>
      <c r="O585" s="2">
        <v>95.9</v>
      </c>
      <c r="P585" s="2">
        <f t="shared" si="8"/>
        <v>9.9999999999994316E-2</v>
      </c>
      <c r="Q585">
        <v>0.3</v>
      </c>
    </row>
    <row r="586" spans="1:17">
      <c r="A586" t="s">
        <v>4</v>
      </c>
      <c r="B586" t="s">
        <v>27</v>
      </c>
      <c r="C586">
        <v>55</v>
      </c>
      <c r="D586">
        <v>27</v>
      </c>
      <c r="E586" s="1">
        <f>+C586/(C586+D586)</f>
        <v>0.67073170731707321</v>
      </c>
      <c r="F586" s="2">
        <v>101.7</v>
      </c>
      <c r="G586" s="2">
        <v>95.9</v>
      </c>
      <c r="H586" s="2">
        <f>+F586-G586</f>
        <v>5.7999999999999972</v>
      </c>
      <c r="I586" s="1">
        <f>+(F586^14)/((F586^14+G586^14))</f>
        <v>0.69468161097182612</v>
      </c>
      <c r="J586" s="2">
        <v>104.2</v>
      </c>
      <c r="K586" s="2">
        <v>98.5</v>
      </c>
      <c r="L586" s="2">
        <f>+J586-K586</f>
        <v>5.7000000000000028</v>
      </c>
      <c r="M586" s="1">
        <f>+E586-I586</f>
        <v>-2.3949903654752913E-2</v>
      </c>
      <c r="N586" s="2">
        <v>94</v>
      </c>
      <c r="O586" s="2">
        <v>84.6</v>
      </c>
      <c r="P586" s="2">
        <f t="shared" ref="P586:P649" si="9">+N586-O586</f>
        <v>9.4000000000000057</v>
      </c>
      <c r="Q586">
        <v>1.4</v>
      </c>
    </row>
    <row r="587" spans="1:17">
      <c r="A587" t="s">
        <v>41</v>
      </c>
      <c r="B587" t="s">
        <v>14</v>
      </c>
      <c r="C587">
        <v>34</v>
      </c>
      <c r="D587">
        <v>48</v>
      </c>
      <c r="E587" s="1">
        <f>+C587/(C587+D587)</f>
        <v>0.41463414634146339</v>
      </c>
      <c r="F587" s="2">
        <v>90.1</v>
      </c>
      <c r="G587" s="2">
        <v>91.7</v>
      </c>
      <c r="H587" s="2">
        <f>+F587-G587</f>
        <v>-1.6000000000000085</v>
      </c>
      <c r="I587" s="1">
        <f>+(F587^14)/((F587^14+G587^14))</f>
        <v>0.43870214445209316</v>
      </c>
      <c r="J587" s="2">
        <v>100.4</v>
      </c>
      <c r="K587" s="2">
        <v>102.1</v>
      </c>
      <c r="L587" s="2">
        <f>+J587-K587</f>
        <v>-1.6999999999999886</v>
      </c>
      <c r="M587" s="1">
        <f>+E587-I587</f>
        <v>-2.4067998110629762E-2</v>
      </c>
      <c r="N587" s="2">
        <v>97.2</v>
      </c>
      <c r="O587" s="2">
        <v>100.5</v>
      </c>
      <c r="P587" s="2">
        <f t="shared" si="9"/>
        <v>-3.2999999999999972</v>
      </c>
      <c r="Q587">
        <v>0.4</v>
      </c>
    </row>
    <row r="588" spans="1:17">
      <c r="A588" t="s">
        <v>50</v>
      </c>
      <c r="B588" t="s">
        <v>23</v>
      </c>
      <c r="C588">
        <v>20</v>
      </c>
      <c r="D588">
        <v>62</v>
      </c>
      <c r="E588" s="1">
        <f>+C588/(C588+D588)</f>
        <v>0.24390243902439024</v>
      </c>
      <c r="F588" s="2">
        <v>94.1</v>
      </c>
      <c r="G588" s="2">
        <v>101.1</v>
      </c>
      <c r="H588" s="2">
        <f>+F588-G588</f>
        <v>-7</v>
      </c>
      <c r="I588" s="1">
        <f>+(F588^14)/((F588^14+G588^14))</f>
        <v>0.26805187630664556</v>
      </c>
      <c r="J588" s="2">
        <v>100.9</v>
      </c>
      <c r="K588" s="2">
        <v>108.4</v>
      </c>
      <c r="L588" s="2">
        <f>+J588-K588</f>
        <v>-7.5</v>
      </c>
      <c r="M588" s="1">
        <f>+E588-I588</f>
        <v>-2.4149437282255326E-2</v>
      </c>
      <c r="N588" s="2">
        <v>92.7</v>
      </c>
      <c r="O588" s="2">
        <v>110.1</v>
      </c>
      <c r="P588" s="2">
        <f t="shared" si="9"/>
        <v>-17.399999999999991</v>
      </c>
      <c r="Q588">
        <v>-1.4</v>
      </c>
    </row>
    <row r="589" spans="1:17">
      <c r="A589" t="s">
        <v>65</v>
      </c>
      <c r="B589" t="s">
        <v>27</v>
      </c>
      <c r="C589">
        <v>40</v>
      </c>
      <c r="D589">
        <v>42</v>
      </c>
      <c r="E589" s="1">
        <f>+C589/(C589+D589)</f>
        <v>0.48780487804878048</v>
      </c>
      <c r="F589" s="2">
        <v>115.7</v>
      </c>
      <c r="G589" s="2">
        <v>115.3</v>
      </c>
      <c r="H589" s="2">
        <f>+F589-G589</f>
        <v>0.40000000000000568</v>
      </c>
      <c r="I589" s="1">
        <f>+(F589^14)/((F589^14+G589^14))</f>
        <v>0.51211885026131998</v>
      </c>
      <c r="J589" s="2">
        <v>115.9</v>
      </c>
      <c r="K589" s="2">
        <v>115.3</v>
      </c>
      <c r="L589" s="2">
        <f>+J589-K589</f>
        <v>0.60000000000000853</v>
      </c>
      <c r="M589" s="1">
        <f>+E589-I589</f>
        <v>-2.4313972212539503E-2</v>
      </c>
      <c r="N589" s="2">
        <v>114.8</v>
      </c>
      <c r="O589" s="2">
        <v>108.2</v>
      </c>
      <c r="P589" s="2">
        <f t="shared" si="9"/>
        <v>6.5999999999999943</v>
      </c>
      <c r="Q589">
        <v>0.2</v>
      </c>
    </row>
    <row r="590" spans="1:17">
      <c r="A590" t="s">
        <v>45</v>
      </c>
      <c r="B590" t="s">
        <v>26</v>
      </c>
      <c r="C590">
        <v>54</v>
      </c>
      <c r="D590">
        <v>28</v>
      </c>
      <c r="E590" s="1">
        <f>+C590/(C590+D590)</f>
        <v>0.65853658536585369</v>
      </c>
      <c r="F590" s="2">
        <v>99.4</v>
      </c>
      <c r="G590" s="2">
        <v>94.1</v>
      </c>
      <c r="H590" s="2">
        <f>+F590-G590</f>
        <v>5.3000000000000114</v>
      </c>
      <c r="I590" s="1">
        <f>+(F590^14)/((F590^14+G590^14))</f>
        <v>0.68289690002087911</v>
      </c>
      <c r="J590" s="2">
        <v>112.1</v>
      </c>
      <c r="K590" s="2">
        <v>106.1</v>
      </c>
      <c r="L590" s="2">
        <f>+J590-K590</f>
        <v>6</v>
      </c>
      <c r="M590" s="1">
        <f>+E590-I590</f>
        <v>-2.4360314655025417E-2</v>
      </c>
      <c r="N590" s="2">
        <v>104</v>
      </c>
      <c r="O590" s="2">
        <v>97.8</v>
      </c>
      <c r="P590" s="2">
        <f t="shared" si="9"/>
        <v>6.2000000000000028</v>
      </c>
      <c r="Q590">
        <v>2.5</v>
      </c>
    </row>
    <row r="591" spans="1:17">
      <c r="A591" t="s">
        <v>62</v>
      </c>
      <c r="B591" t="s">
        <v>13</v>
      </c>
      <c r="C591">
        <v>53</v>
      </c>
      <c r="D591">
        <v>29</v>
      </c>
      <c r="E591" s="1">
        <f>+C591/(C591+D591)</f>
        <v>0.64634146341463417</v>
      </c>
      <c r="F591" s="2">
        <v>111</v>
      </c>
      <c r="G591" s="2">
        <v>105.5</v>
      </c>
      <c r="H591" s="2">
        <f>+F591-G591</f>
        <v>5.5</v>
      </c>
      <c r="I591" s="1">
        <f>+(F591^14)/((F591^14+G591^14))</f>
        <v>0.67072577928625987</v>
      </c>
      <c r="J591" s="2">
        <v>112.1</v>
      </c>
      <c r="K591" s="2">
        <v>106.6</v>
      </c>
      <c r="L591" s="2">
        <f>+J591-K591</f>
        <v>5.5</v>
      </c>
      <c r="M591" s="1">
        <f>+E591-I591</f>
        <v>-2.4384315871625706E-2</v>
      </c>
      <c r="N591" s="2">
        <v>101.7</v>
      </c>
      <c r="O591" s="2">
        <v>99</v>
      </c>
      <c r="P591" s="2">
        <f t="shared" si="9"/>
        <v>2.7000000000000028</v>
      </c>
      <c r="Q591">
        <v>1.3</v>
      </c>
    </row>
    <row r="592" spans="1:17">
      <c r="A592" t="s">
        <v>45</v>
      </c>
      <c r="B592" t="s">
        <v>15</v>
      </c>
      <c r="C592">
        <v>36</v>
      </c>
      <c r="D592">
        <v>46</v>
      </c>
      <c r="E592" s="1">
        <f>+C592/(C592+D592)</f>
        <v>0.43902439024390244</v>
      </c>
      <c r="F592" s="2">
        <v>105.1</v>
      </c>
      <c r="G592" s="2">
        <v>106.2</v>
      </c>
      <c r="H592" s="2">
        <f>+F592-G592</f>
        <v>-1.1000000000000085</v>
      </c>
      <c r="I592" s="1">
        <f>+(F592^14)/((F592^14+G592^14))</f>
        <v>0.46362297938992397</v>
      </c>
      <c r="J592" s="2">
        <v>107.2</v>
      </c>
      <c r="K592" s="2">
        <v>108.2</v>
      </c>
      <c r="L592" s="2">
        <f>+J592-K592</f>
        <v>-1</v>
      </c>
      <c r="M592" s="1">
        <f>+E592-I592</f>
        <v>-2.4598589146021532E-2</v>
      </c>
      <c r="N592" s="2">
        <v>102.7</v>
      </c>
      <c r="O592" s="2">
        <v>106.5</v>
      </c>
      <c r="P592" s="2">
        <f t="shared" si="9"/>
        <v>-3.7999999999999972</v>
      </c>
      <c r="Q592">
        <v>-0.6</v>
      </c>
    </row>
    <row r="593" spans="1:17">
      <c r="A593" t="s">
        <v>45</v>
      </c>
      <c r="B593" t="s">
        <v>40</v>
      </c>
      <c r="C593">
        <v>35</v>
      </c>
      <c r="D593">
        <v>47</v>
      </c>
      <c r="E593" s="1">
        <f>+C593/(C593+D593)</f>
        <v>0.42682926829268292</v>
      </c>
      <c r="F593" s="2">
        <v>93.6</v>
      </c>
      <c r="G593" s="2">
        <v>94.9</v>
      </c>
      <c r="H593" s="2">
        <f>+F593-G593</f>
        <v>-1.3000000000000114</v>
      </c>
      <c r="I593" s="1">
        <f>+(F593^14)/((F593^14+G593^14))</f>
        <v>0.4518728353322306</v>
      </c>
      <c r="J593" s="2">
        <v>103.7</v>
      </c>
      <c r="K593" s="2">
        <v>105</v>
      </c>
      <c r="L593" s="2">
        <f>+J593-K593</f>
        <v>-1.2999999999999972</v>
      </c>
      <c r="M593" s="1">
        <f>+E593-I593</f>
        <v>-2.5043567039547687E-2</v>
      </c>
      <c r="N593" s="2">
        <v>97.8</v>
      </c>
      <c r="O593" s="2">
        <v>96.9</v>
      </c>
      <c r="P593" s="2">
        <f t="shared" si="9"/>
        <v>0.89999999999999147</v>
      </c>
      <c r="Q593">
        <v>-0.3</v>
      </c>
    </row>
    <row r="594" spans="1:17">
      <c r="A594" t="s">
        <v>58</v>
      </c>
      <c r="B594" t="s">
        <v>17</v>
      </c>
      <c r="C594">
        <v>35</v>
      </c>
      <c r="D594">
        <v>47</v>
      </c>
      <c r="E594" s="1">
        <f>+C594/(C594+D594)</f>
        <v>0.42682926829268292</v>
      </c>
      <c r="F594" s="2">
        <v>108.1</v>
      </c>
      <c r="G594" s="2">
        <v>109.6</v>
      </c>
      <c r="H594" s="2">
        <f>+F594-G594</f>
        <v>-1.5</v>
      </c>
      <c r="I594" s="1">
        <f>+(F594^14)/((F594^14+G594^14))</f>
        <v>0.45191677770464023</v>
      </c>
      <c r="J594" s="2">
        <v>106</v>
      </c>
      <c r="K594" s="2">
        <v>107.3</v>
      </c>
      <c r="L594" s="2">
        <f>+J594-K594</f>
        <v>-1.2999999999999972</v>
      </c>
      <c r="M594" s="1">
        <f>+E594-I594</f>
        <v>-2.5087509411957309E-2</v>
      </c>
      <c r="N594" s="2">
        <v>99.7</v>
      </c>
      <c r="O594" s="2">
        <v>105.8</v>
      </c>
      <c r="P594" s="2">
        <f t="shared" si="9"/>
        <v>-6.0999999999999943</v>
      </c>
      <c r="Q594">
        <v>-0.4</v>
      </c>
    </row>
    <row r="595" spans="1:17">
      <c r="A595" t="s">
        <v>66</v>
      </c>
      <c r="B595" t="s">
        <v>15</v>
      </c>
      <c r="C595">
        <v>15</v>
      </c>
      <c r="D595">
        <v>48</v>
      </c>
      <c r="E595" s="1">
        <f>+C595/(C595+D595)</f>
        <v>0.23809523809523808</v>
      </c>
      <c r="F595" s="2">
        <v>111.4</v>
      </c>
      <c r="G595" s="2">
        <v>119.9</v>
      </c>
      <c r="H595" s="2">
        <f>+F595-G595</f>
        <v>-8.5</v>
      </c>
      <c r="I595" s="1">
        <f>+(F595^14)/((F595^14+G595^14))</f>
        <v>0.26319457048820816</v>
      </c>
      <c r="J595" s="2">
        <v>108.7</v>
      </c>
      <c r="K595" s="2">
        <v>117</v>
      </c>
      <c r="L595" s="2">
        <f>+J595-K595</f>
        <v>-8.2999999999999972</v>
      </c>
      <c r="M595" s="1">
        <f>+E595-I595</f>
        <v>-2.5099332392970075E-2</v>
      </c>
      <c r="N595" s="2">
        <v>97.6</v>
      </c>
      <c r="O595" s="2">
        <v>107</v>
      </c>
      <c r="P595" s="2">
        <f t="shared" si="9"/>
        <v>-9.4000000000000057</v>
      </c>
      <c r="Q595" s="2">
        <v>-1</v>
      </c>
    </row>
    <row r="596" spans="1:17">
      <c r="A596" t="s">
        <v>45</v>
      </c>
      <c r="B596" t="s">
        <v>22</v>
      </c>
      <c r="C596">
        <v>32</v>
      </c>
      <c r="D596">
        <v>50</v>
      </c>
      <c r="E596" s="1">
        <f>+C596/(C596+D596)</f>
        <v>0.3902439024390244</v>
      </c>
      <c r="F596" s="2">
        <v>105.2</v>
      </c>
      <c r="G596" s="2">
        <v>107.8</v>
      </c>
      <c r="H596" s="2">
        <f>+F596-G596</f>
        <v>-2.5999999999999943</v>
      </c>
      <c r="I596" s="1">
        <f>+(F596^14)/((F596^14+G596^14))</f>
        <v>0.41537205557839157</v>
      </c>
      <c r="J596" s="2">
        <v>107</v>
      </c>
      <c r="K596" s="2">
        <v>109.4</v>
      </c>
      <c r="L596" s="2">
        <f>+J596-K596</f>
        <v>-2.4000000000000057</v>
      </c>
      <c r="M596" s="1">
        <f>+E596-I596</f>
        <v>-2.5128153139367171E-2</v>
      </c>
      <c r="N596" s="2">
        <v>104.4</v>
      </c>
      <c r="O596" s="2">
        <v>116.8</v>
      </c>
      <c r="P596" s="2">
        <f t="shared" si="9"/>
        <v>-12.399999999999991</v>
      </c>
      <c r="Q596">
        <v>-1.3</v>
      </c>
    </row>
    <row r="597" spans="1:17">
      <c r="A597" t="s">
        <v>36</v>
      </c>
      <c r="B597" t="s">
        <v>16</v>
      </c>
      <c r="C597">
        <v>27</v>
      </c>
      <c r="D597">
        <v>55</v>
      </c>
      <c r="E597" s="1">
        <f>+C597/(C597+D597)</f>
        <v>0.32926829268292684</v>
      </c>
      <c r="F597" s="2">
        <v>93.8</v>
      </c>
      <c r="G597" s="2">
        <v>97.9</v>
      </c>
      <c r="H597" s="2">
        <f>+F597-G597</f>
        <v>-4.1000000000000085</v>
      </c>
      <c r="I597" s="1">
        <f>+(F597^14)/((F597^14+G597^14))</f>
        <v>0.3545853935949021</v>
      </c>
      <c r="J597" s="2">
        <v>101.1</v>
      </c>
      <c r="K597" s="2">
        <v>105.1</v>
      </c>
      <c r="L597" s="2">
        <f>+J597-K597</f>
        <v>-4</v>
      </c>
      <c r="M597" s="1">
        <f>+E597-I597</f>
        <v>-2.5317100911975254E-2</v>
      </c>
      <c r="N597" s="2">
        <v>94</v>
      </c>
      <c r="O597" s="2">
        <v>116.5</v>
      </c>
      <c r="P597" s="2">
        <f t="shared" si="9"/>
        <v>-22.5</v>
      </c>
      <c r="Q597">
        <v>-0.5</v>
      </c>
    </row>
    <row r="598" spans="1:17">
      <c r="A598" t="s">
        <v>54</v>
      </c>
      <c r="B598" t="s">
        <v>46</v>
      </c>
      <c r="C598">
        <v>45</v>
      </c>
      <c r="D598">
        <v>37</v>
      </c>
      <c r="E598" s="1">
        <f>+C598/(C598+D598)</f>
        <v>0.54878048780487809</v>
      </c>
      <c r="F598" s="2">
        <v>104</v>
      </c>
      <c r="G598" s="2">
        <v>101.8</v>
      </c>
      <c r="H598" s="2">
        <f>+F598-G598</f>
        <v>2.2000000000000028</v>
      </c>
      <c r="I598" s="1">
        <f>+(F598^14)/((F598^14+G598^14))</f>
        <v>0.57427899793021731</v>
      </c>
      <c r="J598" s="2">
        <v>106.7</v>
      </c>
      <c r="K598" s="2">
        <v>104.6</v>
      </c>
      <c r="L598" s="2">
        <f>+J598-K598</f>
        <v>2.1000000000000085</v>
      </c>
      <c r="M598" s="1">
        <f>+E598-I598</f>
        <v>-2.5498510125339213E-2</v>
      </c>
      <c r="N598" s="2">
        <v>92.7</v>
      </c>
      <c r="O598" s="2">
        <v>94</v>
      </c>
      <c r="P598" s="2">
        <f t="shared" si="9"/>
        <v>-1.2999999999999972</v>
      </c>
      <c r="Q598">
        <v>-0.5</v>
      </c>
    </row>
    <row r="599" spans="1:17">
      <c r="A599" t="s">
        <v>66</v>
      </c>
      <c r="B599" t="s">
        <v>13</v>
      </c>
      <c r="C599">
        <v>32</v>
      </c>
      <c r="D599">
        <v>31</v>
      </c>
      <c r="E599" s="1">
        <f>+C599/(C599+D599)</f>
        <v>0.50793650793650791</v>
      </c>
      <c r="F599" s="2">
        <v>115</v>
      </c>
      <c r="G599" s="2">
        <v>113.9</v>
      </c>
      <c r="H599" s="2">
        <f>+F599-G599</f>
        <v>1.0999999999999943</v>
      </c>
      <c r="I599" s="1">
        <f>+(F599^14)/((F599^14+G599^14))</f>
        <v>0.53358873886110747</v>
      </c>
      <c r="J599" s="2">
        <v>114.1</v>
      </c>
      <c r="K599" s="2">
        <v>112.9</v>
      </c>
      <c r="L599" s="2">
        <f>+J599-K599</f>
        <v>1.1999999999999886</v>
      </c>
      <c r="M599" s="1">
        <f>+E599-I599</f>
        <v>-2.5652230924599562E-2</v>
      </c>
      <c r="N599" s="2">
        <v>118.2</v>
      </c>
      <c r="O599" s="2">
        <v>123.4</v>
      </c>
      <c r="P599" s="2">
        <f t="shared" si="9"/>
        <v>-5.2000000000000028</v>
      </c>
      <c r="Q599" s="2">
        <v>1</v>
      </c>
    </row>
    <row r="600" spans="1:17">
      <c r="A600" t="s">
        <v>60</v>
      </c>
      <c r="B600" t="s">
        <v>6</v>
      </c>
      <c r="C600">
        <v>48</v>
      </c>
      <c r="D600">
        <v>24</v>
      </c>
      <c r="E600" s="1">
        <f>+C600/(C600+D600)</f>
        <v>0.66666666666666663</v>
      </c>
      <c r="F600" s="2">
        <v>113.7</v>
      </c>
      <c r="G600" s="2">
        <v>107.3</v>
      </c>
      <c r="H600" s="2">
        <f>+F600-G600</f>
        <v>6.4000000000000057</v>
      </c>
      <c r="I600" s="1">
        <f>+(F600^14)/((F600^14+G600^14))</f>
        <v>0.69234098586672488</v>
      </c>
      <c r="J600" s="2">
        <v>112.8</v>
      </c>
      <c r="K600" s="2">
        <v>106.5</v>
      </c>
      <c r="L600" s="2">
        <f>+J600-K600</f>
        <v>6.2999999999999972</v>
      </c>
      <c r="M600" s="1">
        <f>+E600-I600</f>
        <v>-2.5674319200058249E-2</v>
      </c>
      <c r="N600" s="2">
        <v>114.7</v>
      </c>
      <c r="O600" s="2">
        <v>111.2</v>
      </c>
      <c r="P600" s="2">
        <f t="shared" si="9"/>
        <v>3.5</v>
      </c>
      <c r="Q600">
        <v>0.6</v>
      </c>
    </row>
    <row r="601" spans="1:17">
      <c r="A601" t="s">
        <v>58</v>
      </c>
      <c r="B601" t="s">
        <v>28</v>
      </c>
      <c r="C601">
        <v>47</v>
      </c>
      <c r="D601">
        <v>35</v>
      </c>
      <c r="E601" s="1">
        <f>+C601/(C601+D601)</f>
        <v>0.57317073170731703</v>
      </c>
      <c r="F601" s="2">
        <v>102.7</v>
      </c>
      <c r="G601" s="2">
        <v>99.8</v>
      </c>
      <c r="H601" s="2">
        <f>+F601-G601</f>
        <v>2.9000000000000057</v>
      </c>
      <c r="I601" s="1">
        <f>+(F601^14)/((F601^14+G601^14))</f>
        <v>0.59893151729191718</v>
      </c>
      <c r="J601" s="2">
        <v>107.1</v>
      </c>
      <c r="K601" s="2">
        <v>104.1</v>
      </c>
      <c r="L601" s="2">
        <f>+J601-K601</f>
        <v>3</v>
      </c>
      <c r="M601" s="1">
        <f>+E601-I601</f>
        <v>-2.5760785584600154E-2</v>
      </c>
      <c r="N601" s="2">
        <v>106.8</v>
      </c>
      <c r="O601" s="2">
        <v>104.6</v>
      </c>
      <c r="P601" s="2">
        <f t="shared" si="9"/>
        <v>2.2000000000000028</v>
      </c>
      <c r="Q601">
        <v>1.3</v>
      </c>
    </row>
    <row r="602" spans="1:17">
      <c r="A602" t="s">
        <v>54</v>
      </c>
      <c r="B602" t="s">
        <v>17</v>
      </c>
      <c r="C602">
        <v>21</v>
      </c>
      <c r="D602">
        <v>61</v>
      </c>
      <c r="E602" s="1">
        <f>+C602/(C602+D602)</f>
        <v>0.25609756097560976</v>
      </c>
      <c r="F602" s="2">
        <v>98.5</v>
      </c>
      <c r="G602" s="2">
        <v>105.3</v>
      </c>
      <c r="H602" s="2">
        <f>+F602-G602</f>
        <v>-6.7999999999999972</v>
      </c>
      <c r="I602" s="1">
        <f>+(F602^14)/((F602^14+G602^14))</f>
        <v>0.28199317754915287</v>
      </c>
      <c r="J602" s="2">
        <v>102.3</v>
      </c>
      <c r="K602" s="2">
        <v>109.4</v>
      </c>
      <c r="L602" s="2">
        <f>+J602-K602</f>
        <v>-7.1000000000000085</v>
      </c>
      <c r="M602" s="1">
        <f>+E602-I602</f>
        <v>-2.5895616573543112E-2</v>
      </c>
      <c r="N602" s="2">
        <v>95.5</v>
      </c>
      <c r="O602" s="2">
        <v>109.8</v>
      </c>
      <c r="P602" s="2">
        <f t="shared" si="9"/>
        <v>-14.299999999999997</v>
      </c>
      <c r="Q602">
        <v>-0.5</v>
      </c>
    </row>
    <row r="603" spans="1:17">
      <c r="A603" t="s">
        <v>41</v>
      </c>
      <c r="B603" t="s">
        <v>20</v>
      </c>
      <c r="C603">
        <v>33</v>
      </c>
      <c r="D603">
        <v>49</v>
      </c>
      <c r="E603" s="1">
        <f>+C603/(C603+D603)</f>
        <v>0.40243902439024393</v>
      </c>
      <c r="F603" s="2">
        <v>91.7</v>
      </c>
      <c r="G603" s="2">
        <v>93.6</v>
      </c>
      <c r="H603" s="2">
        <f>+F603-G603</f>
        <v>-1.8999999999999915</v>
      </c>
      <c r="I603" s="1">
        <f>+(F603^14)/((F603^14+G603^14))</f>
        <v>0.42871102935912059</v>
      </c>
      <c r="J603" s="2">
        <v>101.5</v>
      </c>
      <c r="K603" s="2">
        <v>103.5</v>
      </c>
      <c r="L603" s="2">
        <f>+J603-K603</f>
        <v>-2</v>
      </c>
      <c r="M603" s="1">
        <f>+E603-I603</f>
        <v>-2.6272004968876661E-2</v>
      </c>
      <c r="N603" s="2">
        <v>95.6</v>
      </c>
      <c r="O603" s="2">
        <v>110.1</v>
      </c>
      <c r="P603" s="2">
        <f t="shared" si="9"/>
        <v>-14.5</v>
      </c>
      <c r="Q603">
        <v>-1</v>
      </c>
    </row>
    <row r="604" spans="1:17">
      <c r="A604" t="s">
        <v>44</v>
      </c>
      <c r="B604" t="s">
        <v>24</v>
      </c>
      <c r="C604">
        <v>40</v>
      </c>
      <c r="D604">
        <v>42</v>
      </c>
      <c r="E604" s="1">
        <f>+C604/(C604+D604)</f>
        <v>0.48780487804878048</v>
      </c>
      <c r="F604" s="2">
        <v>96.6</v>
      </c>
      <c r="G604" s="2">
        <v>96.2</v>
      </c>
      <c r="H604" s="2">
        <f>+F604-G604</f>
        <v>0.39999999999999147</v>
      </c>
      <c r="I604" s="1">
        <f>+(F604^14)/((F604^14+G604^14))</f>
        <v>0.51451875971750194</v>
      </c>
      <c r="J604" s="2">
        <v>105.1</v>
      </c>
      <c r="K604" s="2">
        <v>104.7</v>
      </c>
      <c r="L604" s="2">
        <f>+J604-K604</f>
        <v>0.39999999999999147</v>
      </c>
      <c r="M604" s="1">
        <f>+E604-I604</f>
        <v>-2.6713881668721462E-2</v>
      </c>
      <c r="N604" s="2">
        <v>102.2</v>
      </c>
      <c r="O604" s="2">
        <v>91.7</v>
      </c>
      <c r="P604" s="2">
        <f t="shared" si="9"/>
        <v>10.5</v>
      </c>
      <c r="Q604">
        <v>1.4</v>
      </c>
    </row>
    <row r="605" spans="1:17">
      <c r="A605" t="s">
        <v>54</v>
      </c>
      <c r="B605" t="s">
        <v>16</v>
      </c>
      <c r="C605">
        <v>56</v>
      </c>
      <c r="D605">
        <v>26</v>
      </c>
      <c r="E605" s="1">
        <f>+C605/(C605+D605)</f>
        <v>0.68292682926829273</v>
      </c>
      <c r="F605" s="2">
        <v>106.7</v>
      </c>
      <c r="G605" s="2">
        <v>100.1</v>
      </c>
      <c r="H605" s="2">
        <f>+F605-G605</f>
        <v>6.6000000000000085</v>
      </c>
      <c r="I605" s="1">
        <f>+(F605^14)/((F605^14+G605^14))</f>
        <v>0.70969858528213514</v>
      </c>
      <c r="J605" s="2">
        <v>111.6</v>
      </c>
      <c r="K605" s="2">
        <v>104.7</v>
      </c>
      <c r="L605" s="2">
        <f>+J605-K605</f>
        <v>6.8999999999999915</v>
      </c>
      <c r="M605" s="1">
        <f>+E605-I605</f>
        <v>-2.6771756013842407E-2</v>
      </c>
      <c r="N605" s="2">
        <v>97.9</v>
      </c>
      <c r="O605" s="2">
        <v>91</v>
      </c>
      <c r="P605" s="2">
        <f t="shared" si="9"/>
        <v>6.9000000000000057</v>
      </c>
      <c r="Q605">
        <v>1.1000000000000001</v>
      </c>
    </row>
    <row r="606" spans="1:17">
      <c r="A606" t="s">
        <v>39</v>
      </c>
      <c r="B606" t="s">
        <v>26</v>
      </c>
      <c r="C606">
        <v>27</v>
      </c>
      <c r="D606">
        <v>55</v>
      </c>
      <c r="E606" s="1">
        <f>+C606/(C606+D606)</f>
        <v>0.32926829268292684</v>
      </c>
      <c r="F606" s="2">
        <v>92.9</v>
      </c>
      <c r="G606" s="2">
        <v>96.9</v>
      </c>
      <c r="H606" s="2">
        <f>+F606-G606</f>
        <v>-4</v>
      </c>
      <c r="I606" s="1">
        <f>+(F606^14)/((F606^14+G606^14))</f>
        <v>0.35659304496257005</v>
      </c>
      <c r="J606" s="2">
        <v>101.9</v>
      </c>
      <c r="K606" s="2">
        <v>106.1</v>
      </c>
      <c r="L606" s="2">
        <f>+J606-K606</f>
        <v>-4.1999999999999886</v>
      </c>
      <c r="M606" s="1">
        <f>+E606-I606</f>
        <v>-2.7324752279643205E-2</v>
      </c>
      <c r="N606" s="2">
        <v>93.4</v>
      </c>
      <c r="O606" s="2">
        <v>107.3</v>
      </c>
      <c r="P606" s="2">
        <f t="shared" si="9"/>
        <v>-13.899999999999991</v>
      </c>
      <c r="Q606">
        <v>-0.3</v>
      </c>
    </row>
    <row r="607" spans="1:17">
      <c r="A607" t="s">
        <v>39</v>
      </c>
      <c r="B607" t="s">
        <v>14</v>
      </c>
      <c r="C607">
        <v>51</v>
      </c>
      <c r="D607">
        <v>31</v>
      </c>
      <c r="E607" s="1">
        <f>+C607/(C607+D607)</f>
        <v>0.62195121951219512</v>
      </c>
      <c r="F607" s="2">
        <v>95.1</v>
      </c>
      <c r="G607" s="2">
        <v>91</v>
      </c>
      <c r="H607" s="2">
        <f>+F607-G607</f>
        <v>4.0999999999999943</v>
      </c>
      <c r="I607" s="1">
        <f>+(F607^14)/((F607^14+G607^14))</f>
        <v>0.64952967421468588</v>
      </c>
      <c r="J607" s="2">
        <v>104.4</v>
      </c>
      <c r="K607" s="2">
        <v>100.1</v>
      </c>
      <c r="L607" s="2">
        <f>+J607-K607</f>
        <v>4.3000000000000114</v>
      </c>
      <c r="M607" s="1">
        <f>+E607-I607</f>
        <v>-2.7578454702490762E-2</v>
      </c>
      <c r="N607" s="2">
        <v>95.7</v>
      </c>
      <c r="O607" s="2">
        <v>104.7</v>
      </c>
      <c r="P607" s="2">
        <f t="shared" si="9"/>
        <v>-9</v>
      </c>
      <c r="Q607">
        <v>0.4</v>
      </c>
    </row>
    <row r="608" spans="1:17">
      <c r="A608" t="s">
        <v>59</v>
      </c>
      <c r="B608" t="s">
        <v>22</v>
      </c>
      <c r="C608">
        <v>17</v>
      </c>
      <c r="D608">
        <v>65</v>
      </c>
      <c r="E608" s="1">
        <f>+C608/(C608+D608)</f>
        <v>0.2073170731707317</v>
      </c>
      <c r="F608" s="2">
        <v>104.6</v>
      </c>
      <c r="G608" s="2">
        <v>113.8</v>
      </c>
      <c r="H608" s="2">
        <f>+F608-G608</f>
        <v>-9.2000000000000028</v>
      </c>
      <c r="I608" s="1">
        <f>+(F608^14)/((F608^14+G608^14))</f>
        <v>0.23501882994446718</v>
      </c>
      <c r="J608" s="2">
        <v>104</v>
      </c>
      <c r="K608" s="2">
        <v>112.9</v>
      </c>
      <c r="L608" s="2">
        <f>+J608-K608</f>
        <v>-8.9000000000000057</v>
      </c>
      <c r="M608" s="1">
        <f>+E608-I608</f>
        <v>-2.7701756773735486E-2</v>
      </c>
      <c r="N608" s="2">
        <v>103</v>
      </c>
      <c r="O608" s="2">
        <v>110.8</v>
      </c>
      <c r="P608" s="2">
        <f t="shared" si="9"/>
        <v>-7.7999999999999972</v>
      </c>
      <c r="Q608">
        <v>-1.1000000000000001</v>
      </c>
    </row>
    <row r="609" spans="1:17">
      <c r="A609" t="s">
        <v>55</v>
      </c>
      <c r="B609" t="s">
        <v>20</v>
      </c>
      <c r="C609">
        <v>29</v>
      </c>
      <c r="D609">
        <v>53</v>
      </c>
      <c r="E609" s="1">
        <f>+C609/(C609+D609)</f>
        <v>0.35365853658536583</v>
      </c>
      <c r="F609" s="2">
        <v>102.4</v>
      </c>
      <c r="G609" s="2">
        <v>106</v>
      </c>
      <c r="H609" s="2">
        <f>+F609-G609</f>
        <v>-3.5999999999999943</v>
      </c>
      <c r="I609" s="1">
        <f>+(F609^14)/((F609^14+G609^14))</f>
        <v>0.38137093948309719</v>
      </c>
      <c r="J609" s="2">
        <v>105.4</v>
      </c>
      <c r="K609" s="2">
        <v>109</v>
      </c>
      <c r="L609" s="2">
        <f>+J609-K609</f>
        <v>-3.5999999999999943</v>
      </c>
      <c r="M609" s="1">
        <f>+E609-I609</f>
        <v>-2.7712402897731359E-2</v>
      </c>
      <c r="N609" s="2">
        <v>98.6</v>
      </c>
      <c r="O609" s="2">
        <v>102.2</v>
      </c>
      <c r="P609" s="2">
        <f t="shared" si="9"/>
        <v>-3.6000000000000085</v>
      </c>
      <c r="Q609">
        <v>0.1</v>
      </c>
    </row>
    <row r="610" spans="1:17">
      <c r="A610" t="s">
        <v>61</v>
      </c>
      <c r="B610" t="s">
        <v>15</v>
      </c>
      <c r="C610">
        <v>34</v>
      </c>
      <c r="D610">
        <v>38</v>
      </c>
      <c r="E610" s="1">
        <f>+C610/(C610+D610)</f>
        <v>0.47222222222222221</v>
      </c>
      <c r="F610" s="2">
        <v>115.3</v>
      </c>
      <c r="G610" s="2">
        <v>115.3</v>
      </c>
      <c r="H610" s="2">
        <f>+F610-G610</f>
        <v>0</v>
      </c>
      <c r="I610" s="1">
        <f>+(F610^14)/((F610^14+G610^14))</f>
        <v>0.5</v>
      </c>
      <c r="J610" s="2">
        <v>111.9</v>
      </c>
      <c r="K610" s="2">
        <v>111.9</v>
      </c>
      <c r="L610" s="2">
        <f>+J610-K610</f>
        <v>0</v>
      </c>
      <c r="M610" s="1">
        <f>+E610-I610</f>
        <v>-2.777777777777779E-2</v>
      </c>
      <c r="N610" s="2">
        <v>101.1</v>
      </c>
      <c r="O610" s="2">
        <v>102.9</v>
      </c>
      <c r="P610" s="2">
        <f t="shared" si="9"/>
        <v>-1.8000000000000114</v>
      </c>
      <c r="Q610">
        <v>-0.2</v>
      </c>
    </row>
    <row r="611" spans="1:17">
      <c r="A611" t="s">
        <v>57</v>
      </c>
      <c r="B611" t="s">
        <v>11</v>
      </c>
      <c r="C611">
        <v>40</v>
      </c>
      <c r="D611">
        <v>42</v>
      </c>
      <c r="E611" s="1">
        <f>+C611/(C611+D611)</f>
        <v>0.48780487804878048</v>
      </c>
      <c r="F611" s="2">
        <v>111.7</v>
      </c>
      <c r="G611" s="2">
        <v>111.2</v>
      </c>
      <c r="H611" s="2">
        <f>+F611-G611</f>
        <v>0.5</v>
      </c>
      <c r="I611" s="1">
        <f>+(F611^14)/((F611^14+G611^14))</f>
        <v>0.51569697497834144</v>
      </c>
      <c r="J611" s="2">
        <v>112.2</v>
      </c>
      <c r="K611" s="2">
        <v>111.7</v>
      </c>
      <c r="L611" s="2">
        <f>+J611-K611</f>
        <v>0.5</v>
      </c>
      <c r="M611" s="1">
        <f>+E611-I611</f>
        <v>-2.7892096929560961E-2</v>
      </c>
      <c r="N611" s="2">
        <v>97.2</v>
      </c>
      <c r="O611" s="2">
        <v>105.3</v>
      </c>
      <c r="P611" s="2">
        <f t="shared" si="9"/>
        <v>-8.0999999999999943</v>
      </c>
      <c r="Q611">
        <v>-1</v>
      </c>
    </row>
    <row r="612" spans="1:17">
      <c r="A612" t="s">
        <v>58</v>
      </c>
      <c r="B612" t="s">
        <v>46</v>
      </c>
      <c r="C612">
        <v>48</v>
      </c>
      <c r="D612">
        <v>34</v>
      </c>
      <c r="E612" s="1">
        <f>+C612/(C612+D612)</f>
        <v>0.58536585365853655</v>
      </c>
      <c r="F612" s="2">
        <v>107.9</v>
      </c>
      <c r="G612" s="2">
        <v>104.4</v>
      </c>
      <c r="H612" s="2">
        <f>+F612-G612</f>
        <v>3.5</v>
      </c>
      <c r="I612" s="1">
        <f>+(F612^14)/((F612^14+G612^14))</f>
        <v>0.61340618235435873</v>
      </c>
      <c r="J612" s="2">
        <v>110.1</v>
      </c>
      <c r="K612" s="2">
        <v>106.4</v>
      </c>
      <c r="L612" s="2">
        <f>+J612-K612</f>
        <v>3.6999999999999886</v>
      </c>
      <c r="M612" s="1">
        <f>+E612-I612</f>
        <v>-2.8040328695822181E-2</v>
      </c>
      <c r="N612" s="2">
        <v>104.5</v>
      </c>
      <c r="O612" s="2">
        <v>107.2</v>
      </c>
      <c r="P612" s="2">
        <f t="shared" si="9"/>
        <v>-2.7000000000000028</v>
      </c>
      <c r="Q612">
        <v>1.5</v>
      </c>
    </row>
    <row r="613" spans="1:17">
      <c r="A613" t="s">
        <v>66</v>
      </c>
      <c r="B613" t="s">
        <v>14</v>
      </c>
      <c r="C613">
        <v>39</v>
      </c>
      <c r="D613">
        <v>23</v>
      </c>
      <c r="E613" s="1">
        <f>+C613/(C613+D613)</f>
        <v>0.62903225806451613</v>
      </c>
      <c r="F613" s="2">
        <v>114.5</v>
      </c>
      <c r="G613" s="2">
        <v>109.3</v>
      </c>
      <c r="H613" s="2">
        <f>+F613-G613</f>
        <v>5.2000000000000028</v>
      </c>
      <c r="I613" s="1">
        <f>+(F613^14)/((F613^14+G613^14))</f>
        <v>0.65716773573957665</v>
      </c>
      <c r="J613" s="2">
        <v>116.8</v>
      </c>
      <c r="K613" s="2">
        <v>111.6</v>
      </c>
      <c r="L613" s="2">
        <f>+J613-K613</f>
        <v>5.2000000000000028</v>
      </c>
      <c r="M613" s="1">
        <f>+E613-I613</f>
        <v>-2.8135477675060527E-2</v>
      </c>
      <c r="N613" s="2">
        <v>114.4</v>
      </c>
      <c r="O613" s="2">
        <v>117.7</v>
      </c>
      <c r="P613" s="2">
        <f t="shared" si="9"/>
        <v>-3.2999999999999972</v>
      </c>
      <c r="Q613" s="2">
        <v>-0.3</v>
      </c>
    </row>
    <row r="614" spans="1:17">
      <c r="A614" t="s">
        <v>48</v>
      </c>
      <c r="B614" t="s">
        <v>30</v>
      </c>
      <c r="C614">
        <v>22</v>
      </c>
      <c r="D614">
        <v>60</v>
      </c>
      <c r="E614" s="1">
        <f>+C614/(C614+D614)</f>
        <v>0.26829268292682928</v>
      </c>
      <c r="F614" s="2">
        <v>99.1</v>
      </c>
      <c r="G614" s="2">
        <v>105.4</v>
      </c>
      <c r="H614" s="2">
        <f>+F614-G614</f>
        <v>-6.3000000000000114</v>
      </c>
      <c r="I614" s="1">
        <f>+(F614^14)/((F614^14+G614^14))</f>
        <v>0.29674116981682536</v>
      </c>
      <c r="J614" s="2">
        <v>105.2</v>
      </c>
      <c r="K614" s="2">
        <v>111.7</v>
      </c>
      <c r="L614" s="2">
        <f>+J614-K614</f>
        <v>-6.5</v>
      </c>
      <c r="M614" s="1">
        <f>+E614-I614</f>
        <v>-2.8448486889996072E-2</v>
      </c>
      <c r="N614" s="2">
        <v>93.3</v>
      </c>
      <c r="O614" s="2">
        <v>113.2</v>
      </c>
      <c r="P614" s="2">
        <f t="shared" si="9"/>
        <v>-19.900000000000006</v>
      </c>
      <c r="Q614">
        <v>-1.7</v>
      </c>
    </row>
    <row r="615" spans="1:17">
      <c r="A615" t="s">
        <v>52</v>
      </c>
      <c r="B615" t="s">
        <v>30</v>
      </c>
      <c r="C615">
        <v>48</v>
      </c>
      <c r="D615">
        <v>34</v>
      </c>
      <c r="E615" s="1">
        <f>+C615/(C615+D615)</f>
        <v>0.58536585365853655</v>
      </c>
      <c r="F615" s="2">
        <v>101.3</v>
      </c>
      <c r="G615" s="2">
        <v>98</v>
      </c>
      <c r="H615" s="2">
        <f>+F615-G615</f>
        <v>3.2999999999999972</v>
      </c>
      <c r="I615" s="1">
        <f>+(F615^14)/((F615^14+G615^14))</f>
        <v>0.6138832683846418</v>
      </c>
      <c r="J615" s="2">
        <v>107.9</v>
      </c>
      <c r="K615" s="2">
        <v>104.6</v>
      </c>
      <c r="L615" s="2">
        <f>+J615-K615</f>
        <v>3.3000000000000114</v>
      </c>
      <c r="M615" s="1">
        <f>+E615-I615</f>
        <v>-2.851741472610525E-2</v>
      </c>
      <c r="N615" s="2">
        <v>102.9</v>
      </c>
      <c r="O615" s="2">
        <v>95</v>
      </c>
      <c r="P615" s="2">
        <f t="shared" si="9"/>
        <v>7.9000000000000057</v>
      </c>
      <c r="Q615">
        <v>2.4</v>
      </c>
    </row>
    <row r="616" spans="1:17">
      <c r="A616" t="s">
        <v>47</v>
      </c>
      <c r="B616" t="s">
        <v>31</v>
      </c>
      <c r="C616">
        <v>53</v>
      </c>
      <c r="D616">
        <v>29</v>
      </c>
      <c r="E616" s="1">
        <f>+C616/(C616+D616)</f>
        <v>0.64634146341463417</v>
      </c>
      <c r="F616" s="2">
        <v>104.2</v>
      </c>
      <c r="G616" s="2">
        <v>98.9</v>
      </c>
      <c r="H616" s="2">
        <f>+F616-G616</f>
        <v>5.2999999999999972</v>
      </c>
      <c r="I616" s="1">
        <f>+(F616^14)/((F616^14+G616^14))</f>
        <v>0.67498968076198662</v>
      </c>
      <c r="J616" s="2">
        <v>109.7</v>
      </c>
      <c r="K616" s="2">
        <v>104</v>
      </c>
      <c r="L616" s="2">
        <f>+J616-K616</f>
        <v>5.7000000000000028</v>
      </c>
      <c r="M616" s="1">
        <f>+E616-I616</f>
        <v>-2.8648217347352456E-2</v>
      </c>
      <c r="N616" s="2">
        <v>105.9</v>
      </c>
      <c r="O616" s="2">
        <v>110.6</v>
      </c>
      <c r="P616" s="2">
        <f t="shared" si="9"/>
        <v>-4.6999999999999886</v>
      </c>
      <c r="Q616">
        <v>1.5</v>
      </c>
    </row>
    <row r="617" spans="1:17">
      <c r="A617" t="s">
        <v>49</v>
      </c>
      <c r="B617" t="s">
        <v>33</v>
      </c>
      <c r="C617">
        <v>20</v>
      </c>
      <c r="D617">
        <v>46</v>
      </c>
      <c r="E617" s="1">
        <f>+C617/(C617+D617)</f>
        <v>0.30303030303030304</v>
      </c>
      <c r="F617" s="2">
        <v>93.6</v>
      </c>
      <c r="G617" s="2">
        <v>98.4</v>
      </c>
      <c r="H617" s="2">
        <f>+F617-G617</f>
        <v>-4.8000000000000114</v>
      </c>
      <c r="I617" s="1">
        <f>+(F617^14)/((F617^14+G617^14))</f>
        <v>0.33177988336782011</v>
      </c>
      <c r="J617" s="2">
        <v>100</v>
      </c>
      <c r="K617" s="2">
        <v>104.9</v>
      </c>
      <c r="L617" s="2">
        <f>+J617-K617</f>
        <v>-4.9000000000000057</v>
      </c>
      <c r="M617" s="1">
        <f>+E617-I617</f>
        <v>-2.8749580337517067E-2</v>
      </c>
      <c r="N617" s="2">
        <v>90</v>
      </c>
      <c r="O617" s="2">
        <v>110.3</v>
      </c>
      <c r="P617" s="2">
        <f t="shared" si="9"/>
        <v>-20.299999999999997</v>
      </c>
      <c r="Q617">
        <v>-0.3</v>
      </c>
    </row>
    <row r="618" spans="1:17">
      <c r="A618" t="s">
        <v>49</v>
      </c>
      <c r="B618" t="s">
        <v>20</v>
      </c>
      <c r="C618">
        <v>26</v>
      </c>
      <c r="D618">
        <v>40</v>
      </c>
      <c r="E618" s="1">
        <f>+C618/(C618+D618)</f>
        <v>0.39393939393939392</v>
      </c>
      <c r="F618" s="2">
        <v>97.9</v>
      </c>
      <c r="G618" s="2">
        <v>100.1</v>
      </c>
      <c r="H618" s="2">
        <f>+F618-G618</f>
        <v>-2.1999999999999886</v>
      </c>
      <c r="I618" s="1">
        <f>+(F618^14)/((F618^14+G618^14))</f>
        <v>0.42284042770166808</v>
      </c>
      <c r="J618" s="2">
        <v>103.1</v>
      </c>
      <c r="K618" s="2">
        <v>105.3</v>
      </c>
      <c r="L618" s="2">
        <f>+J618-K618</f>
        <v>-2.2000000000000028</v>
      </c>
      <c r="M618" s="1">
        <f>+E618-I618</f>
        <v>-2.8901033762274153E-2</v>
      </c>
      <c r="N618" s="2">
        <v>101</v>
      </c>
      <c r="O618" s="2">
        <v>104.2</v>
      </c>
      <c r="P618" s="2">
        <f t="shared" si="9"/>
        <v>-3.2000000000000028</v>
      </c>
      <c r="Q618">
        <v>0.2</v>
      </c>
    </row>
    <row r="619" spans="1:17">
      <c r="A619" t="s">
        <v>49</v>
      </c>
      <c r="B619" t="s">
        <v>30</v>
      </c>
      <c r="C619">
        <v>23</v>
      </c>
      <c r="D619">
        <v>43</v>
      </c>
      <c r="E619" s="1">
        <f>+C619/(C619+D619)</f>
        <v>0.34848484848484851</v>
      </c>
      <c r="F619" s="2">
        <v>90.7</v>
      </c>
      <c r="G619" s="2">
        <v>94</v>
      </c>
      <c r="H619" s="2">
        <f>+F619-G619</f>
        <v>-3.2999999999999972</v>
      </c>
      <c r="I619" s="1">
        <f>+(F619^14)/((F619^14+G619^14))</f>
        <v>0.37746454187633971</v>
      </c>
      <c r="J619" s="2">
        <v>99.6</v>
      </c>
      <c r="K619" s="2">
        <v>103.6</v>
      </c>
      <c r="L619" s="2">
        <f>+J619-K619</f>
        <v>-4</v>
      </c>
      <c r="M619" s="1">
        <f>+E619-I619</f>
        <v>-2.8979693391491201E-2</v>
      </c>
      <c r="N619" s="2">
        <v>88.6</v>
      </c>
      <c r="O619" s="2">
        <v>114.7</v>
      </c>
      <c r="P619" s="2">
        <f t="shared" si="9"/>
        <v>-26.100000000000009</v>
      </c>
      <c r="Q619">
        <v>-1.4</v>
      </c>
    </row>
    <row r="620" spans="1:17">
      <c r="A620" t="s">
        <v>62</v>
      </c>
      <c r="B620" t="s">
        <v>53</v>
      </c>
      <c r="C620">
        <v>36</v>
      </c>
      <c r="D620">
        <v>46</v>
      </c>
      <c r="E620" s="1">
        <f>+C620/(C620+D620)</f>
        <v>0.43902439024390244</v>
      </c>
      <c r="F620" s="2">
        <v>109.3</v>
      </c>
      <c r="G620" s="2">
        <v>110.3</v>
      </c>
      <c r="H620" s="2">
        <f>+F620-G620</f>
        <v>-1</v>
      </c>
      <c r="I620" s="1">
        <f>+(F620^14)/((F620^14+G620^14))</f>
        <v>0.46816675732183283</v>
      </c>
      <c r="J620" s="2">
        <v>111.2</v>
      </c>
      <c r="K620" s="2">
        <v>112</v>
      </c>
      <c r="L620" s="2">
        <f>+J620-K620</f>
        <v>-0.79999999999999716</v>
      </c>
      <c r="M620" s="1">
        <f>+E620-I620</f>
        <v>-2.9142367077930387E-2</v>
      </c>
      <c r="N620" s="2">
        <v>115.5</v>
      </c>
      <c r="O620" s="2">
        <v>120.3</v>
      </c>
      <c r="P620" s="2">
        <f t="shared" si="9"/>
        <v>-4.7999999999999972</v>
      </c>
      <c r="Q620">
        <v>0.3</v>
      </c>
    </row>
    <row r="621" spans="1:17">
      <c r="A621" t="s">
        <v>39</v>
      </c>
      <c r="B621" t="s">
        <v>19</v>
      </c>
      <c r="C621">
        <v>30</v>
      </c>
      <c r="D621">
        <v>52</v>
      </c>
      <c r="E621" s="1">
        <f>+C621/(C621+D621)</f>
        <v>0.36585365853658536</v>
      </c>
      <c r="F621" s="2">
        <v>97.2</v>
      </c>
      <c r="G621" s="2">
        <v>100.2</v>
      </c>
      <c r="H621" s="2">
        <f>+F621-G621</f>
        <v>-3</v>
      </c>
      <c r="I621" s="1">
        <f>+(F621^14)/((F621^14+G621^14))</f>
        <v>0.3951859407291477</v>
      </c>
      <c r="J621" s="2">
        <v>105.1</v>
      </c>
      <c r="K621" s="2">
        <v>108.1</v>
      </c>
      <c r="L621" s="2">
        <f>+J621-K621</f>
        <v>-3</v>
      </c>
      <c r="M621" s="1">
        <f>+E621-I621</f>
        <v>-2.9332282192562342E-2</v>
      </c>
      <c r="N621" s="2">
        <v>105.2</v>
      </c>
      <c r="O621" s="2">
        <v>108.2</v>
      </c>
      <c r="P621" s="2">
        <f t="shared" si="9"/>
        <v>-3</v>
      </c>
      <c r="Q621">
        <v>-1.3</v>
      </c>
    </row>
    <row r="622" spans="1:17">
      <c r="A622" t="s">
        <v>34</v>
      </c>
      <c r="B622" t="s">
        <v>9</v>
      </c>
      <c r="C622">
        <v>29</v>
      </c>
      <c r="D622">
        <v>53</v>
      </c>
      <c r="E622" s="1">
        <f>+C622/(C622+D622)</f>
        <v>0.35365853658536583</v>
      </c>
      <c r="F622" s="2">
        <v>95.3</v>
      </c>
      <c r="G622" s="2">
        <v>98.6</v>
      </c>
      <c r="H622" s="2">
        <f>+F622-G622</f>
        <v>-3.2999999999999972</v>
      </c>
      <c r="I622" s="1">
        <f>+(F622^14)/((F622^14+G622^14))</f>
        <v>0.38305995894836997</v>
      </c>
      <c r="J622" s="2">
        <v>103.4</v>
      </c>
      <c r="K622" s="2">
        <v>107</v>
      </c>
      <c r="L622" s="2">
        <f>+J622-K622</f>
        <v>-3.5999999999999943</v>
      </c>
      <c r="M622" s="1">
        <f>+E622-I622</f>
        <v>-2.9401422363004137E-2</v>
      </c>
      <c r="N622" s="2">
        <v>107.2</v>
      </c>
      <c r="O622" s="2">
        <v>99.7</v>
      </c>
      <c r="P622" s="2">
        <f t="shared" si="9"/>
        <v>7.5</v>
      </c>
      <c r="Q622">
        <v>-0.7</v>
      </c>
    </row>
    <row r="623" spans="1:17">
      <c r="A623" t="s">
        <v>45</v>
      </c>
      <c r="B623" t="s">
        <v>33</v>
      </c>
      <c r="C623">
        <v>19</v>
      </c>
      <c r="D623">
        <v>63</v>
      </c>
      <c r="E623" s="1">
        <f>+C623/(C623+D623)</f>
        <v>0.23170731707317074</v>
      </c>
      <c r="F623" s="2">
        <v>96.1</v>
      </c>
      <c r="G623" s="2">
        <v>103.5</v>
      </c>
      <c r="H623" s="2">
        <f>+F623-G623</f>
        <v>-7.4000000000000057</v>
      </c>
      <c r="I623" s="1">
        <f>+(F623^14)/((F623^14+G623^14))</f>
        <v>0.26142945333120382</v>
      </c>
      <c r="J623" s="2">
        <v>104</v>
      </c>
      <c r="K623" s="2">
        <v>112.1</v>
      </c>
      <c r="L623" s="2">
        <f>+J623-K623</f>
        <v>-8.0999999999999943</v>
      </c>
      <c r="M623" s="1">
        <f>+E623-I623</f>
        <v>-2.9722136258033077E-2</v>
      </c>
      <c r="N623" s="2">
        <v>98.5</v>
      </c>
      <c r="O623" s="2">
        <v>118.7</v>
      </c>
      <c r="P623" s="2">
        <f t="shared" si="9"/>
        <v>-20.200000000000003</v>
      </c>
      <c r="Q623">
        <v>-1.6</v>
      </c>
    </row>
    <row r="624" spans="1:17">
      <c r="A624" t="s">
        <v>39</v>
      </c>
      <c r="B624" t="s">
        <v>31</v>
      </c>
      <c r="C624">
        <v>26</v>
      </c>
      <c r="D624">
        <v>56</v>
      </c>
      <c r="E624" s="1">
        <f>+C624/(C624+D624)</f>
        <v>0.31707317073170732</v>
      </c>
      <c r="F624" s="2">
        <v>93</v>
      </c>
      <c r="G624" s="2">
        <v>97.3</v>
      </c>
      <c r="H624" s="2">
        <f>+F624-G624</f>
        <v>-4.2999999999999972</v>
      </c>
      <c r="I624" s="1">
        <f>+(F624^14)/((F624^14+G624^14))</f>
        <v>0.34687751612401035</v>
      </c>
      <c r="J624" s="2">
        <v>102.9</v>
      </c>
      <c r="K624" s="2">
        <v>107.3</v>
      </c>
      <c r="L624" s="2">
        <f>+J624-K624</f>
        <v>-4.3999999999999915</v>
      </c>
      <c r="M624" s="1">
        <f>+E624-I624</f>
        <v>-2.9804345392303033E-2</v>
      </c>
      <c r="N624" s="2">
        <v>98.8</v>
      </c>
      <c r="O624" s="2">
        <v>109.9</v>
      </c>
      <c r="P624" s="2">
        <f t="shared" si="9"/>
        <v>-11.100000000000009</v>
      </c>
      <c r="Q624">
        <v>-1.2</v>
      </c>
    </row>
    <row r="625" spans="1:17">
      <c r="A625" t="s">
        <v>34</v>
      </c>
      <c r="B625" t="s">
        <v>17</v>
      </c>
      <c r="C625">
        <v>58</v>
      </c>
      <c r="D625">
        <v>24</v>
      </c>
      <c r="E625" s="1">
        <f>+C625/(C625+D625)</f>
        <v>0.70731707317073167</v>
      </c>
      <c r="F625" s="2">
        <v>101.3</v>
      </c>
      <c r="G625" s="2">
        <v>94.1</v>
      </c>
      <c r="H625" s="2">
        <f>+F625-G625</f>
        <v>7.2000000000000028</v>
      </c>
      <c r="I625" s="1">
        <f>+(F625^14)/((F625^14+G625^14))</f>
        <v>0.73734162874338682</v>
      </c>
      <c r="J625" s="2">
        <v>108</v>
      </c>
      <c r="K625" s="2">
        <v>100.4</v>
      </c>
      <c r="L625" s="2">
        <f>+J625-K625</f>
        <v>7.5999999999999943</v>
      </c>
      <c r="M625" s="1">
        <f>+E625-I625</f>
        <v>-3.0024555572655154E-2</v>
      </c>
      <c r="N625" s="2">
        <v>104.2</v>
      </c>
      <c r="O625" s="2">
        <v>94.6</v>
      </c>
      <c r="P625" s="2">
        <f t="shared" si="9"/>
        <v>9.6000000000000085</v>
      </c>
      <c r="Q625">
        <v>2.5</v>
      </c>
    </row>
    <row r="626" spans="1:17">
      <c r="A626" t="s">
        <v>47</v>
      </c>
      <c r="B626" t="s">
        <v>20</v>
      </c>
      <c r="C626">
        <v>15</v>
      </c>
      <c r="D626">
        <v>67</v>
      </c>
      <c r="E626" s="1">
        <f>+C626/(C626+D626)</f>
        <v>0.18292682926829268</v>
      </c>
      <c r="F626" s="2">
        <v>98.2</v>
      </c>
      <c r="G626" s="2">
        <v>107.8</v>
      </c>
      <c r="H626" s="2">
        <f>+F626-G626</f>
        <v>-9.5999999999999943</v>
      </c>
      <c r="I626" s="1">
        <f>+(F626^14)/((F626^14+G626^14))</f>
        <v>0.21319047062273172</v>
      </c>
      <c r="J626" s="2">
        <v>100.6</v>
      </c>
      <c r="K626" s="2">
        <v>110.4</v>
      </c>
      <c r="L626" s="2">
        <f>+J626-K626</f>
        <v>-9.8000000000000114</v>
      </c>
      <c r="M626" s="1">
        <f>+E626-I626</f>
        <v>-3.0263641354439041E-2</v>
      </c>
      <c r="N626" s="2">
        <v>102.7</v>
      </c>
      <c r="O626" s="2">
        <v>108.9</v>
      </c>
      <c r="P626" s="2">
        <f t="shared" si="9"/>
        <v>-6.2000000000000028</v>
      </c>
      <c r="Q626">
        <v>0.3</v>
      </c>
    </row>
    <row r="627" spans="1:17">
      <c r="A627" t="s">
        <v>43</v>
      </c>
      <c r="B627" t="s">
        <v>9</v>
      </c>
      <c r="C627">
        <v>50</v>
      </c>
      <c r="D627">
        <v>32</v>
      </c>
      <c r="E627" s="1">
        <f>+C627/(C627+D627)</f>
        <v>0.6097560975609756</v>
      </c>
      <c r="F627" s="2">
        <v>96.8</v>
      </c>
      <c r="G627" s="2">
        <v>92.9</v>
      </c>
      <c r="H627" s="2">
        <f>+F627-G627</f>
        <v>3.8999999999999915</v>
      </c>
      <c r="I627" s="1">
        <f>+(F627^14)/((F627^14+G627^14))</f>
        <v>0.64008356957082357</v>
      </c>
      <c r="J627" s="2">
        <v>104.4</v>
      </c>
      <c r="K627" s="2">
        <v>100.6</v>
      </c>
      <c r="L627" s="2">
        <f>+J627-K627</f>
        <v>3.8000000000000114</v>
      </c>
      <c r="M627" s="1">
        <f>+E627-I627</f>
        <v>-3.0327472009847978E-2</v>
      </c>
      <c r="N627" s="2">
        <v>105.4</v>
      </c>
      <c r="O627" s="2">
        <v>95.1</v>
      </c>
      <c r="P627" s="2">
        <f t="shared" si="9"/>
        <v>10.300000000000011</v>
      </c>
      <c r="Q627">
        <v>1.4</v>
      </c>
    </row>
    <row r="628" spans="1:17">
      <c r="A628" t="s">
        <v>61</v>
      </c>
      <c r="B628" t="s">
        <v>19</v>
      </c>
      <c r="C628">
        <v>46</v>
      </c>
      <c r="D628">
        <v>26</v>
      </c>
      <c r="E628" s="1">
        <f>+C628/(C628+D628)</f>
        <v>0.63888888888888884</v>
      </c>
      <c r="F628" s="2">
        <v>120.1</v>
      </c>
      <c r="G628" s="2">
        <v>114.2</v>
      </c>
      <c r="H628" s="2">
        <f>+F628-G628</f>
        <v>5.8999999999999915</v>
      </c>
      <c r="I628" s="1">
        <f>+(F628^14)/((F628^14+G628^14))</f>
        <v>0.66934587633870324</v>
      </c>
      <c r="J628" s="2">
        <v>116.5</v>
      </c>
      <c r="K628" s="2">
        <v>110.7</v>
      </c>
      <c r="L628" s="2">
        <f>+J628-K628</f>
        <v>5.7999999999999972</v>
      </c>
      <c r="M628" s="1">
        <f>+E628-I628</f>
        <v>-3.0456987449814399E-2</v>
      </c>
      <c r="N628" s="2">
        <v>107</v>
      </c>
      <c r="O628" s="2">
        <v>105.5</v>
      </c>
      <c r="P628" s="2">
        <f t="shared" si="9"/>
        <v>1.5</v>
      </c>
      <c r="Q628">
        <v>-0.2</v>
      </c>
    </row>
    <row r="629" spans="1:17">
      <c r="A629" t="s">
        <v>44</v>
      </c>
      <c r="B629" t="s">
        <v>17</v>
      </c>
      <c r="C629">
        <v>57</v>
      </c>
      <c r="D629">
        <v>25</v>
      </c>
      <c r="E629" s="1">
        <f>+C629/(C629+D629)</f>
        <v>0.69512195121951215</v>
      </c>
      <c r="F629" s="2">
        <v>108.6</v>
      </c>
      <c r="G629" s="2">
        <v>101.3</v>
      </c>
      <c r="H629" s="2">
        <f>+F629-G629</f>
        <v>7.2999999999999972</v>
      </c>
      <c r="I629" s="1">
        <f>+(F629^14)/((F629^14+G629^14))</f>
        <v>0.72595385497038523</v>
      </c>
      <c r="J629" s="2">
        <v>111.7</v>
      </c>
      <c r="K629" s="2">
        <v>104.3</v>
      </c>
      <c r="L629" s="2">
        <f>+J629-K629</f>
        <v>7.4000000000000057</v>
      </c>
      <c r="M629" s="1">
        <f>+E629-I629</f>
        <v>-3.083190375087308E-2</v>
      </c>
      <c r="N629" s="2">
        <v>104.6</v>
      </c>
      <c r="O629" s="2">
        <v>102.1</v>
      </c>
      <c r="P629" s="2">
        <f t="shared" si="9"/>
        <v>2.5</v>
      </c>
      <c r="Q629">
        <v>1.8</v>
      </c>
    </row>
    <row r="630" spans="1:17">
      <c r="A630" t="s">
        <v>36</v>
      </c>
      <c r="B630" t="s">
        <v>12</v>
      </c>
      <c r="C630">
        <v>50</v>
      </c>
      <c r="D630">
        <v>32</v>
      </c>
      <c r="E630" s="1">
        <f>+C630/(C630+D630)</f>
        <v>0.6097560975609756</v>
      </c>
      <c r="F630" s="2">
        <v>91.4</v>
      </c>
      <c r="G630" s="2">
        <v>87.7</v>
      </c>
      <c r="H630" s="2">
        <f>+F630-G630</f>
        <v>3.7000000000000028</v>
      </c>
      <c r="I630" s="1">
        <f>+(F630^14)/((F630^14+G630^14))</f>
        <v>0.64072911392339904</v>
      </c>
      <c r="J630" s="2">
        <v>102.4</v>
      </c>
      <c r="K630" s="2">
        <v>98.2</v>
      </c>
      <c r="L630" s="2">
        <f>+J630-K630</f>
        <v>4.2000000000000028</v>
      </c>
      <c r="M630" s="1">
        <f>+E630-I630</f>
        <v>-3.0973016362423444E-2</v>
      </c>
      <c r="N630" s="2">
        <v>103.1</v>
      </c>
      <c r="O630" s="2">
        <v>92</v>
      </c>
      <c r="P630" s="2">
        <f t="shared" si="9"/>
        <v>11.099999999999994</v>
      </c>
      <c r="Q630">
        <v>1.6</v>
      </c>
    </row>
    <row r="631" spans="1:17">
      <c r="A631" t="s">
        <v>45</v>
      </c>
      <c r="B631" t="s">
        <v>27</v>
      </c>
      <c r="C631">
        <v>17</v>
      </c>
      <c r="D631">
        <v>65</v>
      </c>
      <c r="E631" s="1">
        <f>+C631/(C631+D631)</f>
        <v>0.2073170731707317</v>
      </c>
      <c r="F631" s="2">
        <v>100.6</v>
      </c>
      <c r="G631" s="2">
        <v>109.3</v>
      </c>
      <c r="H631" s="2">
        <f>+F631-G631</f>
        <v>-8.7000000000000028</v>
      </c>
      <c r="I631" s="1">
        <f>+(F631^14)/((F631^14+G631^14))</f>
        <v>0.23844605223588522</v>
      </c>
      <c r="J631" s="2">
        <v>104.4</v>
      </c>
      <c r="K631" s="2">
        <v>113.4</v>
      </c>
      <c r="L631" s="2">
        <f>+J631-K631</f>
        <v>-9</v>
      </c>
      <c r="M631" s="1">
        <f>+E631-I631</f>
        <v>-3.1128979065153523E-2</v>
      </c>
      <c r="N631" s="2">
        <v>93.2</v>
      </c>
      <c r="O631" s="2">
        <v>104.6</v>
      </c>
      <c r="P631" s="2">
        <f t="shared" si="9"/>
        <v>-11.399999999999991</v>
      </c>
      <c r="Q631">
        <v>-1.2</v>
      </c>
    </row>
    <row r="632" spans="1:17">
      <c r="A632" t="s">
        <v>45</v>
      </c>
      <c r="B632" t="s">
        <v>13</v>
      </c>
      <c r="C632">
        <v>29</v>
      </c>
      <c r="D632">
        <v>53</v>
      </c>
      <c r="E632" s="1">
        <f>+C632/(C632+D632)</f>
        <v>0.35365853658536583</v>
      </c>
      <c r="F632" s="2">
        <v>108.6</v>
      </c>
      <c r="G632" s="2">
        <v>112.3</v>
      </c>
      <c r="H632" s="2">
        <f>+F632-G632</f>
        <v>-3.7000000000000028</v>
      </c>
      <c r="I632" s="1">
        <f>+(F632^14)/((F632^14+G632^14))</f>
        <v>0.38484482323315583</v>
      </c>
      <c r="J632" s="2">
        <v>108</v>
      </c>
      <c r="K632" s="2">
        <v>111.7</v>
      </c>
      <c r="L632" s="2">
        <f>+J632-K632</f>
        <v>-3.7000000000000028</v>
      </c>
      <c r="M632" s="1">
        <f>+E632-I632</f>
        <v>-3.1186286647789996E-2</v>
      </c>
      <c r="N632" s="2">
        <v>93.7</v>
      </c>
      <c r="O632" s="2">
        <v>111.1</v>
      </c>
      <c r="P632" s="2">
        <f t="shared" si="9"/>
        <v>-17.399999999999991</v>
      </c>
      <c r="Q632">
        <v>-0.7</v>
      </c>
    </row>
    <row r="633" spans="1:17">
      <c r="A633" t="s">
        <v>58</v>
      </c>
      <c r="B633" t="s">
        <v>35</v>
      </c>
      <c r="C633">
        <v>22</v>
      </c>
      <c r="D633">
        <v>60</v>
      </c>
      <c r="E633" s="1">
        <f>+C633/(C633+D633)</f>
        <v>0.26829268292682928</v>
      </c>
      <c r="F633" s="2">
        <v>99.3</v>
      </c>
      <c r="G633" s="2">
        <v>105.5</v>
      </c>
      <c r="H633" s="2">
        <f>+F633-G633</f>
        <v>-6.2000000000000028</v>
      </c>
      <c r="I633" s="1">
        <f>+(F633^14)/((F633^14+G633^14))</f>
        <v>0.2998703440144932</v>
      </c>
      <c r="J633" s="2">
        <v>103.6</v>
      </c>
      <c r="K633" s="2">
        <v>110.4</v>
      </c>
      <c r="L633" s="2">
        <f>+J633-K633</f>
        <v>-6.8000000000000114</v>
      </c>
      <c r="M633" s="1">
        <f>+E633-I633</f>
        <v>-3.1577661087663911E-2</v>
      </c>
      <c r="N633" s="2">
        <v>92.4</v>
      </c>
      <c r="O633" s="2">
        <v>97.4</v>
      </c>
      <c r="P633" s="2">
        <f t="shared" si="9"/>
        <v>-5</v>
      </c>
      <c r="Q633">
        <v>-1</v>
      </c>
    </row>
    <row r="634" spans="1:17">
      <c r="A634" t="s">
        <v>44</v>
      </c>
      <c r="B634" t="s">
        <v>12</v>
      </c>
      <c r="C634">
        <v>59</v>
      </c>
      <c r="D634">
        <v>23</v>
      </c>
      <c r="E634" s="1">
        <f>+C634/(C634+D634)</f>
        <v>0.71951219512195119</v>
      </c>
      <c r="F634" s="2">
        <v>97.5</v>
      </c>
      <c r="G634" s="2">
        <v>90.1</v>
      </c>
      <c r="H634" s="2">
        <f>+F634-G634</f>
        <v>7.4000000000000057</v>
      </c>
      <c r="I634" s="1">
        <f>+(F634^14)/((F634^14+G634^14))</f>
        <v>0.75120531169841753</v>
      </c>
      <c r="J634" s="2">
        <v>109.8</v>
      </c>
      <c r="K634" s="2">
        <v>101.5</v>
      </c>
      <c r="L634" s="2">
        <f>+J634-K634</f>
        <v>8.2999999999999972</v>
      </c>
      <c r="M634" s="1">
        <f>+E634-I634</f>
        <v>-3.169311657646634E-2</v>
      </c>
      <c r="N634" s="2">
        <v>113.7</v>
      </c>
      <c r="O634" s="2">
        <v>105.3</v>
      </c>
      <c r="P634" s="2">
        <f t="shared" si="9"/>
        <v>8.4000000000000057</v>
      </c>
      <c r="Q634">
        <v>0.6</v>
      </c>
    </row>
    <row r="635" spans="1:17">
      <c r="A635" t="s">
        <v>36</v>
      </c>
      <c r="B635" t="s">
        <v>14</v>
      </c>
      <c r="C635">
        <v>43</v>
      </c>
      <c r="D635">
        <v>39</v>
      </c>
      <c r="E635" s="1">
        <f>+C635/(C635+D635)</f>
        <v>0.52439024390243905</v>
      </c>
      <c r="F635" s="2">
        <v>93.8</v>
      </c>
      <c r="G635" s="2">
        <v>92.3</v>
      </c>
      <c r="H635" s="2">
        <f>+F635-G635</f>
        <v>1.5</v>
      </c>
      <c r="I635" s="1">
        <f>+(F635^14)/((F635^14+G635^14))</f>
        <v>0.55618421979332688</v>
      </c>
      <c r="J635" s="2">
        <v>102.4</v>
      </c>
      <c r="K635" s="2">
        <v>100.9</v>
      </c>
      <c r="L635" s="2">
        <f>+J635-K635</f>
        <v>1.5</v>
      </c>
      <c r="M635" s="1">
        <f>+E635-I635</f>
        <v>-3.1793975890887838E-2</v>
      </c>
      <c r="N635" s="2">
        <v>114.4</v>
      </c>
      <c r="O635" s="2">
        <v>100.9</v>
      </c>
      <c r="P635" s="2">
        <f t="shared" si="9"/>
        <v>13.5</v>
      </c>
      <c r="Q635">
        <v>0.4</v>
      </c>
    </row>
    <row r="636" spans="1:17">
      <c r="A636" t="s">
        <v>62</v>
      </c>
      <c r="B636" t="s">
        <v>9</v>
      </c>
      <c r="C636">
        <v>44</v>
      </c>
      <c r="D636">
        <v>38</v>
      </c>
      <c r="E636" s="1">
        <f>+C636/(C636+D636)</f>
        <v>0.53658536585365857</v>
      </c>
      <c r="F636" s="2">
        <v>107.8</v>
      </c>
      <c r="G636" s="2">
        <v>105.7</v>
      </c>
      <c r="H636" s="2">
        <f>+F636-G636</f>
        <v>2.0999999999999943</v>
      </c>
      <c r="I636" s="1">
        <f>+(F636^14)/((F636^14+G636^14))</f>
        <v>0.56842270571530307</v>
      </c>
      <c r="J636" s="2">
        <v>111</v>
      </c>
      <c r="K636" s="2">
        <v>108.9</v>
      </c>
      <c r="L636" s="2">
        <f>+J636-K636</f>
        <v>2.0999999999999943</v>
      </c>
      <c r="M636" s="1">
        <f>+E636-I636</f>
        <v>-3.1837339861644498E-2</v>
      </c>
      <c r="N636" s="2">
        <v>110</v>
      </c>
      <c r="O636" s="2">
        <v>104.4</v>
      </c>
      <c r="P636" s="2">
        <f t="shared" si="9"/>
        <v>5.5999999999999943</v>
      </c>
      <c r="Q636">
        <v>-0.7</v>
      </c>
    </row>
    <row r="637" spans="1:17">
      <c r="A637" t="s">
        <v>50</v>
      </c>
      <c r="B637" t="s">
        <v>30</v>
      </c>
      <c r="C637">
        <v>34</v>
      </c>
      <c r="D637">
        <v>48</v>
      </c>
      <c r="E637" s="1">
        <f>+C637/(C637+D637)</f>
        <v>0.41463414634146339</v>
      </c>
      <c r="F637" s="2">
        <v>97.2</v>
      </c>
      <c r="G637" s="2">
        <v>98.7</v>
      </c>
      <c r="H637" s="2">
        <f>+F637-G637</f>
        <v>-1.5</v>
      </c>
      <c r="I637" s="1">
        <f>+(F637^14)/((F637^14+G637^14))</f>
        <v>0.4466045570075422</v>
      </c>
      <c r="J637" s="2">
        <v>105</v>
      </c>
      <c r="K637" s="2">
        <v>106.4</v>
      </c>
      <c r="L637" s="2">
        <f>+J637-K637</f>
        <v>-1.4000000000000057</v>
      </c>
      <c r="M637" s="1">
        <f>+E637-I637</f>
        <v>-3.1970410666078808E-2</v>
      </c>
      <c r="N637" s="2">
        <v>87.8</v>
      </c>
      <c r="O637" s="2">
        <v>112.9</v>
      </c>
      <c r="P637" s="2">
        <f t="shared" si="9"/>
        <v>-25.100000000000009</v>
      </c>
      <c r="Q637">
        <v>-1.5</v>
      </c>
    </row>
    <row r="638" spans="1:17">
      <c r="A638" t="s">
        <v>64</v>
      </c>
      <c r="B638" t="s">
        <v>22</v>
      </c>
      <c r="C638">
        <v>50</v>
      </c>
      <c r="D638">
        <v>32</v>
      </c>
      <c r="E638" s="1">
        <f>+C638/(C638+D638)</f>
        <v>0.6097560975609756</v>
      </c>
      <c r="F638" s="2">
        <v>112.8</v>
      </c>
      <c r="G638" s="2">
        <v>108.2</v>
      </c>
      <c r="H638" s="2">
        <f>+F638-G638</f>
        <v>4.5999999999999943</v>
      </c>
      <c r="I638" s="1">
        <f>+(F638^14)/((F638^14+G638^14))</f>
        <v>0.64173203581076255</v>
      </c>
      <c r="J638" s="2">
        <v>117.3</v>
      </c>
      <c r="K638" s="2">
        <v>112.4</v>
      </c>
      <c r="L638" s="2">
        <f>+J638-K638</f>
        <v>4.8999999999999915</v>
      </c>
      <c r="M638" s="1">
        <f>+E638-I638</f>
        <v>-3.197593824978695E-2</v>
      </c>
      <c r="N638" s="2">
        <v>114.4</v>
      </c>
      <c r="O638" s="2">
        <v>100.4</v>
      </c>
      <c r="P638" s="2">
        <f t="shared" si="9"/>
        <v>14</v>
      </c>
      <c r="Q638">
        <v>1</v>
      </c>
    </row>
    <row r="639" spans="1:17">
      <c r="A639" t="s">
        <v>58</v>
      </c>
      <c r="B639" t="s">
        <v>22</v>
      </c>
      <c r="C639">
        <v>29</v>
      </c>
      <c r="D639">
        <v>53</v>
      </c>
      <c r="E639" s="1">
        <f>+C639/(C639+D639)</f>
        <v>0.35365853658536583</v>
      </c>
      <c r="F639" s="2">
        <v>104.5</v>
      </c>
      <c r="G639" s="2">
        <v>108</v>
      </c>
      <c r="H639" s="2">
        <f>+F639-G639</f>
        <v>-3.5</v>
      </c>
      <c r="I639" s="1">
        <f>+(F639^14)/((F639^14+G639^14))</f>
        <v>0.38669687750275528</v>
      </c>
      <c r="J639" s="2">
        <v>106.3</v>
      </c>
      <c r="K639" s="2">
        <v>109.7</v>
      </c>
      <c r="L639" s="2">
        <f>+J639-K639</f>
        <v>-3.4000000000000057</v>
      </c>
      <c r="M639" s="1">
        <f>+E639-I639</f>
        <v>-3.3038340917389442E-2</v>
      </c>
      <c r="N639" s="2">
        <v>95.8</v>
      </c>
      <c r="O639" s="2">
        <v>108</v>
      </c>
      <c r="P639" s="2">
        <f t="shared" si="9"/>
        <v>-12.200000000000003</v>
      </c>
      <c r="Q639">
        <v>-1</v>
      </c>
    </row>
    <row r="640" spans="1:17">
      <c r="A640" t="s">
        <v>48</v>
      </c>
      <c r="B640" t="s">
        <v>27</v>
      </c>
      <c r="C640">
        <v>24</v>
      </c>
      <c r="D640">
        <v>58</v>
      </c>
      <c r="E640" s="1">
        <f>+C640/(C640+D640)</f>
        <v>0.29268292682926828</v>
      </c>
      <c r="F640" s="2">
        <v>99.4</v>
      </c>
      <c r="G640" s="2">
        <v>104.7</v>
      </c>
      <c r="H640" s="2">
        <f>+F640-G640</f>
        <v>-5.2999999999999972</v>
      </c>
      <c r="I640" s="1">
        <f>+(F640^14)/((F640^14+G640^14))</f>
        <v>0.32579671565672774</v>
      </c>
      <c r="J640" s="2">
        <v>102.9</v>
      </c>
      <c r="K640" s="2">
        <v>108.4</v>
      </c>
      <c r="L640" s="2">
        <f>+J640-K640</f>
        <v>-5.5</v>
      </c>
      <c r="M640" s="1">
        <f>+E640-I640</f>
        <v>-3.3113788827459467E-2</v>
      </c>
      <c r="N640" s="2">
        <v>88.3</v>
      </c>
      <c r="O640" s="2">
        <v>107</v>
      </c>
      <c r="P640" s="2">
        <f t="shared" si="9"/>
        <v>-18.700000000000003</v>
      </c>
      <c r="Q640">
        <v>-0.3</v>
      </c>
    </row>
    <row r="641" spans="1:17">
      <c r="A641" t="s">
        <v>44</v>
      </c>
      <c r="B641" t="s">
        <v>10</v>
      </c>
      <c r="C641">
        <v>51</v>
      </c>
      <c r="D641">
        <v>31</v>
      </c>
      <c r="E641" s="1">
        <f>+C641/(C641+D641)</f>
        <v>0.62195121951219512</v>
      </c>
      <c r="F641" s="2">
        <v>100.4</v>
      </c>
      <c r="G641" s="2">
        <v>95.9</v>
      </c>
      <c r="H641" s="2">
        <f>+F641-G641</f>
        <v>4.5</v>
      </c>
      <c r="I641" s="1">
        <f>+(F641^14)/((F641^14+G641^14))</f>
        <v>0.65520252150189628</v>
      </c>
      <c r="J641" s="2">
        <v>109.5</v>
      </c>
      <c r="K641" s="2">
        <v>104.7</v>
      </c>
      <c r="L641" s="2">
        <f>+J641-K641</f>
        <v>4.7999999999999972</v>
      </c>
      <c r="M641" s="1">
        <f>+E641-I641</f>
        <v>-3.3251301989701165E-2</v>
      </c>
      <c r="N641" s="2">
        <v>114.4</v>
      </c>
      <c r="O641" s="2">
        <v>107.9</v>
      </c>
      <c r="P641" s="2">
        <f t="shared" si="9"/>
        <v>6.5</v>
      </c>
      <c r="Q641">
        <v>0.5</v>
      </c>
    </row>
    <row r="642" spans="1:17">
      <c r="A642" t="s">
        <v>54</v>
      </c>
      <c r="B642" t="s">
        <v>28</v>
      </c>
      <c r="C642">
        <v>55</v>
      </c>
      <c r="D642">
        <v>27</v>
      </c>
      <c r="E642" s="1">
        <f>+C642/(C642+D642)</f>
        <v>0.67073170731707321</v>
      </c>
      <c r="F642" s="2">
        <v>103.2</v>
      </c>
      <c r="G642" s="2">
        <v>97</v>
      </c>
      <c r="H642" s="2">
        <f>+F642-G642</f>
        <v>6.2000000000000028</v>
      </c>
      <c r="I642" s="1">
        <f>+(F642^14)/((F642^14+G642^14))</f>
        <v>0.70420653798027644</v>
      </c>
      <c r="J642" s="2">
        <v>107.6</v>
      </c>
      <c r="K642" s="2">
        <v>101.4</v>
      </c>
      <c r="L642" s="2">
        <f>+J642-K642</f>
        <v>6.1999999999999886</v>
      </c>
      <c r="M642" s="1">
        <f>+E642-I642</f>
        <v>-3.3474830663203226E-2</v>
      </c>
      <c r="N642" s="2">
        <v>95.5</v>
      </c>
      <c r="O642" s="2">
        <v>97.1</v>
      </c>
      <c r="P642" s="2">
        <f t="shared" si="9"/>
        <v>-1.5999999999999943</v>
      </c>
      <c r="Q642">
        <v>0.9</v>
      </c>
    </row>
    <row r="643" spans="1:17">
      <c r="A643" t="s">
        <v>61</v>
      </c>
      <c r="B643" t="s">
        <v>56</v>
      </c>
      <c r="C643">
        <v>47</v>
      </c>
      <c r="D643">
        <v>25</v>
      </c>
      <c r="E643" s="1">
        <f>+C643/(C643+D643)</f>
        <v>0.65277777777777779</v>
      </c>
      <c r="F643" s="2">
        <v>114</v>
      </c>
      <c r="G643" s="2">
        <v>107.8</v>
      </c>
      <c r="H643" s="2">
        <f>+F643-G643</f>
        <v>6.2000000000000028</v>
      </c>
      <c r="I643" s="1">
        <f>+(F643^14)/((F643^14+G643^14))</f>
        <v>0.68630286858129474</v>
      </c>
      <c r="J643" s="2">
        <v>116.7</v>
      </c>
      <c r="K643" s="2">
        <v>110.6</v>
      </c>
      <c r="L643" s="2">
        <f>+J643-K643</f>
        <v>6.1000000000000085</v>
      </c>
      <c r="M643" s="1">
        <f>+E643-I643</f>
        <v>-3.3525090803516955E-2</v>
      </c>
      <c r="N643" s="2">
        <v>110.3</v>
      </c>
      <c r="O643" s="2">
        <v>117.5</v>
      </c>
      <c r="P643" s="2">
        <f t="shared" si="9"/>
        <v>-7.2000000000000028</v>
      </c>
      <c r="Q643">
        <v>1.1000000000000001</v>
      </c>
    </row>
    <row r="644" spans="1:17">
      <c r="A644" t="s">
        <v>39</v>
      </c>
      <c r="B644" t="s">
        <v>37</v>
      </c>
      <c r="C644">
        <v>18</v>
      </c>
      <c r="D644">
        <v>64</v>
      </c>
      <c r="E644" s="1">
        <f>+C644/(C644+D644)</f>
        <v>0.21951219512195122</v>
      </c>
      <c r="F644" s="2">
        <v>88.4</v>
      </c>
      <c r="G644" s="2">
        <v>95.5</v>
      </c>
      <c r="H644" s="2">
        <f>+F644-G644</f>
        <v>-7.0999999999999943</v>
      </c>
      <c r="I644" s="1">
        <f>+(F644^14)/((F644^14+G644^14))</f>
        <v>0.25321093551837054</v>
      </c>
      <c r="J644" s="2">
        <v>98.2</v>
      </c>
      <c r="K644" s="2">
        <v>105.9</v>
      </c>
      <c r="L644" s="2">
        <f>+J644-K644</f>
        <v>-7.7000000000000028</v>
      </c>
      <c r="M644" s="1">
        <f>+E644-I644</f>
        <v>-3.3698740396419319E-2</v>
      </c>
      <c r="N644" s="2">
        <v>88</v>
      </c>
      <c r="O644" s="2">
        <v>107.5</v>
      </c>
      <c r="P644" s="2">
        <f t="shared" si="9"/>
        <v>-19.5</v>
      </c>
      <c r="Q644">
        <v>-0.1</v>
      </c>
    </row>
    <row r="645" spans="1:17">
      <c r="A645" t="s">
        <v>64</v>
      </c>
      <c r="B645" t="s">
        <v>14</v>
      </c>
      <c r="C645">
        <v>41</v>
      </c>
      <c r="D645">
        <v>41</v>
      </c>
      <c r="E645" s="1">
        <f>+C645/(C645+D645)</f>
        <v>0.5</v>
      </c>
      <c r="F645" s="2">
        <v>114.3</v>
      </c>
      <c r="G645" s="2">
        <v>113.2</v>
      </c>
      <c r="H645" s="2">
        <f>+F645-G645</f>
        <v>1.0999999999999943</v>
      </c>
      <c r="I645" s="1">
        <f>+(F645^14)/((F645^14+G645^14))</f>
        <v>0.53379481382340799</v>
      </c>
      <c r="J645" s="2">
        <v>113.7</v>
      </c>
      <c r="K645" s="2">
        <v>112.8</v>
      </c>
      <c r="L645" s="2">
        <f>+J645-K645</f>
        <v>0.90000000000000568</v>
      </c>
      <c r="M645" s="1">
        <f>+E645-I645</f>
        <v>-3.3794813823407988E-2</v>
      </c>
      <c r="N645" s="2">
        <v>108.4</v>
      </c>
      <c r="O645" s="2">
        <v>121.6</v>
      </c>
      <c r="P645" s="2">
        <f t="shared" si="9"/>
        <v>-13.199999999999989</v>
      </c>
      <c r="Q645">
        <v>0.3</v>
      </c>
    </row>
    <row r="646" spans="1:17">
      <c r="A646" t="s">
        <v>44</v>
      </c>
      <c r="B646" t="s">
        <v>35</v>
      </c>
      <c r="C646">
        <v>22</v>
      </c>
      <c r="D646">
        <v>60</v>
      </c>
      <c r="E646" s="1">
        <f>+C646/(C646+D646)</f>
        <v>0.26829268292682928</v>
      </c>
      <c r="F646" s="2">
        <v>100.7</v>
      </c>
      <c r="G646" s="2">
        <v>106.9</v>
      </c>
      <c r="H646" s="2">
        <f>+F646-G646</f>
        <v>-6.2000000000000028</v>
      </c>
      <c r="I646" s="1">
        <f>+(F646^14)/((F646^14+G646^14))</f>
        <v>0.30227828737765194</v>
      </c>
      <c r="J646" s="2">
        <v>103.9</v>
      </c>
      <c r="K646" s="2">
        <v>110.2</v>
      </c>
      <c r="L646" s="2">
        <f>+J646-K646</f>
        <v>-6.2999999999999972</v>
      </c>
      <c r="M646" s="1">
        <f>+E646-I646</f>
        <v>-3.398560445082266E-2</v>
      </c>
      <c r="N646" s="2">
        <v>105.8</v>
      </c>
      <c r="O646" s="2">
        <v>116.6</v>
      </c>
      <c r="P646" s="2">
        <f t="shared" si="9"/>
        <v>-10.799999999999997</v>
      </c>
      <c r="Q646">
        <v>0</v>
      </c>
    </row>
    <row r="647" spans="1:17">
      <c r="A647" t="s">
        <v>49</v>
      </c>
      <c r="B647" t="s">
        <v>13</v>
      </c>
      <c r="C647">
        <v>23</v>
      </c>
      <c r="D647">
        <v>43</v>
      </c>
      <c r="E647" s="1">
        <f>+C647/(C647+D647)</f>
        <v>0.34848484848484851</v>
      </c>
      <c r="F647" s="2">
        <v>97.8</v>
      </c>
      <c r="G647" s="2">
        <v>101.2</v>
      </c>
      <c r="H647" s="2">
        <f>+F647-G647</f>
        <v>-3.4000000000000057</v>
      </c>
      <c r="I647" s="1">
        <f>+(F647^14)/((F647^14+G647^14))</f>
        <v>0.38262091434510453</v>
      </c>
      <c r="J647" s="2">
        <v>103.9</v>
      </c>
      <c r="K647" s="2">
        <v>107.3</v>
      </c>
      <c r="L647" s="2">
        <f>+J647-K647</f>
        <v>-3.3999999999999915</v>
      </c>
      <c r="M647" s="1">
        <f>+E647-I647</f>
        <v>-3.4136065860256026E-2</v>
      </c>
      <c r="N647" s="2">
        <v>89</v>
      </c>
      <c r="O647" s="2">
        <v>106.6</v>
      </c>
      <c r="P647" s="2">
        <f t="shared" si="9"/>
        <v>-17.599999999999994</v>
      </c>
      <c r="Q647">
        <v>-1</v>
      </c>
    </row>
    <row r="648" spans="1:17">
      <c r="A648" t="s">
        <v>50</v>
      </c>
      <c r="B648" t="s">
        <v>16</v>
      </c>
      <c r="C648">
        <v>56</v>
      </c>
      <c r="D648">
        <v>26</v>
      </c>
      <c r="E648" s="1">
        <f>+C648/(C648+D648)</f>
        <v>0.68292682926829273</v>
      </c>
      <c r="F648" s="2">
        <v>101.1</v>
      </c>
      <c r="G648" s="2">
        <v>94.6</v>
      </c>
      <c r="H648" s="2">
        <f>+F648-G648</f>
        <v>6.5</v>
      </c>
      <c r="I648" s="1">
        <f>+(F648^14)/((F648^14+G648^14))</f>
        <v>0.71714367068078333</v>
      </c>
      <c r="J648" s="2">
        <v>109.8</v>
      </c>
      <c r="K648" s="2">
        <v>102.8</v>
      </c>
      <c r="L648" s="2">
        <f>+J648-K648</f>
        <v>7</v>
      </c>
      <c r="M648" s="1">
        <f>+E648-I648</f>
        <v>-3.4216841412490595E-2</v>
      </c>
      <c r="N648" s="2">
        <v>114.7</v>
      </c>
      <c r="O648" s="2">
        <v>114.9</v>
      </c>
      <c r="P648" s="2">
        <f t="shared" si="9"/>
        <v>-0.20000000000000284</v>
      </c>
      <c r="Q648">
        <v>2.2000000000000002</v>
      </c>
    </row>
    <row r="649" spans="1:17">
      <c r="A649" t="s">
        <v>4</v>
      </c>
      <c r="B649" t="s">
        <v>14</v>
      </c>
      <c r="C649">
        <v>45</v>
      </c>
      <c r="D649">
        <v>37</v>
      </c>
      <c r="E649" s="1">
        <f>+C649/(C649+D649)</f>
        <v>0.54878048780487809</v>
      </c>
      <c r="F649" s="2">
        <v>97.2</v>
      </c>
      <c r="G649" s="2">
        <v>94.9</v>
      </c>
      <c r="H649" s="2">
        <f>+F649-G649</f>
        <v>2.2999999999999972</v>
      </c>
      <c r="I649" s="1">
        <f>+(F649^14)/((F649^14+G649^14))</f>
        <v>0.58303819645921595</v>
      </c>
      <c r="J649" s="2">
        <v>105.2</v>
      </c>
      <c r="K649" s="2">
        <v>102.8</v>
      </c>
      <c r="L649" s="2">
        <f>+J649-K649</f>
        <v>2.4000000000000057</v>
      </c>
      <c r="M649" s="1">
        <f>+E649-I649</f>
        <v>-3.4257708654337859E-2</v>
      </c>
      <c r="N649" s="2">
        <v>104.5</v>
      </c>
      <c r="O649" s="2">
        <v>88.1</v>
      </c>
      <c r="P649" s="2">
        <f t="shared" si="9"/>
        <v>16.400000000000006</v>
      </c>
      <c r="Q649">
        <v>1.4</v>
      </c>
    </row>
    <row r="650" spans="1:17">
      <c r="A650" t="s">
        <v>52</v>
      </c>
      <c r="B650" t="s">
        <v>23</v>
      </c>
      <c r="C650">
        <v>23</v>
      </c>
      <c r="D650">
        <v>59</v>
      </c>
      <c r="E650" s="1">
        <f>+C650/(C650+D650)</f>
        <v>0.28048780487804881</v>
      </c>
      <c r="F650" s="2">
        <v>96.5</v>
      </c>
      <c r="G650" s="2">
        <v>102</v>
      </c>
      <c r="H650" s="2">
        <f>+F650-G650</f>
        <v>-5.5</v>
      </c>
      <c r="I650" s="1">
        <f>+(F650^14)/((F650^14+G650^14))</f>
        <v>0.31517888985534531</v>
      </c>
      <c r="J650" s="2">
        <v>101</v>
      </c>
      <c r="K650" s="2">
        <v>106.6</v>
      </c>
      <c r="L650" s="2">
        <f>+J650-K650</f>
        <v>-5.5999999999999943</v>
      </c>
      <c r="M650" s="1">
        <f>+E650-I650</f>
        <v>-3.4691084977296505E-2</v>
      </c>
      <c r="N650" s="2">
        <v>87.9</v>
      </c>
      <c r="O650" s="2">
        <v>105.2</v>
      </c>
      <c r="P650" s="2">
        <f t="shared" ref="P650:P713" si="10">+N650-O650</f>
        <v>-17.299999999999997</v>
      </c>
      <c r="Q650">
        <v>-0.3</v>
      </c>
    </row>
    <row r="651" spans="1:17">
      <c r="A651" t="s">
        <v>65</v>
      </c>
      <c r="B651" t="s">
        <v>56</v>
      </c>
      <c r="C651">
        <v>50</v>
      </c>
      <c r="D651">
        <v>32</v>
      </c>
      <c r="E651" s="1">
        <f>+C651/(C651+D651)</f>
        <v>0.6097560975609756</v>
      </c>
      <c r="F651" s="2">
        <v>112.9</v>
      </c>
      <c r="G651" s="2">
        <v>108.2</v>
      </c>
      <c r="H651" s="2">
        <f>+F651-G651</f>
        <v>4.7000000000000028</v>
      </c>
      <c r="I651" s="1">
        <f>+(F651^14)/((F651^14+G651^14))</f>
        <v>0.64457924701771829</v>
      </c>
      <c r="J651" s="2">
        <v>114.3</v>
      </c>
      <c r="K651" s="2">
        <v>109.4</v>
      </c>
      <c r="L651" s="2">
        <f>+J651-K651</f>
        <v>4.8999999999999915</v>
      </c>
      <c r="M651" s="1">
        <f>+E651-I651</f>
        <v>-3.4823149456742697E-2</v>
      </c>
      <c r="N651" s="2">
        <v>105.9</v>
      </c>
      <c r="O651" s="2">
        <v>106</v>
      </c>
      <c r="P651" s="2">
        <f t="shared" si="10"/>
        <v>-9.9999999999994316E-2</v>
      </c>
      <c r="Q651">
        <v>1</v>
      </c>
    </row>
    <row r="652" spans="1:17">
      <c r="A652" t="s">
        <v>34</v>
      </c>
      <c r="B652" t="s">
        <v>25</v>
      </c>
      <c r="C652">
        <v>36</v>
      </c>
      <c r="D652">
        <v>46</v>
      </c>
      <c r="E652" s="1">
        <f>+C652/(C652+D652)</f>
        <v>0.43902439024390244</v>
      </c>
      <c r="F652" s="2">
        <v>95.1</v>
      </c>
      <c r="G652" s="2">
        <v>95.8</v>
      </c>
      <c r="H652" s="2">
        <f>+F652-G652</f>
        <v>-0.70000000000000284</v>
      </c>
      <c r="I652" s="1">
        <f>+(F652^14)/((F652^14+G652^14))</f>
        <v>0.47435452063041067</v>
      </c>
      <c r="J652" s="2">
        <v>101.8</v>
      </c>
      <c r="K652" s="2">
        <v>102.6</v>
      </c>
      <c r="L652" s="2">
        <f>+J652-K652</f>
        <v>-0.79999999999999716</v>
      </c>
      <c r="M652" s="1">
        <f>+E652-I652</f>
        <v>-3.5330130386508229E-2</v>
      </c>
      <c r="N652" s="2">
        <v>104</v>
      </c>
      <c r="O652" s="2">
        <v>101.8</v>
      </c>
      <c r="P652" s="2">
        <f t="shared" si="10"/>
        <v>2.2000000000000028</v>
      </c>
      <c r="Q652">
        <v>0.1</v>
      </c>
    </row>
    <row r="653" spans="1:17">
      <c r="A653" t="s">
        <v>50</v>
      </c>
      <c r="B653" t="s">
        <v>37</v>
      </c>
      <c r="C653">
        <v>27</v>
      </c>
      <c r="D653">
        <v>55</v>
      </c>
      <c r="E653" s="1">
        <f>+C653/(C653+D653)</f>
        <v>0.32926829268292684</v>
      </c>
      <c r="F653" s="2">
        <v>94.1</v>
      </c>
      <c r="G653" s="2">
        <v>97.9</v>
      </c>
      <c r="H653" s="2">
        <f>+F653-G653</f>
        <v>-3.8000000000000114</v>
      </c>
      <c r="I653" s="1">
        <f>+(F653^14)/((F653^14+G653^14))</f>
        <v>0.3648814793953255</v>
      </c>
      <c r="J653" s="2">
        <v>104.5</v>
      </c>
      <c r="K653" s="2">
        <v>108.9</v>
      </c>
      <c r="L653" s="2">
        <f>+J653-K653</f>
        <v>-4.4000000000000057</v>
      </c>
      <c r="M653" s="1">
        <f>+E653-I653</f>
        <v>-3.5613186712398659E-2</v>
      </c>
      <c r="N653" s="2">
        <v>93.6</v>
      </c>
      <c r="O653" s="2">
        <v>116.9</v>
      </c>
      <c r="P653" s="2">
        <f t="shared" si="10"/>
        <v>-23.300000000000011</v>
      </c>
      <c r="Q653">
        <v>-0.7</v>
      </c>
    </row>
    <row r="654" spans="1:17">
      <c r="A654" t="s">
        <v>38</v>
      </c>
      <c r="B654" t="s">
        <v>19</v>
      </c>
      <c r="C654">
        <v>41</v>
      </c>
      <c r="D654">
        <v>41</v>
      </c>
      <c r="E654" s="1">
        <f>+C654/(C654+D654)</f>
        <v>0.5</v>
      </c>
      <c r="F654" s="2">
        <v>98</v>
      </c>
      <c r="G654" s="2">
        <v>97</v>
      </c>
      <c r="H654" s="2">
        <f>+F654-G654</f>
        <v>1</v>
      </c>
      <c r="I654" s="1">
        <f>+(F654^14)/((F654^14+G654^14))</f>
        <v>0.53583619805025806</v>
      </c>
      <c r="J654" s="2">
        <v>104.6</v>
      </c>
      <c r="K654" s="2">
        <v>103.5</v>
      </c>
      <c r="L654" s="2">
        <f>+J654-K654</f>
        <v>1.0999999999999943</v>
      </c>
      <c r="M654" s="1">
        <f>+E654-I654</f>
        <v>-3.5836198050258061E-2</v>
      </c>
      <c r="N654" s="2">
        <v>94.3</v>
      </c>
      <c r="O654" s="2">
        <v>97.1</v>
      </c>
      <c r="P654" s="2">
        <f t="shared" si="10"/>
        <v>-2.7999999999999972</v>
      </c>
      <c r="Q654">
        <v>0.2</v>
      </c>
    </row>
    <row r="655" spans="1:17">
      <c r="A655" t="s">
        <v>50</v>
      </c>
      <c r="B655" t="s">
        <v>20</v>
      </c>
      <c r="C655">
        <v>31</v>
      </c>
      <c r="D655">
        <v>51</v>
      </c>
      <c r="E655" s="1">
        <f>+C655/(C655+D655)</f>
        <v>0.37804878048780488</v>
      </c>
      <c r="F655" s="2">
        <v>95.7</v>
      </c>
      <c r="G655" s="2">
        <v>98.1</v>
      </c>
      <c r="H655" s="2">
        <f>+F655-G655</f>
        <v>-2.3999999999999915</v>
      </c>
      <c r="I655" s="1">
        <f>+(F655^14)/((F655^14+G655^14))</f>
        <v>0.41416664534903919</v>
      </c>
      <c r="J655" s="2">
        <v>101.8</v>
      </c>
      <c r="K655" s="2">
        <v>104</v>
      </c>
      <c r="L655" s="2">
        <f>+J655-K655</f>
        <v>-2.2000000000000028</v>
      </c>
      <c r="M655" s="1">
        <f>+E655-I655</f>
        <v>-3.6117864861234306E-2</v>
      </c>
      <c r="N655" s="2">
        <v>96.4</v>
      </c>
      <c r="O655" s="2">
        <v>103.9</v>
      </c>
      <c r="P655" s="2">
        <f t="shared" si="10"/>
        <v>-7.5</v>
      </c>
      <c r="Q655">
        <v>-1.1000000000000001</v>
      </c>
    </row>
    <row r="656" spans="1:17">
      <c r="A656" t="s">
        <v>43</v>
      </c>
      <c r="B656" t="s">
        <v>27</v>
      </c>
      <c r="C656">
        <v>33</v>
      </c>
      <c r="D656">
        <v>49</v>
      </c>
      <c r="E656" s="1">
        <f>+C656/(C656+D656)</f>
        <v>0.40243902439024393</v>
      </c>
      <c r="F656" s="2">
        <v>101.3</v>
      </c>
      <c r="G656" s="2">
        <v>103.1</v>
      </c>
      <c r="H656" s="2">
        <f>+F656-G656</f>
        <v>-1.7999999999999972</v>
      </c>
      <c r="I656" s="1">
        <f>+(F656^14)/((F656^14+G656^14))</f>
        <v>0.43866503316264344</v>
      </c>
      <c r="J656" s="2">
        <v>105.1</v>
      </c>
      <c r="K656" s="2">
        <v>106.7</v>
      </c>
      <c r="L656" s="2">
        <f>+J656-K656</f>
        <v>-1.6000000000000085</v>
      </c>
      <c r="M656" s="1">
        <f>+E656-I656</f>
        <v>-3.6226008772399509E-2</v>
      </c>
      <c r="N656" s="2">
        <v>93.7</v>
      </c>
      <c r="O656" s="2">
        <v>109</v>
      </c>
      <c r="P656" s="2">
        <f t="shared" si="10"/>
        <v>-15.299999999999997</v>
      </c>
      <c r="Q656">
        <v>-0.4</v>
      </c>
    </row>
    <row r="657" spans="1:17">
      <c r="A657" t="s">
        <v>58</v>
      </c>
      <c r="B657" t="s">
        <v>5</v>
      </c>
      <c r="C657">
        <v>24</v>
      </c>
      <c r="D657">
        <v>58</v>
      </c>
      <c r="E657" s="1">
        <f>+C657/(C657+D657)</f>
        <v>0.29268292682926828</v>
      </c>
      <c r="F657" s="2">
        <v>103.4</v>
      </c>
      <c r="G657" s="2">
        <v>108.8</v>
      </c>
      <c r="H657" s="2">
        <f>+F657-G657</f>
        <v>-5.3999999999999915</v>
      </c>
      <c r="I657" s="1">
        <f>+(F657^14)/((F657^14+G657^14))</f>
        <v>0.32900489498317276</v>
      </c>
      <c r="J657" s="2">
        <v>104.4</v>
      </c>
      <c r="K657" s="2">
        <v>110.1</v>
      </c>
      <c r="L657" s="2">
        <f>+J657-K657</f>
        <v>-5.6999999999999886</v>
      </c>
      <c r="M657" s="1">
        <f>+E657-I657</f>
        <v>-3.6321968153904483E-2</v>
      </c>
      <c r="N657" s="2">
        <v>105.4</v>
      </c>
      <c r="O657" s="2">
        <v>111.5</v>
      </c>
      <c r="P657" s="2">
        <f t="shared" si="10"/>
        <v>-6.0999999999999943</v>
      </c>
      <c r="Q657">
        <v>0.4</v>
      </c>
    </row>
    <row r="658" spans="1:17">
      <c r="A658" t="s">
        <v>63</v>
      </c>
      <c r="B658" t="s">
        <v>33</v>
      </c>
      <c r="C658">
        <v>35</v>
      </c>
      <c r="D658">
        <v>47</v>
      </c>
      <c r="E658" s="1">
        <f>+C658/(C658+D658)</f>
        <v>0.42682926829268292</v>
      </c>
      <c r="F658" s="2">
        <v>113.2</v>
      </c>
      <c r="G658" s="2">
        <v>114.4</v>
      </c>
      <c r="H658" s="2">
        <f>+F658-G658</f>
        <v>-1.2000000000000028</v>
      </c>
      <c r="I658" s="1">
        <f>+(F658^14)/((F658^14+G658^14))</f>
        <v>0.46315968852837397</v>
      </c>
      <c r="J658" s="2">
        <v>113.7</v>
      </c>
      <c r="K658" s="2">
        <v>114.9</v>
      </c>
      <c r="L658" s="2">
        <f>+J658-K658</f>
        <v>-1.2000000000000028</v>
      </c>
      <c r="M658" s="1">
        <f>+E658-I658</f>
        <v>-3.6330420235691052E-2</v>
      </c>
      <c r="N658" s="2">
        <v>101.4</v>
      </c>
      <c r="O658" s="2">
        <v>110.3</v>
      </c>
      <c r="P658" s="2">
        <f t="shared" si="10"/>
        <v>-8.8999999999999915</v>
      </c>
      <c r="Q658">
        <v>0</v>
      </c>
    </row>
    <row r="659" spans="1:17">
      <c r="A659" t="s">
        <v>66</v>
      </c>
      <c r="B659" t="s">
        <v>10</v>
      </c>
      <c r="C659">
        <v>21</v>
      </c>
      <c r="D659">
        <v>42</v>
      </c>
      <c r="E659" s="1">
        <f>+C659/(C659+D659)</f>
        <v>0.33333333333333331</v>
      </c>
      <c r="F659" s="2">
        <v>113.3</v>
      </c>
      <c r="G659" s="2">
        <v>117.7</v>
      </c>
      <c r="H659" s="2">
        <f>+F659-G659</f>
        <v>-4.4000000000000057</v>
      </c>
      <c r="I659" s="1">
        <f>+(F659^14)/((F659^14+G659^14))</f>
        <v>0.36972474338344835</v>
      </c>
      <c r="J659" s="2">
        <v>109.8</v>
      </c>
      <c r="K659" s="2">
        <v>114</v>
      </c>
      <c r="L659" s="2">
        <f>+J659-K659</f>
        <v>-4.2000000000000028</v>
      </c>
      <c r="M659" s="1">
        <f>+E659-I659</f>
        <v>-3.6391410050115036E-2</v>
      </c>
      <c r="N659" s="2">
        <v>103.6</v>
      </c>
      <c r="O659" s="2">
        <v>113.4</v>
      </c>
      <c r="P659" s="2">
        <f t="shared" si="10"/>
        <v>-9.8000000000000114</v>
      </c>
      <c r="Q659">
        <v>-0.3</v>
      </c>
    </row>
    <row r="660" spans="1:17">
      <c r="A660" t="s">
        <v>61</v>
      </c>
      <c r="B660" t="s">
        <v>14</v>
      </c>
      <c r="C660">
        <v>17</v>
      </c>
      <c r="D660">
        <v>55</v>
      </c>
      <c r="E660" s="1">
        <f>+C660/(C660+D660)</f>
        <v>0.2361111111111111</v>
      </c>
      <c r="F660" s="2">
        <v>108.8</v>
      </c>
      <c r="G660" s="2">
        <v>116.7</v>
      </c>
      <c r="H660" s="2">
        <f>+F660-G660</f>
        <v>-7.9000000000000057</v>
      </c>
      <c r="I660" s="1">
        <f>+(F660^14)/((F660^14+G660^14))</f>
        <v>0.27262739354761001</v>
      </c>
      <c r="J660" s="2">
        <v>107</v>
      </c>
      <c r="K660" s="2">
        <v>114.4</v>
      </c>
      <c r="L660" s="2">
        <f>+J660-K660</f>
        <v>-7.4000000000000057</v>
      </c>
      <c r="M660" s="1">
        <f>+E660-I660</f>
        <v>-3.6516282436498904E-2</v>
      </c>
      <c r="N660" s="2">
        <v>97</v>
      </c>
      <c r="O660" s="2">
        <v>112.9</v>
      </c>
      <c r="P660" s="2">
        <f t="shared" si="10"/>
        <v>-15.900000000000006</v>
      </c>
      <c r="Q660">
        <v>-1.2</v>
      </c>
    </row>
    <row r="661" spans="1:17">
      <c r="A661" t="s">
        <v>55</v>
      </c>
      <c r="B661" t="s">
        <v>5</v>
      </c>
      <c r="C661">
        <v>48</v>
      </c>
      <c r="D661">
        <v>34</v>
      </c>
      <c r="E661" s="1">
        <f>+C661/(C661+D661)</f>
        <v>0.58536585365853655</v>
      </c>
      <c r="F661" s="2">
        <v>102.8</v>
      </c>
      <c r="G661" s="2">
        <v>99.2</v>
      </c>
      <c r="H661" s="2">
        <f>+F661-G661</f>
        <v>3.5999999999999943</v>
      </c>
      <c r="I661" s="1">
        <f>+(F661^14)/((F661^14+G661^14))</f>
        <v>0.62223904687782716</v>
      </c>
      <c r="J661" s="2">
        <v>104.6</v>
      </c>
      <c r="K661" s="2">
        <v>100.8</v>
      </c>
      <c r="L661" s="2">
        <f>+J661-K661</f>
        <v>3.7999999999999972</v>
      </c>
      <c r="M661" s="1">
        <f>+E661-I661</f>
        <v>-3.6873193219290612E-2</v>
      </c>
      <c r="N661" s="2">
        <v>104.5</v>
      </c>
      <c r="O661" s="2">
        <v>98</v>
      </c>
      <c r="P661" s="2">
        <f t="shared" si="10"/>
        <v>6.5</v>
      </c>
      <c r="Q661">
        <v>2.4</v>
      </c>
    </row>
    <row r="662" spans="1:17">
      <c r="A662" t="s">
        <v>48</v>
      </c>
      <c r="B662" t="s">
        <v>18</v>
      </c>
      <c r="C662">
        <v>58</v>
      </c>
      <c r="D662">
        <v>24</v>
      </c>
      <c r="E662" s="1">
        <f>+C662/(C662+D662)</f>
        <v>0.70731707317073167</v>
      </c>
      <c r="F662" s="2">
        <v>102.1</v>
      </c>
      <c r="G662" s="2">
        <v>94.6</v>
      </c>
      <c r="H662" s="2">
        <f>+F662-G662</f>
        <v>7.5</v>
      </c>
      <c r="I662" s="1">
        <f>+(F662^14)/((F662^14+G662^14))</f>
        <v>0.7442417947513682</v>
      </c>
      <c r="J662" s="2">
        <v>110.6</v>
      </c>
      <c r="K662" s="2">
        <v>102.9</v>
      </c>
      <c r="L662" s="2">
        <f>+J662-K662</f>
        <v>7.6999999999999886</v>
      </c>
      <c r="M662" s="1">
        <f>+E662-I662</f>
        <v>-3.6924721580636533E-2</v>
      </c>
      <c r="N662" s="2">
        <v>113.5</v>
      </c>
      <c r="O662" s="2">
        <v>102.8</v>
      </c>
      <c r="P662" s="2">
        <f t="shared" si="10"/>
        <v>10.700000000000003</v>
      </c>
      <c r="Q662">
        <v>1.4</v>
      </c>
    </row>
    <row r="663" spans="1:17">
      <c r="A663" t="s">
        <v>57</v>
      </c>
      <c r="B663" t="s">
        <v>25</v>
      </c>
      <c r="C663">
        <v>24</v>
      </c>
      <c r="D663">
        <v>58</v>
      </c>
      <c r="E663" s="1">
        <f>+C663/(C663+D663)</f>
        <v>0.29268292682926828</v>
      </c>
      <c r="F663" s="2">
        <v>107.7</v>
      </c>
      <c r="G663" s="2">
        <v>113.3</v>
      </c>
      <c r="H663" s="2">
        <f>+F663-G663</f>
        <v>-5.5999999999999943</v>
      </c>
      <c r="I663" s="1">
        <f>+(F663^14)/((F663^14+G663^14))</f>
        <v>0.3296752595531568</v>
      </c>
      <c r="J663" s="2">
        <v>106.1</v>
      </c>
      <c r="K663" s="2">
        <v>111.3</v>
      </c>
      <c r="L663" s="2">
        <f>+J663-K663</f>
        <v>-5.2000000000000028</v>
      </c>
      <c r="M663" s="1">
        <f>+E663-I663</f>
        <v>-3.6992332723888521E-2</v>
      </c>
      <c r="N663" s="2">
        <v>103</v>
      </c>
      <c r="O663" s="2">
        <v>119.5</v>
      </c>
      <c r="P663" s="2">
        <f t="shared" si="10"/>
        <v>-16.5</v>
      </c>
      <c r="Q663">
        <v>-1.5</v>
      </c>
    </row>
    <row r="664" spans="1:17">
      <c r="A664" t="s">
        <v>47</v>
      </c>
      <c r="B664" t="s">
        <v>24</v>
      </c>
      <c r="C664">
        <v>27</v>
      </c>
      <c r="D664">
        <v>55</v>
      </c>
      <c r="E664" s="1">
        <f>+C664/(C664+D664)</f>
        <v>0.32926829268292684</v>
      </c>
      <c r="F664" s="2">
        <v>97.7</v>
      </c>
      <c r="G664" s="2">
        <v>101.6</v>
      </c>
      <c r="H664" s="2">
        <f>+F664-G664</f>
        <v>-3.8999999999999915</v>
      </c>
      <c r="I664" s="1">
        <f>+(F664^14)/((F664^14+G664^14))</f>
        <v>0.36633141190976742</v>
      </c>
      <c r="J664" s="2">
        <v>104.8</v>
      </c>
      <c r="K664" s="2">
        <v>108.9</v>
      </c>
      <c r="L664" s="2">
        <f>+J664-K664</f>
        <v>-4.1000000000000085</v>
      </c>
      <c r="M664" s="1">
        <f>+E664-I664</f>
        <v>-3.706311922684058E-2</v>
      </c>
      <c r="N664" s="2">
        <v>93.9</v>
      </c>
      <c r="O664" s="2">
        <v>111.1</v>
      </c>
      <c r="P664" s="2">
        <f t="shared" si="10"/>
        <v>-17.199999999999989</v>
      </c>
      <c r="Q664">
        <v>-1.4</v>
      </c>
    </row>
    <row r="665" spans="1:17">
      <c r="A665" t="s">
        <v>52</v>
      </c>
      <c r="B665" t="s">
        <v>13</v>
      </c>
      <c r="C665">
        <v>51</v>
      </c>
      <c r="D665">
        <v>31</v>
      </c>
      <c r="E665" s="1">
        <f>+C665/(C665+D665)</f>
        <v>0.62195121951219512</v>
      </c>
      <c r="F665" s="2">
        <v>104.3</v>
      </c>
      <c r="G665" s="2">
        <v>99.5</v>
      </c>
      <c r="H665" s="2">
        <f>+F665-G665</f>
        <v>4.7999999999999972</v>
      </c>
      <c r="I665" s="1">
        <f>+(F665^14)/((F665^14+G665^14))</f>
        <v>0.65916874214261856</v>
      </c>
      <c r="J665" s="2">
        <v>106.3</v>
      </c>
      <c r="K665" s="2">
        <v>101.4</v>
      </c>
      <c r="L665" s="2">
        <f>+J665-K665</f>
        <v>4.8999999999999915</v>
      </c>
      <c r="M665" s="1">
        <f>+E665-I665</f>
        <v>-3.7217522630423439E-2</v>
      </c>
      <c r="N665" s="2">
        <v>101.2</v>
      </c>
      <c r="O665" s="2">
        <v>94.5</v>
      </c>
      <c r="P665" s="2">
        <f t="shared" si="10"/>
        <v>6.7000000000000028</v>
      </c>
      <c r="Q665">
        <v>0.5</v>
      </c>
    </row>
    <row r="666" spans="1:17">
      <c r="A666" t="s">
        <v>34</v>
      </c>
      <c r="B666" t="s">
        <v>24</v>
      </c>
      <c r="C666">
        <v>43</v>
      </c>
      <c r="D666">
        <v>39</v>
      </c>
      <c r="E666" s="1">
        <f>+C666/(C666+D666)</f>
        <v>0.52439024390243905</v>
      </c>
      <c r="F666" s="2">
        <v>91</v>
      </c>
      <c r="G666" s="2">
        <v>89.4</v>
      </c>
      <c r="H666" s="2">
        <f>+F666-G666</f>
        <v>1.5999999999999943</v>
      </c>
      <c r="I666" s="1">
        <f>+(F666^14)/((F666^14+G666^14))</f>
        <v>0.56176874789874143</v>
      </c>
      <c r="J666" s="2">
        <v>100.5</v>
      </c>
      <c r="K666" s="2">
        <v>98.7</v>
      </c>
      <c r="L666" s="2">
        <f>+J666-K666</f>
        <v>1.7999999999999972</v>
      </c>
      <c r="M666" s="1">
        <f>+E666-I666</f>
        <v>-3.7378503996302381E-2</v>
      </c>
      <c r="N666" s="2">
        <v>90.2</v>
      </c>
      <c r="O666" s="2">
        <v>83</v>
      </c>
      <c r="P666" s="2">
        <f t="shared" si="10"/>
        <v>7.2000000000000028</v>
      </c>
      <c r="Q666">
        <v>0</v>
      </c>
    </row>
    <row r="667" spans="1:17">
      <c r="A667" t="s">
        <v>57</v>
      </c>
      <c r="B667" t="s">
        <v>18</v>
      </c>
      <c r="C667">
        <v>41</v>
      </c>
      <c r="D667">
        <v>41</v>
      </c>
      <c r="E667" s="1">
        <f>+C667/(C667+D667)</f>
        <v>0.5</v>
      </c>
      <c r="F667" s="2">
        <v>103.2</v>
      </c>
      <c r="G667" s="2">
        <v>102.1</v>
      </c>
      <c r="H667" s="2">
        <f>+F667-G667</f>
        <v>1.1000000000000085</v>
      </c>
      <c r="I667" s="1">
        <f>+(F667^14)/((F667^14+G667^14))</f>
        <v>0.53743625677450491</v>
      </c>
      <c r="J667" s="2">
        <v>107.4</v>
      </c>
      <c r="K667" s="2">
        <v>106.4</v>
      </c>
      <c r="L667" s="2">
        <f>+J667-K667</f>
        <v>1</v>
      </c>
      <c r="M667" s="1">
        <f>+E667-I667</f>
        <v>-3.7436256774504906E-2</v>
      </c>
      <c r="N667" s="2">
        <v>96.4</v>
      </c>
      <c r="O667" s="2">
        <v>107.3</v>
      </c>
      <c r="P667" s="2">
        <f t="shared" si="10"/>
        <v>-10.899999999999991</v>
      </c>
      <c r="Q667">
        <v>1</v>
      </c>
    </row>
    <row r="668" spans="1:17">
      <c r="A668" t="s">
        <v>54</v>
      </c>
      <c r="B668" t="s">
        <v>20</v>
      </c>
      <c r="C668">
        <v>16</v>
      </c>
      <c r="D668">
        <v>66</v>
      </c>
      <c r="E668" s="1">
        <f>+C668/(C668+D668)</f>
        <v>0.1951219512195122</v>
      </c>
      <c r="F668" s="2">
        <v>97.8</v>
      </c>
      <c r="G668" s="2">
        <v>106.5</v>
      </c>
      <c r="H668" s="2">
        <f>+F668-G668</f>
        <v>-8.7000000000000028</v>
      </c>
      <c r="I668" s="1">
        <f>+(F668^14)/((F668^14+G668^14))</f>
        <v>0.23270751266872564</v>
      </c>
      <c r="J668" s="2">
        <v>101.8</v>
      </c>
      <c r="K668" s="2">
        <v>110.9</v>
      </c>
      <c r="L668" s="2">
        <f>+J668-K668</f>
        <v>-9.1000000000000085</v>
      </c>
      <c r="M668" s="1">
        <f>+E668-I668</f>
        <v>-3.7585561449213434E-2</v>
      </c>
      <c r="N668" s="2">
        <v>103.7</v>
      </c>
      <c r="O668" s="2">
        <v>107.6</v>
      </c>
      <c r="P668" s="2">
        <f t="shared" si="10"/>
        <v>-3.8999999999999915</v>
      </c>
      <c r="Q668">
        <v>-0.1</v>
      </c>
    </row>
    <row r="669" spans="1:17">
      <c r="A669" t="s">
        <v>39</v>
      </c>
      <c r="B669" t="s">
        <v>35</v>
      </c>
      <c r="C669">
        <v>45</v>
      </c>
      <c r="D669">
        <v>37</v>
      </c>
      <c r="E669" s="1">
        <f>+C669/(C669+D669)</f>
        <v>0.54878048780487809</v>
      </c>
      <c r="F669" s="2">
        <v>93.4</v>
      </c>
      <c r="G669" s="2">
        <v>91.1</v>
      </c>
      <c r="H669" s="2">
        <f>+F669-G669</f>
        <v>2.3000000000000114</v>
      </c>
      <c r="I669" s="1">
        <f>+(F669^14)/((F669^14+G669^14))</f>
        <v>0.58639193476175844</v>
      </c>
      <c r="J669" s="2">
        <v>104.2</v>
      </c>
      <c r="K669" s="2">
        <v>101.5</v>
      </c>
      <c r="L669" s="2">
        <f>+J669-K669</f>
        <v>2.7000000000000028</v>
      </c>
      <c r="M669" s="1">
        <f>+E669-I669</f>
        <v>-3.7611446956880346E-2</v>
      </c>
      <c r="N669" s="2">
        <v>103.9</v>
      </c>
      <c r="O669" s="2">
        <v>93.3</v>
      </c>
      <c r="P669" s="2">
        <f t="shared" si="10"/>
        <v>10.600000000000009</v>
      </c>
      <c r="Q669">
        <v>0</v>
      </c>
    </row>
    <row r="670" spans="1:17">
      <c r="A670" t="s">
        <v>61</v>
      </c>
      <c r="B670" t="s">
        <v>31</v>
      </c>
      <c r="C670">
        <v>52</v>
      </c>
      <c r="D670">
        <v>20</v>
      </c>
      <c r="E670" s="1">
        <f>+C670/(C670+D670)</f>
        <v>0.72222222222222221</v>
      </c>
      <c r="F670" s="2">
        <v>116.4</v>
      </c>
      <c r="G670" s="2">
        <v>107.2</v>
      </c>
      <c r="H670" s="2">
        <f>+F670-G670</f>
        <v>9.2000000000000028</v>
      </c>
      <c r="I670" s="1">
        <f>+(F670^14)/((F670^14+G670^14))</f>
        <v>0.76000519896530916</v>
      </c>
      <c r="J670" s="2">
        <v>116.5</v>
      </c>
      <c r="K670" s="2">
        <v>107.5</v>
      </c>
      <c r="L670" s="2">
        <f>+J670-K670</f>
        <v>9</v>
      </c>
      <c r="M670" s="1">
        <f>+E670-I670</f>
        <v>-3.7782976743086949E-2</v>
      </c>
      <c r="N670" s="2">
        <v>118.2</v>
      </c>
      <c r="O670" s="2">
        <v>110.1</v>
      </c>
      <c r="P670" s="2">
        <f t="shared" si="10"/>
        <v>8.1000000000000085</v>
      </c>
      <c r="Q670">
        <v>1.2</v>
      </c>
    </row>
    <row r="671" spans="1:17">
      <c r="A671" t="s">
        <v>39</v>
      </c>
      <c r="B671" t="s">
        <v>5</v>
      </c>
      <c r="C671">
        <v>13</v>
      </c>
      <c r="D671">
        <v>69</v>
      </c>
      <c r="E671" s="1">
        <f>+C671/(C671+D671)</f>
        <v>0.15853658536585366</v>
      </c>
      <c r="F671" s="2">
        <v>92.7</v>
      </c>
      <c r="G671" s="2">
        <v>102.5</v>
      </c>
      <c r="H671" s="2">
        <f>+F671-G671</f>
        <v>-9.7999999999999972</v>
      </c>
      <c r="I671" s="1">
        <f>+(F671^14)/((F671^14+G671^14))</f>
        <v>0.19672021863355632</v>
      </c>
      <c r="J671" s="2">
        <v>98.8</v>
      </c>
      <c r="K671" s="2">
        <v>109</v>
      </c>
      <c r="L671" s="2">
        <f>+J671-K671</f>
        <v>-10.200000000000003</v>
      </c>
      <c r="M671" s="1">
        <f>+E671-I671</f>
        <v>-3.818363326770266E-2</v>
      </c>
      <c r="N671" s="2">
        <v>94.5</v>
      </c>
      <c r="O671" s="2">
        <v>109.5</v>
      </c>
      <c r="P671" s="2">
        <f t="shared" si="10"/>
        <v>-15</v>
      </c>
      <c r="Q671">
        <v>-2.4</v>
      </c>
    </row>
    <row r="672" spans="1:17">
      <c r="A672" t="s">
        <v>44</v>
      </c>
      <c r="B672" t="s">
        <v>18</v>
      </c>
      <c r="C672">
        <v>15</v>
      </c>
      <c r="D672">
        <v>67</v>
      </c>
      <c r="E672" s="1">
        <f>+C672/(C672+D672)</f>
        <v>0.18292682926829268</v>
      </c>
      <c r="F672" s="2">
        <v>91.4</v>
      </c>
      <c r="G672" s="2">
        <v>100</v>
      </c>
      <c r="H672" s="2">
        <f>+F672-G672</f>
        <v>-8.5999999999999943</v>
      </c>
      <c r="I672" s="1">
        <f>+(F672^14)/((F672^14+G672^14))</f>
        <v>0.2211554021057861</v>
      </c>
      <c r="J672" s="2">
        <v>99.4</v>
      </c>
      <c r="K672" s="2">
        <v>108.8</v>
      </c>
      <c r="L672" s="2">
        <f>+J672-K672</f>
        <v>-9.3999999999999915</v>
      </c>
      <c r="M672" s="1">
        <f>+E672-I672</f>
        <v>-3.8228572837493424E-2</v>
      </c>
      <c r="N672" s="2">
        <v>85.2</v>
      </c>
      <c r="O672" s="2">
        <v>111.4</v>
      </c>
      <c r="P672" s="2">
        <f t="shared" si="10"/>
        <v>-26.200000000000003</v>
      </c>
      <c r="Q672">
        <v>-2</v>
      </c>
    </row>
    <row r="673" spans="1:17">
      <c r="A673" t="s">
        <v>39</v>
      </c>
      <c r="B673" t="s">
        <v>30</v>
      </c>
      <c r="C673">
        <v>33</v>
      </c>
      <c r="D673">
        <v>49</v>
      </c>
      <c r="E673" s="1">
        <f>+C673/(C673+D673)</f>
        <v>0.40243902439024393</v>
      </c>
      <c r="F673" s="2">
        <v>99.7</v>
      </c>
      <c r="G673" s="2">
        <v>101.4</v>
      </c>
      <c r="H673" s="2">
        <f>+F673-G673</f>
        <v>-1.7000000000000028</v>
      </c>
      <c r="I673" s="1">
        <f>+(F673^14)/((F673^14+G673^14))</f>
        <v>0.44109880691820486</v>
      </c>
      <c r="J673" s="2">
        <v>105.4</v>
      </c>
      <c r="K673" s="2">
        <v>107.2</v>
      </c>
      <c r="L673" s="2">
        <f>+J673-K673</f>
        <v>-1.7999999999999972</v>
      </c>
      <c r="M673" s="1">
        <f>+E673-I673</f>
        <v>-3.8659782527960929E-2</v>
      </c>
      <c r="N673" s="2">
        <v>110.7</v>
      </c>
      <c r="O673" s="2">
        <v>104.6</v>
      </c>
      <c r="P673" s="2">
        <f t="shared" si="10"/>
        <v>6.1000000000000085</v>
      </c>
      <c r="Q673">
        <v>2</v>
      </c>
    </row>
    <row r="674" spans="1:17">
      <c r="A674" t="s">
        <v>59</v>
      </c>
      <c r="B674" t="s">
        <v>6</v>
      </c>
      <c r="C674">
        <v>49</v>
      </c>
      <c r="D674">
        <v>33</v>
      </c>
      <c r="E674" s="1">
        <f>+C674/(C674+D674)</f>
        <v>0.59756097560975607</v>
      </c>
      <c r="F674" s="2">
        <v>112.4</v>
      </c>
      <c r="G674" s="2">
        <v>108</v>
      </c>
      <c r="H674" s="2">
        <f>+F674-G674</f>
        <v>4.4000000000000057</v>
      </c>
      <c r="I674" s="1">
        <f>+(F674^14)/((F674^14+G674^14))</f>
        <v>0.63623453885464354</v>
      </c>
      <c r="J674" s="2">
        <v>111.3</v>
      </c>
      <c r="K674" s="2">
        <v>107</v>
      </c>
      <c r="L674" s="2">
        <f>+J674-K674</f>
        <v>4.2999999999999972</v>
      </c>
      <c r="M674" s="1">
        <f>+E674-I674</f>
        <v>-3.8673563244887466E-2</v>
      </c>
      <c r="N674" s="2">
        <v>123.8</v>
      </c>
      <c r="O674" s="2">
        <v>114.7</v>
      </c>
      <c r="P674" s="2">
        <f t="shared" si="10"/>
        <v>9.0999999999999943</v>
      </c>
      <c r="Q674">
        <v>1.4</v>
      </c>
    </row>
    <row r="675" spans="1:17">
      <c r="A675" t="s">
        <v>65</v>
      </c>
      <c r="B675" t="s">
        <v>31</v>
      </c>
      <c r="C675">
        <v>17</v>
      </c>
      <c r="D675">
        <v>65</v>
      </c>
      <c r="E675" s="1">
        <f>+C675/(C675+D675)</f>
        <v>0.2073170731707317</v>
      </c>
      <c r="F675" s="2">
        <v>111.9</v>
      </c>
      <c r="G675" s="2">
        <v>121.2</v>
      </c>
      <c r="H675" s="2">
        <f>+F675-G675</f>
        <v>-9.2999999999999972</v>
      </c>
      <c r="I675" s="1">
        <f>+(F675^14)/((F675^14+G675^14))</f>
        <v>0.24643622472101792</v>
      </c>
      <c r="J675" s="2">
        <v>110.2</v>
      </c>
      <c r="K675" s="2">
        <v>119.4</v>
      </c>
      <c r="L675" s="2">
        <f>+J675-K675</f>
        <v>-9.2000000000000028</v>
      </c>
      <c r="M675" s="1">
        <f>+E675-I675</f>
        <v>-3.9119151550286224E-2</v>
      </c>
      <c r="N675" s="2">
        <v>106.5</v>
      </c>
      <c r="O675" s="2">
        <v>127</v>
      </c>
      <c r="P675" s="2">
        <f t="shared" si="10"/>
        <v>-20.5</v>
      </c>
      <c r="Q675">
        <v>-2</v>
      </c>
    </row>
    <row r="676" spans="1:17">
      <c r="A676" t="s">
        <v>41</v>
      </c>
      <c r="B676" t="s">
        <v>17</v>
      </c>
      <c r="C676">
        <v>45</v>
      </c>
      <c r="D676">
        <v>37</v>
      </c>
      <c r="E676" s="1">
        <f>+C676/(C676+D676)</f>
        <v>0.54878048780487809</v>
      </c>
      <c r="F676" s="2">
        <v>99.4</v>
      </c>
      <c r="G676" s="2">
        <v>96.9</v>
      </c>
      <c r="H676" s="2">
        <f>+F676-G676</f>
        <v>2.5</v>
      </c>
      <c r="I676" s="1">
        <f>+(F676^14)/((F676^14+G676^14))</f>
        <v>0.58822109610228113</v>
      </c>
      <c r="J676" s="2">
        <v>106.8</v>
      </c>
      <c r="K676" s="2">
        <v>104.2</v>
      </c>
      <c r="L676" s="2">
        <f>+J676-K676</f>
        <v>2.5999999999999943</v>
      </c>
      <c r="M676" s="1">
        <f>+E676-I676</f>
        <v>-3.9440608297403035E-2</v>
      </c>
      <c r="N676" s="2">
        <v>108.6</v>
      </c>
      <c r="O676" s="2">
        <v>109.5</v>
      </c>
      <c r="P676" s="2">
        <f t="shared" si="10"/>
        <v>-0.90000000000000568</v>
      </c>
      <c r="Q676">
        <v>0.7</v>
      </c>
    </row>
    <row r="677" spans="1:17">
      <c r="A677" t="s">
        <v>41</v>
      </c>
      <c r="B677" t="s">
        <v>13</v>
      </c>
      <c r="C677">
        <v>34</v>
      </c>
      <c r="D677">
        <v>48</v>
      </c>
      <c r="E677" s="1">
        <f>+C677/(C677+D677)</f>
        <v>0.41463414634146339</v>
      </c>
      <c r="F677" s="2">
        <v>98.5</v>
      </c>
      <c r="G677" s="2">
        <v>99.8</v>
      </c>
      <c r="H677" s="2">
        <f>+F677-G677</f>
        <v>-1.2999999999999972</v>
      </c>
      <c r="I677" s="1">
        <f>+(F677^14)/((F677^14+G677^14))</f>
        <v>0.45423770290238813</v>
      </c>
      <c r="J677" s="2">
        <v>103.5</v>
      </c>
      <c r="K677" s="2">
        <v>104.9</v>
      </c>
      <c r="L677" s="2">
        <f>+J677-K677</f>
        <v>-1.4000000000000057</v>
      </c>
      <c r="M677" s="1">
        <f>+E677-I677</f>
        <v>-3.9603556560924735E-2</v>
      </c>
      <c r="N677" s="2">
        <v>101</v>
      </c>
      <c r="O677" s="2">
        <v>112.8</v>
      </c>
      <c r="P677" s="2">
        <f t="shared" si="10"/>
        <v>-11.799999999999997</v>
      </c>
      <c r="Q677">
        <v>-0.6</v>
      </c>
    </row>
    <row r="678" spans="1:17">
      <c r="A678" t="s">
        <v>63</v>
      </c>
      <c r="B678" t="s">
        <v>10</v>
      </c>
      <c r="C678">
        <v>38</v>
      </c>
      <c r="D678">
        <v>44</v>
      </c>
      <c r="E678" s="1">
        <f>+C678/(C678+D678)</f>
        <v>0.46341463414634149</v>
      </c>
      <c r="F678" s="2">
        <v>114.2</v>
      </c>
      <c r="G678" s="2">
        <v>114.1</v>
      </c>
      <c r="H678" s="2">
        <f>+F678-G678</f>
        <v>0.10000000000000853</v>
      </c>
      <c r="I678" s="1">
        <f>+(F678^14)/((F678^14+G678^14))</f>
        <v>0.50306610280519148</v>
      </c>
      <c r="J678" s="2">
        <v>115.9</v>
      </c>
      <c r="K678" s="2">
        <v>116.1</v>
      </c>
      <c r="L678" s="2">
        <f>+J678-K678</f>
        <v>-0.19999999999998863</v>
      </c>
      <c r="M678" s="1">
        <f>+E678-I678</f>
        <v>-3.9651468658849998E-2</v>
      </c>
      <c r="N678" s="2">
        <v>105.1</v>
      </c>
      <c r="O678" s="2">
        <v>106.2</v>
      </c>
      <c r="P678" s="2">
        <f t="shared" si="10"/>
        <v>-1.1000000000000085</v>
      </c>
      <c r="Q678">
        <v>-0.7</v>
      </c>
    </row>
    <row r="679" spans="1:17">
      <c r="A679" t="s">
        <v>43</v>
      </c>
      <c r="B679" t="s">
        <v>14</v>
      </c>
      <c r="C679">
        <v>52</v>
      </c>
      <c r="D679">
        <v>30</v>
      </c>
      <c r="E679" s="1">
        <f>+C679/(C679+D679)</f>
        <v>0.63414634146341464</v>
      </c>
      <c r="F679" s="2">
        <v>97</v>
      </c>
      <c r="G679" s="2">
        <v>92.1</v>
      </c>
      <c r="H679" s="2">
        <f>+F679-G679</f>
        <v>4.9000000000000057</v>
      </c>
      <c r="I679" s="1">
        <f>+(F679^14)/((F679^14+G679^14))</f>
        <v>0.67386194635235153</v>
      </c>
      <c r="J679" s="2">
        <v>104.7</v>
      </c>
      <c r="K679" s="2">
        <v>99.7</v>
      </c>
      <c r="L679" s="2">
        <f>+J679-K679</f>
        <v>5</v>
      </c>
      <c r="M679" s="1">
        <f>+E679-I679</f>
        <v>-3.9715604888936884E-2</v>
      </c>
      <c r="N679" s="2">
        <v>99.7</v>
      </c>
      <c r="O679" s="2">
        <v>108.4</v>
      </c>
      <c r="P679" s="2">
        <f t="shared" si="10"/>
        <v>-8.7000000000000028</v>
      </c>
      <c r="Q679">
        <v>-1.4</v>
      </c>
    </row>
    <row r="680" spans="1:17">
      <c r="A680" t="s">
        <v>52</v>
      </c>
      <c r="B680" t="s">
        <v>6</v>
      </c>
      <c r="C680">
        <v>25</v>
      </c>
      <c r="D680">
        <v>57</v>
      </c>
      <c r="E680" s="1">
        <f>+C680/(C680+D680)</f>
        <v>0.3048780487804878</v>
      </c>
      <c r="F680" s="2">
        <v>96.2</v>
      </c>
      <c r="G680" s="2">
        <v>100.7</v>
      </c>
      <c r="H680" s="2">
        <f>+F680-G680</f>
        <v>-4.5</v>
      </c>
      <c r="I680" s="1">
        <f>+(F680^14)/((F680^14+G680^14))</f>
        <v>0.34523971521963903</v>
      </c>
      <c r="J680" s="2">
        <v>101.9</v>
      </c>
      <c r="K680" s="2">
        <v>106.5</v>
      </c>
      <c r="L680" s="2">
        <f>+J680-K680</f>
        <v>-4.5999999999999943</v>
      </c>
      <c r="M680" s="1">
        <f>+E680-I680</f>
        <v>-4.0361666439151234E-2</v>
      </c>
      <c r="N680" s="2">
        <v>88.5</v>
      </c>
      <c r="O680" s="2">
        <v>112.9</v>
      </c>
      <c r="P680" s="2">
        <f t="shared" si="10"/>
        <v>-24.400000000000006</v>
      </c>
      <c r="Q680">
        <v>-2</v>
      </c>
    </row>
    <row r="681" spans="1:17">
      <c r="A681" t="s">
        <v>49</v>
      </c>
      <c r="B681" t="s">
        <v>37</v>
      </c>
      <c r="C681">
        <v>21</v>
      </c>
      <c r="D681">
        <v>45</v>
      </c>
      <c r="E681" s="1">
        <f>+C681/(C681+D681)</f>
        <v>0.31818181818181818</v>
      </c>
      <c r="F681" s="2">
        <v>89.6</v>
      </c>
      <c r="G681" s="2">
        <v>93.4</v>
      </c>
      <c r="H681" s="2">
        <f>+F681-G681</f>
        <v>-3.8000000000000114</v>
      </c>
      <c r="I681" s="1">
        <f>+(F681^14)/((F681^14+G681^14))</f>
        <v>0.35858651544032732</v>
      </c>
      <c r="J681" s="2">
        <v>99.9</v>
      </c>
      <c r="K681" s="2">
        <v>103.9</v>
      </c>
      <c r="L681" s="2">
        <f>+J681-K681</f>
        <v>-4</v>
      </c>
      <c r="M681" s="1">
        <f>+E681-I681</f>
        <v>-4.0404697258509148E-2</v>
      </c>
      <c r="N681" s="2">
        <v>93.5</v>
      </c>
      <c r="O681" s="2">
        <v>105.4</v>
      </c>
      <c r="P681" s="2">
        <f t="shared" si="10"/>
        <v>-11.900000000000006</v>
      </c>
      <c r="Q681">
        <v>-0.9</v>
      </c>
    </row>
    <row r="682" spans="1:17">
      <c r="A682" t="s">
        <v>60</v>
      </c>
      <c r="B682" t="s">
        <v>25</v>
      </c>
      <c r="C682">
        <v>34</v>
      </c>
      <c r="D682">
        <v>39</v>
      </c>
      <c r="E682" s="1">
        <f>+C682/(C682+D682)</f>
        <v>0.46575342465753422</v>
      </c>
      <c r="F682" s="2">
        <v>113.6</v>
      </c>
      <c r="G682" s="2">
        <v>113.4</v>
      </c>
      <c r="H682" s="2">
        <f>+F682-G682</f>
        <v>0.19999999999998863</v>
      </c>
      <c r="I682" s="1">
        <f>+(F682^14)/((F682^14+G682^14))</f>
        <v>0.50616708971115398</v>
      </c>
      <c r="J682" s="2">
        <v>111.3</v>
      </c>
      <c r="K682" s="2">
        <v>110.8</v>
      </c>
      <c r="L682" s="2">
        <f>+J682-K682</f>
        <v>0.5</v>
      </c>
      <c r="M682" s="1">
        <f>+E682-I682</f>
        <v>-4.0413665053619763E-2</v>
      </c>
      <c r="N682" s="2">
        <v>110.3</v>
      </c>
      <c r="O682" s="2">
        <v>110.8</v>
      </c>
      <c r="P682" s="2">
        <f t="shared" si="10"/>
        <v>-0.5</v>
      </c>
      <c r="Q682">
        <v>-0.7</v>
      </c>
    </row>
    <row r="683" spans="1:17">
      <c r="A683" t="s">
        <v>36</v>
      </c>
      <c r="B683" t="s">
        <v>15</v>
      </c>
      <c r="C683">
        <v>48</v>
      </c>
      <c r="D683">
        <v>34</v>
      </c>
      <c r="E683" s="1">
        <f>+C683/(C683+D683)</f>
        <v>0.58536585365853655</v>
      </c>
      <c r="F683" s="2">
        <v>96.8</v>
      </c>
      <c r="G683" s="2">
        <v>93.3</v>
      </c>
      <c r="H683" s="2">
        <f>+F683-G683</f>
        <v>3.5</v>
      </c>
      <c r="I683" s="1">
        <f>+(F683^14)/((F683^14+G683^14))</f>
        <v>0.62611280259686619</v>
      </c>
      <c r="J683" s="2">
        <v>103.2</v>
      </c>
      <c r="K683" s="2">
        <v>99.6</v>
      </c>
      <c r="L683" s="2">
        <f>+J683-K683</f>
        <v>3.6000000000000085</v>
      </c>
      <c r="M683" s="1">
        <f>+E683-I683</f>
        <v>-4.0746948938329641E-2</v>
      </c>
      <c r="N683" s="2">
        <v>90.7</v>
      </c>
      <c r="O683" s="2">
        <v>97.8</v>
      </c>
      <c r="P683" s="2">
        <f t="shared" si="10"/>
        <v>-7.0999999999999943</v>
      </c>
      <c r="Q683">
        <v>-0.6</v>
      </c>
    </row>
    <row r="684" spans="1:17">
      <c r="A684" t="s">
        <v>49</v>
      </c>
      <c r="B684" t="s">
        <v>19</v>
      </c>
      <c r="C684">
        <v>31</v>
      </c>
      <c r="D684">
        <v>35</v>
      </c>
      <c r="E684" s="1">
        <f>+C684/(C684+D684)</f>
        <v>0.46969696969696972</v>
      </c>
      <c r="F684" s="2">
        <v>99</v>
      </c>
      <c r="G684" s="2">
        <v>98.7</v>
      </c>
      <c r="H684" s="2">
        <f>+F684-G684</f>
        <v>0.29999999999999716</v>
      </c>
      <c r="I684" s="1">
        <f>+(F684^14)/((F684^14+G684^14))</f>
        <v>0.51062056521838828</v>
      </c>
      <c r="J684" s="2">
        <v>104.5</v>
      </c>
      <c r="K684" s="2">
        <v>104.1</v>
      </c>
      <c r="L684" s="2">
        <f>+J684-K684</f>
        <v>0.40000000000000568</v>
      </c>
      <c r="M684" s="1">
        <f>+E684-I684</f>
        <v>-4.0923595521418554E-2</v>
      </c>
      <c r="N684" s="2">
        <v>96.1</v>
      </c>
      <c r="O684" s="2">
        <v>107.1</v>
      </c>
      <c r="P684" s="2">
        <f t="shared" si="10"/>
        <v>-11</v>
      </c>
      <c r="Q684">
        <v>1.1000000000000001</v>
      </c>
    </row>
    <row r="685" spans="1:17">
      <c r="A685" t="s">
        <v>61</v>
      </c>
      <c r="B685" t="s">
        <v>8</v>
      </c>
      <c r="C685">
        <v>31</v>
      </c>
      <c r="D685">
        <v>41</v>
      </c>
      <c r="E685" s="1">
        <f>+C685/(C685+D685)</f>
        <v>0.43055555555555558</v>
      </c>
      <c r="F685" s="2">
        <v>110.7</v>
      </c>
      <c r="G685" s="2">
        <v>111.6</v>
      </c>
      <c r="H685" s="2">
        <f>+F685-G685</f>
        <v>-0.89999999999999147</v>
      </c>
      <c r="I685" s="1">
        <f>+(F685^14)/((F685^14+G685^14))</f>
        <v>0.47169007456598405</v>
      </c>
      <c r="J685" s="2">
        <v>110.4</v>
      </c>
      <c r="K685" s="2">
        <v>111.5</v>
      </c>
      <c r="L685" s="2">
        <f>+J685-K685</f>
        <v>-1.0999999999999943</v>
      </c>
      <c r="M685" s="1">
        <f>+E685-I685</f>
        <v>-4.1134519010428472E-2</v>
      </c>
      <c r="N685" s="2">
        <v>107.1</v>
      </c>
      <c r="O685" s="2">
        <v>115.2</v>
      </c>
      <c r="P685" s="2">
        <f t="shared" si="10"/>
        <v>-8.1000000000000085</v>
      </c>
      <c r="Q685">
        <v>-1.1000000000000001</v>
      </c>
    </row>
    <row r="686" spans="1:17">
      <c r="A686" t="s">
        <v>58</v>
      </c>
      <c r="B686" t="s">
        <v>51</v>
      </c>
      <c r="C686">
        <v>28</v>
      </c>
      <c r="D686">
        <v>54</v>
      </c>
      <c r="E686" s="1">
        <f>+C686/(C686+D686)</f>
        <v>0.34146341463414637</v>
      </c>
      <c r="F686" s="2">
        <v>106.6</v>
      </c>
      <c r="G686" s="2">
        <v>110.3</v>
      </c>
      <c r="H686" s="2">
        <f>+F686-G686</f>
        <v>-3.7000000000000028</v>
      </c>
      <c r="I686" s="1">
        <f>+(F686^14)/((F686^14+G686^14))</f>
        <v>0.38279873776476753</v>
      </c>
      <c r="J686" s="2">
        <v>106.1</v>
      </c>
      <c r="K686" s="2">
        <v>109.7</v>
      </c>
      <c r="L686" s="2">
        <f>+J686-K686</f>
        <v>-3.6000000000000085</v>
      </c>
      <c r="M686" s="1">
        <f>+E686-I686</f>
        <v>-4.133532313062116E-2</v>
      </c>
      <c r="N686" s="2">
        <v>98.5</v>
      </c>
      <c r="O686" s="2">
        <v>108.4</v>
      </c>
      <c r="P686" s="2">
        <f t="shared" si="10"/>
        <v>-9.9000000000000057</v>
      </c>
      <c r="Q686">
        <v>-0.7</v>
      </c>
    </row>
    <row r="687" spans="1:17">
      <c r="A687" t="s">
        <v>58</v>
      </c>
      <c r="B687" t="s">
        <v>23</v>
      </c>
      <c r="C687">
        <v>25</v>
      </c>
      <c r="D687">
        <v>57</v>
      </c>
      <c r="E687" s="1">
        <f>+C687/(C687+D687)</f>
        <v>0.3048780487804878</v>
      </c>
      <c r="F687" s="2">
        <v>103.4</v>
      </c>
      <c r="G687" s="2">
        <v>108.2</v>
      </c>
      <c r="H687" s="2">
        <f>+F687-G687</f>
        <v>-4.7999999999999972</v>
      </c>
      <c r="I687" s="1">
        <f>+(F687^14)/((F687^14+G687^14))</f>
        <v>0.34631662039158329</v>
      </c>
      <c r="J687" s="2">
        <v>104.7</v>
      </c>
      <c r="K687" s="2">
        <v>109.4</v>
      </c>
      <c r="L687" s="2">
        <f>+J687-K687</f>
        <v>-4.7000000000000028</v>
      </c>
      <c r="M687" s="1">
        <f>+E687-I687</f>
        <v>-4.1438571611095487E-2</v>
      </c>
      <c r="N687" s="2">
        <v>98.4</v>
      </c>
      <c r="O687" s="2">
        <v>107.1</v>
      </c>
      <c r="P687" s="2">
        <f t="shared" si="10"/>
        <v>-8.6999999999999886</v>
      </c>
      <c r="Q687">
        <v>0</v>
      </c>
    </row>
    <row r="688" spans="1:17">
      <c r="A688" t="s">
        <v>50</v>
      </c>
      <c r="B688" t="s">
        <v>15</v>
      </c>
      <c r="C688">
        <v>49</v>
      </c>
      <c r="D688">
        <v>32</v>
      </c>
      <c r="E688" s="1">
        <f>+C688/(C688+D688)</f>
        <v>0.60493827160493829</v>
      </c>
      <c r="F688" s="2">
        <v>94.7</v>
      </c>
      <c r="G688" s="2">
        <v>90.7</v>
      </c>
      <c r="H688" s="2">
        <f>+F688-G688</f>
        <v>4</v>
      </c>
      <c r="I688" s="1">
        <f>+(F688^14)/((F688^14+G688^14))</f>
        <v>0.64661501230862617</v>
      </c>
      <c r="J688" s="2">
        <v>103.4</v>
      </c>
      <c r="K688" s="2">
        <v>99</v>
      </c>
      <c r="L688" s="2">
        <f>+J688-K688</f>
        <v>4.4000000000000057</v>
      </c>
      <c r="M688" s="1">
        <f>+E688-I688</f>
        <v>-4.1676740703687876E-2</v>
      </c>
      <c r="N688" s="2">
        <v>97.6</v>
      </c>
      <c r="O688" s="2">
        <v>86</v>
      </c>
      <c r="P688" s="2">
        <f t="shared" si="10"/>
        <v>11.599999999999994</v>
      </c>
      <c r="Q688">
        <v>0.2</v>
      </c>
    </row>
    <row r="689" spans="1:17">
      <c r="A689" t="s">
        <v>43</v>
      </c>
      <c r="B689" t="s">
        <v>23</v>
      </c>
      <c r="C689">
        <v>40</v>
      </c>
      <c r="D689">
        <v>42</v>
      </c>
      <c r="E689" s="1">
        <f>+C689/(C689+D689)</f>
        <v>0.48780487804878048</v>
      </c>
      <c r="F689" s="2">
        <v>94.8</v>
      </c>
      <c r="G689" s="2">
        <v>94</v>
      </c>
      <c r="H689" s="2">
        <f>+F689-G689</f>
        <v>0.79999999999999716</v>
      </c>
      <c r="I689" s="1">
        <f>+(F689^14)/((F689^14+G689^14))</f>
        <v>0.52962644935389902</v>
      </c>
      <c r="J689" s="2">
        <v>104.1</v>
      </c>
      <c r="K689" s="2">
        <v>103.3</v>
      </c>
      <c r="L689" s="2">
        <f>+J689-K689</f>
        <v>0.79999999999999716</v>
      </c>
      <c r="M689" s="1">
        <f>+E689-I689</f>
        <v>-4.1821571305118543E-2</v>
      </c>
      <c r="N689" s="2">
        <v>84.7</v>
      </c>
      <c r="O689" s="2">
        <v>100.9</v>
      </c>
      <c r="P689" s="2">
        <f t="shared" si="10"/>
        <v>-16.200000000000003</v>
      </c>
      <c r="Q689">
        <v>-0.4</v>
      </c>
    </row>
    <row r="690" spans="1:17">
      <c r="A690" t="s">
        <v>41</v>
      </c>
      <c r="B690" t="s">
        <v>35</v>
      </c>
      <c r="C690">
        <v>49</v>
      </c>
      <c r="D690">
        <v>33</v>
      </c>
      <c r="E690" s="1">
        <f>+C690/(C690+D690)</f>
        <v>0.59756097560975607</v>
      </c>
      <c r="F690" s="2">
        <v>92.2</v>
      </c>
      <c r="G690" s="2">
        <v>88.5</v>
      </c>
      <c r="H690" s="2">
        <f>+F690-G690</f>
        <v>3.7000000000000028</v>
      </c>
      <c r="I690" s="1">
        <f>+(F690^14)/((F690^14+G690^14))</f>
        <v>0.63954874282349128</v>
      </c>
      <c r="J690" s="2">
        <v>104.5</v>
      </c>
      <c r="K690" s="2">
        <v>100.4</v>
      </c>
      <c r="L690" s="2">
        <f>+J690-K690</f>
        <v>4.0999999999999943</v>
      </c>
      <c r="M690" s="1">
        <f>+E690-I690</f>
        <v>-4.1987767213735205E-2</v>
      </c>
      <c r="N690" s="2">
        <v>106.3</v>
      </c>
      <c r="O690" s="2">
        <v>95.7</v>
      </c>
      <c r="P690" s="2">
        <f t="shared" si="10"/>
        <v>10.599999999999994</v>
      </c>
      <c r="Q690">
        <v>-0.3</v>
      </c>
    </row>
    <row r="691" spans="1:17">
      <c r="A691" t="s">
        <v>45</v>
      </c>
      <c r="B691" t="s">
        <v>20</v>
      </c>
      <c r="C691">
        <v>24</v>
      </c>
      <c r="D691">
        <v>58</v>
      </c>
      <c r="E691" s="1">
        <f>+C691/(C691+D691)</f>
        <v>0.29268292682926828</v>
      </c>
      <c r="F691" s="2">
        <v>97.8</v>
      </c>
      <c r="G691" s="2">
        <v>102.7</v>
      </c>
      <c r="H691" s="2">
        <f>+F691-G691</f>
        <v>-4.9000000000000057</v>
      </c>
      <c r="I691" s="1">
        <f>+(F691^14)/((F691^14+G691^14))</f>
        <v>0.33527428063081338</v>
      </c>
      <c r="J691" s="2">
        <v>104.9</v>
      </c>
      <c r="K691" s="2">
        <v>109.9</v>
      </c>
      <c r="L691" s="2">
        <f>+J691-K691</f>
        <v>-5</v>
      </c>
      <c r="M691" s="1">
        <f>+E691-I691</f>
        <v>-4.2591353801545107E-2</v>
      </c>
      <c r="N691" s="2">
        <v>100.9</v>
      </c>
      <c r="O691" s="2">
        <v>119.7</v>
      </c>
      <c r="P691" s="2">
        <f t="shared" si="10"/>
        <v>-18.799999999999997</v>
      </c>
      <c r="Q691">
        <v>-1</v>
      </c>
    </row>
    <row r="692" spans="1:17">
      <c r="A692" t="s">
        <v>4</v>
      </c>
      <c r="B692" t="s">
        <v>33</v>
      </c>
      <c r="C692">
        <v>19</v>
      </c>
      <c r="D692">
        <v>63</v>
      </c>
      <c r="E692" s="1">
        <f>+C692/(C692+D692)</f>
        <v>0.23170731707317074</v>
      </c>
      <c r="F692" s="2">
        <v>93.2</v>
      </c>
      <c r="G692" s="2">
        <v>99.9</v>
      </c>
      <c r="H692" s="2">
        <f>+F692-G692</f>
        <v>-6.7000000000000028</v>
      </c>
      <c r="I692" s="1">
        <f>+(F692^14)/((F692^14+G692^14))</f>
        <v>0.27450046120978927</v>
      </c>
      <c r="J692" s="2">
        <v>99.4</v>
      </c>
      <c r="K692" s="2">
        <v>106.2</v>
      </c>
      <c r="L692" s="2">
        <f>+J692-K692</f>
        <v>-6.7999999999999972</v>
      </c>
      <c r="M692" s="1">
        <f>+E692-I692</f>
        <v>-4.2793144136618527E-2</v>
      </c>
      <c r="N692" s="2">
        <v>101.4</v>
      </c>
      <c r="O692" s="2">
        <v>100</v>
      </c>
      <c r="P692" s="2">
        <f t="shared" si="10"/>
        <v>1.4000000000000057</v>
      </c>
      <c r="Q692">
        <v>-1.1000000000000001</v>
      </c>
    </row>
    <row r="693" spans="1:17">
      <c r="A693" t="s">
        <v>4</v>
      </c>
      <c r="B693" t="s">
        <v>26</v>
      </c>
      <c r="C693">
        <v>50</v>
      </c>
      <c r="D693">
        <v>32</v>
      </c>
      <c r="E693" s="1">
        <f>+C693/(C693+D693)</f>
        <v>0.6097560975609756</v>
      </c>
      <c r="F693" s="2">
        <v>95.4</v>
      </c>
      <c r="G693" s="2">
        <v>91.2</v>
      </c>
      <c r="H693" s="2">
        <f>+F693-G693</f>
        <v>4.2000000000000028</v>
      </c>
      <c r="I693" s="1">
        <f>+(F693^14)/((F693^14+G693^14))</f>
        <v>0.65256463390669783</v>
      </c>
      <c r="J693" s="2">
        <v>104.7</v>
      </c>
      <c r="K693" s="2">
        <v>100.5</v>
      </c>
      <c r="L693" s="2">
        <f>+J693-K693</f>
        <v>4.2000000000000028</v>
      </c>
      <c r="M693" s="1">
        <f>+E693-I693</f>
        <v>-4.2808536345722237E-2</v>
      </c>
      <c r="N693" s="2">
        <v>109.3</v>
      </c>
      <c r="O693" s="2">
        <v>99.6</v>
      </c>
      <c r="P693" s="2">
        <f t="shared" si="10"/>
        <v>9.7000000000000028</v>
      </c>
      <c r="Q693">
        <v>0.3</v>
      </c>
    </row>
    <row r="694" spans="1:17">
      <c r="A694" t="s">
        <v>48</v>
      </c>
      <c r="B694" t="s">
        <v>19</v>
      </c>
      <c r="C694">
        <v>35</v>
      </c>
      <c r="D694">
        <v>47</v>
      </c>
      <c r="E694" s="1">
        <f>+C694/(C694+D694)</f>
        <v>0.42682926829268292</v>
      </c>
      <c r="F694" s="2">
        <v>91.9</v>
      </c>
      <c r="G694" s="2">
        <v>92.7</v>
      </c>
      <c r="H694" s="2">
        <f>+F694-G694</f>
        <v>-0.79999999999999716</v>
      </c>
      <c r="I694" s="1">
        <f>+(F694^14)/((F694^14+G694^14))</f>
        <v>0.46970111742339138</v>
      </c>
      <c r="J694" s="2">
        <v>100.8</v>
      </c>
      <c r="K694" s="2">
        <v>101.5</v>
      </c>
      <c r="L694" s="2">
        <f>+J694-K694</f>
        <v>-0.70000000000000284</v>
      </c>
      <c r="M694" s="1">
        <f>+E694-I694</f>
        <v>-4.2871849130708461E-2</v>
      </c>
      <c r="N694" s="2">
        <v>90.8</v>
      </c>
      <c r="O694" s="2">
        <v>95.2</v>
      </c>
      <c r="P694" s="2">
        <f t="shared" si="10"/>
        <v>-4.4000000000000057</v>
      </c>
      <c r="Q694">
        <v>0.4</v>
      </c>
    </row>
    <row r="695" spans="1:17">
      <c r="A695" t="s">
        <v>61</v>
      </c>
      <c r="B695" t="s">
        <v>6</v>
      </c>
      <c r="C695">
        <v>36</v>
      </c>
      <c r="D695">
        <v>36</v>
      </c>
      <c r="E695" s="1">
        <f>+C695/(C695+D695)</f>
        <v>0.5</v>
      </c>
      <c r="F695" s="2">
        <v>112.6</v>
      </c>
      <c r="G695" s="2">
        <v>111.2</v>
      </c>
      <c r="H695" s="2">
        <f>+F695-G695</f>
        <v>1.3999999999999915</v>
      </c>
      <c r="I695" s="1">
        <f>+(F695^14)/((F695^14+G695^14))</f>
        <v>0.54367805340698128</v>
      </c>
      <c r="J695" s="2">
        <v>113.1</v>
      </c>
      <c r="K695" s="2">
        <v>111.8</v>
      </c>
      <c r="L695" s="2">
        <f>+J695-K695</f>
        <v>1.2999999999999972</v>
      </c>
      <c r="M695" s="1">
        <f>+E695-I695</f>
        <v>-4.3678053406981276E-2</v>
      </c>
      <c r="N695" s="2">
        <v>101.5</v>
      </c>
      <c r="O695" s="2">
        <v>112.4</v>
      </c>
      <c r="P695" s="2">
        <f t="shared" si="10"/>
        <v>-10.900000000000006</v>
      </c>
      <c r="Q695">
        <v>0.5</v>
      </c>
    </row>
    <row r="696" spans="1:17">
      <c r="A696" t="s">
        <v>54</v>
      </c>
      <c r="B696" t="s">
        <v>31</v>
      </c>
      <c r="C696">
        <v>38</v>
      </c>
      <c r="D696">
        <v>44</v>
      </c>
      <c r="E696" s="1">
        <f>+C696/(C696+D696)</f>
        <v>0.46341463414634149</v>
      </c>
      <c r="F696" s="2">
        <v>95.1</v>
      </c>
      <c r="G696" s="2">
        <v>94.9</v>
      </c>
      <c r="H696" s="2">
        <f>+F696-G696</f>
        <v>0.19999999999998863</v>
      </c>
      <c r="I696" s="1">
        <f>+(F696^14)/((F696^14+G696^14))</f>
        <v>0.50736789040877028</v>
      </c>
      <c r="J696" s="2">
        <v>104.2</v>
      </c>
      <c r="K696" s="2">
        <v>104.1</v>
      </c>
      <c r="L696" s="2">
        <f>+J696-K696</f>
        <v>0.10000000000000853</v>
      </c>
      <c r="M696" s="1">
        <f>+E696-I696</f>
        <v>-4.3953256262428797E-2</v>
      </c>
      <c r="N696" s="2">
        <v>95.5</v>
      </c>
      <c r="O696" s="2">
        <v>97.3</v>
      </c>
      <c r="P696" s="2">
        <f t="shared" si="10"/>
        <v>-1.7999999999999972</v>
      </c>
      <c r="Q696">
        <v>-0.2</v>
      </c>
    </row>
    <row r="697" spans="1:17">
      <c r="A697" t="s">
        <v>63</v>
      </c>
      <c r="B697" t="s">
        <v>9</v>
      </c>
      <c r="C697">
        <v>51</v>
      </c>
      <c r="D697">
        <v>31</v>
      </c>
      <c r="E697" s="1">
        <f>+C697/(C697+D697)</f>
        <v>0.62195121951219512</v>
      </c>
      <c r="F697" s="2">
        <v>112.3</v>
      </c>
      <c r="G697" s="2">
        <v>106.9</v>
      </c>
      <c r="H697" s="2">
        <f>+F697-G697</f>
        <v>5.3999999999999915</v>
      </c>
      <c r="I697" s="1">
        <f>+(F697^14)/((F697^14+G697^14))</f>
        <v>0.66594926626048301</v>
      </c>
      <c r="J697" s="2">
        <v>115.5</v>
      </c>
      <c r="K697" s="2">
        <v>109.9</v>
      </c>
      <c r="L697" s="2">
        <f>+J697-K697</f>
        <v>5.5999999999999943</v>
      </c>
      <c r="M697" s="1">
        <f>+E697-I697</f>
        <v>-4.3998046748287889E-2</v>
      </c>
      <c r="N697" s="2">
        <v>97.9</v>
      </c>
      <c r="O697" s="2">
        <v>98.8</v>
      </c>
      <c r="P697" s="2">
        <f t="shared" si="10"/>
        <v>-0.89999999999999147</v>
      </c>
      <c r="Q697">
        <v>2.2000000000000002</v>
      </c>
    </row>
    <row r="698" spans="1:17">
      <c r="A698" t="s">
        <v>64</v>
      </c>
      <c r="B698" t="s">
        <v>28</v>
      </c>
      <c r="C698">
        <v>22</v>
      </c>
      <c r="D698">
        <v>60</v>
      </c>
      <c r="E698" s="1">
        <f>+C698/(C698+D698)</f>
        <v>0.26829268292682928</v>
      </c>
      <c r="F698" s="2">
        <v>112.1</v>
      </c>
      <c r="G698" s="2">
        <v>118.6</v>
      </c>
      <c r="H698" s="2">
        <f>+F698-G698</f>
        <v>-6.5</v>
      </c>
      <c r="I698" s="1">
        <f>+(F698^14)/((F698^14+G698^14))</f>
        <v>0.31235933105064495</v>
      </c>
      <c r="J698" s="2">
        <v>109.3</v>
      </c>
      <c r="K698" s="2">
        <v>115.6</v>
      </c>
      <c r="L698" s="2">
        <f>+J698-K698</f>
        <v>-6.2999999999999972</v>
      </c>
      <c r="M698" s="1">
        <f>+E698-I698</f>
        <v>-4.4066648123815666E-2</v>
      </c>
      <c r="N698" s="2">
        <v>101</v>
      </c>
      <c r="O698" s="2">
        <v>113.6</v>
      </c>
      <c r="P698" s="2">
        <f t="shared" si="10"/>
        <v>-12.599999999999994</v>
      </c>
      <c r="Q698">
        <v>-0.2</v>
      </c>
    </row>
    <row r="699" spans="1:17">
      <c r="A699" t="s">
        <v>60</v>
      </c>
      <c r="B699" t="s">
        <v>53</v>
      </c>
      <c r="C699">
        <v>30</v>
      </c>
      <c r="D699">
        <v>42</v>
      </c>
      <c r="E699" s="1">
        <f>+C699/(C699+D699)</f>
        <v>0.41666666666666669</v>
      </c>
      <c r="F699" s="2">
        <v>115.8</v>
      </c>
      <c r="G699" s="2">
        <v>117.1</v>
      </c>
      <c r="H699" s="2">
        <f>+F699-G699</f>
        <v>-1.2999999999999972</v>
      </c>
      <c r="I699" s="1">
        <f>+(F699^14)/((F699^14+G699^14))</f>
        <v>0.46100637384195686</v>
      </c>
      <c r="J699" s="2">
        <v>110.5</v>
      </c>
      <c r="K699" s="2">
        <v>111.8</v>
      </c>
      <c r="L699" s="2">
        <f>+J699-K699</f>
        <v>-1.2999999999999972</v>
      </c>
      <c r="M699" s="1">
        <f>+E699-I699</f>
        <v>-4.4339707175290177E-2</v>
      </c>
      <c r="N699" s="2">
        <v>93.4</v>
      </c>
      <c r="O699" s="2">
        <v>119.8</v>
      </c>
      <c r="P699" s="2">
        <f t="shared" si="10"/>
        <v>-26.399999999999991</v>
      </c>
      <c r="Q699">
        <v>0.1</v>
      </c>
    </row>
    <row r="700" spans="1:17">
      <c r="A700" t="s">
        <v>41</v>
      </c>
      <c r="B700" t="s">
        <v>6</v>
      </c>
      <c r="C700">
        <v>33</v>
      </c>
      <c r="D700">
        <v>49</v>
      </c>
      <c r="E700" s="1">
        <f>+C700/(C700+D700)</f>
        <v>0.40243902439024393</v>
      </c>
      <c r="F700" s="2">
        <v>98</v>
      </c>
      <c r="G700" s="2">
        <v>99.5</v>
      </c>
      <c r="H700" s="2">
        <f>+F700-G700</f>
        <v>-1.5</v>
      </c>
      <c r="I700" s="1">
        <f>+(F700^14)/((F700^14+G700^14))</f>
        <v>0.44703388765865459</v>
      </c>
      <c r="J700" s="2">
        <v>104</v>
      </c>
      <c r="K700" s="2">
        <v>105.6</v>
      </c>
      <c r="L700" s="2">
        <f>+J700-K700</f>
        <v>-1.5999999999999943</v>
      </c>
      <c r="M700" s="1">
        <f>+E700-I700</f>
        <v>-4.4594863268410667E-2</v>
      </c>
      <c r="N700" s="2">
        <v>94.7</v>
      </c>
      <c r="O700" s="2">
        <v>102.2</v>
      </c>
      <c r="P700" s="2">
        <f t="shared" si="10"/>
        <v>-7.5</v>
      </c>
      <c r="Q700">
        <v>-0.6</v>
      </c>
    </row>
    <row r="701" spans="1:17">
      <c r="A701" t="s">
        <v>48</v>
      </c>
      <c r="B701" t="s">
        <v>11</v>
      </c>
      <c r="C701">
        <v>50</v>
      </c>
      <c r="D701">
        <v>32</v>
      </c>
      <c r="E701" s="1">
        <f>+C701/(C701+D701)</f>
        <v>0.6097560975609756</v>
      </c>
      <c r="F701" s="2">
        <v>107.5</v>
      </c>
      <c r="G701" s="2">
        <v>102.7</v>
      </c>
      <c r="H701" s="2">
        <f>+F701-G701</f>
        <v>4.7999999999999972</v>
      </c>
      <c r="I701" s="1">
        <f>+(F701^14)/((F701^14+G701^14))</f>
        <v>0.65464093009494817</v>
      </c>
      <c r="J701" s="2">
        <v>111.7</v>
      </c>
      <c r="K701" s="2">
        <v>106.8</v>
      </c>
      <c r="L701" s="2">
        <f>+J701-K701</f>
        <v>4.9000000000000057</v>
      </c>
      <c r="M701" s="1">
        <f>+E701-I701</f>
        <v>-4.4884832533972574E-2</v>
      </c>
      <c r="N701" s="2">
        <v>107.4</v>
      </c>
      <c r="O701" s="2">
        <v>101.7</v>
      </c>
      <c r="P701" s="2">
        <f t="shared" si="10"/>
        <v>5.7000000000000028</v>
      </c>
      <c r="Q701">
        <v>0.8</v>
      </c>
    </row>
    <row r="702" spans="1:17">
      <c r="A702" t="s">
        <v>41</v>
      </c>
      <c r="B702" t="s">
        <v>40</v>
      </c>
      <c r="C702">
        <v>26</v>
      </c>
      <c r="D702">
        <v>56</v>
      </c>
      <c r="E702" s="1">
        <f>+C702/(C702+D702)</f>
        <v>0.31707317073170732</v>
      </c>
      <c r="F702" s="2">
        <v>96.9</v>
      </c>
      <c r="G702" s="2">
        <v>100.9</v>
      </c>
      <c r="H702" s="2">
        <f>+F702-G702</f>
        <v>-4</v>
      </c>
      <c r="I702" s="1">
        <f>+(F702^14)/((F702^14+G702^14))</f>
        <v>0.36208969727051943</v>
      </c>
      <c r="J702" s="2">
        <v>101.2</v>
      </c>
      <c r="K702" s="2">
        <v>105.6</v>
      </c>
      <c r="L702" s="2">
        <f>+J702-K702</f>
        <v>-4.3999999999999915</v>
      </c>
      <c r="M702" s="1">
        <f>+E702-I702</f>
        <v>-4.5016526538812107E-2</v>
      </c>
      <c r="N702" s="2">
        <v>101.7</v>
      </c>
      <c r="O702" s="2">
        <v>100.9</v>
      </c>
      <c r="P702" s="2">
        <f t="shared" si="10"/>
        <v>0.79999999999999716</v>
      </c>
      <c r="Q702">
        <v>0.4</v>
      </c>
    </row>
    <row r="703" spans="1:17">
      <c r="A703" t="s">
        <v>63</v>
      </c>
      <c r="B703" t="s">
        <v>46</v>
      </c>
      <c r="C703">
        <v>40</v>
      </c>
      <c r="D703">
        <v>42</v>
      </c>
      <c r="E703" s="1">
        <f>+C703/(C703+D703)</f>
        <v>0.48780487804878048</v>
      </c>
      <c r="F703" s="2">
        <v>117.5</v>
      </c>
      <c r="G703" s="2">
        <v>116.4</v>
      </c>
      <c r="H703" s="2">
        <f>+F703-G703</f>
        <v>1.0999999999999943</v>
      </c>
      <c r="I703" s="1">
        <f>+(F703^14)/((F703^14+G703^14))</f>
        <v>0.53287280670641013</v>
      </c>
      <c r="J703" s="2">
        <v>114.2</v>
      </c>
      <c r="K703" s="2">
        <v>113.2</v>
      </c>
      <c r="L703" s="2">
        <f>+J703-K703</f>
        <v>1</v>
      </c>
      <c r="M703" s="1">
        <f>+E703-I703</f>
        <v>-4.5067928657629652E-2</v>
      </c>
      <c r="N703" s="2">
        <v>97.1</v>
      </c>
      <c r="O703" s="2">
        <v>106.3</v>
      </c>
      <c r="P703" s="2">
        <f t="shared" si="10"/>
        <v>-9.2000000000000028</v>
      </c>
      <c r="Q703">
        <v>-0.7</v>
      </c>
    </row>
    <row r="704" spans="1:17">
      <c r="A704" t="s">
        <v>64</v>
      </c>
      <c r="B704" t="s">
        <v>53</v>
      </c>
      <c r="C704">
        <v>49</v>
      </c>
      <c r="D704">
        <v>32</v>
      </c>
      <c r="E704" s="1">
        <f>+C704/(C704+D704)</f>
        <v>0.60493827160493829</v>
      </c>
      <c r="F704" s="2">
        <v>115.4</v>
      </c>
      <c r="G704" s="2">
        <v>110.4</v>
      </c>
      <c r="H704" s="2">
        <f>+F704-G704</f>
        <v>5</v>
      </c>
      <c r="I704" s="1">
        <f>+(F704^14)/((F704^14+G704^14))</f>
        <v>0.65024563171173744</v>
      </c>
      <c r="J704" s="2">
        <v>116.9</v>
      </c>
      <c r="K704" s="2">
        <v>111.7</v>
      </c>
      <c r="L704" s="2">
        <f>+J704-K704</f>
        <v>5.2000000000000028</v>
      </c>
      <c r="M704" s="1">
        <f>+E704-I704</f>
        <v>-4.5307360106799144E-2</v>
      </c>
      <c r="N704" s="2">
        <v>99</v>
      </c>
      <c r="O704" s="2">
        <v>112.3</v>
      </c>
      <c r="P704" s="2">
        <f t="shared" si="10"/>
        <v>-13.299999999999997</v>
      </c>
      <c r="Q704">
        <v>-0.3</v>
      </c>
    </row>
    <row r="705" spans="1:17">
      <c r="A705" t="s">
        <v>62</v>
      </c>
      <c r="B705" t="s">
        <v>22</v>
      </c>
      <c r="C705">
        <v>37</v>
      </c>
      <c r="D705">
        <v>45</v>
      </c>
      <c r="E705" s="1">
        <f>+C705/(C705+D705)</f>
        <v>0.45121951219512196</v>
      </c>
      <c r="F705" s="2">
        <v>106.5</v>
      </c>
      <c r="G705" s="2">
        <v>106.6</v>
      </c>
      <c r="H705" s="2">
        <f>+F705-G705</f>
        <v>-9.9999999999994316E-2</v>
      </c>
      <c r="I705" s="1">
        <f>+(F705^14)/((F705^14+G705^14))</f>
        <v>0.49671520422004956</v>
      </c>
      <c r="J705" s="2">
        <v>109.7</v>
      </c>
      <c r="K705" s="2">
        <v>110.2</v>
      </c>
      <c r="L705" s="2">
        <f>+J705-K705</f>
        <v>-0.5</v>
      </c>
      <c r="M705" s="1">
        <f>+E705-I705</f>
        <v>-4.5495692024927592E-2</v>
      </c>
      <c r="N705" s="2">
        <v>93.2</v>
      </c>
      <c r="O705" s="2">
        <v>116.4</v>
      </c>
      <c r="P705" s="2">
        <f t="shared" si="10"/>
        <v>-23.200000000000003</v>
      </c>
      <c r="Q705">
        <v>-0.3</v>
      </c>
    </row>
    <row r="706" spans="1:17">
      <c r="A706" t="s">
        <v>39</v>
      </c>
      <c r="B706" t="s">
        <v>28</v>
      </c>
      <c r="C706">
        <v>59</v>
      </c>
      <c r="D706">
        <v>23</v>
      </c>
      <c r="E706" s="1">
        <f>+C706/(C706+D706)</f>
        <v>0.71951219512195119</v>
      </c>
      <c r="F706" s="2">
        <v>96.2</v>
      </c>
      <c r="G706" s="2">
        <v>88.4</v>
      </c>
      <c r="H706" s="2">
        <f>+F706-G706</f>
        <v>7.7999999999999972</v>
      </c>
      <c r="I706" s="1">
        <f>+(F706^14)/((F706^14+G706^14))</f>
        <v>0.76563098176040723</v>
      </c>
      <c r="J706" s="2">
        <v>106.1</v>
      </c>
      <c r="K706" s="2">
        <v>97.8</v>
      </c>
      <c r="L706" s="2">
        <f>+J706-K706</f>
        <v>8.2999999999999972</v>
      </c>
      <c r="M706" s="1">
        <f>+E706-I706</f>
        <v>-4.6118786638456033E-2</v>
      </c>
      <c r="N706" s="2">
        <v>109.4</v>
      </c>
      <c r="O706" s="2">
        <v>110.8</v>
      </c>
      <c r="P706" s="2">
        <f t="shared" si="10"/>
        <v>-1.3999999999999915</v>
      </c>
      <c r="Q706">
        <v>1.7</v>
      </c>
    </row>
    <row r="707" spans="1:17">
      <c r="A707" t="s">
        <v>63</v>
      </c>
      <c r="B707" t="s">
        <v>53</v>
      </c>
      <c r="C707">
        <v>42</v>
      </c>
      <c r="D707">
        <v>40</v>
      </c>
      <c r="E707" s="1">
        <f>+C707/(C707+D707)</f>
        <v>0.51219512195121952</v>
      </c>
      <c r="F707" s="2">
        <v>114.4</v>
      </c>
      <c r="G707" s="2">
        <v>112.5</v>
      </c>
      <c r="H707" s="2">
        <f>+F707-G707</f>
        <v>1.9000000000000057</v>
      </c>
      <c r="I707" s="1">
        <f>+(F707^14)/((F707^14+G707^14))</f>
        <v>0.55835042155864323</v>
      </c>
      <c r="J707" s="2">
        <v>113.8</v>
      </c>
      <c r="K707" s="2">
        <v>112</v>
      </c>
      <c r="L707" s="2">
        <f>+J707-K707</f>
        <v>1.7999999999999972</v>
      </c>
      <c r="M707" s="1">
        <f>+E707-I707</f>
        <v>-4.6155299607423705E-2</v>
      </c>
      <c r="N707" s="2">
        <v>113.1</v>
      </c>
      <c r="O707" s="2">
        <v>104</v>
      </c>
      <c r="P707" s="2">
        <f t="shared" si="10"/>
        <v>9.0999999999999943</v>
      </c>
      <c r="Q707">
        <v>0.4</v>
      </c>
    </row>
    <row r="708" spans="1:17">
      <c r="A708" t="s">
        <v>44</v>
      </c>
      <c r="B708" t="s">
        <v>23</v>
      </c>
      <c r="C708">
        <v>52</v>
      </c>
      <c r="D708">
        <v>30</v>
      </c>
      <c r="E708" s="1">
        <f>+C708/(C708+D708)</f>
        <v>0.63414634146341464</v>
      </c>
      <c r="F708" s="2">
        <v>104.5</v>
      </c>
      <c r="G708" s="2">
        <v>99</v>
      </c>
      <c r="H708" s="2">
        <f>+F708-G708</f>
        <v>5.5</v>
      </c>
      <c r="I708" s="1">
        <f>+(F708^14)/((F708^14+G708^14))</f>
        <v>0.68068924490801519</v>
      </c>
      <c r="J708" s="2">
        <v>110.4</v>
      </c>
      <c r="K708" s="2">
        <v>104.9</v>
      </c>
      <c r="L708" s="2">
        <f>+J708-K708</f>
        <v>5.5</v>
      </c>
      <c r="M708" s="1">
        <f>+E708-I708</f>
        <v>-4.6542903444600547E-2</v>
      </c>
      <c r="N708" s="2">
        <v>109.5</v>
      </c>
      <c r="O708" s="2">
        <v>103.2</v>
      </c>
      <c r="P708" s="2">
        <f t="shared" si="10"/>
        <v>6.2999999999999972</v>
      </c>
      <c r="Q708">
        <v>1.3</v>
      </c>
    </row>
    <row r="709" spans="1:17">
      <c r="A709" t="s">
        <v>63</v>
      </c>
      <c r="B709" t="s">
        <v>30</v>
      </c>
      <c r="C709">
        <v>41</v>
      </c>
      <c r="D709">
        <v>41</v>
      </c>
      <c r="E709" s="1">
        <f>+C709/(C709+D709)</f>
        <v>0.5</v>
      </c>
      <c r="F709" s="2">
        <v>112.9</v>
      </c>
      <c r="G709" s="2">
        <v>111.4</v>
      </c>
      <c r="H709" s="2">
        <f>+F709-G709</f>
        <v>1.5</v>
      </c>
      <c r="I709" s="1">
        <f>+(F709^14)/((F709^14+G709^14))</f>
        <v>0.54667669581130873</v>
      </c>
      <c r="J709" s="2">
        <v>114.6</v>
      </c>
      <c r="K709" s="2">
        <v>113.1</v>
      </c>
      <c r="L709" s="2">
        <f>+J709-K709</f>
        <v>1.5</v>
      </c>
      <c r="M709" s="1">
        <f>+E709-I709</f>
        <v>-4.6676695811308733E-2</v>
      </c>
      <c r="N709" s="2">
        <v>106.3</v>
      </c>
      <c r="O709" s="2">
        <v>107.1</v>
      </c>
      <c r="P709" s="2">
        <f t="shared" si="10"/>
        <v>-0.79999999999999716</v>
      </c>
      <c r="Q709">
        <v>0.4</v>
      </c>
    </row>
    <row r="710" spans="1:17">
      <c r="A710" t="s">
        <v>50</v>
      </c>
      <c r="B710" t="s">
        <v>9</v>
      </c>
      <c r="C710">
        <v>24</v>
      </c>
      <c r="D710">
        <v>58</v>
      </c>
      <c r="E710" s="1">
        <f>+C710/(C710+D710)</f>
        <v>0.29268292682926828</v>
      </c>
      <c r="F710" s="2">
        <v>96.5</v>
      </c>
      <c r="G710" s="2">
        <v>101.2</v>
      </c>
      <c r="H710" s="2">
        <f>+F710-G710</f>
        <v>-4.7000000000000028</v>
      </c>
      <c r="I710" s="1">
        <f>+(F710^14)/((F710^14+G710^14))</f>
        <v>0.33944230501218881</v>
      </c>
      <c r="J710" s="2">
        <v>103.2</v>
      </c>
      <c r="K710" s="2">
        <v>108.2</v>
      </c>
      <c r="L710" s="2">
        <f>+J710-K710</f>
        <v>-5</v>
      </c>
      <c r="M710" s="1">
        <f>+E710-I710</f>
        <v>-4.675937818292053E-2</v>
      </c>
      <c r="N710" s="2">
        <v>102</v>
      </c>
      <c r="O710" s="2">
        <v>109.1</v>
      </c>
      <c r="P710" s="2">
        <f t="shared" si="10"/>
        <v>-7.0999999999999943</v>
      </c>
      <c r="Q710">
        <v>-1.4</v>
      </c>
    </row>
    <row r="711" spans="1:17">
      <c r="A711" t="s">
        <v>45</v>
      </c>
      <c r="B711" t="s">
        <v>19</v>
      </c>
      <c r="C711">
        <v>34</v>
      </c>
      <c r="D711">
        <v>48</v>
      </c>
      <c r="E711" s="1">
        <f>+C711/(C711+D711)</f>
        <v>0.41463414634146339</v>
      </c>
      <c r="F711" s="2">
        <v>99.3</v>
      </c>
      <c r="G711" s="2">
        <v>100.4</v>
      </c>
      <c r="H711" s="2">
        <f>+F711-G711</f>
        <v>-1.1000000000000085</v>
      </c>
      <c r="I711" s="1">
        <f>+(F711^14)/((F711^14+G711^14))</f>
        <v>0.46151802647482632</v>
      </c>
      <c r="J711" s="2">
        <v>105.2</v>
      </c>
      <c r="K711" s="2">
        <v>106.3</v>
      </c>
      <c r="L711" s="2">
        <f>+J711-K711</f>
        <v>-1.0999999999999943</v>
      </c>
      <c r="M711" s="1">
        <f>+E711-I711</f>
        <v>-4.6883880133362921E-2</v>
      </c>
      <c r="N711" s="2">
        <v>102</v>
      </c>
      <c r="O711" s="2">
        <v>108.9</v>
      </c>
      <c r="P711" s="2">
        <f t="shared" si="10"/>
        <v>-6.9000000000000057</v>
      </c>
      <c r="Q711">
        <v>-1</v>
      </c>
    </row>
    <row r="712" spans="1:17">
      <c r="A712" t="s">
        <v>54</v>
      </c>
      <c r="B712" t="s">
        <v>15</v>
      </c>
      <c r="C712">
        <v>38</v>
      </c>
      <c r="D712">
        <v>44</v>
      </c>
      <c r="E712" s="1">
        <f>+C712/(C712+D712)</f>
        <v>0.46341463414634149</v>
      </c>
      <c r="F712" s="2">
        <v>97.3</v>
      </c>
      <c r="G712" s="2">
        <v>97</v>
      </c>
      <c r="H712" s="2">
        <f>+F712-G712</f>
        <v>0.29999999999999716</v>
      </c>
      <c r="I712" s="1">
        <f>+(F712^14)/((F712^14+G712^14))</f>
        <v>0.51080635435585753</v>
      </c>
      <c r="J712" s="2">
        <v>102.9</v>
      </c>
      <c r="K712" s="2">
        <v>102.7</v>
      </c>
      <c r="L712" s="2">
        <f>+J712-K712</f>
        <v>0.20000000000000284</v>
      </c>
      <c r="M712" s="1">
        <f>+E712-I712</f>
        <v>-4.7391720209516042E-2</v>
      </c>
      <c r="N712" s="2">
        <v>97.5</v>
      </c>
      <c r="O712" s="2">
        <v>94.7</v>
      </c>
      <c r="P712" s="2">
        <f t="shared" si="10"/>
        <v>2.7999999999999972</v>
      </c>
      <c r="Q712">
        <v>0.7</v>
      </c>
    </row>
    <row r="713" spans="1:17">
      <c r="A713" t="s">
        <v>36</v>
      </c>
      <c r="B713" t="s">
        <v>35</v>
      </c>
      <c r="C713">
        <v>28</v>
      </c>
      <c r="D713">
        <v>54</v>
      </c>
      <c r="E713" s="1">
        <f>+C713/(C713+D713)</f>
        <v>0.34146341463414637</v>
      </c>
      <c r="F713" s="2">
        <v>97.5</v>
      </c>
      <c r="G713" s="2">
        <v>100.7</v>
      </c>
      <c r="H713" s="2">
        <f>+F713-G713</f>
        <v>-3.2000000000000028</v>
      </c>
      <c r="I713" s="1">
        <f>+(F713^14)/((F713^14+G713^14))</f>
        <v>0.38885971000700537</v>
      </c>
      <c r="J713" s="2">
        <v>102.3</v>
      </c>
      <c r="K713" s="2">
        <v>105.9</v>
      </c>
      <c r="L713" s="2">
        <f>+J713-K713</f>
        <v>-3.6000000000000085</v>
      </c>
      <c r="M713" s="1">
        <f>+E713-I713</f>
        <v>-4.7396295372858999E-2</v>
      </c>
      <c r="N713" s="2">
        <v>97.8</v>
      </c>
      <c r="O713" s="2">
        <v>104.4</v>
      </c>
      <c r="P713" s="2">
        <f t="shared" si="10"/>
        <v>-6.6000000000000085</v>
      </c>
      <c r="Q713">
        <v>0.2</v>
      </c>
    </row>
    <row r="714" spans="1:17">
      <c r="A714" t="s">
        <v>66</v>
      </c>
      <c r="B714" t="s">
        <v>53</v>
      </c>
      <c r="C714">
        <v>20</v>
      </c>
      <c r="D714">
        <v>45</v>
      </c>
      <c r="E714" s="1">
        <f>+C714/(C714+D714)</f>
        <v>0.30769230769230771</v>
      </c>
      <c r="F714" s="2">
        <v>115.2</v>
      </c>
      <c r="G714" s="2">
        <v>120.2</v>
      </c>
      <c r="H714" s="2">
        <f>+F714-G714</f>
        <v>-5</v>
      </c>
      <c r="I714" s="1">
        <f>+(F714^14)/((F714^14+G714^14))</f>
        <v>0.35552926815627678</v>
      </c>
      <c r="J714" s="2">
        <v>112.8</v>
      </c>
      <c r="K714" s="2">
        <v>117.8</v>
      </c>
      <c r="L714" s="2">
        <f>+J714-K714</f>
        <v>-5</v>
      </c>
      <c r="M714" s="1">
        <f>+E714-I714</f>
        <v>-4.7836960463969069E-2</v>
      </c>
      <c r="N714" s="2">
        <v>105.7</v>
      </c>
      <c r="O714" s="2">
        <v>123.7</v>
      </c>
      <c r="P714" s="2">
        <f t="shared" ref="P714:P777" si="11">+N714-O714</f>
        <v>-18</v>
      </c>
      <c r="Q714" s="2">
        <v>-1.1000000000000001</v>
      </c>
    </row>
    <row r="715" spans="1:17">
      <c r="A715" t="s">
        <v>4</v>
      </c>
      <c r="B715" t="s">
        <v>12</v>
      </c>
      <c r="C715">
        <v>32</v>
      </c>
      <c r="D715">
        <v>50</v>
      </c>
      <c r="E715" s="1">
        <f>+C715/(C715+D715)</f>
        <v>0.3902439024390244</v>
      </c>
      <c r="F715" s="2">
        <v>95.6</v>
      </c>
      <c r="G715" s="2">
        <v>97.3</v>
      </c>
      <c r="H715" s="2">
        <f>+F715-G715</f>
        <v>-1.7000000000000028</v>
      </c>
      <c r="I715" s="1">
        <f>+(F715^14)/((F715^14+G715^14))</f>
        <v>0.43861956554908621</v>
      </c>
      <c r="J715" s="2">
        <v>98.5</v>
      </c>
      <c r="K715" s="2">
        <v>100.3</v>
      </c>
      <c r="L715" s="2">
        <f>+J715-K715</f>
        <v>-1.7999999999999972</v>
      </c>
      <c r="M715" s="1">
        <f>+E715-I715</f>
        <v>-4.8375663110061806E-2</v>
      </c>
      <c r="N715" s="2">
        <v>91.8</v>
      </c>
      <c r="O715" s="2">
        <v>101.5</v>
      </c>
      <c r="P715" s="2">
        <f t="shared" si="11"/>
        <v>-9.7000000000000028</v>
      </c>
      <c r="Q715">
        <v>-0.7</v>
      </c>
    </row>
    <row r="716" spans="1:17">
      <c r="A716" t="s">
        <v>48</v>
      </c>
      <c r="B716" t="s">
        <v>14</v>
      </c>
      <c r="C716">
        <v>43</v>
      </c>
      <c r="D716">
        <v>39</v>
      </c>
      <c r="E716" s="1">
        <f>+C716/(C716+D716)</f>
        <v>0.52439024390243905</v>
      </c>
      <c r="F716" s="2">
        <v>105.9</v>
      </c>
      <c r="G716" s="2">
        <v>103.7</v>
      </c>
      <c r="H716" s="2">
        <f>+F716-G716</f>
        <v>2.2000000000000028</v>
      </c>
      <c r="I716" s="1">
        <f>+(F716^14)/((F716^14+G716^14))</f>
        <v>0.57295160820263835</v>
      </c>
      <c r="J716" s="2">
        <v>110.2</v>
      </c>
      <c r="K716" s="2">
        <v>107.9</v>
      </c>
      <c r="L716" s="2">
        <f>+J716-K716</f>
        <v>2.2999999999999972</v>
      </c>
      <c r="M716" s="1">
        <f>+E716-I716</f>
        <v>-4.8561364300199306E-2</v>
      </c>
      <c r="N716" s="2">
        <v>99.5</v>
      </c>
      <c r="O716" s="2">
        <v>112.1</v>
      </c>
      <c r="P716" s="2">
        <f t="shared" si="11"/>
        <v>-12.599999999999994</v>
      </c>
      <c r="Q716">
        <v>-0.5</v>
      </c>
    </row>
    <row r="717" spans="1:17">
      <c r="A717" t="s">
        <v>47</v>
      </c>
      <c r="B717" t="s">
        <v>27</v>
      </c>
      <c r="C717">
        <v>25</v>
      </c>
      <c r="D717">
        <v>57</v>
      </c>
      <c r="E717" s="1">
        <f>+C717/(C717+D717)</f>
        <v>0.3048780487804878</v>
      </c>
      <c r="F717" s="2">
        <v>100</v>
      </c>
      <c r="G717" s="2">
        <v>104.4</v>
      </c>
      <c r="H717" s="2">
        <f>+F717-G717</f>
        <v>-4.4000000000000057</v>
      </c>
      <c r="I717" s="1">
        <f>+(F717^14)/((F717^14+G717^14))</f>
        <v>0.35369584952753241</v>
      </c>
      <c r="J717" s="2">
        <v>104.4</v>
      </c>
      <c r="K717" s="2">
        <v>109.1</v>
      </c>
      <c r="L717" s="2">
        <f>+J717-K717</f>
        <v>-4.6999999999999886</v>
      </c>
      <c r="M717" s="1">
        <f>+E717-I717</f>
        <v>-4.8817800747044615E-2</v>
      </c>
      <c r="N717" s="2">
        <v>98.1</v>
      </c>
      <c r="O717" s="2">
        <v>114.8</v>
      </c>
      <c r="P717" s="2">
        <f t="shared" si="11"/>
        <v>-16.700000000000003</v>
      </c>
      <c r="Q717">
        <v>-0.9</v>
      </c>
    </row>
    <row r="718" spans="1:17">
      <c r="A718" t="s">
        <v>50</v>
      </c>
      <c r="B718" t="s">
        <v>46</v>
      </c>
      <c r="C718">
        <v>60</v>
      </c>
      <c r="D718">
        <v>22</v>
      </c>
      <c r="E718" s="1">
        <f>+C718/(C718+D718)</f>
        <v>0.73170731707317072</v>
      </c>
      <c r="F718" s="2">
        <v>105.7</v>
      </c>
      <c r="G718" s="2">
        <v>96.5</v>
      </c>
      <c r="H718" s="2">
        <f>+F718-G718</f>
        <v>9.2000000000000028</v>
      </c>
      <c r="I718" s="1">
        <f>+(F718^14)/((F718^14+G718^14))</f>
        <v>0.78157465431369377</v>
      </c>
      <c r="J718" s="2">
        <v>111</v>
      </c>
      <c r="K718" s="2">
        <v>101.2</v>
      </c>
      <c r="L718" s="2">
        <f>+J718-K718</f>
        <v>9.7999999999999972</v>
      </c>
      <c r="M718" s="1">
        <f>+E718-I718</f>
        <v>-4.9867337240523057E-2</v>
      </c>
      <c r="N718" s="2">
        <v>108.7</v>
      </c>
      <c r="O718" s="2">
        <v>98.6</v>
      </c>
      <c r="P718" s="2">
        <f t="shared" si="11"/>
        <v>10.100000000000009</v>
      </c>
      <c r="Q718">
        <v>1</v>
      </c>
    </row>
    <row r="719" spans="1:17">
      <c r="A719" t="s">
        <v>59</v>
      </c>
      <c r="B719" t="s">
        <v>31</v>
      </c>
      <c r="C719">
        <v>50</v>
      </c>
      <c r="D719">
        <v>32</v>
      </c>
      <c r="E719" s="1">
        <f>+C719/(C719+D719)</f>
        <v>0.6097560975609756</v>
      </c>
      <c r="F719" s="2">
        <v>111.7</v>
      </c>
      <c r="G719" s="2">
        <v>106.5</v>
      </c>
      <c r="H719" s="2">
        <f>+F719-G719</f>
        <v>5.2000000000000028</v>
      </c>
      <c r="I719" s="1">
        <f>+(F719^14)/((F719^14+G719^14))</f>
        <v>0.66092164871809023</v>
      </c>
      <c r="J719" s="2">
        <v>110.3</v>
      </c>
      <c r="K719" s="2">
        <v>105.3</v>
      </c>
      <c r="L719" s="2">
        <f>+J719-K719</f>
        <v>5</v>
      </c>
      <c r="M719" s="1">
        <f>+E719-I719</f>
        <v>-5.116555115711463E-2</v>
      </c>
      <c r="N719" s="2">
        <v>112.7</v>
      </c>
      <c r="O719" s="2">
        <v>109.1</v>
      </c>
      <c r="P719" s="2">
        <f t="shared" si="11"/>
        <v>3.6000000000000085</v>
      </c>
      <c r="Q719">
        <v>0.6</v>
      </c>
    </row>
    <row r="720" spans="1:17">
      <c r="A720" t="s">
        <v>50</v>
      </c>
      <c r="B720" t="s">
        <v>33</v>
      </c>
      <c r="C720">
        <v>29</v>
      </c>
      <c r="D720">
        <v>53</v>
      </c>
      <c r="E720" s="1">
        <f>+C720/(C720+D720)</f>
        <v>0.35365853658536583</v>
      </c>
      <c r="F720" s="2">
        <v>93.2</v>
      </c>
      <c r="G720" s="2">
        <v>95.8</v>
      </c>
      <c r="H720" s="2">
        <f>+F720-G720</f>
        <v>-2.5999999999999943</v>
      </c>
      <c r="I720" s="1">
        <f>+(F720^14)/((F720^14+G720^14))</f>
        <v>0.4048710493768114</v>
      </c>
      <c r="J720" s="2">
        <v>99.3</v>
      </c>
      <c r="K720" s="2">
        <v>101.6</v>
      </c>
      <c r="L720" s="2">
        <f>+J720-K720</f>
        <v>-2.2999999999999972</v>
      </c>
      <c r="M720" s="1">
        <f>+E720-I720</f>
        <v>-5.1212512791445564E-2</v>
      </c>
      <c r="N720" s="2">
        <v>80.5</v>
      </c>
      <c r="O720" s="2">
        <v>100.7</v>
      </c>
      <c r="P720" s="2">
        <f t="shared" si="11"/>
        <v>-20.200000000000003</v>
      </c>
      <c r="Q720">
        <v>0.6</v>
      </c>
    </row>
    <row r="721" spans="1:17">
      <c r="A721" t="s">
        <v>65</v>
      </c>
      <c r="B721" t="s">
        <v>35</v>
      </c>
      <c r="C721">
        <v>48</v>
      </c>
      <c r="D721">
        <v>34</v>
      </c>
      <c r="E721" s="1">
        <f>+C721/(C721+D721)</f>
        <v>0.58536585365853655</v>
      </c>
      <c r="F721" s="2">
        <v>121.7</v>
      </c>
      <c r="G721" s="2">
        <v>116.9</v>
      </c>
      <c r="H721" s="2">
        <f>+F721-G721</f>
        <v>4.7999999999999972</v>
      </c>
      <c r="I721" s="1">
        <f>+(F721^14)/((F721^14+G721^14))</f>
        <v>0.63723004806999306</v>
      </c>
      <c r="J721" s="2">
        <v>117.2</v>
      </c>
      <c r="K721" s="2">
        <v>112.6</v>
      </c>
      <c r="L721" s="2">
        <f>+J721-K721</f>
        <v>4.6000000000000085</v>
      </c>
      <c r="M721" s="1">
        <f>+E721-I721</f>
        <v>-5.186419441145651E-2</v>
      </c>
      <c r="N721" s="2">
        <v>109.2</v>
      </c>
      <c r="O721" s="2">
        <v>100</v>
      </c>
      <c r="P721" s="2">
        <f t="shared" si="11"/>
        <v>9.2000000000000028</v>
      </c>
      <c r="Q721">
        <v>0.2</v>
      </c>
    </row>
    <row r="722" spans="1:17">
      <c r="A722" t="s">
        <v>55</v>
      </c>
      <c r="B722" t="s">
        <v>46</v>
      </c>
      <c r="C722">
        <v>55</v>
      </c>
      <c r="D722">
        <v>27</v>
      </c>
      <c r="E722" s="1">
        <f>+C722/(C722+D722)</f>
        <v>0.67073170731707321</v>
      </c>
      <c r="F722" s="2">
        <v>110.2</v>
      </c>
      <c r="G722" s="2">
        <v>102.9</v>
      </c>
      <c r="H722" s="2">
        <f>+F722-G722</f>
        <v>7.2999999999999972</v>
      </c>
      <c r="I722" s="1">
        <f>+(F722^14)/((F722^14+G722^14))</f>
        <v>0.72303160932792188</v>
      </c>
      <c r="J722" s="2">
        <v>112.1</v>
      </c>
      <c r="K722" s="2">
        <v>104.8</v>
      </c>
      <c r="L722" s="2">
        <f>+J722-K722</f>
        <v>7.2999999999999972</v>
      </c>
      <c r="M722" s="1">
        <f>+E722-I722</f>
        <v>-5.2299902010848665E-2</v>
      </c>
      <c r="N722" s="2">
        <v>102.2</v>
      </c>
      <c r="O722" s="2">
        <v>110.7</v>
      </c>
      <c r="P722" s="2">
        <f t="shared" si="11"/>
        <v>-8.5</v>
      </c>
      <c r="Q722">
        <v>0</v>
      </c>
    </row>
    <row r="723" spans="1:17">
      <c r="A723" t="s">
        <v>63</v>
      </c>
      <c r="B723" t="s">
        <v>8</v>
      </c>
      <c r="C723">
        <v>40</v>
      </c>
      <c r="D723">
        <v>42</v>
      </c>
      <c r="E723" s="1">
        <f>+C723/(C723+D723)</f>
        <v>0.48780487804878048</v>
      </c>
      <c r="F723" s="2">
        <v>113.1</v>
      </c>
      <c r="G723" s="2">
        <v>111.8</v>
      </c>
      <c r="H723" s="2">
        <f>+F723-G723</f>
        <v>1.2999999999999972</v>
      </c>
      <c r="I723" s="1">
        <f>+(F723^14)/((F723^14+G723^14))</f>
        <v>0.54037477901258768</v>
      </c>
      <c r="J723" s="2">
        <v>112.8</v>
      </c>
      <c r="K723" s="2">
        <v>111.5</v>
      </c>
      <c r="L723" s="2">
        <f>+J723-K723</f>
        <v>1.2999999999999972</v>
      </c>
      <c r="M723" s="1">
        <f>+E723-I723</f>
        <v>-5.2569900963807203E-2</v>
      </c>
      <c r="N723" s="2">
        <v>106</v>
      </c>
      <c r="O723" s="2">
        <v>105.2</v>
      </c>
      <c r="P723" s="2">
        <f t="shared" si="11"/>
        <v>0.79999999999999716</v>
      </c>
      <c r="Q723">
        <v>0.5</v>
      </c>
    </row>
    <row r="724" spans="1:17">
      <c r="A724" t="s">
        <v>48</v>
      </c>
      <c r="B724" t="s">
        <v>24</v>
      </c>
      <c r="C724">
        <v>41</v>
      </c>
      <c r="D724">
        <v>41</v>
      </c>
      <c r="E724" s="1">
        <f>+C724/(C724+D724)</f>
        <v>0.5</v>
      </c>
      <c r="F724" s="2">
        <v>99</v>
      </c>
      <c r="G724" s="2">
        <v>97.5</v>
      </c>
      <c r="H724" s="2">
        <f>+F724-G724</f>
        <v>1.5</v>
      </c>
      <c r="I724" s="1">
        <f>+(F724^14)/((F724^14+G724^14))</f>
        <v>0.55323363393409675</v>
      </c>
      <c r="J724" s="2">
        <v>105.3</v>
      </c>
      <c r="K724" s="2">
        <v>103.8</v>
      </c>
      <c r="L724" s="2">
        <f>+J724-K724</f>
        <v>1.5</v>
      </c>
      <c r="M724" s="1">
        <f>+E724-I724</f>
        <v>-5.3233633934096747E-2</v>
      </c>
      <c r="N724" s="2">
        <v>97.2</v>
      </c>
      <c r="O724" s="2">
        <v>107.6</v>
      </c>
      <c r="P724" s="2">
        <f t="shared" si="11"/>
        <v>-10.399999999999991</v>
      </c>
      <c r="Q724">
        <v>0.3</v>
      </c>
    </row>
    <row r="725" spans="1:17">
      <c r="A725" t="s">
        <v>41</v>
      </c>
      <c r="B725" t="s">
        <v>33</v>
      </c>
      <c r="C725">
        <v>42</v>
      </c>
      <c r="D725">
        <v>40</v>
      </c>
      <c r="E725" s="1">
        <f>+C725/(C725+D725)</f>
        <v>0.51219512195121952</v>
      </c>
      <c r="F725" s="2">
        <v>101.7</v>
      </c>
      <c r="G725" s="2">
        <v>99.8</v>
      </c>
      <c r="H725" s="2">
        <f>+F725-G725</f>
        <v>1.9000000000000057</v>
      </c>
      <c r="I725" s="1">
        <f>+(F725^14)/((F725^14+G725^14))</f>
        <v>0.56562612482912078</v>
      </c>
      <c r="J725" s="2">
        <v>107.7</v>
      </c>
      <c r="K725" s="2">
        <v>105.8</v>
      </c>
      <c r="L725" s="2">
        <f>+J725-K725</f>
        <v>1.9000000000000057</v>
      </c>
      <c r="M725" s="1">
        <f>+E725-I725</f>
        <v>-5.3431002877901257E-2</v>
      </c>
      <c r="N725" s="2">
        <v>101</v>
      </c>
      <c r="O725" s="2">
        <v>105.9</v>
      </c>
      <c r="P725" s="2">
        <f t="shared" si="11"/>
        <v>-4.9000000000000057</v>
      </c>
      <c r="Q725">
        <v>-0.5</v>
      </c>
    </row>
    <row r="726" spans="1:17">
      <c r="A726" t="s">
        <v>57</v>
      </c>
      <c r="B726" t="s">
        <v>51</v>
      </c>
      <c r="C726">
        <v>20</v>
      </c>
      <c r="D726">
        <v>62</v>
      </c>
      <c r="E726" s="1">
        <f>+C726/(C726+D726)</f>
        <v>0.24390243902439024</v>
      </c>
      <c r="F726" s="2">
        <v>105.8</v>
      </c>
      <c r="G726" s="2">
        <v>112.5</v>
      </c>
      <c r="H726" s="2">
        <f>+F726-G726</f>
        <v>-6.7000000000000028</v>
      </c>
      <c r="I726" s="1">
        <f>+(F726^14)/((F726^14+G726^14))</f>
        <v>0.29741501867468906</v>
      </c>
      <c r="J726" s="2">
        <v>103.6</v>
      </c>
      <c r="K726" s="2">
        <v>110.1</v>
      </c>
      <c r="L726" s="2">
        <f>+J726-K726</f>
        <v>-6.5</v>
      </c>
      <c r="M726" s="1">
        <f>+E726-I726</f>
        <v>-5.3512579650298819E-2</v>
      </c>
      <c r="N726" s="2">
        <v>99.7</v>
      </c>
      <c r="O726" s="2">
        <v>116.1</v>
      </c>
      <c r="P726" s="2">
        <f t="shared" si="11"/>
        <v>-16.399999999999991</v>
      </c>
      <c r="Q726">
        <v>-0.7</v>
      </c>
    </row>
    <row r="727" spans="1:17">
      <c r="A727" t="s">
        <v>65</v>
      </c>
      <c r="B727" t="s">
        <v>20</v>
      </c>
      <c r="C727">
        <v>49</v>
      </c>
      <c r="D727">
        <v>33</v>
      </c>
      <c r="E727" s="1">
        <f>+C727/(C727+D727)</f>
        <v>0.59756097560975607</v>
      </c>
      <c r="F727" s="2">
        <v>114.3</v>
      </c>
      <c r="G727" s="2">
        <v>109.3</v>
      </c>
      <c r="H727" s="2">
        <f>+F727-G727</f>
        <v>5</v>
      </c>
      <c r="I727" s="1">
        <f>+(F727^14)/((F727^14+G727^14))</f>
        <v>0.65163242349651695</v>
      </c>
      <c r="J727" s="2">
        <v>115.7</v>
      </c>
      <c r="K727" s="2">
        <v>110.8</v>
      </c>
      <c r="L727" s="2">
        <f>+J727-K727</f>
        <v>4.9000000000000057</v>
      </c>
      <c r="M727" s="1">
        <f>+E727-I727</f>
        <v>-5.4071447886760882E-2</v>
      </c>
      <c r="N727" s="2">
        <v>105.4</v>
      </c>
      <c r="O727" s="2">
        <v>114.9</v>
      </c>
      <c r="P727" s="2">
        <f t="shared" si="11"/>
        <v>-9.5</v>
      </c>
      <c r="Q727">
        <v>2.2999999999999998</v>
      </c>
    </row>
    <row r="728" spans="1:17">
      <c r="A728" t="s">
        <v>66</v>
      </c>
      <c r="B728" t="s">
        <v>6</v>
      </c>
      <c r="C728">
        <v>42</v>
      </c>
      <c r="D728">
        <v>21</v>
      </c>
      <c r="E728" s="1">
        <f>+C728/(C728+D728)</f>
        <v>0.66666666666666663</v>
      </c>
      <c r="F728" s="2">
        <v>114.5</v>
      </c>
      <c r="G728" s="2">
        <v>107</v>
      </c>
      <c r="H728" s="2">
        <f>+F728-G728</f>
        <v>7.5</v>
      </c>
      <c r="I728" s="1">
        <f>+(F728^14)/((F728^14+G728^14))</f>
        <v>0.72080211390693061</v>
      </c>
      <c r="J728" s="2">
        <v>119.9</v>
      </c>
      <c r="K728" s="2">
        <v>111.7</v>
      </c>
      <c r="L728" s="2">
        <f>+J728-K728</f>
        <v>8.2000000000000028</v>
      </c>
      <c r="M728" s="1">
        <f>+E728-I728</f>
        <v>-5.4135447240263979E-2</v>
      </c>
      <c r="N728" s="2">
        <v>113.1</v>
      </c>
      <c r="O728" s="2">
        <v>116.6</v>
      </c>
      <c r="P728" s="2">
        <f t="shared" si="11"/>
        <v>-3.5</v>
      </c>
      <c r="Q728">
        <v>1.2</v>
      </c>
    </row>
    <row r="729" spans="1:17">
      <c r="A729" t="s">
        <v>49</v>
      </c>
      <c r="B729" t="s">
        <v>26</v>
      </c>
      <c r="C729">
        <v>28</v>
      </c>
      <c r="D729">
        <v>38</v>
      </c>
      <c r="E729" s="1">
        <f>+C729/(C729+D729)</f>
        <v>0.42424242424242425</v>
      </c>
      <c r="F729" s="2">
        <v>97.2</v>
      </c>
      <c r="G729" s="2">
        <v>97.8</v>
      </c>
      <c r="H729" s="2">
        <f>+F729-G729</f>
        <v>-0.59999999999999432</v>
      </c>
      <c r="I729" s="1">
        <f>+(F729^14)/((F729^14+G729^14))</f>
        <v>0.4784747831438797</v>
      </c>
      <c r="J729" s="2">
        <v>104.4</v>
      </c>
      <c r="K729" s="2">
        <v>105.3</v>
      </c>
      <c r="L729" s="2">
        <f>+J729-K729</f>
        <v>-0.89999999999999147</v>
      </c>
      <c r="M729" s="1">
        <f>+E729-I729</f>
        <v>-5.4232358901455446E-2</v>
      </c>
      <c r="N729" s="2">
        <v>91.5</v>
      </c>
      <c r="O729" s="2">
        <v>95.2</v>
      </c>
      <c r="P729" s="2">
        <f t="shared" si="11"/>
        <v>-3.7000000000000028</v>
      </c>
      <c r="Q729">
        <v>0.5</v>
      </c>
    </row>
    <row r="730" spans="1:17">
      <c r="A730" t="s">
        <v>66</v>
      </c>
      <c r="B730" t="s">
        <v>22</v>
      </c>
      <c r="C730">
        <v>40</v>
      </c>
      <c r="D730">
        <v>23</v>
      </c>
      <c r="E730" s="1">
        <f>+C730/(C730+D730)</f>
        <v>0.63492063492063489</v>
      </c>
      <c r="F730" s="2">
        <v>117</v>
      </c>
      <c r="G730" s="2">
        <v>110.5</v>
      </c>
      <c r="H730" s="2">
        <f>+F730-G730</f>
        <v>6.5</v>
      </c>
      <c r="I730" s="1">
        <f>+(F730^14)/((F730^14+G730^14))</f>
        <v>0.6900210673968612</v>
      </c>
      <c r="J730" s="2">
        <v>118.3</v>
      </c>
      <c r="K730" s="2">
        <v>111.7</v>
      </c>
      <c r="L730" s="2">
        <f>+J730-K730</f>
        <v>6.5999999999999943</v>
      </c>
      <c r="M730" s="1">
        <f>+E730-I730</f>
        <v>-5.5100432476226313E-2</v>
      </c>
      <c r="N730" s="2">
        <v>120.9</v>
      </c>
      <c r="O730" s="2">
        <v>100.5</v>
      </c>
      <c r="P730" s="2">
        <f t="shared" si="11"/>
        <v>20.400000000000006</v>
      </c>
      <c r="Q730" s="2">
        <v>2.7</v>
      </c>
    </row>
    <row r="731" spans="1:17">
      <c r="A731" t="s">
        <v>66</v>
      </c>
      <c r="B731" t="s">
        <v>18</v>
      </c>
      <c r="C731">
        <v>35</v>
      </c>
      <c r="D731">
        <v>29</v>
      </c>
      <c r="E731" s="1">
        <f>+C731/(C731+D731)</f>
        <v>0.546875</v>
      </c>
      <c r="F731" s="2">
        <v>120.1</v>
      </c>
      <c r="G731" s="2">
        <v>116.6</v>
      </c>
      <c r="H731" s="2">
        <f>+F731-G731</f>
        <v>3.5</v>
      </c>
      <c r="I731" s="1">
        <f>+(F731^14)/((F731^14+G731^14))</f>
        <v>0.60206012084803828</v>
      </c>
      <c r="J731" s="2">
        <v>114.7</v>
      </c>
      <c r="K731" s="2">
        <v>111.5</v>
      </c>
      <c r="L731" s="2">
        <f>+J731-K731</f>
        <v>3.2000000000000028</v>
      </c>
      <c r="M731" s="1">
        <f>+E731-I731</f>
        <v>-5.5185120848038283E-2</v>
      </c>
      <c r="N731" s="2">
        <v>109.9</v>
      </c>
      <c r="O731" s="2">
        <v>113.6</v>
      </c>
      <c r="P731" s="2">
        <f t="shared" si="11"/>
        <v>-3.6999999999999886</v>
      </c>
      <c r="Q731" s="2">
        <v>0.9</v>
      </c>
    </row>
    <row r="732" spans="1:17">
      <c r="A732" t="s">
        <v>59</v>
      </c>
      <c r="B732" t="s">
        <v>53</v>
      </c>
      <c r="C732">
        <v>33</v>
      </c>
      <c r="D732">
        <v>49</v>
      </c>
      <c r="E732" s="1">
        <f>+C732/(C732+D732)</f>
        <v>0.40243902439024393</v>
      </c>
      <c r="F732" s="2">
        <v>115.4</v>
      </c>
      <c r="G732" s="2">
        <v>116.8</v>
      </c>
      <c r="H732" s="2">
        <f>+F732-G732</f>
        <v>-1.3999999999999915</v>
      </c>
      <c r="I732" s="1">
        <f>+(F732^14)/((F732^14+G732^14))</f>
        <v>0.45789444917000782</v>
      </c>
      <c r="J732" s="2">
        <v>110.7</v>
      </c>
      <c r="K732" s="2">
        <v>112</v>
      </c>
      <c r="L732" s="2">
        <f>+J732-K732</f>
        <v>-1.2999999999999972</v>
      </c>
      <c r="M732" s="1">
        <f>+E732-I732</f>
        <v>-5.5455424779763896E-2</v>
      </c>
      <c r="N732" s="2">
        <v>99.4</v>
      </c>
      <c r="O732" s="2">
        <v>110</v>
      </c>
      <c r="P732" s="2">
        <f t="shared" si="11"/>
        <v>-10.599999999999994</v>
      </c>
      <c r="Q732">
        <v>0.8</v>
      </c>
    </row>
    <row r="733" spans="1:17">
      <c r="A733" t="s">
        <v>48</v>
      </c>
      <c r="B733" t="s">
        <v>23</v>
      </c>
      <c r="C733">
        <v>52</v>
      </c>
      <c r="D733">
        <v>30</v>
      </c>
      <c r="E733" s="1">
        <f>+C733/(C733+D733)</f>
        <v>0.63414634146341464</v>
      </c>
      <c r="F733" s="2">
        <v>99.2</v>
      </c>
      <c r="G733" s="2">
        <v>93.7</v>
      </c>
      <c r="H733" s="2">
        <f>+F733-G733</f>
        <v>5.5</v>
      </c>
      <c r="I733" s="1">
        <f>+(F733^14)/((F733^14+G733^14))</f>
        <v>0.68966584270274334</v>
      </c>
      <c r="J733" s="2">
        <v>107.4</v>
      </c>
      <c r="K733" s="2">
        <v>101.8</v>
      </c>
      <c r="L733" s="2">
        <f>+J733-K733</f>
        <v>5.6000000000000085</v>
      </c>
      <c r="M733" s="1">
        <f>+E733-I733</f>
        <v>-5.5519501239328695E-2</v>
      </c>
      <c r="N733" s="2">
        <v>107.1</v>
      </c>
      <c r="O733" s="2">
        <v>107</v>
      </c>
      <c r="P733" s="2">
        <f t="shared" si="11"/>
        <v>9.9999999999994316E-2</v>
      </c>
      <c r="Q733">
        <v>1.2</v>
      </c>
    </row>
    <row r="734" spans="1:17">
      <c r="A734" t="s">
        <v>52</v>
      </c>
      <c r="B734" t="s">
        <v>19</v>
      </c>
      <c r="C734">
        <v>15</v>
      </c>
      <c r="D734">
        <v>67</v>
      </c>
      <c r="E734" s="1">
        <f>+C734/(C734+D734)</f>
        <v>0.18292682926829268</v>
      </c>
      <c r="F734" s="2">
        <v>95.5</v>
      </c>
      <c r="G734" s="2">
        <v>103.7</v>
      </c>
      <c r="H734" s="2">
        <f>+F734-G734</f>
        <v>-8.2000000000000028</v>
      </c>
      <c r="I734" s="1">
        <f>+(F734^14)/((F734^14+G734^14))</f>
        <v>0.23989374282891526</v>
      </c>
      <c r="J734" s="2">
        <v>101.9</v>
      </c>
      <c r="K734" s="2">
        <v>110.2</v>
      </c>
      <c r="L734" s="2">
        <f>+J734-K734</f>
        <v>-8.2999999999999972</v>
      </c>
      <c r="M734" s="1">
        <f>+E734-I734</f>
        <v>-5.6966913560622584E-2</v>
      </c>
      <c r="N734" s="2">
        <v>87.3</v>
      </c>
      <c r="O734" s="2">
        <v>108.7</v>
      </c>
      <c r="P734" s="2">
        <f t="shared" si="11"/>
        <v>-21.400000000000006</v>
      </c>
      <c r="Q734">
        <v>0</v>
      </c>
    </row>
    <row r="735" spans="1:17">
      <c r="A735" t="s">
        <v>58</v>
      </c>
      <c r="B735" t="s">
        <v>31</v>
      </c>
      <c r="C735">
        <v>48</v>
      </c>
      <c r="D735">
        <v>34</v>
      </c>
      <c r="E735" s="1">
        <f>+C735/(C735+D735)</f>
        <v>0.58536585365853655</v>
      </c>
      <c r="F735" s="2">
        <v>104.1</v>
      </c>
      <c r="G735" s="2">
        <v>99.8</v>
      </c>
      <c r="H735" s="2">
        <f>+F735-G735</f>
        <v>4.2999999999999972</v>
      </c>
      <c r="I735" s="1">
        <f>+(F735^14)/((F735^14+G735^14))</f>
        <v>0.64349662886143</v>
      </c>
      <c r="J735" s="2">
        <v>107.4</v>
      </c>
      <c r="K735" s="2">
        <v>103</v>
      </c>
      <c r="L735" s="2">
        <f>+J735-K735</f>
        <v>4.4000000000000057</v>
      </c>
      <c r="M735" s="1">
        <f>+E735-I735</f>
        <v>-5.8130775202893448E-2</v>
      </c>
      <c r="N735" s="2">
        <v>107.6</v>
      </c>
      <c r="O735" s="2">
        <v>101.3</v>
      </c>
      <c r="P735" s="2">
        <f t="shared" si="11"/>
        <v>6.2999999999999972</v>
      </c>
      <c r="Q735">
        <v>1.8</v>
      </c>
    </row>
    <row r="736" spans="1:17">
      <c r="A736" t="s">
        <v>4</v>
      </c>
      <c r="B736" t="s">
        <v>28</v>
      </c>
      <c r="C736">
        <v>58</v>
      </c>
      <c r="D736">
        <v>24</v>
      </c>
      <c r="E736" s="1">
        <f>+C736/(C736+D736)</f>
        <v>0.70731707317073167</v>
      </c>
      <c r="F736" s="2">
        <v>96.2</v>
      </c>
      <c r="G736" s="2">
        <v>88.4</v>
      </c>
      <c r="H736" s="2">
        <f>+F736-G736</f>
        <v>7.7999999999999972</v>
      </c>
      <c r="I736" s="1">
        <f>+(F736^14)/((F736^14+G736^14))</f>
        <v>0.76563098176040723</v>
      </c>
      <c r="J736" s="2">
        <v>105</v>
      </c>
      <c r="K736" s="2">
        <v>96.6</v>
      </c>
      <c r="L736" s="2">
        <f>+J736-K736</f>
        <v>8.4000000000000057</v>
      </c>
      <c r="M736" s="1">
        <f>+E736-I736</f>
        <v>-5.8313908589675556E-2</v>
      </c>
      <c r="N736" s="2">
        <v>97.7</v>
      </c>
      <c r="O736" s="2">
        <v>100.4</v>
      </c>
      <c r="P736" s="2">
        <f t="shared" si="11"/>
        <v>-2.7000000000000028</v>
      </c>
      <c r="Q736">
        <v>0.9</v>
      </c>
    </row>
    <row r="737" spans="1:17">
      <c r="A737" t="s">
        <v>34</v>
      </c>
      <c r="B737" t="s">
        <v>29</v>
      </c>
      <c r="C737">
        <v>45</v>
      </c>
      <c r="D737">
        <v>37</v>
      </c>
      <c r="E737" s="1">
        <f>+C737/(C737+D737)</f>
        <v>0.54878048780487809</v>
      </c>
      <c r="F737" s="2">
        <v>97.7</v>
      </c>
      <c r="G737" s="2">
        <v>94.7</v>
      </c>
      <c r="H737" s="2">
        <f>+F737-G737</f>
        <v>3</v>
      </c>
      <c r="I737" s="1">
        <f>+(F737^14)/((F737^14+G737^14))</f>
        <v>0.60745473911501191</v>
      </c>
      <c r="J737" s="2">
        <v>107.3</v>
      </c>
      <c r="K737" s="2">
        <v>104.1</v>
      </c>
      <c r="L737" s="2">
        <f>+J737-K737</f>
        <v>3.2000000000000028</v>
      </c>
      <c r="M737" s="1">
        <f>+E737-I737</f>
        <v>-5.8674251310133818E-2</v>
      </c>
      <c r="N737" s="2">
        <v>92.6</v>
      </c>
      <c r="O737" s="2">
        <v>98.2</v>
      </c>
      <c r="P737" s="2">
        <f t="shared" si="11"/>
        <v>-5.6000000000000085</v>
      </c>
      <c r="Q737">
        <v>0.3</v>
      </c>
    </row>
    <row r="738" spans="1:17">
      <c r="A738" t="s">
        <v>38</v>
      </c>
      <c r="B738" t="s">
        <v>12</v>
      </c>
      <c r="C738">
        <v>54</v>
      </c>
      <c r="D738">
        <v>28</v>
      </c>
      <c r="E738" s="1">
        <f>+C738/(C738+D738)</f>
        <v>0.65853658536585369</v>
      </c>
      <c r="F738" s="2">
        <v>90.1</v>
      </c>
      <c r="G738" s="2">
        <v>84.3</v>
      </c>
      <c r="H738" s="2">
        <f>+F738-G738</f>
        <v>5.7999999999999972</v>
      </c>
      <c r="I738" s="1">
        <f>+(F738^14)/((F738^14+G738^14))</f>
        <v>0.71738684209510184</v>
      </c>
      <c r="J738" s="2">
        <v>100.3</v>
      </c>
      <c r="K738" s="2">
        <v>93.9</v>
      </c>
      <c r="L738" s="2">
        <f>+J738-K738</f>
        <v>6.3999999999999915</v>
      </c>
      <c r="M738" s="1">
        <f>+E738-I738</f>
        <v>-5.8850256729248152E-2</v>
      </c>
      <c r="N738" s="2">
        <v>103.8</v>
      </c>
      <c r="O738" s="2">
        <v>94.5</v>
      </c>
      <c r="P738" s="2">
        <f t="shared" si="11"/>
        <v>9.2999999999999972</v>
      </c>
      <c r="Q738">
        <v>1.3</v>
      </c>
    </row>
    <row r="739" spans="1:17">
      <c r="A739" t="s">
        <v>59</v>
      </c>
      <c r="B739" t="s">
        <v>10</v>
      </c>
      <c r="C739">
        <v>33</v>
      </c>
      <c r="D739">
        <v>49</v>
      </c>
      <c r="E739" s="1">
        <f>+C739/(C739+D739)</f>
        <v>0.40243902439024393</v>
      </c>
      <c r="F739" s="2">
        <v>108.9</v>
      </c>
      <c r="G739" s="2">
        <v>110.1</v>
      </c>
      <c r="H739" s="2">
        <f>+F739-G739</f>
        <v>-1.1999999999999886</v>
      </c>
      <c r="I739" s="1">
        <f>+(F739^14)/((F739^14+G739^14))</f>
        <v>0.46171851651459928</v>
      </c>
      <c r="J739" s="2">
        <v>108.7</v>
      </c>
      <c r="K739" s="2">
        <v>110.1</v>
      </c>
      <c r="L739" s="2">
        <f>+J739-K739</f>
        <v>-1.3999999999999915</v>
      </c>
      <c r="M739" s="1">
        <f>+E739-I739</f>
        <v>-5.9279492124355349E-2</v>
      </c>
      <c r="N739" s="2">
        <v>100.3</v>
      </c>
      <c r="O739" s="2">
        <v>108.9</v>
      </c>
      <c r="P739" s="2">
        <f t="shared" si="11"/>
        <v>-8.6000000000000085</v>
      </c>
      <c r="Q739">
        <v>0.4</v>
      </c>
    </row>
    <row r="740" spans="1:17">
      <c r="A740" t="s">
        <v>52</v>
      </c>
      <c r="B740" t="s">
        <v>27</v>
      </c>
      <c r="C740">
        <v>28</v>
      </c>
      <c r="D740">
        <v>54</v>
      </c>
      <c r="E740" s="1">
        <f>+C740/(C740+D740)</f>
        <v>0.34146341463414637</v>
      </c>
      <c r="F740" s="2">
        <v>100.5</v>
      </c>
      <c r="G740" s="2">
        <v>103.4</v>
      </c>
      <c r="H740" s="2">
        <f>+F740-G740</f>
        <v>-2.9000000000000057</v>
      </c>
      <c r="I740" s="1">
        <f>+(F740^14)/((F740^14+G740^14))</f>
        <v>0.40173015666550166</v>
      </c>
      <c r="J740" s="2">
        <v>105.1</v>
      </c>
      <c r="K740" s="2">
        <v>107.8</v>
      </c>
      <c r="L740" s="2">
        <f>+J740-K740</f>
        <v>-2.7000000000000028</v>
      </c>
      <c r="M740" s="1">
        <f>+E740-I740</f>
        <v>-6.0266742031355292E-2</v>
      </c>
      <c r="N740" s="2">
        <v>101.2</v>
      </c>
      <c r="O740" s="2">
        <v>108.8</v>
      </c>
      <c r="P740" s="2">
        <f t="shared" si="11"/>
        <v>-7.5999999999999943</v>
      </c>
      <c r="Q740">
        <v>-1</v>
      </c>
    </row>
    <row r="741" spans="1:17">
      <c r="A741" t="s">
        <v>61</v>
      </c>
      <c r="B741" t="s">
        <v>53</v>
      </c>
      <c r="C741">
        <v>31</v>
      </c>
      <c r="D741">
        <v>41</v>
      </c>
      <c r="E741" s="1">
        <f>+C741/(C741+D741)</f>
        <v>0.43055555555555558</v>
      </c>
      <c r="F741" s="2">
        <v>114.6</v>
      </c>
      <c r="G741" s="2">
        <v>114.9</v>
      </c>
      <c r="H741" s="2">
        <f>+F741-G741</f>
        <v>-0.30000000000001137</v>
      </c>
      <c r="I741" s="1">
        <f>+(F741^14)/((F741^14+G741^14))</f>
        <v>0.49085068937961135</v>
      </c>
      <c r="J741" s="2">
        <v>113</v>
      </c>
      <c r="K741" s="2">
        <v>113.3</v>
      </c>
      <c r="L741" s="2">
        <f>+J741-K741</f>
        <v>-0.29999999999999716</v>
      </c>
      <c r="M741" s="1">
        <f>+E741-I741</f>
        <v>-6.0295133824055769E-2</v>
      </c>
      <c r="N741" s="2">
        <v>109</v>
      </c>
      <c r="O741" s="2">
        <v>101.5</v>
      </c>
      <c r="P741" s="2">
        <f t="shared" si="11"/>
        <v>7.5</v>
      </c>
      <c r="Q741">
        <v>0.5</v>
      </c>
    </row>
    <row r="742" spans="1:17">
      <c r="A742" t="s">
        <v>44</v>
      </c>
      <c r="B742" t="s">
        <v>31</v>
      </c>
      <c r="C742">
        <v>54</v>
      </c>
      <c r="D742">
        <v>28</v>
      </c>
      <c r="E742" s="1">
        <f>+C742/(C742+D742)</f>
        <v>0.65853658536585369</v>
      </c>
      <c r="F742" s="2">
        <v>106.2</v>
      </c>
      <c r="G742" s="2">
        <v>99.3</v>
      </c>
      <c r="H742" s="2">
        <f>+F742-G742</f>
        <v>6.9000000000000057</v>
      </c>
      <c r="I742" s="1">
        <f>+(F742^14)/((F742^14+G742^14))</f>
        <v>0.71920054882030759</v>
      </c>
      <c r="J742" s="2">
        <v>112.1</v>
      </c>
      <c r="K742" s="2">
        <v>104.9</v>
      </c>
      <c r="L742" s="2">
        <f>+J742-K742</f>
        <v>7.1999999999999886</v>
      </c>
      <c r="M742" s="1">
        <f>+E742-I742</f>
        <v>-6.0663963454453906E-2</v>
      </c>
      <c r="N742" s="2">
        <v>116.3</v>
      </c>
      <c r="O742" s="2">
        <v>118.1</v>
      </c>
      <c r="P742" s="2">
        <f t="shared" si="11"/>
        <v>-1.7999999999999972</v>
      </c>
      <c r="Q742">
        <v>1.5</v>
      </c>
    </row>
    <row r="743" spans="1:17">
      <c r="A743" t="s">
        <v>63</v>
      </c>
      <c r="B743" t="s">
        <v>12</v>
      </c>
      <c r="C743">
        <v>17</v>
      </c>
      <c r="D743">
        <v>65</v>
      </c>
      <c r="E743" s="1">
        <f>+C743/(C743+D743)</f>
        <v>0.2073170731707317</v>
      </c>
      <c r="F743" s="2">
        <v>110.3</v>
      </c>
      <c r="G743" s="2">
        <v>118.5</v>
      </c>
      <c r="H743" s="2">
        <f>+F743-G743</f>
        <v>-8.2000000000000028</v>
      </c>
      <c r="I743" s="1">
        <f>+(F743^14)/((F743^14+G743^14))</f>
        <v>0.26817012920716587</v>
      </c>
      <c r="J743" s="2">
        <v>109.9</v>
      </c>
      <c r="K743" s="2">
        <v>117.8</v>
      </c>
      <c r="L743" s="2">
        <f>+J743-K743</f>
        <v>-7.8999999999999915</v>
      </c>
      <c r="M743" s="1">
        <f>+E743-I743</f>
        <v>-6.0853056036434178E-2</v>
      </c>
      <c r="N743" s="2">
        <v>104.7</v>
      </c>
      <c r="O743" s="2">
        <v>122.7</v>
      </c>
      <c r="P743" s="2">
        <f t="shared" si="11"/>
        <v>-18</v>
      </c>
      <c r="Q743">
        <v>-2.1</v>
      </c>
    </row>
    <row r="744" spans="1:17">
      <c r="A744" t="s">
        <v>60</v>
      </c>
      <c r="B744" t="s">
        <v>8</v>
      </c>
      <c r="C744">
        <v>22</v>
      </c>
      <c r="D744">
        <v>43</v>
      </c>
      <c r="E744" s="1">
        <f>+C744/(C744+D744)</f>
        <v>0.33846153846153848</v>
      </c>
      <c r="F744" s="2">
        <v>106.8</v>
      </c>
      <c r="G744" s="2">
        <v>109.9</v>
      </c>
      <c r="H744" s="2">
        <f>+F744-G744</f>
        <v>-3.1000000000000085</v>
      </c>
      <c r="I744" s="1">
        <f>+(F744^14)/((F744^14+G744^14))</f>
        <v>0.40117273517246865</v>
      </c>
      <c r="J744" s="2">
        <v>105.8</v>
      </c>
      <c r="K744" s="2">
        <v>108.9</v>
      </c>
      <c r="L744" s="2">
        <f>+J744-K744</f>
        <v>-3.1000000000000085</v>
      </c>
      <c r="M744" s="1">
        <f>+E744-I744</f>
        <v>-6.2711196710930173E-2</v>
      </c>
      <c r="N744" s="2">
        <v>106.5</v>
      </c>
      <c r="O744" s="2">
        <v>127.3</v>
      </c>
      <c r="P744" s="2">
        <f t="shared" si="11"/>
        <v>-20.799999999999997</v>
      </c>
      <c r="Q744">
        <v>-0.5</v>
      </c>
    </row>
    <row r="745" spans="1:17">
      <c r="A745" t="s">
        <v>47</v>
      </c>
      <c r="B745" t="s">
        <v>28</v>
      </c>
      <c r="C745">
        <v>50</v>
      </c>
      <c r="D745">
        <v>32</v>
      </c>
      <c r="E745" s="1">
        <f>+C745/(C745+D745)</f>
        <v>0.6097560975609756</v>
      </c>
      <c r="F745" s="2">
        <v>101.4</v>
      </c>
      <c r="G745" s="2">
        <v>96.3</v>
      </c>
      <c r="H745" s="2">
        <f>+F745-G745</f>
        <v>5.1000000000000085</v>
      </c>
      <c r="I745" s="1">
        <f>+(F745^14)/((F745^14+G745^14))</f>
        <v>0.67314999462615233</v>
      </c>
      <c r="J745" s="2">
        <v>109.3</v>
      </c>
      <c r="K745" s="2">
        <v>103.9</v>
      </c>
      <c r="L745" s="2">
        <f>+J745-K745</f>
        <v>5.3999999999999915</v>
      </c>
      <c r="M745" s="1">
        <f>+E745-I745</f>
        <v>-6.339389706517673E-2</v>
      </c>
      <c r="N745" s="2">
        <v>99.3</v>
      </c>
      <c r="O745" s="2">
        <v>112.2</v>
      </c>
      <c r="P745" s="2">
        <f t="shared" si="11"/>
        <v>-12.900000000000006</v>
      </c>
      <c r="Q745">
        <v>0.9</v>
      </c>
    </row>
    <row r="746" spans="1:17">
      <c r="A746" t="s">
        <v>38</v>
      </c>
      <c r="B746" t="s">
        <v>28</v>
      </c>
      <c r="C746">
        <v>57</v>
      </c>
      <c r="D746">
        <v>25</v>
      </c>
      <c r="E746" s="1">
        <f>+C746/(C746+D746)</f>
        <v>0.69512195121951215</v>
      </c>
      <c r="F746" s="2">
        <v>91.5</v>
      </c>
      <c r="G746" s="2">
        <v>84.3</v>
      </c>
      <c r="H746" s="2">
        <f>+F746-G746</f>
        <v>7.2000000000000028</v>
      </c>
      <c r="I746" s="1">
        <f>+(F746^14)/((F746^14+G746^14))</f>
        <v>0.75903560483804922</v>
      </c>
      <c r="J746" s="2">
        <v>101</v>
      </c>
      <c r="K746" s="2">
        <v>93.1</v>
      </c>
      <c r="L746" s="2">
        <f>+J746-K746</f>
        <v>7.9000000000000057</v>
      </c>
      <c r="M746" s="1">
        <f>+E746-I746</f>
        <v>-6.391365361853707E-2</v>
      </c>
      <c r="N746" s="2">
        <v>95.1</v>
      </c>
      <c r="O746" s="2">
        <v>96.9</v>
      </c>
      <c r="P746" s="2">
        <f t="shared" si="11"/>
        <v>-1.8000000000000114</v>
      </c>
      <c r="Q746">
        <v>0.4</v>
      </c>
    </row>
    <row r="747" spans="1:17">
      <c r="A747" t="s">
        <v>34</v>
      </c>
      <c r="B747" t="s">
        <v>13</v>
      </c>
      <c r="C747">
        <v>21</v>
      </c>
      <c r="D747">
        <v>61</v>
      </c>
      <c r="E747" s="1">
        <f>+C747/(C747+D747)</f>
        <v>0.25609756097560976</v>
      </c>
      <c r="F747" s="2">
        <v>97.7</v>
      </c>
      <c r="G747" s="2">
        <v>103.1</v>
      </c>
      <c r="H747" s="2">
        <f>+F747-G747</f>
        <v>-5.3999999999999915</v>
      </c>
      <c r="I747" s="1">
        <f>+(F747^14)/((F747^14+G747^14))</f>
        <v>0.32013104307048473</v>
      </c>
      <c r="J747" s="2">
        <v>101.5</v>
      </c>
      <c r="K747" s="2">
        <v>107.1</v>
      </c>
      <c r="L747" s="2">
        <f>+J747-K747</f>
        <v>-5.5999999999999943</v>
      </c>
      <c r="M747" s="1">
        <f>+E747-I747</f>
        <v>-6.4033482094874972E-2</v>
      </c>
      <c r="N747" s="2">
        <v>85.4</v>
      </c>
      <c r="O747" s="2">
        <v>105.3</v>
      </c>
      <c r="P747" s="2">
        <f t="shared" si="11"/>
        <v>-19.899999999999991</v>
      </c>
      <c r="Q747">
        <v>0</v>
      </c>
    </row>
    <row r="748" spans="1:17">
      <c r="A748" t="s">
        <v>47</v>
      </c>
      <c r="B748" t="s">
        <v>21</v>
      </c>
      <c r="C748">
        <v>12</v>
      </c>
      <c r="D748">
        <v>70</v>
      </c>
      <c r="E748" s="1">
        <f>+C748/(C748+D748)</f>
        <v>0.14634146341463414</v>
      </c>
      <c r="F748" s="2">
        <v>92.4</v>
      </c>
      <c r="G748" s="2">
        <v>101.5</v>
      </c>
      <c r="H748" s="2">
        <f>+F748-G748</f>
        <v>-9.0999999999999943</v>
      </c>
      <c r="I748" s="1">
        <f>+(F748^14)/((F748^14+G748^14))</f>
        <v>0.21164377791033548</v>
      </c>
      <c r="J748" s="2">
        <v>99.3</v>
      </c>
      <c r="K748" s="2">
        <v>108.9</v>
      </c>
      <c r="L748" s="2">
        <f>+J748-K748</f>
        <v>-9.6000000000000085</v>
      </c>
      <c r="M748" s="1">
        <f>+E748-I748</f>
        <v>-6.5302314495701341E-2</v>
      </c>
      <c r="N748" s="2">
        <v>84.5</v>
      </c>
      <c r="O748" s="2">
        <v>109.7</v>
      </c>
      <c r="P748" s="2">
        <f t="shared" si="11"/>
        <v>-25.200000000000003</v>
      </c>
      <c r="Q748">
        <v>-1.1000000000000001</v>
      </c>
    </row>
    <row r="749" spans="1:17">
      <c r="A749" t="s">
        <v>49</v>
      </c>
      <c r="B749" t="s">
        <v>22</v>
      </c>
      <c r="C749">
        <v>36</v>
      </c>
      <c r="D749">
        <v>30</v>
      </c>
      <c r="E749" s="1">
        <f>+C749/(C749+D749)</f>
        <v>0.54545454545454541</v>
      </c>
      <c r="F749" s="2">
        <v>97.8</v>
      </c>
      <c r="G749" s="2">
        <v>94.7</v>
      </c>
      <c r="H749" s="2">
        <f>+F749-G749</f>
        <v>3.0999999999999943</v>
      </c>
      <c r="I749" s="1">
        <f>+(F749^14)/((F749^14+G749^14))</f>
        <v>0.61086462382590978</v>
      </c>
      <c r="J749" s="2">
        <v>103.5</v>
      </c>
      <c r="K749" s="2">
        <v>100.2</v>
      </c>
      <c r="L749" s="2">
        <f>+J749-K749</f>
        <v>3.2999999999999972</v>
      </c>
      <c r="M749" s="1">
        <f>+E749-I749</f>
        <v>-6.5410078371364366E-2</v>
      </c>
      <c r="N749" s="2">
        <v>104.9</v>
      </c>
      <c r="O749" s="2">
        <v>98.8</v>
      </c>
      <c r="P749" s="2">
        <f t="shared" si="11"/>
        <v>6.1000000000000085</v>
      </c>
      <c r="Q749">
        <v>2</v>
      </c>
    </row>
    <row r="750" spans="1:17">
      <c r="A750" t="s">
        <v>66</v>
      </c>
      <c r="B750" t="s">
        <v>35</v>
      </c>
      <c r="C750">
        <v>23</v>
      </c>
      <c r="D750">
        <v>39</v>
      </c>
      <c r="E750" s="1">
        <f>+C750/(C750+D750)</f>
        <v>0.37096774193548387</v>
      </c>
      <c r="F750" s="2">
        <v>115.7</v>
      </c>
      <c r="G750" s="2">
        <v>117.8</v>
      </c>
      <c r="H750" s="2">
        <f>+F750-G750</f>
        <v>-2.0999999999999943</v>
      </c>
      <c r="I750" s="1">
        <f>+(F750^14)/((F750^14+G750^14))</f>
        <v>0.43737388346402561</v>
      </c>
      <c r="J750" s="2">
        <v>113.5</v>
      </c>
      <c r="K750" s="2">
        <v>115.8</v>
      </c>
      <c r="L750" s="2">
        <f>+J750-K750</f>
        <v>-2.2999999999999972</v>
      </c>
      <c r="M750" s="1">
        <f>+E750-I750</f>
        <v>-6.640614152854174E-2</v>
      </c>
      <c r="N750" s="2">
        <v>100.4</v>
      </c>
      <c r="O750" s="2">
        <v>118.6</v>
      </c>
      <c r="P750" s="2">
        <f t="shared" si="11"/>
        <v>-18.199999999999989</v>
      </c>
      <c r="Q750" s="2">
        <v>-1.1000000000000001</v>
      </c>
    </row>
    <row r="751" spans="1:17">
      <c r="A751" t="s">
        <v>50</v>
      </c>
      <c r="B751" t="s">
        <v>14</v>
      </c>
      <c r="C751">
        <v>45</v>
      </c>
      <c r="D751">
        <v>37</v>
      </c>
      <c r="E751" s="1">
        <f>+C751/(C751+D751)</f>
        <v>0.54878048780487809</v>
      </c>
      <c r="F751" s="2">
        <v>106</v>
      </c>
      <c r="G751" s="2">
        <v>102.5</v>
      </c>
      <c r="H751" s="2">
        <f>+F751-G751</f>
        <v>3.5</v>
      </c>
      <c r="I751" s="1">
        <f>+(F751^14)/((F751^14+G751^14))</f>
        <v>0.61539988348983532</v>
      </c>
      <c r="J751" s="2">
        <v>108.8</v>
      </c>
      <c r="K751" s="2">
        <v>105.3</v>
      </c>
      <c r="L751" s="2">
        <f>+J751-K751</f>
        <v>3.5</v>
      </c>
      <c r="M751" s="1">
        <f>+E751-I751</f>
        <v>-6.6619395684957228E-2</v>
      </c>
      <c r="N751" s="2">
        <v>105.4</v>
      </c>
      <c r="O751" s="2">
        <v>103.3</v>
      </c>
      <c r="P751" s="2">
        <f t="shared" si="11"/>
        <v>2.1000000000000085</v>
      </c>
      <c r="Q751">
        <v>1.1000000000000001</v>
      </c>
    </row>
    <row r="752" spans="1:17">
      <c r="A752" t="s">
        <v>64</v>
      </c>
      <c r="B752" t="s">
        <v>33</v>
      </c>
      <c r="C752">
        <v>15</v>
      </c>
      <c r="D752">
        <v>67</v>
      </c>
      <c r="E752" s="1">
        <f>+C752/(C752+D752)</f>
        <v>0.18292682926829268</v>
      </c>
      <c r="F752" s="2">
        <v>113.7</v>
      </c>
      <c r="G752" s="2">
        <v>123</v>
      </c>
      <c r="H752" s="2">
        <f>+F752-G752</f>
        <v>-9.2999999999999972</v>
      </c>
      <c r="I752" s="1">
        <f>+(F752^14)/((F752^14+G752^14))</f>
        <v>0.24961000130344238</v>
      </c>
      <c r="J752" s="2">
        <v>110.2</v>
      </c>
      <c r="K752" s="2">
        <v>118.9</v>
      </c>
      <c r="L752" s="2">
        <f>+J752-K752</f>
        <v>-8.7000000000000028</v>
      </c>
      <c r="M752" s="1">
        <f>+E752-I752</f>
        <v>-6.6683172035149701E-2</v>
      </c>
      <c r="N752" s="2">
        <v>85.1</v>
      </c>
      <c r="O752" s="2">
        <v>123</v>
      </c>
      <c r="P752" s="2">
        <f t="shared" si="11"/>
        <v>-37.900000000000006</v>
      </c>
      <c r="Q752">
        <v>-0.3</v>
      </c>
    </row>
    <row r="753" spans="1:17">
      <c r="A753" t="s">
        <v>43</v>
      </c>
      <c r="B753" t="s">
        <v>35</v>
      </c>
      <c r="C753">
        <v>22</v>
      </c>
      <c r="D753">
        <v>60</v>
      </c>
      <c r="E753" s="1">
        <f>+C753/(C753+D753)</f>
        <v>0.26829268292682928</v>
      </c>
      <c r="F753" s="2">
        <v>101.6</v>
      </c>
      <c r="G753" s="2">
        <v>106.7</v>
      </c>
      <c r="H753" s="2">
        <f>+F753-G753</f>
        <v>-5.1000000000000085</v>
      </c>
      <c r="I753" s="1">
        <f>+(F753^14)/((F753^14+G753^14))</f>
        <v>0.33499326878539809</v>
      </c>
      <c r="J753" s="2">
        <v>105.7</v>
      </c>
      <c r="K753" s="2">
        <v>110.9</v>
      </c>
      <c r="L753" s="2">
        <f>+J753-K753</f>
        <v>-5.2000000000000028</v>
      </c>
      <c r="M753" s="1">
        <f>+E753-I753</f>
        <v>-6.6700585858568806E-2</v>
      </c>
      <c r="N753" s="2">
        <v>102.4</v>
      </c>
      <c r="O753" s="2">
        <v>107.5</v>
      </c>
      <c r="P753" s="2">
        <f t="shared" si="11"/>
        <v>-5.0999999999999943</v>
      </c>
      <c r="Q753">
        <v>1.6</v>
      </c>
    </row>
    <row r="754" spans="1:17">
      <c r="A754" t="s">
        <v>58</v>
      </c>
      <c r="B754" t="s">
        <v>7</v>
      </c>
      <c r="C754">
        <v>36</v>
      </c>
      <c r="D754">
        <v>46</v>
      </c>
      <c r="E754" s="1">
        <f>+C754/(C754+D754)</f>
        <v>0.43902439024390244</v>
      </c>
      <c r="F754" s="2">
        <v>108.2</v>
      </c>
      <c r="G754" s="2">
        <v>108</v>
      </c>
      <c r="H754" s="2">
        <f>+F754-G754</f>
        <v>0.20000000000000284</v>
      </c>
      <c r="I754" s="1">
        <f>+(F754^14)/((F754^14+G754^14))</f>
        <v>0.50647512549319473</v>
      </c>
      <c r="J754" s="2">
        <v>109</v>
      </c>
      <c r="K754" s="2">
        <v>109</v>
      </c>
      <c r="L754" s="2">
        <f>+J754-K754</f>
        <v>0</v>
      </c>
      <c r="M754" s="1">
        <f>+E754-I754</f>
        <v>-6.7450735249292293E-2</v>
      </c>
      <c r="N754" s="2">
        <v>98.8</v>
      </c>
      <c r="O754" s="2">
        <v>99.7</v>
      </c>
      <c r="P754" s="2">
        <f t="shared" si="11"/>
        <v>-0.90000000000000568</v>
      </c>
      <c r="Q754">
        <v>-0.3</v>
      </c>
    </row>
    <row r="755" spans="1:17">
      <c r="A755" t="s">
        <v>57</v>
      </c>
      <c r="B755" t="s">
        <v>7</v>
      </c>
      <c r="C755">
        <v>36</v>
      </c>
      <c r="D755">
        <v>46</v>
      </c>
      <c r="E755" s="1">
        <f>+C755/(C755+D755)</f>
        <v>0.43902439024390244</v>
      </c>
      <c r="F755" s="2">
        <v>104.9</v>
      </c>
      <c r="G755" s="2">
        <v>104.7</v>
      </c>
      <c r="H755" s="2">
        <f>+F755-G755</f>
        <v>0.20000000000000284</v>
      </c>
      <c r="I755" s="1">
        <f>+(F755^14)/((F755^14+G755^14))</f>
        <v>0.50667899404030869</v>
      </c>
      <c r="J755" s="2">
        <v>108.4</v>
      </c>
      <c r="K755" s="2">
        <v>108.4</v>
      </c>
      <c r="L755" s="2">
        <f>+J755-K755</f>
        <v>0</v>
      </c>
      <c r="M755" s="1">
        <f>+E755-I755</f>
        <v>-6.7654603796406254E-2</v>
      </c>
      <c r="N755" s="2">
        <v>115.5</v>
      </c>
      <c r="O755" s="2">
        <v>119.6</v>
      </c>
      <c r="P755" s="2">
        <f t="shared" si="11"/>
        <v>-4.0999999999999943</v>
      </c>
      <c r="Q755">
        <v>-0.3</v>
      </c>
    </row>
    <row r="756" spans="1:17">
      <c r="A756" t="s">
        <v>65</v>
      </c>
      <c r="B756" t="s">
        <v>18</v>
      </c>
      <c r="C756">
        <v>37</v>
      </c>
      <c r="D756">
        <v>45</v>
      </c>
      <c r="E756" s="1">
        <f>+C756/(C756+D756)</f>
        <v>0.45121951219512196</v>
      </c>
      <c r="F756" s="2">
        <v>110.6</v>
      </c>
      <c r="G756" s="2">
        <v>110</v>
      </c>
      <c r="H756" s="2">
        <f>+F756-G756</f>
        <v>0.59999999999999432</v>
      </c>
      <c r="I756" s="1">
        <f>+(F756^14)/((F756^14+G756^14))</f>
        <v>0.51902983505832589</v>
      </c>
      <c r="J756" s="2">
        <v>112.4</v>
      </c>
      <c r="K756" s="2">
        <v>112</v>
      </c>
      <c r="L756" s="2">
        <f>+J756-K756</f>
        <v>0.40000000000000568</v>
      </c>
      <c r="M756" s="1">
        <f>+E756-I756</f>
        <v>-6.7810322863203931E-2</v>
      </c>
      <c r="N756" s="2">
        <v>93.7</v>
      </c>
      <c r="O756" s="2">
        <v>109.1</v>
      </c>
      <c r="P756" s="2">
        <f t="shared" si="11"/>
        <v>-15.399999999999991</v>
      </c>
      <c r="Q756">
        <v>-0.7</v>
      </c>
    </row>
    <row r="757" spans="1:17">
      <c r="A757" t="s">
        <v>43</v>
      </c>
      <c r="B757" t="s">
        <v>28</v>
      </c>
      <c r="C757">
        <v>58</v>
      </c>
      <c r="D757">
        <v>24</v>
      </c>
      <c r="E757" s="1">
        <f>+C757/(C757+D757)</f>
        <v>0.70731707317073167</v>
      </c>
      <c r="F757" s="2">
        <v>98.5</v>
      </c>
      <c r="G757" s="2">
        <v>90.1</v>
      </c>
      <c r="H757" s="2">
        <f>+F757-G757</f>
        <v>8.4000000000000057</v>
      </c>
      <c r="I757" s="1">
        <f>+(F757^14)/((F757^14+G757^14))</f>
        <v>0.77693775330182646</v>
      </c>
      <c r="J757" s="2">
        <v>108.6</v>
      </c>
      <c r="K757" s="2">
        <v>99.4</v>
      </c>
      <c r="L757" s="2">
        <f>+J757-K757</f>
        <v>9.1999999999999886</v>
      </c>
      <c r="M757" s="1">
        <f>+E757-I757</f>
        <v>-6.9620680131094792E-2</v>
      </c>
      <c r="N757" s="2">
        <v>102.2</v>
      </c>
      <c r="O757" s="2">
        <v>100</v>
      </c>
      <c r="P757" s="2">
        <f t="shared" si="11"/>
        <v>2.2000000000000028</v>
      </c>
      <c r="Q757">
        <v>1.1000000000000001</v>
      </c>
    </row>
    <row r="758" spans="1:17">
      <c r="A758" t="s">
        <v>47</v>
      </c>
      <c r="B758" t="s">
        <v>13</v>
      </c>
      <c r="C758">
        <v>26</v>
      </c>
      <c r="D758">
        <v>56</v>
      </c>
      <c r="E758" s="1">
        <f>+C758/(C758+D758)</f>
        <v>0.31707317073170732</v>
      </c>
      <c r="F758" s="2">
        <v>108.8</v>
      </c>
      <c r="G758" s="2">
        <v>112.4</v>
      </c>
      <c r="H758" s="2">
        <f>+F758-G758</f>
        <v>-3.6000000000000085</v>
      </c>
      <c r="I758" s="1">
        <f>+(F758^14)/((F758^14+G758^14))</f>
        <v>0.38799774425602013</v>
      </c>
      <c r="J758" s="2">
        <v>107</v>
      </c>
      <c r="K758" s="2">
        <v>110.3</v>
      </c>
      <c r="L758" s="2">
        <f>+J758-K758</f>
        <v>-3.2999999999999972</v>
      </c>
      <c r="M758" s="1">
        <f>+E758-I758</f>
        <v>-7.0924573524312806E-2</v>
      </c>
      <c r="N758" s="2">
        <v>94.4</v>
      </c>
      <c r="O758" s="2">
        <v>113.4</v>
      </c>
      <c r="P758" s="2">
        <f t="shared" si="11"/>
        <v>-19</v>
      </c>
      <c r="Q758">
        <v>1.4</v>
      </c>
    </row>
    <row r="759" spans="1:17">
      <c r="A759" t="s">
        <v>41</v>
      </c>
      <c r="B759" t="s">
        <v>15</v>
      </c>
      <c r="C759">
        <v>41</v>
      </c>
      <c r="D759">
        <v>41</v>
      </c>
      <c r="E759" s="1">
        <f>+C759/(C759+D759)</f>
        <v>0.5</v>
      </c>
      <c r="F759" s="2">
        <v>93.9</v>
      </c>
      <c r="G759" s="2">
        <v>92</v>
      </c>
      <c r="H759" s="2">
        <f>+F759-G759</f>
        <v>1.9000000000000057</v>
      </c>
      <c r="I759" s="1">
        <f>+(F759^14)/((F759^14+G759^14))</f>
        <v>0.57106198271976594</v>
      </c>
      <c r="J759" s="2">
        <v>103.1</v>
      </c>
      <c r="K759" s="2">
        <v>101</v>
      </c>
      <c r="L759" s="2">
        <f>+J759-K759</f>
        <v>2.0999999999999943</v>
      </c>
      <c r="M759" s="1">
        <f>+E759-I759</f>
        <v>-7.1061982719765937E-2</v>
      </c>
      <c r="N759" s="2">
        <v>91.4</v>
      </c>
      <c r="O759" s="2">
        <v>101.6</v>
      </c>
      <c r="P759" s="2">
        <f t="shared" si="11"/>
        <v>-10.199999999999989</v>
      </c>
      <c r="Q759">
        <v>-0.2</v>
      </c>
    </row>
    <row r="760" spans="1:17">
      <c r="A760" t="s">
        <v>60</v>
      </c>
      <c r="B760" t="s">
        <v>10</v>
      </c>
      <c r="C760">
        <v>43</v>
      </c>
      <c r="D760">
        <v>32</v>
      </c>
      <c r="E760" s="1">
        <f>+C760/(C760+D760)</f>
        <v>0.57333333333333336</v>
      </c>
      <c r="F760" s="2">
        <v>117</v>
      </c>
      <c r="G760" s="2">
        <v>112.1</v>
      </c>
      <c r="H760" s="2">
        <f>+F760-G760</f>
        <v>4.9000000000000057</v>
      </c>
      <c r="I760" s="1">
        <f>+(F760^14)/((F760^14+G760^14))</f>
        <v>0.64541752583706569</v>
      </c>
      <c r="J760" s="2">
        <v>115.9</v>
      </c>
      <c r="K760" s="2">
        <v>111.2</v>
      </c>
      <c r="L760" s="2">
        <f>+J760-K760</f>
        <v>4.7000000000000028</v>
      </c>
      <c r="M760" s="1">
        <f>+E760-I760</f>
        <v>-7.2084192503732325E-2</v>
      </c>
      <c r="N760" s="2">
        <v>99.4</v>
      </c>
      <c r="O760" s="2">
        <v>107.5</v>
      </c>
      <c r="P760" s="2">
        <f t="shared" si="11"/>
        <v>-8.0999999999999943</v>
      </c>
      <c r="Q760">
        <v>0.5</v>
      </c>
    </row>
    <row r="761" spans="1:17">
      <c r="A761" t="s">
        <v>41</v>
      </c>
      <c r="B761" t="s">
        <v>30</v>
      </c>
      <c r="C761">
        <v>27</v>
      </c>
      <c r="D761">
        <v>55</v>
      </c>
      <c r="E761" s="1">
        <f>+C761/(C761+D761)</f>
        <v>0.32926829268292684</v>
      </c>
      <c r="F761" s="2">
        <v>101.1</v>
      </c>
      <c r="G761" s="2">
        <v>104</v>
      </c>
      <c r="H761" s="2">
        <f>+F761-G761</f>
        <v>-2.9000000000000057</v>
      </c>
      <c r="I761" s="1">
        <f>+(F761^14)/((F761^14+G761^14))</f>
        <v>0.4022903946569592</v>
      </c>
      <c r="J761" s="2">
        <v>107.9</v>
      </c>
      <c r="K761" s="2">
        <v>111.2</v>
      </c>
      <c r="L761" s="2">
        <f>+J761-K761</f>
        <v>-3.2999999999999972</v>
      </c>
      <c r="M761" s="1">
        <f>+E761-I761</f>
        <v>-7.3022101974032361E-2</v>
      </c>
      <c r="N761" s="2">
        <v>101.6</v>
      </c>
      <c r="O761" s="2">
        <v>114.4</v>
      </c>
      <c r="P761" s="2">
        <f t="shared" si="11"/>
        <v>-12.800000000000011</v>
      </c>
      <c r="Q761">
        <v>0.7</v>
      </c>
    </row>
    <row r="762" spans="1:17">
      <c r="A762" t="s">
        <v>54</v>
      </c>
      <c r="B762" t="s">
        <v>12</v>
      </c>
      <c r="C762">
        <v>32</v>
      </c>
      <c r="D762">
        <v>50</v>
      </c>
      <c r="E762" s="1">
        <f>+C762/(C762+D762)</f>
        <v>0.3902439024390244</v>
      </c>
      <c r="F762" s="2">
        <v>98.5</v>
      </c>
      <c r="G762" s="2">
        <v>99.5</v>
      </c>
      <c r="H762" s="2">
        <f>+F762-G762</f>
        <v>-1</v>
      </c>
      <c r="I762" s="1">
        <f>+(F762^14)/((F762^14+G762^14))</f>
        <v>0.46470496450899657</v>
      </c>
      <c r="J762" s="2">
        <v>104.3</v>
      </c>
      <c r="K762" s="2">
        <v>105.4</v>
      </c>
      <c r="L762" s="2">
        <f>+J762-K762</f>
        <v>-1.1000000000000085</v>
      </c>
      <c r="M762" s="1">
        <f>+E762-I762</f>
        <v>-7.4461062069972161E-2</v>
      </c>
      <c r="N762" s="2">
        <v>90.2</v>
      </c>
      <c r="O762" s="2">
        <v>100.3</v>
      </c>
      <c r="P762" s="2">
        <f t="shared" si="11"/>
        <v>-10.099999999999994</v>
      </c>
      <c r="Q762">
        <v>0</v>
      </c>
    </row>
    <row r="763" spans="1:17">
      <c r="A763" t="s">
        <v>60</v>
      </c>
      <c r="B763" t="s">
        <v>20</v>
      </c>
      <c r="C763">
        <v>19</v>
      </c>
      <c r="D763">
        <v>45</v>
      </c>
      <c r="E763" s="1">
        <f>+C763/(C763+D763)</f>
        <v>0.296875</v>
      </c>
      <c r="F763" s="2">
        <v>113.2</v>
      </c>
      <c r="G763" s="2">
        <v>117.5</v>
      </c>
      <c r="H763" s="2">
        <f>+F763-G763</f>
        <v>-4.2999999999999972</v>
      </c>
      <c r="I763" s="1">
        <f>+(F763^14)/((F763^14+G763^14))</f>
        <v>0.37239628997448704</v>
      </c>
      <c r="J763" s="2">
        <v>107.6</v>
      </c>
      <c r="K763" s="2">
        <v>111.6</v>
      </c>
      <c r="L763" s="2">
        <f>+J763-K763</f>
        <v>-4</v>
      </c>
      <c r="M763" s="1">
        <f>+E763-I763</f>
        <v>-7.5521289974487038E-2</v>
      </c>
      <c r="N763" s="2">
        <v>105.6</v>
      </c>
      <c r="O763" s="2">
        <v>116.6</v>
      </c>
      <c r="P763" s="2">
        <f t="shared" si="11"/>
        <v>-11</v>
      </c>
      <c r="Q763">
        <v>-0.4</v>
      </c>
    </row>
    <row r="764" spans="1:17">
      <c r="A764" t="s">
        <v>64</v>
      </c>
      <c r="B764" t="s">
        <v>12</v>
      </c>
      <c r="C764">
        <v>14</v>
      </c>
      <c r="D764">
        <v>68</v>
      </c>
      <c r="E764" s="1">
        <f>+C764/(C764+D764)</f>
        <v>0.17073170731707318</v>
      </c>
      <c r="F764" s="2">
        <v>109.9</v>
      </c>
      <c r="G764" s="2">
        <v>119</v>
      </c>
      <c r="H764" s="2">
        <f>+F764-G764</f>
        <v>-9.0999999999999943</v>
      </c>
      <c r="I764" s="1">
        <f>+(F764^14)/((F764^14+G764^14))</f>
        <v>0.24717488192529891</v>
      </c>
      <c r="J764" s="2">
        <v>109</v>
      </c>
      <c r="K764" s="2">
        <v>118</v>
      </c>
      <c r="L764" s="2">
        <f>+J764-K764</f>
        <v>-9</v>
      </c>
      <c r="M764" s="1">
        <f>+E764-I764</f>
        <v>-7.6443174608225722E-2</v>
      </c>
      <c r="N764" s="2">
        <v>93.7</v>
      </c>
      <c r="O764" s="2">
        <v>128.1</v>
      </c>
      <c r="P764" s="2">
        <f t="shared" si="11"/>
        <v>-34.399999999999991</v>
      </c>
      <c r="Q764">
        <v>-0.9</v>
      </c>
    </row>
    <row r="765" spans="1:17">
      <c r="A765" t="s">
        <v>43</v>
      </c>
      <c r="B765" t="s">
        <v>8</v>
      </c>
      <c r="C765">
        <v>49</v>
      </c>
      <c r="D765">
        <v>33</v>
      </c>
      <c r="E765" s="1">
        <f>+C765/(C765+D765)</f>
        <v>0.59756097560975607</v>
      </c>
      <c r="F765" s="2">
        <v>98.8</v>
      </c>
      <c r="G765" s="2">
        <v>93.8</v>
      </c>
      <c r="H765" s="2">
        <f>+F765-G765</f>
        <v>5</v>
      </c>
      <c r="I765" s="1">
        <f>+(F765^14)/((F765^14+G765^14))</f>
        <v>0.67415944517455229</v>
      </c>
      <c r="J765" s="2">
        <v>104</v>
      </c>
      <c r="K765" s="2">
        <v>98.8</v>
      </c>
      <c r="L765" s="2">
        <f>+J765-K765</f>
        <v>5.2000000000000028</v>
      </c>
      <c r="M765" s="1">
        <f>+E765-I765</f>
        <v>-7.6598469564796212E-2</v>
      </c>
      <c r="N765" s="2">
        <v>98</v>
      </c>
      <c r="O765" s="2">
        <v>89.6</v>
      </c>
      <c r="P765" s="2">
        <f t="shared" si="11"/>
        <v>8.4000000000000057</v>
      </c>
      <c r="Q765">
        <v>0.6</v>
      </c>
    </row>
    <row r="766" spans="1:17">
      <c r="A766" t="s">
        <v>55</v>
      </c>
      <c r="B766" t="s">
        <v>24</v>
      </c>
      <c r="C766">
        <v>10</v>
      </c>
      <c r="D766">
        <v>72</v>
      </c>
      <c r="E766" s="1">
        <f>+C766/(C766+D766)</f>
        <v>0.12195121951219512</v>
      </c>
      <c r="F766" s="2">
        <v>97.4</v>
      </c>
      <c r="G766" s="2">
        <v>107.6</v>
      </c>
      <c r="H766" s="2">
        <f>+F766-G766</f>
        <v>-10.199999999999989</v>
      </c>
      <c r="I766" s="1">
        <f>+(F766^14)/((F766^14+G766^14))</f>
        <v>0.1987186515098173</v>
      </c>
      <c r="J766" s="2">
        <v>98.4</v>
      </c>
      <c r="K766" s="2">
        <v>108.6</v>
      </c>
      <c r="L766" s="2">
        <f>+J766-K766</f>
        <v>-10.199999999999989</v>
      </c>
      <c r="M766" s="1">
        <f>+E766-I766</f>
        <v>-7.6767431997622176E-2</v>
      </c>
      <c r="N766" s="2">
        <v>78.599999999999994</v>
      </c>
      <c r="O766" s="2">
        <v>123.5</v>
      </c>
      <c r="P766" s="2">
        <f t="shared" si="11"/>
        <v>-44.900000000000006</v>
      </c>
      <c r="Q766">
        <v>-2</v>
      </c>
    </row>
    <row r="767" spans="1:17">
      <c r="A767" t="s">
        <v>55</v>
      </c>
      <c r="B767" t="s">
        <v>31</v>
      </c>
      <c r="C767">
        <v>40</v>
      </c>
      <c r="D767">
        <v>42</v>
      </c>
      <c r="E767" s="1">
        <f>+C767/(C767+D767)</f>
        <v>0.48780487804878048</v>
      </c>
      <c r="F767" s="2">
        <v>97.7</v>
      </c>
      <c r="G767" s="2">
        <v>95.9</v>
      </c>
      <c r="H767" s="2">
        <f>+F767-G767</f>
        <v>1.7999999999999972</v>
      </c>
      <c r="I767" s="1">
        <f>+(F767^14)/((F767^14+G767^14))</f>
        <v>0.56471939759532841</v>
      </c>
      <c r="J767" s="2">
        <v>105</v>
      </c>
      <c r="K767" s="2">
        <v>103.2</v>
      </c>
      <c r="L767" s="2">
        <f>+J767-K767</f>
        <v>1.7999999999999972</v>
      </c>
      <c r="M767" s="1">
        <f>+E767-I767</f>
        <v>-7.6914519546547933E-2</v>
      </c>
      <c r="N767" s="2">
        <v>99.5</v>
      </c>
      <c r="O767" s="2">
        <v>118.9</v>
      </c>
      <c r="P767" s="2">
        <f t="shared" si="11"/>
        <v>-19.400000000000006</v>
      </c>
      <c r="Q767">
        <v>0.5</v>
      </c>
    </row>
    <row r="768" spans="1:17">
      <c r="A768" t="s">
        <v>39</v>
      </c>
      <c r="B768" t="s">
        <v>40</v>
      </c>
      <c r="C768">
        <v>18</v>
      </c>
      <c r="D768">
        <v>64</v>
      </c>
      <c r="E768" s="1">
        <f>+C768/(C768+D768)</f>
        <v>0.21951219512195122</v>
      </c>
      <c r="F768" s="2">
        <v>94.3</v>
      </c>
      <c r="G768" s="2">
        <v>100.2</v>
      </c>
      <c r="H768" s="2">
        <f>+F768-G768</f>
        <v>-5.9000000000000057</v>
      </c>
      <c r="I768" s="1">
        <f>+(F768^14)/((F768^14+G768^14))</f>
        <v>0.29951299978674456</v>
      </c>
      <c r="J768" s="2">
        <v>99.8</v>
      </c>
      <c r="K768" s="2">
        <v>106</v>
      </c>
      <c r="L768" s="2">
        <f>+J768-K768</f>
        <v>-6.2000000000000028</v>
      </c>
      <c r="M768" s="1">
        <f>+E768-I768</f>
        <v>-8.000080466479334E-2</v>
      </c>
      <c r="N768" s="2">
        <v>91.4</v>
      </c>
      <c r="O768" s="2">
        <v>107.5</v>
      </c>
      <c r="P768" s="2">
        <f t="shared" si="11"/>
        <v>-16.099999999999994</v>
      </c>
      <c r="Q768">
        <v>-1.2</v>
      </c>
    </row>
    <row r="769" spans="1:17">
      <c r="A769" t="s">
        <v>61</v>
      </c>
      <c r="B769" t="s">
        <v>12</v>
      </c>
      <c r="C769">
        <v>20</v>
      </c>
      <c r="D769">
        <v>52</v>
      </c>
      <c r="E769" s="1">
        <f>+C769/(C769+D769)</f>
        <v>0.27777777777777779</v>
      </c>
      <c r="F769" s="2">
        <v>106.6</v>
      </c>
      <c r="G769" s="2">
        <v>111.1</v>
      </c>
      <c r="H769" s="2">
        <f>+F769-G769</f>
        <v>-4.5</v>
      </c>
      <c r="I769" s="1">
        <f>+(F769^14)/((F769^14+G769^14))</f>
        <v>0.35919481428812144</v>
      </c>
      <c r="J769" s="2">
        <v>107.6</v>
      </c>
      <c r="K769" s="2">
        <v>112.2</v>
      </c>
      <c r="L769" s="2">
        <f>+J769-K769</f>
        <v>-4.6000000000000085</v>
      </c>
      <c r="M769" s="1">
        <f>+E769-I769</f>
        <v>-8.1417036510343654E-2</v>
      </c>
      <c r="N769" s="2">
        <v>101.2</v>
      </c>
      <c r="O769" s="2">
        <v>121.7</v>
      </c>
      <c r="P769" s="2">
        <f t="shared" si="11"/>
        <v>-20.5</v>
      </c>
      <c r="Q769">
        <v>-0.3</v>
      </c>
    </row>
    <row r="770" spans="1:17">
      <c r="A770" t="s">
        <v>60</v>
      </c>
      <c r="B770" t="s">
        <v>12</v>
      </c>
      <c r="C770">
        <v>20</v>
      </c>
      <c r="D770">
        <v>46</v>
      </c>
      <c r="E770" s="1">
        <f>+C770/(C770+D770)</f>
        <v>0.30303030303030304</v>
      </c>
      <c r="F770" s="2">
        <v>107.2</v>
      </c>
      <c r="G770" s="2">
        <v>110.8</v>
      </c>
      <c r="H770" s="2">
        <f>+F770-G770</f>
        <v>-3.5999999999999943</v>
      </c>
      <c r="I770" s="1">
        <f>+(F770^14)/((F770^14+G770^14))</f>
        <v>0.38641014492971848</v>
      </c>
      <c r="J770" s="2">
        <v>108.8</v>
      </c>
      <c r="K770" s="2">
        <v>112.3</v>
      </c>
      <c r="L770" s="2">
        <f>+J770-K770</f>
        <v>-3.5</v>
      </c>
      <c r="M770" s="1">
        <f>+E770-I770</f>
        <v>-8.3379841899415441E-2</v>
      </c>
      <c r="N770" s="2">
        <v>91</v>
      </c>
      <c r="O770" s="2">
        <v>115.5</v>
      </c>
      <c r="P770" s="2">
        <f t="shared" si="11"/>
        <v>-24.5</v>
      </c>
      <c r="Q770">
        <v>0</v>
      </c>
    </row>
    <row r="771" spans="1:17">
      <c r="A771" t="s">
        <v>62</v>
      </c>
      <c r="B771" t="s">
        <v>31</v>
      </c>
      <c r="C771">
        <v>49</v>
      </c>
      <c r="D771">
        <v>33</v>
      </c>
      <c r="E771" s="1">
        <f>+C771/(C771+D771)</f>
        <v>0.59756097560975607</v>
      </c>
      <c r="F771" s="2">
        <v>113.6</v>
      </c>
      <c r="G771" s="2">
        <v>107.6</v>
      </c>
      <c r="H771" s="2">
        <f>+F771-G771</f>
        <v>6</v>
      </c>
      <c r="I771" s="1">
        <f>+(F771^14)/((F771^14+G771^14))</f>
        <v>0.68128425860011865</v>
      </c>
      <c r="J771" s="2">
        <v>116.2</v>
      </c>
      <c r="K771" s="2">
        <v>110</v>
      </c>
      <c r="L771" s="2">
        <f>+J771-K771</f>
        <v>6.2000000000000028</v>
      </c>
      <c r="M771" s="1">
        <f>+E771-I771</f>
        <v>-8.372328299036258E-2</v>
      </c>
      <c r="N771" s="2">
        <v>105.1</v>
      </c>
      <c r="O771" s="2">
        <v>113.5</v>
      </c>
      <c r="P771" s="2">
        <f t="shared" si="11"/>
        <v>-8.4000000000000057</v>
      </c>
      <c r="Q771">
        <v>0.7</v>
      </c>
    </row>
    <row r="772" spans="1:17">
      <c r="A772" t="s">
        <v>48</v>
      </c>
      <c r="B772" t="s">
        <v>20</v>
      </c>
      <c r="C772">
        <v>17</v>
      </c>
      <c r="D772">
        <v>65</v>
      </c>
      <c r="E772" s="1">
        <f>+C772/(C772+D772)</f>
        <v>0.2073170731707317</v>
      </c>
      <c r="F772" s="2">
        <v>101.1</v>
      </c>
      <c r="G772" s="2">
        <v>107.7</v>
      </c>
      <c r="H772" s="2">
        <f>+F772-G772</f>
        <v>-6.6000000000000085</v>
      </c>
      <c r="I772" s="1">
        <f>+(F772^14)/((F772^14+G772^14))</f>
        <v>0.2920698563562486</v>
      </c>
      <c r="J772" s="2">
        <v>103.2</v>
      </c>
      <c r="K772" s="2">
        <v>109.9</v>
      </c>
      <c r="L772" s="2">
        <f>+J772-K772</f>
        <v>-6.7000000000000028</v>
      </c>
      <c r="M772" s="1">
        <f>+E772-I772</f>
        <v>-8.4752783185516906E-2</v>
      </c>
      <c r="N772" s="2">
        <v>91.1</v>
      </c>
      <c r="O772" s="2">
        <v>129.80000000000001</v>
      </c>
      <c r="P772" s="2">
        <f t="shared" si="11"/>
        <v>-38.700000000000017</v>
      </c>
      <c r="Q772">
        <v>-1.7</v>
      </c>
    </row>
    <row r="773" spans="1:17">
      <c r="A773" t="s">
        <v>57</v>
      </c>
      <c r="B773" t="s">
        <v>20</v>
      </c>
      <c r="C773">
        <v>31</v>
      </c>
      <c r="D773">
        <v>51</v>
      </c>
      <c r="E773" s="1">
        <f>+C773/(C773+D773)</f>
        <v>0.37804878048780488</v>
      </c>
      <c r="F773" s="2">
        <v>105.6</v>
      </c>
      <c r="G773" s="2">
        <v>106.7</v>
      </c>
      <c r="H773" s="2">
        <f>+F773-G773</f>
        <v>-1.1000000000000085</v>
      </c>
      <c r="I773" s="1">
        <f>+(F773^14)/((F773^14+G773^14))</f>
        <v>0.46379372867246205</v>
      </c>
      <c r="J773" s="2">
        <v>110</v>
      </c>
      <c r="K773" s="2">
        <v>110.9</v>
      </c>
      <c r="L773" s="2">
        <f>+J773-K773</f>
        <v>-0.90000000000000568</v>
      </c>
      <c r="M773" s="1">
        <f>+E773-I773</f>
        <v>-8.5744948184657166E-2</v>
      </c>
      <c r="N773" s="2">
        <v>95</v>
      </c>
      <c r="O773" s="2">
        <v>104.7</v>
      </c>
      <c r="P773" s="2">
        <f t="shared" si="11"/>
        <v>-9.7000000000000028</v>
      </c>
      <c r="Q773">
        <v>-1.1000000000000001</v>
      </c>
    </row>
    <row r="774" spans="1:17">
      <c r="A774" t="s">
        <v>43</v>
      </c>
      <c r="B774" t="s">
        <v>6</v>
      </c>
      <c r="C774">
        <v>24</v>
      </c>
      <c r="D774">
        <v>58</v>
      </c>
      <c r="E774" s="1">
        <f>+C774/(C774+D774)</f>
        <v>0.29268292682926828</v>
      </c>
      <c r="F774" s="2">
        <v>95.8</v>
      </c>
      <c r="G774" s="2">
        <v>99.2</v>
      </c>
      <c r="H774" s="2">
        <f>+F774-G774</f>
        <v>-3.4000000000000057</v>
      </c>
      <c r="I774" s="1">
        <f>+(F774^14)/((F774^14+G774^14))</f>
        <v>0.38030482295206253</v>
      </c>
      <c r="J774" s="2">
        <v>102.3</v>
      </c>
      <c r="K774" s="2">
        <v>105.8</v>
      </c>
      <c r="L774" s="2">
        <f>+J774-K774</f>
        <v>-3.5</v>
      </c>
      <c r="M774" s="1">
        <f>+E774-I774</f>
        <v>-8.7621896122794252E-2</v>
      </c>
      <c r="N774" s="2">
        <v>98.7</v>
      </c>
      <c r="O774" s="2">
        <v>99</v>
      </c>
      <c r="P774" s="2">
        <f t="shared" si="11"/>
        <v>-0.29999999999999716</v>
      </c>
      <c r="Q774">
        <v>0.1</v>
      </c>
    </row>
    <row r="775" spans="1:17">
      <c r="A775" t="s">
        <v>62</v>
      </c>
      <c r="B775" t="s">
        <v>15</v>
      </c>
      <c r="C775">
        <v>25</v>
      </c>
      <c r="D775">
        <v>57</v>
      </c>
      <c r="E775" s="1">
        <f>+C775/(C775+D775)</f>
        <v>0.3048780487804878</v>
      </c>
      <c r="F775" s="2">
        <v>111.5</v>
      </c>
      <c r="G775" s="2">
        <v>114.9</v>
      </c>
      <c r="H775" s="2">
        <f>+F775-G775</f>
        <v>-3.4000000000000057</v>
      </c>
      <c r="I775" s="1">
        <f>+(F775^14)/((F775^14+G775^14))</f>
        <v>0.39639081435339146</v>
      </c>
      <c r="J775" s="2">
        <v>111.9</v>
      </c>
      <c r="K775" s="2">
        <v>115.5</v>
      </c>
      <c r="L775" s="2">
        <f>+J775-K775</f>
        <v>-3.5999999999999943</v>
      </c>
      <c r="M775" s="1">
        <f>+E775-I775</f>
        <v>-9.1512765572903665E-2</v>
      </c>
      <c r="N775" s="2">
        <v>92</v>
      </c>
      <c r="O775" s="2">
        <v>114.9</v>
      </c>
      <c r="P775" s="2">
        <f t="shared" si="11"/>
        <v>-22.900000000000006</v>
      </c>
      <c r="Q775">
        <v>-0.4</v>
      </c>
    </row>
    <row r="776" spans="1:17">
      <c r="A776" t="s">
        <v>62</v>
      </c>
      <c r="B776" t="s">
        <v>28</v>
      </c>
      <c r="C776">
        <v>34</v>
      </c>
      <c r="D776">
        <v>48</v>
      </c>
      <c r="E776" s="1">
        <f>+C776/(C776+D776)</f>
        <v>0.41463414634146339</v>
      </c>
      <c r="F776" s="2">
        <v>113.2</v>
      </c>
      <c r="G776" s="2">
        <v>113</v>
      </c>
      <c r="H776" s="2">
        <f>+F776-G776</f>
        <v>0.20000000000000284</v>
      </c>
      <c r="I776" s="1">
        <f>+(F776^14)/((F776^14+G776^14))</f>
        <v>0.50618889860276861</v>
      </c>
      <c r="J776" s="2">
        <v>111.9</v>
      </c>
      <c r="K776" s="2">
        <v>111.7</v>
      </c>
      <c r="L776" s="2">
        <f>+J776-K776</f>
        <v>0.20000000000000284</v>
      </c>
      <c r="M776" s="1">
        <f>+E776-I776</f>
        <v>-9.1554752261305217E-2</v>
      </c>
      <c r="N776" s="2">
        <v>93.4</v>
      </c>
      <c r="O776" s="2">
        <v>103.8</v>
      </c>
      <c r="P776" s="2">
        <f t="shared" si="11"/>
        <v>-10.399999999999991</v>
      </c>
      <c r="Q776">
        <v>0.7</v>
      </c>
    </row>
    <row r="777" spans="1:17">
      <c r="A777" t="s">
        <v>36</v>
      </c>
      <c r="B777" t="s">
        <v>21</v>
      </c>
      <c r="C777">
        <v>49</v>
      </c>
      <c r="D777">
        <v>33</v>
      </c>
      <c r="E777" s="1">
        <f>+C777/(C777+D777)</f>
        <v>0.59756097560975607</v>
      </c>
      <c r="F777" s="2">
        <v>95.4</v>
      </c>
      <c r="G777" s="2">
        <v>90.1</v>
      </c>
      <c r="H777" s="2">
        <f>+F777-G777</f>
        <v>5.3000000000000114</v>
      </c>
      <c r="I777" s="1">
        <f>+(F777^14)/((F777^14+G777^14))</f>
        <v>0.69002106739686153</v>
      </c>
      <c r="J777" s="2">
        <v>102.1</v>
      </c>
      <c r="K777" s="2">
        <v>96.6</v>
      </c>
      <c r="L777" s="2">
        <f>+J777-K777</f>
        <v>5.5</v>
      </c>
      <c r="M777" s="1">
        <f>+E777-I777</f>
        <v>-9.2460091787105458E-2</v>
      </c>
      <c r="N777" s="2">
        <v>83.1</v>
      </c>
      <c r="O777" s="2">
        <v>100</v>
      </c>
      <c r="P777" s="2">
        <f t="shared" si="11"/>
        <v>-16.900000000000006</v>
      </c>
      <c r="Q777">
        <v>-0.7</v>
      </c>
    </row>
    <row r="778" spans="1:17">
      <c r="A778" t="s">
        <v>52</v>
      </c>
      <c r="B778" t="s">
        <v>20</v>
      </c>
      <c r="C778">
        <v>40</v>
      </c>
      <c r="D778">
        <v>42</v>
      </c>
      <c r="E778" s="1">
        <f>+C778/(C778+D778)</f>
        <v>0.48780487804878048</v>
      </c>
      <c r="F778" s="2">
        <v>106.9</v>
      </c>
      <c r="G778" s="2">
        <v>104.3</v>
      </c>
      <c r="H778" s="2">
        <f>+F778-G778</f>
        <v>2.6000000000000085</v>
      </c>
      <c r="I778" s="1">
        <f>+(F778^14)/((F778^14+G778^14))</f>
        <v>0.58533524678753013</v>
      </c>
      <c r="J778" s="2">
        <v>107.7</v>
      </c>
      <c r="K778" s="2">
        <v>105.2</v>
      </c>
      <c r="L778" s="2">
        <f>+J778-K778</f>
        <v>2.5</v>
      </c>
      <c r="M778" s="1">
        <f>+E778-I778</f>
        <v>-9.7530368738749651E-2</v>
      </c>
      <c r="N778" s="2">
        <v>99.7</v>
      </c>
      <c r="O778" s="2">
        <v>116.3</v>
      </c>
      <c r="P778" s="2">
        <f t="shared" ref="P778:P784" si="12">+N778-O778</f>
        <v>-16.599999999999994</v>
      </c>
      <c r="Q778">
        <v>-2.2999999999999998</v>
      </c>
    </row>
    <row r="779" spans="1:17">
      <c r="A779" t="s">
        <v>62</v>
      </c>
      <c r="B779" t="s">
        <v>6</v>
      </c>
      <c r="C779">
        <v>51</v>
      </c>
      <c r="D779">
        <v>31</v>
      </c>
      <c r="E779" s="1">
        <f>+C779/(C779+D779)</f>
        <v>0.62195121951219512</v>
      </c>
      <c r="F779" s="2">
        <v>111.8</v>
      </c>
      <c r="G779" s="2">
        <v>104.5</v>
      </c>
      <c r="H779" s="2">
        <f>+F779-G779</f>
        <v>7.2999999999999972</v>
      </c>
      <c r="I779" s="1">
        <f>+(F779^14)/((F779^14+G779^14))</f>
        <v>0.72017762385554718</v>
      </c>
      <c r="J779" s="2">
        <v>113.6</v>
      </c>
      <c r="K779" s="2">
        <v>106.2</v>
      </c>
      <c r="L779" s="2">
        <f>+J779-K779</f>
        <v>7.3999999999999915</v>
      </c>
      <c r="M779" s="1">
        <f>+E779-I779</f>
        <v>-9.8226404343352058E-2</v>
      </c>
      <c r="N779" s="2">
        <v>96.8</v>
      </c>
      <c r="O779" s="2">
        <v>106.2</v>
      </c>
      <c r="P779" s="2">
        <f t="shared" si="12"/>
        <v>-9.4000000000000057</v>
      </c>
      <c r="Q779">
        <v>0.3</v>
      </c>
    </row>
    <row r="780" spans="1:17">
      <c r="A780" t="s">
        <v>44</v>
      </c>
      <c r="B780" t="s">
        <v>30</v>
      </c>
      <c r="C780">
        <v>41</v>
      </c>
      <c r="D780">
        <v>41</v>
      </c>
      <c r="E780" s="1">
        <f>+C780/(C780+D780)</f>
        <v>0.5</v>
      </c>
      <c r="F780" s="2">
        <v>100.2</v>
      </c>
      <c r="G780" s="2">
        <v>97.3</v>
      </c>
      <c r="H780" s="2">
        <f>+F780-G780</f>
        <v>2.9000000000000057</v>
      </c>
      <c r="I780" s="1">
        <f>+(F780^14)/((F780^14+G780^14))</f>
        <v>0.6013681002055381</v>
      </c>
      <c r="J780" s="2">
        <v>108.9</v>
      </c>
      <c r="K780" s="2">
        <v>105.6</v>
      </c>
      <c r="L780" s="2">
        <f>+J780-K780</f>
        <v>3.3000000000000114</v>
      </c>
      <c r="M780" s="1">
        <f>+E780-I780</f>
        <v>-0.1013681002055381</v>
      </c>
      <c r="N780" s="2">
        <v>115.5</v>
      </c>
      <c r="O780" s="2">
        <v>120.5</v>
      </c>
      <c r="P780" s="2">
        <f t="shared" si="12"/>
        <v>-5</v>
      </c>
      <c r="Q780">
        <v>0</v>
      </c>
    </row>
    <row r="781" spans="1:17">
      <c r="A781" t="s">
        <v>58</v>
      </c>
      <c r="B781" t="s">
        <v>10</v>
      </c>
      <c r="C781">
        <v>24</v>
      </c>
      <c r="D781">
        <v>58</v>
      </c>
      <c r="E781" s="1">
        <f>+C781/(C781+D781)</f>
        <v>0.29268292682926828</v>
      </c>
      <c r="F781" s="2">
        <v>102.3</v>
      </c>
      <c r="G781" s="2">
        <v>105.4</v>
      </c>
      <c r="H781" s="2">
        <f>+F781-G781</f>
        <v>-3.1000000000000085</v>
      </c>
      <c r="I781" s="1">
        <f>+(F781^14)/((F781^14+G781^14))</f>
        <v>0.39700943969095354</v>
      </c>
      <c r="J781" s="2">
        <v>105.4</v>
      </c>
      <c r="K781" s="2">
        <v>108.4</v>
      </c>
      <c r="L781" s="2">
        <f>+J781-K781</f>
        <v>-3</v>
      </c>
      <c r="M781" s="1">
        <f>+E781-I781</f>
        <v>-0.10432651286168526</v>
      </c>
      <c r="N781" s="2">
        <v>88.3</v>
      </c>
      <c r="O781" s="2">
        <v>116.7</v>
      </c>
      <c r="P781" s="2">
        <f t="shared" si="12"/>
        <v>-28.400000000000006</v>
      </c>
      <c r="Q781">
        <v>-1</v>
      </c>
    </row>
    <row r="782" spans="1:17">
      <c r="A782" t="s">
        <v>66</v>
      </c>
      <c r="B782" t="s">
        <v>7</v>
      </c>
      <c r="C782">
        <v>32</v>
      </c>
      <c r="D782">
        <v>32</v>
      </c>
      <c r="E782" s="1">
        <f>+C782/(C782+D782)</f>
        <v>0.5</v>
      </c>
      <c r="F782" s="2">
        <v>116.2</v>
      </c>
      <c r="G782" s="2">
        <v>112.5</v>
      </c>
      <c r="H782" s="2">
        <f>+F782-G782</f>
        <v>3.7000000000000028</v>
      </c>
      <c r="I782" s="1">
        <f>+(F782^14)/((F782^14+G782^14))</f>
        <v>0.61136052280832021</v>
      </c>
      <c r="J782" s="2">
        <v>117.8</v>
      </c>
      <c r="K782" s="2">
        <v>114.1</v>
      </c>
      <c r="L782" s="2">
        <f>+J782-K782</f>
        <v>3.7000000000000028</v>
      </c>
      <c r="M782" s="1">
        <f>+E782-I782</f>
        <v>-0.11136052280832021</v>
      </c>
      <c r="N782" s="2">
        <v>108</v>
      </c>
      <c r="O782" s="2">
        <v>115.5</v>
      </c>
      <c r="P782" s="2">
        <f t="shared" si="12"/>
        <v>-7.5</v>
      </c>
      <c r="Q782">
        <v>-0.9</v>
      </c>
    </row>
    <row r="783" spans="1:17">
      <c r="A783" t="s">
        <v>61</v>
      </c>
      <c r="B783" t="s">
        <v>30</v>
      </c>
      <c r="C783">
        <v>27</v>
      </c>
      <c r="D783">
        <v>45</v>
      </c>
      <c r="E783" s="1">
        <f>+C783/(C783+D783)</f>
        <v>0.375</v>
      </c>
      <c r="F783" s="2">
        <v>111.3</v>
      </c>
      <c r="G783" s="2">
        <v>111.7</v>
      </c>
      <c r="H783" s="2">
        <f>+F783-G783</f>
        <v>-0.40000000000000568</v>
      </c>
      <c r="I783" s="1">
        <f>+(F783^14)/((F783^14+G783^14))</f>
        <v>0.48744657142272707</v>
      </c>
      <c r="J783" s="2">
        <v>111.6</v>
      </c>
      <c r="K783" s="2">
        <v>112</v>
      </c>
      <c r="L783" s="2">
        <f>+J783-K783</f>
        <v>-0.40000000000000568</v>
      </c>
      <c r="M783" s="1">
        <f>+E783-I783</f>
        <v>-0.11244657142272707</v>
      </c>
      <c r="N783" s="2">
        <v>100.8</v>
      </c>
      <c r="O783" s="2">
        <v>113.3</v>
      </c>
      <c r="P783" s="2">
        <f t="shared" si="12"/>
        <v>-12.5</v>
      </c>
      <c r="Q783">
        <v>0.8</v>
      </c>
    </row>
    <row r="784" spans="1:17">
      <c r="A784" t="s">
        <v>49</v>
      </c>
      <c r="B784" t="s">
        <v>24</v>
      </c>
      <c r="C784">
        <v>35</v>
      </c>
      <c r="D784">
        <v>31</v>
      </c>
      <c r="E784" s="1">
        <f>+C784/(C784+D784)</f>
        <v>0.53030303030303028</v>
      </c>
      <c r="F784" s="2">
        <v>93.6</v>
      </c>
      <c r="G784" s="2">
        <v>89.4</v>
      </c>
      <c r="H784" s="2">
        <f>+F784-G784</f>
        <v>4.1999999999999886</v>
      </c>
      <c r="I784" s="1">
        <f>+(F784^14)/((F784^14+G784^14))</f>
        <v>0.65537163395547915</v>
      </c>
      <c r="J784" s="2">
        <v>102.7</v>
      </c>
      <c r="K784" s="2">
        <v>98.2</v>
      </c>
      <c r="L784" s="2">
        <f>+J784-K784</f>
        <v>4.5</v>
      </c>
      <c r="M784" s="1">
        <f>+E784-I784</f>
        <v>-0.12506860365244887</v>
      </c>
      <c r="N784" s="2">
        <v>89.8</v>
      </c>
      <c r="O784" s="2">
        <v>104.4</v>
      </c>
      <c r="P784" s="2">
        <f t="shared" si="12"/>
        <v>-14.600000000000009</v>
      </c>
      <c r="Q784">
        <v>-0.6</v>
      </c>
    </row>
  </sheetData>
  <sortState xmlns:xlrd2="http://schemas.microsoft.com/office/spreadsheetml/2017/richdata2" ref="A9:Q784">
    <sortCondition descending="1" ref="M9:M784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170C3-789B-E347-855C-10E195CCE0CF}">
  <dimension ref="A2:R784"/>
  <sheetViews>
    <sheetView workbookViewId="0">
      <pane xSplit="2" ySplit="8" topLeftCell="F9" activePane="bottomRight" state="frozen"/>
      <selection pane="topRight" activeCell="C1" sqref="C1"/>
      <selection pane="bottomLeft" activeCell="A9" sqref="A9"/>
      <selection pane="bottomRight" activeCell="R16" sqref="R16"/>
    </sheetView>
  </sheetViews>
  <sheetFormatPr baseColWidth="10" defaultRowHeight="18"/>
  <cols>
    <col min="2" max="2" width="20.625" customWidth="1"/>
    <col min="3" max="17" width="12.625" customWidth="1"/>
  </cols>
  <sheetData>
    <row r="2" spans="1:18">
      <c r="E2">
        <v>776</v>
      </c>
      <c r="M2" s="1">
        <v>8.2002597305889102E-2</v>
      </c>
    </row>
    <row r="3" spans="1:18">
      <c r="E3" s="4">
        <f>(E9-MIN(E$9:E$784))/(MAX(E$9:E$784)-MIN(E$9:E$784))</f>
        <v>1</v>
      </c>
      <c r="I3" s="1">
        <f>+CORREL(I9:I784,E9:E784)</f>
        <v>0.96984726551156464</v>
      </c>
      <c r="M3" s="4">
        <f>(M2-MIN(M$9:M$784))/(MAX(M$9:M$784)-MIN(M$9:M$784))</f>
        <v>0.92185952012573269</v>
      </c>
    </row>
    <row r="4" spans="1:18">
      <c r="M4">
        <f>(RANK(M9,M$9:M$784,1)-1)/(COUNT($M$9:$M$784)-1)</f>
        <v>0.99612903225806448</v>
      </c>
    </row>
    <row r="8" spans="1:18">
      <c r="A8" t="s">
        <v>0</v>
      </c>
      <c r="B8" t="s">
        <v>1</v>
      </c>
      <c r="C8" s="3" t="s">
        <v>2</v>
      </c>
      <c r="D8" s="3" t="s">
        <v>3</v>
      </c>
      <c r="E8" s="3" t="s">
        <v>74</v>
      </c>
      <c r="F8" s="3" t="s">
        <v>70</v>
      </c>
      <c r="G8" s="3" t="s">
        <v>71</v>
      </c>
      <c r="H8" s="3" t="s">
        <v>72</v>
      </c>
      <c r="I8" s="3" t="s">
        <v>73</v>
      </c>
      <c r="J8" s="3" t="s">
        <v>67</v>
      </c>
      <c r="K8" s="3" t="s">
        <v>68</v>
      </c>
      <c r="L8" s="3" t="s">
        <v>69</v>
      </c>
      <c r="M8" s="3" t="s">
        <v>75</v>
      </c>
      <c r="N8" s="3" t="s">
        <v>76</v>
      </c>
      <c r="O8" s="3" t="s">
        <v>77</v>
      </c>
      <c r="P8" s="3" t="s">
        <v>79</v>
      </c>
      <c r="Q8" s="3" t="s">
        <v>78</v>
      </c>
    </row>
    <row r="9" spans="1:18">
      <c r="A9" t="s">
        <v>55</v>
      </c>
      <c r="B9" t="s">
        <v>13</v>
      </c>
      <c r="C9">
        <v>73</v>
      </c>
      <c r="D9">
        <v>9</v>
      </c>
      <c r="E9" s="1">
        <f>+C9/(C9+D9)</f>
        <v>0.8902439024390244</v>
      </c>
      <c r="F9" s="2">
        <v>114.9</v>
      </c>
      <c r="G9" s="2">
        <v>104.1</v>
      </c>
      <c r="H9" s="2">
        <f>+F9-G9</f>
        <v>10.800000000000011</v>
      </c>
      <c r="I9" s="1">
        <f>+(F9^14)/((F9^14+G9^14))</f>
        <v>0.7993028619398963</v>
      </c>
      <c r="J9" s="2">
        <v>113.5</v>
      </c>
      <c r="K9" s="2">
        <v>102.8</v>
      </c>
      <c r="L9" s="2">
        <f>+J9-K9</f>
        <v>10.700000000000003</v>
      </c>
      <c r="M9" s="1">
        <f>+E9-I9</f>
        <v>9.0941040499128101E-2</v>
      </c>
      <c r="N9" s="2">
        <v>117</v>
      </c>
      <c r="O9" s="2">
        <v>81.099999999999994</v>
      </c>
      <c r="P9" s="2">
        <f>+N9-O9</f>
        <v>35.900000000000006</v>
      </c>
      <c r="Q9">
        <v>0.4</v>
      </c>
      <c r="R9">
        <f>+Q9-H9/4</f>
        <v>-2.3000000000000029</v>
      </c>
    </row>
    <row r="10" spans="1:18">
      <c r="A10" t="s">
        <v>62</v>
      </c>
      <c r="B10" t="s">
        <v>25</v>
      </c>
      <c r="C10">
        <v>64</v>
      </c>
      <c r="D10">
        <v>18</v>
      </c>
      <c r="E10" s="1">
        <f>+C10/(C10+D10)</f>
        <v>0.78048780487804881</v>
      </c>
      <c r="F10" s="2">
        <v>114.8</v>
      </c>
      <c r="G10" s="2">
        <v>107.3</v>
      </c>
      <c r="H10" s="2">
        <f>+F10-G10</f>
        <v>7.5</v>
      </c>
      <c r="I10" s="1">
        <f>+(F10^14)/((F10^14+G10^14))</f>
        <v>0.72028579383295666</v>
      </c>
      <c r="J10" s="2">
        <v>114.2</v>
      </c>
      <c r="K10" s="2">
        <v>106.8</v>
      </c>
      <c r="L10" s="2">
        <f>+J10-K10</f>
        <v>7.4000000000000057</v>
      </c>
      <c r="M10" s="1">
        <f>+E10-I10</f>
        <v>6.0202011045092152E-2</v>
      </c>
      <c r="N10" s="2">
        <v>131.5</v>
      </c>
      <c r="O10" s="2">
        <v>98.1</v>
      </c>
      <c r="P10" s="2">
        <f>+N10-O10</f>
        <v>33.400000000000006</v>
      </c>
      <c r="Q10">
        <v>2.7</v>
      </c>
      <c r="R10">
        <f t="shared" ref="R10:R20" si="0">+Q10-H10/4</f>
        <v>0.82500000000000018</v>
      </c>
    </row>
    <row r="11" spans="1:18">
      <c r="A11" t="s">
        <v>50</v>
      </c>
      <c r="B11" t="s">
        <v>18</v>
      </c>
      <c r="C11">
        <v>66</v>
      </c>
      <c r="D11">
        <v>16</v>
      </c>
      <c r="E11" s="1">
        <f>+C11/(C11+D11)</f>
        <v>0.80487804878048785</v>
      </c>
      <c r="F11" s="2">
        <v>102.9</v>
      </c>
      <c r="G11" s="2">
        <v>95</v>
      </c>
      <c r="H11" s="2">
        <f>+F11-G11</f>
        <v>7.9000000000000057</v>
      </c>
      <c r="I11" s="1">
        <f>+(F11^14)/((F11^14+G11^14))</f>
        <v>0.75367891326640968</v>
      </c>
      <c r="J11" s="2">
        <v>111.4</v>
      </c>
      <c r="K11" s="2">
        <v>103.2</v>
      </c>
      <c r="L11" s="2">
        <f>+J11-K11</f>
        <v>8.2000000000000028</v>
      </c>
      <c r="M11" s="1">
        <f>+E11-I11</f>
        <v>5.1199135514078176E-2</v>
      </c>
      <c r="N11" s="2">
        <v>117.7</v>
      </c>
      <c r="O11" s="2">
        <v>84.5</v>
      </c>
      <c r="P11" s="2">
        <f>+N11-O11</f>
        <v>33.200000000000003</v>
      </c>
      <c r="Q11">
        <v>2.1</v>
      </c>
      <c r="R11">
        <f t="shared" si="0"/>
        <v>0.12499999999999867</v>
      </c>
    </row>
    <row r="12" spans="1:18">
      <c r="A12" t="s">
        <v>45</v>
      </c>
      <c r="B12" t="s">
        <v>9</v>
      </c>
      <c r="C12">
        <v>66</v>
      </c>
      <c r="D12">
        <v>16</v>
      </c>
      <c r="E12" s="1">
        <f>+C12/(C12+D12)</f>
        <v>0.80487804878048785</v>
      </c>
      <c r="F12" s="2">
        <v>100.3</v>
      </c>
      <c r="G12" s="2">
        <v>91.4</v>
      </c>
      <c r="H12" s="2">
        <f>+F12-G12</f>
        <v>8.8999999999999915</v>
      </c>
      <c r="I12" s="1">
        <f>+(F12^14)/((F12^14+G12^14))</f>
        <v>0.78598355822200683</v>
      </c>
      <c r="J12" s="2">
        <v>111.2</v>
      </c>
      <c r="K12" s="2">
        <v>101.6</v>
      </c>
      <c r="L12" s="2">
        <f>+J12-K12</f>
        <v>9.6000000000000085</v>
      </c>
      <c r="M12" s="1">
        <f>+E12-I12</f>
        <v>1.8894490558481025E-2</v>
      </c>
      <c r="N12" s="2">
        <v>127.1</v>
      </c>
      <c r="O12" s="2">
        <v>93.9</v>
      </c>
      <c r="P12" s="2">
        <f>+N12-O12</f>
        <v>33.199999999999989</v>
      </c>
      <c r="Q12">
        <v>2</v>
      </c>
      <c r="R12">
        <f t="shared" si="0"/>
        <v>-0.22499999999999787</v>
      </c>
    </row>
    <row r="13" spans="1:18">
      <c r="A13" t="s">
        <v>48</v>
      </c>
      <c r="B13" t="s">
        <v>10</v>
      </c>
      <c r="C13">
        <v>57</v>
      </c>
      <c r="D13">
        <v>25</v>
      </c>
      <c r="E13" s="1">
        <f>+C13/(C13+D13)</f>
        <v>0.69512195121951215</v>
      </c>
      <c r="F13" s="2">
        <v>100.2</v>
      </c>
      <c r="G13" s="2">
        <v>96</v>
      </c>
      <c r="H13" s="2">
        <f>+F13-G13</f>
        <v>4.2000000000000028</v>
      </c>
      <c r="I13" s="1">
        <f>+(F13^14)/((F13^14+G13^14))</f>
        <v>0.64553732038759359</v>
      </c>
      <c r="J13" s="2">
        <v>108.4</v>
      </c>
      <c r="K13" s="2">
        <v>104.1</v>
      </c>
      <c r="L13" s="2">
        <f>+J13-K13</f>
        <v>4.3000000000000114</v>
      </c>
      <c r="M13" s="1">
        <f>+E13-I13</f>
        <v>4.9584630831918552E-2</v>
      </c>
      <c r="N13" s="2">
        <v>118.3</v>
      </c>
      <c r="O13" s="2">
        <v>88.8</v>
      </c>
      <c r="P13" s="2">
        <f>+N13-O13</f>
        <v>29.5</v>
      </c>
      <c r="Q13">
        <v>1.5</v>
      </c>
      <c r="R13">
        <f t="shared" si="0"/>
        <v>0.44999999999999929</v>
      </c>
    </row>
    <row r="14" spans="1:18">
      <c r="A14" t="s">
        <v>61</v>
      </c>
      <c r="B14" t="s">
        <v>26</v>
      </c>
      <c r="C14">
        <v>42</v>
      </c>
      <c r="D14">
        <v>30</v>
      </c>
      <c r="E14" s="1">
        <f>+C14/(C14+D14)</f>
        <v>0.58333333333333337</v>
      </c>
      <c r="F14" s="2">
        <v>116.1</v>
      </c>
      <c r="G14" s="2">
        <v>114.3</v>
      </c>
      <c r="H14" s="2">
        <f>+F14-G14</f>
        <v>1.7999999999999972</v>
      </c>
      <c r="I14" s="1">
        <f>+(F14^14)/((F14^14+G14^14))</f>
        <v>0.55447156441574497</v>
      </c>
      <c r="J14" s="2">
        <v>117.1</v>
      </c>
      <c r="K14" s="2">
        <v>115.3</v>
      </c>
      <c r="L14" s="2">
        <f>+J14-K14</f>
        <v>1.7999999999999972</v>
      </c>
      <c r="M14" s="1">
        <f>+E14-I14</f>
        <v>2.8861768917588404E-2</v>
      </c>
      <c r="N14" s="2">
        <v>127.7</v>
      </c>
      <c r="O14" s="2">
        <v>98.6</v>
      </c>
      <c r="P14" s="2">
        <f>+N14-O14</f>
        <v>29.100000000000009</v>
      </c>
      <c r="Q14">
        <v>0.7</v>
      </c>
      <c r="R14">
        <f t="shared" si="0"/>
        <v>0.25000000000000067</v>
      </c>
    </row>
    <row r="15" spans="1:18">
      <c r="A15" t="s">
        <v>58</v>
      </c>
      <c r="B15" t="s">
        <v>14</v>
      </c>
      <c r="C15">
        <v>65</v>
      </c>
      <c r="D15">
        <v>17</v>
      </c>
      <c r="E15" s="1">
        <f>+C15/(C15+D15)</f>
        <v>0.79268292682926833</v>
      </c>
      <c r="F15" s="2">
        <v>112.4</v>
      </c>
      <c r="G15" s="2">
        <v>103.9</v>
      </c>
      <c r="H15" s="2">
        <f>+F15-G15</f>
        <v>8.5</v>
      </c>
      <c r="I15" s="1">
        <f>+(F15^14)/((F15^14+G15^14))</f>
        <v>0.75042693083028544</v>
      </c>
      <c r="J15" s="2">
        <v>114.1</v>
      </c>
      <c r="K15" s="2">
        <v>105.7</v>
      </c>
      <c r="L15" s="2">
        <f>+J15-K15</f>
        <v>8.3999999999999915</v>
      </c>
      <c r="M15" s="1">
        <f>+E15-I15</f>
        <v>4.2255995998982887E-2</v>
      </c>
      <c r="N15" s="2">
        <v>122.9</v>
      </c>
      <c r="O15" s="2">
        <v>95.9</v>
      </c>
      <c r="P15" s="2">
        <f>+N15-O15</f>
        <v>27</v>
      </c>
      <c r="Q15">
        <v>-0.2</v>
      </c>
      <c r="R15">
        <f t="shared" si="0"/>
        <v>-2.3250000000000002</v>
      </c>
    </row>
    <row r="16" spans="1:18">
      <c r="A16" t="s">
        <v>66</v>
      </c>
      <c r="B16" t="s">
        <v>17</v>
      </c>
      <c r="C16">
        <v>38</v>
      </c>
      <c r="D16">
        <v>25</v>
      </c>
      <c r="E16" s="1">
        <f>+C16/(C16+D16)</f>
        <v>0.60317460317460314</v>
      </c>
      <c r="F16" s="2">
        <v>116</v>
      </c>
      <c r="G16" s="2">
        <v>115.3</v>
      </c>
      <c r="H16" s="2">
        <f>+F16-G16</f>
        <v>0.70000000000000284</v>
      </c>
      <c r="I16" s="1">
        <f>+(F16^14)/((F16^14+G16^14))</f>
        <v>0.52117200586871404</v>
      </c>
      <c r="J16" s="2">
        <v>116.5</v>
      </c>
      <c r="K16" s="2">
        <v>116.1</v>
      </c>
      <c r="L16" s="2">
        <f>+J16-K16</f>
        <v>0.40000000000000568</v>
      </c>
      <c r="M16" s="1">
        <f>+E16-I16</f>
        <v>8.2002597305889102E-2</v>
      </c>
      <c r="N16" s="2">
        <v>135.9</v>
      </c>
      <c r="O16" s="2">
        <v>109.1</v>
      </c>
      <c r="P16" s="2">
        <f>+N16-O16</f>
        <v>26.800000000000011</v>
      </c>
      <c r="Q16" s="2">
        <v>1.6</v>
      </c>
      <c r="R16">
        <f t="shared" si="0"/>
        <v>1.4249999999999994</v>
      </c>
    </row>
    <row r="17" spans="1:18">
      <c r="A17" t="s">
        <v>52</v>
      </c>
      <c r="B17" t="s">
        <v>35</v>
      </c>
      <c r="C17">
        <v>50</v>
      </c>
      <c r="D17">
        <v>32</v>
      </c>
      <c r="E17" s="1">
        <f>+C17/(C17+D17)</f>
        <v>0.6097560975609756</v>
      </c>
      <c r="F17" s="2">
        <v>96.1</v>
      </c>
      <c r="G17" s="2">
        <v>94.6</v>
      </c>
      <c r="H17" s="2">
        <f>+F17-G17</f>
        <v>1.5</v>
      </c>
      <c r="I17" s="1">
        <f>+(F17^14)/((F17^14+G17^14))</f>
        <v>0.554839936539687</v>
      </c>
      <c r="J17" s="2">
        <v>105.5</v>
      </c>
      <c r="K17" s="2">
        <v>103.8</v>
      </c>
      <c r="L17" s="2">
        <f>+J17-K17</f>
        <v>1.7000000000000028</v>
      </c>
      <c r="M17" s="1">
        <f>+E17-I17</f>
        <v>5.4916161021288601E-2</v>
      </c>
      <c r="N17" s="2">
        <v>108.7</v>
      </c>
      <c r="O17" s="2">
        <v>82</v>
      </c>
      <c r="P17" s="2">
        <f>+N17-O17</f>
        <v>26.700000000000003</v>
      </c>
      <c r="Q17">
        <v>1.1000000000000001</v>
      </c>
      <c r="R17">
        <f t="shared" si="0"/>
        <v>0.72500000000000009</v>
      </c>
    </row>
    <row r="18" spans="1:18">
      <c r="A18" t="s">
        <v>60</v>
      </c>
      <c r="B18" t="s">
        <v>46</v>
      </c>
      <c r="C18">
        <v>44</v>
      </c>
      <c r="D18">
        <v>28</v>
      </c>
      <c r="E18" s="1">
        <f>+C18/(C18+D18)</f>
        <v>0.61111111111111116</v>
      </c>
      <c r="F18" s="2">
        <v>110.4</v>
      </c>
      <c r="G18" s="2">
        <v>108.4</v>
      </c>
      <c r="H18" s="2">
        <f>+F18-G18</f>
        <v>2</v>
      </c>
      <c r="I18" s="1">
        <f>+(F18^14)/((F18^14+G18^14))</f>
        <v>0.56364011525876911</v>
      </c>
      <c r="J18" s="2">
        <v>110.1</v>
      </c>
      <c r="K18" s="2">
        <v>108.1</v>
      </c>
      <c r="L18" s="2">
        <f>+J18-K18</f>
        <v>2</v>
      </c>
      <c r="M18" s="1">
        <f>+E18-I18</f>
        <v>4.7470995852342046E-2</v>
      </c>
      <c r="N18" s="2">
        <v>120.9</v>
      </c>
      <c r="O18" s="2">
        <v>94.4</v>
      </c>
      <c r="P18" s="2">
        <f>+N18-O18</f>
        <v>26.5</v>
      </c>
      <c r="Q18">
        <v>2.2000000000000002</v>
      </c>
      <c r="R18">
        <f t="shared" si="0"/>
        <v>1.7000000000000002</v>
      </c>
    </row>
    <row r="19" spans="1:18">
      <c r="A19" t="s">
        <v>64</v>
      </c>
      <c r="B19" t="s">
        <v>11</v>
      </c>
      <c r="C19">
        <v>57</v>
      </c>
      <c r="D19">
        <v>25</v>
      </c>
      <c r="E19" s="1">
        <f>+C19/(C19+D19)</f>
        <v>0.69512195121951215</v>
      </c>
      <c r="F19" s="2">
        <v>114.9</v>
      </c>
      <c r="G19" s="2">
        <v>109.6</v>
      </c>
      <c r="H19" s="2">
        <f>+F19-G19</f>
        <v>5.3000000000000114</v>
      </c>
      <c r="I19" s="1">
        <f>+(F19^14)/((F19^14+G19^14))</f>
        <v>0.65951807642431337</v>
      </c>
      <c r="J19" s="2">
        <v>117.8</v>
      </c>
      <c r="K19" s="2">
        <v>112.3</v>
      </c>
      <c r="L19" s="2">
        <f>+J19-K19</f>
        <v>5.5</v>
      </c>
      <c r="M19" s="1">
        <f>+E19-I19</f>
        <v>3.5603874795198776E-2</v>
      </c>
      <c r="N19" s="2">
        <v>121.1</v>
      </c>
      <c r="O19" s="2">
        <v>95.6</v>
      </c>
      <c r="P19" s="2">
        <f>+N19-O19</f>
        <v>25.5</v>
      </c>
      <c r="Q19">
        <v>1.2</v>
      </c>
      <c r="R19">
        <f t="shared" si="0"/>
        <v>-0.12500000000000289</v>
      </c>
    </row>
    <row r="20" spans="1:18">
      <c r="A20" t="s">
        <v>43</v>
      </c>
      <c r="B20" t="s">
        <v>10</v>
      </c>
      <c r="C20">
        <v>67</v>
      </c>
      <c r="D20">
        <v>15</v>
      </c>
      <c r="E20" s="1">
        <f>+C20/(C20+D20)</f>
        <v>0.81707317073170727</v>
      </c>
      <c r="F20" s="2">
        <v>100</v>
      </c>
      <c r="G20" s="2">
        <v>92.8</v>
      </c>
      <c r="H20" s="2">
        <f>+F20-G20</f>
        <v>7.2000000000000028</v>
      </c>
      <c r="I20" s="1">
        <f>+(F20^14)/((F20^14+G20^14))</f>
        <v>0.74003099281791473</v>
      </c>
      <c r="J20" s="2">
        <v>109.7</v>
      </c>
      <c r="K20" s="2">
        <v>102.1</v>
      </c>
      <c r="L20" s="2">
        <f>+J20-K20</f>
        <v>7.6000000000000085</v>
      </c>
      <c r="M20" s="1">
        <f>+E20-I20</f>
        <v>7.7042177913792531E-2</v>
      </c>
      <c r="N20" s="2">
        <v>109.8</v>
      </c>
      <c r="O20" s="2">
        <v>84.5</v>
      </c>
      <c r="P20" s="2">
        <f>+N20-O20</f>
        <v>25.299999999999997</v>
      </c>
      <c r="Q20">
        <v>1.1000000000000001</v>
      </c>
      <c r="R20">
        <f t="shared" si="0"/>
        <v>-0.70000000000000062</v>
      </c>
    </row>
    <row r="21" spans="1:18">
      <c r="A21" t="s">
        <v>66</v>
      </c>
      <c r="B21" t="s">
        <v>46</v>
      </c>
      <c r="C21">
        <v>50</v>
      </c>
      <c r="D21">
        <v>14</v>
      </c>
      <c r="E21" s="1">
        <f>+C21/(C21+D21)</f>
        <v>0.78125</v>
      </c>
      <c r="F21" s="2">
        <v>118.8</v>
      </c>
      <c r="G21" s="2">
        <v>107.5</v>
      </c>
      <c r="H21" s="2">
        <f>+F21-G21</f>
        <v>11.299999999999997</v>
      </c>
      <c r="I21" s="1">
        <f>+(F21^14)/((F21^14+G21^14))</f>
        <v>0.80207402882582313</v>
      </c>
      <c r="J21" s="2">
        <v>117.2</v>
      </c>
      <c r="K21" s="2">
        <v>106</v>
      </c>
      <c r="L21" s="2">
        <f>+J21-K21</f>
        <v>11.200000000000003</v>
      </c>
      <c r="M21" s="1">
        <f>+E21-I21</f>
        <v>-2.0824028825823127E-2</v>
      </c>
      <c r="N21" s="2">
        <v>123.7</v>
      </c>
      <c r="O21" s="2">
        <v>99.2</v>
      </c>
      <c r="P21" s="2">
        <f>+N21-O21</f>
        <v>24.5</v>
      </c>
      <c r="Q21" s="2">
        <v>1.8</v>
      </c>
    </row>
    <row r="22" spans="1:18">
      <c r="A22" t="s">
        <v>64</v>
      </c>
      <c r="B22" t="s">
        <v>8</v>
      </c>
      <c r="C22">
        <v>39</v>
      </c>
      <c r="D22">
        <v>43</v>
      </c>
      <c r="E22" s="1">
        <f>+C22/(C22+D22)</f>
        <v>0.47560975609756095</v>
      </c>
      <c r="F22" s="2">
        <v>112.3</v>
      </c>
      <c r="G22" s="2">
        <v>113.7</v>
      </c>
      <c r="H22" s="2">
        <f>+F22-G22</f>
        <v>-1.4000000000000057</v>
      </c>
      <c r="I22" s="1">
        <f>+(F22^14)/((F22^14+G22^14))</f>
        <v>0.45674500707162874</v>
      </c>
      <c r="J22" s="2">
        <v>114</v>
      </c>
      <c r="K22" s="2">
        <v>115.7</v>
      </c>
      <c r="L22" s="2">
        <f>+J22-K22</f>
        <v>-1.7000000000000028</v>
      </c>
      <c r="M22" s="1">
        <f>+E22-I22</f>
        <v>1.8864749025932215E-2</v>
      </c>
      <c r="N22" s="2">
        <v>119.5</v>
      </c>
      <c r="O22" s="2">
        <v>95.5</v>
      </c>
      <c r="P22" s="2">
        <f>+N22-O22</f>
        <v>24</v>
      </c>
      <c r="Q22">
        <v>0</v>
      </c>
    </row>
    <row r="23" spans="1:18">
      <c r="A23" t="s">
        <v>57</v>
      </c>
      <c r="B23" t="s">
        <v>46</v>
      </c>
      <c r="C23">
        <v>47</v>
      </c>
      <c r="D23">
        <v>35</v>
      </c>
      <c r="E23" s="1">
        <f>+C23/(C23+D23)</f>
        <v>0.57317073170731703</v>
      </c>
      <c r="F23" s="2">
        <v>106.6</v>
      </c>
      <c r="G23" s="2">
        <v>105.8</v>
      </c>
      <c r="H23" s="2">
        <f>+F23-G23</f>
        <v>0.79999999999999716</v>
      </c>
      <c r="I23" s="1">
        <f>+(F23^14)/((F23^14+G23^14))</f>
        <v>0.52634106336275344</v>
      </c>
      <c r="J23" s="2">
        <v>107.9</v>
      </c>
      <c r="K23" s="2">
        <v>107.1</v>
      </c>
      <c r="L23" s="2">
        <f>+J23-K23</f>
        <v>0.80000000000001137</v>
      </c>
      <c r="M23" s="1">
        <f>+E23-I23</f>
        <v>4.6829668344563591E-2</v>
      </c>
      <c r="N23" s="2">
        <v>115.5</v>
      </c>
      <c r="O23" s="2">
        <v>92.6</v>
      </c>
      <c r="P23" s="2">
        <f>+N23-O23</f>
        <v>22.900000000000006</v>
      </c>
      <c r="Q23">
        <v>0.9</v>
      </c>
    </row>
    <row r="24" spans="1:18">
      <c r="A24" t="s">
        <v>47</v>
      </c>
      <c r="B24" t="s">
        <v>9</v>
      </c>
      <c r="C24">
        <v>61</v>
      </c>
      <c r="D24">
        <v>21</v>
      </c>
      <c r="E24" s="1">
        <f>+C24/(C24+D24)</f>
        <v>0.74390243902439024</v>
      </c>
      <c r="F24" s="2">
        <v>102.1</v>
      </c>
      <c r="G24" s="2">
        <v>95.6</v>
      </c>
      <c r="H24" s="2">
        <f>+F24-G24</f>
        <v>6.5</v>
      </c>
      <c r="I24" s="1">
        <f>+(F24^14)/((F24^14+G24^14))</f>
        <v>0.71522925438381391</v>
      </c>
      <c r="J24" s="2">
        <v>110.6</v>
      </c>
      <c r="K24" s="2">
        <v>103.8</v>
      </c>
      <c r="L24" s="2">
        <f>+J24-K24</f>
        <v>6.7999999999999972</v>
      </c>
      <c r="M24" s="1">
        <f>+E24-I24</f>
        <v>2.8673184640576332E-2</v>
      </c>
      <c r="N24" s="2">
        <v>115.9</v>
      </c>
      <c r="O24" s="2">
        <v>93.2</v>
      </c>
      <c r="P24" s="2">
        <f>+N24-O24</f>
        <v>22.700000000000003</v>
      </c>
      <c r="Q24">
        <v>1</v>
      </c>
    </row>
    <row r="25" spans="1:18">
      <c r="A25" t="s">
        <v>44</v>
      </c>
      <c r="B25" t="s">
        <v>9</v>
      </c>
      <c r="C25">
        <v>45</v>
      </c>
      <c r="D25">
        <v>37</v>
      </c>
      <c r="E25" s="1">
        <f>+C25/(C25+D25)</f>
        <v>0.54878048780487809</v>
      </c>
      <c r="F25" s="2">
        <v>96.4</v>
      </c>
      <c r="G25" s="2">
        <v>96.7</v>
      </c>
      <c r="H25" s="2">
        <f>+F25-G25</f>
        <v>-0.29999999999999716</v>
      </c>
      <c r="I25" s="1">
        <f>+(F25^14)/((F25^14+G25^14))</f>
        <v>0.48912651167349064</v>
      </c>
      <c r="J25" s="2">
        <v>104.8</v>
      </c>
      <c r="K25" s="2">
        <v>105.4</v>
      </c>
      <c r="L25" s="2">
        <f>+J25-K25</f>
        <v>-0.60000000000000853</v>
      </c>
      <c r="M25" s="1">
        <f>+E25-I25</f>
        <v>5.9653976131387454E-2</v>
      </c>
      <c r="N25" s="2">
        <v>112.8</v>
      </c>
      <c r="O25" s="2">
        <v>90.9</v>
      </c>
      <c r="P25" s="2">
        <f>+N25-O25</f>
        <v>21.899999999999991</v>
      </c>
      <c r="Q25">
        <v>1.9</v>
      </c>
    </row>
    <row r="26" spans="1:18">
      <c r="A26" t="s">
        <v>57</v>
      </c>
      <c r="B26" t="s">
        <v>28</v>
      </c>
      <c r="C26">
        <v>61</v>
      </c>
      <c r="D26">
        <v>21</v>
      </c>
      <c r="E26" s="1">
        <f>+C26/(C26+D26)</f>
        <v>0.74390243902439024</v>
      </c>
      <c r="F26" s="2">
        <v>105.3</v>
      </c>
      <c r="G26" s="2">
        <v>98.1</v>
      </c>
      <c r="H26" s="2">
        <f>+F26-G26</f>
        <v>7.2000000000000028</v>
      </c>
      <c r="I26" s="1">
        <f>+(F26^14)/((F26^14+G26^14))</f>
        <v>0.72939687618809401</v>
      </c>
      <c r="J26" s="2">
        <v>110.3</v>
      </c>
      <c r="K26" s="2">
        <v>102.9</v>
      </c>
      <c r="L26" s="2">
        <f>+J26-K26</f>
        <v>7.3999999999999915</v>
      </c>
      <c r="M26" s="1">
        <f>+E26-I26</f>
        <v>1.4505562836296226E-2</v>
      </c>
      <c r="N26" s="2">
        <v>111.4</v>
      </c>
      <c r="O26" s="2">
        <v>89.6</v>
      </c>
      <c r="P26" s="2">
        <f>+N26-O26</f>
        <v>21.800000000000011</v>
      </c>
      <c r="Q26">
        <v>1.2</v>
      </c>
    </row>
    <row r="27" spans="1:18">
      <c r="A27" t="s">
        <v>64</v>
      </c>
      <c r="B27" t="s">
        <v>10</v>
      </c>
      <c r="C27">
        <v>50</v>
      </c>
      <c r="D27">
        <v>32</v>
      </c>
      <c r="E27" s="1">
        <f>+C27/(C27+D27)</f>
        <v>0.6097560975609756</v>
      </c>
      <c r="F27" s="2">
        <v>117.9</v>
      </c>
      <c r="G27" s="2">
        <v>115.6</v>
      </c>
      <c r="H27" s="2">
        <f>+F27-G27</f>
        <v>2.3000000000000114</v>
      </c>
      <c r="I27" s="1">
        <f>+(F27^14)/((F27^14+G27^14))</f>
        <v>0.56851916226040555</v>
      </c>
      <c r="J27" s="2">
        <v>117</v>
      </c>
      <c r="K27" s="2">
        <v>114.9</v>
      </c>
      <c r="L27" s="2">
        <f>+J27-K27</f>
        <v>2.0999999999999943</v>
      </c>
      <c r="M27" s="1">
        <f>+E27-I27</f>
        <v>4.1236935300570043E-2</v>
      </c>
      <c r="N27" s="2">
        <v>128.19999999999999</v>
      </c>
      <c r="O27" s="2">
        <v>106.4</v>
      </c>
      <c r="P27" s="2">
        <f>+N27-O27</f>
        <v>21.799999999999983</v>
      </c>
      <c r="Q27">
        <v>0.5</v>
      </c>
    </row>
    <row r="28" spans="1:18">
      <c r="A28" t="s">
        <v>4</v>
      </c>
      <c r="B28" t="s">
        <v>31</v>
      </c>
      <c r="C28">
        <v>53</v>
      </c>
      <c r="D28">
        <v>29</v>
      </c>
      <c r="E28" s="1">
        <f>+C28/(C28+D28)</f>
        <v>0.64634146341463417</v>
      </c>
      <c r="F28" s="2">
        <v>97.1</v>
      </c>
      <c r="G28" s="2">
        <v>92.4</v>
      </c>
      <c r="H28" s="2">
        <f>+F28-G28</f>
        <v>4.6999999999999886</v>
      </c>
      <c r="I28" s="1">
        <f>+(F28^14)/((F28^14+G28^14))</f>
        <v>0.66698978218466165</v>
      </c>
      <c r="J28" s="2">
        <v>106.1</v>
      </c>
      <c r="K28" s="2">
        <v>100.9</v>
      </c>
      <c r="L28" s="2">
        <f>+J28-K28</f>
        <v>5.1999999999999886</v>
      </c>
      <c r="M28" s="1">
        <f>+E28-I28</f>
        <v>-2.0648318770027485E-2</v>
      </c>
      <c r="N28" s="2">
        <v>118.4</v>
      </c>
      <c r="O28" s="2">
        <v>96.8</v>
      </c>
      <c r="P28" s="2">
        <f>+N28-O28</f>
        <v>21.600000000000009</v>
      </c>
      <c r="Q28">
        <v>2.5</v>
      </c>
    </row>
    <row r="29" spans="1:18">
      <c r="A29" t="s">
        <v>49</v>
      </c>
      <c r="B29" t="s">
        <v>15</v>
      </c>
      <c r="C29">
        <v>42</v>
      </c>
      <c r="D29">
        <v>24</v>
      </c>
      <c r="E29" s="1">
        <f>+C29/(C29+D29)</f>
        <v>0.63636363636363635</v>
      </c>
      <c r="F29" s="2">
        <v>97.7</v>
      </c>
      <c r="G29" s="2">
        <v>94.4</v>
      </c>
      <c r="H29" s="2">
        <f>+F29-G29</f>
        <v>3.2999999999999972</v>
      </c>
      <c r="I29" s="1">
        <f>+(F29^14)/((F29^14+G29^14))</f>
        <v>0.61799503146389967</v>
      </c>
      <c r="J29" s="2">
        <v>105.5</v>
      </c>
      <c r="K29" s="2">
        <v>102.1</v>
      </c>
      <c r="L29" s="2">
        <f>+J29-K29</f>
        <v>3.4000000000000057</v>
      </c>
      <c r="M29" s="1">
        <f>+E29-I29</f>
        <v>1.8368604899736685E-2</v>
      </c>
      <c r="N29" s="2">
        <v>106.5</v>
      </c>
      <c r="O29" s="2">
        <v>85.1</v>
      </c>
      <c r="P29" s="2">
        <f>+N29-O29</f>
        <v>21.400000000000006</v>
      </c>
      <c r="Q29">
        <v>0.7</v>
      </c>
    </row>
    <row r="30" spans="1:18">
      <c r="A30" t="s">
        <v>36</v>
      </c>
      <c r="B30" t="s">
        <v>25</v>
      </c>
      <c r="C30">
        <v>44</v>
      </c>
      <c r="D30">
        <v>38</v>
      </c>
      <c r="E30" s="1">
        <f>+C30/(C30+D30)</f>
        <v>0.53658536585365857</v>
      </c>
      <c r="F30" s="2">
        <v>95.5</v>
      </c>
      <c r="G30" s="2">
        <v>94.4</v>
      </c>
      <c r="H30" s="2">
        <f>+F30-G30</f>
        <v>1.0999999999999943</v>
      </c>
      <c r="I30" s="1">
        <f>+(F30^14)/((F30^14+G30^14))</f>
        <v>0.5404594538627715</v>
      </c>
      <c r="J30" s="2">
        <v>102.6</v>
      </c>
      <c r="K30" s="2">
        <v>101.3</v>
      </c>
      <c r="L30" s="2">
        <f>+J30-K30</f>
        <v>1.2999999999999972</v>
      </c>
      <c r="M30" s="1">
        <f>+E30-I30</f>
        <v>-3.8740880091129304E-3</v>
      </c>
      <c r="N30" s="2">
        <v>109</v>
      </c>
      <c r="O30" s="2">
        <v>88.1</v>
      </c>
      <c r="P30" s="2">
        <f>+N30-O30</f>
        <v>20.900000000000006</v>
      </c>
      <c r="Q30">
        <v>2.7</v>
      </c>
    </row>
    <row r="31" spans="1:18">
      <c r="A31" t="s">
        <v>58</v>
      </c>
      <c r="B31" t="s">
        <v>9</v>
      </c>
      <c r="C31">
        <v>50</v>
      </c>
      <c r="D31">
        <v>32</v>
      </c>
      <c r="E31" s="1">
        <f>+C31/(C31+D31)</f>
        <v>0.6097560975609756</v>
      </c>
      <c r="F31" s="2">
        <v>110.9</v>
      </c>
      <c r="G31" s="2">
        <v>109.9</v>
      </c>
      <c r="H31" s="2">
        <f>+F31-G31</f>
        <v>1</v>
      </c>
      <c r="I31" s="1">
        <f>+(F31^14)/((F31^14+G31^14))</f>
        <v>0.53166069765175683</v>
      </c>
      <c r="J31" s="2">
        <v>112</v>
      </c>
      <c r="K31" s="2">
        <v>111.1</v>
      </c>
      <c r="L31" s="2">
        <f>+J31-K31</f>
        <v>0.90000000000000568</v>
      </c>
      <c r="M31" s="1">
        <f>+E31-I31</f>
        <v>7.8095399909218766E-2</v>
      </c>
      <c r="N31" s="2">
        <v>116.9</v>
      </c>
      <c r="O31" s="2">
        <v>96.1</v>
      </c>
      <c r="P31" s="2">
        <f>+N31-O31</f>
        <v>20.800000000000011</v>
      </c>
      <c r="Q31">
        <v>0.6</v>
      </c>
    </row>
    <row r="32" spans="1:18">
      <c r="A32" t="s">
        <v>54</v>
      </c>
      <c r="B32" t="s">
        <v>5</v>
      </c>
      <c r="C32">
        <v>60</v>
      </c>
      <c r="D32">
        <v>22</v>
      </c>
      <c r="E32" s="1">
        <f>+C32/(C32+D32)</f>
        <v>0.73170731707317072</v>
      </c>
      <c r="F32" s="2">
        <v>102.5</v>
      </c>
      <c r="G32" s="2">
        <v>97.1</v>
      </c>
      <c r="H32" s="2">
        <f>+F32-G32</f>
        <v>5.4000000000000057</v>
      </c>
      <c r="I32" s="1">
        <f>+(F32^14)/((F32^14+G32^14))</f>
        <v>0.68085415464788723</v>
      </c>
      <c r="J32" s="2">
        <v>108.2</v>
      </c>
      <c r="K32" s="2">
        <v>102.3</v>
      </c>
      <c r="L32" s="2">
        <f>+J32-K32</f>
        <v>5.9000000000000057</v>
      </c>
      <c r="M32" s="1">
        <f>+E32-I32</f>
        <v>5.0853162425283482E-2</v>
      </c>
      <c r="N32" s="2">
        <v>112.1</v>
      </c>
      <c r="O32" s="2">
        <v>91.3</v>
      </c>
      <c r="P32" s="2">
        <f>+N32-O32</f>
        <v>20.799999999999997</v>
      </c>
      <c r="Q32">
        <v>1.2</v>
      </c>
    </row>
    <row r="33" spans="1:17">
      <c r="A33" t="s">
        <v>66</v>
      </c>
      <c r="B33" t="s">
        <v>24</v>
      </c>
      <c r="C33">
        <v>34</v>
      </c>
      <c r="D33">
        <v>29</v>
      </c>
      <c r="E33" s="1">
        <f>+C33/(C33+D33)</f>
        <v>0.53968253968253965</v>
      </c>
      <c r="F33" s="2">
        <v>115.8</v>
      </c>
      <c r="G33" s="2">
        <v>116.1</v>
      </c>
      <c r="H33" s="2">
        <f>+F33-G33</f>
        <v>-0.29999999999999716</v>
      </c>
      <c r="I33" s="1">
        <f>+(F33^14)/((F33^14+G33^14))</f>
        <v>0.49094535752934715</v>
      </c>
      <c r="J33" s="2">
        <v>114.3</v>
      </c>
      <c r="K33" s="2">
        <v>114.6</v>
      </c>
      <c r="L33" s="2">
        <f>+J33-K33</f>
        <v>-0.29999999999999716</v>
      </c>
      <c r="M33" s="1">
        <f>+E33-I33</f>
        <v>4.8737182153192504E-2</v>
      </c>
      <c r="N33" s="2">
        <v>120.5</v>
      </c>
      <c r="O33" s="2">
        <v>99.7</v>
      </c>
      <c r="P33" s="2">
        <f>+N33-O33</f>
        <v>20.799999999999997</v>
      </c>
      <c r="Q33" s="2">
        <v>1.3</v>
      </c>
    </row>
    <row r="34" spans="1:17">
      <c r="A34" t="s">
        <v>60</v>
      </c>
      <c r="B34" t="s">
        <v>30</v>
      </c>
      <c r="C34">
        <v>53</v>
      </c>
      <c r="D34">
        <v>19</v>
      </c>
      <c r="E34" s="1">
        <f>+C34/(C34+D34)</f>
        <v>0.73611111111111116</v>
      </c>
      <c r="F34" s="2">
        <v>112.8</v>
      </c>
      <c r="G34" s="2">
        <v>106.5</v>
      </c>
      <c r="H34" s="2">
        <f>+F34-G34</f>
        <v>6.2999999999999972</v>
      </c>
      <c r="I34" s="1">
        <f>+(F34^14)/((F34^14+G34^14))</f>
        <v>0.69095738167684095</v>
      </c>
      <c r="J34" s="2">
        <v>110.8</v>
      </c>
      <c r="K34" s="2">
        <v>104.7</v>
      </c>
      <c r="L34" s="2">
        <f>+J34-K34</f>
        <v>6.0999999999999943</v>
      </c>
      <c r="M34" s="1">
        <f>+E34-I34</f>
        <v>4.5153729434270207E-2</v>
      </c>
      <c r="N34" s="2">
        <v>118.1</v>
      </c>
      <c r="O34" s="2">
        <v>97.4</v>
      </c>
      <c r="P34" s="2">
        <f>+N34-O34</f>
        <v>20.699999999999989</v>
      </c>
      <c r="Q34">
        <v>1.2</v>
      </c>
    </row>
    <row r="35" spans="1:17">
      <c r="A35" t="s">
        <v>66</v>
      </c>
      <c r="B35" t="s">
        <v>22</v>
      </c>
      <c r="C35">
        <v>40</v>
      </c>
      <c r="D35">
        <v>23</v>
      </c>
      <c r="E35" s="1">
        <f>+C35/(C35+D35)</f>
        <v>0.63492063492063489</v>
      </c>
      <c r="F35" s="2">
        <v>117</v>
      </c>
      <c r="G35" s="2">
        <v>110.5</v>
      </c>
      <c r="H35" s="2">
        <f>+F35-G35</f>
        <v>6.5</v>
      </c>
      <c r="I35" s="1">
        <f>+(F35^14)/((F35^14+G35^14))</f>
        <v>0.6900210673968612</v>
      </c>
      <c r="J35" s="2">
        <v>118.3</v>
      </c>
      <c r="K35" s="2">
        <v>111.7</v>
      </c>
      <c r="L35" s="2">
        <f>+J35-K35</f>
        <v>6.5999999999999943</v>
      </c>
      <c r="M35" s="1">
        <f>+E35-I35</f>
        <v>-5.5100432476226313E-2</v>
      </c>
      <c r="N35" s="2">
        <v>120.9</v>
      </c>
      <c r="O35" s="2">
        <v>100.5</v>
      </c>
      <c r="P35" s="2">
        <f>+N35-O35</f>
        <v>20.400000000000006</v>
      </c>
      <c r="Q35" s="2">
        <v>2.7</v>
      </c>
    </row>
    <row r="36" spans="1:17">
      <c r="A36" t="s">
        <v>61</v>
      </c>
      <c r="B36" t="s">
        <v>7</v>
      </c>
      <c r="C36">
        <v>33</v>
      </c>
      <c r="D36">
        <v>39</v>
      </c>
      <c r="E36" s="1">
        <f>+C36/(C36+D36)</f>
        <v>0.45833333333333331</v>
      </c>
      <c r="F36" s="2">
        <v>109.5</v>
      </c>
      <c r="G36" s="2">
        <v>111.4</v>
      </c>
      <c r="H36" s="2">
        <f>+F36-G36</f>
        <v>-1.9000000000000057</v>
      </c>
      <c r="I36" s="1">
        <f>+(F36^14)/((F36^14+G36^14))</f>
        <v>0.4400796285378884</v>
      </c>
      <c r="J36" s="2">
        <v>110.1</v>
      </c>
      <c r="K36" s="2">
        <v>112</v>
      </c>
      <c r="L36" s="2">
        <f>+J36-K36</f>
        <v>-1.9000000000000057</v>
      </c>
      <c r="M36" s="1">
        <f>+E36-I36</f>
        <v>1.8253704795444914E-2</v>
      </c>
      <c r="N36" s="2">
        <v>122.2</v>
      </c>
      <c r="O36" s="2">
        <v>102.4</v>
      </c>
      <c r="P36" s="2">
        <f>+N36-O36</f>
        <v>19.799999999999997</v>
      </c>
      <c r="Q36">
        <v>0</v>
      </c>
    </row>
    <row r="37" spans="1:17">
      <c r="A37" t="s">
        <v>41</v>
      </c>
      <c r="B37" t="s">
        <v>16</v>
      </c>
      <c r="C37">
        <v>47</v>
      </c>
      <c r="D37">
        <v>35</v>
      </c>
      <c r="E37" s="1">
        <f>+C37/(C37+D37)</f>
        <v>0.57317073170731703</v>
      </c>
      <c r="F37" s="2">
        <v>97.2</v>
      </c>
      <c r="G37" s="2">
        <v>95.6</v>
      </c>
      <c r="H37" s="2">
        <f>+F37-G37</f>
        <v>1.6000000000000085</v>
      </c>
      <c r="I37" s="1">
        <f>+(F37^14)/((F37^14+G37^14))</f>
        <v>0.55783262608685169</v>
      </c>
      <c r="J37" s="2">
        <v>103.8</v>
      </c>
      <c r="K37" s="2">
        <v>102.2</v>
      </c>
      <c r="L37" s="2">
        <f>+J37-K37</f>
        <v>1.5999999999999943</v>
      </c>
      <c r="M37" s="1">
        <f>+E37-I37</f>
        <v>1.5338105620465337E-2</v>
      </c>
      <c r="N37" s="2">
        <v>112</v>
      </c>
      <c r="O37" s="2">
        <v>92.3</v>
      </c>
      <c r="P37" s="2">
        <f>+N37-O37</f>
        <v>19.700000000000003</v>
      </c>
      <c r="Q37">
        <v>0.7</v>
      </c>
    </row>
    <row r="38" spans="1:17">
      <c r="A38" t="s">
        <v>52</v>
      </c>
      <c r="B38" t="s">
        <v>15</v>
      </c>
      <c r="C38">
        <v>56</v>
      </c>
      <c r="D38">
        <v>26</v>
      </c>
      <c r="E38" s="1">
        <f>+C38/(C38+D38)</f>
        <v>0.68292682926829273</v>
      </c>
      <c r="F38" s="2">
        <v>96.7</v>
      </c>
      <c r="G38" s="2">
        <v>92.3</v>
      </c>
      <c r="H38" s="2">
        <f>+F38-G38</f>
        <v>4.4000000000000057</v>
      </c>
      <c r="I38" s="1">
        <f>+(F38^14)/((F38^14+G38^14))</f>
        <v>0.65745418217817553</v>
      </c>
      <c r="J38" s="2">
        <v>103.6</v>
      </c>
      <c r="K38" s="2">
        <v>98.9</v>
      </c>
      <c r="L38" s="2">
        <f>+J38-K38</f>
        <v>4.6999999999999886</v>
      </c>
      <c r="M38" s="1">
        <f>+E38-I38</f>
        <v>2.5472647090117206E-2</v>
      </c>
      <c r="N38" s="2">
        <v>113.9</v>
      </c>
      <c r="O38" s="2">
        <v>94.6</v>
      </c>
      <c r="P38" s="2">
        <f>+N38-O38</f>
        <v>19.300000000000011</v>
      </c>
      <c r="Q38">
        <v>1.4</v>
      </c>
    </row>
    <row r="39" spans="1:17">
      <c r="A39" t="s">
        <v>49</v>
      </c>
      <c r="B39" t="s">
        <v>17</v>
      </c>
      <c r="C39">
        <v>41</v>
      </c>
      <c r="D39">
        <v>25</v>
      </c>
      <c r="E39" s="1">
        <f>+C39/(C39+D39)</f>
        <v>0.62121212121212122</v>
      </c>
      <c r="F39" s="2">
        <v>97.3</v>
      </c>
      <c r="G39" s="2">
        <v>95.9</v>
      </c>
      <c r="H39" s="2">
        <f>+F39-G39</f>
        <v>1.3999999999999915</v>
      </c>
      <c r="I39" s="1">
        <f>+(F39^14)/((F39^14+G39^14))</f>
        <v>0.55055221133697552</v>
      </c>
      <c r="J39" s="2">
        <v>104.5</v>
      </c>
      <c r="K39" s="2">
        <v>103.2</v>
      </c>
      <c r="L39" s="2">
        <f>+J39-K39</f>
        <v>1.2999999999999972</v>
      </c>
      <c r="M39" s="1">
        <f>+E39-I39</f>
        <v>7.0659909875145699E-2</v>
      </c>
      <c r="N39" s="2">
        <v>111.2</v>
      </c>
      <c r="O39" s="2">
        <v>92.3</v>
      </c>
      <c r="P39" s="2">
        <f>+N39-O39</f>
        <v>18.900000000000006</v>
      </c>
      <c r="Q39">
        <v>-0.1</v>
      </c>
    </row>
    <row r="40" spans="1:17">
      <c r="A40" t="s">
        <v>54</v>
      </c>
      <c r="B40" t="s">
        <v>13</v>
      </c>
      <c r="C40">
        <v>67</v>
      </c>
      <c r="D40">
        <v>15</v>
      </c>
      <c r="E40" s="1">
        <f>+C40/(C40+D40)</f>
        <v>0.81707317073170727</v>
      </c>
      <c r="F40" s="2">
        <v>110</v>
      </c>
      <c r="G40" s="2">
        <v>99.9</v>
      </c>
      <c r="H40" s="2">
        <f>+F40-G40</f>
        <v>10.099999999999994</v>
      </c>
      <c r="I40" s="1">
        <f>+(F40^14)/((F40^14+G40^14))</f>
        <v>0.79385966423964438</v>
      </c>
      <c r="J40" s="2">
        <v>110.4</v>
      </c>
      <c r="K40" s="2">
        <v>100.4</v>
      </c>
      <c r="L40" s="2">
        <f>+J40-K40</f>
        <v>10</v>
      </c>
      <c r="M40" s="1">
        <f>+E40-I40</f>
        <v>2.3213506492062885E-2</v>
      </c>
      <c r="N40" s="2">
        <v>111</v>
      </c>
      <c r="O40" s="2">
        <v>92.1</v>
      </c>
      <c r="P40" s="2">
        <f>+N40-O40</f>
        <v>18.900000000000006</v>
      </c>
      <c r="Q40">
        <v>0.4</v>
      </c>
    </row>
    <row r="41" spans="1:17">
      <c r="A41" t="s">
        <v>65</v>
      </c>
      <c r="B41" t="s">
        <v>9</v>
      </c>
      <c r="C41">
        <v>64</v>
      </c>
      <c r="D41">
        <v>18</v>
      </c>
      <c r="E41" s="1">
        <f>+C41/(C41+D41)</f>
        <v>0.78048780487804881</v>
      </c>
      <c r="F41" s="2">
        <v>121.9</v>
      </c>
      <c r="G41" s="2">
        <v>112.4</v>
      </c>
      <c r="H41" s="2">
        <f>+F41-G41</f>
        <v>9.5</v>
      </c>
      <c r="I41" s="1">
        <f>+(F41^14)/((F41^14+G41^14))</f>
        <v>0.75692964586236922</v>
      </c>
      <c r="J41" s="2">
        <v>121</v>
      </c>
      <c r="K41" s="2">
        <v>111.8</v>
      </c>
      <c r="L41" s="2">
        <f>+J41-K41</f>
        <v>9.2000000000000028</v>
      </c>
      <c r="M41" s="1">
        <f>+E41-I41</f>
        <v>2.3558159015679592E-2</v>
      </c>
      <c r="N41" s="2">
        <v>123.8</v>
      </c>
      <c r="O41" s="2">
        <v>104.9</v>
      </c>
      <c r="P41" s="2">
        <f>+N41-O41</f>
        <v>18.899999999999991</v>
      </c>
      <c r="Q41">
        <v>2.9</v>
      </c>
    </row>
    <row r="42" spans="1:17">
      <c r="A42" t="s">
        <v>47</v>
      </c>
      <c r="B42" t="s">
        <v>10</v>
      </c>
      <c r="C42">
        <v>55</v>
      </c>
      <c r="D42">
        <v>27</v>
      </c>
      <c r="E42" s="1">
        <f>+C42/(C42+D42)</f>
        <v>0.67073170731707321</v>
      </c>
      <c r="F42" s="2">
        <v>102</v>
      </c>
      <c r="G42" s="2">
        <v>99.3</v>
      </c>
      <c r="H42" s="2">
        <f>+F42-G42</f>
        <v>2.7000000000000028</v>
      </c>
      <c r="I42" s="1">
        <f>+(F42^14)/((F42^14+G42^14))</f>
        <v>0.59280694774061193</v>
      </c>
      <c r="J42" s="2">
        <v>107.8</v>
      </c>
      <c r="K42" s="2">
        <v>105</v>
      </c>
      <c r="L42" s="2">
        <f>+J42-K42</f>
        <v>2.7999999999999972</v>
      </c>
      <c r="M42" s="1">
        <f>+E42-I42</f>
        <v>7.7924759576461278E-2</v>
      </c>
      <c r="N42" s="2">
        <v>114.1</v>
      </c>
      <c r="O42" s="2">
        <v>95.3</v>
      </c>
      <c r="P42" s="2">
        <f>+N42-O42</f>
        <v>18.799999999999997</v>
      </c>
      <c r="Q42">
        <v>0.6</v>
      </c>
    </row>
    <row r="43" spans="1:17">
      <c r="A43" t="s">
        <v>65</v>
      </c>
      <c r="B43" t="s">
        <v>11</v>
      </c>
      <c r="C43">
        <v>50</v>
      </c>
      <c r="D43">
        <v>32</v>
      </c>
      <c r="E43" s="1">
        <f>+C43/(C43+D43)</f>
        <v>0.6097560975609756</v>
      </c>
      <c r="F43" s="2">
        <v>120.8</v>
      </c>
      <c r="G43" s="2">
        <v>116.9</v>
      </c>
      <c r="H43" s="2">
        <f>+F43-G43</f>
        <v>3.8999999999999915</v>
      </c>
      <c r="I43" s="1">
        <f>+(F43^14)/((F43^14+G43^14))</f>
        <v>0.61288223083931581</v>
      </c>
      <c r="J43" s="2">
        <v>118.9</v>
      </c>
      <c r="K43" s="2">
        <v>115.1</v>
      </c>
      <c r="L43" s="2">
        <f>+J43-K43</f>
        <v>3.8000000000000114</v>
      </c>
      <c r="M43" s="1">
        <f>+E43-I43</f>
        <v>-3.1261332783402151E-3</v>
      </c>
      <c r="N43" s="2">
        <v>126.8</v>
      </c>
      <c r="O43" s="2">
        <v>108</v>
      </c>
      <c r="P43" s="2">
        <f>+N43-O43</f>
        <v>18.799999999999997</v>
      </c>
      <c r="Q43">
        <v>0.2</v>
      </c>
    </row>
    <row r="44" spans="1:17">
      <c r="A44" t="s">
        <v>59</v>
      </c>
      <c r="B44" t="s">
        <v>56</v>
      </c>
      <c r="C44">
        <v>48</v>
      </c>
      <c r="D44">
        <v>34</v>
      </c>
      <c r="E44" s="1">
        <f>+C44/(C44+D44)</f>
        <v>0.58536585365853655</v>
      </c>
      <c r="F44" s="2">
        <v>115.1</v>
      </c>
      <c r="G44" s="2">
        <v>114.3</v>
      </c>
      <c r="H44" s="2">
        <f>+F44-G44</f>
        <v>0.79999999999999716</v>
      </c>
      <c r="I44" s="1">
        <f>+(F44^14)/((F44^14+G44^14))</f>
        <v>0.52439222902089777</v>
      </c>
      <c r="J44" s="2">
        <v>111.4</v>
      </c>
      <c r="K44" s="2">
        <v>110.4</v>
      </c>
      <c r="L44" s="2">
        <f>+J44-K44</f>
        <v>1</v>
      </c>
      <c r="M44" s="1">
        <f>+E44-I44</f>
        <v>6.0973624637638779E-2</v>
      </c>
      <c r="N44" s="2">
        <v>117.2</v>
      </c>
      <c r="O44" s="2">
        <v>98.5</v>
      </c>
      <c r="P44" s="2">
        <f>+N44-O44</f>
        <v>18.700000000000003</v>
      </c>
      <c r="Q44">
        <v>1.2</v>
      </c>
    </row>
    <row r="45" spans="1:17">
      <c r="A45" t="s">
        <v>60</v>
      </c>
      <c r="B45" t="s">
        <v>14</v>
      </c>
      <c r="C45">
        <v>44</v>
      </c>
      <c r="D45">
        <v>28</v>
      </c>
      <c r="E45" s="1">
        <f>+C45/(C45+D45)</f>
        <v>0.61111111111111116</v>
      </c>
      <c r="F45" s="2">
        <v>117.8</v>
      </c>
      <c r="G45" s="2">
        <v>114.8</v>
      </c>
      <c r="H45" s="2">
        <f>+F45-G45</f>
        <v>3</v>
      </c>
      <c r="I45" s="1">
        <f>+(F45^14)/((F45^14+G45^14))</f>
        <v>0.58932000368838899</v>
      </c>
      <c r="J45" s="2">
        <v>112.5</v>
      </c>
      <c r="K45" s="2">
        <v>109.8</v>
      </c>
      <c r="L45" s="2">
        <f>+J45-K45</f>
        <v>2.7000000000000028</v>
      </c>
      <c r="M45" s="1">
        <f>+E45-I45</f>
        <v>2.1791107422722167E-2</v>
      </c>
      <c r="N45" s="2">
        <v>115.7</v>
      </c>
      <c r="O45" s="2">
        <v>97</v>
      </c>
      <c r="P45" s="2">
        <f>+N45-O45</f>
        <v>18.700000000000003</v>
      </c>
      <c r="Q45">
        <v>-0.5</v>
      </c>
    </row>
    <row r="46" spans="1:17">
      <c r="A46" t="s">
        <v>55</v>
      </c>
      <c r="B46" t="s">
        <v>28</v>
      </c>
      <c r="C46">
        <v>67</v>
      </c>
      <c r="D46">
        <v>15</v>
      </c>
      <c r="E46" s="1">
        <f>+C46/(C46+D46)</f>
        <v>0.81707317073170727</v>
      </c>
      <c r="F46" s="2">
        <v>103.5</v>
      </c>
      <c r="G46" s="2">
        <v>92.9</v>
      </c>
      <c r="H46" s="2">
        <f>+F46-G46</f>
        <v>10.599999999999994</v>
      </c>
      <c r="I46" s="1">
        <f>+(F46^14)/((F46^14+G46^14))</f>
        <v>0.81945679097395319</v>
      </c>
      <c r="J46" s="2">
        <v>109.3</v>
      </c>
      <c r="K46" s="2">
        <v>98.2</v>
      </c>
      <c r="L46" s="2">
        <f>+J46-K46</f>
        <v>11.099999999999994</v>
      </c>
      <c r="M46" s="1">
        <f>+E46-I46</f>
        <v>-2.3836202422459207E-3</v>
      </c>
      <c r="N46" s="2">
        <v>111.1</v>
      </c>
      <c r="O46" s="2">
        <v>92.4</v>
      </c>
      <c r="P46" s="2">
        <f>+N46-O46</f>
        <v>18.699999999999989</v>
      </c>
      <c r="Q46">
        <v>2</v>
      </c>
    </row>
    <row r="47" spans="1:17">
      <c r="A47" t="s">
        <v>38</v>
      </c>
      <c r="B47" t="s">
        <v>15</v>
      </c>
      <c r="C47">
        <v>61</v>
      </c>
      <c r="D47">
        <v>21</v>
      </c>
      <c r="E47" s="1">
        <f>+C47/(C47+D47)</f>
        <v>0.74390243902439024</v>
      </c>
      <c r="F47" s="2">
        <v>91.4</v>
      </c>
      <c r="G47" s="2">
        <v>85.6</v>
      </c>
      <c r="H47" s="2">
        <f>+F47-G47</f>
        <v>5.8000000000000114</v>
      </c>
      <c r="I47" s="1">
        <f>+(F47^14)/((F47^14+G47^14))</f>
        <v>0.71460234412394263</v>
      </c>
      <c r="J47" s="2">
        <v>102.5</v>
      </c>
      <c r="K47" s="2">
        <v>96.2</v>
      </c>
      <c r="L47" s="2">
        <f>+J47-K47</f>
        <v>6.2999999999999972</v>
      </c>
      <c r="M47" s="1">
        <f>+E47-I47</f>
        <v>2.9300094900447604E-2</v>
      </c>
      <c r="N47" s="2">
        <v>103.6</v>
      </c>
      <c r="O47" s="2">
        <v>85</v>
      </c>
      <c r="P47" s="2">
        <f>+N47-O47</f>
        <v>18.599999999999994</v>
      </c>
      <c r="Q47">
        <v>1.5</v>
      </c>
    </row>
    <row r="48" spans="1:17">
      <c r="A48" t="s">
        <v>45</v>
      </c>
      <c r="B48" t="s">
        <v>17</v>
      </c>
      <c r="C48">
        <v>65</v>
      </c>
      <c r="D48">
        <v>17</v>
      </c>
      <c r="E48" s="1">
        <f>+C48/(C48+D48)</f>
        <v>0.79268292682926833</v>
      </c>
      <c r="F48" s="2">
        <v>106.9</v>
      </c>
      <c r="G48" s="2">
        <v>99.3</v>
      </c>
      <c r="H48" s="2">
        <f>+F48-G48</f>
        <v>7.6000000000000085</v>
      </c>
      <c r="I48" s="1">
        <f>+(F48^14)/((F48^14+G48^14))</f>
        <v>0.73739553340542874</v>
      </c>
      <c r="J48" s="2">
        <v>111.4</v>
      </c>
      <c r="K48" s="2">
        <v>103.5</v>
      </c>
      <c r="L48" s="2">
        <f>+J48-K48</f>
        <v>7.9000000000000057</v>
      </c>
      <c r="M48" s="1">
        <f>+E48-I48</f>
        <v>5.5287393423839593E-2</v>
      </c>
      <c r="N48" s="2">
        <v>122.7</v>
      </c>
      <c r="O48" s="2">
        <v>104.4</v>
      </c>
      <c r="P48" s="2">
        <f>+N48-O48</f>
        <v>18.299999999999997</v>
      </c>
      <c r="Q48">
        <v>1.2</v>
      </c>
    </row>
    <row r="49" spans="1:17">
      <c r="A49" t="s">
        <v>60</v>
      </c>
      <c r="B49" t="s">
        <v>19</v>
      </c>
      <c r="C49">
        <v>56</v>
      </c>
      <c r="D49">
        <v>17</v>
      </c>
      <c r="E49" s="1">
        <f>+C49/(C49+D49)</f>
        <v>0.76712328767123283</v>
      </c>
      <c r="F49" s="2">
        <v>118.7</v>
      </c>
      <c r="G49" s="2">
        <v>108.6</v>
      </c>
      <c r="H49" s="2">
        <f>+F49-G49</f>
        <v>10.100000000000009</v>
      </c>
      <c r="I49" s="1">
        <f>+(F49^14)/((F49^14+G49^14))</f>
        <v>0.77643149133297851</v>
      </c>
      <c r="J49" s="2">
        <v>111.9</v>
      </c>
      <c r="K49" s="2">
        <v>102.5</v>
      </c>
      <c r="L49" s="2">
        <f>+J49-K49</f>
        <v>9.4000000000000057</v>
      </c>
      <c r="M49" s="1">
        <f>+E49-I49</f>
        <v>-9.3082036617456732E-3</v>
      </c>
      <c r="N49" s="2">
        <v>110.1</v>
      </c>
      <c r="O49" s="2">
        <v>91.9</v>
      </c>
      <c r="P49" s="2">
        <f>+N49-O49</f>
        <v>18.199999999999989</v>
      </c>
      <c r="Q49">
        <v>2.5</v>
      </c>
    </row>
    <row r="50" spans="1:17">
      <c r="A50" t="s">
        <v>49</v>
      </c>
      <c r="B50" t="s">
        <v>5</v>
      </c>
      <c r="C50">
        <v>40</v>
      </c>
      <c r="D50">
        <v>26</v>
      </c>
      <c r="E50" s="1">
        <f>+C50/(C50+D50)</f>
        <v>0.60606060606060608</v>
      </c>
      <c r="F50" s="2">
        <v>96.6</v>
      </c>
      <c r="G50" s="2">
        <v>93.2</v>
      </c>
      <c r="H50" s="2">
        <f>+F50-G50</f>
        <v>3.3999999999999915</v>
      </c>
      <c r="I50" s="1">
        <f>+(F50^14)/((F50^14+G50^14))</f>
        <v>0.62284331457936171</v>
      </c>
      <c r="J50" s="2">
        <v>104.2</v>
      </c>
      <c r="K50" s="2">
        <v>100.4</v>
      </c>
      <c r="L50" s="2">
        <f>+J50-K50</f>
        <v>3.7999999999999972</v>
      </c>
      <c r="M50" s="1">
        <f>+E50-I50</f>
        <v>-1.6782708518755629E-2</v>
      </c>
      <c r="N50" s="2">
        <v>107.2</v>
      </c>
      <c r="O50" s="2">
        <v>89.1</v>
      </c>
      <c r="P50" s="2">
        <f>+N50-O50</f>
        <v>18.100000000000009</v>
      </c>
      <c r="Q50">
        <v>1.4</v>
      </c>
    </row>
    <row r="51" spans="1:17">
      <c r="A51" t="s">
        <v>54</v>
      </c>
      <c r="B51" t="s">
        <v>10</v>
      </c>
      <c r="C51">
        <v>50</v>
      </c>
      <c r="D51">
        <v>32</v>
      </c>
      <c r="E51" s="1">
        <f>+C51/(C51+D51)</f>
        <v>0.6097560975609756</v>
      </c>
      <c r="F51" s="2">
        <v>105.2</v>
      </c>
      <c r="G51" s="2">
        <v>102.3</v>
      </c>
      <c r="H51" s="2">
        <f>+F51-G51</f>
        <v>2.9000000000000057</v>
      </c>
      <c r="I51" s="1">
        <f>+(F51^14)/((F51^14+G51^14))</f>
        <v>0.59660783043206966</v>
      </c>
      <c r="J51" s="2">
        <v>108.2</v>
      </c>
      <c r="K51" s="2">
        <v>104.9</v>
      </c>
      <c r="L51" s="2">
        <f>+J51-K51</f>
        <v>3.2999999999999972</v>
      </c>
      <c r="M51" s="1">
        <f>+E51-I51</f>
        <v>1.3148267128905933E-2</v>
      </c>
      <c r="N51" s="2">
        <v>113.1</v>
      </c>
      <c r="O51" s="2">
        <v>95.3</v>
      </c>
      <c r="P51" s="2">
        <f>+N51-O51</f>
        <v>17.799999999999997</v>
      </c>
      <c r="Q51">
        <v>0.8</v>
      </c>
    </row>
    <row r="52" spans="1:17">
      <c r="A52" t="s">
        <v>48</v>
      </c>
      <c r="B52" t="s">
        <v>8</v>
      </c>
      <c r="C52">
        <v>62</v>
      </c>
      <c r="D52">
        <v>20</v>
      </c>
      <c r="E52" s="1">
        <f>+C52/(C52+D52)</f>
        <v>0.75609756097560976</v>
      </c>
      <c r="F52" s="2">
        <v>98.6</v>
      </c>
      <c r="G52" s="2">
        <v>91.3</v>
      </c>
      <c r="H52" s="2">
        <f>+F52-G52</f>
        <v>7.2999999999999972</v>
      </c>
      <c r="I52" s="1">
        <f>+(F52^14)/((F52^14+G52^14))</f>
        <v>0.7459043561062102</v>
      </c>
      <c r="J52" s="2">
        <v>107.2</v>
      </c>
      <c r="K52" s="2">
        <v>99.5</v>
      </c>
      <c r="L52" s="2">
        <f>+J52-K52</f>
        <v>7.7000000000000028</v>
      </c>
      <c r="M52" s="1">
        <f>+E52-I52</f>
        <v>1.0193204869399564E-2</v>
      </c>
      <c r="N52" s="2">
        <v>106.7</v>
      </c>
      <c r="O52" s="2">
        <v>88.9</v>
      </c>
      <c r="P52" s="2">
        <f>+N52-O52</f>
        <v>17.799999999999997</v>
      </c>
      <c r="Q52">
        <v>2.2999999999999998</v>
      </c>
    </row>
    <row r="53" spans="1:17">
      <c r="A53" t="s">
        <v>38</v>
      </c>
      <c r="B53" t="s">
        <v>17</v>
      </c>
      <c r="C53">
        <v>56</v>
      </c>
      <c r="D53">
        <v>26</v>
      </c>
      <c r="E53" s="1">
        <f>+C53/(C53+D53)</f>
        <v>0.68292682926829273</v>
      </c>
      <c r="F53" s="2">
        <v>98.2</v>
      </c>
      <c r="G53" s="2">
        <v>94.3</v>
      </c>
      <c r="H53" s="2">
        <f>+F53-G53</f>
        <v>3.9000000000000057</v>
      </c>
      <c r="I53" s="1">
        <f>+(F53^14)/((F53^14+G53^14))</f>
        <v>0.63815156005224649</v>
      </c>
      <c r="J53" s="2">
        <v>104.2</v>
      </c>
      <c r="K53" s="2">
        <v>100.1</v>
      </c>
      <c r="L53" s="2">
        <f>+J53-K53</f>
        <v>4.1000000000000085</v>
      </c>
      <c r="M53" s="1">
        <f>+E53-I53</f>
        <v>4.4775269216046243E-2</v>
      </c>
      <c r="N53" s="2">
        <v>102.8</v>
      </c>
      <c r="O53" s="2">
        <v>85.1</v>
      </c>
      <c r="P53" s="2">
        <f>+N53-O53</f>
        <v>17.700000000000003</v>
      </c>
      <c r="Q53">
        <v>1.5</v>
      </c>
    </row>
    <row r="54" spans="1:17">
      <c r="A54" t="s">
        <v>65</v>
      </c>
      <c r="B54" t="s">
        <v>15</v>
      </c>
      <c r="C54">
        <v>50</v>
      </c>
      <c r="D54">
        <v>32</v>
      </c>
      <c r="E54" s="1">
        <f>+C54/(C54+D54)</f>
        <v>0.6097560975609756</v>
      </c>
      <c r="F54" s="2">
        <v>117.4</v>
      </c>
      <c r="G54" s="2">
        <v>115.1</v>
      </c>
      <c r="H54" s="2">
        <f>+F54-G54</f>
        <v>2.3000000000000114</v>
      </c>
      <c r="I54" s="1">
        <f>+(F54^14)/((F54^14+G54^14))</f>
        <v>0.56881015999897555</v>
      </c>
      <c r="J54" s="2">
        <v>115.4</v>
      </c>
      <c r="K54" s="2">
        <v>113.3</v>
      </c>
      <c r="L54" s="2">
        <f>+J54-K54</f>
        <v>2.1000000000000085</v>
      </c>
      <c r="M54" s="1">
        <f>+E54-I54</f>
        <v>4.0945937562000045E-2</v>
      </c>
      <c r="N54" s="2">
        <v>118.3</v>
      </c>
      <c r="O54" s="2">
        <v>100.6</v>
      </c>
      <c r="P54" s="2">
        <f>+N54-O54</f>
        <v>17.700000000000003</v>
      </c>
      <c r="Q54">
        <v>2.1</v>
      </c>
    </row>
    <row r="55" spans="1:17">
      <c r="A55" t="s">
        <v>45</v>
      </c>
      <c r="B55" t="s">
        <v>23</v>
      </c>
      <c r="C55">
        <v>59</v>
      </c>
      <c r="D55">
        <v>23</v>
      </c>
      <c r="E55" s="1">
        <f>+C55/(C55+D55)</f>
        <v>0.71951219512195119</v>
      </c>
      <c r="F55" s="2">
        <v>101</v>
      </c>
      <c r="G55" s="2">
        <v>94.4</v>
      </c>
      <c r="H55" s="2">
        <f>+F55-G55</f>
        <v>6.5999999999999943</v>
      </c>
      <c r="I55" s="1">
        <f>+(F55^14)/((F55^14+G55^14))</f>
        <v>0.72033264065959124</v>
      </c>
      <c r="J55" s="2">
        <v>108.3</v>
      </c>
      <c r="K55" s="2">
        <v>101.3</v>
      </c>
      <c r="L55" s="2">
        <f>+J55-K55</f>
        <v>7</v>
      </c>
      <c r="M55" s="1">
        <f>+E55-I55</f>
        <v>-8.2044553764004657E-4</v>
      </c>
      <c r="N55" s="2">
        <v>106.3</v>
      </c>
      <c r="O55" s="2">
        <v>88.6</v>
      </c>
      <c r="P55" s="2">
        <f>+N55-O55</f>
        <v>17.700000000000003</v>
      </c>
      <c r="Q55">
        <v>1.3</v>
      </c>
    </row>
    <row r="56" spans="1:17">
      <c r="A56" t="s">
        <v>34</v>
      </c>
      <c r="B56" t="s">
        <v>6</v>
      </c>
      <c r="C56">
        <v>49</v>
      </c>
      <c r="D56">
        <v>33</v>
      </c>
      <c r="E56" s="1">
        <f>+C56/(C56+D56)</f>
        <v>0.59756097560975607</v>
      </c>
      <c r="F56" s="2">
        <v>96.4</v>
      </c>
      <c r="G56" s="2">
        <v>94.1</v>
      </c>
      <c r="H56" s="2">
        <f>+F56-G56</f>
        <v>2.3000000000000114</v>
      </c>
      <c r="I56" s="1">
        <f>+(F56^14)/((F56^14+G56^14))</f>
        <v>0.58372264017274567</v>
      </c>
      <c r="J56" s="2">
        <v>102.1</v>
      </c>
      <c r="K56" s="2">
        <v>99.9</v>
      </c>
      <c r="L56" s="2">
        <f>+J56-K56</f>
        <v>2.1999999999999886</v>
      </c>
      <c r="M56" s="1">
        <f>+E56-I56</f>
        <v>1.3838335437010407E-2</v>
      </c>
      <c r="N56" s="2">
        <v>107.8</v>
      </c>
      <c r="O56" s="2">
        <v>90.2</v>
      </c>
      <c r="P56" s="2">
        <f>+N56-O56</f>
        <v>17.599999999999994</v>
      </c>
      <c r="Q56">
        <v>1</v>
      </c>
    </row>
    <row r="57" spans="1:17">
      <c r="A57" t="s">
        <v>58</v>
      </c>
      <c r="B57" t="s">
        <v>24</v>
      </c>
      <c r="C57">
        <v>52</v>
      </c>
      <c r="D57">
        <v>30</v>
      </c>
      <c r="E57" s="1">
        <f>+C57/(C57+D57)</f>
        <v>0.63414634146341464</v>
      </c>
      <c r="F57" s="2">
        <v>109.8</v>
      </c>
      <c r="G57" s="2">
        <v>105.3</v>
      </c>
      <c r="H57" s="2">
        <f>+F57-G57</f>
        <v>4.5</v>
      </c>
      <c r="I57" s="1">
        <f>+(F57^14)/((F57^14+G57^14))</f>
        <v>0.64241456879862791</v>
      </c>
      <c r="J57" s="2">
        <v>108.5</v>
      </c>
      <c r="K57" s="2">
        <v>103.9</v>
      </c>
      <c r="L57" s="2">
        <f>+J57-K57</f>
        <v>4.5999999999999943</v>
      </c>
      <c r="M57" s="1">
        <f>+E57-I57</f>
        <v>-8.2682273352132629E-3</v>
      </c>
      <c r="N57" s="2">
        <v>114.5</v>
      </c>
      <c r="O57" s="2">
        <v>97.1</v>
      </c>
      <c r="P57" s="2">
        <f>+N57-O57</f>
        <v>17.400000000000006</v>
      </c>
      <c r="Q57">
        <v>-1.1000000000000001</v>
      </c>
    </row>
    <row r="58" spans="1:17">
      <c r="A58" t="s">
        <v>63</v>
      </c>
      <c r="B58" t="s">
        <v>24</v>
      </c>
      <c r="C58">
        <v>54</v>
      </c>
      <c r="D58">
        <v>28</v>
      </c>
      <c r="E58" s="1">
        <f>+C58/(C58+D58)</f>
        <v>0.65853658536585369</v>
      </c>
      <c r="F58" s="2">
        <v>115.2</v>
      </c>
      <c r="G58" s="2">
        <v>110.9</v>
      </c>
      <c r="H58" s="2">
        <f>+F58-G58</f>
        <v>4.2999999999999972</v>
      </c>
      <c r="I58" s="1">
        <f>+(F58^14)/((F58^14+G58^14))</f>
        <v>0.63008277952794978</v>
      </c>
      <c r="J58" s="2">
        <v>117</v>
      </c>
      <c r="K58" s="2">
        <v>112.7</v>
      </c>
      <c r="L58" s="2">
        <f>+J58-K58</f>
        <v>4.2999999999999972</v>
      </c>
      <c r="M58" s="1">
        <f>+E58-I58</f>
        <v>2.8453805837903912E-2</v>
      </c>
      <c r="N58" s="2">
        <v>110.2</v>
      </c>
      <c r="O58" s="2">
        <v>93.3</v>
      </c>
      <c r="P58" s="2">
        <f>+N58-O58</f>
        <v>16.900000000000006</v>
      </c>
      <c r="Q58">
        <v>2</v>
      </c>
    </row>
    <row r="59" spans="1:17">
      <c r="A59" t="s">
        <v>63</v>
      </c>
      <c r="B59" t="s">
        <v>18</v>
      </c>
      <c r="C59">
        <v>44</v>
      </c>
      <c r="D59">
        <v>38</v>
      </c>
      <c r="E59" s="1">
        <f>+C59/(C59+D59)</f>
        <v>0.53658536585365857</v>
      </c>
      <c r="F59" s="2">
        <v>109.5</v>
      </c>
      <c r="G59" s="2">
        <v>109.8</v>
      </c>
      <c r="H59" s="2">
        <f>+F59-G59</f>
        <v>-0.29999999999999716</v>
      </c>
      <c r="I59" s="1">
        <f>+(F59^14)/((F59^14+G59^14))</f>
        <v>0.49042524125901932</v>
      </c>
      <c r="J59" s="2">
        <v>112.3</v>
      </c>
      <c r="K59" s="2">
        <v>112.8</v>
      </c>
      <c r="L59" s="2">
        <f>+J59-K59</f>
        <v>-0.5</v>
      </c>
      <c r="M59" s="1">
        <f>+E59-I59</f>
        <v>4.6160124594639251E-2</v>
      </c>
      <c r="N59" s="2">
        <v>112.3</v>
      </c>
      <c r="O59" s="2">
        <v>95.4</v>
      </c>
      <c r="P59" s="2">
        <f>+N59-O59</f>
        <v>16.899999999999991</v>
      </c>
      <c r="Q59">
        <v>1.3</v>
      </c>
    </row>
    <row r="60" spans="1:17">
      <c r="A60" t="s">
        <v>64</v>
      </c>
      <c r="B60" t="s">
        <v>56</v>
      </c>
      <c r="C60">
        <v>51</v>
      </c>
      <c r="D60">
        <v>31</v>
      </c>
      <c r="E60" s="1">
        <f>+C60/(C60+D60)</f>
        <v>0.62195121951219512</v>
      </c>
      <c r="F60" s="2">
        <v>115.6</v>
      </c>
      <c r="G60" s="2">
        <v>112.3</v>
      </c>
      <c r="H60" s="2">
        <f>+F60-G60</f>
        <v>3.2999999999999972</v>
      </c>
      <c r="I60" s="1">
        <f>+(F60^14)/((F60^14+G60^14))</f>
        <v>0.60000101155304963</v>
      </c>
      <c r="J60" s="2">
        <v>117.9</v>
      </c>
      <c r="K60" s="2">
        <v>114.6</v>
      </c>
      <c r="L60" s="2">
        <f>+J60-K60</f>
        <v>3.3000000000000114</v>
      </c>
      <c r="M60" s="1">
        <f>+E60-I60</f>
        <v>2.1950207959145485E-2</v>
      </c>
      <c r="N60" s="2">
        <v>124.6</v>
      </c>
      <c r="O60" s="2">
        <v>107.8</v>
      </c>
      <c r="P60" s="2">
        <f>+N60-O60</f>
        <v>16.799999999999997</v>
      </c>
      <c r="Q60">
        <v>-0.5</v>
      </c>
    </row>
    <row r="61" spans="1:17">
      <c r="A61" t="s">
        <v>58</v>
      </c>
      <c r="B61" t="s">
        <v>15</v>
      </c>
      <c r="C61">
        <v>48</v>
      </c>
      <c r="D61">
        <v>34</v>
      </c>
      <c r="E61" s="1">
        <f>+C61/(C61+D61)</f>
        <v>0.58536585365853655</v>
      </c>
      <c r="F61" s="2">
        <v>105.6</v>
      </c>
      <c r="G61" s="2">
        <v>104.2</v>
      </c>
      <c r="H61" s="2">
        <f>+F61-G61</f>
        <v>1.3999999999999915</v>
      </c>
      <c r="I61" s="1">
        <f>+(F61^14)/((F61^14+G61^14))</f>
        <v>0.54657641949522462</v>
      </c>
      <c r="J61" s="2">
        <v>108.5</v>
      </c>
      <c r="K61" s="2">
        <v>107.3</v>
      </c>
      <c r="L61" s="2">
        <f>+J61-K61</f>
        <v>1.2000000000000028</v>
      </c>
      <c r="M61" s="1">
        <f>+E61-I61</f>
        <v>3.8789434163311931E-2</v>
      </c>
      <c r="N61" s="2">
        <v>112.2</v>
      </c>
      <c r="O61" s="2">
        <v>95.5</v>
      </c>
      <c r="P61" s="2">
        <f>+N61-O61</f>
        <v>16.700000000000003</v>
      </c>
      <c r="Q61">
        <v>-0.4</v>
      </c>
    </row>
    <row r="62" spans="1:17">
      <c r="A62" t="s">
        <v>39</v>
      </c>
      <c r="B62" t="s">
        <v>10</v>
      </c>
      <c r="C62">
        <v>58</v>
      </c>
      <c r="D62">
        <v>24</v>
      </c>
      <c r="E62" s="1">
        <f>+C62/(C62+D62)</f>
        <v>0.70731707317073167</v>
      </c>
      <c r="F62" s="2">
        <v>102.5</v>
      </c>
      <c r="G62" s="2">
        <v>96.8</v>
      </c>
      <c r="H62" s="2">
        <f>+F62-G62</f>
        <v>5.7000000000000028</v>
      </c>
      <c r="I62" s="1">
        <f>+(F62^14)/((F62^14+G62^14))</f>
        <v>0.69019289618045576</v>
      </c>
      <c r="J62" s="2">
        <v>108.5</v>
      </c>
      <c r="K62" s="2">
        <v>102.6</v>
      </c>
      <c r="L62" s="2">
        <f>+J62-K62</f>
        <v>5.9000000000000057</v>
      </c>
      <c r="M62" s="1">
        <f>+E62-I62</f>
        <v>1.7124176990275908E-2</v>
      </c>
      <c r="N62" s="2">
        <v>113.3</v>
      </c>
      <c r="O62" s="2">
        <v>96.8</v>
      </c>
      <c r="P62" s="2">
        <f>+N62-O62</f>
        <v>16.5</v>
      </c>
      <c r="Q62">
        <v>0.8</v>
      </c>
    </row>
    <row r="63" spans="1:17">
      <c r="A63" t="s">
        <v>4</v>
      </c>
      <c r="B63" t="s">
        <v>14</v>
      </c>
      <c r="C63">
        <v>45</v>
      </c>
      <c r="D63">
        <v>37</v>
      </c>
      <c r="E63" s="1">
        <f>+C63/(C63+D63)</f>
        <v>0.54878048780487809</v>
      </c>
      <c r="F63" s="2">
        <v>97.2</v>
      </c>
      <c r="G63" s="2">
        <v>94.9</v>
      </c>
      <c r="H63" s="2">
        <f>+F63-G63</f>
        <v>2.2999999999999972</v>
      </c>
      <c r="I63" s="1">
        <f>+(F63^14)/((F63^14+G63^14))</f>
        <v>0.58303819645921595</v>
      </c>
      <c r="J63" s="2">
        <v>105.2</v>
      </c>
      <c r="K63" s="2">
        <v>102.8</v>
      </c>
      <c r="L63" s="2">
        <f>+J63-K63</f>
        <v>2.4000000000000057</v>
      </c>
      <c r="M63" s="1">
        <f>+E63-I63</f>
        <v>-3.4257708654337859E-2</v>
      </c>
      <c r="N63" s="2">
        <v>104.5</v>
      </c>
      <c r="O63" s="2">
        <v>88.1</v>
      </c>
      <c r="P63" s="2">
        <f>+N63-O63</f>
        <v>16.400000000000006</v>
      </c>
      <c r="Q63">
        <v>1.4</v>
      </c>
    </row>
    <row r="64" spans="1:17">
      <c r="A64" t="s">
        <v>62</v>
      </c>
      <c r="B64" t="s">
        <v>8</v>
      </c>
      <c r="C64">
        <v>46</v>
      </c>
      <c r="D64">
        <v>36</v>
      </c>
      <c r="E64" s="1">
        <f>+C64/(C64+D64)</f>
        <v>0.56097560975609762</v>
      </c>
      <c r="F64" s="2">
        <v>111.6</v>
      </c>
      <c r="G64" s="2">
        <v>112</v>
      </c>
      <c r="H64" s="2">
        <f>+F64-G64</f>
        <v>-0.40000000000000568</v>
      </c>
      <c r="I64" s="1">
        <f>+(F64^14)/((F64^14+G64^14))</f>
        <v>0.48748024280159491</v>
      </c>
      <c r="J64" s="2">
        <v>112.7</v>
      </c>
      <c r="K64" s="2">
        <v>113.2</v>
      </c>
      <c r="L64" s="2">
        <f>+J64-K64</f>
        <v>-0.5</v>
      </c>
      <c r="M64" s="1">
        <f>+E64-I64</f>
        <v>7.3495366954502706E-2</v>
      </c>
      <c r="N64" s="2">
        <v>121</v>
      </c>
      <c r="O64" s="2">
        <v>104.9</v>
      </c>
      <c r="P64" s="2">
        <f>+N64-O64</f>
        <v>16.099999999999994</v>
      </c>
      <c r="Q64">
        <v>0.9</v>
      </c>
    </row>
    <row r="65" spans="1:17">
      <c r="A65" t="s">
        <v>55</v>
      </c>
      <c r="B65" t="s">
        <v>18</v>
      </c>
      <c r="C65">
        <v>48</v>
      </c>
      <c r="D65">
        <v>34</v>
      </c>
      <c r="E65" s="1">
        <f>+C65/(C65+D65)</f>
        <v>0.58536585365853655</v>
      </c>
      <c r="F65" s="2">
        <v>100</v>
      </c>
      <c r="G65" s="2">
        <v>98.4</v>
      </c>
      <c r="H65" s="2">
        <f>+F65-G65</f>
        <v>1.5999999999999943</v>
      </c>
      <c r="I65" s="1">
        <f>+(F65^14)/((F65^14+G65^14))</f>
        <v>0.55621417253941718</v>
      </c>
      <c r="J65" s="2">
        <v>105.5</v>
      </c>
      <c r="K65" s="2">
        <v>103.7</v>
      </c>
      <c r="L65" s="2">
        <f>+J65-K65</f>
        <v>1.7999999999999972</v>
      </c>
      <c r="M65" s="1">
        <f>+E65-I65</f>
        <v>2.9151681119119366E-2</v>
      </c>
      <c r="N65" s="2">
        <v>111.1</v>
      </c>
      <c r="O65" s="2">
        <v>95.2</v>
      </c>
      <c r="P65" s="2">
        <f>+N65-O65</f>
        <v>15.899999999999991</v>
      </c>
      <c r="Q65">
        <v>0.8</v>
      </c>
    </row>
    <row r="66" spans="1:17">
      <c r="A66" t="s">
        <v>64</v>
      </c>
      <c r="B66" t="s">
        <v>19</v>
      </c>
      <c r="C66">
        <v>49</v>
      </c>
      <c r="D66">
        <v>32</v>
      </c>
      <c r="E66" s="1">
        <f>+C66/(C66+D66)</f>
        <v>0.60493827160493829</v>
      </c>
      <c r="F66" s="2">
        <v>119</v>
      </c>
      <c r="G66" s="2">
        <v>116.2</v>
      </c>
      <c r="H66" s="2">
        <f>+F66-G66</f>
        <v>2.7999999999999972</v>
      </c>
      <c r="I66" s="1">
        <f>+(F66^14)/((F66^14+G66^14))</f>
        <v>0.58257403618210546</v>
      </c>
      <c r="J66" s="2">
        <v>117.7</v>
      </c>
      <c r="K66" s="2">
        <v>114.9</v>
      </c>
      <c r="L66" s="2">
        <f>+J66-K66</f>
        <v>2.7999999999999972</v>
      </c>
      <c r="M66" s="1">
        <f>+E66-I66</f>
        <v>2.2364235422832834E-2</v>
      </c>
      <c r="N66" s="2">
        <v>122</v>
      </c>
      <c r="O66" s="2">
        <v>106.2</v>
      </c>
      <c r="P66" s="2">
        <f>+N66-O66</f>
        <v>15.799999999999997</v>
      </c>
      <c r="Q66">
        <v>0.1</v>
      </c>
    </row>
    <row r="67" spans="1:17">
      <c r="A67" t="s">
        <v>49</v>
      </c>
      <c r="B67" t="s">
        <v>28</v>
      </c>
      <c r="C67">
        <v>50</v>
      </c>
      <c r="D67">
        <v>16</v>
      </c>
      <c r="E67" s="1">
        <f>+C67/(C67+D67)</f>
        <v>0.75757575757575757</v>
      </c>
      <c r="F67" s="2">
        <v>103.7</v>
      </c>
      <c r="G67" s="2">
        <v>96.5</v>
      </c>
      <c r="H67" s="2">
        <f>+F67-G67</f>
        <v>7.2000000000000028</v>
      </c>
      <c r="I67" s="1">
        <f>+(F67^14)/((F67^14+G67^14))</f>
        <v>0.7325164044661483</v>
      </c>
      <c r="J67" s="2">
        <v>110</v>
      </c>
      <c r="K67" s="2">
        <v>102.3</v>
      </c>
      <c r="L67" s="2">
        <f>+J67-K67</f>
        <v>7.7000000000000028</v>
      </c>
      <c r="M67" s="1">
        <f>+E67-I67</f>
        <v>2.5059353109609273E-2</v>
      </c>
      <c r="N67" s="2">
        <v>104.3</v>
      </c>
      <c r="O67" s="2">
        <v>88.6</v>
      </c>
      <c r="P67" s="2">
        <f>+N67-O67</f>
        <v>15.700000000000003</v>
      </c>
      <c r="Q67">
        <v>1.1000000000000001</v>
      </c>
    </row>
    <row r="68" spans="1:17">
      <c r="A68" t="s">
        <v>57</v>
      </c>
      <c r="B68" t="s">
        <v>31</v>
      </c>
      <c r="C68">
        <v>51</v>
      </c>
      <c r="D68">
        <v>31</v>
      </c>
      <c r="E68" s="1">
        <f>+C68/(C68+D68)</f>
        <v>0.62195121951219512</v>
      </c>
      <c r="F68" s="2">
        <v>100.7</v>
      </c>
      <c r="G68" s="2">
        <v>96.8</v>
      </c>
      <c r="H68" s="2">
        <f>+F68-G68</f>
        <v>3.9000000000000057</v>
      </c>
      <c r="I68" s="1">
        <f>+(F68^14)/((F68^14+G68^14))</f>
        <v>0.63482745651575567</v>
      </c>
      <c r="J68" s="2">
        <v>109</v>
      </c>
      <c r="K68" s="2">
        <v>104.7</v>
      </c>
      <c r="L68" s="2">
        <f>+J68-K68</f>
        <v>4.2999999999999972</v>
      </c>
      <c r="M68" s="1">
        <f>+E68-I68</f>
        <v>-1.2876237003560553E-2</v>
      </c>
      <c r="N68" s="2">
        <v>115</v>
      </c>
      <c r="O68" s="2">
        <v>99.3</v>
      </c>
      <c r="P68" s="2">
        <f>+N68-O68</f>
        <v>15.700000000000003</v>
      </c>
      <c r="Q68">
        <v>2.2000000000000002</v>
      </c>
    </row>
    <row r="69" spans="1:17">
      <c r="A69" t="s">
        <v>60</v>
      </c>
      <c r="B69" t="s">
        <v>11</v>
      </c>
      <c r="C69">
        <v>46</v>
      </c>
      <c r="D69">
        <v>27</v>
      </c>
      <c r="E69" s="1">
        <f>+C69/(C69+D69)</f>
        <v>0.63013698630136983</v>
      </c>
      <c r="F69" s="2">
        <v>111.3</v>
      </c>
      <c r="G69" s="2">
        <v>109.2</v>
      </c>
      <c r="H69" s="2">
        <f>+F69-G69</f>
        <v>2.0999999999999943</v>
      </c>
      <c r="I69" s="1">
        <f>+(F69^14)/((F69^14+G69^14))</f>
        <v>0.56627637451040547</v>
      </c>
      <c r="J69" s="2">
        <v>112.6</v>
      </c>
      <c r="K69" s="2">
        <v>110.4</v>
      </c>
      <c r="L69" s="2">
        <f>+J69-K69</f>
        <v>2.1999999999999886</v>
      </c>
      <c r="M69" s="1">
        <f>+E69-I69</f>
        <v>6.3860611790964361E-2</v>
      </c>
      <c r="N69" s="2">
        <v>118.5</v>
      </c>
      <c r="O69" s="2">
        <v>102.9</v>
      </c>
      <c r="P69" s="2">
        <f>+N69-O69</f>
        <v>15.599999999999994</v>
      </c>
      <c r="Q69">
        <v>0.3</v>
      </c>
    </row>
    <row r="70" spans="1:17">
      <c r="A70" t="s">
        <v>34</v>
      </c>
      <c r="B70" t="s">
        <v>27</v>
      </c>
      <c r="C70">
        <v>61</v>
      </c>
      <c r="D70">
        <v>21</v>
      </c>
      <c r="E70" s="1">
        <f>+C70/(C70+D70)</f>
        <v>0.74390243902439024</v>
      </c>
      <c r="F70" s="2">
        <v>104.6</v>
      </c>
      <c r="G70" s="2">
        <v>97</v>
      </c>
      <c r="H70" s="2">
        <f>+F70-G70</f>
        <v>7.5999999999999943</v>
      </c>
      <c r="I70" s="1">
        <f>+(F70^14)/((F70^14+G70^14))</f>
        <v>0.74193612519657792</v>
      </c>
      <c r="J70" s="2">
        <v>107.9</v>
      </c>
      <c r="K70" s="2">
        <v>99.7</v>
      </c>
      <c r="L70" s="2">
        <f>+J70-K70</f>
        <v>8.2000000000000028</v>
      </c>
      <c r="M70" s="1">
        <f>+E70-I70</f>
        <v>1.966313827812316E-3</v>
      </c>
      <c r="N70" s="2">
        <v>105</v>
      </c>
      <c r="O70" s="2">
        <v>89.6</v>
      </c>
      <c r="P70" s="2">
        <f>+N70-O70</f>
        <v>15.400000000000006</v>
      </c>
      <c r="Q70">
        <v>0.8</v>
      </c>
    </row>
    <row r="71" spans="1:17">
      <c r="A71" t="s">
        <v>62</v>
      </c>
      <c r="B71" t="s">
        <v>19</v>
      </c>
      <c r="C71">
        <v>51</v>
      </c>
      <c r="D71">
        <v>31</v>
      </c>
      <c r="E71" s="1">
        <f>+C71/(C71+D71)</f>
        <v>0.62195121951219512</v>
      </c>
      <c r="F71" s="2">
        <v>115.5</v>
      </c>
      <c r="G71" s="2">
        <v>112.1</v>
      </c>
      <c r="H71" s="2">
        <f>+F71-G71</f>
        <v>3.4000000000000057</v>
      </c>
      <c r="I71" s="1">
        <f>+(F71^14)/((F71^14+G71^14))</f>
        <v>0.60307848942796871</v>
      </c>
      <c r="J71" s="2">
        <v>114.3</v>
      </c>
      <c r="K71" s="2">
        <v>111.1</v>
      </c>
      <c r="L71" s="2">
        <f>+J71-K71</f>
        <v>3.2000000000000028</v>
      </c>
      <c r="M71" s="1">
        <f>+E71-I71</f>
        <v>1.8872730084226408E-2</v>
      </c>
      <c r="N71" s="2">
        <v>118.1</v>
      </c>
      <c r="O71" s="2">
        <v>102.8</v>
      </c>
      <c r="P71" s="2">
        <f>+N71-O71</f>
        <v>15.299999999999997</v>
      </c>
      <c r="Q71">
        <v>1</v>
      </c>
    </row>
    <row r="72" spans="1:17">
      <c r="A72" t="s">
        <v>52</v>
      </c>
      <c r="B72" t="s">
        <v>14</v>
      </c>
      <c r="C72">
        <v>54</v>
      </c>
      <c r="D72">
        <v>28</v>
      </c>
      <c r="E72" s="1">
        <f>+C72/(C72+D72)</f>
        <v>0.65853658536585369</v>
      </c>
      <c r="F72" s="2">
        <v>107.7</v>
      </c>
      <c r="G72" s="2">
        <v>103.1</v>
      </c>
      <c r="H72" s="2">
        <f>+F72-G72</f>
        <v>4.6000000000000085</v>
      </c>
      <c r="I72" s="1">
        <f>+(F72^14)/((F72^14+G72^14))</f>
        <v>0.648192302705629</v>
      </c>
      <c r="J72" s="2">
        <v>109.8</v>
      </c>
      <c r="K72" s="2">
        <v>105.2</v>
      </c>
      <c r="L72" s="2">
        <f>+J72-K72</f>
        <v>4.5999999999999943</v>
      </c>
      <c r="M72" s="1">
        <f>+E72-I72</f>
        <v>1.0344282660224691E-2</v>
      </c>
      <c r="N72" s="2">
        <v>111.2</v>
      </c>
      <c r="O72" s="2">
        <v>96.1</v>
      </c>
      <c r="P72" s="2">
        <f>+N72-O72</f>
        <v>15.100000000000009</v>
      </c>
      <c r="Q72">
        <v>-0.2</v>
      </c>
    </row>
    <row r="73" spans="1:17">
      <c r="A73" t="s">
        <v>61</v>
      </c>
      <c r="B73" t="s">
        <v>24</v>
      </c>
      <c r="C73">
        <v>49</v>
      </c>
      <c r="D73">
        <v>23</v>
      </c>
      <c r="E73" s="1">
        <f>+C73/(C73+D73)</f>
        <v>0.68055555555555558</v>
      </c>
      <c r="F73" s="2">
        <v>113.6</v>
      </c>
      <c r="G73" s="2">
        <v>108.1</v>
      </c>
      <c r="H73" s="2">
        <f>+F73-G73</f>
        <v>5.5</v>
      </c>
      <c r="I73" s="1">
        <f>+(F73^14)/((F73^14+G73^14))</f>
        <v>0.66702829346339876</v>
      </c>
      <c r="J73" s="2">
        <v>112.5</v>
      </c>
      <c r="K73" s="2">
        <v>107</v>
      </c>
      <c r="L73" s="2">
        <f>+J73-K73</f>
        <v>5.5</v>
      </c>
      <c r="M73" s="1">
        <f>+E73-I73</f>
        <v>1.3527262092156822E-2</v>
      </c>
      <c r="N73" s="2">
        <v>112.5</v>
      </c>
      <c r="O73" s="2">
        <v>97.4</v>
      </c>
      <c r="P73" s="2">
        <f>+N73-O73</f>
        <v>15.099999999999994</v>
      </c>
      <c r="Q73">
        <v>1.3</v>
      </c>
    </row>
    <row r="74" spans="1:17">
      <c r="A74" t="s">
        <v>65</v>
      </c>
      <c r="B74" t="s">
        <v>8</v>
      </c>
      <c r="C74">
        <v>39</v>
      </c>
      <c r="D74">
        <v>43</v>
      </c>
      <c r="E74" s="1">
        <f>+C74/(C74+D74)</f>
        <v>0.47560975609756095</v>
      </c>
      <c r="F74" s="2">
        <v>117.8</v>
      </c>
      <c r="G74" s="2">
        <v>119.4</v>
      </c>
      <c r="H74" s="2">
        <f>+F74-G74</f>
        <v>-1.6000000000000085</v>
      </c>
      <c r="I74" s="1">
        <f>+(F74^14)/((F74^14+G74^14))</f>
        <v>0.45292161510107215</v>
      </c>
      <c r="J74" s="2">
        <v>113.2</v>
      </c>
      <c r="K74" s="2">
        <v>114.8</v>
      </c>
      <c r="L74" s="2">
        <f>+J74-K74</f>
        <v>-1.5999999999999943</v>
      </c>
      <c r="M74" s="1">
        <f>+E74-I74</f>
        <v>2.2688140996488804E-2</v>
      </c>
      <c r="N74" s="2">
        <v>115.4</v>
      </c>
      <c r="O74" s="2">
        <v>100.4</v>
      </c>
      <c r="P74" s="2">
        <f>+N74-O74</f>
        <v>15</v>
      </c>
      <c r="Q74">
        <v>0</v>
      </c>
    </row>
    <row r="75" spans="1:17">
      <c r="A75" t="s">
        <v>49</v>
      </c>
      <c r="B75" t="s">
        <v>23</v>
      </c>
      <c r="C75">
        <v>37</v>
      </c>
      <c r="D75">
        <v>29</v>
      </c>
      <c r="E75" s="1">
        <f>+C75/(C75+D75)</f>
        <v>0.56060606060606055</v>
      </c>
      <c r="F75" s="2">
        <v>94.2</v>
      </c>
      <c r="G75" s="2">
        <v>93.4</v>
      </c>
      <c r="H75" s="2">
        <f>+F75-G75</f>
        <v>0.79999999999999716</v>
      </c>
      <c r="I75" s="1">
        <f>+(F75^14)/((F75^14+G75^14))</f>
        <v>0.52981551170793983</v>
      </c>
      <c r="J75" s="2">
        <v>104</v>
      </c>
      <c r="K75" s="2">
        <v>103.4</v>
      </c>
      <c r="L75" s="2">
        <f>+J75-K75</f>
        <v>0.59999999999999432</v>
      </c>
      <c r="M75" s="1">
        <f>+E75-I75</f>
        <v>3.0790548898120718E-2</v>
      </c>
      <c r="N75" s="2">
        <v>110</v>
      </c>
      <c r="O75" s="2">
        <v>95.1</v>
      </c>
      <c r="P75" s="2">
        <f>+N75-O75</f>
        <v>14.900000000000006</v>
      </c>
      <c r="Q75">
        <v>-0.5</v>
      </c>
    </row>
    <row r="76" spans="1:17">
      <c r="A76" t="s">
        <v>47</v>
      </c>
      <c r="B76" t="s">
        <v>16</v>
      </c>
      <c r="C76">
        <v>29</v>
      </c>
      <c r="D76">
        <v>53</v>
      </c>
      <c r="E76" s="1">
        <f>+C76/(C76+D76)</f>
        <v>0.35365853658536583</v>
      </c>
      <c r="F76" s="2">
        <v>95.7</v>
      </c>
      <c r="G76" s="2">
        <v>102.1</v>
      </c>
      <c r="H76" s="2">
        <f>+F76-G76</f>
        <v>-6.3999999999999915</v>
      </c>
      <c r="I76" s="1">
        <f>+(F76^14)/((F76^14+G76^14))</f>
        <v>0.28776126250180661</v>
      </c>
      <c r="J76" s="2">
        <v>102.3</v>
      </c>
      <c r="K76" s="2">
        <v>109.1</v>
      </c>
      <c r="L76" s="2">
        <f>+J76-K76</f>
        <v>-6.7999999999999972</v>
      </c>
      <c r="M76" s="1">
        <f>+E76-I76</f>
        <v>6.5897274083559221E-2</v>
      </c>
      <c r="N76" s="2">
        <v>106</v>
      </c>
      <c r="O76" s="2">
        <v>91.3</v>
      </c>
      <c r="P76" s="2">
        <f>+N76-O76</f>
        <v>14.700000000000003</v>
      </c>
      <c r="Q76">
        <v>-2.1</v>
      </c>
    </row>
    <row r="77" spans="1:17">
      <c r="A77" t="s">
        <v>50</v>
      </c>
      <c r="B77" t="s">
        <v>5</v>
      </c>
      <c r="C77">
        <v>44</v>
      </c>
      <c r="D77">
        <v>38</v>
      </c>
      <c r="E77" s="1">
        <f>+C77/(C77+D77)</f>
        <v>0.53658536585365857</v>
      </c>
      <c r="F77" s="2">
        <v>98</v>
      </c>
      <c r="G77" s="2">
        <v>97.5</v>
      </c>
      <c r="H77" s="2">
        <f>+F77-G77</f>
        <v>0.5</v>
      </c>
      <c r="I77" s="1">
        <f>+(F77^14)/((F77^14+G77^14))</f>
        <v>0.51789520548021317</v>
      </c>
      <c r="J77" s="2">
        <v>103.7</v>
      </c>
      <c r="K77" s="2">
        <v>103.4</v>
      </c>
      <c r="L77" s="2">
        <f>+J77-K77</f>
        <v>0.29999999999999716</v>
      </c>
      <c r="M77" s="1">
        <f>+E77-I77</f>
        <v>1.8690160373445397E-2</v>
      </c>
      <c r="N77" s="2">
        <v>102.2</v>
      </c>
      <c r="O77" s="2">
        <v>87.5</v>
      </c>
      <c r="P77" s="2">
        <f>+N77-O77</f>
        <v>14.700000000000003</v>
      </c>
      <c r="Q77">
        <v>-0.2</v>
      </c>
    </row>
    <row r="78" spans="1:17">
      <c r="A78" t="s">
        <v>45</v>
      </c>
      <c r="B78" t="s">
        <v>37</v>
      </c>
      <c r="C78">
        <v>49</v>
      </c>
      <c r="D78">
        <v>33</v>
      </c>
      <c r="E78" s="1">
        <f>+C78/(C78+D78)</f>
        <v>0.59756097560975607</v>
      </c>
      <c r="F78" s="2">
        <v>95.8</v>
      </c>
      <c r="G78" s="2">
        <v>94.3</v>
      </c>
      <c r="H78" s="2">
        <f>+F78-G78</f>
        <v>1.5</v>
      </c>
      <c r="I78" s="1">
        <f>+(F78^14)/((F78^14+G78^14))</f>
        <v>0.55501163326871295</v>
      </c>
      <c r="J78" s="2">
        <v>107.6</v>
      </c>
      <c r="K78" s="2">
        <v>105.8</v>
      </c>
      <c r="L78" s="2">
        <f>+J78-K78</f>
        <v>1.7999999999999972</v>
      </c>
      <c r="M78" s="1">
        <f>+E78-I78</f>
        <v>4.2549342341043128E-2</v>
      </c>
      <c r="N78" s="2">
        <v>124.8</v>
      </c>
      <c r="O78" s="2">
        <v>110.2</v>
      </c>
      <c r="P78" s="2">
        <f>+N78-O78</f>
        <v>14.599999999999994</v>
      </c>
      <c r="Q78">
        <v>0.9</v>
      </c>
    </row>
    <row r="79" spans="1:17">
      <c r="A79" t="s">
        <v>57</v>
      </c>
      <c r="B79" t="s">
        <v>30</v>
      </c>
      <c r="C79">
        <v>51</v>
      </c>
      <c r="D79">
        <v>31</v>
      </c>
      <c r="E79" s="1">
        <f>+C79/(C79+D79)</f>
        <v>0.62195121951219512</v>
      </c>
      <c r="F79" s="2">
        <v>106.9</v>
      </c>
      <c r="G79" s="2">
        <v>102.6</v>
      </c>
      <c r="H79" s="2">
        <f>+F79-G79</f>
        <v>4.3000000000000114</v>
      </c>
      <c r="I79" s="1">
        <f>+(F79^14)/((F79^14+G79^14))</f>
        <v>0.6398659537059771</v>
      </c>
      <c r="J79" s="2">
        <v>111.4</v>
      </c>
      <c r="K79" s="2">
        <v>107.1</v>
      </c>
      <c r="L79" s="2">
        <f>+J79-K79</f>
        <v>4.3000000000000114</v>
      </c>
      <c r="M79" s="1">
        <f>+E79-I79</f>
        <v>-1.7914734193781978E-2</v>
      </c>
      <c r="N79" s="2">
        <v>109.9</v>
      </c>
      <c r="O79" s="2">
        <v>95.4</v>
      </c>
      <c r="P79" s="2">
        <f>+N79-O79</f>
        <v>14.5</v>
      </c>
      <c r="Q79">
        <v>2.8</v>
      </c>
    </row>
    <row r="80" spans="1:17">
      <c r="A80" t="s">
        <v>39</v>
      </c>
      <c r="B80" t="s">
        <v>29</v>
      </c>
      <c r="C80">
        <v>52</v>
      </c>
      <c r="D80">
        <v>30</v>
      </c>
      <c r="E80" s="1">
        <f>+C80/(C80+D80)</f>
        <v>0.63414634146341464</v>
      </c>
      <c r="F80" s="2">
        <v>98.9</v>
      </c>
      <c r="G80" s="2">
        <v>96.6</v>
      </c>
      <c r="H80" s="2">
        <f>+F80-G80</f>
        <v>2.3000000000000114</v>
      </c>
      <c r="I80" s="1">
        <f>+(F80^14)/((F80^14+G80^14))</f>
        <v>0.58161994176434872</v>
      </c>
      <c r="J80" s="2">
        <v>110.3</v>
      </c>
      <c r="K80" s="2">
        <v>108</v>
      </c>
      <c r="L80" s="2">
        <f>+J80-K80</f>
        <v>2.2999999999999972</v>
      </c>
      <c r="M80" s="1">
        <f>+E80-I80</f>
        <v>5.2526399699065918E-2</v>
      </c>
      <c r="N80" s="2">
        <v>119.7</v>
      </c>
      <c r="O80" s="2">
        <v>105.3</v>
      </c>
      <c r="P80" s="2">
        <f>+N80-O80</f>
        <v>14.400000000000006</v>
      </c>
      <c r="Q80">
        <v>1.5</v>
      </c>
    </row>
    <row r="81" spans="1:17">
      <c r="A81" t="s">
        <v>55</v>
      </c>
      <c r="B81" t="s">
        <v>10</v>
      </c>
      <c r="C81">
        <v>42</v>
      </c>
      <c r="D81">
        <v>40</v>
      </c>
      <c r="E81" s="1">
        <f>+C81/(C81+D81)</f>
        <v>0.51219512195121952</v>
      </c>
      <c r="F81" s="2">
        <v>102.3</v>
      </c>
      <c r="G81" s="2">
        <v>102.6</v>
      </c>
      <c r="H81" s="2">
        <f>+F81-G81</f>
        <v>-0.29999999999999716</v>
      </c>
      <c r="I81" s="1">
        <f>+(F81^14)/((F81^14+G81^14))</f>
        <v>0.4897525259278111</v>
      </c>
      <c r="J81" s="2">
        <v>105.5</v>
      </c>
      <c r="K81" s="2">
        <v>105.9</v>
      </c>
      <c r="L81" s="2">
        <f>+J81-K81</f>
        <v>-0.40000000000000568</v>
      </c>
      <c r="M81" s="1">
        <f>+E81-I81</f>
        <v>2.2442596023408423E-2</v>
      </c>
      <c r="N81" s="2">
        <v>113.5</v>
      </c>
      <c r="O81" s="2">
        <v>99.1</v>
      </c>
      <c r="P81" s="2">
        <f>+N81-O81</f>
        <v>14.400000000000006</v>
      </c>
      <c r="Q81">
        <v>0.3</v>
      </c>
    </row>
    <row r="82" spans="1:17">
      <c r="A82" t="s">
        <v>36</v>
      </c>
      <c r="B82" t="s">
        <v>20</v>
      </c>
      <c r="C82">
        <v>51</v>
      </c>
      <c r="D82">
        <v>31</v>
      </c>
      <c r="E82" s="1">
        <f>+C82/(C82+D82)</f>
        <v>0.62195121951219512</v>
      </c>
      <c r="F82" s="2">
        <v>98.1</v>
      </c>
      <c r="G82" s="2">
        <v>96</v>
      </c>
      <c r="H82" s="2">
        <f>+F82-G82</f>
        <v>2.0999999999999943</v>
      </c>
      <c r="I82" s="1">
        <f>+(F82^14)/((F82^14+G82^14))</f>
        <v>0.57516313158502963</v>
      </c>
      <c r="J82" s="2">
        <v>104.8</v>
      </c>
      <c r="K82" s="2">
        <v>102.5</v>
      </c>
      <c r="L82" s="2">
        <f>+J82-K82</f>
        <v>2.2999999999999972</v>
      </c>
      <c r="M82" s="1">
        <f>+E82-I82</f>
        <v>4.6788087927165489E-2</v>
      </c>
      <c r="N82" s="2">
        <v>107.7</v>
      </c>
      <c r="O82" s="2">
        <v>93.4</v>
      </c>
      <c r="P82" s="2">
        <f>+N82-O82</f>
        <v>14.299999999999997</v>
      </c>
      <c r="Q82">
        <v>0.1</v>
      </c>
    </row>
    <row r="83" spans="1:17">
      <c r="A83" t="s">
        <v>45</v>
      </c>
      <c r="B83" t="s">
        <v>10</v>
      </c>
      <c r="C83">
        <v>50</v>
      </c>
      <c r="D83">
        <v>32</v>
      </c>
      <c r="E83" s="1">
        <f>+C83/(C83+D83)</f>
        <v>0.6097560975609756</v>
      </c>
      <c r="F83" s="2">
        <v>101.7</v>
      </c>
      <c r="G83" s="2">
        <v>99.8</v>
      </c>
      <c r="H83" s="2">
        <f>+F83-G83</f>
        <v>1.9000000000000057</v>
      </c>
      <c r="I83" s="1">
        <f>+(F83^14)/((F83^14+G83^14))</f>
        <v>0.56562612482912078</v>
      </c>
      <c r="J83" s="2">
        <v>109</v>
      </c>
      <c r="K83" s="2">
        <v>107</v>
      </c>
      <c r="L83" s="2">
        <f>+J83-K83</f>
        <v>2</v>
      </c>
      <c r="M83" s="1">
        <f>+E83-I83</f>
        <v>4.4129972731854816E-2</v>
      </c>
      <c r="N83" s="2">
        <v>113</v>
      </c>
      <c r="O83" s="2">
        <v>98.7</v>
      </c>
      <c r="P83" s="2">
        <f>+N83-O83</f>
        <v>14.299999999999997</v>
      </c>
      <c r="Q83">
        <v>-0.2</v>
      </c>
    </row>
    <row r="84" spans="1:17">
      <c r="A84" t="s">
        <v>54</v>
      </c>
      <c r="B84" t="s">
        <v>26</v>
      </c>
      <c r="C84">
        <v>51</v>
      </c>
      <c r="D84">
        <v>31</v>
      </c>
      <c r="E84" s="1">
        <f>+C84/(C84+D84)</f>
        <v>0.62195121951219512</v>
      </c>
      <c r="F84" s="2">
        <v>102.8</v>
      </c>
      <c r="G84" s="2">
        <v>98.6</v>
      </c>
      <c r="H84" s="2">
        <f>+F84-G84</f>
        <v>4.2000000000000028</v>
      </c>
      <c r="I84" s="1">
        <f>+(F84^14)/((F84^14+G84^14))</f>
        <v>0.64198666077986288</v>
      </c>
      <c r="J84" s="2">
        <v>107.1</v>
      </c>
      <c r="K84" s="2">
        <v>102.8</v>
      </c>
      <c r="L84" s="2">
        <f>+J84-K84</f>
        <v>4.2999999999999972</v>
      </c>
      <c r="M84" s="1">
        <f>+E84-I84</f>
        <v>-2.0035441267667764E-2</v>
      </c>
      <c r="N84" s="2">
        <v>114.2</v>
      </c>
      <c r="O84" s="2">
        <v>100</v>
      </c>
      <c r="P84" s="2">
        <f>+N84-O84</f>
        <v>14.200000000000003</v>
      </c>
      <c r="Q84">
        <v>1.7</v>
      </c>
    </row>
    <row r="85" spans="1:17">
      <c r="A85" t="s">
        <v>44</v>
      </c>
      <c r="B85" t="s">
        <v>25</v>
      </c>
      <c r="C85">
        <v>55</v>
      </c>
      <c r="D85">
        <v>27</v>
      </c>
      <c r="E85" s="1">
        <f>+C85/(C85+D85)</f>
        <v>0.67073170731707321</v>
      </c>
      <c r="F85" s="2">
        <v>110.1</v>
      </c>
      <c r="G85" s="2">
        <v>105</v>
      </c>
      <c r="H85" s="2">
        <f>+F85-G85</f>
        <v>5.0999999999999943</v>
      </c>
      <c r="I85" s="1">
        <f>+(F85^14)/((F85^14+G85^14))</f>
        <v>0.66015874335995706</v>
      </c>
      <c r="J85" s="2">
        <v>112</v>
      </c>
      <c r="K85" s="2">
        <v>107</v>
      </c>
      <c r="L85" s="2">
        <f>+J85-K85</f>
        <v>5</v>
      </c>
      <c r="M85" s="1">
        <f>+E85-I85</f>
        <v>1.0572963957116155E-2</v>
      </c>
      <c r="N85" s="2">
        <v>110.9</v>
      </c>
      <c r="O85" s="2">
        <v>96.8</v>
      </c>
      <c r="P85" s="2">
        <f>+N85-O85</f>
        <v>14.100000000000009</v>
      </c>
      <c r="Q85">
        <v>0.6</v>
      </c>
    </row>
    <row r="86" spans="1:17">
      <c r="A86" t="s">
        <v>57</v>
      </c>
      <c r="B86" t="s">
        <v>5</v>
      </c>
      <c r="C86">
        <v>43</v>
      </c>
      <c r="D86">
        <v>39</v>
      </c>
      <c r="E86" s="1">
        <f>+C86/(C86+D86)</f>
        <v>0.52439024390243905</v>
      </c>
      <c r="F86" s="2">
        <v>103.2</v>
      </c>
      <c r="G86" s="2">
        <v>104</v>
      </c>
      <c r="H86" s="2">
        <f>+F86-G86</f>
        <v>-0.79999999999999716</v>
      </c>
      <c r="I86" s="1">
        <f>+(F86^14)/((F86^14+G86^14))</f>
        <v>0.47299913122451137</v>
      </c>
      <c r="J86" s="2">
        <v>104.5</v>
      </c>
      <c r="K86" s="2">
        <v>105.2</v>
      </c>
      <c r="L86" s="2">
        <f>+J86-K86</f>
        <v>-0.70000000000000284</v>
      </c>
      <c r="M86" s="1">
        <f>+E86-I86</f>
        <v>5.1391112677927675E-2</v>
      </c>
      <c r="N86" s="2">
        <v>109.8</v>
      </c>
      <c r="O86" s="2">
        <v>95.7</v>
      </c>
      <c r="P86" s="2">
        <f>+N86-O86</f>
        <v>14.099999999999994</v>
      </c>
      <c r="Q86">
        <v>0.6</v>
      </c>
    </row>
    <row r="87" spans="1:17">
      <c r="A87" t="s">
        <v>64</v>
      </c>
      <c r="B87" t="s">
        <v>22</v>
      </c>
      <c r="C87">
        <v>50</v>
      </c>
      <c r="D87">
        <v>32</v>
      </c>
      <c r="E87" s="1">
        <f>+C87/(C87+D87)</f>
        <v>0.6097560975609756</v>
      </c>
      <c r="F87" s="2">
        <v>112.8</v>
      </c>
      <c r="G87" s="2">
        <v>108.2</v>
      </c>
      <c r="H87" s="2">
        <f>+F87-G87</f>
        <v>4.5999999999999943</v>
      </c>
      <c r="I87" s="1">
        <f>+(F87^14)/((F87^14+G87^14))</f>
        <v>0.64173203581076255</v>
      </c>
      <c r="J87" s="2">
        <v>117.3</v>
      </c>
      <c r="K87" s="2">
        <v>112.4</v>
      </c>
      <c r="L87" s="2">
        <f>+J87-K87</f>
        <v>4.8999999999999915</v>
      </c>
      <c r="M87" s="1">
        <f>+E87-I87</f>
        <v>-3.197593824978695E-2</v>
      </c>
      <c r="N87" s="2">
        <v>114.4</v>
      </c>
      <c r="O87" s="2">
        <v>100.4</v>
      </c>
      <c r="P87" s="2">
        <f>+N87-O87</f>
        <v>14</v>
      </c>
      <c r="Q87">
        <v>1</v>
      </c>
    </row>
    <row r="88" spans="1:17">
      <c r="A88" t="s">
        <v>48</v>
      </c>
      <c r="B88" t="s">
        <v>46</v>
      </c>
      <c r="C88">
        <v>55</v>
      </c>
      <c r="D88">
        <v>27</v>
      </c>
      <c r="E88" s="1">
        <f>+C88/(C88+D88)</f>
        <v>0.67073170731707321</v>
      </c>
      <c r="F88" s="2">
        <v>104.8</v>
      </c>
      <c r="G88" s="2">
        <v>101</v>
      </c>
      <c r="H88" s="2">
        <f>+F88-G88</f>
        <v>3.7999999999999972</v>
      </c>
      <c r="I88" s="1">
        <f>+(F88^14)/((F88^14+G88^14))</f>
        <v>0.62646134296899791</v>
      </c>
      <c r="J88" s="2">
        <v>109.9</v>
      </c>
      <c r="K88" s="2">
        <v>105.9</v>
      </c>
      <c r="L88" s="2">
        <f>+J88-K88</f>
        <v>4</v>
      </c>
      <c r="M88" s="1">
        <f>+E88-I88</f>
        <v>4.4270364348075297E-2</v>
      </c>
      <c r="N88" s="2">
        <v>105.8</v>
      </c>
      <c r="O88" s="2">
        <v>92</v>
      </c>
      <c r="P88" s="2">
        <f>+N88-O88</f>
        <v>13.799999999999997</v>
      </c>
      <c r="Q88">
        <v>0.9</v>
      </c>
    </row>
    <row r="89" spans="1:17">
      <c r="A89" t="s">
        <v>38</v>
      </c>
      <c r="B89" t="s">
        <v>11</v>
      </c>
      <c r="C89">
        <v>43</v>
      </c>
      <c r="D89">
        <v>39</v>
      </c>
      <c r="E89" s="1">
        <f>+C89/(C89+D89)</f>
        <v>0.52439024390243905</v>
      </c>
      <c r="F89" s="2">
        <v>97.2</v>
      </c>
      <c r="G89" s="2">
        <v>96.1</v>
      </c>
      <c r="H89" s="2">
        <f>+F89-G89</f>
        <v>1.1000000000000085</v>
      </c>
      <c r="I89" s="1">
        <f>+(F89^14)/((F89^14+G89^14))</f>
        <v>0.53975081670039182</v>
      </c>
      <c r="J89" s="2">
        <v>102.4</v>
      </c>
      <c r="K89" s="2">
        <v>101.4</v>
      </c>
      <c r="L89" s="2">
        <f>+J89-K89</f>
        <v>1</v>
      </c>
      <c r="M89" s="1">
        <f>+E89-I89</f>
        <v>-1.5360572797952776E-2</v>
      </c>
      <c r="N89" s="2">
        <v>103.3</v>
      </c>
      <c r="O89" s="2">
        <v>89.6</v>
      </c>
      <c r="P89" s="2">
        <f>+N89-O89</f>
        <v>13.700000000000003</v>
      </c>
      <c r="Q89">
        <v>0.1</v>
      </c>
    </row>
    <row r="90" spans="1:17">
      <c r="A90" t="s">
        <v>57</v>
      </c>
      <c r="B90" t="s">
        <v>9</v>
      </c>
      <c r="C90">
        <v>51</v>
      </c>
      <c r="D90">
        <v>31</v>
      </c>
      <c r="E90" s="1">
        <f>+C90/(C90+D90)</f>
        <v>0.62195121951219512</v>
      </c>
      <c r="F90" s="2">
        <v>110.3</v>
      </c>
      <c r="G90" s="2">
        <v>107.2</v>
      </c>
      <c r="H90" s="2">
        <f>+F90-G90</f>
        <v>3.0999999999999943</v>
      </c>
      <c r="I90" s="1">
        <f>+(F90^14)/((F90^14+G90^14))</f>
        <v>0.59847320533092052</v>
      </c>
      <c r="J90" s="2">
        <v>112.8</v>
      </c>
      <c r="K90" s="2">
        <v>109.7</v>
      </c>
      <c r="L90" s="2">
        <f>+J90-K90</f>
        <v>3.0999999999999943</v>
      </c>
      <c r="M90" s="1">
        <f>+E90-I90</f>
        <v>2.3478014181274598E-2</v>
      </c>
      <c r="N90" s="2">
        <v>117.1</v>
      </c>
      <c r="O90" s="2">
        <v>103.5</v>
      </c>
      <c r="P90" s="2">
        <f>+N90-O90</f>
        <v>13.599999999999994</v>
      </c>
      <c r="Q90">
        <v>-1.2</v>
      </c>
    </row>
    <row r="91" spans="1:17">
      <c r="A91" t="s">
        <v>54</v>
      </c>
      <c r="B91" t="s">
        <v>35</v>
      </c>
      <c r="C91">
        <v>55</v>
      </c>
      <c r="D91">
        <v>27</v>
      </c>
      <c r="E91" s="1">
        <f>+C91/(C91+D91)</f>
        <v>0.67073170731707321</v>
      </c>
      <c r="F91" s="2">
        <v>98.3</v>
      </c>
      <c r="G91" s="2">
        <v>95.1</v>
      </c>
      <c r="H91" s="2">
        <f>+F91-G91</f>
        <v>3.2000000000000028</v>
      </c>
      <c r="I91" s="1">
        <f>+(F91^14)/((F91^14+G91^14))</f>
        <v>0.61380403794976324</v>
      </c>
      <c r="J91" s="2">
        <v>104.8</v>
      </c>
      <c r="K91" s="2">
        <v>101.2</v>
      </c>
      <c r="L91" s="2">
        <f>+J91-K91</f>
        <v>3.5999999999999943</v>
      </c>
      <c r="M91" s="1">
        <f>+E91-I91</f>
        <v>5.6927669367309974E-2</v>
      </c>
      <c r="N91" s="2">
        <v>108.7</v>
      </c>
      <c r="O91" s="2">
        <v>95.2</v>
      </c>
      <c r="P91" s="2">
        <f>+N91-O91</f>
        <v>13.5</v>
      </c>
      <c r="Q91">
        <v>0.3</v>
      </c>
    </row>
    <row r="92" spans="1:17">
      <c r="A92" t="s">
        <v>36</v>
      </c>
      <c r="B92" t="s">
        <v>14</v>
      </c>
      <c r="C92">
        <v>43</v>
      </c>
      <c r="D92">
        <v>39</v>
      </c>
      <c r="E92" s="1">
        <f>+C92/(C92+D92)</f>
        <v>0.52439024390243905</v>
      </c>
      <c r="F92" s="2">
        <v>93.8</v>
      </c>
      <c r="G92" s="2">
        <v>92.3</v>
      </c>
      <c r="H92" s="2">
        <f>+F92-G92</f>
        <v>1.5</v>
      </c>
      <c r="I92" s="1">
        <f>+(F92^14)/((F92^14+G92^14))</f>
        <v>0.55618421979332688</v>
      </c>
      <c r="J92" s="2">
        <v>102.4</v>
      </c>
      <c r="K92" s="2">
        <v>100.9</v>
      </c>
      <c r="L92" s="2">
        <f>+J92-K92</f>
        <v>1.5</v>
      </c>
      <c r="M92" s="1">
        <f>+E92-I92</f>
        <v>-3.1793975890887838E-2</v>
      </c>
      <c r="N92" s="2">
        <v>114.4</v>
      </c>
      <c r="O92" s="2">
        <v>100.9</v>
      </c>
      <c r="P92" s="2">
        <f>+N92-O92</f>
        <v>13.5</v>
      </c>
      <c r="Q92">
        <v>0.4</v>
      </c>
    </row>
    <row r="93" spans="1:17">
      <c r="A93" t="s">
        <v>49</v>
      </c>
      <c r="B93" t="s">
        <v>8</v>
      </c>
      <c r="C93">
        <v>50</v>
      </c>
      <c r="D93">
        <v>16</v>
      </c>
      <c r="E93" s="1">
        <f>+C93/(C93+D93)</f>
        <v>0.75757575757575757</v>
      </c>
      <c r="F93" s="2">
        <v>96.3</v>
      </c>
      <c r="G93" s="2">
        <v>88.2</v>
      </c>
      <c r="H93" s="2">
        <f>+F93-G93</f>
        <v>8.0999999999999943</v>
      </c>
      <c r="I93" s="1">
        <f>+(F93^14)/((F93^14+G93^14))</f>
        <v>0.77382889717097558</v>
      </c>
      <c r="J93" s="2">
        <v>106.3</v>
      </c>
      <c r="K93" s="2">
        <v>97.5</v>
      </c>
      <c r="L93" s="2">
        <f>+J93-K93</f>
        <v>8.7999999999999972</v>
      </c>
      <c r="M93" s="1">
        <f>+E93-I93</f>
        <v>-1.6253139595218014E-2</v>
      </c>
      <c r="N93" s="2">
        <v>107.5</v>
      </c>
      <c r="O93" s="2">
        <v>94.1</v>
      </c>
      <c r="P93" s="2">
        <f>+N93-O93</f>
        <v>13.400000000000006</v>
      </c>
      <c r="Q93">
        <v>2.5</v>
      </c>
    </row>
    <row r="94" spans="1:17">
      <c r="A94" t="s">
        <v>44</v>
      </c>
      <c r="B94" t="s">
        <v>13</v>
      </c>
      <c r="C94">
        <v>48</v>
      </c>
      <c r="D94">
        <v>34</v>
      </c>
      <c r="E94" s="1">
        <f>+C94/(C94+D94)</f>
        <v>0.58536585365853655</v>
      </c>
      <c r="F94" s="2">
        <v>111</v>
      </c>
      <c r="G94" s="2">
        <v>108.8</v>
      </c>
      <c r="H94" s="2">
        <f>+F94-G94</f>
        <v>2.2000000000000028</v>
      </c>
      <c r="I94" s="1">
        <f>+(F94^14)/((F94^14+G94^14))</f>
        <v>0.56961097932319371</v>
      </c>
      <c r="J94" s="2">
        <v>110.4</v>
      </c>
      <c r="K94" s="2">
        <v>108.5</v>
      </c>
      <c r="L94" s="2">
        <f>+J94-K94</f>
        <v>1.9000000000000057</v>
      </c>
      <c r="M94" s="1">
        <f>+E94-I94</f>
        <v>1.5754874335342839E-2</v>
      </c>
      <c r="N94" s="2">
        <v>117.2</v>
      </c>
      <c r="O94" s="2">
        <v>103.9</v>
      </c>
      <c r="P94" s="2">
        <f>+N94-O94</f>
        <v>13.299999999999997</v>
      </c>
      <c r="Q94">
        <v>0.5</v>
      </c>
    </row>
    <row r="95" spans="1:17">
      <c r="A95" t="s">
        <v>66</v>
      </c>
      <c r="B95" t="s">
        <v>12</v>
      </c>
      <c r="C95">
        <v>45</v>
      </c>
      <c r="D95">
        <v>17</v>
      </c>
      <c r="E95" s="1">
        <f>+C95/(C95+D95)</f>
        <v>0.72580645161290325</v>
      </c>
      <c r="F95" s="2">
        <v>116.8</v>
      </c>
      <c r="G95" s="2">
        <v>109.6</v>
      </c>
      <c r="H95" s="2">
        <f>+F95-G95</f>
        <v>7.2000000000000028</v>
      </c>
      <c r="I95" s="1">
        <f>+(F95^14)/((F95^14+G95^14))</f>
        <v>0.70904693182577805</v>
      </c>
      <c r="J95" s="2">
        <v>116.1</v>
      </c>
      <c r="K95" s="2">
        <v>108.7</v>
      </c>
      <c r="L95" s="2">
        <f>+J95-K95</f>
        <v>7.3999999999999915</v>
      </c>
      <c r="M95" s="1">
        <f>+E95-I95</f>
        <v>1.6759519787125199E-2</v>
      </c>
      <c r="N95" s="2">
        <v>116.3</v>
      </c>
      <c r="O95" s="2">
        <v>103.1</v>
      </c>
      <c r="P95" s="2">
        <f>+N95-O95</f>
        <v>13.200000000000003</v>
      </c>
      <c r="Q95" s="2">
        <v>1.1000000000000001</v>
      </c>
    </row>
    <row r="96" spans="1:17">
      <c r="A96" t="s">
        <v>52</v>
      </c>
      <c r="B96" t="s">
        <v>28</v>
      </c>
      <c r="C96">
        <v>62</v>
      </c>
      <c r="D96">
        <v>20</v>
      </c>
      <c r="E96" s="1">
        <f>+C96/(C96+D96)</f>
        <v>0.75609756097560976</v>
      </c>
      <c r="F96" s="2">
        <v>105.4</v>
      </c>
      <c r="G96" s="2">
        <v>97.6</v>
      </c>
      <c r="H96" s="2">
        <f>+F96-G96</f>
        <v>7.8000000000000114</v>
      </c>
      <c r="I96" s="1">
        <f>+(F96^14)/((F96^14+G96^14))</f>
        <v>0.74581059535578331</v>
      </c>
      <c r="J96" s="2">
        <v>109.5</v>
      </c>
      <c r="K96" s="2">
        <v>101.4</v>
      </c>
      <c r="L96" s="2">
        <f>+J96-K96</f>
        <v>8.0999999999999943</v>
      </c>
      <c r="M96" s="1">
        <f>+E96-I96</f>
        <v>1.0286965619826449E-2</v>
      </c>
      <c r="N96" s="2">
        <v>116.2</v>
      </c>
      <c r="O96" s="2">
        <v>103</v>
      </c>
      <c r="P96" s="2">
        <f>+N96-O96</f>
        <v>13.200000000000003</v>
      </c>
      <c r="Q96">
        <v>2</v>
      </c>
    </row>
    <row r="97" spans="1:17">
      <c r="A97" t="s">
        <v>48</v>
      </c>
      <c r="B97" t="s">
        <v>26</v>
      </c>
      <c r="C97">
        <v>48</v>
      </c>
      <c r="D97">
        <v>34</v>
      </c>
      <c r="E97" s="1">
        <f>+C97/(C97+D97)</f>
        <v>0.58536585365853655</v>
      </c>
      <c r="F97" s="2">
        <v>96.3</v>
      </c>
      <c r="G97" s="2">
        <v>94.8</v>
      </c>
      <c r="H97" s="2">
        <f>+F97-G97</f>
        <v>1.5</v>
      </c>
      <c r="I97" s="1">
        <f>+(F97^14)/((F97^14+G97^14))</f>
        <v>0.55472606384506307</v>
      </c>
      <c r="J97" s="2">
        <v>107.3</v>
      </c>
      <c r="K97" s="2">
        <v>105.7</v>
      </c>
      <c r="L97" s="2">
        <f>+J97-K97</f>
        <v>1.5999999999999943</v>
      </c>
      <c r="M97" s="1">
        <f>+E97-I97</f>
        <v>3.0639789813473484E-2</v>
      </c>
      <c r="N97" s="2">
        <v>108.5</v>
      </c>
      <c r="O97" s="2">
        <v>95.4</v>
      </c>
      <c r="P97" s="2">
        <f>+N97-O97</f>
        <v>13.099999999999994</v>
      </c>
      <c r="Q97">
        <v>-0.1</v>
      </c>
    </row>
    <row r="98" spans="1:17">
      <c r="A98" t="s">
        <v>49</v>
      </c>
      <c r="B98" t="s">
        <v>35</v>
      </c>
      <c r="C98">
        <v>41</v>
      </c>
      <c r="D98">
        <v>25</v>
      </c>
      <c r="E98" s="1">
        <f>+C98/(C98+D98)</f>
        <v>0.62121212121212122</v>
      </c>
      <c r="F98" s="2">
        <v>95</v>
      </c>
      <c r="G98" s="2">
        <v>93</v>
      </c>
      <c r="H98" s="2">
        <f>+F98-G98</f>
        <v>2</v>
      </c>
      <c r="I98" s="1">
        <f>+(F98^14)/((F98^14+G98^14))</f>
        <v>0.57392505859345744</v>
      </c>
      <c r="J98" s="2">
        <v>102.8</v>
      </c>
      <c r="K98" s="2">
        <v>100.6</v>
      </c>
      <c r="L98" s="2">
        <f>+J98-K98</f>
        <v>2.2000000000000028</v>
      </c>
      <c r="M98" s="1">
        <f>+E98-I98</f>
        <v>4.7287062618663778E-2</v>
      </c>
      <c r="N98" s="2">
        <v>106.8</v>
      </c>
      <c r="O98" s="2">
        <v>93.8</v>
      </c>
      <c r="P98" s="2">
        <f>+N98-O98</f>
        <v>13</v>
      </c>
      <c r="Q98">
        <v>0.3</v>
      </c>
    </row>
    <row r="99" spans="1:17">
      <c r="A99" t="s">
        <v>57</v>
      </c>
      <c r="B99" t="s">
        <v>33</v>
      </c>
      <c r="C99">
        <v>49</v>
      </c>
      <c r="D99">
        <v>33</v>
      </c>
      <c r="E99" s="1">
        <f>+C99/(C99+D99)</f>
        <v>0.59756097560975607</v>
      </c>
      <c r="F99" s="2">
        <v>109.2</v>
      </c>
      <c r="G99" s="2">
        <v>107.4</v>
      </c>
      <c r="H99" s="2">
        <f>+F99-G99</f>
        <v>1.7999999999999972</v>
      </c>
      <c r="I99" s="1">
        <f>+(F99^14)/((F99^14+G99^14))</f>
        <v>0.55791201251406242</v>
      </c>
      <c r="J99" s="2">
        <v>110.4</v>
      </c>
      <c r="K99" s="2">
        <v>108.8</v>
      </c>
      <c r="L99" s="2">
        <f>+J99-K99</f>
        <v>1.6000000000000085</v>
      </c>
      <c r="M99" s="1">
        <f>+E99-I99</f>
        <v>3.9648963095693657E-2</v>
      </c>
      <c r="N99" s="2">
        <v>116.8</v>
      </c>
      <c r="O99" s="2">
        <v>103.8</v>
      </c>
      <c r="P99" s="2">
        <f>+N99-O99</f>
        <v>13</v>
      </c>
      <c r="Q99">
        <v>0.8</v>
      </c>
    </row>
    <row r="100" spans="1:17">
      <c r="A100" t="s">
        <v>41</v>
      </c>
      <c r="B100" t="s">
        <v>8</v>
      </c>
      <c r="C100">
        <v>41</v>
      </c>
      <c r="D100">
        <v>41</v>
      </c>
      <c r="E100" s="1">
        <f>+C100/(C100+D100)</f>
        <v>0.5</v>
      </c>
      <c r="F100" s="2">
        <v>97.8</v>
      </c>
      <c r="G100" s="2">
        <v>97.2</v>
      </c>
      <c r="H100" s="2">
        <f>+F100-G100</f>
        <v>0.59999999999999432</v>
      </c>
      <c r="I100" s="1">
        <f>+(F100^14)/((F100^14+G100^14))</f>
        <v>0.52152521685612041</v>
      </c>
      <c r="J100" s="2">
        <v>103.3</v>
      </c>
      <c r="K100" s="2">
        <v>102.7</v>
      </c>
      <c r="L100" s="2">
        <f>+J100-K100</f>
        <v>0.59999999999999432</v>
      </c>
      <c r="M100" s="1">
        <f>+E100-I100</f>
        <v>-2.152521685612041E-2</v>
      </c>
      <c r="N100" s="2">
        <v>107.7</v>
      </c>
      <c r="O100" s="2">
        <v>94.8</v>
      </c>
      <c r="P100" s="2">
        <f>+N100-O100</f>
        <v>12.900000000000006</v>
      </c>
      <c r="Q100">
        <v>0.7</v>
      </c>
    </row>
    <row r="101" spans="1:17">
      <c r="A101" t="s">
        <v>39</v>
      </c>
      <c r="B101" t="s">
        <v>25</v>
      </c>
      <c r="C101">
        <v>62</v>
      </c>
      <c r="D101">
        <v>20</v>
      </c>
      <c r="E101" s="1">
        <f>+C101/(C101+D101)</f>
        <v>0.75609756097560976</v>
      </c>
      <c r="F101" s="2">
        <v>110.4</v>
      </c>
      <c r="G101" s="2">
        <v>103.3</v>
      </c>
      <c r="H101" s="2">
        <f>+F101-G101</f>
        <v>7.1000000000000085</v>
      </c>
      <c r="I101" s="1">
        <f>+(F101^14)/((F101^14+G101^14))</f>
        <v>0.71720077079913214</v>
      </c>
      <c r="J101" s="2">
        <v>112.7</v>
      </c>
      <c r="K101" s="2">
        <v>105.7</v>
      </c>
      <c r="L101" s="2">
        <f>+J101-K101</f>
        <v>7</v>
      </c>
      <c r="M101" s="1">
        <f>+E101-I101</f>
        <v>3.8896790176477625E-2</v>
      </c>
      <c r="N101" s="2">
        <v>111.8</v>
      </c>
      <c r="O101" s="2">
        <v>98.9</v>
      </c>
      <c r="P101" s="2">
        <f>+N101-O101</f>
        <v>12.899999999999991</v>
      </c>
      <c r="Q101">
        <v>0.3</v>
      </c>
    </row>
    <row r="102" spans="1:17">
      <c r="A102" t="s">
        <v>64</v>
      </c>
      <c r="B102" t="s">
        <v>6</v>
      </c>
      <c r="C102">
        <v>64</v>
      </c>
      <c r="D102">
        <v>18</v>
      </c>
      <c r="E102" s="1">
        <f>+C102/(C102+D102)</f>
        <v>0.78048780487804881</v>
      </c>
      <c r="F102" s="2">
        <v>120.6</v>
      </c>
      <c r="G102" s="2">
        <v>109.2</v>
      </c>
      <c r="H102" s="2">
        <f>+F102-G102</f>
        <v>11.399999999999991</v>
      </c>
      <c r="I102" s="1">
        <f>+(F102^14)/((F102^14+G102^14))</f>
        <v>0.80062019440018317</v>
      </c>
      <c r="J102" s="2">
        <v>122.2</v>
      </c>
      <c r="K102" s="2">
        <v>110.6</v>
      </c>
      <c r="L102" s="2">
        <f>+J102-K102</f>
        <v>11.600000000000009</v>
      </c>
      <c r="M102" s="1">
        <f>+E102-I102</f>
        <v>-2.0132389522134364E-2</v>
      </c>
      <c r="N102" s="2">
        <v>116.8</v>
      </c>
      <c r="O102" s="2">
        <v>103.9</v>
      </c>
      <c r="P102" s="2">
        <f>+N102-O102</f>
        <v>12.899999999999991</v>
      </c>
      <c r="Q102">
        <v>1.9</v>
      </c>
    </row>
    <row r="103" spans="1:17">
      <c r="A103" t="s">
        <v>45</v>
      </c>
      <c r="B103" t="s">
        <v>5</v>
      </c>
      <c r="C103">
        <v>47</v>
      </c>
      <c r="D103">
        <v>35</v>
      </c>
      <c r="E103" s="1">
        <f>+C103/(C103+D103)</f>
        <v>0.57317073170731703</v>
      </c>
      <c r="F103" s="2">
        <v>98.1</v>
      </c>
      <c r="G103" s="2">
        <v>96.5</v>
      </c>
      <c r="H103" s="2">
        <f>+F103-G103</f>
        <v>1.5999999999999943</v>
      </c>
      <c r="I103" s="1">
        <f>+(F103^14)/((F103^14+G103^14))</f>
        <v>0.55730238336398075</v>
      </c>
      <c r="J103" s="2">
        <v>108.3</v>
      </c>
      <c r="K103" s="2">
        <v>106.7</v>
      </c>
      <c r="L103" s="2">
        <f>+J103-K103</f>
        <v>1.5999999999999943</v>
      </c>
      <c r="M103" s="1">
        <f>+E103-I103</f>
        <v>1.586834834333628E-2</v>
      </c>
      <c r="N103" s="2">
        <v>106.7</v>
      </c>
      <c r="O103" s="2">
        <v>93.9</v>
      </c>
      <c r="P103" s="2">
        <f>+N103-O103</f>
        <v>12.799999999999997</v>
      </c>
      <c r="Q103">
        <v>2.1</v>
      </c>
    </row>
    <row r="104" spans="1:17">
      <c r="A104" t="s">
        <v>63</v>
      </c>
      <c r="B104" t="s">
        <v>11</v>
      </c>
      <c r="C104">
        <v>53</v>
      </c>
      <c r="D104">
        <v>29</v>
      </c>
      <c r="E104" s="1">
        <f>+C104/(C104+D104)</f>
        <v>0.64634146341463417</v>
      </c>
      <c r="F104" s="2">
        <v>115.8</v>
      </c>
      <c r="G104" s="2">
        <v>112.5</v>
      </c>
      <c r="H104" s="2">
        <f>+F104-G104</f>
        <v>3.2999999999999972</v>
      </c>
      <c r="I104" s="1">
        <f>+(F104^14)/((F104^14+G104^14))</f>
        <v>0.59983047622888896</v>
      </c>
      <c r="J104" s="2">
        <v>116.8</v>
      </c>
      <c r="K104" s="2">
        <v>113.5</v>
      </c>
      <c r="L104" s="2">
        <f>+J104-K104</f>
        <v>3.2999999999999972</v>
      </c>
      <c r="M104" s="1">
        <f>+E104-I104</f>
        <v>4.6510987185745201E-2</v>
      </c>
      <c r="N104" s="2">
        <v>109.2</v>
      </c>
      <c r="O104" s="2">
        <v>96.5</v>
      </c>
      <c r="P104" s="2">
        <f>+N104-O104</f>
        <v>12.700000000000003</v>
      </c>
      <c r="Q104">
        <v>-0.5</v>
      </c>
    </row>
    <row r="105" spans="1:17">
      <c r="A105" t="s">
        <v>62</v>
      </c>
      <c r="B105" t="s">
        <v>33</v>
      </c>
      <c r="C105">
        <v>35</v>
      </c>
      <c r="D105">
        <v>47</v>
      </c>
      <c r="E105" s="1">
        <f>+C105/(C105+D105)</f>
        <v>0.42682926829268292</v>
      </c>
      <c r="F105" s="2">
        <v>108.6</v>
      </c>
      <c r="G105" s="2">
        <v>112</v>
      </c>
      <c r="H105" s="2">
        <f>+F105-G105</f>
        <v>-3.4000000000000057</v>
      </c>
      <c r="I105" s="1">
        <f>+(F105^14)/((F105^14+G105^14))</f>
        <v>0.39374803277968673</v>
      </c>
      <c r="J105" s="2">
        <v>110.2</v>
      </c>
      <c r="K105" s="2">
        <v>113.6</v>
      </c>
      <c r="L105" s="2">
        <f>+J105-K105</f>
        <v>-3.3999999999999915</v>
      </c>
      <c r="M105" s="1">
        <f>+E105-I105</f>
        <v>3.3081235512996188E-2</v>
      </c>
      <c r="N105" s="2">
        <v>111.5</v>
      </c>
      <c r="O105" s="2">
        <v>98.8</v>
      </c>
      <c r="P105" s="2">
        <f>+N105-O105</f>
        <v>12.700000000000003</v>
      </c>
      <c r="Q105">
        <v>0.5</v>
      </c>
    </row>
    <row r="106" spans="1:17">
      <c r="A106" t="s">
        <v>52</v>
      </c>
      <c r="B106" t="s">
        <v>26</v>
      </c>
      <c r="C106">
        <v>54</v>
      </c>
      <c r="D106">
        <v>28</v>
      </c>
      <c r="E106" s="1">
        <f>+C106/(C106+D106)</f>
        <v>0.65853658536585369</v>
      </c>
      <c r="F106" s="2">
        <v>106.7</v>
      </c>
      <c r="G106" s="2">
        <v>102.8</v>
      </c>
      <c r="H106" s="2">
        <f>+F106-G106</f>
        <v>3.9000000000000057</v>
      </c>
      <c r="I106" s="1">
        <f>+(F106^14)/((F106^14+G106^14))</f>
        <v>0.62745199732003099</v>
      </c>
      <c r="J106" s="2">
        <v>110.4</v>
      </c>
      <c r="K106" s="2">
        <v>106.2</v>
      </c>
      <c r="L106" s="2">
        <f>+J106-K106</f>
        <v>4.2000000000000028</v>
      </c>
      <c r="M106" s="1">
        <f>+E106-I106</f>
        <v>3.1084588045822703E-2</v>
      </c>
      <c r="N106" s="2">
        <v>113.7</v>
      </c>
      <c r="O106" s="2">
        <v>101</v>
      </c>
      <c r="P106" s="2">
        <f>+N106-O106</f>
        <v>12.700000000000003</v>
      </c>
      <c r="Q106">
        <v>0.6</v>
      </c>
    </row>
    <row r="107" spans="1:17">
      <c r="A107" t="s">
        <v>50</v>
      </c>
      <c r="B107" t="s">
        <v>17</v>
      </c>
      <c r="C107">
        <v>45</v>
      </c>
      <c r="D107">
        <v>37</v>
      </c>
      <c r="E107" s="1">
        <f>+C107/(C107+D107)</f>
        <v>0.54878048780487809</v>
      </c>
      <c r="F107" s="2">
        <v>102.2</v>
      </c>
      <c r="G107" s="2">
        <v>101</v>
      </c>
      <c r="H107" s="2">
        <f>+F107-G107</f>
        <v>1.2000000000000028</v>
      </c>
      <c r="I107" s="1">
        <f>+(F107^14)/((F107^14+G107^14))</f>
        <v>0.54124512665476499</v>
      </c>
      <c r="J107" s="2">
        <v>107</v>
      </c>
      <c r="K107" s="2">
        <v>105.9</v>
      </c>
      <c r="L107" s="2">
        <f>+J107-K107</f>
        <v>1.0999999999999943</v>
      </c>
      <c r="M107" s="1">
        <f>+E107-I107</f>
        <v>7.5353611501131068E-3</v>
      </c>
      <c r="N107" s="2">
        <v>104.3</v>
      </c>
      <c r="O107" s="2">
        <v>91.6</v>
      </c>
      <c r="P107" s="2">
        <f>+N107-O107</f>
        <v>12.700000000000003</v>
      </c>
      <c r="Q107">
        <v>1.4</v>
      </c>
    </row>
    <row r="108" spans="1:17">
      <c r="A108" t="s">
        <v>43</v>
      </c>
      <c r="B108" t="s">
        <v>12</v>
      </c>
      <c r="C108">
        <v>53</v>
      </c>
      <c r="D108">
        <v>29</v>
      </c>
      <c r="E108" s="1">
        <f>+C108/(C108+D108)</f>
        <v>0.64634146341463417</v>
      </c>
      <c r="F108" s="2">
        <v>96</v>
      </c>
      <c r="G108" s="2">
        <v>91.8</v>
      </c>
      <c r="H108" s="2">
        <f>+F108-G108</f>
        <v>4.2000000000000028</v>
      </c>
      <c r="I108" s="1">
        <f>+(F108^14)/((F108^14+G108^14))</f>
        <v>0.65165059639805156</v>
      </c>
      <c r="J108" s="2">
        <v>107.4</v>
      </c>
      <c r="K108" s="2">
        <v>102.6</v>
      </c>
      <c r="L108" s="2">
        <f>+J108-K108</f>
        <v>4.8000000000000114</v>
      </c>
      <c r="M108" s="1">
        <f>+E108-I108</f>
        <v>-5.3091329834173973E-3</v>
      </c>
      <c r="N108" s="2">
        <v>113.9</v>
      </c>
      <c r="O108" s="2">
        <v>101.2</v>
      </c>
      <c r="P108" s="2">
        <f>+N108-O108</f>
        <v>12.700000000000003</v>
      </c>
      <c r="Q108">
        <v>1.5</v>
      </c>
    </row>
    <row r="109" spans="1:17">
      <c r="A109" t="s">
        <v>47</v>
      </c>
      <c r="B109" t="s">
        <v>30</v>
      </c>
      <c r="C109">
        <v>40</v>
      </c>
      <c r="D109">
        <v>42</v>
      </c>
      <c r="E109" s="1">
        <f>+C109/(C109+D109)</f>
        <v>0.48780487804878048</v>
      </c>
      <c r="F109" s="2">
        <v>104.1</v>
      </c>
      <c r="G109" s="2">
        <v>105.9</v>
      </c>
      <c r="H109" s="2">
        <f>+F109-G109</f>
        <v>-1.8000000000000114</v>
      </c>
      <c r="I109" s="1">
        <f>+(F109^14)/((F109^14+G109^14))</f>
        <v>0.44028490223940814</v>
      </c>
      <c r="J109" s="2">
        <v>110.2</v>
      </c>
      <c r="K109" s="2">
        <v>112.2</v>
      </c>
      <c r="L109" s="2">
        <f>+J109-K109</f>
        <v>-2</v>
      </c>
      <c r="M109" s="1">
        <f>+E109-I109</f>
        <v>4.7519975809372339E-2</v>
      </c>
      <c r="N109" s="2">
        <v>114.5</v>
      </c>
      <c r="O109" s="2">
        <v>101.9</v>
      </c>
      <c r="P109" s="2">
        <f>+N109-O109</f>
        <v>12.599999999999994</v>
      </c>
      <c r="Q109">
        <v>-0.5</v>
      </c>
    </row>
    <row r="110" spans="1:17">
      <c r="A110" t="s">
        <v>60</v>
      </c>
      <c r="B110" t="s">
        <v>31</v>
      </c>
      <c r="C110">
        <v>44</v>
      </c>
      <c r="D110">
        <v>28</v>
      </c>
      <c r="E110" s="1">
        <f>+C110/(C110+D110)</f>
        <v>0.61111111111111116</v>
      </c>
      <c r="F110" s="2">
        <v>111.3</v>
      </c>
      <c r="G110" s="2">
        <v>108.8</v>
      </c>
      <c r="H110" s="2">
        <f>+F110-G110</f>
        <v>2.5</v>
      </c>
      <c r="I110" s="1">
        <f>+(F110^14)/((F110^14+G110^14))</f>
        <v>0.57884917653720358</v>
      </c>
      <c r="J110" s="2">
        <v>111.8</v>
      </c>
      <c r="K110" s="2">
        <v>109.3</v>
      </c>
      <c r="L110" s="2">
        <f>+J110-K110</f>
        <v>2.5</v>
      </c>
      <c r="M110" s="1">
        <f>+E110-I110</f>
        <v>3.226193457390758E-2</v>
      </c>
      <c r="N110" s="2">
        <v>112.8</v>
      </c>
      <c r="O110" s="2">
        <v>100.3</v>
      </c>
      <c r="P110" s="2">
        <f>+N110-O110</f>
        <v>12.5</v>
      </c>
      <c r="Q110">
        <v>0.1</v>
      </c>
    </row>
    <row r="111" spans="1:17">
      <c r="A111" t="s">
        <v>52</v>
      </c>
      <c r="B111" t="s">
        <v>10</v>
      </c>
      <c r="C111">
        <v>49</v>
      </c>
      <c r="D111">
        <v>33</v>
      </c>
      <c r="E111" s="1">
        <f>+C111/(C111+D111)</f>
        <v>0.59756097560975607</v>
      </c>
      <c r="F111" s="2">
        <v>104.8</v>
      </c>
      <c r="G111" s="2">
        <v>102.4</v>
      </c>
      <c r="H111" s="2">
        <f>+F111-G111</f>
        <v>2.3999999999999915</v>
      </c>
      <c r="I111" s="1">
        <f>+(F111^14)/((F111^14+G111^14))</f>
        <v>0.58038129278939099</v>
      </c>
      <c r="J111" s="2">
        <v>109.5</v>
      </c>
      <c r="K111" s="2">
        <v>107.2</v>
      </c>
      <c r="L111" s="2">
        <f>+J111-K111</f>
        <v>2.2999999999999972</v>
      </c>
      <c r="M111" s="1">
        <f>+E111-I111</f>
        <v>1.7179682820365083E-2</v>
      </c>
      <c r="N111" s="2">
        <v>110.6</v>
      </c>
      <c r="O111" s="2">
        <v>98.1</v>
      </c>
      <c r="P111" s="2">
        <f>+N111-O111</f>
        <v>12.5</v>
      </c>
      <c r="Q111">
        <v>0.7</v>
      </c>
    </row>
    <row r="112" spans="1:17">
      <c r="A112" t="s">
        <v>45</v>
      </c>
      <c r="B112" t="s">
        <v>24</v>
      </c>
      <c r="C112">
        <v>41</v>
      </c>
      <c r="D112">
        <v>41</v>
      </c>
      <c r="E112" s="1">
        <f>+C112/(C112+D112)</f>
        <v>0.5</v>
      </c>
      <c r="F112" s="2">
        <v>97.4</v>
      </c>
      <c r="G112" s="2">
        <v>97.3</v>
      </c>
      <c r="H112" s="2">
        <f>+F112-G112</f>
        <v>0.10000000000000853</v>
      </c>
      <c r="I112" s="1">
        <f>+(F112^14)/((F112^14+G112^14))</f>
        <v>0.50359521313575439</v>
      </c>
      <c r="J112" s="2">
        <v>106.3</v>
      </c>
      <c r="K112" s="2">
        <v>106.1</v>
      </c>
      <c r="L112" s="2">
        <f>+J112-K112</f>
        <v>0.20000000000000284</v>
      </c>
      <c r="M112" s="1">
        <f>+E112-I112</f>
        <v>-3.5952131357543937E-3</v>
      </c>
      <c r="N112" s="2">
        <v>109.6</v>
      </c>
      <c r="O112" s="2">
        <v>97.1</v>
      </c>
      <c r="P112" s="2">
        <f>+N112-O112</f>
        <v>12.5</v>
      </c>
      <c r="Q112">
        <v>0</v>
      </c>
    </row>
    <row r="113" spans="1:17">
      <c r="A113" t="s">
        <v>66</v>
      </c>
      <c r="B113" t="s">
        <v>28</v>
      </c>
      <c r="C113">
        <v>45</v>
      </c>
      <c r="D113">
        <v>17</v>
      </c>
      <c r="E113" s="1">
        <f>+C113/(C113+D113)</f>
        <v>0.72580645161290325</v>
      </c>
      <c r="F113" s="2">
        <v>118.3</v>
      </c>
      <c r="G113" s="2">
        <v>111.4</v>
      </c>
      <c r="H113" s="2">
        <f>+F113-G113</f>
        <v>6.8999999999999915</v>
      </c>
      <c r="I113" s="1">
        <f>+(F113^14)/((F113^14+G113^14))</f>
        <v>0.69874950937248992</v>
      </c>
      <c r="J113" s="2">
        <v>117.3</v>
      </c>
      <c r="K113" s="2">
        <v>110.2</v>
      </c>
      <c r="L113" s="2">
        <f>+J113-K113</f>
        <v>7.0999999999999943</v>
      </c>
      <c r="M113" s="1">
        <f>+E113-I113</f>
        <v>2.7056942240413329E-2</v>
      </c>
      <c r="N113" s="2">
        <v>128.19999999999999</v>
      </c>
      <c r="O113" s="2">
        <v>115.8</v>
      </c>
      <c r="P113" s="2">
        <f>+N113-O113</f>
        <v>12.399999999999991</v>
      </c>
      <c r="Q113" s="2">
        <v>1.3</v>
      </c>
    </row>
    <row r="114" spans="1:17">
      <c r="A114" t="s">
        <v>63</v>
      </c>
      <c r="B114" t="s">
        <v>27</v>
      </c>
      <c r="C114">
        <v>48</v>
      </c>
      <c r="D114">
        <v>34</v>
      </c>
      <c r="E114" s="1">
        <f>+C114/(C114+D114)</f>
        <v>0.58536585365853655</v>
      </c>
      <c r="F114" s="2">
        <v>120.7</v>
      </c>
      <c r="G114" s="2">
        <v>118.1</v>
      </c>
      <c r="H114" s="2">
        <f>+F114-G114</f>
        <v>2.6000000000000085</v>
      </c>
      <c r="I114" s="1">
        <f>+(F114^14)/((F114^14+G114^14))</f>
        <v>0.57563251403873306</v>
      </c>
      <c r="J114" s="2">
        <v>118.6</v>
      </c>
      <c r="K114" s="2">
        <v>116</v>
      </c>
      <c r="L114" s="2">
        <f>+J114-K114</f>
        <v>2.5999999999999943</v>
      </c>
      <c r="M114" s="1">
        <f>+E114-I114</f>
        <v>9.7333396198034938E-3</v>
      </c>
      <c r="N114" s="2">
        <v>129.19999999999999</v>
      </c>
      <c r="O114" s="2">
        <v>116.8</v>
      </c>
      <c r="P114" s="2">
        <f>+N114-O114</f>
        <v>12.399999999999991</v>
      </c>
      <c r="Q114">
        <v>0.9</v>
      </c>
    </row>
    <row r="115" spans="1:17">
      <c r="A115" t="s">
        <v>41</v>
      </c>
      <c r="B115" t="s">
        <v>28</v>
      </c>
      <c r="C115">
        <v>63</v>
      </c>
      <c r="D115">
        <v>19</v>
      </c>
      <c r="E115" s="1">
        <f>+C115/(C115+D115)</f>
        <v>0.76829268292682928</v>
      </c>
      <c r="F115" s="2">
        <v>95.6</v>
      </c>
      <c r="G115" s="2">
        <v>88.8</v>
      </c>
      <c r="H115" s="2">
        <f>+F115-G115</f>
        <v>6.7999999999999972</v>
      </c>
      <c r="I115" s="1">
        <f>+(F115^14)/((F115^14+G115^14))</f>
        <v>0.7374983301821354</v>
      </c>
      <c r="J115" s="2">
        <v>106.2</v>
      </c>
      <c r="K115" s="2">
        <v>98.7</v>
      </c>
      <c r="L115" s="2">
        <f>+J115-K115</f>
        <v>7.5</v>
      </c>
      <c r="M115" s="1">
        <f>+E115-I115</f>
        <v>3.0794352744693887E-2</v>
      </c>
      <c r="N115" s="2">
        <v>102.1</v>
      </c>
      <c r="O115" s="2">
        <v>89.8</v>
      </c>
      <c r="P115" s="2">
        <f>+N115-O115</f>
        <v>12.299999999999997</v>
      </c>
      <c r="Q115">
        <v>0.2</v>
      </c>
    </row>
    <row r="116" spans="1:17">
      <c r="A116" t="s">
        <v>45</v>
      </c>
      <c r="B116" t="s">
        <v>6</v>
      </c>
      <c r="C116">
        <v>62</v>
      </c>
      <c r="D116">
        <v>20</v>
      </c>
      <c r="E116" s="1">
        <f>+C116/(C116+D116)</f>
        <v>0.75609756097560976</v>
      </c>
      <c r="F116" s="2">
        <v>100.9</v>
      </c>
      <c r="G116" s="2">
        <v>93.4</v>
      </c>
      <c r="H116" s="2">
        <f>+F116-G116</f>
        <v>7.5</v>
      </c>
      <c r="I116" s="1">
        <f>+(F116^14)/((F116^14+G116^14))</f>
        <v>0.74674751044772081</v>
      </c>
      <c r="J116" s="2">
        <v>109.5</v>
      </c>
      <c r="K116" s="2">
        <v>101.6</v>
      </c>
      <c r="L116" s="2">
        <f>+J116-K116</f>
        <v>7.9000000000000057</v>
      </c>
      <c r="M116" s="1">
        <f>+E116-I116</f>
        <v>9.3500505278889534E-3</v>
      </c>
      <c r="N116" s="2">
        <v>113.7</v>
      </c>
      <c r="O116" s="2">
        <v>101.4</v>
      </c>
      <c r="P116" s="2">
        <f>+N116-O116</f>
        <v>12.299999999999997</v>
      </c>
      <c r="Q116">
        <v>0.5</v>
      </c>
    </row>
    <row r="117" spans="1:17">
      <c r="A117" t="s">
        <v>39</v>
      </c>
      <c r="B117" t="s">
        <v>20</v>
      </c>
      <c r="C117">
        <v>44</v>
      </c>
      <c r="D117">
        <v>38</v>
      </c>
      <c r="E117" s="1">
        <f>+C117/(C117+D117)</f>
        <v>0.53658536585365857</v>
      </c>
      <c r="F117" s="2">
        <v>96.8</v>
      </c>
      <c r="G117" s="2">
        <v>95.3</v>
      </c>
      <c r="H117" s="2">
        <f>+F117-G117</f>
        <v>1.5</v>
      </c>
      <c r="I117" s="1">
        <f>+(F117^14)/((F117^14+G117^14))</f>
        <v>0.55444343215777947</v>
      </c>
      <c r="J117" s="2">
        <v>106.6</v>
      </c>
      <c r="K117" s="2">
        <v>105</v>
      </c>
      <c r="L117" s="2">
        <f>+J117-K117</f>
        <v>1.5999999999999943</v>
      </c>
      <c r="M117" s="1">
        <f>+E117-I117</f>
        <v>-1.7858066304120901E-2</v>
      </c>
      <c r="N117" s="2">
        <v>111.9</v>
      </c>
      <c r="O117" s="2">
        <v>99.7</v>
      </c>
      <c r="P117" s="2">
        <f>+N117-O117</f>
        <v>12.200000000000003</v>
      </c>
      <c r="Q117">
        <v>0.5</v>
      </c>
    </row>
    <row r="118" spans="1:17">
      <c r="A118" t="s">
        <v>34</v>
      </c>
      <c r="B118" t="s">
        <v>26</v>
      </c>
      <c r="C118">
        <v>49</v>
      </c>
      <c r="D118">
        <v>33</v>
      </c>
      <c r="E118" s="1">
        <f>+C118/(C118+D118)</f>
        <v>0.59756097560975607</v>
      </c>
      <c r="F118" s="2">
        <v>96.6</v>
      </c>
      <c r="G118" s="2">
        <v>93.7</v>
      </c>
      <c r="H118" s="2">
        <f>+F118-G118</f>
        <v>2.8999999999999915</v>
      </c>
      <c r="I118" s="1">
        <f>+(F118^14)/((F118^14+G118^14))</f>
        <v>0.60509200990048839</v>
      </c>
      <c r="J118" s="2">
        <v>105.9</v>
      </c>
      <c r="K118" s="2">
        <v>102.6</v>
      </c>
      <c r="L118" s="2">
        <f>+J118-K118</f>
        <v>3.3000000000000114</v>
      </c>
      <c r="M118" s="1">
        <f>+E118-I118</f>
        <v>-7.5310342907323191E-3</v>
      </c>
      <c r="N118" s="2">
        <v>111.7</v>
      </c>
      <c r="O118" s="2">
        <v>99.7</v>
      </c>
      <c r="P118" s="2">
        <f>+N118-O118</f>
        <v>12</v>
      </c>
      <c r="Q118">
        <v>-0.2</v>
      </c>
    </row>
    <row r="119" spans="1:17">
      <c r="A119" t="s">
        <v>59</v>
      </c>
      <c r="B119" t="s">
        <v>11</v>
      </c>
      <c r="C119">
        <v>54</v>
      </c>
      <c r="D119">
        <v>28</v>
      </c>
      <c r="E119" s="1">
        <f>+C119/(C119+D119)</f>
        <v>0.65853658536585369</v>
      </c>
      <c r="F119" s="2">
        <v>110.7</v>
      </c>
      <c r="G119" s="2">
        <v>106.7</v>
      </c>
      <c r="H119" s="2">
        <f>+F119-G119</f>
        <v>4</v>
      </c>
      <c r="I119" s="1">
        <f>+(F119^14)/((F119^14+G119^14))</f>
        <v>0.62603347117131569</v>
      </c>
      <c r="J119" s="2">
        <v>112.1</v>
      </c>
      <c r="K119" s="2">
        <v>108.1</v>
      </c>
      <c r="L119" s="2">
        <f>+J119-K119</f>
        <v>4</v>
      </c>
      <c r="M119" s="1">
        <f>+E119-I119</f>
        <v>3.2503114194537996E-2</v>
      </c>
      <c r="N119" s="2">
        <v>106.7</v>
      </c>
      <c r="O119" s="2">
        <v>94.9</v>
      </c>
      <c r="P119" s="2">
        <f>+N119-O119</f>
        <v>11.799999999999997</v>
      </c>
      <c r="Q119">
        <v>1.6</v>
      </c>
    </row>
    <row r="120" spans="1:17">
      <c r="A120" t="s">
        <v>64</v>
      </c>
      <c r="B120" t="s">
        <v>31</v>
      </c>
      <c r="C120">
        <v>31</v>
      </c>
      <c r="D120">
        <v>51</v>
      </c>
      <c r="E120" s="1">
        <f>+C120/(C120+D120)</f>
        <v>0.37804878048780488</v>
      </c>
      <c r="F120" s="2">
        <v>115.7</v>
      </c>
      <c r="G120" s="2">
        <v>120.5</v>
      </c>
      <c r="H120" s="2">
        <f>+F120-G120</f>
        <v>-4.7999999999999972</v>
      </c>
      <c r="I120" s="1">
        <f>+(F120^14)/((F120^14+G120^14))</f>
        <v>0.36144736866912885</v>
      </c>
      <c r="J120" s="2">
        <v>114.5</v>
      </c>
      <c r="K120" s="2">
        <v>119.6</v>
      </c>
      <c r="L120" s="2">
        <f>+J120-K120</f>
        <v>-5.0999999999999943</v>
      </c>
      <c r="M120" s="1">
        <f>+E120-I120</f>
        <v>1.6601411818676026E-2</v>
      </c>
      <c r="N120" s="2">
        <v>116.1</v>
      </c>
      <c r="O120" s="2">
        <v>104.3</v>
      </c>
      <c r="P120" s="2">
        <f>+N120-O120</f>
        <v>11.799999999999997</v>
      </c>
      <c r="Q120">
        <v>0.2</v>
      </c>
    </row>
    <row r="121" spans="1:17">
      <c r="A121" t="s">
        <v>52</v>
      </c>
      <c r="B121" t="s">
        <v>16</v>
      </c>
      <c r="C121">
        <v>57</v>
      </c>
      <c r="D121">
        <v>25</v>
      </c>
      <c r="E121" s="1">
        <f>+C121/(C121+D121)</f>
        <v>0.69512195121951215</v>
      </c>
      <c r="F121" s="2">
        <v>107.9</v>
      </c>
      <c r="G121" s="2">
        <v>101</v>
      </c>
      <c r="H121" s="2">
        <f>+F121-G121</f>
        <v>6.9000000000000057</v>
      </c>
      <c r="I121" s="1">
        <f>+(F121^14)/((F121^14+G121^14))</f>
        <v>0.71609658806886933</v>
      </c>
      <c r="J121" s="2">
        <v>111.3</v>
      </c>
      <c r="K121" s="2">
        <v>104</v>
      </c>
      <c r="L121" s="2">
        <f>+J121-K121</f>
        <v>7.2999999999999972</v>
      </c>
      <c r="M121" s="1">
        <f>+E121-I121</f>
        <v>-2.0974636849357187E-2</v>
      </c>
      <c r="N121" s="2">
        <v>111.8</v>
      </c>
      <c r="O121" s="2">
        <v>100</v>
      </c>
      <c r="P121" s="2">
        <f>+N121-O121</f>
        <v>11.799999999999997</v>
      </c>
      <c r="Q121">
        <v>1.6</v>
      </c>
    </row>
    <row r="122" spans="1:17">
      <c r="A122" t="s">
        <v>54</v>
      </c>
      <c r="B122" t="s">
        <v>18</v>
      </c>
      <c r="C122">
        <v>37</v>
      </c>
      <c r="D122">
        <v>45</v>
      </c>
      <c r="E122" s="1">
        <f>+C122/(C122+D122)</f>
        <v>0.45121951219512196</v>
      </c>
      <c r="F122" s="2">
        <v>94.7</v>
      </c>
      <c r="G122" s="2">
        <v>97.3</v>
      </c>
      <c r="H122" s="2">
        <f>+F122-G122</f>
        <v>-2.5999999999999943</v>
      </c>
      <c r="I122" s="1">
        <f>+(F122^14)/((F122^14+G122^14))</f>
        <v>0.40632231121075763</v>
      </c>
      <c r="J122" s="2">
        <v>103.2</v>
      </c>
      <c r="K122" s="2">
        <v>106.1</v>
      </c>
      <c r="L122" s="2">
        <f>+J122-K122</f>
        <v>-2.8999999999999915</v>
      </c>
      <c r="M122" s="1">
        <f>+E122-I122</f>
        <v>4.4897200984364338E-2</v>
      </c>
      <c r="N122" s="2">
        <v>102.9</v>
      </c>
      <c r="O122" s="2">
        <v>91.3</v>
      </c>
      <c r="P122" s="2">
        <f>+N122-O122</f>
        <v>11.600000000000009</v>
      </c>
      <c r="Q122">
        <v>-1.1000000000000001</v>
      </c>
    </row>
    <row r="123" spans="1:17">
      <c r="A123" t="s">
        <v>50</v>
      </c>
      <c r="B123" t="s">
        <v>15</v>
      </c>
      <c r="C123">
        <v>49</v>
      </c>
      <c r="D123">
        <v>32</v>
      </c>
      <c r="E123" s="1">
        <f>+C123/(C123+D123)</f>
        <v>0.60493827160493829</v>
      </c>
      <c r="F123" s="2">
        <v>94.7</v>
      </c>
      <c r="G123" s="2">
        <v>90.7</v>
      </c>
      <c r="H123" s="2">
        <f>+F123-G123</f>
        <v>4</v>
      </c>
      <c r="I123" s="1">
        <f>+(F123^14)/((F123^14+G123^14))</f>
        <v>0.64661501230862617</v>
      </c>
      <c r="J123" s="2">
        <v>103.4</v>
      </c>
      <c r="K123" s="2">
        <v>99</v>
      </c>
      <c r="L123" s="2">
        <f>+J123-K123</f>
        <v>4.4000000000000057</v>
      </c>
      <c r="M123" s="1">
        <f>+E123-I123</f>
        <v>-4.1676740703687876E-2</v>
      </c>
      <c r="N123" s="2">
        <v>97.6</v>
      </c>
      <c r="O123" s="2">
        <v>86</v>
      </c>
      <c r="P123" s="2">
        <f>+N123-O123</f>
        <v>11.599999999999994</v>
      </c>
      <c r="Q123">
        <v>0.2</v>
      </c>
    </row>
    <row r="124" spans="1:17">
      <c r="A124" t="s">
        <v>50</v>
      </c>
      <c r="B124" t="s">
        <v>11</v>
      </c>
      <c r="C124">
        <v>57</v>
      </c>
      <c r="D124">
        <v>25</v>
      </c>
      <c r="E124" s="1">
        <f>+C124/(C124+D124)</f>
        <v>0.69512195121951215</v>
      </c>
      <c r="F124" s="2">
        <v>106.1</v>
      </c>
      <c r="G124" s="2">
        <v>101.1</v>
      </c>
      <c r="H124" s="2">
        <f>+F124-G124</f>
        <v>5</v>
      </c>
      <c r="I124" s="1">
        <f>+(F124^14)/((F124^14+G124^14))</f>
        <v>0.66280219358548198</v>
      </c>
      <c r="J124" s="2">
        <v>109.3</v>
      </c>
      <c r="K124" s="2">
        <v>104.2</v>
      </c>
      <c r="L124" s="2">
        <f>+J124-K124</f>
        <v>5.0999999999999943</v>
      </c>
      <c r="M124" s="1">
        <f>+E124-I124</f>
        <v>3.2319757634030166E-2</v>
      </c>
      <c r="N124" s="2">
        <v>107.2</v>
      </c>
      <c r="O124" s="2">
        <v>95.7</v>
      </c>
      <c r="P124" s="2">
        <f>+N124-O124</f>
        <v>11.5</v>
      </c>
      <c r="Q124">
        <v>1.4</v>
      </c>
    </row>
    <row r="125" spans="1:17">
      <c r="A125" t="s">
        <v>61</v>
      </c>
      <c r="B125" t="s">
        <v>22</v>
      </c>
      <c r="C125">
        <v>41</v>
      </c>
      <c r="D125">
        <v>31</v>
      </c>
      <c r="E125" s="1">
        <f>+C125/(C125+D125)</f>
        <v>0.56944444444444442</v>
      </c>
      <c r="F125" s="2">
        <v>107</v>
      </c>
      <c r="G125" s="2">
        <v>104.7</v>
      </c>
      <c r="H125" s="2">
        <f>+F125-G125</f>
        <v>2.2999999999999972</v>
      </c>
      <c r="I125" s="1">
        <f>+(F125^14)/((F125^14+G125^14))</f>
        <v>0.57547283603033039</v>
      </c>
      <c r="J125" s="2">
        <v>110.2</v>
      </c>
      <c r="K125" s="2">
        <v>107.8</v>
      </c>
      <c r="L125" s="2">
        <f>+J125-K125</f>
        <v>2.4000000000000057</v>
      </c>
      <c r="M125" s="1">
        <f>+E125-I125</f>
        <v>-6.0283915858859727E-3</v>
      </c>
      <c r="N125" s="2">
        <v>106.3</v>
      </c>
      <c r="O125" s="2">
        <v>94.8</v>
      </c>
      <c r="P125" s="2">
        <f>+N125-O125</f>
        <v>11.5</v>
      </c>
      <c r="Q125">
        <v>-0.4</v>
      </c>
    </row>
    <row r="126" spans="1:17">
      <c r="A126" t="s">
        <v>64</v>
      </c>
      <c r="B126" t="s">
        <v>46</v>
      </c>
      <c r="C126">
        <v>57</v>
      </c>
      <c r="D126">
        <v>25</v>
      </c>
      <c r="E126" s="1">
        <f>+C126/(C126+D126)</f>
        <v>0.69512195121951215</v>
      </c>
      <c r="F126" s="2">
        <v>120.1</v>
      </c>
      <c r="G126" s="2">
        <v>112.7</v>
      </c>
      <c r="H126" s="2">
        <f>+F126-G126</f>
        <v>7.3999999999999915</v>
      </c>
      <c r="I126" s="1">
        <f>+(F126^14)/((F126^14+G126^14))</f>
        <v>0.70895915812510701</v>
      </c>
      <c r="J126" s="2">
        <v>118.3</v>
      </c>
      <c r="K126" s="2">
        <v>111</v>
      </c>
      <c r="L126" s="2">
        <f>+J126-K126</f>
        <v>7.2999999999999972</v>
      </c>
      <c r="M126" s="1">
        <f>+E126-I126</f>
        <v>-1.3837206905594868E-2</v>
      </c>
      <c r="N126" s="2">
        <v>125.5</v>
      </c>
      <c r="O126" s="2">
        <v>114</v>
      </c>
      <c r="P126" s="2">
        <f>+N126-O126</f>
        <v>11.5</v>
      </c>
      <c r="Q126">
        <v>0.8</v>
      </c>
    </row>
    <row r="127" spans="1:17">
      <c r="A127" t="s">
        <v>55</v>
      </c>
      <c r="B127" t="s">
        <v>35</v>
      </c>
      <c r="C127">
        <v>42</v>
      </c>
      <c r="D127">
        <v>40</v>
      </c>
      <c r="E127" s="1">
        <f>+C127/(C127+D127)</f>
        <v>0.51219512195121952</v>
      </c>
      <c r="F127" s="2">
        <v>99.1</v>
      </c>
      <c r="G127" s="2">
        <v>101.3</v>
      </c>
      <c r="H127" s="2">
        <f>+F127-G127</f>
        <v>-2.2000000000000028</v>
      </c>
      <c r="I127" s="1">
        <f>+(F127^14)/((F127^14+G127^14))</f>
        <v>0.42375008711442541</v>
      </c>
      <c r="J127" s="2">
        <v>104.7</v>
      </c>
      <c r="K127" s="2">
        <v>107.1</v>
      </c>
      <c r="L127" s="2">
        <f>+J127-K127</f>
        <v>-2.3999999999999915</v>
      </c>
      <c r="M127" s="1">
        <f>+E127-I127</f>
        <v>8.8445034836794112E-2</v>
      </c>
      <c r="N127" s="2">
        <v>105.9</v>
      </c>
      <c r="O127" s="2">
        <v>94.5</v>
      </c>
      <c r="P127" s="2">
        <f>+N127-O127</f>
        <v>11.400000000000006</v>
      </c>
      <c r="Q127">
        <v>-0.1</v>
      </c>
    </row>
    <row r="128" spans="1:17">
      <c r="A128" t="s">
        <v>38</v>
      </c>
      <c r="B128" t="s">
        <v>31</v>
      </c>
      <c r="C128">
        <v>42</v>
      </c>
      <c r="D128">
        <v>40</v>
      </c>
      <c r="E128" s="1">
        <f>+C128/(C128+D128)</f>
        <v>0.51219512195121952</v>
      </c>
      <c r="F128" s="2">
        <v>88.7</v>
      </c>
      <c r="G128" s="2">
        <v>89.9</v>
      </c>
      <c r="H128" s="2">
        <f>+F128-G128</f>
        <v>-1.2000000000000028</v>
      </c>
      <c r="I128" s="1">
        <f>+(F128^14)/((F128^14+G128^14))</f>
        <v>0.45310505226104381</v>
      </c>
      <c r="J128" s="2">
        <v>100</v>
      </c>
      <c r="K128" s="2">
        <v>101.3</v>
      </c>
      <c r="L128" s="2">
        <f>+J128-K128</f>
        <v>-1.2999999999999972</v>
      </c>
      <c r="M128" s="1">
        <f>+E128-I128</f>
        <v>5.9090069690175717E-2</v>
      </c>
      <c r="N128" s="2">
        <v>108.6</v>
      </c>
      <c r="O128" s="2">
        <v>97.3</v>
      </c>
      <c r="P128" s="2">
        <f>+N128-O128</f>
        <v>11.299999999999997</v>
      </c>
      <c r="Q128">
        <v>0.3</v>
      </c>
    </row>
    <row r="129" spans="1:17">
      <c r="A129" t="s">
        <v>55</v>
      </c>
      <c r="B129" t="s">
        <v>14</v>
      </c>
      <c r="C129">
        <v>41</v>
      </c>
      <c r="D129">
        <v>41</v>
      </c>
      <c r="E129" s="1">
        <f>+C129/(C129+D129)</f>
        <v>0.5</v>
      </c>
      <c r="F129" s="2">
        <v>106.5</v>
      </c>
      <c r="G129" s="2">
        <v>106.4</v>
      </c>
      <c r="H129" s="2">
        <f>+F129-G129</f>
        <v>9.9999999999994316E-2</v>
      </c>
      <c r="I129" s="1">
        <f>+(F129^14)/((F129^14+G129^14))</f>
        <v>0.50328788145549319</v>
      </c>
      <c r="J129" s="2">
        <v>107.3</v>
      </c>
      <c r="K129" s="2">
        <v>107.3</v>
      </c>
      <c r="L129" s="2">
        <f>+J129-K129</f>
        <v>0</v>
      </c>
      <c r="M129" s="1">
        <f>+E129-I129</f>
        <v>-3.2878814554931912E-3</v>
      </c>
      <c r="N129" s="2">
        <v>107.3</v>
      </c>
      <c r="O129" s="2">
        <v>96</v>
      </c>
      <c r="P129" s="2">
        <f>+N129-O129</f>
        <v>11.299999999999997</v>
      </c>
      <c r="Q129">
        <v>1</v>
      </c>
    </row>
    <row r="130" spans="1:17">
      <c r="A130" t="s">
        <v>41</v>
      </c>
      <c r="B130" t="s">
        <v>12</v>
      </c>
      <c r="C130">
        <v>64</v>
      </c>
      <c r="D130">
        <v>18</v>
      </c>
      <c r="E130" s="1">
        <f>+C130/(C130+D130)</f>
        <v>0.78048780487804881</v>
      </c>
      <c r="F130" s="2">
        <v>96.8</v>
      </c>
      <c r="G130" s="2">
        <v>90.2</v>
      </c>
      <c r="H130" s="2">
        <f>+F130-G130</f>
        <v>6.5999999999999943</v>
      </c>
      <c r="I130" s="1">
        <f>+(F130^14)/((F130^14+G130^14))</f>
        <v>0.72882038739462951</v>
      </c>
      <c r="J130" s="2">
        <v>109.3</v>
      </c>
      <c r="K130" s="2">
        <v>101.7</v>
      </c>
      <c r="L130" s="2">
        <f>+J130-K130</f>
        <v>7.5999999999999943</v>
      </c>
      <c r="M130" s="1">
        <f>+E130-I130</f>
        <v>5.1667417483419298E-2</v>
      </c>
      <c r="N130" s="2">
        <v>111.5</v>
      </c>
      <c r="O130" s="2">
        <v>100.3</v>
      </c>
      <c r="P130" s="2">
        <f>+N130-O130</f>
        <v>11.200000000000003</v>
      </c>
      <c r="Q130">
        <v>0.2</v>
      </c>
    </row>
    <row r="131" spans="1:17">
      <c r="A131" t="s">
        <v>36</v>
      </c>
      <c r="B131" t="s">
        <v>10</v>
      </c>
      <c r="C131">
        <v>60</v>
      </c>
      <c r="D131">
        <v>22</v>
      </c>
      <c r="E131" s="1">
        <f>+C131/(C131+D131)</f>
        <v>0.73170731707317072</v>
      </c>
      <c r="F131" s="2">
        <v>103</v>
      </c>
      <c r="G131" s="2">
        <v>95.2</v>
      </c>
      <c r="H131" s="2">
        <f>+F131-G131</f>
        <v>7.7999999999999972</v>
      </c>
      <c r="I131" s="1">
        <f>+(F131^14)/((F131^14+G131^14))</f>
        <v>0.75072573890804006</v>
      </c>
      <c r="J131" s="2">
        <v>109.3</v>
      </c>
      <c r="K131" s="2">
        <v>101</v>
      </c>
      <c r="L131" s="2">
        <f>+J131-K131</f>
        <v>8.2999999999999972</v>
      </c>
      <c r="M131" s="1">
        <f>+E131-I131</f>
        <v>-1.9018421834869348E-2</v>
      </c>
      <c r="N131" s="2">
        <v>112.2</v>
      </c>
      <c r="O131" s="2">
        <v>101</v>
      </c>
      <c r="P131" s="2">
        <f>+N131-O131</f>
        <v>11.200000000000003</v>
      </c>
      <c r="Q131">
        <v>0.5</v>
      </c>
    </row>
    <row r="132" spans="1:17">
      <c r="A132" t="s">
        <v>65</v>
      </c>
      <c r="B132" t="s">
        <v>46</v>
      </c>
      <c r="C132">
        <v>67</v>
      </c>
      <c r="D132">
        <v>14</v>
      </c>
      <c r="E132" s="1">
        <f>+C132/(C132+D132)</f>
        <v>0.8271604938271605</v>
      </c>
      <c r="F132" s="2">
        <v>120.6</v>
      </c>
      <c r="G132" s="2">
        <v>107.8</v>
      </c>
      <c r="H132" s="2">
        <f>+F132-G132</f>
        <v>12.799999999999997</v>
      </c>
      <c r="I132" s="1">
        <f>+(F132^14)/((F132^14+G132^14))</f>
        <v>0.82790086778629035</v>
      </c>
      <c r="J132" s="2">
        <v>119.3</v>
      </c>
      <c r="K132" s="2">
        <v>106.7</v>
      </c>
      <c r="L132" s="2">
        <f>+J132-K132</f>
        <v>12.599999999999994</v>
      </c>
      <c r="M132" s="1">
        <f>+E132-I132</f>
        <v>-7.4037395912984749E-4</v>
      </c>
      <c r="N132" s="2">
        <v>118.2</v>
      </c>
      <c r="O132" s="2">
        <v>107.1</v>
      </c>
      <c r="P132" s="2">
        <f>+N132-O132</f>
        <v>11.100000000000009</v>
      </c>
      <c r="Q132">
        <v>1.9</v>
      </c>
    </row>
    <row r="133" spans="1:17">
      <c r="A133" t="s">
        <v>39</v>
      </c>
      <c r="B133" t="s">
        <v>18</v>
      </c>
      <c r="C133">
        <v>59</v>
      </c>
      <c r="D133">
        <v>23</v>
      </c>
      <c r="E133" s="1">
        <f>+C133/(C133+D133)</f>
        <v>0.71951219512195119</v>
      </c>
      <c r="F133" s="2">
        <v>101.5</v>
      </c>
      <c r="G133" s="2">
        <v>95</v>
      </c>
      <c r="H133" s="2">
        <f>+F133-G133</f>
        <v>6.5</v>
      </c>
      <c r="I133" s="1">
        <f>+(F133^14)/((F133^14+G133^14))</f>
        <v>0.71637416016050837</v>
      </c>
      <c r="J133" s="2">
        <v>108.9</v>
      </c>
      <c r="K133" s="2">
        <v>102.2</v>
      </c>
      <c r="L133" s="2">
        <f>+J133-K133</f>
        <v>6.7000000000000028</v>
      </c>
      <c r="M133" s="1">
        <f>+E133-I133</f>
        <v>3.138034961442826E-3</v>
      </c>
      <c r="N133" s="2">
        <v>108.8</v>
      </c>
      <c r="O133" s="2">
        <v>97.7</v>
      </c>
      <c r="P133" s="2">
        <f>+N133-O133</f>
        <v>11.099999999999994</v>
      </c>
      <c r="Q133">
        <v>2.4</v>
      </c>
    </row>
    <row r="134" spans="1:17">
      <c r="A134" t="s">
        <v>36</v>
      </c>
      <c r="B134" t="s">
        <v>12</v>
      </c>
      <c r="C134">
        <v>50</v>
      </c>
      <c r="D134">
        <v>32</v>
      </c>
      <c r="E134" s="1">
        <f>+C134/(C134+D134)</f>
        <v>0.6097560975609756</v>
      </c>
      <c r="F134" s="2">
        <v>91.4</v>
      </c>
      <c r="G134" s="2">
        <v>87.7</v>
      </c>
      <c r="H134" s="2">
        <f>+F134-G134</f>
        <v>3.7000000000000028</v>
      </c>
      <c r="I134" s="1">
        <f>+(F134^14)/((F134^14+G134^14))</f>
        <v>0.64072911392339904</v>
      </c>
      <c r="J134" s="2">
        <v>102.4</v>
      </c>
      <c r="K134" s="2">
        <v>98.2</v>
      </c>
      <c r="L134" s="2">
        <f>+J134-K134</f>
        <v>4.2000000000000028</v>
      </c>
      <c r="M134" s="1">
        <f>+E134-I134</f>
        <v>-3.0973016362423444E-2</v>
      </c>
      <c r="N134" s="2">
        <v>103.1</v>
      </c>
      <c r="O134" s="2">
        <v>92</v>
      </c>
      <c r="P134" s="2">
        <f>+N134-O134</f>
        <v>11.099999999999994</v>
      </c>
      <c r="Q134">
        <v>1.6</v>
      </c>
    </row>
    <row r="135" spans="1:17">
      <c r="A135" t="s">
        <v>38</v>
      </c>
      <c r="B135" t="s">
        <v>20</v>
      </c>
      <c r="C135">
        <v>58</v>
      </c>
      <c r="D135">
        <v>24</v>
      </c>
      <c r="E135" s="1">
        <f>+C135/(C135+D135)</f>
        <v>0.70731707317073167</v>
      </c>
      <c r="F135" s="2">
        <v>94.5</v>
      </c>
      <c r="G135" s="2">
        <v>89.1</v>
      </c>
      <c r="H135" s="2">
        <f>+F135-G135</f>
        <v>5.4000000000000057</v>
      </c>
      <c r="I135" s="1">
        <f>+(F135^14)/((F135^14+G135^14))</f>
        <v>0.6950353841239254</v>
      </c>
      <c r="J135" s="2">
        <v>104.2</v>
      </c>
      <c r="K135" s="2">
        <v>98.5</v>
      </c>
      <c r="L135" s="2">
        <f>+J135-K135</f>
        <v>5.7000000000000028</v>
      </c>
      <c r="M135" s="1">
        <f>+E135-I135</f>
        <v>1.2281689046806266E-2</v>
      </c>
      <c r="N135" s="2">
        <v>110.4</v>
      </c>
      <c r="O135" s="2">
        <v>99.4</v>
      </c>
      <c r="P135" s="2">
        <f>+N135-O135</f>
        <v>11</v>
      </c>
      <c r="Q135">
        <v>1.3</v>
      </c>
    </row>
    <row r="136" spans="1:17">
      <c r="A136" t="s">
        <v>61</v>
      </c>
      <c r="B136" t="s">
        <v>17</v>
      </c>
      <c r="C136">
        <v>42</v>
      </c>
      <c r="D136">
        <v>30</v>
      </c>
      <c r="E136" s="1">
        <f>+C136/(C136+D136)</f>
        <v>0.58333333333333337</v>
      </c>
      <c r="F136" s="2">
        <v>109.5</v>
      </c>
      <c r="G136" s="2">
        <v>106.8</v>
      </c>
      <c r="H136" s="2">
        <f>+F136-G136</f>
        <v>2.7000000000000028</v>
      </c>
      <c r="I136" s="1">
        <f>+(F136^14)/((F136^14+G136^14))</f>
        <v>0.58650425971999209</v>
      </c>
      <c r="J136" s="2">
        <v>109.8</v>
      </c>
      <c r="K136" s="2">
        <v>106.8</v>
      </c>
      <c r="L136" s="2">
        <f>+J136-K136</f>
        <v>3</v>
      </c>
      <c r="M136" s="1">
        <f>+E136-I136</f>
        <v>-3.1709263866587234E-3</v>
      </c>
      <c r="N136" s="2">
        <v>110.5</v>
      </c>
      <c r="O136" s="2">
        <v>99.6</v>
      </c>
      <c r="P136" s="2">
        <f>+N136-O136</f>
        <v>10.900000000000006</v>
      </c>
      <c r="Q136">
        <v>1.3</v>
      </c>
    </row>
    <row r="137" spans="1:17">
      <c r="A137" t="s">
        <v>38</v>
      </c>
      <c r="B137" t="s">
        <v>18</v>
      </c>
      <c r="C137">
        <v>42</v>
      </c>
      <c r="D137">
        <v>40</v>
      </c>
      <c r="E137" s="1">
        <f>+C137/(C137+D137)</f>
        <v>0.51219512195121952</v>
      </c>
      <c r="F137" s="2">
        <v>90.3</v>
      </c>
      <c r="G137" s="2">
        <v>89.7</v>
      </c>
      <c r="H137" s="2">
        <f>+F137-G137</f>
        <v>0.59999999999999432</v>
      </c>
      <c r="I137" s="1">
        <f>+(F137^14)/((F137^14+G137^14))</f>
        <v>0.52331649603624697</v>
      </c>
      <c r="J137" s="2">
        <v>100.6</v>
      </c>
      <c r="K137" s="2">
        <v>100.3</v>
      </c>
      <c r="L137" s="2">
        <f>+J137-K137</f>
        <v>0.29999999999999716</v>
      </c>
      <c r="M137" s="1">
        <f>+E137-I137</f>
        <v>-1.1121374085027447E-2</v>
      </c>
      <c r="N137" s="2">
        <v>100</v>
      </c>
      <c r="O137" s="2">
        <v>89.1</v>
      </c>
      <c r="P137" s="2">
        <f>+N137-O137</f>
        <v>10.900000000000006</v>
      </c>
      <c r="Q137">
        <v>0.5</v>
      </c>
    </row>
    <row r="138" spans="1:17">
      <c r="A138" t="s">
        <v>38</v>
      </c>
      <c r="B138" t="s">
        <v>22</v>
      </c>
      <c r="C138">
        <v>39</v>
      </c>
      <c r="D138">
        <v>43</v>
      </c>
      <c r="E138" s="1">
        <f>+C138/(C138+D138)</f>
        <v>0.47560975609756095</v>
      </c>
      <c r="F138" s="2">
        <v>92</v>
      </c>
      <c r="G138" s="2">
        <v>93.5</v>
      </c>
      <c r="H138" s="2">
        <f>+F138-G138</f>
        <v>-1.5</v>
      </c>
      <c r="I138" s="1">
        <f>+(F138^14)/((F138^14+G138^14))</f>
        <v>0.44363558545762971</v>
      </c>
      <c r="J138" s="2">
        <v>99.7</v>
      </c>
      <c r="K138" s="2">
        <v>101.3</v>
      </c>
      <c r="L138" s="2">
        <f>+J138-K138</f>
        <v>-1.5999999999999943</v>
      </c>
      <c r="M138" s="1">
        <f>+E138-I138</f>
        <v>3.1974170639931243E-2</v>
      </c>
      <c r="N138" s="2">
        <v>103.3</v>
      </c>
      <c r="O138" s="2">
        <v>92.4</v>
      </c>
      <c r="P138" s="2">
        <f>+N138-O138</f>
        <v>10.899999999999991</v>
      </c>
      <c r="Q138">
        <v>0.1</v>
      </c>
    </row>
    <row r="139" spans="1:17">
      <c r="A139" t="s">
        <v>39</v>
      </c>
      <c r="B139" t="s">
        <v>11</v>
      </c>
      <c r="C139">
        <v>49</v>
      </c>
      <c r="D139">
        <v>33</v>
      </c>
      <c r="E139" s="1">
        <f>+C139/(C139+D139)</f>
        <v>0.59756097560975607</v>
      </c>
      <c r="F139" s="2">
        <v>99.5</v>
      </c>
      <c r="G139" s="2">
        <v>97.5</v>
      </c>
      <c r="H139" s="2">
        <f>+F139-G139</f>
        <v>2</v>
      </c>
      <c r="I139" s="1">
        <f>+(F139^14)/((F139^14+G139^14))</f>
        <v>0.57059367194887745</v>
      </c>
      <c r="J139" s="2">
        <v>104.7</v>
      </c>
      <c r="K139" s="2">
        <v>102.6</v>
      </c>
      <c r="L139" s="2">
        <f>+J139-K139</f>
        <v>2.1000000000000085</v>
      </c>
      <c r="M139" s="1">
        <f>+E139-I139</f>
        <v>2.6967303660878628E-2</v>
      </c>
      <c r="N139" s="2">
        <v>107.4</v>
      </c>
      <c r="O139" s="2">
        <v>96.7</v>
      </c>
      <c r="P139" s="2">
        <f>+N139-O139</f>
        <v>10.700000000000003</v>
      </c>
      <c r="Q139">
        <v>1.1000000000000001</v>
      </c>
    </row>
    <row r="140" spans="1:17">
      <c r="A140" t="s">
        <v>55</v>
      </c>
      <c r="B140" t="s">
        <v>7</v>
      </c>
      <c r="C140">
        <v>48</v>
      </c>
      <c r="D140">
        <v>34</v>
      </c>
      <c r="E140" s="1">
        <f>+C140/(C140+D140)</f>
        <v>0.58536585365853655</v>
      </c>
      <c r="F140" s="2">
        <v>103.4</v>
      </c>
      <c r="G140" s="2">
        <v>100.7</v>
      </c>
      <c r="H140" s="2">
        <f>+F140-G140</f>
        <v>2.7000000000000028</v>
      </c>
      <c r="I140" s="1">
        <f>+(F140^14)/((F140^14+G140^14))</f>
        <v>0.59156246020875802</v>
      </c>
      <c r="J140" s="2">
        <v>106.4</v>
      </c>
      <c r="K140" s="2">
        <v>103.7</v>
      </c>
      <c r="L140" s="2">
        <f>+J140-K140</f>
        <v>2.7000000000000028</v>
      </c>
      <c r="M140" s="1">
        <f>+E140-I140</f>
        <v>-6.1966065502214729E-3</v>
      </c>
      <c r="N140" s="2">
        <v>106</v>
      </c>
      <c r="O140" s="2">
        <v>95.3</v>
      </c>
      <c r="P140" s="2">
        <f>+N140-O140</f>
        <v>10.700000000000003</v>
      </c>
      <c r="Q140">
        <v>0.6</v>
      </c>
    </row>
    <row r="141" spans="1:17">
      <c r="A141" t="s">
        <v>65</v>
      </c>
      <c r="B141" t="s">
        <v>6</v>
      </c>
      <c r="C141">
        <v>61</v>
      </c>
      <c r="D141">
        <v>21</v>
      </c>
      <c r="E141" s="1">
        <f>+C141/(C141+D141)</f>
        <v>0.74390243902439024</v>
      </c>
      <c r="F141" s="2">
        <v>116.3</v>
      </c>
      <c r="G141" s="2">
        <v>107.2</v>
      </c>
      <c r="H141" s="2">
        <f>+F141-G141</f>
        <v>9.0999999999999943</v>
      </c>
      <c r="I141" s="1">
        <f>+(F141^14)/((F141^14+G141^14))</f>
        <v>0.75780361294366638</v>
      </c>
      <c r="J141" s="2">
        <v>119.5</v>
      </c>
      <c r="K141" s="2">
        <v>110.1</v>
      </c>
      <c r="L141" s="2">
        <f>+J141-K141</f>
        <v>9.4000000000000057</v>
      </c>
      <c r="M141" s="1">
        <f>+E141-I141</f>
        <v>-1.3901173919276144E-2</v>
      </c>
      <c r="N141" s="2">
        <v>120.4</v>
      </c>
      <c r="O141" s="2">
        <v>109.7</v>
      </c>
      <c r="P141" s="2">
        <f>+N141-O141</f>
        <v>10.700000000000003</v>
      </c>
      <c r="Q141">
        <v>0.4</v>
      </c>
    </row>
    <row r="142" spans="1:17">
      <c r="A142" t="s">
        <v>48</v>
      </c>
      <c r="B142" t="s">
        <v>18</v>
      </c>
      <c r="C142">
        <v>58</v>
      </c>
      <c r="D142">
        <v>24</v>
      </c>
      <c r="E142" s="1">
        <f>+C142/(C142+D142)</f>
        <v>0.70731707317073167</v>
      </c>
      <c r="F142" s="2">
        <v>102.1</v>
      </c>
      <c r="G142" s="2">
        <v>94.6</v>
      </c>
      <c r="H142" s="2">
        <f>+F142-G142</f>
        <v>7.5</v>
      </c>
      <c r="I142" s="1">
        <f>+(F142^14)/((F142^14+G142^14))</f>
        <v>0.7442417947513682</v>
      </c>
      <c r="J142" s="2">
        <v>110.6</v>
      </c>
      <c r="K142" s="2">
        <v>102.9</v>
      </c>
      <c r="L142" s="2">
        <f>+J142-K142</f>
        <v>7.6999999999999886</v>
      </c>
      <c r="M142" s="1">
        <f>+E142-I142</f>
        <v>-3.6924721580636533E-2</v>
      </c>
      <c r="N142" s="2">
        <v>113.5</v>
      </c>
      <c r="O142" s="2">
        <v>102.8</v>
      </c>
      <c r="P142" s="2">
        <f>+N142-O142</f>
        <v>10.700000000000003</v>
      </c>
      <c r="Q142">
        <v>1.4</v>
      </c>
    </row>
    <row r="143" spans="1:17">
      <c r="A143" t="s">
        <v>4</v>
      </c>
      <c r="B143" t="s">
        <v>25</v>
      </c>
      <c r="C143">
        <v>51</v>
      </c>
      <c r="D143">
        <v>31</v>
      </c>
      <c r="E143" s="1">
        <f>+C143/(C143+D143)</f>
        <v>0.62195121951219512</v>
      </c>
      <c r="F143" s="2">
        <v>94</v>
      </c>
      <c r="G143" s="2">
        <v>91.8</v>
      </c>
      <c r="H143" s="2">
        <f>+F143-G143</f>
        <v>2.2000000000000028</v>
      </c>
      <c r="I143" s="1">
        <f>+(F143^14)/((F143^14+G143^14))</f>
        <v>0.58213763182578848</v>
      </c>
      <c r="J143" s="2">
        <v>98.9</v>
      </c>
      <c r="K143" s="2">
        <v>96.7</v>
      </c>
      <c r="L143" s="2">
        <f>+J143-K143</f>
        <v>2.2000000000000028</v>
      </c>
      <c r="M143" s="1">
        <f>+E143-I143</f>
        <v>3.9813587686406637E-2</v>
      </c>
      <c r="N143" s="2">
        <v>97.7</v>
      </c>
      <c r="O143" s="2">
        <v>87.1</v>
      </c>
      <c r="P143" s="2">
        <f>+N143-O143</f>
        <v>10.600000000000009</v>
      </c>
      <c r="Q143">
        <v>1.7</v>
      </c>
    </row>
    <row r="144" spans="1:17">
      <c r="A144" t="s">
        <v>39</v>
      </c>
      <c r="B144" t="s">
        <v>35</v>
      </c>
      <c r="C144">
        <v>45</v>
      </c>
      <c r="D144">
        <v>37</v>
      </c>
      <c r="E144" s="1">
        <f>+C144/(C144+D144)</f>
        <v>0.54878048780487809</v>
      </c>
      <c r="F144" s="2">
        <v>93.4</v>
      </c>
      <c r="G144" s="2">
        <v>91.1</v>
      </c>
      <c r="H144" s="2">
        <f>+F144-G144</f>
        <v>2.3000000000000114</v>
      </c>
      <c r="I144" s="1">
        <f>+(F144^14)/((F144^14+G144^14))</f>
        <v>0.58639193476175844</v>
      </c>
      <c r="J144" s="2">
        <v>104.2</v>
      </c>
      <c r="K144" s="2">
        <v>101.5</v>
      </c>
      <c r="L144" s="2">
        <f>+J144-K144</f>
        <v>2.7000000000000028</v>
      </c>
      <c r="M144" s="1">
        <f>+E144-I144</f>
        <v>-3.7611446956880346E-2</v>
      </c>
      <c r="N144" s="2">
        <v>103.9</v>
      </c>
      <c r="O144" s="2">
        <v>93.3</v>
      </c>
      <c r="P144" s="2">
        <f>+N144-O144</f>
        <v>10.600000000000009</v>
      </c>
      <c r="Q144">
        <v>0</v>
      </c>
    </row>
    <row r="145" spans="1:17">
      <c r="A145" t="s">
        <v>48</v>
      </c>
      <c r="B145" t="s">
        <v>37</v>
      </c>
      <c r="C145">
        <v>46</v>
      </c>
      <c r="D145">
        <v>36</v>
      </c>
      <c r="E145" s="1">
        <f>+C145/(C145+D145)</f>
        <v>0.56097560975609762</v>
      </c>
      <c r="F145" s="2">
        <v>94.9</v>
      </c>
      <c r="G145" s="2">
        <v>94</v>
      </c>
      <c r="H145" s="2">
        <f>+F145-G145</f>
        <v>0.90000000000000568</v>
      </c>
      <c r="I145" s="1">
        <f>+(F145^14)/((F145^14+G145^14))</f>
        <v>0.53330185727266632</v>
      </c>
      <c r="J145" s="2">
        <v>105.4</v>
      </c>
      <c r="K145" s="2">
        <v>104.4</v>
      </c>
      <c r="L145" s="2">
        <f>+J145-K145</f>
        <v>1</v>
      </c>
      <c r="M145" s="1">
        <f>+E145-I145</f>
        <v>2.7673752483431291E-2</v>
      </c>
      <c r="N145" s="2">
        <v>101</v>
      </c>
      <c r="O145" s="2">
        <v>90.4</v>
      </c>
      <c r="P145" s="2">
        <f>+N145-O145</f>
        <v>10.599999999999994</v>
      </c>
      <c r="Q145">
        <v>-0.4</v>
      </c>
    </row>
    <row r="146" spans="1:17">
      <c r="A146" t="s">
        <v>36</v>
      </c>
      <c r="B146" t="s">
        <v>17</v>
      </c>
      <c r="C146">
        <v>50</v>
      </c>
      <c r="D146">
        <v>32</v>
      </c>
      <c r="E146" s="1">
        <f>+C146/(C146+D146)</f>
        <v>0.6097560975609756</v>
      </c>
      <c r="F146" s="2">
        <v>100.4</v>
      </c>
      <c r="G146" s="2">
        <v>98</v>
      </c>
      <c r="H146" s="2">
        <f>+F146-G146</f>
        <v>2.4000000000000057</v>
      </c>
      <c r="I146" s="1">
        <f>+(F146^14)/((F146^14+G146^14))</f>
        <v>0.58388106859457733</v>
      </c>
      <c r="J146" s="2">
        <v>105.6</v>
      </c>
      <c r="K146" s="2">
        <v>103.4</v>
      </c>
      <c r="L146" s="2">
        <f>+J146-K146</f>
        <v>2.1999999999999886</v>
      </c>
      <c r="M146" s="1">
        <f>+E146-I146</f>
        <v>2.5875028966398261E-2</v>
      </c>
      <c r="N146" s="2">
        <v>111.5</v>
      </c>
      <c r="O146" s="2">
        <v>100.9</v>
      </c>
      <c r="P146" s="2">
        <f>+N146-O146</f>
        <v>10.599999999999994</v>
      </c>
      <c r="Q146">
        <v>0.5</v>
      </c>
    </row>
    <row r="147" spans="1:17">
      <c r="A147" t="s">
        <v>41</v>
      </c>
      <c r="B147" t="s">
        <v>35</v>
      </c>
      <c r="C147">
        <v>49</v>
      </c>
      <c r="D147">
        <v>33</v>
      </c>
      <c r="E147" s="1">
        <f>+C147/(C147+D147)</f>
        <v>0.59756097560975607</v>
      </c>
      <c r="F147" s="2">
        <v>92.2</v>
      </c>
      <c r="G147" s="2">
        <v>88.5</v>
      </c>
      <c r="H147" s="2">
        <f>+F147-G147</f>
        <v>3.7000000000000028</v>
      </c>
      <c r="I147" s="1">
        <f>+(F147^14)/((F147^14+G147^14))</f>
        <v>0.63954874282349128</v>
      </c>
      <c r="J147" s="2">
        <v>104.5</v>
      </c>
      <c r="K147" s="2">
        <v>100.4</v>
      </c>
      <c r="L147" s="2">
        <f>+J147-K147</f>
        <v>4.0999999999999943</v>
      </c>
      <c r="M147" s="1">
        <f>+E147-I147</f>
        <v>-4.1987767213735205E-2</v>
      </c>
      <c r="N147" s="2">
        <v>106.3</v>
      </c>
      <c r="O147" s="2">
        <v>95.7</v>
      </c>
      <c r="P147" s="2">
        <f>+N147-O147</f>
        <v>10.599999999999994</v>
      </c>
      <c r="Q147">
        <v>-0.3</v>
      </c>
    </row>
    <row r="148" spans="1:17">
      <c r="A148" t="s">
        <v>55</v>
      </c>
      <c r="B148" t="s">
        <v>12</v>
      </c>
      <c r="C148">
        <v>44</v>
      </c>
      <c r="D148">
        <v>38</v>
      </c>
      <c r="E148" s="1">
        <f>+C148/(C148+D148)</f>
        <v>0.53658536585365857</v>
      </c>
      <c r="F148" s="2">
        <v>102</v>
      </c>
      <c r="G148" s="2">
        <v>101.4</v>
      </c>
      <c r="H148" s="2">
        <f>+F148-G148</f>
        <v>0.59999999999999432</v>
      </c>
      <c r="I148" s="1">
        <f>+(F148^14)/((F148^14+G148^14))</f>
        <v>0.52063729627420186</v>
      </c>
      <c r="J148" s="2">
        <v>105.3</v>
      </c>
      <c r="K148" s="2">
        <v>104.9</v>
      </c>
      <c r="L148" s="2">
        <f>+J148-K148</f>
        <v>0.39999999999999147</v>
      </c>
      <c r="M148" s="1">
        <f>+E148-I148</f>
        <v>1.5948069579456714E-2</v>
      </c>
      <c r="N148" s="2">
        <v>104.4</v>
      </c>
      <c r="O148" s="2">
        <v>93.9</v>
      </c>
      <c r="P148" s="2">
        <f>+N148-O148</f>
        <v>10.5</v>
      </c>
      <c r="Q148">
        <v>1.5</v>
      </c>
    </row>
    <row r="149" spans="1:17">
      <c r="A149" t="s">
        <v>62</v>
      </c>
      <c r="B149" t="s">
        <v>30</v>
      </c>
      <c r="C149">
        <v>48</v>
      </c>
      <c r="D149">
        <v>34</v>
      </c>
      <c r="E149" s="1">
        <f>+C149/(C149+D149)</f>
        <v>0.58536585365853655</v>
      </c>
      <c r="F149" s="2">
        <v>109.4</v>
      </c>
      <c r="G149" s="2">
        <v>107.1</v>
      </c>
      <c r="H149" s="2">
        <f>+F149-G149</f>
        <v>2.3000000000000114</v>
      </c>
      <c r="I149" s="1">
        <f>+(F149^14)/((F149^14+G149^14))</f>
        <v>0.57382411075027417</v>
      </c>
      <c r="J149" s="2">
        <v>112.1</v>
      </c>
      <c r="K149" s="2">
        <v>109.9</v>
      </c>
      <c r="L149" s="2">
        <f>+J149-K149</f>
        <v>2.1999999999999886</v>
      </c>
      <c r="M149" s="1">
        <f>+E149-I149</f>
        <v>1.1541742908262376E-2</v>
      </c>
      <c r="N149" s="2">
        <v>112.5</v>
      </c>
      <c r="O149" s="2">
        <v>102</v>
      </c>
      <c r="P149" s="2">
        <f>+N149-O149</f>
        <v>10.5</v>
      </c>
      <c r="Q149">
        <v>1</v>
      </c>
    </row>
    <row r="150" spans="1:17">
      <c r="A150" t="s">
        <v>44</v>
      </c>
      <c r="B150" t="s">
        <v>24</v>
      </c>
      <c r="C150">
        <v>40</v>
      </c>
      <c r="D150">
        <v>42</v>
      </c>
      <c r="E150" s="1">
        <f>+C150/(C150+D150)</f>
        <v>0.48780487804878048</v>
      </c>
      <c r="F150" s="2">
        <v>96.6</v>
      </c>
      <c r="G150" s="2">
        <v>96.2</v>
      </c>
      <c r="H150" s="2">
        <f>+F150-G150</f>
        <v>0.39999999999999147</v>
      </c>
      <c r="I150" s="1">
        <f>+(F150^14)/((F150^14+G150^14))</f>
        <v>0.51451875971750194</v>
      </c>
      <c r="J150" s="2">
        <v>105.1</v>
      </c>
      <c r="K150" s="2">
        <v>104.7</v>
      </c>
      <c r="L150" s="2">
        <f>+J150-K150</f>
        <v>0.39999999999999147</v>
      </c>
      <c r="M150" s="1">
        <f>+E150-I150</f>
        <v>-2.6713881668721462E-2</v>
      </c>
      <c r="N150" s="2">
        <v>102.2</v>
      </c>
      <c r="O150" s="2">
        <v>91.7</v>
      </c>
      <c r="P150" s="2">
        <f>+N150-O150</f>
        <v>10.5</v>
      </c>
      <c r="Q150">
        <v>1.4</v>
      </c>
    </row>
    <row r="151" spans="1:17">
      <c r="A151" t="s">
        <v>49</v>
      </c>
      <c r="B151" t="s">
        <v>18</v>
      </c>
      <c r="C151">
        <v>46</v>
      </c>
      <c r="D151">
        <v>20</v>
      </c>
      <c r="E151" s="1">
        <f>+C151/(C151+D151)</f>
        <v>0.69696969696969702</v>
      </c>
      <c r="F151" s="2">
        <v>98.5</v>
      </c>
      <c r="G151" s="2">
        <v>92.5</v>
      </c>
      <c r="H151" s="2">
        <f>+F151-G151</f>
        <v>6</v>
      </c>
      <c r="I151" s="1">
        <f>+(F151^14)/((F151^14+G151^14))</f>
        <v>0.70679541613451391</v>
      </c>
      <c r="J151" s="2">
        <v>105.6</v>
      </c>
      <c r="K151" s="2">
        <v>99.2</v>
      </c>
      <c r="L151" s="2">
        <f>+J151-K151</f>
        <v>6.3999999999999915</v>
      </c>
      <c r="M151" s="1">
        <f>+E151-I151</f>
        <v>-9.8257191648168929E-3</v>
      </c>
      <c r="N151" s="2">
        <v>100.8</v>
      </c>
      <c r="O151" s="2">
        <v>90.4</v>
      </c>
      <c r="P151" s="2">
        <f>+N151-O151</f>
        <v>10.399999999999991</v>
      </c>
      <c r="Q151">
        <v>0.6</v>
      </c>
    </row>
    <row r="152" spans="1:17">
      <c r="A152" t="s">
        <v>43</v>
      </c>
      <c r="B152" t="s">
        <v>9</v>
      </c>
      <c r="C152">
        <v>50</v>
      </c>
      <c r="D152">
        <v>32</v>
      </c>
      <c r="E152" s="1">
        <f>+C152/(C152+D152)</f>
        <v>0.6097560975609756</v>
      </c>
      <c r="F152" s="2">
        <v>96.8</v>
      </c>
      <c r="G152" s="2">
        <v>92.9</v>
      </c>
      <c r="H152" s="2">
        <f>+F152-G152</f>
        <v>3.8999999999999915</v>
      </c>
      <c r="I152" s="1">
        <f>+(F152^14)/((F152^14+G152^14))</f>
        <v>0.64008356957082357</v>
      </c>
      <c r="J152" s="2">
        <v>104.4</v>
      </c>
      <c r="K152" s="2">
        <v>100.6</v>
      </c>
      <c r="L152" s="2">
        <f>+J152-K152</f>
        <v>3.8000000000000114</v>
      </c>
      <c r="M152" s="1">
        <f>+E152-I152</f>
        <v>-3.0327472009847978E-2</v>
      </c>
      <c r="N152" s="2">
        <v>105.4</v>
      </c>
      <c r="O152" s="2">
        <v>95.1</v>
      </c>
      <c r="P152" s="2">
        <f>+N152-O152</f>
        <v>10.300000000000011</v>
      </c>
      <c r="Q152">
        <v>1.4</v>
      </c>
    </row>
    <row r="153" spans="1:17">
      <c r="A153" t="s">
        <v>41</v>
      </c>
      <c r="B153" t="s">
        <v>21</v>
      </c>
      <c r="C153">
        <v>49</v>
      </c>
      <c r="D153">
        <v>33</v>
      </c>
      <c r="E153" s="1">
        <f>+C153/(C153+D153)</f>
        <v>0.59756097560975607</v>
      </c>
      <c r="F153" s="2">
        <v>93.8</v>
      </c>
      <c r="G153" s="2">
        <v>92.4</v>
      </c>
      <c r="H153" s="2">
        <f>+F153-G153</f>
        <v>1.3999999999999915</v>
      </c>
      <c r="I153" s="1">
        <f>+(F153^14)/((F153^14+G153^14))</f>
        <v>0.55243902579341386</v>
      </c>
      <c r="J153" s="2">
        <v>102.4</v>
      </c>
      <c r="K153" s="2">
        <v>100.9</v>
      </c>
      <c r="L153" s="2">
        <f>+J153-K153</f>
        <v>1.5</v>
      </c>
      <c r="M153" s="1">
        <f>+E153-I153</f>
        <v>4.5121949816342211E-2</v>
      </c>
      <c r="N153" s="2">
        <v>109.2</v>
      </c>
      <c r="O153" s="2">
        <v>99</v>
      </c>
      <c r="P153" s="2">
        <f>+N153-O153</f>
        <v>10.200000000000003</v>
      </c>
      <c r="Q153">
        <v>-0.7</v>
      </c>
    </row>
    <row r="154" spans="1:17">
      <c r="A154" t="s">
        <v>44</v>
      </c>
      <c r="B154" t="s">
        <v>28</v>
      </c>
      <c r="C154">
        <v>56</v>
      </c>
      <c r="D154">
        <v>26</v>
      </c>
      <c r="E154" s="1">
        <f>+C154/(C154+D154)</f>
        <v>0.68292682926829273</v>
      </c>
      <c r="F154" s="2">
        <v>95.4</v>
      </c>
      <c r="G154" s="2">
        <v>90.6</v>
      </c>
      <c r="H154" s="2">
        <f>+F154-G154</f>
        <v>4.8000000000000114</v>
      </c>
      <c r="I154" s="1">
        <f>+(F154^14)/((F154^14+G154^14))</f>
        <v>0.6732103435940866</v>
      </c>
      <c r="J154" s="2">
        <v>106</v>
      </c>
      <c r="K154" s="2">
        <v>100.7</v>
      </c>
      <c r="L154" s="2">
        <f>+J154-K154</f>
        <v>5.2999999999999972</v>
      </c>
      <c r="M154" s="1">
        <f>+E154-I154</f>
        <v>9.7164856742061323E-3</v>
      </c>
      <c r="N154" s="2">
        <v>110.6</v>
      </c>
      <c r="O154" s="2">
        <v>100.4</v>
      </c>
      <c r="P154" s="2">
        <f>+N154-O154</f>
        <v>10.199999999999989</v>
      </c>
      <c r="Q154">
        <v>1</v>
      </c>
    </row>
    <row r="155" spans="1:17">
      <c r="A155" t="s">
        <v>57</v>
      </c>
      <c r="B155" t="s">
        <v>6</v>
      </c>
      <c r="C155">
        <v>53</v>
      </c>
      <c r="D155">
        <v>29</v>
      </c>
      <c r="E155" s="1">
        <f>+C155/(C155+D155)</f>
        <v>0.64634146341463417</v>
      </c>
      <c r="F155" s="2">
        <v>108</v>
      </c>
      <c r="G155" s="2">
        <v>105.4</v>
      </c>
      <c r="H155" s="2">
        <f>+F155-G155</f>
        <v>2.5999999999999943</v>
      </c>
      <c r="I155" s="1">
        <f>+(F155^14)/((F155^14+G155^14))</f>
        <v>0.58447233985908875</v>
      </c>
      <c r="J155" s="2">
        <v>110.6</v>
      </c>
      <c r="K155" s="2">
        <v>108</v>
      </c>
      <c r="L155" s="2">
        <f>+J155-K155</f>
        <v>2.5999999999999943</v>
      </c>
      <c r="M155" s="1">
        <f>+E155-I155</f>
        <v>6.1869123555545413E-2</v>
      </c>
      <c r="N155" s="2">
        <v>117.9</v>
      </c>
      <c r="O155" s="2">
        <v>107.8</v>
      </c>
      <c r="P155" s="2">
        <f>+N155-O155</f>
        <v>10.100000000000009</v>
      </c>
      <c r="Q155">
        <v>0.7</v>
      </c>
    </row>
    <row r="156" spans="1:17">
      <c r="A156" t="s">
        <v>50</v>
      </c>
      <c r="B156" t="s">
        <v>46</v>
      </c>
      <c r="C156">
        <v>60</v>
      </c>
      <c r="D156">
        <v>22</v>
      </c>
      <c r="E156" s="1">
        <f>+C156/(C156+D156)</f>
        <v>0.73170731707317072</v>
      </c>
      <c r="F156" s="2">
        <v>105.7</v>
      </c>
      <c r="G156" s="2">
        <v>96.5</v>
      </c>
      <c r="H156" s="2">
        <f>+F156-G156</f>
        <v>9.2000000000000028</v>
      </c>
      <c r="I156" s="1">
        <f>+(F156^14)/((F156^14+G156^14))</f>
        <v>0.78157465431369377</v>
      </c>
      <c r="J156" s="2">
        <v>111</v>
      </c>
      <c r="K156" s="2">
        <v>101.2</v>
      </c>
      <c r="L156" s="2">
        <f>+J156-K156</f>
        <v>9.7999999999999972</v>
      </c>
      <c r="M156" s="1">
        <f>+E156-I156</f>
        <v>-4.9867337240523057E-2</v>
      </c>
      <c r="N156" s="2">
        <v>108.7</v>
      </c>
      <c r="O156" s="2">
        <v>98.6</v>
      </c>
      <c r="P156" s="2">
        <f>+N156-O156</f>
        <v>10.100000000000009</v>
      </c>
      <c r="Q156">
        <v>1</v>
      </c>
    </row>
    <row r="157" spans="1:17">
      <c r="A157" t="s">
        <v>38</v>
      </c>
      <c r="B157" t="s">
        <v>35</v>
      </c>
      <c r="C157">
        <v>50</v>
      </c>
      <c r="D157">
        <v>32</v>
      </c>
      <c r="E157" s="1">
        <f>+C157/(C157+D157)</f>
        <v>0.6097560975609756</v>
      </c>
      <c r="F157" s="2">
        <v>96.7</v>
      </c>
      <c r="G157" s="2">
        <v>94.3</v>
      </c>
      <c r="H157" s="2">
        <f>+F157-G157</f>
        <v>2.4000000000000057</v>
      </c>
      <c r="I157" s="1">
        <f>+(F157^14)/((F157^14+G157^14))</f>
        <v>0.58706636453816929</v>
      </c>
      <c r="J157" s="2">
        <v>103.4</v>
      </c>
      <c r="K157" s="2">
        <v>100.8</v>
      </c>
      <c r="L157" s="2">
        <f>+J157-K157</f>
        <v>2.6000000000000085</v>
      </c>
      <c r="M157" s="1">
        <f>+E157-I157</f>
        <v>2.2689733022806302E-2</v>
      </c>
      <c r="N157" s="2">
        <v>105.6</v>
      </c>
      <c r="O157" s="2">
        <v>95.5</v>
      </c>
      <c r="P157" s="2">
        <f>+N157-O157</f>
        <v>10.099999999999994</v>
      </c>
      <c r="Q157">
        <v>2</v>
      </c>
    </row>
    <row r="158" spans="1:17">
      <c r="A158" t="s">
        <v>65</v>
      </c>
      <c r="B158" t="s">
        <v>5</v>
      </c>
      <c r="C158">
        <v>40</v>
      </c>
      <c r="D158">
        <v>41</v>
      </c>
      <c r="E158" s="1">
        <f>+C158/(C158+D158)</f>
        <v>0.49382716049382713</v>
      </c>
      <c r="F158" s="2">
        <v>118.4</v>
      </c>
      <c r="G158" s="2">
        <v>119.4</v>
      </c>
      <c r="H158" s="2">
        <f>+F158-G158</f>
        <v>-1</v>
      </c>
      <c r="I158" s="1">
        <f>+(F158^14)/((F158^14+G158^14))</f>
        <v>0.47059728800481032</v>
      </c>
      <c r="J158" s="2">
        <v>113.9</v>
      </c>
      <c r="K158" s="2">
        <v>114.9</v>
      </c>
      <c r="L158" s="2">
        <f>+J158-K158</f>
        <v>-1</v>
      </c>
      <c r="M158" s="1">
        <f>+E158-I158</f>
        <v>2.3229872489016812E-2</v>
      </c>
      <c r="N158" s="2">
        <v>119.4</v>
      </c>
      <c r="O158" s="2">
        <v>109.6</v>
      </c>
      <c r="P158" s="2">
        <f>+N158-O158</f>
        <v>9.8000000000000114</v>
      </c>
      <c r="Q158">
        <v>1.1000000000000001</v>
      </c>
    </row>
    <row r="159" spans="1:17">
      <c r="A159" t="s">
        <v>60</v>
      </c>
      <c r="B159" t="s">
        <v>15</v>
      </c>
      <c r="C159">
        <v>45</v>
      </c>
      <c r="D159">
        <v>28</v>
      </c>
      <c r="E159" s="1">
        <f>+C159/(C159+D159)</f>
        <v>0.61643835616438358</v>
      </c>
      <c r="F159" s="2">
        <v>109.4</v>
      </c>
      <c r="G159" s="2">
        <v>107.5</v>
      </c>
      <c r="H159" s="2">
        <f>+F159-G159</f>
        <v>1.9000000000000057</v>
      </c>
      <c r="I159" s="1">
        <f>+(F159^14)/((F159^14+G159^14))</f>
        <v>0.56101455538977274</v>
      </c>
      <c r="J159" s="2">
        <v>109.5</v>
      </c>
      <c r="K159" s="2">
        <v>107.5</v>
      </c>
      <c r="L159" s="2">
        <f>+J159-K159</f>
        <v>2</v>
      </c>
      <c r="M159" s="1">
        <f>+E159-I159</f>
        <v>5.5423800774610843E-2</v>
      </c>
      <c r="N159" s="2">
        <v>107</v>
      </c>
      <c r="O159" s="2">
        <v>97.2</v>
      </c>
      <c r="P159" s="2">
        <f>+N159-O159</f>
        <v>9.7999999999999972</v>
      </c>
      <c r="Q159">
        <v>-0.8</v>
      </c>
    </row>
    <row r="160" spans="1:17">
      <c r="A160" t="s">
        <v>47</v>
      </c>
      <c r="B160" t="s">
        <v>37</v>
      </c>
      <c r="C160">
        <v>37</v>
      </c>
      <c r="D160">
        <v>45</v>
      </c>
      <c r="E160" s="1">
        <f>+C160/(C160+D160)</f>
        <v>0.45121951219512196</v>
      </c>
      <c r="F160" s="2">
        <v>100.2</v>
      </c>
      <c r="G160" s="2">
        <v>102.7</v>
      </c>
      <c r="H160" s="2">
        <f>+F160-G160</f>
        <v>-2.5</v>
      </c>
      <c r="I160" s="1">
        <f>+(F160^14)/((F160^14+G160^14))</f>
        <v>0.41459179126180778</v>
      </c>
      <c r="J160" s="2">
        <v>106.5</v>
      </c>
      <c r="K160" s="2">
        <v>108.9</v>
      </c>
      <c r="L160" s="2">
        <f>+J160-K160</f>
        <v>-2.4000000000000057</v>
      </c>
      <c r="M160" s="1">
        <f>+E160-I160</f>
        <v>3.6627720933314178E-2</v>
      </c>
      <c r="N160" s="2">
        <v>109</v>
      </c>
      <c r="O160" s="2">
        <v>99.2</v>
      </c>
      <c r="P160" s="2">
        <f>+N160-O160</f>
        <v>9.7999999999999972</v>
      </c>
      <c r="Q160">
        <v>0.3</v>
      </c>
    </row>
    <row r="161" spans="1:17">
      <c r="A161" t="s">
        <v>41</v>
      </c>
      <c r="B161" t="s">
        <v>42</v>
      </c>
      <c r="C161">
        <v>38</v>
      </c>
      <c r="D161">
        <v>44</v>
      </c>
      <c r="E161" s="1">
        <f>+C161/(C161+D161)</f>
        <v>0.46341463414634149</v>
      </c>
      <c r="F161" s="2">
        <v>92.8</v>
      </c>
      <c r="G161" s="2">
        <v>95.6</v>
      </c>
      <c r="H161" s="2">
        <f>+F161-G161</f>
        <v>-2.7999999999999972</v>
      </c>
      <c r="I161" s="1">
        <f>+(F161^14)/((F161^14+G161^14))</f>
        <v>0.3974344302617922</v>
      </c>
      <c r="J161" s="2">
        <v>102.3</v>
      </c>
      <c r="K161" s="2">
        <v>105.1</v>
      </c>
      <c r="L161" s="2">
        <f>+J161-K161</f>
        <v>-2.7999999999999972</v>
      </c>
      <c r="M161" s="1">
        <f>+E161-I161</f>
        <v>6.5980203884549282E-2</v>
      </c>
      <c r="N161" s="2">
        <v>111.7</v>
      </c>
      <c r="O161" s="2">
        <v>102</v>
      </c>
      <c r="P161" s="2">
        <f>+N161-O161</f>
        <v>9.7000000000000028</v>
      </c>
      <c r="Q161">
        <v>-0.3</v>
      </c>
    </row>
    <row r="162" spans="1:17">
      <c r="A162" t="s">
        <v>60</v>
      </c>
      <c r="B162" t="s">
        <v>7</v>
      </c>
      <c r="C162">
        <v>23</v>
      </c>
      <c r="D162">
        <v>42</v>
      </c>
      <c r="E162" s="1">
        <f>+C162/(C162+D162)</f>
        <v>0.35384615384615387</v>
      </c>
      <c r="F162" s="2">
        <v>102.9</v>
      </c>
      <c r="G162" s="2">
        <v>109.6</v>
      </c>
      <c r="H162" s="2">
        <f>+F162-G162</f>
        <v>-6.6999999999999886</v>
      </c>
      <c r="I162" s="1">
        <f>+(F162^14)/((F162^14+G162^14))</f>
        <v>0.29253243315718996</v>
      </c>
      <c r="J162" s="2">
        <v>105.9</v>
      </c>
      <c r="K162" s="2">
        <v>112.8</v>
      </c>
      <c r="L162" s="2">
        <f>+J162-K162</f>
        <v>-6.8999999999999915</v>
      </c>
      <c r="M162" s="1">
        <f>+E162-I162</f>
        <v>6.1313720688963902E-2</v>
      </c>
      <c r="N162" s="2">
        <v>120.3</v>
      </c>
      <c r="O162" s="2">
        <v>110.6</v>
      </c>
      <c r="P162" s="2">
        <f>+N162-O162</f>
        <v>9.7000000000000028</v>
      </c>
      <c r="Q162">
        <v>-2.1</v>
      </c>
    </row>
    <row r="163" spans="1:17">
      <c r="A163" t="s">
        <v>61</v>
      </c>
      <c r="B163" t="s">
        <v>51</v>
      </c>
      <c r="C163">
        <v>48</v>
      </c>
      <c r="D163">
        <v>24</v>
      </c>
      <c r="E163" s="1">
        <f>+C163/(C163+D163)</f>
        <v>0.66666666666666663</v>
      </c>
      <c r="F163" s="2">
        <v>118.6</v>
      </c>
      <c r="G163" s="2">
        <v>114.1</v>
      </c>
      <c r="H163" s="2">
        <f>+F163-G163</f>
        <v>4.5</v>
      </c>
      <c r="I163" s="1">
        <f>+(F163^14)/((F163^14+G163^14))</f>
        <v>0.63216994078193656</v>
      </c>
      <c r="J163" s="2">
        <v>117.3</v>
      </c>
      <c r="K163" s="2">
        <v>113.1</v>
      </c>
      <c r="L163" s="2">
        <f>+J163-K163</f>
        <v>4.2000000000000028</v>
      </c>
      <c r="M163" s="1">
        <f>+E163-I163</f>
        <v>3.4496725884730073E-2</v>
      </c>
      <c r="N163" s="2">
        <v>113.2</v>
      </c>
      <c r="O163" s="2">
        <v>103.5</v>
      </c>
      <c r="P163" s="2">
        <f>+N163-O163</f>
        <v>9.7000000000000028</v>
      </c>
      <c r="Q163">
        <v>0.9</v>
      </c>
    </row>
    <row r="164" spans="1:17">
      <c r="A164" t="s">
        <v>39</v>
      </c>
      <c r="B164" t="s">
        <v>8</v>
      </c>
      <c r="C164">
        <v>47</v>
      </c>
      <c r="D164">
        <v>35</v>
      </c>
      <c r="E164" s="1">
        <f>+C164/(C164+D164)</f>
        <v>0.57317073170731703</v>
      </c>
      <c r="F164" s="2">
        <v>94.5</v>
      </c>
      <c r="G164" s="2">
        <v>93.4</v>
      </c>
      <c r="H164" s="2">
        <f>+F164-G164</f>
        <v>1.0999999999999943</v>
      </c>
      <c r="I164" s="1">
        <f>+(F164^14)/((F164^14+G164^14))</f>
        <v>0.54088819998710902</v>
      </c>
      <c r="J164" s="2">
        <v>100.5</v>
      </c>
      <c r="K164" s="2">
        <v>99.1</v>
      </c>
      <c r="L164" s="2">
        <f>+J164-K164</f>
        <v>1.4000000000000057</v>
      </c>
      <c r="M164" s="1">
        <f>+E164-I164</f>
        <v>3.2282531720208008E-2</v>
      </c>
      <c r="N164" s="2">
        <v>96.7</v>
      </c>
      <c r="O164" s="2">
        <v>87</v>
      </c>
      <c r="P164" s="2">
        <f>+N164-O164</f>
        <v>9.7000000000000028</v>
      </c>
      <c r="Q164">
        <v>0.8</v>
      </c>
    </row>
    <row r="165" spans="1:17">
      <c r="A165" t="s">
        <v>57</v>
      </c>
      <c r="B165" t="s">
        <v>13</v>
      </c>
      <c r="C165">
        <v>67</v>
      </c>
      <c r="D165">
        <v>15</v>
      </c>
      <c r="E165" s="1">
        <f>+C165/(C165+D165)</f>
        <v>0.81707317073170727</v>
      </c>
      <c r="F165" s="2">
        <v>115.9</v>
      </c>
      <c r="G165" s="2">
        <v>104.3</v>
      </c>
      <c r="H165" s="2">
        <f>+F165-G165</f>
        <v>11.600000000000009</v>
      </c>
      <c r="I165" s="1">
        <f>+(F165^14)/((F165^14+G165^14))</f>
        <v>0.81402660694533269</v>
      </c>
      <c r="J165" s="2">
        <v>114.8</v>
      </c>
      <c r="K165" s="2">
        <v>103.4</v>
      </c>
      <c r="L165" s="2">
        <f>+J165-K165</f>
        <v>11.399999999999991</v>
      </c>
      <c r="M165" s="1">
        <f>+E165-I165</f>
        <v>3.0465637863745787E-3</v>
      </c>
      <c r="N165" s="2">
        <v>109.7</v>
      </c>
      <c r="O165" s="2">
        <v>100</v>
      </c>
      <c r="P165" s="2">
        <f>+N165-O165</f>
        <v>9.7000000000000028</v>
      </c>
      <c r="Q165">
        <v>0.2</v>
      </c>
    </row>
    <row r="166" spans="1:17">
      <c r="A166" t="s">
        <v>54</v>
      </c>
      <c r="B166" t="s">
        <v>9</v>
      </c>
      <c r="C166">
        <v>53</v>
      </c>
      <c r="D166">
        <v>29</v>
      </c>
      <c r="E166" s="1">
        <f>+C166/(C166+D166)</f>
        <v>0.64634146341463417</v>
      </c>
      <c r="F166" s="2">
        <v>103.1</v>
      </c>
      <c r="G166" s="2">
        <v>98.7</v>
      </c>
      <c r="H166" s="2">
        <f>+F166-G166</f>
        <v>4.3999999999999915</v>
      </c>
      <c r="I166" s="1">
        <f>+(F166^14)/((F166^14+G166^14))</f>
        <v>0.64807816531272</v>
      </c>
      <c r="J166" s="2">
        <v>110.1</v>
      </c>
      <c r="K166" s="2">
        <v>105.3</v>
      </c>
      <c r="L166" s="2">
        <f>+J166-K166</f>
        <v>4.7999999999999972</v>
      </c>
      <c r="M166" s="1">
        <f>+E166-I166</f>
        <v>-1.7367018980858351E-3</v>
      </c>
      <c r="N166" s="2">
        <v>112.7</v>
      </c>
      <c r="O166" s="2">
        <v>103</v>
      </c>
      <c r="P166" s="2">
        <f>+N166-O166</f>
        <v>9.7000000000000028</v>
      </c>
      <c r="Q166">
        <v>0</v>
      </c>
    </row>
    <row r="167" spans="1:17">
      <c r="A167" t="s">
        <v>4</v>
      </c>
      <c r="B167" t="s">
        <v>26</v>
      </c>
      <c r="C167">
        <v>50</v>
      </c>
      <c r="D167">
        <v>32</v>
      </c>
      <c r="E167" s="1">
        <f>+C167/(C167+D167)</f>
        <v>0.6097560975609756</v>
      </c>
      <c r="F167" s="2">
        <v>95.4</v>
      </c>
      <c r="G167" s="2">
        <v>91.2</v>
      </c>
      <c r="H167" s="2">
        <f>+F167-G167</f>
        <v>4.2000000000000028</v>
      </c>
      <c r="I167" s="1">
        <f>+(F167^14)/((F167^14+G167^14))</f>
        <v>0.65256463390669783</v>
      </c>
      <c r="J167" s="2">
        <v>104.7</v>
      </c>
      <c r="K167" s="2">
        <v>100.5</v>
      </c>
      <c r="L167" s="2">
        <f>+J167-K167</f>
        <v>4.2000000000000028</v>
      </c>
      <c r="M167" s="1">
        <f>+E167-I167</f>
        <v>-4.2808536345722237E-2</v>
      </c>
      <c r="N167" s="2">
        <v>109.3</v>
      </c>
      <c r="O167" s="2">
        <v>99.6</v>
      </c>
      <c r="P167" s="2">
        <f>+N167-O167</f>
        <v>9.7000000000000028</v>
      </c>
      <c r="Q167">
        <v>0.3</v>
      </c>
    </row>
    <row r="168" spans="1:17">
      <c r="A168" t="s">
        <v>34</v>
      </c>
      <c r="B168" t="s">
        <v>17</v>
      </c>
      <c r="C168">
        <v>58</v>
      </c>
      <c r="D168">
        <v>24</v>
      </c>
      <c r="E168" s="1">
        <f>+C168/(C168+D168)</f>
        <v>0.70731707317073167</v>
      </c>
      <c r="F168" s="2">
        <v>101.3</v>
      </c>
      <c r="G168" s="2">
        <v>94.1</v>
      </c>
      <c r="H168" s="2">
        <f>+F168-G168</f>
        <v>7.2000000000000028</v>
      </c>
      <c r="I168" s="1">
        <f>+(F168^14)/((F168^14+G168^14))</f>
        <v>0.73734162874338682</v>
      </c>
      <c r="J168" s="2">
        <v>108</v>
      </c>
      <c r="K168" s="2">
        <v>100.4</v>
      </c>
      <c r="L168" s="2">
        <f>+J168-K168</f>
        <v>7.5999999999999943</v>
      </c>
      <c r="M168" s="1">
        <f>+E168-I168</f>
        <v>-3.0024555572655154E-2</v>
      </c>
      <c r="N168" s="2">
        <v>104.2</v>
      </c>
      <c r="O168" s="2">
        <v>94.6</v>
      </c>
      <c r="P168" s="2">
        <f>+N168-O168</f>
        <v>9.6000000000000085</v>
      </c>
      <c r="Q168">
        <v>2.5</v>
      </c>
    </row>
    <row r="169" spans="1:17">
      <c r="A169" t="s">
        <v>62</v>
      </c>
      <c r="B169" t="s">
        <v>51</v>
      </c>
      <c r="C169">
        <v>44</v>
      </c>
      <c r="D169">
        <v>38</v>
      </c>
      <c r="E169" s="1">
        <f>+C169/(C169+D169)</f>
        <v>0.53658536585365857</v>
      </c>
      <c r="F169" s="2">
        <v>112.9</v>
      </c>
      <c r="G169" s="2">
        <v>112.1</v>
      </c>
      <c r="H169" s="2">
        <f>+F169-G169</f>
        <v>0.80000000000001137</v>
      </c>
      <c r="I169" s="1">
        <f>+(F169^14)/((F169^14+G169^14))</f>
        <v>0.52486845707756435</v>
      </c>
      <c r="J169" s="2">
        <v>113.2</v>
      </c>
      <c r="K169" s="2">
        <v>112.3</v>
      </c>
      <c r="L169" s="2">
        <f>+J169-K169</f>
        <v>0.90000000000000568</v>
      </c>
      <c r="M169" s="1">
        <f>+E169-I169</f>
        <v>1.1716908776094215E-2</v>
      </c>
      <c r="N169" s="2">
        <v>112.6</v>
      </c>
      <c r="O169" s="2">
        <v>103</v>
      </c>
      <c r="P169" s="2">
        <f>+N169-O169</f>
        <v>9.5999999999999943</v>
      </c>
      <c r="Q169">
        <v>-0.1</v>
      </c>
    </row>
    <row r="170" spans="1:17">
      <c r="A170" t="s">
        <v>62</v>
      </c>
      <c r="B170" t="s">
        <v>56</v>
      </c>
      <c r="C170">
        <v>42</v>
      </c>
      <c r="D170">
        <v>40</v>
      </c>
      <c r="E170" s="1">
        <f>+C170/(C170+D170)</f>
        <v>0.51219512195121952</v>
      </c>
      <c r="F170" s="2">
        <v>108.4</v>
      </c>
      <c r="G170" s="2">
        <v>108.4</v>
      </c>
      <c r="H170" s="2">
        <f>+F170-G170</f>
        <v>0</v>
      </c>
      <c r="I170" s="1">
        <f>+(F170^14)/((F170^14+G170^14))</f>
        <v>0.5</v>
      </c>
      <c r="J170" s="2">
        <v>109.5</v>
      </c>
      <c r="K170" s="2">
        <v>109.5</v>
      </c>
      <c r="L170" s="2">
        <f>+J170-K170</f>
        <v>0</v>
      </c>
      <c r="M170" s="1">
        <f>+E170-I170</f>
        <v>1.2195121951219523E-2</v>
      </c>
      <c r="N170" s="2">
        <v>123.8</v>
      </c>
      <c r="O170" s="2">
        <v>114.3</v>
      </c>
      <c r="P170" s="2">
        <f>+N170-O170</f>
        <v>9.5</v>
      </c>
      <c r="Q170">
        <v>1.1000000000000001</v>
      </c>
    </row>
    <row r="171" spans="1:17">
      <c r="A171" t="s">
        <v>41</v>
      </c>
      <c r="B171" t="s">
        <v>18</v>
      </c>
      <c r="C171">
        <v>52</v>
      </c>
      <c r="D171">
        <v>30</v>
      </c>
      <c r="E171" s="1">
        <f>+C171/(C171+D171)</f>
        <v>0.63414634146341464</v>
      </c>
      <c r="F171" s="2">
        <v>99.9</v>
      </c>
      <c r="G171" s="2">
        <v>96</v>
      </c>
      <c r="H171" s="2">
        <f>+F171-G171</f>
        <v>3.9000000000000057</v>
      </c>
      <c r="I171" s="1">
        <f>+(F171^14)/((F171^14+G171^14))</f>
        <v>0.63587410412119993</v>
      </c>
      <c r="J171" s="2">
        <v>107.5</v>
      </c>
      <c r="K171" s="2">
        <v>103.4</v>
      </c>
      <c r="L171" s="2">
        <f>+J171-K171</f>
        <v>4.0999999999999943</v>
      </c>
      <c r="M171" s="1">
        <f>+E171-I171</f>
        <v>-1.7277626577852923E-3</v>
      </c>
      <c r="N171" s="2">
        <v>115.1</v>
      </c>
      <c r="O171" s="2">
        <v>105.6</v>
      </c>
      <c r="P171" s="2">
        <f>+N171-O171</f>
        <v>9.5</v>
      </c>
      <c r="Q171">
        <v>1.5</v>
      </c>
    </row>
    <row r="172" spans="1:17">
      <c r="A172" t="s">
        <v>59</v>
      </c>
      <c r="B172" t="s">
        <v>15</v>
      </c>
      <c r="C172">
        <v>48</v>
      </c>
      <c r="D172">
        <v>34</v>
      </c>
      <c r="E172" s="1">
        <f>+C172/(C172+D172)</f>
        <v>0.58536585365853655</v>
      </c>
      <c r="F172" s="2">
        <v>108</v>
      </c>
      <c r="G172" s="2">
        <v>104.7</v>
      </c>
      <c r="H172" s="2">
        <f>+F172-G172</f>
        <v>3.2999999999999972</v>
      </c>
      <c r="I172" s="1">
        <f>+(F172^14)/((F172^14+G172^14))</f>
        <v>0.60693567293355</v>
      </c>
      <c r="J172" s="2">
        <v>109.4</v>
      </c>
      <c r="K172" s="2">
        <v>106</v>
      </c>
      <c r="L172" s="2">
        <f>+J172-K172</f>
        <v>3.4000000000000057</v>
      </c>
      <c r="M172" s="1">
        <f>+E172-I172</f>
        <v>-2.1569819275013447E-2</v>
      </c>
      <c r="N172" s="2">
        <v>113.9</v>
      </c>
      <c r="O172" s="2">
        <v>104.5</v>
      </c>
      <c r="P172" s="2">
        <f>+N172-O172</f>
        <v>9.4000000000000057</v>
      </c>
      <c r="Q172">
        <v>0.8</v>
      </c>
    </row>
    <row r="173" spans="1:17">
      <c r="A173" t="s">
        <v>4</v>
      </c>
      <c r="B173" t="s">
        <v>27</v>
      </c>
      <c r="C173">
        <v>55</v>
      </c>
      <c r="D173">
        <v>27</v>
      </c>
      <c r="E173" s="1">
        <f>+C173/(C173+D173)</f>
        <v>0.67073170731707321</v>
      </c>
      <c r="F173" s="2">
        <v>101.7</v>
      </c>
      <c r="G173" s="2">
        <v>95.9</v>
      </c>
      <c r="H173" s="2">
        <f>+F173-G173</f>
        <v>5.7999999999999972</v>
      </c>
      <c r="I173" s="1">
        <f>+(F173^14)/((F173^14+G173^14))</f>
        <v>0.69468161097182612</v>
      </c>
      <c r="J173" s="2">
        <v>104.2</v>
      </c>
      <c r="K173" s="2">
        <v>98.5</v>
      </c>
      <c r="L173" s="2">
        <f>+J173-K173</f>
        <v>5.7000000000000028</v>
      </c>
      <c r="M173" s="1">
        <f>+E173-I173</f>
        <v>-2.3949903654752913E-2</v>
      </c>
      <c r="N173" s="2">
        <v>94</v>
      </c>
      <c r="O173" s="2">
        <v>84.6</v>
      </c>
      <c r="P173" s="2">
        <f>+N173-O173</f>
        <v>9.4000000000000057</v>
      </c>
      <c r="Q173">
        <v>1.4</v>
      </c>
    </row>
    <row r="174" spans="1:17">
      <c r="A174" t="s">
        <v>43</v>
      </c>
      <c r="B174" t="s">
        <v>18</v>
      </c>
      <c r="C174">
        <v>44</v>
      </c>
      <c r="D174">
        <v>38</v>
      </c>
      <c r="E174" s="1">
        <f>+C174/(C174+D174)</f>
        <v>0.53658536585365857</v>
      </c>
      <c r="F174" s="2">
        <v>94.6</v>
      </c>
      <c r="G174" s="2">
        <v>95.5</v>
      </c>
      <c r="H174" s="2">
        <f>+F174-G174</f>
        <v>-0.90000000000000568</v>
      </c>
      <c r="I174" s="1">
        <f>+(F174^14)/((F174^14+G174^14))</f>
        <v>0.46690774637254517</v>
      </c>
      <c r="J174" s="2">
        <v>103.4</v>
      </c>
      <c r="K174" s="2">
        <v>104.6</v>
      </c>
      <c r="L174" s="2">
        <f>+J174-K174</f>
        <v>-1.1999999999999886</v>
      </c>
      <c r="M174" s="1">
        <f>+E174-I174</f>
        <v>6.9677619481113395E-2</v>
      </c>
      <c r="N174" s="2">
        <v>106.9</v>
      </c>
      <c r="O174" s="2">
        <v>97.6</v>
      </c>
      <c r="P174" s="2">
        <f>+N174-O174</f>
        <v>9.3000000000000114</v>
      </c>
      <c r="Q174">
        <v>0.5</v>
      </c>
    </row>
    <row r="175" spans="1:17">
      <c r="A175" t="s">
        <v>48</v>
      </c>
      <c r="B175" t="s">
        <v>17</v>
      </c>
      <c r="C175">
        <v>57</v>
      </c>
      <c r="D175">
        <v>25</v>
      </c>
      <c r="E175" s="1">
        <f>+C175/(C175+D175)</f>
        <v>0.69512195121951215</v>
      </c>
      <c r="F175" s="2">
        <v>101.5</v>
      </c>
      <c r="G175" s="2">
        <v>95.4</v>
      </c>
      <c r="H175" s="2">
        <f>+F175-G175</f>
        <v>6.0999999999999943</v>
      </c>
      <c r="I175" s="1">
        <f>+(F175^14)/((F175^14+G175^14))</f>
        <v>0.70427169761914954</v>
      </c>
      <c r="J175" s="2">
        <v>109.6</v>
      </c>
      <c r="K175" s="2">
        <v>103.3</v>
      </c>
      <c r="L175" s="2">
        <f>+J175-K175</f>
        <v>6.2999999999999972</v>
      </c>
      <c r="M175" s="1">
        <f>+E175-I175</f>
        <v>-9.1497463996373929E-3</v>
      </c>
      <c r="N175" s="2">
        <v>108</v>
      </c>
      <c r="O175" s="2">
        <v>98.7</v>
      </c>
      <c r="P175" s="2">
        <f>+N175-O175</f>
        <v>9.2999999999999972</v>
      </c>
      <c r="Q175">
        <v>0</v>
      </c>
    </row>
    <row r="176" spans="1:17">
      <c r="A176" t="s">
        <v>38</v>
      </c>
      <c r="B176" t="s">
        <v>12</v>
      </c>
      <c r="C176">
        <v>54</v>
      </c>
      <c r="D176">
        <v>28</v>
      </c>
      <c r="E176" s="1">
        <f>+C176/(C176+D176)</f>
        <v>0.65853658536585369</v>
      </c>
      <c r="F176" s="2">
        <v>90.1</v>
      </c>
      <c r="G176" s="2">
        <v>84.3</v>
      </c>
      <c r="H176" s="2">
        <f>+F176-G176</f>
        <v>5.7999999999999972</v>
      </c>
      <c r="I176" s="1">
        <f>+(F176^14)/((F176^14+G176^14))</f>
        <v>0.71738684209510184</v>
      </c>
      <c r="J176" s="2">
        <v>100.3</v>
      </c>
      <c r="K176" s="2">
        <v>93.9</v>
      </c>
      <c r="L176" s="2">
        <f>+J176-K176</f>
        <v>6.3999999999999915</v>
      </c>
      <c r="M176" s="1">
        <f>+E176-I176</f>
        <v>-5.8850256729248152E-2</v>
      </c>
      <c r="N176" s="2">
        <v>103.8</v>
      </c>
      <c r="O176" s="2">
        <v>94.5</v>
      </c>
      <c r="P176" s="2">
        <f>+N176-O176</f>
        <v>9.2999999999999972</v>
      </c>
      <c r="Q176">
        <v>1.3</v>
      </c>
    </row>
    <row r="177" spans="1:17">
      <c r="A177" t="s">
        <v>59</v>
      </c>
      <c r="B177" t="s">
        <v>26</v>
      </c>
      <c r="C177">
        <v>53</v>
      </c>
      <c r="D177">
        <v>29</v>
      </c>
      <c r="E177" s="1">
        <f>+C177/(C177+D177)</f>
        <v>0.64634146341463417</v>
      </c>
      <c r="F177" s="2">
        <v>114.7</v>
      </c>
      <c r="G177" s="2">
        <v>110.5</v>
      </c>
      <c r="H177" s="2">
        <f>+F177-G177</f>
        <v>4.2000000000000028</v>
      </c>
      <c r="I177" s="1">
        <f>+(F177^14)/((F177^14+G177^14))</f>
        <v>0.62767678935512594</v>
      </c>
      <c r="J177" s="2">
        <v>113.7</v>
      </c>
      <c r="K177" s="2">
        <v>109.5</v>
      </c>
      <c r="L177" s="2">
        <f>+J177-K177</f>
        <v>4.2000000000000028</v>
      </c>
      <c r="M177" s="1">
        <f>+E177-I177</f>
        <v>1.8664674059508224E-2</v>
      </c>
      <c r="N177" s="2">
        <v>117.2</v>
      </c>
      <c r="O177" s="2">
        <v>108</v>
      </c>
      <c r="P177" s="2">
        <f>+N177-O177</f>
        <v>9.2000000000000028</v>
      </c>
      <c r="Q177">
        <v>0.1</v>
      </c>
    </row>
    <row r="178" spans="1:17">
      <c r="A178" t="s">
        <v>54</v>
      </c>
      <c r="B178" t="s">
        <v>8</v>
      </c>
      <c r="C178">
        <v>50</v>
      </c>
      <c r="D178">
        <v>32</v>
      </c>
      <c r="E178" s="1">
        <f>+C178/(C178+D178)</f>
        <v>0.6097560975609756</v>
      </c>
      <c r="F178" s="2">
        <v>100.8</v>
      </c>
      <c r="G178" s="2">
        <v>97.8</v>
      </c>
      <c r="H178" s="2">
        <f>+F178-G178</f>
        <v>3</v>
      </c>
      <c r="I178" s="1">
        <f>+(F178^14)/((F178^14+G178^14))</f>
        <v>0.60419920235636659</v>
      </c>
      <c r="J178" s="2">
        <v>106.3</v>
      </c>
      <c r="K178" s="2">
        <v>103.3</v>
      </c>
      <c r="L178" s="2">
        <f>+J178-K178</f>
        <v>3</v>
      </c>
      <c r="M178" s="1">
        <f>+E178-I178</f>
        <v>5.5568952046090025E-3</v>
      </c>
      <c r="N178" s="2">
        <v>99.7</v>
      </c>
      <c r="O178" s="2">
        <v>90.5</v>
      </c>
      <c r="P178" s="2">
        <f>+N178-O178</f>
        <v>9.2000000000000028</v>
      </c>
      <c r="Q178">
        <v>1.5</v>
      </c>
    </row>
    <row r="179" spans="1:17">
      <c r="A179" t="s">
        <v>57</v>
      </c>
      <c r="B179" t="s">
        <v>8</v>
      </c>
      <c r="C179">
        <v>41</v>
      </c>
      <c r="D179">
        <v>41</v>
      </c>
      <c r="E179" s="1">
        <f>+C179/(C179+D179)</f>
        <v>0.5</v>
      </c>
      <c r="F179" s="2">
        <v>102.9</v>
      </c>
      <c r="G179" s="2">
        <v>102.4</v>
      </c>
      <c r="H179" s="2">
        <f>+F179-G179</f>
        <v>0.5</v>
      </c>
      <c r="I179" s="1">
        <f>+(F179^14)/((F179^14+G179^14))</f>
        <v>0.51704165228301435</v>
      </c>
      <c r="J179" s="2">
        <v>106.5</v>
      </c>
      <c r="K179" s="2">
        <v>106.2</v>
      </c>
      <c r="L179" s="2">
        <f>+J179-K179</f>
        <v>0.29999999999999716</v>
      </c>
      <c r="M179" s="1">
        <f>+E179-I179</f>
        <v>-1.7041652283014352E-2</v>
      </c>
      <c r="N179" s="2">
        <v>107.3</v>
      </c>
      <c r="O179" s="2">
        <v>98.1</v>
      </c>
      <c r="P179" s="2">
        <f>+N179-O179</f>
        <v>9.2000000000000028</v>
      </c>
      <c r="Q179">
        <v>-0.5</v>
      </c>
    </row>
    <row r="180" spans="1:17">
      <c r="A180" t="s">
        <v>65</v>
      </c>
      <c r="B180" t="s">
        <v>35</v>
      </c>
      <c r="C180">
        <v>48</v>
      </c>
      <c r="D180">
        <v>34</v>
      </c>
      <c r="E180" s="1">
        <f>+C180/(C180+D180)</f>
        <v>0.58536585365853655</v>
      </c>
      <c r="F180" s="2">
        <v>121.7</v>
      </c>
      <c r="G180" s="2">
        <v>116.9</v>
      </c>
      <c r="H180" s="2">
        <f>+F180-G180</f>
        <v>4.7999999999999972</v>
      </c>
      <c r="I180" s="1">
        <f>+(F180^14)/((F180^14+G180^14))</f>
        <v>0.63723004806999306</v>
      </c>
      <c r="J180" s="2">
        <v>117.2</v>
      </c>
      <c r="K180" s="2">
        <v>112.6</v>
      </c>
      <c r="L180" s="2">
        <f>+J180-K180</f>
        <v>4.6000000000000085</v>
      </c>
      <c r="M180" s="1">
        <f>+E180-I180</f>
        <v>-5.186419441145651E-2</v>
      </c>
      <c r="N180" s="2">
        <v>109.2</v>
      </c>
      <c r="O180" s="2">
        <v>100</v>
      </c>
      <c r="P180" s="2">
        <f>+N180-O180</f>
        <v>9.2000000000000028</v>
      </c>
      <c r="Q180">
        <v>0.2</v>
      </c>
    </row>
    <row r="181" spans="1:17">
      <c r="A181" t="s">
        <v>48</v>
      </c>
      <c r="B181" t="s">
        <v>5</v>
      </c>
      <c r="C181">
        <v>44</v>
      </c>
      <c r="D181">
        <v>38</v>
      </c>
      <c r="E181" s="1">
        <f>+C181/(C181+D181)</f>
        <v>0.53658536585365857</v>
      </c>
      <c r="F181" s="2">
        <v>95</v>
      </c>
      <c r="G181" s="2">
        <v>95.8</v>
      </c>
      <c r="H181" s="2">
        <f>+F181-G181</f>
        <v>-0.79999999999999716</v>
      </c>
      <c r="I181" s="1">
        <f>+(F181^14)/((F181^14+G181^14))</f>
        <v>0.47068338807108751</v>
      </c>
      <c r="J181" s="2">
        <v>105.1</v>
      </c>
      <c r="K181" s="2">
        <v>105.8</v>
      </c>
      <c r="L181" s="2">
        <f>+J181-K181</f>
        <v>-0.70000000000000284</v>
      </c>
      <c r="M181" s="1">
        <f>+E181-I181</f>
        <v>6.5901977782571064E-2</v>
      </c>
      <c r="N181" s="2">
        <v>112.6</v>
      </c>
      <c r="O181" s="2">
        <v>103.5</v>
      </c>
      <c r="P181" s="2">
        <f>+N181-O181</f>
        <v>9.0999999999999943</v>
      </c>
      <c r="Q181">
        <v>-1.5</v>
      </c>
    </row>
    <row r="182" spans="1:17">
      <c r="A182" t="s">
        <v>64</v>
      </c>
      <c r="B182" t="s">
        <v>17</v>
      </c>
      <c r="C182">
        <v>46</v>
      </c>
      <c r="D182">
        <v>35</v>
      </c>
      <c r="E182" s="1">
        <f>+C182/(C182+D182)</f>
        <v>0.5679012345679012</v>
      </c>
      <c r="F182" s="2">
        <v>117.9</v>
      </c>
      <c r="G182" s="2">
        <v>117.8</v>
      </c>
      <c r="H182" s="2">
        <f>+F182-G182</f>
        <v>0.10000000000000853</v>
      </c>
      <c r="I182" s="1">
        <f>+(F182^14)/((F182^14+G182^14))</f>
        <v>0.50296984221450003</v>
      </c>
      <c r="J182" s="2">
        <v>115.2</v>
      </c>
      <c r="K182" s="2">
        <v>115.2</v>
      </c>
      <c r="L182" s="2">
        <f>+J182-K182</f>
        <v>0</v>
      </c>
      <c r="M182" s="1">
        <f>+E182-I182</f>
        <v>6.4931392353401174E-2</v>
      </c>
      <c r="N182" s="2">
        <v>117.6</v>
      </c>
      <c r="O182" s="2">
        <v>108.5</v>
      </c>
      <c r="P182" s="2">
        <f>+N182-O182</f>
        <v>9.0999999999999943</v>
      </c>
      <c r="Q182">
        <v>0.1</v>
      </c>
    </row>
    <row r="183" spans="1:17">
      <c r="A183" t="s">
        <v>39</v>
      </c>
      <c r="B183" t="s">
        <v>15</v>
      </c>
      <c r="C183">
        <v>44</v>
      </c>
      <c r="D183">
        <v>38</v>
      </c>
      <c r="E183" s="1">
        <f>+C183/(C183+D183)</f>
        <v>0.53658536585365857</v>
      </c>
      <c r="F183" s="2">
        <v>93</v>
      </c>
      <c r="G183" s="2">
        <v>92.2</v>
      </c>
      <c r="H183" s="2">
        <f>+F183-G183</f>
        <v>0.79999999999999716</v>
      </c>
      <c r="I183" s="1">
        <f>+(F183^14)/((F183^14+G183^14))</f>
        <v>0.53020096014425155</v>
      </c>
      <c r="J183" s="2">
        <v>103.7</v>
      </c>
      <c r="K183" s="2">
        <v>102.7</v>
      </c>
      <c r="L183" s="2">
        <f>+J183-K183</f>
        <v>1</v>
      </c>
      <c r="M183" s="1">
        <f>+E183-I183</f>
        <v>6.384405709407015E-3</v>
      </c>
      <c r="N183" s="2">
        <v>102.5</v>
      </c>
      <c r="O183" s="2">
        <v>93.4</v>
      </c>
      <c r="P183" s="2">
        <f>+N183-O183</f>
        <v>9.0999999999999943</v>
      </c>
      <c r="Q183">
        <v>0</v>
      </c>
    </row>
    <row r="184" spans="1:17">
      <c r="A184" t="s">
        <v>59</v>
      </c>
      <c r="B184" t="s">
        <v>6</v>
      </c>
      <c r="C184">
        <v>49</v>
      </c>
      <c r="D184">
        <v>33</v>
      </c>
      <c r="E184" s="1">
        <f>+C184/(C184+D184)</f>
        <v>0.59756097560975607</v>
      </c>
      <c r="F184" s="2">
        <v>112.4</v>
      </c>
      <c r="G184" s="2">
        <v>108</v>
      </c>
      <c r="H184" s="2">
        <f>+F184-G184</f>
        <v>4.4000000000000057</v>
      </c>
      <c r="I184" s="1">
        <f>+(F184^14)/((F184^14+G184^14))</f>
        <v>0.63623453885464354</v>
      </c>
      <c r="J184" s="2">
        <v>111.3</v>
      </c>
      <c r="K184" s="2">
        <v>107</v>
      </c>
      <c r="L184" s="2">
        <f>+J184-K184</f>
        <v>4.2999999999999972</v>
      </c>
      <c r="M184" s="1">
        <f>+E184-I184</f>
        <v>-3.8673563244887466E-2</v>
      </c>
      <c r="N184" s="2">
        <v>123.8</v>
      </c>
      <c r="O184" s="2">
        <v>114.7</v>
      </c>
      <c r="P184" s="2">
        <f>+N184-O184</f>
        <v>9.0999999999999943</v>
      </c>
      <c r="Q184">
        <v>1.4</v>
      </c>
    </row>
    <row r="185" spans="1:17">
      <c r="A185" t="s">
        <v>63</v>
      </c>
      <c r="B185" t="s">
        <v>53</v>
      </c>
      <c r="C185">
        <v>42</v>
      </c>
      <c r="D185">
        <v>40</v>
      </c>
      <c r="E185" s="1">
        <f>+C185/(C185+D185)</f>
        <v>0.51219512195121952</v>
      </c>
      <c r="F185" s="2">
        <v>114.4</v>
      </c>
      <c r="G185" s="2">
        <v>112.5</v>
      </c>
      <c r="H185" s="2">
        <f>+F185-G185</f>
        <v>1.9000000000000057</v>
      </c>
      <c r="I185" s="1">
        <f>+(F185^14)/((F185^14+G185^14))</f>
        <v>0.55835042155864323</v>
      </c>
      <c r="J185" s="2">
        <v>113.8</v>
      </c>
      <c r="K185" s="2">
        <v>112</v>
      </c>
      <c r="L185" s="2">
        <f>+J185-K185</f>
        <v>1.7999999999999972</v>
      </c>
      <c r="M185" s="1">
        <f>+E185-I185</f>
        <v>-4.6155299607423705E-2</v>
      </c>
      <c r="N185" s="2">
        <v>113.1</v>
      </c>
      <c r="O185" s="2">
        <v>104</v>
      </c>
      <c r="P185" s="2">
        <f>+N185-O185</f>
        <v>9.0999999999999943</v>
      </c>
      <c r="Q185">
        <v>0.4</v>
      </c>
    </row>
    <row r="186" spans="1:17">
      <c r="A186" t="s">
        <v>48</v>
      </c>
      <c r="B186" t="s">
        <v>9</v>
      </c>
      <c r="C186">
        <v>19</v>
      </c>
      <c r="D186">
        <v>63</v>
      </c>
      <c r="E186" s="1">
        <f>+C186/(C186+D186)</f>
        <v>0.23170731707317074</v>
      </c>
      <c r="F186" s="2">
        <v>95.5</v>
      </c>
      <c r="G186" s="2">
        <v>104.5</v>
      </c>
      <c r="H186" s="2">
        <f>+F186-G186</f>
        <v>-9</v>
      </c>
      <c r="I186" s="1">
        <f>+(F186^14)/((F186^14+G186^14))</f>
        <v>0.22082734006674018</v>
      </c>
      <c r="J186" s="2">
        <v>101.5</v>
      </c>
      <c r="K186" s="2">
        <v>110.9</v>
      </c>
      <c r="L186" s="2">
        <f>+J186-K186</f>
        <v>-9.4000000000000057</v>
      </c>
      <c r="M186" s="1">
        <f>+E186-I186</f>
        <v>1.0879977006430563E-2</v>
      </c>
      <c r="N186" s="2">
        <v>110.9</v>
      </c>
      <c r="O186" s="2">
        <v>102.2</v>
      </c>
      <c r="P186" s="2">
        <f>+N186-O186</f>
        <v>8.7000000000000028</v>
      </c>
      <c r="Q186">
        <v>-0.8</v>
      </c>
    </row>
    <row r="187" spans="1:17">
      <c r="A187" t="s">
        <v>55</v>
      </c>
      <c r="B187" t="s">
        <v>56</v>
      </c>
      <c r="C187">
        <v>53</v>
      </c>
      <c r="D187">
        <v>29</v>
      </c>
      <c r="E187" s="1">
        <f>+C187/(C187+D187)</f>
        <v>0.64634146341463417</v>
      </c>
      <c r="F187" s="2">
        <v>104.5</v>
      </c>
      <c r="G187" s="2">
        <v>100.2</v>
      </c>
      <c r="H187" s="2">
        <f>+F187-G187</f>
        <v>4.2999999999999972</v>
      </c>
      <c r="I187" s="1">
        <f>+(F187^14)/((F187^14+G187^14))</f>
        <v>0.64296680993487854</v>
      </c>
      <c r="J187" s="2">
        <v>107.2</v>
      </c>
      <c r="K187" s="2">
        <v>102.7</v>
      </c>
      <c r="L187" s="2">
        <f>+J187-K187</f>
        <v>4.5</v>
      </c>
      <c r="M187" s="1">
        <f>+E187-I187</f>
        <v>3.3746534797556293E-3</v>
      </c>
      <c r="N187" s="2">
        <v>111.5</v>
      </c>
      <c r="O187" s="2">
        <v>102.8</v>
      </c>
      <c r="P187" s="2">
        <f>+N187-O187</f>
        <v>8.7000000000000028</v>
      </c>
      <c r="Q187">
        <v>-0.2</v>
      </c>
    </row>
    <row r="188" spans="1:17">
      <c r="A188" t="s">
        <v>43</v>
      </c>
      <c r="B188" t="s">
        <v>24</v>
      </c>
      <c r="C188">
        <v>35</v>
      </c>
      <c r="D188">
        <v>47</v>
      </c>
      <c r="E188" s="1">
        <f>+C188/(C188+D188)</f>
        <v>0.42682926829268292</v>
      </c>
      <c r="F188" s="2">
        <v>94.9</v>
      </c>
      <c r="G188" s="2">
        <v>98</v>
      </c>
      <c r="H188" s="2">
        <f>+F188-G188</f>
        <v>-3.0999999999999943</v>
      </c>
      <c r="I188" s="1">
        <f>+(F188^14)/((F188^14+G188^14))</f>
        <v>0.38935771732767777</v>
      </c>
      <c r="J188" s="2">
        <v>102.4</v>
      </c>
      <c r="K188" s="2">
        <v>105.6</v>
      </c>
      <c r="L188" s="2">
        <f>+J188-K188</f>
        <v>-3.1999999999999886</v>
      </c>
      <c r="M188" s="1">
        <f>+E188-I188</f>
        <v>3.7471550965005151E-2</v>
      </c>
      <c r="N188" s="2">
        <v>106.5</v>
      </c>
      <c r="O188" s="2">
        <v>97.9</v>
      </c>
      <c r="P188" s="2">
        <f>+N188-O188</f>
        <v>8.5999999999999943</v>
      </c>
      <c r="Q188">
        <v>-0.1</v>
      </c>
    </row>
    <row r="189" spans="1:17">
      <c r="A189" t="s">
        <v>48</v>
      </c>
      <c r="B189" t="s">
        <v>31</v>
      </c>
      <c r="C189">
        <v>39</v>
      </c>
      <c r="D189">
        <v>43</v>
      </c>
      <c r="E189" s="1">
        <f>+C189/(C189+D189)</f>
        <v>0.47560975609756095</v>
      </c>
      <c r="F189" s="2">
        <v>99.4</v>
      </c>
      <c r="G189" s="2">
        <v>101.3</v>
      </c>
      <c r="H189" s="2">
        <f>+F189-G189</f>
        <v>-1.8999999999999915</v>
      </c>
      <c r="I189" s="1">
        <f>+(F189^14)/((F189^14+G189^14))</f>
        <v>0.4341153034134177</v>
      </c>
      <c r="J189" s="2">
        <v>107</v>
      </c>
      <c r="K189" s="2">
        <v>108.8</v>
      </c>
      <c r="L189" s="2">
        <f>+J189-K189</f>
        <v>-1.7999999999999972</v>
      </c>
      <c r="M189" s="1">
        <f>+E189-I189</f>
        <v>4.1494452684143257E-2</v>
      </c>
      <c r="N189" s="2">
        <v>111.8</v>
      </c>
      <c r="O189" s="2">
        <v>103.3</v>
      </c>
      <c r="P189" s="2">
        <f>+N189-O189</f>
        <v>8.5</v>
      </c>
      <c r="Q189">
        <v>1.3</v>
      </c>
    </row>
    <row r="190" spans="1:17">
      <c r="A190" t="s">
        <v>41</v>
      </c>
      <c r="B190" t="s">
        <v>19</v>
      </c>
      <c r="C190">
        <v>40</v>
      </c>
      <c r="D190">
        <v>42</v>
      </c>
      <c r="E190" s="1">
        <f>+C190/(C190+D190)</f>
        <v>0.48780487804878048</v>
      </c>
      <c r="F190" s="2">
        <v>97.8</v>
      </c>
      <c r="G190" s="2">
        <v>98.8</v>
      </c>
      <c r="H190" s="2">
        <f>+F190-G190</f>
        <v>-1</v>
      </c>
      <c r="I190" s="1">
        <f>+(F190^14)/((F190^14+G190^14))</f>
        <v>0.46445446690558873</v>
      </c>
      <c r="J190" s="2">
        <v>104.9</v>
      </c>
      <c r="K190" s="2">
        <v>105.9</v>
      </c>
      <c r="L190" s="2">
        <f>+J190-K190</f>
        <v>-1</v>
      </c>
      <c r="M190" s="1">
        <f>+E190-I190</f>
        <v>2.3350411143191752E-2</v>
      </c>
      <c r="N190" s="2">
        <v>103.7</v>
      </c>
      <c r="O190" s="2">
        <v>95.3</v>
      </c>
      <c r="P190" s="2">
        <f>+N190-O190</f>
        <v>8.4000000000000057</v>
      </c>
      <c r="Q190">
        <v>-1.1000000000000001</v>
      </c>
    </row>
    <row r="191" spans="1:17">
      <c r="A191" t="s">
        <v>4</v>
      </c>
      <c r="B191" t="s">
        <v>19</v>
      </c>
      <c r="C191">
        <v>52</v>
      </c>
      <c r="D191">
        <v>30</v>
      </c>
      <c r="E191" s="1">
        <f>+C191/(C191+D191)</f>
        <v>0.63414634146341464</v>
      </c>
      <c r="F191" s="2">
        <v>100.7</v>
      </c>
      <c r="G191" s="2">
        <v>96.9</v>
      </c>
      <c r="H191" s="2">
        <f>+F191-G191</f>
        <v>3.7999999999999972</v>
      </c>
      <c r="I191" s="1">
        <f>+(F191^14)/((F191^14+G191^14))</f>
        <v>0.63146991070867009</v>
      </c>
      <c r="J191" s="2">
        <v>106.8</v>
      </c>
      <c r="K191" s="2">
        <v>102.6</v>
      </c>
      <c r="L191" s="2">
        <f>+J191-K191</f>
        <v>4.2000000000000028</v>
      </c>
      <c r="M191" s="1">
        <f>+E191-I191</f>
        <v>2.6764307547445521E-3</v>
      </c>
      <c r="N191" s="2">
        <v>112.2</v>
      </c>
      <c r="O191" s="2">
        <v>103.8</v>
      </c>
      <c r="P191" s="2">
        <f>+N191-O191</f>
        <v>8.4000000000000057</v>
      </c>
      <c r="Q191">
        <v>0.2</v>
      </c>
    </row>
    <row r="192" spans="1:17">
      <c r="A192" t="s">
        <v>44</v>
      </c>
      <c r="B192" t="s">
        <v>12</v>
      </c>
      <c r="C192">
        <v>59</v>
      </c>
      <c r="D192">
        <v>23</v>
      </c>
      <c r="E192" s="1">
        <f>+C192/(C192+D192)</f>
        <v>0.71951219512195119</v>
      </c>
      <c r="F192" s="2">
        <v>97.5</v>
      </c>
      <c r="G192" s="2">
        <v>90.1</v>
      </c>
      <c r="H192" s="2">
        <f>+F192-G192</f>
        <v>7.4000000000000057</v>
      </c>
      <c r="I192" s="1">
        <f>+(F192^14)/((F192^14+G192^14))</f>
        <v>0.75120531169841753</v>
      </c>
      <c r="J192" s="2">
        <v>109.8</v>
      </c>
      <c r="K192" s="2">
        <v>101.5</v>
      </c>
      <c r="L192" s="2">
        <f>+J192-K192</f>
        <v>8.2999999999999972</v>
      </c>
      <c r="M192" s="1">
        <f>+E192-I192</f>
        <v>-3.169311657646634E-2</v>
      </c>
      <c r="N192" s="2">
        <v>113.7</v>
      </c>
      <c r="O192" s="2">
        <v>105.3</v>
      </c>
      <c r="P192" s="2">
        <f>+N192-O192</f>
        <v>8.4000000000000057</v>
      </c>
      <c r="Q192">
        <v>0.6</v>
      </c>
    </row>
    <row r="193" spans="1:17">
      <c r="A193" t="s">
        <v>43</v>
      </c>
      <c r="B193" t="s">
        <v>8</v>
      </c>
      <c r="C193">
        <v>49</v>
      </c>
      <c r="D193">
        <v>33</v>
      </c>
      <c r="E193" s="1">
        <f>+C193/(C193+D193)</f>
        <v>0.59756097560975607</v>
      </c>
      <c r="F193" s="2">
        <v>98.8</v>
      </c>
      <c r="G193" s="2">
        <v>93.8</v>
      </c>
      <c r="H193" s="2">
        <f>+F193-G193</f>
        <v>5</v>
      </c>
      <c r="I193" s="1">
        <f>+(F193^14)/((F193^14+G193^14))</f>
        <v>0.67415944517455229</v>
      </c>
      <c r="J193" s="2">
        <v>104</v>
      </c>
      <c r="K193" s="2">
        <v>98.8</v>
      </c>
      <c r="L193" s="2">
        <f>+J193-K193</f>
        <v>5.2000000000000028</v>
      </c>
      <c r="M193" s="1">
        <f>+E193-I193</f>
        <v>-7.6598469564796212E-2</v>
      </c>
      <c r="N193" s="2">
        <v>98</v>
      </c>
      <c r="O193" s="2">
        <v>89.6</v>
      </c>
      <c r="P193" s="2">
        <f>+N193-O193</f>
        <v>8.4000000000000057</v>
      </c>
      <c r="Q193">
        <v>0.6</v>
      </c>
    </row>
    <row r="194" spans="1:17">
      <c r="A194" t="s">
        <v>45</v>
      </c>
      <c r="B194" t="s">
        <v>28</v>
      </c>
      <c r="C194">
        <v>54</v>
      </c>
      <c r="D194">
        <v>28</v>
      </c>
      <c r="E194" s="1">
        <f>+C194/(C194+D194)</f>
        <v>0.65853658536585369</v>
      </c>
      <c r="F194" s="2">
        <v>97</v>
      </c>
      <c r="G194" s="2">
        <v>93.3</v>
      </c>
      <c r="H194" s="2">
        <f>+F194-G194</f>
        <v>3.7000000000000028</v>
      </c>
      <c r="I194" s="1">
        <f>+(F194^14)/((F194^14+G194^14))</f>
        <v>0.63285214825789127</v>
      </c>
      <c r="J194" s="2">
        <v>107.6</v>
      </c>
      <c r="K194" s="2">
        <v>103.4</v>
      </c>
      <c r="L194" s="2">
        <f>+J194-K194</f>
        <v>4.1999999999999886</v>
      </c>
      <c r="M194" s="1">
        <f>+E194-I194</f>
        <v>2.5684437107962421E-2</v>
      </c>
      <c r="N194" s="2">
        <v>104.3</v>
      </c>
      <c r="O194" s="2">
        <v>95.9</v>
      </c>
      <c r="P194" s="2">
        <f>+N194-O194</f>
        <v>8.3999999999999915</v>
      </c>
      <c r="Q194">
        <v>0.7</v>
      </c>
    </row>
    <row r="195" spans="1:17">
      <c r="A195" t="s">
        <v>38</v>
      </c>
      <c r="B195" t="s">
        <v>27</v>
      </c>
      <c r="C195">
        <v>55</v>
      </c>
      <c r="D195">
        <v>27</v>
      </c>
      <c r="E195" s="1">
        <f>+C195/(C195+D195)</f>
        <v>0.67073170731707321</v>
      </c>
      <c r="F195" s="2">
        <v>102.8</v>
      </c>
      <c r="G195" s="2">
        <v>97.8</v>
      </c>
      <c r="H195" s="2">
        <f>+F195-G195</f>
        <v>5</v>
      </c>
      <c r="I195" s="1">
        <f>+(F195^14)/((F195^14+G195^14))</f>
        <v>0.66775548198710677</v>
      </c>
      <c r="J195" s="2">
        <v>108.6</v>
      </c>
      <c r="K195" s="2">
        <v>103.2</v>
      </c>
      <c r="L195" s="2">
        <f>+J195-K195</f>
        <v>5.3999999999999915</v>
      </c>
      <c r="M195" s="1">
        <f>+E195-I195</f>
        <v>2.9762253299664421E-3</v>
      </c>
      <c r="N195" s="2">
        <v>105.1</v>
      </c>
      <c r="O195" s="2">
        <v>96.7</v>
      </c>
      <c r="P195" s="2">
        <f>+N195-O195</f>
        <v>8.3999999999999915</v>
      </c>
      <c r="Q195">
        <v>1.5</v>
      </c>
    </row>
    <row r="196" spans="1:17">
      <c r="A196" t="s">
        <v>34</v>
      </c>
      <c r="B196" t="s">
        <v>10</v>
      </c>
      <c r="C196">
        <v>57</v>
      </c>
      <c r="D196">
        <v>25</v>
      </c>
      <c r="E196" s="1">
        <f>+C196/(C196+D196)</f>
        <v>0.69512195121951215</v>
      </c>
      <c r="F196" s="2">
        <v>105.2</v>
      </c>
      <c r="G196" s="2">
        <v>101</v>
      </c>
      <c r="H196" s="2">
        <f>+F196-G196</f>
        <v>4.2000000000000028</v>
      </c>
      <c r="I196" s="1">
        <f>+(F196^14)/((F196^14+G196^14))</f>
        <v>0.63885522994426547</v>
      </c>
      <c r="J196" s="2">
        <v>110.3</v>
      </c>
      <c r="K196" s="2">
        <v>106</v>
      </c>
      <c r="L196" s="2">
        <f>+J196-K196</f>
        <v>4.2999999999999972</v>
      </c>
      <c r="M196" s="1">
        <f>+E196-I196</f>
        <v>5.6266721275246678E-2</v>
      </c>
      <c r="N196" s="2">
        <v>115.5</v>
      </c>
      <c r="O196" s="2">
        <v>107.2</v>
      </c>
      <c r="P196" s="2">
        <f>+N196-O196</f>
        <v>8.2999999999999972</v>
      </c>
      <c r="Q196">
        <v>1.5</v>
      </c>
    </row>
    <row r="197" spans="1:17">
      <c r="A197" t="s">
        <v>58</v>
      </c>
      <c r="B197" t="s">
        <v>18</v>
      </c>
      <c r="C197">
        <v>44</v>
      </c>
      <c r="D197">
        <v>38</v>
      </c>
      <c r="E197" s="1">
        <f>+C197/(C197+D197)</f>
        <v>0.53658536585365857</v>
      </c>
      <c r="F197" s="2">
        <v>103.4</v>
      </c>
      <c r="G197" s="2">
        <v>102.9</v>
      </c>
      <c r="H197" s="2">
        <f>+F197-G197</f>
        <v>0.5</v>
      </c>
      <c r="I197" s="1">
        <f>+(F197^14)/((F197^14+G197^14))</f>
        <v>0.5169591093166388</v>
      </c>
      <c r="J197" s="2">
        <v>106.2</v>
      </c>
      <c r="K197" s="2">
        <v>105.8</v>
      </c>
      <c r="L197" s="2">
        <f>+J197-K197</f>
        <v>0.40000000000000568</v>
      </c>
      <c r="M197" s="1">
        <f>+E197-I197</f>
        <v>1.9626256537019771E-2</v>
      </c>
      <c r="N197" s="2">
        <v>108.7</v>
      </c>
      <c r="O197" s="2">
        <v>100.4</v>
      </c>
      <c r="P197" s="2">
        <f>+N197-O197</f>
        <v>8.2999999999999972</v>
      </c>
      <c r="Q197">
        <v>0.7</v>
      </c>
    </row>
    <row r="198" spans="1:17">
      <c r="A198" t="s">
        <v>55</v>
      </c>
      <c r="B198" t="s">
        <v>30</v>
      </c>
      <c r="C198">
        <v>56</v>
      </c>
      <c r="D198">
        <v>26</v>
      </c>
      <c r="E198" s="1">
        <f>+C198/(C198+D198)</f>
        <v>0.68292682926829273</v>
      </c>
      <c r="F198" s="2">
        <v>102.7</v>
      </c>
      <c r="G198" s="2">
        <v>98.2</v>
      </c>
      <c r="H198" s="2">
        <f>+F198-G198</f>
        <v>4.5</v>
      </c>
      <c r="I198" s="1">
        <f>+(F198^14)/((F198^14+G198^14))</f>
        <v>0.65187304994551343</v>
      </c>
      <c r="J198" s="2">
        <v>109.3</v>
      </c>
      <c r="K198" s="2">
        <v>104.8</v>
      </c>
      <c r="L198" s="2">
        <f>+J198-K198</f>
        <v>4.5</v>
      </c>
      <c r="M198" s="1">
        <f>+E198-I198</f>
        <v>3.1053779322779307E-2</v>
      </c>
      <c r="N198" s="2">
        <v>108.5</v>
      </c>
      <c r="O198" s="2">
        <v>100.3</v>
      </c>
      <c r="P198" s="2">
        <f>+N198-O198</f>
        <v>8.2000000000000028</v>
      </c>
      <c r="Q198">
        <v>1.5</v>
      </c>
    </row>
    <row r="199" spans="1:17">
      <c r="A199" t="s">
        <v>41</v>
      </c>
      <c r="B199" t="s">
        <v>10</v>
      </c>
      <c r="C199">
        <v>60</v>
      </c>
      <c r="D199">
        <v>22</v>
      </c>
      <c r="E199" s="1">
        <f>+C199/(C199+D199)</f>
        <v>0.73170731707317072</v>
      </c>
      <c r="F199" s="2">
        <v>99.1</v>
      </c>
      <c r="G199" s="2">
        <v>93.1</v>
      </c>
      <c r="H199" s="2">
        <f>+F199-G199</f>
        <v>6</v>
      </c>
      <c r="I199" s="1">
        <f>+(F199^14)/((F199^14+G199^14))</f>
        <v>0.70565493727063389</v>
      </c>
      <c r="J199" s="2">
        <v>109.9</v>
      </c>
      <c r="K199" s="2">
        <v>103.2</v>
      </c>
      <c r="L199" s="2">
        <f>+J199-K199</f>
        <v>6.7000000000000028</v>
      </c>
      <c r="M199" s="1">
        <f>+E199-I199</f>
        <v>2.6052379802536829E-2</v>
      </c>
      <c r="N199" s="2">
        <v>105.6</v>
      </c>
      <c r="O199" s="2">
        <v>97.4</v>
      </c>
      <c r="P199" s="2">
        <f>+N199-O199</f>
        <v>8.1999999999999886</v>
      </c>
      <c r="Q199">
        <v>1.6</v>
      </c>
    </row>
    <row r="200" spans="1:17">
      <c r="A200" t="s">
        <v>66</v>
      </c>
      <c r="B200" t="s">
        <v>19</v>
      </c>
      <c r="C200">
        <v>27</v>
      </c>
      <c r="D200">
        <v>35</v>
      </c>
      <c r="E200" s="1">
        <f>+C200/(C200+D200)</f>
        <v>0.43548387096774194</v>
      </c>
      <c r="F200" s="2">
        <v>111.4</v>
      </c>
      <c r="G200" s="2">
        <v>115.5</v>
      </c>
      <c r="H200" s="2">
        <f>+F200-G200</f>
        <v>-4.0999999999999943</v>
      </c>
      <c r="I200" s="1">
        <f>+(F200^14)/((F200^14+G200^14))</f>
        <v>0.37613055154918495</v>
      </c>
      <c r="J200" s="2">
        <v>112.7</v>
      </c>
      <c r="K200" s="2">
        <v>116.7</v>
      </c>
      <c r="L200" s="2">
        <f>+J200-K200</f>
        <v>-4</v>
      </c>
      <c r="M200" s="1">
        <f>+E200-I200</f>
        <v>5.9353319418556982E-2</v>
      </c>
      <c r="N200" s="2">
        <v>119.7</v>
      </c>
      <c r="O200" s="2">
        <v>111.6</v>
      </c>
      <c r="P200" s="2">
        <f>+N200-O200</f>
        <v>8.1000000000000085</v>
      </c>
      <c r="Q200" s="2">
        <v>-0.3</v>
      </c>
    </row>
    <row r="201" spans="1:17">
      <c r="A201" t="s">
        <v>61</v>
      </c>
      <c r="B201" t="s">
        <v>31</v>
      </c>
      <c r="C201">
        <v>52</v>
      </c>
      <c r="D201">
        <v>20</v>
      </c>
      <c r="E201" s="1">
        <f>+C201/(C201+D201)</f>
        <v>0.72222222222222221</v>
      </c>
      <c r="F201" s="2">
        <v>116.4</v>
      </c>
      <c r="G201" s="2">
        <v>107.2</v>
      </c>
      <c r="H201" s="2">
        <f>+F201-G201</f>
        <v>9.2000000000000028</v>
      </c>
      <c r="I201" s="1">
        <f>+(F201^14)/((F201^14+G201^14))</f>
        <v>0.76000519896530916</v>
      </c>
      <c r="J201" s="2">
        <v>116.5</v>
      </c>
      <c r="K201" s="2">
        <v>107.5</v>
      </c>
      <c r="L201" s="2">
        <f>+J201-K201</f>
        <v>9</v>
      </c>
      <c r="M201" s="1">
        <f>+E201-I201</f>
        <v>-3.7782976743086949E-2</v>
      </c>
      <c r="N201" s="2">
        <v>118.2</v>
      </c>
      <c r="O201" s="2">
        <v>110.1</v>
      </c>
      <c r="P201" s="2">
        <f>+N201-O201</f>
        <v>8.1000000000000085</v>
      </c>
      <c r="Q201">
        <v>1.2</v>
      </c>
    </row>
    <row r="202" spans="1:17">
      <c r="A202" t="s">
        <v>52</v>
      </c>
      <c r="B202" t="s">
        <v>8</v>
      </c>
      <c r="C202">
        <v>48</v>
      </c>
      <c r="D202">
        <v>34</v>
      </c>
      <c r="E202" s="1">
        <f>+C202/(C202+D202)</f>
        <v>0.58536585365853655</v>
      </c>
      <c r="F202" s="2">
        <v>93.7</v>
      </c>
      <c r="G202" s="2">
        <v>91.8</v>
      </c>
      <c r="H202" s="2">
        <f>+F202-G202</f>
        <v>1.9000000000000057</v>
      </c>
      <c r="I202" s="1">
        <f>+(F202^14)/((F202^14+G202^14))</f>
        <v>0.57121314816076207</v>
      </c>
      <c r="J202" s="2">
        <v>101.7</v>
      </c>
      <c r="K202" s="2">
        <v>99.9</v>
      </c>
      <c r="L202" s="2">
        <f>+J202-K202</f>
        <v>1.7999999999999972</v>
      </c>
      <c r="M202" s="1">
        <f>+E202-I202</f>
        <v>1.4152705497774476E-2</v>
      </c>
      <c r="N202" s="2">
        <v>91.5</v>
      </c>
      <c r="O202" s="2">
        <v>83.4</v>
      </c>
      <c r="P202" s="2">
        <f>+N202-O202</f>
        <v>8.0999999999999943</v>
      </c>
      <c r="Q202">
        <v>1</v>
      </c>
    </row>
    <row r="203" spans="1:17">
      <c r="A203" t="s">
        <v>50</v>
      </c>
      <c r="B203" t="s">
        <v>13</v>
      </c>
      <c r="C203">
        <v>47</v>
      </c>
      <c r="D203">
        <v>35</v>
      </c>
      <c r="E203" s="1">
        <f>+C203/(C203+D203)</f>
        <v>0.57317073170731703</v>
      </c>
      <c r="F203" s="2">
        <v>101.2</v>
      </c>
      <c r="G203" s="2">
        <v>100.3</v>
      </c>
      <c r="H203" s="2">
        <f>+F203-G203</f>
        <v>0.90000000000000568</v>
      </c>
      <c r="I203" s="1">
        <f>+(F203^14)/((F203^14+G203^14))</f>
        <v>0.53122502870875743</v>
      </c>
      <c r="J203" s="2">
        <v>105.1</v>
      </c>
      <c r="K203" s="2">
        <v>104.2</v>
      </c>
      <c r="L203" s="2">
        <f>+J203-K203</f>
        <v>0.89999999999999147</v>
      </c>
      <c r="M203" s="1">
        <f>+E203-I203</f>
        <v>4.1945702998559597E-2</v>
      </c>
      <c r="N203" s="2">
        <v>101.8</v>
      </c>
      <c r="O203" s="2">
        <v>93.8</v>
      </c>
      <c r="P203" s="2">
        <f>+N203-O203</f>
        <v>8</v>
      </c>
      <c r="Q203">
        <v>0.8</v>
      </c>
    </row>
    <row r="204" spans="1:17">
      <c r="A204" t="s">
        <v>39</v>
      </c>
      <c r="B204" t="s">
        <v>12</v>
      </c>
      <c r="C204">
        <v>54</v>
      </c>
      <c r="D204">
        <v>28</v>
      </c>
      <c r="E204" s="1">
        <f>+C204/(C204+D204)</f>
        <v>0.65853658536585369</v>
      </c>
      <c r="F204" s="2">
        <v>93.3</v>
      </c>
      <c r="G204" s="2">
        <v>89.5</v>
      </c>
      <c r="H204" s="2">
        <f>+F204-G204</f>
        <v>3.7999999999999972</v>
      </c>
      <c r="I204" s="1">
        <f>+(F204^14)/((F204^14+G204^14))</f>
        <v>0.64155984536555377</v>
      </c>
      <c r="J204" s="2">
        <v>103.9</v>
      </c>
      <c r="K204" s="2">
        <v>99.6</v>
      </c>
      <c r="L204" s="2">
        <f>+J204-K204</f>
        <v>4.3000000000000114</v>
      </c>
      <c r="M204" s="1">
        <f>+E204-I204</f>
        <v>1.6976740000299917E-2</v>
      </c>
      <c r="N204" s="2">
        <v>100</v>
      </c>
      <c r="O204" s="2">
        <v>92</v>
      </c>
      <c r="P204" s="2">
        <f>+N204-O204</f>
        <v>8</v>
      </c>
      <c r="Q204">
        <v>0.1</v>
      </c>
    </row>
    <row r="205" spans="1:17">
      <c r="A205" t="s">
        <v>52</v>
      </c>
      <c r="B205" t="s">
        <v>30</v>
      </c>
      <c r="C205">
        <v>48</v>
      </c>
      <c r="D205">
        <v>34</v>
      </c>
      <c r="E205" s="1">
        <f>+C205/(C205+D205)</f>
        <v>0.58536585365853655</v>
      </c>
      <c r="F205" s="2">
        <v>101.3</v>
      </c>
      <c r="G205" s="2">
        <v>98</v>
      </c>
      <c r="H205" s="2">
        <f>+F205-G205</f>
        <v>3.2999999999999972</v>
      </c>
      <c r="I205" s="1">
        <f>+(F205^14)/((F205^14+G205^14))</f>
        <v>0.6138832683846418</v>
      </c>
      <c r="J205" s="2">
        <v>107.9</v>
      </c>
      <c r="K205" s="2">
        <v>104.6</v>
      </c>
      <c r="L205" s="2">
        <f>+J205-K205</f>
        <v>3.3000000000000114</v>
      </c>
      <c r="M205" s="1">
        <f>+E205-I205</f>
        <v>-2.851741472610525E-2</v>
      </c>
      <c r="N205" s="2">
        <v>102.9</v>
      </c>
      <c r="O205" s="2">
        <v>95</v>
      </c>
      <c r="P205" s="2">
        <f>+N205-O205</f>
        <v>7.9000000000000057</v>
      </c>
      <c r="Q205">
        <v>2.4</v>
      </c>
    </row>
    <row r="206" spans="1:17">
      <c r="A206" t="s">
        <v>62</v>
      </c>
      <c r="B206" t="s">
        <v>35</v>
      </c>
      <c r="C206">
        <v>56</v>
      </c>
      <c r="D206">
        <v>26</v>
      </c>
      <c r="E206" s="1">
        <f>+C206/(C206+D206)</f>
        <v>0.68292682926829273</v>
      </c>
      <c r="F206" s="2">
        <v>115.6</v>
      </c>
      <c r="G206" s="2">
        <v>109.9</v>
      </c>
      <c r="H206" s="2">
        <f>+F206-G206</f>
        <v>5.6999999999999886</v>
      </c>
      <c r="I206" s="1">
        <f>+(F206^14)/((F206^14+G206^14))</f>
        <v>0.66993947540957544</v>
      </c>
      <c r="J206" s="2">
        <v>114.3</v>
      </c>
      <c r="K206" s="2">
        <v>108.9</v>
      </c>
      <c r="L206" s="2">
        <f>+J206-K206</f>
        <v>5.3999999999999915</v>
      </c>
      <c r="M206" s="1">
        <f>+E206-I206</f>
        <v>1.2987353858717299E-2</v>
      </c>
      <c r="N206" s="2">
        <v>111.6</v>
      </c>
      <c r="O206" s="2">
        <v>103.7</v>
      </c>
      <c r="P206" s="2">
        <f>+N206-O206</f>
        <v>7.8999999999999915</v>
      </c>
      <c r="Q206">
        <v>0.1</v>
      </c>
    </row>
    <row r="207" spans="1:17">
      <c r="A207" t="s">
        <v>48</v>
      </c>
      <c r="B207" t="s">
        <v>40</v>
      </c>
      <c r="C207">
        <v>34</v>
      </c>
      <c r="D207">
        <v>48</v>
      </c>
      <c r="E207" s="1">
        <f>+C207/(C207+D207)</f>
        <v>0.41463414634146339</v>
      </c>
      <c r="F207" s="2">
        <v>93.3</v>
      </c>
      <c r="G207" s="2">
        <v>97.3</v>
      </c>
      <c r="H207" s="2">
        <f>+F207-G207</f>
        <v>-4</v>
      </c>
      <c r="I207" s="1">
        <f>+(F207^14)/((F207^14+G207^14))</f>
        <v>0.35716175877963002</v>
      </c>
      <c r="J207" s="2">
        <v>102.8</v>
      </c>
      <c r="K207" s="2">
        <v>107</v>
      </c>
      <c r="L207" s="2">
        <f>+J207-K207</f>
        <v>-4.2000000000000028</v>
      </c>
      <c r="M207" s="1">
        <f>+E207-I207</f>
        <v>5.7472387561833371E-2</v>
      </c>
      <c r="N207" s="2">
        <v>105.8</v>
      </c>
      <c r="O207" s="2">
        <v>98</v>
      </c>
      <c r="P207" s="2">
        <f>+N207-O207</f>
        <v>7.7999999999999972</v>
      </c>
      <c r="Q207">
        <v>0</v>
      </c>
    </row>
    <row r="208" spans="1:17">
      <c r="A208" t="s">
        <v>59</v>
      </c>
      <c r="B208" t="s">
        <v>30</v>
      </c>
      <c r="C208">
        <v>58</v>
      </c>
      <c r="D208">
        <v>24</v>
      </c>
      <c r="E208" s="1">
        <f>+C208/(C208+D208)</f>
        <v>0.70731707317073167</v>
      </c>
      <c r="F208" s="2">
        <v>114.4</v>
      </c>
      <c r="G208" s="2">
        <v>108.4</v>
      </c>
      <c r="H208" s="2">
        <f>+F208-G208</f>
        <v>6</v>
      </c>
      <c r="I208" s="1">
        <f>+(F208^14)/((F208^14+G208^14))</f>
        <v>0.68009792442204564</v>
      </c>
      <c r="J208" s="2">
        <v>112.6</v>
      </c>
      <c r="K208" s="2">
        <v>106.8</v>
      </c>
      <c r="L208" s="2">
        <f>+J208-K208</f>
        <v>5.7999999999999972</v>
      </c>
      <c r="M208" s="1">
        <f>+E208-I208</f>
        <v>2.7219148748686028E-2</v>
      </c>
      <c r="N208" s="2">
        <v>108.1</v>
      </c>
      <c r="O208" s="2">
        <v>100.3</v>
      </c>
      <c r="P208" s="2">
        <f>+N208-O208</f>
        <v>7.7999999999999972</v>
      </c>
      <c r="Q208">
        <v>-0.5</v>
      </c>
    </row>
    <row r="209" spans="1:17">
      <c r="A209" t="s">
        <v>58</v>
      </c>
      <c r="B209" t="s">
        <v>13</v>
      </c>
      <c r="C209">
        <v>58</v>
      </c>
      <c r="D209">
        <v>24</v>
      </c>
      <c r="E209" s="1">
        <f>+C209/(C209+D209)</f>
        <v>0.70731707317073167</v>
      </c>
      <c r="F209" s="2">
        <v>113.5</v>
      </c>
      <c r="G209" s="2">
        <v>107.5</v>
      </c>
      <c r="H209" s="2">
        <f>+F209-G209</f>
        <v>6</v>
      </c>
      <c r="I209" s="1">
        <f>+(F209^14)/((F209^14+G209^14))</f>
        <v>0.68143359288372995</v>
      </c>
      <c r="J209" s="2">
        <v>112.8</v>
      </c>
      <c r="K209" s="2">
        <v>106.8</v>
      </c>
      <c r="L209" s="2">
        <f>+J209-K209</f>
        <v>6</v>
      </c>
      <c r="M209" s="1">
        <f>+E209-I209</f>
        <v>2.5883480287001714E-2</v>
      </c>
      <c r="N209" s="2">
        <v>113.1</v>
      </c>
      <c r="O209" s="2">
        <v>105.3</v>
      </c>
      <c r="P209" s="2">
        <f>+N209-O209</f>
        <v>7.7999999999999972</v>
      </c>
      <c r="Q209">
        <v>0</v>
      </c>
    </row>
    <row r="210" spans="1:17">
      <c r="A210" t="s">
        <v>66</v>
      </c>
      <c r="B210" t="s">
        <v>9</v>
      </c>
      <c r="C210">
        <v>39</v>
      </c>
      <c r="D210">
        <v>24</v>
      </c>
      <c r="E210" s="1">
        <f>+C210/(C210+D210)</f>
        <v>0.61904761904761907</v>
      </c>
      <c r="F210" s="2">
        <v>119.1</v>
      </c>
      <c r="G210" s="2">
        <v>114.9</v>
      </c>
      <c r="H210" s="2">
        <f>+F210-G210</f>
        <v>4.1999999999999886</v>
      </c>
      <c r="I210" s="1">
        <f>+(F210^14)/((F210^14+G210^14))</f>
        <v>0.62307439243207641</v>
      </c>
      <c r="J210" s="2">
        <v>117.4</v>
      </c>
      <c r="K210" s="2">
        <v>113.1</v>
      </c>
      <c r="L210" s="2">
        <f>+J210-K210</f>
        <v>4.3000000000000114</v>
      </c>
      <c r="M210" s="1">
        <f>+E210-I210</f>
        <v>-4.0267733844573383E-3</v>
      </c>
      <c r="N210" s="2">
        <v>114.8</v>
      </c>
      <c r="O210" s="2">
        <v>107</v>
      </c>
      <c r="P210" s="2">
        <f>+N210-O210</f>
        <v>7.7999999999999972</v>
      </c>
      <c r="Q210">
        <v>1.9</v>
      </c>
    </row>
    <row r="211" spans="1:17">
      <c r="A211" t="s">
        <v>60</v>
      </c>
      <c r="B211" t="s">
        <v>56</v>
      </c>
      <c r="C211">
        <v>49</v>
      </c>
      <c r="D211">
        <v>23</v>
      </c>
      <c r="E211" s="1">
        <f>+C211/(C211+D211)</f>
        <v>0.68055555555555558</v>
      </c>
      <c r="F211" s="2">
        <v>116.3</v>
      </c>
      <c r="G211" s="2">
        <v>109.9</v>
      </c>
      <c r="H211" s="2">
        <f>+F211-G211</f>
        <v>6.3999999999999915</v>
      </c>
      <c r="I211" s="1">
        <f>+(F211^14)/((F211^14+G211^14))</f>
        <v>0.68835302636242091</v>
      </c>
      <c r="J211" s="2">
        <v>113.3</v>
      </c>
      <c r="K211" s="2">
        <v>106.9</v>
      </c>
      <c r="L211" s="2">
        <f>+J211-K211</f>
        <v>6.3999999999999915</v>
      </c>
      <c r="M211" s="1">
        <f>+E211-I211</f>
        <v>-7.7974708068653253E-3</v>
      </c>
      <c r="N211" s="2">
        <v>116</v>
      </c>
      <c r="O211" s="2">
        <v>108.3</v>
      </c>
      <c r="P211" s="2">
        <f>+N211-O211</f>
        <v>7.7000000000000028</v>
      </c>
      <c r="Q211">
        <v>0.7</v>
      </c>
    </row>
    <row r="212" spans="1:17">
      <c r="A212" t="s">
        <v>63</v>
      </c>
      <c r="B212" t="s">
        <v>31</v>
      </c>
      <c r="C212">
        <v>37</v>
      </c>
      <c r="D212">
        <v>45</v>
      </c>
      <c r="E212" s="1">
        <f>+C212/(C212+D212)</f>
        <v>0.45121951219512196</v>
      </c>
      <c r="F212" s="2">
        <v>117.1</v>
      </c>
      <c r="G212" s="2">
        <v>118</v>
      </c>
      <c r="H212" s="2">
        <f>+F212-G212</f>
        <v>-0.90000000000000568</v>
      </c>
      <c r="I212" s="1">
        <f>+(F212^14)/((F212^14+G212^14))</f>
        <v>0.47322838921503652</v>
      </c>
      <c r="J212" s="2">
        <v>115.3</v>
      </c>
      <c r="K212" s="2">
        <v>116</v>
      </c>
      <c r="L212" s="2">
        <f>+J212-K212</f>
        <v>-0.70000000000000284</v>
      </c>
      <c r="M212" s="1">
        <f>+E212-I212</f>
        <v>-2.2008877019914552E-2</v>
      </c>
      <c r="N212" s="2">
        <v>117.2</v>
      </c>
      <c r="O212" s="2">
        <v>109.5</v>
      </c>
      <c r="P212" s="2">
        <f>+N212-O212</f>
        <v>7.7000000000000028</v>
      </c>
      <c r="Q212">
        <v>-0.1</v>
      </c>
    </row>
    <row r="213" spans="1:17">
      <c r="A213" t="s">
        <v>48</v>
      </c>
      <c r="B213" t="s">
        <v>28</v>
      </c>
      <c r="C213">
        <v>61</v>
      </c>
      <c r="D213">
        <v>21</v>
      </c>
      <c r="E213" s="1">
        <f>+C213/(C213+D213)</f>
        <v>0.74390243902439024</v>
      </c>
      <c r="F213" s="2">
        <v>103.7</v>
      </c>
      <c r="G213" s="2">
        <v>98</v>
      </c>
      <c r="H213" s="2">
        <f>+F213-G213</f>
        <v>5.7000000000000028</v>
      </c>
      <c r="I213" s="1">
        <f>+(F213^14)/((F213^14+G213^14))</f>
        <v>0.68815008100174779</v>
      </c>
      <c r="J213" s="2">
        <v>110.5</v>
      </c>
      <c r="K213" s="2">
        <v>104.4</v>
      </c>
      <c r="L213" s="2">
        <f>+J213-K213</f>
        <v>6.0999999999999943</v>
      </c>
      <c r="M213" s="1">
        <f>+E213-I213</f>
        <v>5.5752358022642445E-2</v>
      </c>
      <c r="N213" s="2">
        <v>100.7</v>
      </c>
      <c r="O213" s="2">
        <v>93.1</v>
      </c>
      <c r="P213" s="2">
        <f>+N213-O213</f>
        <v>7.6000000000000085</v>
      </c>
      <c r="Q213">
        <v>0.9</v>
      </c>
    </row>
    <row r="214" spans="1:17">
      <c r="A214" t="s">
        <v>47</v>
      </c>
      <c r="B214" t="s">
        <v>23</v>
      </c>
      <c r="C214">
        <v>59</v>
      </c>
      <c r="D214">
        <v>23</v>
      </c>
      <c r="E214" s="1">
        <f>+C214/(C214+D214)</f>
        <v>0.71951219512195119</v>
      </c>
      <c r="F214" s="2">
        <v>102.8</v>
      </c>
      <c r="G214" s="2">
        <v>95.3</v>
      </c>
      <c r="H214" s="2">
        <f>+F214-G214</f>
        <v>7.5</v>
      </c>
      <c r="I214" s="1">
        <f>+(F214^14)/((F214^14+G214^14))</f>
        <v>0.74280090861208392</v>
      </c>
      <c r="J214" s="2">
        <v>110.7</v>
      </c>
      <c r="K214" s="2">
        <v>102.8</v>
      </c>
      <c r="L214" s="2">
        <f>+J214-K214</f>
        <v>7.9000000000000057</v>
      </c>
      <c r="M214" s="1">
        <f>+E214-I214</f>
        <v>-2.3288713490132729E-2</v>
      </c>
      <c r="N214" s="2">
        <v>107.6</v>
      </c>
      <c r="O214" s="2">
        <v>100</v>
      </c>
      <c r="P214" s="2">
        <f>+N214-O214</f>
        <v>7.5999999999999943</v>
      </c>
      <c r="Q214">
        <v>1.3</v>
      </c>
    </row>
    <row r="215" spans="1:17">
      <c r="A215" t="s">
        <v>50</v>
      </c>
      <c r="B215" t="s">
        <v>35</v>
      </c>
      <c r="C215">
        <v>56</v>
      </c>
      <c r="D215">
        <v>26</v>
      </c>
      <c r="E215" s="1">
        <f>+C215/(C215+D215)</f>
        <v>0.68292682926829273</v>
      </c>
      <c r="F215" s="2">
        <v>93.4</v>
      </c>
      <c r="G215" s="2">
        <v>89.3</v>
      </c>
      <c r="H215" s="2">
        <f>+F215-G215</f>
        <v>4.1000000000000085</v>
      </c>
      <c r="I215" s="1">
        <f>+(F215^14)/((F215^14+G215^14))</f>
        <v>0.65213973687486437</v>
      </c>
      <c r="J215" s="2">
        <v>103.6</v>
      </c>
      <c r="K215" s="2">
        <v>99.1</v>
      </c>
      <c r="L215" s="2">
        <f>+J215-K215</f>
        <v>4.5</v>
      </c>
      <c r="M215" s="1">
        <f>+E215-I215</f>
        <v>3.0787092393428361E-2</v>
      </c>
      <c r="N215" s="2">
        <v>97.9</v>
      </c>
      <c r="O215" s="2">
        <v>90.4</v>
      </c>
      <c r="P215" s="2">
        <f>+N215-O215</f>
        <v>7.5</v>
      </c>
      <c r="Q215">
        <v>-0.7</v>
      </c>
    </row>
    <row r="216" spans="1:17">
      <c r="A216" t="s">
        <v>49</v>
      </c>
      <c r="B216" t="s">
        <v>27</v>
      </c>
      <c r="C216">
        <v>22</v>
      </c>
      <c r="D216">
        <v>44</v>
      </c>
      <c r="E216" s="1">
        <f>+C216/(C216+D216)</f>
        <v>0.33333333333333331</v>
      </c>
      <c r="F216" s="2">
        <v>98.8</v>
      </c>
      <c r="G216" s="2">
        <v>104.4</v>
      </c>
      <c r="H216" s="2">
        <f>+F216-G216</f>
        <v>-5.6000000000000085</v>
      </c>
      <c r="I216" s="1">
        <f>+(F216^14)/((F216^14+G216^14))</f>
        <v>0.31607926844552064</v>
      </c>
      <c r="J216" s="2">
        <v>102.9</v>
      </c>
      <c r="K216" s="2">
        <v>108.7</v>
      </c>
      <c r="L216" s="2">
        <f>+J216-K216</f>
        <v>-5.7999999999999972</v>
      </c>
      <c r="M216" s="1">
        <f>+E216-I216</f>
        <v>1.725406488781267E-2</v>
      </c>
      <c r="N216" s="2">
        <v>100</v>
      </c>
      <c r="O216" s="2">
        <v>92.5</v>
      </c>
      <c r="P216" s="2">
        <f>+N216-O216</f>
        <v>7.5</v>
      </c>
      <c r="Q216">
        <v>0</v>
      </c>
    </row>
    <row r="217" spans="1:17">
      <c r="A217" t="s">
        <v>47</v>
      </c>
      <c r="B217" t="s">
        <v>11</v>
      </c>
      <c r="C217">
        <v>53</v>
      </c>
      <c r="D217">
        <v>29</v>
      </c>
      <c r="E217" s="1">
        <f>+C217/(C217+D217)</f>
        <v>0.64634146341463417</v>
      </c>
      <c r="F217" s="2">
        <v>106.5</v>
      </c>
      <c r="G217" s="2">
        <v>102.4</v>
      </c>
      <c r="H217" s="2">
        <f>+F217-G217</f>
        <v>4.0999999999999943</v>
      </c>
      <c r="I217" s="1">
        <f>+(F217^14)/((F217^14+G217^14))</f>
        <v>0.63404645270509008</v>
      </c>
      <c r="J217" s="2">
        <v>110.8</v>
      </c>
      <c r="K217" s="2">
        <v>106.5</v>
      </c>
      <c r="L217" s="2">
        <f>+J217-K217</f>
        <v>4.2999999999999972</v>
      </c>
      <c r="M217" s="1">
        <f>+E217-I217</f>
        <v>1.2295010709544085E-2</v>
      </c>
      <c r="N217" s="2">
        <v>117.7</v>
      </c>
      <c r="O217" s="2">
        <v>110.2</v>
      </c>
      <c r="P217" s="2">
        <f>+N217-O217</f>
        <v>7.5</v>
      </c>
      <c r="Q217">
        <v>1.6</v>
      </c>
    </row>
    <row r="218" spans="1:17">
      <c r="A218" t="s">
        <v>65</v>
      </c>
      <c r="B218" t="s">
        <v>19</v>
      </c>
      <c r="C218">
        <v>47</v>
      </c>
      <c r="D218">
        <v>34</v>
      </c>
      <c r="E218" s="1">
        <f>+C218/(C218+D218)</f>
        <v>0.58024691358024694</v>
      </c>
      <c r="F218" s="2">
        <v>115.6</v>
      </c>
      <c r="G218" s="2">
        <v>113.2</v>
      </c>
      <c r="H218" s="2">
        <f>+F218-G218</f>
        <v>2.3999999999999915</v>
      </c>
      <c r="I218" s="1">
        <f>+(F218^14)/((F218^14+G218^14))</f>
        <v>0.57290588785941787</v>
      </c>
      <c r="J218" s="2">
        <v>115.3</v>
      </c>
      <c r="K218" s="2">
        <v>112.9</v>
      </c>
      <c r="L218" s="2">
        <f>+J218-K218</f>
        <v>2.3999999999999915</v>
      </c>
      <c r="M218" s="1">
        <f>+E218-I218</f>
        <v>7.3410257208290641E-3</v>
      </c>
      <c r="N218" s="2">
        <v>102.5</v>
      </c>
      <c r="O218" s="2">
        <v>95</v>
      </c>
      <c r="P218" s="2">
        <f>+N218-O218</f>
        <v>7.5</v>
      </c>
      <c r="Q218">
        <v>0.2</v>
      </c>
    </row>
    <row r="219" spans="1:17">
      <c r="A219" t="s">
        <v>66</v>
      </c>
      <c r="B219" t="s">
        <v>31</v>
      </c>
      <c r="C219">
        <v>19</v>
      </c>
      <c r="D219">
        <v>45</v>
      </c>
      <c r="E219" s="1">
        <f>+C219/(C219+D219)</f>
        <v>0.296875</v>
      </c>
      <c r="F219" s="2">
        <v>117.4</v>
      </c>
      <c r="G219" s="2">
        <v>125</v>
      </c>
      <c r="H219" s="2">
        <f>+F219-G219</f>
        <v>-7.5999999999999943</v>
      </c>
      <c r="I219" s="1">
        <f>+(F219^14)/((F219^14+G219^14))</f>
        <v>0.29355597812960449</v>
      </c>
      <c r="J219" s="2">
        <v>113.2</v>
      </c>
      <c r="K219" s="2">
        <v>120.5</v>
      </c>
      <c r="L219" s="2">
        <f>+J219-K219</f>
        <v>-7.2999999999999972</v>
      </c>
      <c r="M219" s="1">
        <f>+E219-I219</f>
        <v>3.319021870395511E-3</v>
      </c>
      <c r="N219" s="2">
        <v>113.6</v>
      </c>
      <c r="O219" s="2">
        <v>106.1</v>
      </c>
      <c r="P219" s="2">
        <f>+N219-O219</f>
        <v>7.5</v>
      </c>
      <c r="Q219" s="2">
        <v>-0.7</v>
      </c>
    </row>
    <row r="220" spans="1:17">
      <c r="A220" t="s">
        <v>34</v>
      </c>
      <c r="B220" t="s">
        <v>9</v>
      </c>
      <c r="C220">
        <v>29</v>
      </c>
      <c r="D220">
        <v>53</v>
      </c>
      <c r="E220" s="1">
        <f>+C220/(C220+D220)</f>
        <v>0.35365853658536583</v>
      </c>
      <c r="F220" s="2">
        <v>95.3</v>
      </c>
      <c r="G220" s="2">
        <v>98.6</v>
      </c>
      <c r="H220" s="2">
        <f>+F220-G220</f>
        <v>-3.2999999999999972</v>
      </c>
      <c r="I220" s="1">
        <f>+(F220^14)/((F220^14+G220^14))</f>
        <v>0.38305995894836997</v>
      </c>
      <c r="J220" s="2">
        <v>103.4</v>
      </c>
      <c r="K220" s="2">
        <v>107</v>
      </c>
      <c r="L220" s="2">
        <f>+J220-K220</f>
        <v>-3.5999999999999943</v>
      </c>
      <c r="M220" s="1">
        <f>+E220-I220</f>
        <v>-2.9401422363004137E-2</v>
      </c>
      <c r="N220" s="2">
        <v>107.2</v>
      </c>
      <c r="O220" s="2">
        <v>99.7</v>
      </c>
      <c r="P220" s="2">
        <f>+N220-O220</f>
        <v>7.5</v>
      </c>
      <c r="Q220">
        <v>-0.7</v>
      </c>
    </row>
    <row r="221" spans="1:17">
      <c r="A221" t="s">
        <v>61</v>
      </c>
      <c r="B221" t="s">
        <v>53</v>
      </c>
      <c r="C221">
        <v>31</v>
      </c>
      <c r="D221">
        <v>41</v>
      </c>
      <c r="E221" s="1">
        <f>+C221/(C221+D221)</f>
        <v>0.43055555555555558</v>
      </c>
      <c r="F221" s="2">
        <v>114.6</v>
      </c>
      <c r="G221" s="2">
        <v>114.9</v>
      </c>
      <c r="H221" s="2">
        <f>+F221-G221</f>
        <v>-0.30000000000001137</v>
      </c>
      <c r="I221" s="1">
        <f>+(F221^14)/((F221^14+G221^14))</f>
        <v>0.49085068937961135</v>
      </c>
      <c r="J221" s="2">
        <v>113</v>
      </c>
      <c r="K221" s="2">
        <v>113.3</v>
      </c>
      <c r="L221" s="2">
        <f>+J221-K221</f>
        <v>-0.29999999999999716</v>
      </c>
      <c r="M221" s="1">
        <f>+E221-I221</f>
        <v>-6.0295133824055769E-2</v>
      </c>
      <c r="N221" s="2">
        <v>109</v>
      </c>
      <c r="O221" s="2">
        <v>101.5</v>
      </c>
      <c r="P221" s="2">
        <f>+N221-O221</f>
        <v>7.5</v>
      </c>
      <c r="Q221">
        <v>0.5</v>
      </c>
    </row>
    <row r="222" spans="1:17">
      <c r="A222" t="s">
        <v>4</v>
      </c>
      <c r="B222" t="s">
        <v>24</v>
      </c>
      <c r="C222">
        <v>56</v>
      </c>
      <c r="D222">
        <v>26</v>
      </c>
      <c r="E222" s="1">
        <f>+C222/(C222+D222)</f>
        <v>0.68292682926829273</v>
      </c>
      <c r="F222" s="2">
        <v>94.7</v>
      </c>
      <c r="G222" s="2">
        <v>90.4</v>
      </c>
      <c r="H222" s="2">
        <f>+F222-G222</f>
        <v>4.2999999999999972</v>
      </c>
      <c r="I222" s="1">
        <f>+(F222^14)/((F222^14+G222^14))</f>
        <v>0.65714030959602765</v>
      </c>
      <c r="J222" s="2">
        <v>101.9</v>
      </c>
      <c r="K222" s="2">
        <v>97.3</v>
      </c>
      <c r="L222" s="2">
        <f>+J222-K222</f>
        <v>4.6000000000000085</v>
      </c>
      <c r="M222" s="1">
        <f>+E222-I222</f>
        <v>2.5786519672265085E-2</v>
      </c>
      <c r="N222" s="2">
        <v>101.9</v>
      </c>
      <c r="O222" s="2">
        <v>94.6</v>
      </c>
      <c r="P222" s="2">
        <f>+N222-O222</f>
        <v>7.3000000000000114</v>
      </c>
      <c r="Q222">
        <v>0.4</v>
      </c>
    </row>
    <row r="223" spans="1:17">
      <c r="A223" t="s">
        <v>34</v>
      </c>
      <c r="B223" t="s">
        <v>19</v>
      </c>
      <c r="C223">
        <v>41</v>
      </c>
      <c r="D223">
        <v>41</v>
      </c>
      <c r="E223" s="1">
        <f>+C223/(C223+D223)</f>
        <v>0.5</v>
      </c>
      <c r="F223" s="2">
        <v>97.5</v>
      </c>
      <c r="G223" s="2">
        <v>97.7</v>
      </c>
      <c r="H223" s="2">
        <f>+F223-G223</f>
        <v>-0.20000000000000284</v>
      </c>
      <c r="I223" s="1">
        <f>+(F223^14)/((F223^14+G223^14))</f>
        <v>0.49282835821021359</v>
      </c>
      <c r="J223" s="2">
        <v>105.3</v>
      </c>
      <c r="K223" s="2">
        <v>105.6</v>
      </c>
      <c r="L223" s="2">
        <f>+J223-K223</f>
        <v>-0.29999999999999716</v>
      </c>
      <c r="M223" s="1">
        <f>+E223-I223</f>
        <v>7.1716417897864093E-3</v>
      </c>
      <c r="N223" s="2">
        <v>107.5</v>
      </c>
      <c r="O223" s="2">
        <v>100.2</v>
      </c>
      <c r="P223" s="2">
        <f>+N223-O223</f>
        <v>7.2999999999999972</v>
      </c>
      <c r="Q223">
        <v>0.4</v>
      </c>
    </row>
    <row r="224" spans="1:17">
      <c r="A224" t="s">
        <v>59</v>
      </c>
      <c r="B224" t="s">
        <v>17</v>
      </c>
      <c r="C224">
        <v>37</v>
      </c>
      <c r="D224">
        <v>45</v>
      </c>
      <c r="E224" s="1">
        <f>+C224/(C224+D224)</f>
        <v>0.45121951219512196</v>
      </c>
      <c r="F224" s="2">
        <v>111.8</v>
      </c>
      <c r="G224" s="2">
        <v>113.5</v>
      </c>
      <c r="H224" s="2">
        <f>+F224-G224</f>
        <v>-1.7000000000000028</v>
      </c>
      <c r="I224" s="1">
        <f>+(F224^14)/((F224^14+G224^14))</f>
        <v>0.44737614127951658</v>
      </c>
      <c r="J224" s="2">
        <v>107.4</v>
      </c>
      <c r="K224" s="2">
        <v>108.9</v>
      </c>
      <c r="L224" s="2">
        <f>+J224-K224</f>
        <v>-1.5</v>
      </c>
      <c r="M224" s="1">
        <f>+E224-I224</f>
        <v>3.8433709156053819E-3</v>
      </c>
      <c r="N224" s="2">
        <v>114.7</v>
      </c>
      <c r="O224" s="2">
        <v>107.5</v>
      </c>
      <c r="P224" s="2">
        <f>+N224-O224</f>
        <v>7.2000000000000028</v>
      </c>
      <c r="Q224">
        <v>-0.8</v>
      </c>
    </row>
    <row r="225" spans="1:17">
      <c r="A225" t="s">
        <v>34</v>
      </c>
      <c r="B225" t="s">
        <v>24</v>
      </c>
      <c r="C225">
        <v>43</v>
      </c>
      <c r="D225">
        <v>39</v>
      </c>
      <c r="E225" s="1">
        <f>+C225/(C225+D225)</f>
        <v>0.52439024390243905</v>
      </c>
      <c r="F225" s="2">
        <v>91</v>
      </c>
      <c r="G225" s="2">
        <v>89.4</v>
      </c>
      <c r="H225" s="2">
        <f>+F225-G225</f>
        <v>1.5999999999999943</v>
      </c>
      <c r="I225" s="1">
        <f>+(F225^14)/((F225^14+G225^14))</f>
        <v>0.56176874789874143</v>
      </c>
      <c r="J225" s="2">
        <v>100.5</v>
      </c>
      <c r="K225" s="2">
        <v>98.7</v>
      </c>
      <c r="L225" s="2">
        <f>+J225-K225</f>
        <v>1.7999999999999972</v>
      </c>
      <c r="M225" s="1">
        <f>+E225-I225</f>
        <v>-3.7378503996302381E-2</v>
      </c>
      <c r="N225" s="2">
        <v>90.2</v>
      </c>
      <c r="O225" s="2">
        <v>83</v>
      </c>
      <c r="P225" s="2">
        <f>+N225-O225</f>
        <v>7.2000000000000028</v>
      </c>
      <c r="Q225">
        <v>0</v>
      </c>
    </row>
    <row r="226" spans="1:17">
      <c r="A226" t="s">
        <v>4</v>
      </c>
      <c r="B226" t="s">
        <v>18</v>
      </c>
      <c r="C226">
        <v>50</v>
      </c>
      <c r="D226">
        <v>32</v>
      </c>
      <c r="E226" s="1">
        <f>+C226/(C226+D226)</f>
        <v>0.6097560975609756</v>
      </c>
      <c r="F226" s="2">
        <v>88.9</v>
      </c>
      <c r="G226" s="2">
        <v>86.6</v>
      </c>
      <c r="H226" s="2">
        <f>+F226-G226</f>
        <v>2.3000000000000114</v>
      </c>
      <c r="I226" s="1">
        <f>+(F226^14)/((F226^14+G226^14))</f>
        <v>0.59072724433353874</v>
      </c>
      <c r="J226" s="2">
        <v>99.4</v>
      </c>
      <c r="K226" s="2">
        <v>97.1</v>
      </c>
      <c r="L226" s="2">
        <f>+J226-K226</f>
        <v>2.3000000000000114</v>
      </c>
      <c r="M226" s="1">
        <f>+E226-I226</f>
        <v>1.9028853227436859E-2</v>
      </c>
      <c r="N226" s="2">
        <v>99.1</v>
      </c>
      <c r="O226" s="2">
        <v>92.1</v>
      </c>
      <c r="P226" s="2">
        <f>+N226-O226</f>
        <v>7</v>
      </c>
      <c r="Q226">
        <v>-0.3</v>
      </c>
    </row>
    <row r="227" spans="1:17">
      <c r="A227" t="s">
        <v>65</v>
      </c>
      <c r="B227" t="s">
        <v>23</v>
      </c>
      <c r="C227">
        <v>41</v>
      </c>
      <c r="D227">
        <v>41</v>
      </c>
      <c r="E227" s="1">
        <f>+C227/(C227+D227)</f>
        <v>0.5</v>
      </c>
      <c r="F227" s="2">
        <v>105.4</v>
      </c>
      <c r="G227" s="2">
        <v>105.5</v>
      </c>
      <c r="H227" s="2">
        <f>+F227-G227</f>
        <v>-9.9999999999994316E-2</v>
      </c>
      <c r="I227" s="1">
        <f>+(F227^14)/((F227^14+G227^14))</f>
        <v>0.4966809399213436</v>
      </c>
      <c r="J227" s="2">
        <v>108.9</v>
      </c>
      <c r="K227" s="2">
        <v>109.1</v>
      </c>
      <c r="L227" s="2">
        <f>+J227-K227</f>
        <v>-0.19999999999998863</v>
      </c>
      <c r="M227" s="1">
        <f>+E227-I227</f>
        <v>3.3190600786563995E-3</v>
      </c>
      <c r="N227" s="2">
        <v>104.5</v>
      </c>
      <c r="O227" s="2">
        <v>97.5</v>
      </c>
      <c r="P227" s="2">
        <f>+N227-O227</f>
        <v>7</v>
      </c>
      <c r="Q227">
        <v>0.8</v>
      </c>
    </row>
    <row r="228" spans="1:17">
      <c r="A228" t="s">
        <v>63</v>
      </c>
      <c r="B228" t="s">
        <v>19</v>
      </c>
      <c r="C228">
        <v>58</v>
      </c>
      <c r="D228">
        <v>24</v>
      </c>
      <c r="E228" s="1">
        <f>+C228/(C228+D228)</f>
        <v>0.70731707317073167</v>
      </c>
      <c r="F228" s="2">
        <v>116.9</v>
      </c>
      <c r="G228" s="2">
        <v>113.3</v>
      </c>
      <c r="H228" s="2">
        <f>+F228-G228</f>
        <v>3.6000000000000085</v>
      </c>
      <c r="I228" s="1">
        <f>+(F228^14)/((F228^14+G228^14))</f>
        <v>0.607762297189269</v>
      </c>
      <c r="J228" s="2">
        <v>114.3</v>
      </c>
      <c r="K228" s="2">
        <v>110.9</v>
      </c>
      <c r="L228" s="2">
        <f>+J228-K228</f>
        <v>3.3999999999999915</v>
      </c>
      <c r="M228" s="1">
        <f>+E228-I228</f>
        <v>9.9554775981462673E-2</v>
      </c>
      <c r="N228" s="2">
        <v>109.7</v>
      </c>
      <c r="O228" s="2">
        <v>102.8</v>
      </c>
      <c r="P228" s="2">
        <f>+N228-O228</f>
        <v>6.9000000000000057</v>
      </c>
      <c r="Q228">
        <v>0.7</v>
      </c>
    </row>
    <row r="229" spans="1:17">
      <c r="A229" t="s">
        <v>52</v>
      </c>
      <c r="B229" t="s">
        <v>18</v>
      </c>
      <c r="C229">
        <v>54</v>
      </c>
      <c r="D229">
        <v>28</v>
      </c>
      <c r="E229" s="1">
        <f>+C229/(C229+D229)</f>
        <v>0.65853658536585369</v>
      </c>
      <c r="F229" s="2">
        <v>102.2</v>
      </c>
      <c r="G229" s="2">
        <v>97.4</v>
      </c>
      <c r="H229" s="2">
        <f>+F229-G229</f>
        <v>4.7999999999999972</v>
      </c>
      <c r="I229" s="1">
        <f>+(F229^14)/((F229^14+G229^14))</f>
        <v>0.66228117698287825</v>
      </c>
      <c r="J229" s="2">
        <v>110</v>
      </c>
      <c r="K229" s="2">
        <v>105</v>
      </c>
      <c r="L229" s="2">
        <f>+J229-K229</f>
        <v>5</v>
      </c>
      <c r="M229" s="1">
        <f>+E229-I229</f>
        <v>-3.7445916170245619E-3</v>
      </c>
      <c r="N229" s="2">
        <v>104.5</v>
      </c>
      <c r="O229" s="2">
        <v>97.6</v>
      </c>
      <c r="P229" s="2">
        <f>+N229-O229</f>
        <v>6.9000000000000057</v>
      </c>
      <c r="Q229">
        <v>1.6</v>
      </c>
    </row>
    <row r="230" spans="1:17">
      <c r="A230" t="s">
        <v>54</v>
      </c>
      <c r="B230" t="s">
        <v>16</v>
      </c>
      <c r="C230">
        <v>56</v>
      </c>
      <c r="D230">
        <v>26</v>
      </c>
      <c r="E230" s="1">
        <f>+C230/(C230+D230)</f>
        <v>0.68292682926829273</v>
      </c>
      <c r="F230" s="2">
        <v>106.7</v>
      </c>
      <c r="G230" s="2">
        <v>100.1</v>
      </c>
      <c r="H230" s="2">
        <f>+F230-G230</f>
        <v>6.6000000000000085</v>
      </c>
      <c r="I230" s="1">
        <f>+(F230^14)/((F230^14+G230^14))</f>
        <v>0.70969858528213514</v>
      </c>
      <c r="J230" s="2">
        <v>111.6</v>
      </c>
      <c r="K230" s="2">
        <v>104.7</v>
      </c>
      <c r="L230" s="2">
        <f>+J230-K230</f>
        <v>6.8999999999999915</v>
      </c>
      <c r="M230" s="1">
        <f>+E230-I230</f>
        <v>-2.6771756013842407E-2</v>
      </c>
      <c r="N230" s="2">
        <v>97.9</v>
      </c>
      <c r="O230" s="2">
        <v>91</v>
      </c>
      <c r="P230" s="2">
        <f>+N230-O230</f>
        <v>6.9000000000000057</v>
      </c>
      <c r="Q230">
        <v>1.1000000000000001</v>
      </c>
    </row>
    <row r="231" spans="1:17">
      <c r="A231" t="s">
        <v>43</v>
      </c>
      <c r="B231" t="s">
        <v>30</v>
      </c>
      <c r="C231">
        <v>47</v>
      </c>
      <c r="D231">
        <v>35</v>
      </c>
      <c r="E231" s="1">
        <f>+C231/(C231+D231)</f>
        <v>0.57317073170731703</v>
      </c>
      <c r="F231" s="2">
        <v>99.5</v>
      </c>
      <c r="G231" s="2">
        <v>98.5</v>
      </c>
      <c r="H231" s="2">
        <f>+F231-G231</f>
        <v>1</v>
      </c>
      <c r="I231" s="1">
        <f>+(F231^14)/((F231^14+G231^14))</f>
        <v>0.53529503549100332</v>
      </c>
      <c r="J231" s="2">
        <v>105.7</v>
      </c>
      <c r="K231" s="2">
        <v>104.4</v>
      </c>
      <c r="L231" s="2">
        <f>+J231-K231</f>
        <v>1.2999999999999972</v>
      </c>
      <c r="M231" s="1">
        <f>+E231-I231</f>
        <v>3.7875696216313703E-2</v>
      </c>
      <c r="N231" s="2">
        <v>106.6</v>
      </c>
      <c r="O231" s="2">
        <v>99.7</v>
      </c>
      <c r="P231" s="2">
        <f>+N231-O231</f>
        <v>6.8999999999999915</v>
      </c>
      <c r="Q231">
        <v>0.3</v>
      </c>
    </row>
    <row r="232" spans="1:17">
      <c r="A232" t="s">
        <v>41</v>
      </c>
      <c r="B232" t="s">
        <v>9</v>
      </c>
      <c r="C232">
        <v>50</v>
      </c>
      <c r="D232">
        <v>32</v>
      </c>
      <c r="E232" s="1">
        <f>+C232/(C232+D232)</f>
        <v>0.6097560975609756</v>
      </c>
      <c r="F232" s="2">
        <v>97.6</v>
      </c>
      <c r="G232" s="2">
        <v>95.4</v>
      </c>
      <c r="H232" s="2">
        <f>+F232-G232</f>
        <v>2.1999999999999886</v>
      </c>
      <c r="I232" s="1">
        <f>+(F232^14)/((F232^14+G232^14))</f>
        <v>0.57912557114227126</v>
      </c>
      <c r="J232" s="2">
        <v>106.6</v>
      </c>
      <c r="K232" s="2">
        <v>104.4</v>
      </c>
      <c r="L232" s="2">
        <f>+J232-K232</f>
        <v>2.1999999999999886</v>
      </c>
      <c r="M232" s="1">
        <f>+E232-I232</f>
        <v>3.063052641870434E-2</v>
      </c>
      <c r="N232" s="2">
        <v>113.8</v>
      </c>
      <c r="O232" s="2">
        <v>106.9</v>
      </c>
      <c r="P232" s="2">
        <f>+N232-O232</f>
        <v>6.8999999999999915</v>
      </c>
      <c r="Q232">
        <v>0.6</v>
      </c>
    </row>
    <row r="233" spans="1:17">
      <c r="A233" t="s">
        <v>39</v>
      </c>
      <c r="B233" t="s">
        <v>13</v>
      </c>
      <c r="C233">
        <v>34</v>
      </c>
      <c r="D233">
        <v>48</v>
      </c>
      <c r="E233" s="1">
        <f>+C233/(C233+D233)</f>
        <v>0.41463414634146339</v>
      </c>
      <c r="F233" s="2">
        <v>98.7</v>
      </c>
      <c r="G233" s="2">
        <v>100.9</v>
      </c>
      <c r="H233" s="2">
        <f>+F233-G233</f>
        <v>-2.2000000000000028</v>
      </c>
      <c r="I233" s="1">
        <f>+(F233^14)/((F233^14+G233^14))</f>
        <v>0.42344924071660006</v>
      </c>
      <c r="J233" s="2">
        <v>103.4</v>
      </c>
      <c r="K233" s="2">
        <v>105.5</v>
      </c>
      <c r="L233" s="2">
        <f>+J233-K233</f>
        <v>-2.0999999999999943</v>
      </c>
      <c r="M233" s="1">
        <f>+E233-I233</f>
        <v>-8.8150943751366673E-3</v>
      </c>
      <c r="N233" s="2">
        <v>99.8</v>
      </c>
      <c r="O233" s="2">
        <v>92.9</v>
      </c>
      <c r="P233" s="2">
        <f>+N233-O233</f>
        <v>6.8999999999999915</v>
      </c>
      <c r="Q233">
        <v>-0.8</v>
      </c>
    </row>
    <row r="234" spans="1:17">
      <c r="A234" t="s">
        <v>58</v>
      </c>
      <c r="B234" t="s">
        <v>53</v>
      </c>
      <c r="C234">
        <v>48</v>
      </c>
      <c r="D234">
        <v>34</v>
      </c>
      <c r="E234" s="1">
        <f>+C234/(C234+D234)</f>
        <v>0.58536585365853655</v>
      </c>
      <c r="F234" s="2">
        <v>111.7</v>
      </c>
      <c r="G234" s="2">
        <v>110.4</v>
      </c>
      <c r="H234" s="2">
        <f>+F234-G234</f>
        <v>1.2999999999999972</v>
      </c>
      <c r="I234" s="1">
        <f>+(F234^14)/((F234^14+G234^14))</f>
        <v>0.54088153523494542</v>
      </c>
      <c r="J234" s="2">
        <v>108.5</v>
      </c>
      <c r="K234" s="2">
        <v>107.4</v>
      </c>
      <c r="L234" s="2">
        <f>+J234-K234</f>
        <v>1.0999999999999943</v>
      </c>
      <c r="M234" s="1">
        <f>+E234-I234</f>
        <v>4.4484318423591129E-2</v>
      </c>
      <c r="N234" s="2">
        <v>106</v>
      </c>
      <c r="O234" s="2">
        <v>99.3</v>
      </c>
      <c r="P234" s="2">
        <f>+N234-O234</f>
        <v>6.7000000000000028</v>
      </c>
      <c r="Q234">
        <v>0.2</v>
      </c>
    </row>
    <row r="235" spans="1:17">
      <c r="A235" t="s">
        <v>50</v>
      </c>
      <c r="B235" t="s">
        <v>8</v>
      </c>
      <c r="C235">
        <v>45</v>
      </c>
      <c r="D235">
        <v>37</v>
      </c>
      <c r="E235" s="1">
        <f>+C235/(C235+D235)</f>
        <v>0.54878048780487809</v>
      </c>
      <c r="F235" s="2">
        <v>93.2</v>
      </c>
      <c r="G235" s="2">
        <v>92.9</v>
      </c>
      <c r="H235" s="2">
        <f>+F235-G235</f>
        <v>0.29999999999999716</v>
      </c>
      <c r="I235" s="1">
        <f>+(F235^14)/((F235^14+G235^14))</f>
        <v>0.51128235010405287</v>
      </c>
      <c r="J235" s="2">
        <v>102.4</v>
      </c>
      <c r="K235" s="2">
        <v>101.9</v>
      </c>
      <c r="L235" s="2">
        <f>+J235-K235</f>
        <v>0.5</v>
      </c>
      <c r="M235" s="1">
        <f>+E235-I235</f>
        <v>3.7498137700825218E-2</v>
      </c>
      <c r="N235" s="2">
        <v>101.4</v>
      </c>
      <c r="O235" s="2">
        <v>94.7</v>
      </c>
      <c r="P235" s="2">
        <f>+N235-O235</f>
        <v>6.7000000000000028</v>
      </c>
      <c r="Q235">
        <v>-0.5</v>
      </c>
    </row>
    <row r="236" spans="1:17">
      <c r="A236" t="s">
        <v>44</v>
      </c>
      <c r="B236" t="s">
        <v>37</v>
      </c>
      <c r="C236">
        <v>56</v>
      </c>
      <c r="D236">
        <v>26</v>
      </c>
      <c r="E236" s="1">
        <f>+C236/(C236+D236)</f>
        <v>0.68292682926829273</v>
      </c>
      <c r="F236" s="2">
        <v>100.9</v>
      </c>
      <c r="G236" s="2">
        <v>95.6</v>
      </c>
      <c r="H236" s="2">
        <f>+F236-G236</f>
        <v>5.3000000000000114</v>
      </c>
      <c r="I236" s="1">
        <f>+(F236^14)/((F236^14+G236^14))</f>
        <v>0.68035408366862116</v>
      </c>
      <c r="J236" s="2">
        <v>110</v>
      </c>
      <c r="K236" s="2">
        <v>104.4</v>
      </c>
      <c r="L236" s="2">
        <f>+J236-K236</f>
        <v>5.5999999999999943</v>
      </c>
      <c r="M236" s="1">
        <f>+E236-I236</f>
        <v>2.5727455996715776E-3</v>
      </c>
      <c r="N236" s="2">
        <v>105.2</v>
      </c>
      <c r="O236" s="2">
        <v>98.5</v>
      </c>
      <c r="P236" s="2">
        <f>+N236-O236</f>
        <v>6.7000000000000028</v>
      </c>
      <c r="Q236">
        <v>1.4</v>
      </c>
    </row>
    <row r="237" spans="1:17">
      <c r="A237" t="s">
        <v>52</v>
      </c>
      <c r="B237" t="s">
        <v>13</v>
      </c>
      <c r="C237">
        <v>51</v>
      </c>
      <c r="D237">
        <v>31</v>
      </c>
      <c r="E237" s="1">
        <f>+C237/(C237+D237)</f>
        <v>0.62195121951219512</v>
      </c>
      <c r="F237" s="2">
        <v>104.3</v>
      </c>
      <c r="G237" s="2">
        <v>99.5</v>
      </c>
      <c r="H237" s="2">
        <f>+F237-G237</f>
        <v>4.7999999999999972</v>
      </c>
      <c r="I237" s="1">
        <f>+(F237^14)/((F237^14+G237^14))</f>
        <v>0.65916874214261856</v>
      </c>
      <c r="J237" s="2">
        <v>106.3</v>
      </c>
      <c r="K237" s="2">
        <v>101.4</v>
      </c>
      <c r="L237" s="2">
        <f>+J237-K237</f>
        <v>4.8999999999999915</v>
      </c>
      <c r="M237" s="1">
        <f>+E237-I237</f>
        <v>-3.7217522630423439E-2</v>
      </c>
      <c r="N237" s="2">
        <v>101.2</v>
      </c>
      <c r="O237" s="2">
        <v>94.5</v>
      </c>
      <c r="P237" s="2">
        <f>+N237-O237</f>
        <v>6.7000000000000028</v>
      </c>
      <c r="Q237">
        <v>0.5</v>
      </c>
    </row>
    <row r="238" spans="1:17">
      <c r="A238" t="s">
        <v>43</v>
      </c>
      <c r="B238" t="s">
        <v>25</v>
      </c>
      <c r="C238">
        <v>61</v>
      </c>
      <c r="D238">
        <v>21</v>
      </c>
      <c r="E238" s="1">
        <f>+C238/(C238+D238)</f>
        <v>0.74390243902439024</v>
      </c>
      <c r="F238" s="2">
        <v>110.2</v>
      </c>
      <c r="G238" s="2">
        <v>102.9</v>
      </c>
      <c r="H238" s="2">
        <f>+F238-G238</f>
        <v>7.2999999999999972</v>
      </c>
      <c r="I238" s="1">
        <f>+(F238^14)/((F238^14+G238^14))</f>
        <v>0.72303160932792188</v>
      </c>
      <c r="J238" s="2">
        <v>112.9</v>
      </c>
      <c r="K238" s="2">
        <v>105.5</v>
      </c>
      <c r="L238" s="2">
        <f>+J238-K238</f>
        <v>7.4000000000000057</v>
      </c>
      <c r="M238" s="1">
        <f>+E238-I238</f>
        <v>2.0870829696468363E-2</v>
      </c>
      <c r="N238" s="2">
        <v>108.6</v>
      </c>
      <c r="O238" s="2">
        <v>101.9</v>
      </c>
      <c r="P238" s="2">
        <f>+N238-O238</f>
        <v>6.6999999999999886</v>
      </c>
      <c r="Q238">
        <v>0.9</v>
      </c>
    </row>
    <row r="239" spans="1:17">
      <c r="A239" t="s">
        <v>49</v>
      </c>
      <c r="B239" t="s">
        <v>14</v>
      </c>
      <c r="C239">
        <v>34</v>
      </c>
      <c r="D239">
        <v>32</v>
      </c>
      <c r="E239" s="1">
        <f>+C239/(C239+D239)</f>
        <v>0.51515151515151514</v>
      </c>
      <c r="F239" s="2">
        <v>98.1</v>
      </c>
      <c r="G239" s="2">
        <v>97.9</v>
      </c>
      <c r="H239" s="2">
        <f>+F239-G239</f>
        <v>0.19999999999998863</v>
      </c>
      <c r="I239" s="1">
        <f>+(F239^14)/((F239^14+G239^14))</f>
        <v>0.5071423737524916</v>
      </c>
      <c r="J239" s="2">
        <v>104.2</v>
      </c>
      <c r="K239" s="2">
        <v>104</v>
      </c>
      <c r="L239" s="2">
        <f>+J239-K239</f>
        <v>0.20000000000000284</v>
      </c>
      <c r="M239" s="1">
        <f>+E239-I239</f>
        <v>8.0091413990235338E-3</v>
      </c>
      <c r="N239" s="2">
        <v>104.5</v>
      </c>
      <c r="O239" s="2">
        <v>97.9</v>
      </c>
      <c r="P239" s="2">
        <f>+N239-O239</f>
        <v>6.5999999999999943</v>
      </c>
      <c r="Q239">
        <v>-0.5</v>
      </c>
    </row>
    <row r="240" spans="1:17">
      <c r="A240" t="s">
        <v>65</v>
      </c>
      <c r="B240" t="s">
        <v>27</v>
      </c>
      <c r="C240">
        <v>40</v>
      </c>
      <c r="D240">
        <v>42</v>
      </c>
      <c r="E240" s="1">
        <f>+C240/(C240+D240)</f>
        <v>0.48780487804878048</v>
      </c>
      <c r="F240" s="2">
        <v>115.7</v>
      </c>
      <c r="G240" s="2">
        <v>115.3</v>
      </c>
      <c r="H240" s="2">
        <f>+F240-G240</f>
        <v>0.40000000000000568</v>
      </c>
      <c r="I240" s="1">
        <f>+(F240^14)/((F240^14+G240^14))</f>
        <v>0.51211885026131998</v>
      </c>
      <c r="J240" s="2">
        <v>115.9</v>
      </c>
      <c r="K240" s="2">
        <v>115.3</v>
      </c>
      <c r="L240" s="2">
        <f>+J240-K240</f>
        <v>0.60000000000000853</v>
      </c>
      <c r="M240" s="1">
        <f>+E240-I240</f>
        <v>-2.4313972212539503E-2</v>
      </c>
      <c r="N240" s="2">
        <v>114.8</v>
      </c>
      <c r="O240" s="2">
        <v>108.2</v>
      </c>
      <c r="P240" s="2">
        <f>+N240-O240</f>
        <v>6.5999999999999943</v>
      </c>
      <c r="Q240">
        <v>0.2</v>
      </c>
    </row>
    <row r="241" spans="1:17">
      <c r="A241" t="s">
        <v>44</v>
      </c>
      <c r="B241" t="s">
        <v>10</v>
      </c>
      <c r="C241">
        <v>51</v>
      </c>
      <c r="D241">
        <v>31</v>
      </c>
      <c r="E241" s="1">
        <f>+C241/(C241+D241)</f>
        <v>0.62195121951219512</v>
      </c>
      <c r="F241" s="2">
        <v>100.4</v>
      </c>
      <c r="G241" s="2">
        <v>95.9</v>
      </c>
      <c r="H241" s="2">
        <f>+F241-G241</f>
        <v>4.5</v>
      </c>
      <c r="I241" s="1">
        <f>+(F241^14)/((F241^14+G241^14))</f>
        <v>0.65520252150189628</v>
      </c>
      <c r="J241" s="2">
        <v>109.5</v>
      </c>
      <c r="K241" s="2">
        <v>104.7</v>
      </c>
      <c r="L241" s="2">
        <f>+J241-K241</f>
        <v>4.7999999999999972</v>
      </c>
      <c r="M241" s="1">
        <f>+E241-I241</f>
        <v>-3.3251301989701165E-2</v>
      </c>
      <c r="N241" s="2">
        <v>114.4</v>
      </c>
      <c r="O241" s="2">
        <v>107.9</v>
      </c>
      <c r="P241" s="2">
        <f>+N241-O241</f>
        <v>6.5</v>
      </c>
      <c r="Q241">
        <v>0.5</v>
      </c>
    </row>
    <row r="242" spans="1:17">
      <c r="A242" t="s">
        <v>55</v>
      </c>
      <c r="B242" t="s">
        <v>5</v>
      </c>
      <c r="C242">
        <v>48</v>
      </c>
      <c r="D242">
        <v>34</v>
      </c>
      <c r="E242" s="1">
        <f>+C242/(C242+D242)</f>
        <v>0.58536585365853655</v>
      </c>
      <c r="F242" s="2">
        <v>102.8</v>
      </c>
      <c r="G242" s="2">
        <v>99.2</v>
      </c>
      <c r="H242" s="2">
        <f>+F242-G242</f>
        <v>3.5999999999999943</v>
      </c>
      <c r="I242" s="1">
        <f>+(F242^14)/((F242^14+G242^14))</f>
        <v>0.62223904687782716</v>
      </c>
      <c r="J242" s="2">
        <v>104.6</v>
      </c>
      <c r="K242" s="2">
        <v>100.8</v>
      </c>
      <c r="L242" s="2">
        <f>+J242-K242</f>
        <v>3.7999999999999972</v>
      </c>
      <c r="M242" s="1">
        <f>+E242-I242</f>
        <v>-3.6873193219290612E-2</v>
      </c>
      <c r="N242" s="2">
        <v>104.5</v>
      </c>
      <c r="O242" s="2">
        <v>98</v>
      </c>
      <c r="P242" s="2">
        <f>+N242-O242</f>
        <v>6.5</v>
      </c>
      <c r="Q242">
        <v>2.4</v>
      </c>
    </row>
    <row r="243" spans="1:17">
      <c r="A243" t="s">
        <v>43</v>
      </c>
      <c r="B243" t="s">
        <v>31</v>
      </c>
      <c r="C243">
        <v>51</v>
      </c>
      <c r="D243">
        <v>31</v>
      </c>
      <c r="E243" s="1">
        <f>+C243/(C243+D243)</f>
        <v>0.62195121951219512</v>
      </c>
      <c r="F243" s="2">
        <v>101.5</v>
      </c>
      <c r="G243" s="2">
        <v>98.6</v>
      </c>
      <c r="H243" s="2">
        <f>+F243-G243</f>
        <v>2.9000000000000057</v>
      </c>
      <c r="I243" s="1">
        <f>+(F243^14)/((F243^14+G243^14))</f>
        <v>0.60008649482988841</v>
      </c>
      <c r="J243" s="2">
        <v>108.6</v>
      </c>
      <c r="K243" s="2">
        <v>105.6</v>
      </c>
      <c r="L243" s="2">
        <f>+J243-K243</f>
        <v>3</v>
      </c>
      <c r="M243" s="1">
        <f>+E243-I243</f>
        <v>2.1864724682306713E-2</v>
      </c>
      <c r="N243" s="2">
        <v>116.1</v>
      </c>
      <c r="O243" s="2">
        <v>109.7</v>
      </c>
      <c r="P243" s="2">
        <f>+N243-O243</f>
        <v>6.3999999999999915</v>
      </c>
      <c r="Q243">
        <v>1.9</v>
      </c>
    </row>
    <row r="244" spans="1:17">
      <c r="A244" t="s">
        <v>47</v>
      </c>
      <c r="B244" t="s">
        <v>14</v>
      </c>
      <c r="C244">
        <v>42</v>
      </c>
      <c r="D244">
        <v>40</v>
      </c>
      <c r="E244" s="1">
        <f>+C244/(C244+D244)</f>
        <v>0.51219512195121952</v>
      </c>
      <c r="F244" s="2">
        <v>102.4</v>
      </c>
      <c r="G244" s="2">
        <v>102.7</v>
      </c>
      <c r="H244" s="2">
        <f>+F244-G244</f>
        <v>-0.29999999999999716</v>
      </c>
      <c r="I244" s="1">
        <f>+(F244^14)/((F244^14+G244^14))</f>
        <v>0.48976251580890345</v>
      </c>
      <c r="J244" s="2">
        <v>106.8</v>
      </c>
      <c r="K244" s="2">
        <v>106.8</v>
      </c>
      <c r="L244" s="2">
        <f>+J244-K244</f>
        <v>0</v>
      </c>
      <c r="M244" s="1">
        <f>+E244-I244</f>
        <v>2.2432606142316069E-2</v>
      </c>
      <c r="N244" s="2">
        <v>103.5</v>
      </c>
      <c r="O244" s="2">
        <v>97.2</v>
      </c>
      <c r="P244" s="2">
        <f>+N244-O244</f>
        <v>6.2999999999999972</v>
      </c>
      <c r="Q244">
        <v>-0.8</v>
      </c>
    </row>
    <row r="245" spans="1:17">
      <c r="A245" t="s">
        <v>58</v>
      </c>
      <c r="B245" t="s">
        <v>26</v>
      </c>
      <c r="C245">
        <v>49</v>
      </c>
      <c r="D245">
        <v>33</v>
      </c>
      <c r="E245" s="1">
        <f>+C245/(C245+D245)</f>
        <v>0.59756097560975607</v>
      </c>
      <c r="F245" s="2">
        <v>105.6</v>
      </c>
      <c r="G245" s="2">
        <v>103</v>
      </c>
      <c r="H245" s="2">
        <f>+F245-G245</f>
        <v>2.5999999999999943</v>
      </c>
      <c r="I245" s="1">
        <f>+(F245^14)/((F245^14+G245^14))</f>
        <v>0.5863778164099368</v>
      </c>
      <c r="J245" s="2">
        <v>108.4</v>
      </c>
      <c r="K245" s="2">
        <v>105.7</v>
      </c>
      <c r="L245" s="2">
        <f>+J245-K245</f>
        <v>2.7000000000000028</v>
      </c>
      <c r="M245" s="1">
        <f>+E245-I245</f>
        <v>1.118315919981927E-2</v>
      </c>
      <c r="N245" s="2">
        <v>103</v>
      </c>
      <c r="O245" s="2">
        <v>96.7</v>
      </c>
      <c r="P245" s="2">
        <f>+N245-O245</f>
        <v>6.2999999999999972</v>
      </c>
      <c r="Q245">
        <v>-0.4</v>
      </c>
    </row>
    <row r="246" spans="1:17">
      <c r="A246" t="s">
        <v>55</v>
      </c>
      <c r="B246" t="s">
        <v>6</v>
      </c>
      <c r="C246">
        <v>48</v>
      </c>
      <c r="D246">
        <v>34</v>
      </c>
      <c r="E246" s="1">
        <f>+C246/(C246+D246)</f>
        <v>0.58536585365853655</v>
      </c>
      <c r="F246" s="2">
        <v>105.7</v>
      </c>
      <c r="G246" s="2">
        <v>102.5</v>
      </c>
      <c r="H246" s="2">
        <f>+F246-G246</f>
        <v>3.2000000000000028</v>
      </c>
      <c r="I246" s="1">
        <f>+(F246^14)/((F246^14+G246^14))</f>
        <v>0.60596663066011414</v>
      </c>
      <c r="J246" s="2">
        <v>105.8</v>
      </c>
      <c r="K246" s="2">
        <v>102.5</v>
      </c>
      <c r="L246" s="2">
        <f>+J246-K246</f>
        <v>3.2999999999999972</v>
      </c>
      <c r="M246" s="1">
        <f>+E246-I246</f>
        <v>-2.0600777001577586E-2</v>
      </c>
      <c r="N246" s="2">
        <v>112</v>
      </c>
      <c r="O246" s="2">
        <v>105.7</v>
      </c>
      <c r="P246" s="2">
        <f>+N246-O246</f>
        <v>6.2999999999999972</v>
      </c>
      <c r="Q246">
        <v>0.2</v>
      </c>
    </row>
    <row r="247" spans="1:17">
      <c r="A247" t="s">
        <v>44</v>
      </c>
      <c r="B247" t="s">
        <v>23</v>
      </c>
      <c r="C247">
        <v>52</v>
      </c>
      <c r="D247">
        <v>30</v>
      </c>
      <c r="E247" s="1">
        <f>+C247/(C247+D247)</f>
        <v>0.63414634146341464</v>
      </c>
      <c r="F247" s="2">
        <v>104.5</v>
      </c>
      <c r="G247" s="2">
        <v>99</v>
      </c>
      <c r="H247" s="2">
        <f>+F247-G247</f>
        <v>5.5</v>
      </c>
      <c r="I247" s="1">
        <f>+(F247^14)/((F247^14+G247^14))</f>
        <v>0.68068924490801519</v>
      </c>
      <c r="J247" s="2">
        <v>110.4</v>
      </c>
      <c r="K247" s="2">
        <v>104.9</v>
      </c>
      <c r="L247" s="2">
        <f>+J247-K247</f>
        <v>5.5</v>
      </c>
      <c r="M247" s="1">
        <f>+E247-I247</f>
        <v>-4.6542903444600547E-2</v>
      </c>
      <c r="N247" s="2">
        <v>109.5</v>
      </c>
      <c r="O247" s="2">
        <v>103.2</v>
      </c>
      <c r="P247" s="2">
        <f>+N247-O247</f>
        <v>6.2999999999999972</v>
      </c>
      <c r="Q247">
        <v>1.3</v>
      </c>
    </row>
    <row r="248" spans="1:17">
      <c r="A248" t="s">
        <v>58</v>
      </c>
      <c r="B248" t="s">
        <v>31</v>
      </c>
      <c r="C248">
        <v>48</v>
      </c>
      <c r="D248">
        <v>34</v>
      </c>
      <c r="E248" s="1">
        <f>+C248/(C248+D248)</f>
        <v>0.58536585365853655</v>
      </c>
      <c r="F248" s="2">
        <v>104.1</v>
      </c>
      <c r="G248" s="2">
        <v>99.8</v>
      </c>
      <c r="H248" s="2">
        <f>+F248-G248</f>
        <v>4.2999999999999972</v>
      </c>
      <c r="I248" s="1">
        <f>+(F248^14)/((F248^14+G248^14))</f>
        <v>0.64349662886143</v>
      </c>
      <c r="J248" s="2">
        <v>107.4</v>
      </c>
      <c r="K248" s="2">
        <v>103</v>
      </c>
      <c r="L248" s="2">
        <f>+J248-K248</f>
        <v>4.4000000000000057</v>
      </c>
      <c r="M248" s="1">
        <f>+E248-I248</f>
        <v>-5.8130775202893448E-2</v>
      </c>
      <c r="N248" s="2">
        <v>107.6</v>
      </c>
      <c r="O248" s="2">
        <v>101.3</v>
      </c>
      <c r="P248" s="2">
        <f>+N248-O248</f>
        <v>6.2999999999999972</v>
      </c>
      <c r="Q248">
        <v>1.8</v>
      </c>
    </row>
    <row r="249" spans="1:17">
      <c r="A249" t="s">
        <v>55</v>
      </c>
      <c r="B249" t="s">
        <v>19</v>
      </c>
      <c r="C249">
        <v>33</v>
      </c>
      <c r="D249">
        <v>49</v>
      </c>
      <c r="E249" s="1">
        <f>+C249/(C249+D249)</f>
        <v>0.40243902439024393</v>
      </c>
      <c r="F249" s="2">
        <v>99</v>
      </c>
      <c r="G249" s="2">
        <v>103.2</v>
      </c>
      <c r="H249" s="2">
        <f>+F249-G249</f>
        <v>-4.2000000000000028</v>
      </c>
      <c r="I249" s="1">
        <f>+(F249^14)/((F249^14+G249^14))</f>
        <v>0.35854472804772958</v>
      </c>
      <c r="J249" s="2">
        <v>103.4</v>
      </c>
      <c r="K249" s="2">
        <v>107.8</v>
      </c>
      <c r="L249" s="2">
        <f>+J249-K249</f>
        <v>-4.3999999999999915</v>
      </c>
      <c r="M249" s="1">
        <f>+E249-I249</f>
        <v>4.389429634251435E-2</v>
      </c>
      <c r="N249" s="2">
        <v>101.2</v>
      </c>
      <c r="O249" s="2">
        <v>95</v>
      </c>
      <c r="P249" s="2">
        <f>+N249-O249</f>
        <v>6.2000000000000028</v>
      </c>
      <c r="Q249">
        <v>-1.5</v>
      </c>
    </row>
    <row r="250" spans="1:17">
      <c r="A250" t="s">
        <v>59</v>
      </c>
      <c r="B250" t="s">
        <v>5</v>
      </c>
      <c r="C250">
        <v>29</v>
      </c>
      <c r="D250">
        <v>53</v>
      </c>
      <c r="E250" s="1">
        <f>+C250/(C250+D250)</f>
        <v>0.35365853658536583</v>
      </c>
      <c r="F250" s="2">
        <v>113.3</v>
      </c>
      <c r="G250" s="2">
        <v>119.4</v>
      </c>
      <c r="H250" s="2">
        <f>+F250-G250</f>
        <v>-6.1000000000000085</v>
      </c>
      <c r="I250" s="1">
        <f>+(F250^14)/((F250^14+G250^14))</f>
        <v>0.32428240772060213</v>
      </c>
      <c r="J250" s="2">
        <v>107.5</v>
      </c>
      <c r="K250" s="2">
        <v>113.1</v>
      </c>
      <c r="L250" s="2">
        <f>+J250-K250</f>
        <v>-5.5999999999999943</v>
      </c>
      <c r="M250" s="1">
        <f>+E250-I250</f>
        <v>2.9376128864763706E-2</v>
      </c>
      <c r="N250" s="2">
        <v>104</v>
      </c>
      <c r="O250" s="2">
        <v>97.8</v>
      </c>
      <c r="P250" s="2">
        <f>+N250-O250</f>
        <v>6.2000000000000028</v>
      </c>
      <c r="Q250">
        <v>-0.1</v>
      </c>
    </row>
    <row r="251" spans="1:17">
      <c r="A251" t="s">
        <v>47</v>
      </c>
      <c r="B251" t="s">
        <v>6</v>
      </c>
      <c r="C251">
        <v>50</v>
      </c>
      <c r="D251">
        <v>32</v>
      </c>
      <c r="E251" s="1">
        <f>+C251/(C251+D251)</f>
        <v>0.6097560975609756</v>
      </c>
      <c r="F251" s="2">
        <v>99.2</v>
      </c>
      <c r="G251" s="2">
        <v>95.6</v>
      </c>
      <c r="H251" s="2">
        <f>+F251-G251</f>
        <v>3.6000000000000085</v>
      </c>
      <c r="I251" s="1">
        <f>+(F251^14)/((F251^14+G251^14))</f>
        <v>0.62656597319638863</v>
      </c>
      <c r="J251" s="2">
        <v>106.9</v>
      </c>
      <c r="K251" s="2">
        <v>103.2</v>
      </c>
      <c r="L251" s="2">
        <f>+J251-K251</f>
        <v>3.7000000000000028</v>
      </c>
      <c r="M251" s="1">
        <f>+E251-I251</f>
        <v>-1.680987563541303E-2</v>
      </c>
      <c r="N251" s="2">
        <v>101.2</v>
      </c>
      <c r="O251" s="2">
        <v>95</v>
      </c>
      <c r="P251" s="2">
        <f>+N251-O251</f>
        <v>6.2000000000000028</v>
      </c>
      <c r="Q251">
        <v>0</v>
      </c>
    </row>
    <row r="252" spans="1:17">
      <c r="A252" t="s">
        <v>45</v>
      </c>
      <c r="B252" t="s">
        <v>26</v>
      </c>
      <c r="C252">
        <v>54</v>
      </c>
      <c r="D252">
        <v>28</v>
      </c>
      <c r="E252" s="1">
        <f>+C252/(C252+D252)</f>
        <v>0.65853658536585369</v>
      </c>
      <c r="F252" s="2">
        <v>99.4</v>
      </c>
      <c r="G252" s="2">
        <v>94.1</v>
      </c>
      <c r="H252" s="2">
        <f>+F252-G252</f>
        <v>5.3000000000000114</v>
      </c>
      <c r="I252" s="1">
        <f>+(F252^14)/((F252^14+G252^14))</f>
        <v>0.68289690002087911</v>
      </c>
      <c r="J252" s="2">
        <v>112.1</v>
      </c>
      <c r="K252" s="2">
        <v>106.1</v>
      </c>
      <c r="L252" s="2">
        <f>+J252-K252</f>
        <v>6</v>
      </c>
      <c r="M252" s="1">
        <f>+E252-I252</f>
        <v>-2.4360314655025417E-2</v>
      </c>
      <c r="N252" s="2">
        <v>104</v>
      </c>
      <c r="O252" s="2">
        <v>97.8</v>
      </c>
      <c r="P252" s="2">
        <f>+N252-O252</f>
        <v>6.2000000000000028</v>
      </c>
      <c r="Q252">
        <v>2.5</v>
      </c>
    </row>
    <row r="253" spans="1:17">
      <c r="A253" t="s">
        <v>45</v>
      </c>
      <c r="B253" t="s">
        <v>31</v>
      </c>
      <c r="C253">
        <v>48</v>
      </c>
      <c r="D253">
        <v>34</v>
      </c>
      <c r="E253" s="1">
        <f>+C253/(C253+D253)</f>
        <v>0.58536585365853655</v>
      </c>
      <c r="F253" s="2">
        <v>103.6</v>
      </c>
      <c r="G253" s="2">
        <v>100.9</v>
      </c>
      <c r="H253" s="2">
        <f>+F253-G253</f>
        <v>2.6999999999999886</v>
      </c>
      <c r="I253" s="1">
        <f>+(F253^14)/((F253^14+G253^14))</f>
        <v>0.59138736414412263</v>
      </c>
      <c r="J253" s="2">
        <v>108.5</v>
      </c>
      <c r="K253" s="2">
        <v>105.8</v>
      </c>
      <c r="L253" s="2">
        <f>+J253-K253</f>
        <v>2.7000000000000028</v>
      </c>
      <c r="M253" s="1">
        <f>+E253-I253</f>
        <v>-6.021510485586079E-3</v>
      </c>
      <c r="N253" s="2">
        <v>109.6</v>
      </c>
      <c r="O253" s="2">
        <v>103.4</v>
      </c>
      <c r="P253" s="2">
        <f>+N253-O253</f>
        <v>6.1999999999999886</v>
      </c>
      <c r="Q253">
        <v>1.2</v>
      </c>
    </row>
    <row r="254" spans="1:17">
      <c r="A254" t="s">
        <v>39</v>
      </c>
      <c r="B254" t="s">
        <v>30</v>
      </c>
      <c r="C254">
        <v>33</v>
      </c>
      <c r="D254">
        <v>49</v>
      </c>
      <c r="E254" s="1">
        <f>+C254/(C254+D254)</f>
        <v>0.40243902439024393</v>
      </c>
      <c r="F254" s="2">
        <v>99.7</v>
      </c>
      <c r="G254" s="2">
        <v>101.4</v>
      </c>
      <c r="H254" s="2">
        <f>+F254-G254</f>
        <v>-1.7000000000000028</v>
      </c>
      <c r="I254" s="1">
        <f>+(F254^14)/((F254^14+G254^14))</f>
        <v>0.44109880691820486</v>
      </c>
      <c r="J254" s="2">
        <v>105.4</v>
      </c>
      <c r="K254" s="2">
        <v>107.2</v>
      </c>
      <c r="L254" s="2">
        <f>+J254-K254</f>
        <v>-1.7999999999999972</v>
      </c>
      <c r="M254" s="1">
        <f>+E254-I254</f>
        <v>-3.8659782527960929E-2</v>
      </c>
      <c r="N254" s="2">
        <v>110.7</v>
      </c>
      <c r="O254" s="2">
        <v>104.6</v>
      </c>
      <c r="P254" s="2">
        <f>+N254-O254</f>
        <v>6.1000000000000085</v>
      </c>
      <c r="Q254">
        <v>2</v>
      </c>
    </row>
    <row r="255" spans="1:17">
      <c r="A255" t="s">
        <v>49</v>
      </c>
      <c r="B255" t="s">
        <v>22</v>
      </c>
      <c r="C255">
        <v>36</v>
      </c>
      <c r="D255">
        <v>30</v>
      </c>
      <c r="E255" s="1">
        <f>+C255/(C255+D255)</f>
        <v>0.54545454545454541</v>
      </c>
      <c r="F255" s="2">
        <v>97.8</v>
      </c>
      <c r="G255" s="2">
        <v>94.7</v>
      </c>
      <c r="H255" s="2">
        <f>+F255-G255</f>
        <v>3.0999999999999943</v>
      </c>
      <c r="I255" s="1">
        <f>+(F255^14)/((F255^14+G255^14))</f>
        <v>0.61086462382590978</v>
      </c>
      <c r="J255" s="2">
        <v>103.5</v>
      </c>
      <c r="K255" s="2">
        <v>100.2</v>
      </c>
      <c r="L255" s="2">
        <f>+J255-K255</f>
        <v>3.2999999999999972</v>
      </c>
      <c r="M255" s="1">
        <f>+E255-I255</f>
        <v>-6.5410078371364366E-2</v>
      </c>
      <c r="N255" s="2">
        <v>104.9</v>
      </c>
      <c r="O255" s="2">
        <v>98.8</v>
      </c>
      <c r="P255" s="2">
        <f>+N255-O255</f>
        <v>6.1000000000000085</v>
      </c>
      <c r="Q255">
        <v>2</v>
      </c>
    </row>
    <row r="256" spans="1:17">
      <c r="A256" t="s">
        <v>57</v>
      </c>
      <c r="B256" t="s">
        <v>35</v>
      </c>
      <c r="C256">
        <v>43</v>
      </c>
      <c r="D256">
        <v>39</v>
      </c>
      <c r="E256" s="1">
        <f>+C256/(C256+D256)</f>
        <v>0.52439024390243905</v>
      </c>
      <c r="F256" s="2">
        <v>100.5</v>
      </c>
      <c r="G256" s="2">
        <v>100</v>
      </c>
      <c r="H256" s="2">
        <f>+F256-G256</f>
        <v>0.5</v>
      </c>
      <c r="I256" s="1">
        <f>+(F256^14)/((F256^14+G256^14))</f>
        <v>0.51744930619443652</v>
      </c>
      <c r="J256" s="2">
        <v>107</v>
      </c>
      <c r="K256" s="2">
        <v>106.5</v>
      </c>
      <c r="L256" s="2">
        <f>+J256-K256</f>
        <v>0.5</v>
      </c>
      <c r="M256" s="1">
        <f>+E256-I256</f>
        <v>6.9409377080025259E-3</v>
      </c>
      <c r="N256" s="2">
        <v>101.1</v>
      </c>
      <c r="O256" s="2">
        <v>95</v>
      </c>
      <c r="P256" s="2">
        <f>+N256-O256</f>
        <v>6.0999999999999943</v>
      </c>
      <c r="Q256">
        <v>1.2</v>
      </c>
    </row>
    <row r="257" spans="1:17">
      <c r="A257" t="s">
        <v>52</v>
      </c>
      <c r="B257" t="s">
        <v>24</v>
      </c>
      <c r="C257">
        <v>19</v>
      </c>
      <c r="D257">
        <v>63</v>
      </c>
      <c r="E257" s="1">
        <f>+C257/(C257+D257)</f>
        <v>0.23170731707317074</v>
      </c>
      <c r="F257" s="2">
        <v>99.5</v>
      </c>
      <c r="G257" s="2">
        <v>109.9</v>
      </c>
      <c r="H257" s="2">
        <f>+F257-G257</f>
        <v>-10.400000000000006</v>
      </c>
      <c r="I257" s="1">
        <f>+(F257^14)/((F257^14+G257^14))</f>
        <v>0.19912293805378545</v>
      </c>
      <c r="J257" s="2">
        <v>99</v>
      </c>
      <c r="K257" s="2">
        <v>109</v>
      </c>
      <c r="L257" s="2">
        <f>+J257-K257</f>
        <v>-10</v>
      </c>
      <c r="M257" s="1">
        <f>+E257-I257</f>
        <v>3.2584379019385296E-2</v>
      </c>
      <c r="N257" s="2">
        <v>105</v>
      </c>
      <c r="O257" s="2">
        <v>99</v>
      </c>
      <c r="P257" s="2">
        <f>+N257-O257</f>
        <v>6</v>
      </c>
      <c r="Q257">
        <v>-0.8</v>
      </c>
    </row>
    <row r="258" spans="1:17">
      <c r="A258" t="s">
        <v>60</v>
      </c>
      <c r="B258" t="s">
        <v>26</v>
      </c>
      <c r="C258">
        <v>35</v>
      </c>
      <c r="D258">
        <v>39</v>
      </c>
      <c r="E258" s="1">
        <f>+C258/(C258+D258)</f>
        <v>0.47297297297297297</v>
      </c>
      <c r="F258" s="2">
        <v>115</v>
      </c>
      <c r="G258" s="2">
        <v>116.1</v>
      </c>
      <c r="H258" s="2">
        <f>+F258-G258</f>
        <v>-1.0999999999999943</v>
      </c>
      <c r="I258" s="1">
        <f>+(F258^14)/((F258^14+G258^14))</f>
        <v>0.46673007111560078</v>
      </c>
      <c r="J258" s="2">
        <v>113.2</v>
      </c>
      <c r="K258" s="2">
        <v>114.3</v>
      </c>
      <c r="L258" s="2">
        <f>+J258-K258</f>
        <v>-1.0999999999999943</v>
      </c>
      <c r="M258" s="1">
        <f>+E258-I258</f>
        <v>6.2429018573721962E-3</v>
      </c>
      <c r="N258" s="2">
        <v>117.2</v>
      </c>
      <c r="O258" s="2">
        <v>111.2</v>
      </c>
      <c r="P258" s="2">
        <f>+N258-O258</f>
        <v>6</v>
      </c>
      <c r="Q258">
        <v>1</v>
      </c>
    </row>
    <row r="259" spans="1:17">
      <c r="A259" t="s">
        <v>50</v>
      </c>
      <c r="B259" t="s">
        <v>22</v>
      </c>
      <c r="C259">
        <v>54</v>
      </c>
      <c r="D259">
        <v>28</v>
      </c>
      <c r="E259" s="1">
        <f>+C259/(C259+D259)</f>
        <v>0.65853658536585369</v>
      </c>
      <c r="F259" s="2">
        <v>100</v>
      </c>
      <c r="G259" s="2">
        <v>95.7</v>
      </c>
      <c r="H259" s="2">
        <f>+F259-G259</f>
        <v>4.2999999999999972</v>
      </c>
      <c r="I259" s="1">
        <f>+(F259^14)/((F259^14+G259^14))</f>
        <v>0.64915487217242029</v>
      </c>
      <c r="J259" s="2">
        <v>109.8</v>
      </c>
      <c r="K259" s="2">
        <v>105.4</v>
      </c>
      <c r="L259" s="2">
        <f>+J259-K259</f>
        <v>4.3999999999999915</v>
      </c>
      <c r="M259" s="1">
        <f>+E259-I259</f>
        <v>9.3817131934333942E-3</v>
      </c>
      <c r="N259" s="2">
        <v>94.7</v>
      </c>
      <c r="O259" s="2">
        <v>88.8</v>
      </c>
      <c r="P259" s="2">
        <f>+N259-O259</f>
        <v>5.9000000000000057</v>
      </c>
      <c r="Q259">
        <v>2.1</v>
      </c>
    </row>
    <row r="260" spans="1:17">
      <c r="A260" t="s">
        <v>59</v>
      </c>
      <c r="B260" t="s">
        <v>13</v>
      </c>
      <c r="C260">
        <v>57</v>
      </c>
      <c r="D260">
        <v>25</v>
      </c>
      <c r="E260" s="1">
        <f>+C260/(C260+D260)</f>
        <v>0.69512195121951215</v>
      </c>
      <c r="F260" s="2">
        <v>117.7</v>
      </c>
      <c r="G260" s="2">
        <v>111.2</v>
      </c>
      <c r="H260" s="2">
        <f>+F260-G260</f>
        <v>6.5</v>
      </c>
      <c r="I260" s="1">
        <f>+(F260^14)/((F260^14+G260^14))</f>
        <v>0.68897267779673199</v>
      </c>
      <c r="J260" s="2">
        <v>115</v>
      </c>
      <c r="K260" s="2">
        <v>108.6</v>
      </c>
      <c r="L260" s="2">
        <f>+J260-K260</f>
        <v>6.4000000000000057</v>
      </c>
      <c r="M260" s="1">
        <f>+E260-I260</f>
        <v>6.1492734227801549E-3</v>
      </c>
      <c r="N260" s="2">
        <v>110.5</v>
      </c>
      <c r="O260" s="2">
        <v>104.6</v>
      </c>
      <c r="P260" s="2">
        <f>+N260-O260</f>
        <v>5.9000000000000057</v>
      </c>
      <c r="Q260">
        <v>0.2</v>
      </c>
    </row>
    <row r="261" spans="1:17">
      <c r="A261" t="s">
        <v>47</v>
      </c>
      <c r="B261" t="s">
        <v>25</v>
      </c>
      <c r="C261">
        <v>54</v>
      </c>
      <c r="D261">
        <v>28</v>
      </c>
      <c r="E261" s="1">
        <f>+C261/(C261+D261)</f>
        <v>0.65853658536585369</v>
      </c>
      <c r="F261" s="2">
        <v>110.2</v>
      </c>
      <c r="G261" s="2">
        <v>105.3</v>
      </c>
      <c r="H261" s="2">
        <f>+F261-G261</f>
        <v>4.9000000000000057</v>
      </c>
      <c r="I261" s="1">
        <f>+(F261^14)/((F261^14+G261^14))</f>
        <v>0.654022652875209</v>
      </c>
      <c r="J261" s="2">
        <v>113.9</v>
      </c>
      <c r="K261" s="2">
        <v>109.1</v>
      </c>
      <c r="L261" s="2">
        <f>+J261-K261</f>
        <v>4.8000000000000114</v>
      </c>
      <c r="M261" s="1">
        <f>+E261-I261</f>
        <v>4.5139324906446898E-3</v>
      </c>
      <c r="N261" s="2">
        <v>118.3</v>
      </c>
      <c r="O261" s="2">
        <v>112.5</v>
      </c>
      <c r="P261" s="2">
        <f>+N261-O261</f>
        <v>5.7999999999999972</v>
      </c>
      <c r="Q261">
        <v>0.8</v>
      </c>
    </row>
    <row r="262" spans="1:17">
      <c r="A262" t="s">
        <v>36</v>
      </c>
      <c r="B262" t="s">
        <v>37</v>
      </c>
      <c r="C262">
        <v>47</v>
      </c>
      <c r="D262">
        <v>35</v>
      </c>
      <c r="E262" s="1">
        <f>+C262/(C262+D262)</f>
        <v>0.57317073170731703</v>
      </c>
      <c r="F262" s="2">
        <v>93.9</v>
      </c>
      <c r="G262" s="2">
        <v>91.8</v>
      </c>
      <c r="H262" s="2">
        <f>+F262-G262</f>
        <v>2.1000000000000085</v>
      </c>
      <c r="I262" s="1">
        <f>+(F262^14)/((F262^14+G262^14))</f>
        <v>0.57850840531735526</v>
      </c>
      <c r="J262" s="2">
        <v>102.4</v>
      </c>
      <c r="K262" s="2">
        <v>100</v>
      </c>
      <c r="L262" s="2">
        <f>+J262-K262</f>
        <v>2.4000000000000057</v>
      </c>
      <c r="M262" s="1">
        <f>+E262-I262</f>
        <v>-5.3376736100382294E-3</v>
      </c>
      <c r="N262" s="2">
        <v>101.5</v>
      </c>
      <c r="O262" s="2">
        <v>95.7</v>
      </c>
      <c r="P262" s="2">
        <f>+N262-O262</f>
        <v>5.7999999999999972</v>
      </c>
      <c r="Q262">
        <v>0.3</v>
      </c>
    </row>
    <row r="263" spans="1:17">
      <c r="A263" t="s">
        <v>44</v>
      </c>
      <c r="B263" t="s">
        <v>21</v>
      </c>
      <c r="C263">
        <v>34</v>
      </c>
      <c r="D263">
        <v>48</v>
      </c>
      <c r="E263" s="1">
        <f>+C263/(C263+D263)</f>
        <v>0.41463414634146339</v>
      </c>
      <c r="F263" s="2">
        <v>95.8</v>
      </c>
      <c r="G263" s="2">
        <v>100.9</v>
      </c>
      <c r="H263" s="2">
        <f>+F263-G263</f>
        <v>-5.1000000000000085</v>
      </c>
      <c r="I263" s="1">
        <f>+(F263^14)/((F263^14+G263^14))</f>
        <v>0.32604204255195213</v>
      </c>
      <c r="J263" s="2">
        <v>102.3</v>
      </c>
      <c r="K263" s="2">
        <v>107.7</v>
      </c>
      <c r="L263" s="2">
        <f>+J263-K263</f>
        <v>-5.4000000000000057</v>
      </c>
      <c r="M263" s="1">
        <f>+E263-I263</f>
        <v>8.8592103789511267E-2</v>
      </c>
      <c r="N263" s="2">
        <v>112.8</v>
      </c>
      <c r="O263" s="2">
        <v>107.1</v>
      </c>
      <c r="P263" s="2">
        <f>+N263-O263</f>
        <v>5.7000000000000028</v>
      </c>
      <c r="Q263">
        <v>-1.8</v>
      </c>
    </row>
    <row r="264" spans="1:17">
      <c r="A264" t="s">
        <v>60</v>
      </c>
      <c r="B264" t="s">
        <v>17</v>
      </c>
      <c r="C264">
        <v>52</v>
      </c>
      <c r="D264">
        <v>19</v>
      </c>
      <c r="E264" s="1">
        <f>+C264/(C264+D264)</f>
        <v>0.73239436619718312</v>
      </c>
      <c r="F264" s="2">
        <v>113.4</v>
      </c>
      <c r="G264" s="2">
        <v>107.6</v>
      </c>
      <c r="H264" s="2">
        <f>+F264-G264</f>
        <v>5.8000000000000114</v>
      </c>
      <c r="I264" s="1">
        <f>+(F264^14)/((F264^14+G264^14))</f>
        <v>0.6759038081055907</v>
      </c>
      <c r="J264" s="2">
        <v>111.7</v>
      </c>
      <c r="K264" s="2">
        <v>106.1</v>
      </c>
      <c r="L264" s="2">
        <f>+J264-K264</f>
        <v>5.6000000000000085</v>
      </c>
      <c r="M264" s="1">
        <f>+E264-I264</f>
        <v>5.6490558091592424E-2</v>
      </c>
      <c r="N264" s="2">
        <v>107.4</v>
      </c>
      <c r="O264" s="2">
        <v>101.7</v>
      </c>
      <c r="P264" s="2">
        <f>+N264-O264</f>
        <v>5.7000000000000028</v>
      </c>
      <c r="Q264">
        <v>1.7</v>
      </c>
    </row>
    <row r="265" spans="1:17">
      <c r="A265" t="s">
        <v>63</v>
      </c>
      <c r="B265" t="s">
        <v>51</v>
      </c>
      <c r="C265">
        <v>45</v>
      </c>
      <c r="D265">
        <v>37</v>
      </c>
      <c r="E265" s="1">
        <f>+C265/(C265+D265)</f>
        <v>0.54878048780487809</v>
      </c>
      <c r="F265" s="2">
        <v>113.4</v>
      </c>
      <c r="G265" s="2">
        <v>112.5</v>
      </c>
      <c r="H265" s="2">
        <f>+F265-G265</f>
        <v>0.90000000000000568</v>
      </c>
      <c r="I265" s="1">
        <f>+(F265^14)/((F265^14+G265^14))</f>
        <v>0.52785970836604967</v>
      </c>
      <c r="J265" s="2">
        <v>114.6</v>
      </c>
      <c r="K265" s="2">
        <v>113.5</v>
      </c>
      <c r="L265" s="2">
        <f>+J265-K265</f>
        <v>1.0999999999999943</v>
      </c>
      <c r="M265" s="1">
        <f>+E265-I265</f>
        <v>2.0920779438828419E-2</v>
      </c>
      <c r="N265" s="2">
        <v>115.9</v>
      </c>
      <c r="O265" s="2">
        <v>110.2</v>
      </c>
      <c r="P265" s="2">
        <f>+N265-O265</f>
        <v>5.7000000000000028</v>
      </c>
      <c r="Q265">
        <v>0.3</v>
      </c>
    </row>
    <row r="266" spans="1:17">
      <c r="A266" t="s">
        <v>48</v>
      </c>
      <c r="B266" t="s">
        <v>11</v>
      </c>
      <c r="C266">
        <v>50</v>
      </c>
      <c r="D266">
        <v>32</v>
      </c>
      <c r="E266" s="1">
        <f>+C266/(C266+D266)</f>
        <v>0.6097560975609756</v>
      </c>
      <c r="F266" s="2">
        <v>107.5</v>
      </c>
      <c r="G266" s="2">
        <v>102.7</v>
      </c>
      <c r="H266" s="2">
        <f>+F266-G266</f>
        <v>4.7999999999999972</v>
      </c>
      <c r="I266" s="1">
        <f>+(F266^14)/((F266^14+G266^14))</f>
        <v>0.65464093009494817</v>
      </c>
      <c r="J266" s="2">
        <v>111.7</v>
      </c>
      <c r="K266" s="2">
        <v>106.8</v>
      </c>
      <c r="L266" s="2">
        <f>+J266-K266</f>
        <v>4.9000000000000057</v>
      </c>
      <c r="M266" s="1">
        <f>+E266-I266</f>
        <v>-4.4884832533972574E-2</v>
      </c>
      <c r="N266" s="2">
        <v>107.4</v>
      </c>
      <c r="O266" s="2">
        <v>101.7</v>
      </c>
      <c r="P266" s="2">
        <f>+N266-O266</f>
        <v>5.7000000000000028</v>
      </c>
      <c r="Q266">
        <v>0.8</v>
      </c>
    </row>
    <row r="267" spans="1:17">
      <c r="A267" t="s">
        <v>62</v>
      </c>
      <c r="B267" t="s">
        <v>9</v>
      </c>
      <c r="C267">
        <v>44</v>
      </c>
      <c r="D267">
        <v>38</v>
      </c>
      <c r="E267" s="1">
        <f>+C267/(C267+D267)</f>
        <v>0.53658536585365857</v>
      </c>
      <c r="F267" s="2">
        <v>107.8</v>
      </c>
      <c r="G267" s="2">
        <v>105.7</v>
      </c>
      <c r="H267" s="2">
        <f>+F267-G267</f>
        <v>2.0999999999999943</v>
      </c>
      <c r="I267" s="1">
        <f>+(F267^14)/((F267^14+G267^14))</f>
        <v>0.56842270571530307</v>
      </c>
      <c r="J267" s="2">
        <v>111</v>
      </c>
      <c r="K267" s="2">
        <v>108.9</v>
      </c>
      <c r="L267" s="2">
        <f>+J267-K267</f>
        <v>2.0999999999999943</v>
      </c>
      <c r="M267" s="1">
        <f>+E267-I267</f>
        <v>-3.1837339861644498E-2</v>
      </c>
      <c r="N267" s="2">
        <v>110</v>
      </c>
      <c r="O267" s="2">
        <v>104.4</v>
      </c>
      <c r="P267" s="2">
        <f>+N267-O267</f>
        <v>5.5999999999999943</v>
      </c>
      <c r="Q267">
        <v>-0.7</v>
      </c>
    </row>
    <row r="268" spans="1:17">
      <c r="A268" t="s">
        <v>49</v>
      </c>
      <c r="B268" t="s">
        <v>46</v>
      </c>
      <c r="C268">
        <v>47</v>
      </c>
      <c r="D268">
        <v>19</v>
      </c>
      <c r="E268" s="1">
        <f>+C268/(C268+D268)</f>
        <v>0.71212121212121215</v>
      </c>
      <c r="F268" s="2">
        <v>103.1</v>
      </c>
      <c r="G268" s="2">
        <v>96.9</v>
      </c>
      <c r="H268" s="2">
        <f>+F268-G268</f>
        <v>6.1999999999999886</v>
      </c>
      <c r="I268" s="1">
        <f>+(F268^14)/((F268^14+G268^14))</f>
        <v>0.70438730300910357</v>
      </c>
      <c r="J268" s="2">
        <v>108.4</v>
      </c>
      <c r="K268" s="2">
        <v>102.1</v>
      </c>
      <c r="L268" s="2">
        <f>+J268-K268</f>
        <v>6.3000000000000114</v>
      </c>
      <c r="M268" s="1">
        <f>+E268-I268</f>
        <v>7.7339091121085835E-3</v>
      </c>
      <c r="N268" s="2">
        <v>103.4</v>
      </c>
      <c r="O268" s="2">
        <v>97.9</v>
      </c>
      <c r="P268" s="2">
        <f>+N268-O268</f>
        <v>5.5</v>
      </c>
      <c r="Q268">
        <v>0.1</v>
      </c>
    </row>
    <row r="269" spans="1:17">
      <c r="A269" t="s">
        <v>61</v>
      </c>
      <c r="B269" t="s">
        <v>11</v>
      </c>
      <c r="C269">
        <v>47</v>
      </c>
      <c r="D269">
        <v>25</v>
      </c>
      <c r="E269" s="1">
        <f>+C269/(C269+D269)</f>
        <v>0.65277777777777779</v>
      </c>
      <c r="F269" s="2">
        <v>115.1</v>
      </c>
      <c r="G269" s="2">
        <v>110.1</v>
      </c>
      <c r="H269" s="2">
        <f>+F269-G269</f>
        <v>5</v>
      </c>
      <c r="I269" s="1">
        <f>+(F269^14)/((F269^14+G269^14))</f>
        <v>0.65062141130812434</v>
      </c>
      <c r="J269" s="2">
        <v>116.3</v>
      </c>
      <c r="K269" s="2">
        <v>111.5</v>
      </c>
      <c r="L269" s="2">
        <f>+J269-K269</f>
        <v>4.7999999999999972</v>
      </c>
      <c r="M269" s="1">
        <f>+E269-I269</f>
        <v>2.1563664696534479E-3</v>
      </c>
      <c r="N269" s="2">
        <v>114.4</v>
      </c>
      <c r="O269" s="2">
        <v>109</v>
      </c>
      <c r="P269" s="2">
        <f>+N269-O269</f>
        <v>5.4000000000000057</v>
      </c>
      <c r="Q269">
        <v>0.7</v>
      </c>
    </row>
    <row r="270" spans="1:17">
      <c r="A270" t="s">
        <v>55</v>
      </c>
      <c r="B270" t="s">
        <v>9</v>
      </c>
      <c r="C270">
        <v>57</v>
      </c>
      <c r="D270">
        <v>25</v>
      </c>
      <c r="E270" s="1">
        <f>+C270/(C270+D270)</f>
        <v>0.69512195121951215</v>
      </c>
      <c r="F270" s="2">
        <v>104.3</v>
      </c>
      <c r="G270" s="2">
        <v>98.3</v>
      </c>
      <c r="H270" s="2">
        <f>+F270-G270</f>
        <v>6</v>
      </c>
      <c r="I270" s="1">
        <f>+(F270^14)/((F270^14+G270^14))</f>
        <v>0.6962413060313849</v>
      </c>
      <c r="J270" s="2">
        <v>110.2</v>
      </c>
      <c r="K270" s="2">
        <v>103.9</v>
      </c>
      <c r="L270" s="2">
        <f>+J270-K270</f>
        <v>6.2999999999999972</v>
      </c>
      <c r="M270" s="1">
        <f>+E270-I270</f>
        <v>-1.1193548118727525E-3</v>
      </c>
      <c r="N270" s="2">
        <v>103.4</v>
      </c>
      <c r="O270" s="2">
        <v>98</v>
      </c>
      <c r="P270" s="2">
        <f>+N270-O270</f>
        <v>5.4000000000000057</v>
      </c>
      <c r="Q270">
        <v>0.7</v>
      </c>
    </row>
    <row r="271" spans="1:17">
      <c r="A271" t="s">
        <v>63</v>
      </c>
      <c r="B271" t="s">
        <v>13</v>
      </c>
      <c r="C271">
        <v>44</v>
      </c>
      <c r="D271">
        <v>38</v>
      </c>
      <c r="E271" s="1">
        <f>+C271/(C271+D271)</f>
        <v>0.53658536585365857</v>
      </c>
      <c r="F271" s="2">
        <v>118.9</v>
      </c>
      <c r="G271" s="2">
        <v>117.1</v>
      </c>
      <c r="H271" s="2">
        <f>+F271-G271</f>
        <v>1.8000000000000114</v>
      </c>
      <c r="I271" s="1">
        <f>+(F271^14)/((F271^14+G271^14))</f>
        <v>0.55318886020704383</v>
      </c>
      <c r="J271" s="2">
        <v>115.1</v>
      </c>
      <c r="K271" s="2">
        <v>113.4</v>
      </c>
      <c r="L271" s="2">
        <f>+J271-K271</f>
        <v>1.6999999999999886</v>
      </c>
      <c r="M271" s="1">
        <f>+E271-I271</f>
        <v>-1.6603494353385262E-2</v>
      </c>
      <c r="N271" s="2">
        <v>104</v>
      </c>
      <c r="O271" s="2">
        <v>98.6</v>
      </c>
      <c r="P271" s="2">
        <f>+N271-O271</f>
        <v>5.4000000000000057</v>
      </c>
      <c r="Q271">
        <v>0.8</v>
      </c>
    </row>
    <row r="272" spans="1:17">
      <c r="A272" t="s">
        <v>52</v>
      </c>
      <c r="B272" t="s">
        <v>5</v>
      </c>
      <c r="C272">
        <v>38</v>
      </c>
      <c r="D272">
        <v>44</v>
      </c>
      <c r="E272" s="1">
        <f>+C272/(C272+D272)</f>
        <v>0.46341463414634149</v>
      </c>
      <c r="F272" s="2">
        <v>101</v>
      </c>
      <c r="G272" s="2">
        <v>101.5</v>
      </c>
      <c r="H272" s="2">
        <f>+F272-G272</f>
        <v>-0.5</v>
      </c>
      <c r="I272" s="1">
        <f>+(F272^14)/((F272^14+G272^14))</f>
        <v>0.48272289543770702</v>
      </c>
      <c r="J272" s="2">
        <v>104.9</v>
      </c>
      <c r="K272" s="2">
        <v>105.7</v>
      </c>
      <c r="L272" s="2">
        <f>+J272-K272</f>
        <v>-0.79999999999999716</v>
      </c>
      <c r="M272" s="1">
        <f>+E272-I272</f>
        <v>-1.9308261291365536E-2</v>
      </c>
      <c r="N272" s="2">
        <v>105.6</v>
      </c>
      <c r="O272" s="2">
        <v>100.2</v>
      </c>
      <c r="P272" s="2">
        <f>+N272-O272</f>
        <v>5.3999999999999915</v>
      </c>
      <c r="Q272">
        <v>-0.9</v>
      </c>
    </row>
    <row r="273" spans="1:17">
      <c r="A273" t="s">
        <v>60</v>
      </c>
      <c r="B273" t="s">
        <v>24</v>
      </c>
      <c r="C273">
        <v>43</v>
      </c>
      <c r="D273">
        <v>30</v>
      </c>
      <c r="E273" s="1">
        <f>+C273/(C273+D273)</f>
        <v>0.58904109589041098</v>
      </c>
      <c r="F273" s="2">
        <v>110.7</v>
      </c>
      <c r="G273" s="2">
        <v>108.4</v>
      </c>
      <c r="H273" s="2">
        <f>+F273-G273</f>
        <v>2.2999999999999972</v>
      </c>
      <c r="I273" s="1">
        <f>+(F273^14)/((F273^14+G273^14))</f>
        <v>0.57296056014659968</v>
      </c>
      <c r="J273" s="2">
        <v>110.7</v>
      </c>
      <c r="K273" s="2">
        <v>108.4</v>
      </c>
      <c r="L273" s="2">
        <f>+J273-K273</f>
        <v>2.2999999999999972</v>
      </c>
      <c r="M273" s="1">
        <f>+E273-I273</f>
        <v>1.6080535743811297E-2</v>
      </c>
      <c r="N273" s="2">
        <v>108.9</v>
      </c>
      <c r="O273" s="2">
        <v>103.6</v>
      </c>
      <c r="P273" s="2">
        <f>+N273-O273</f>
        <v>5.3000000000000114</v>
      </c>
      <c r="Q273">
        <v>0</v>
      </c>
    </row>
    <row r="274" spans="1:17">
      <c r="A274" t="s">
        <v>50</v>
      </c>
      <c r="B274" t="s">
        <v>31</v>
      </c>
      <c r="C274">
        <v>43</v>
      </c>
      <c r="D274">
        <v>39</v>
      </c>
      <c r="E274" s="1">
        <f>+C274/(C274+D274)</f>
        <v>0.52439024390243905</v>
      </c>
      <c r="F274" s="2">
        <v>98</v>
      </c>
      <c r="G274" s="2">
        <v>98.1</v>
      </c>
      <c r="H274" s="2">
        <f>+F274-G274</f>
        <v>-9.9999999999994316E-2</v>
      </c>
      <c r="I274" s="1">
        <f>+(F274^14)/((F274^14+G274^14))</f>
        <v>0.49643045299187905</v>
      </c>
      <c r="J274" s="2">
        <v>105.4</v>
      </c>
      <c r="K274" s="2">
        <v>105.6</v>
      </c>
      <c r="L274" s="2">
        <f>+J274-K274</f>
        <v>-0.19999999999998863</v>
      </c>
      <c r="M274" s="1">
        <f>+E274-I274</f>
        <v>2.7959790910560001E-2</v>
      </c>
      <c r="N274" s="2">
        <v>106.4</v>
      </c>
      <c r="O274" s="2">
        <v>101.2</v>
      </c>
      <c r="P274" s="2">
        <f>+N274-O274</f>
        <v>5.2000000000000028</v>
      </c>
      <c r="Q274">
        <v>-0.1</v>
      </c>
    </row>
    <row r="275" spans="1:17">
      <c r="A275" t="s">
        <v>34</v>
      </c>
      <c r="B275" t="s">
        <v>23</v>
      </c>
      <c r="C275">
        <v>44</v>
      </c>
      <c r="D275">
        <v>38</v>
      </c>
      <c r="E275" s="1">
        <f>+C275/(C275+D275)</f>
        <v>0.53658536585365857</v>
      </c>
      <c r="F275" s="2">
        <v>100.5</v>
      </c>
      <c r="G275" s="2">
        <v>98.9</v>
      </c>
      <c r="H275" s="2">
        <f>+F275-G275</f>
        <v>1.5999999999999943</v>
      </c>
      <c r="I275" s="1">
        <f>+(F275^14)/((F275^14+G275^14))</f>
        <v>0.5559346078100218</v>
      </c>
      <c r="J275" s="2">
        <v>105.6</v>
      </c>
      <c r="K275" s="2">
        <v>104.1</v>
      </c>
      <c r="L275" s="2">
        <f>+J275-K275</f>
        <v>1.5</v>
      </c>
      <c r="M275" s="1">
        <f>+E275-I275</f>
        <v>-1.9349241956363228E-2</v>
      </c>
      <c r="N275" s="2">
        <v>105.5</v>
      </c>
      <c r="O275" s="2">
        <v>100.4</v>
      </c>
      <c r="P275" s="2">
        <f>+N275-O275</f>
        <v>5.0999999999999943</v>
      </c>
      <c r="Q275">
        <v>-1</v>
      </c>
    </row>
    <row r="276" spans="1:17">
      <c r="A276" t="s">
        <v>4</v>
      </c>
      <c r="B276" t="s">
        <v>11</v>
      </c>
      <c r="C276">
        <v>40</v>
      </c>
      <c r="D276">
        <v>42</v>
      </c>
      <c r="E276" s="1">
        <f>+C276/(C276+D276)</f>
        <v>0.48780487804878048</v>
      </c>
      <c r="F276" s="2">
        <v>96.6</v>
      </c>
      <c r="G276" s="2">
        <v>99</v>
      </c>
      <c r="H276" s="2">
        <f>+F276-G276</f>
        <v>-2.4000000000000057</v>
      </c>
      <c r="I276" s="1">
        <f>+(F276^14)/((F276^14+G276^14))</f>
        <v>0.41494120163391823</v>
      </c>
      <c r="J276" s="2">
        <v>102.2</v>
      </c>
      <c r="K276" s="2">
        <v>104.9</v>
      </c>
      <c r="L276" s="2">
        <f>+J276-K276</f>
        <v>-2.7000000000000028</v>
      </c>
      <c r="M276" s="1">
        <f>+E276-I276</f>
        <v>7.2863676414862244E-2</v>
      </c>
      <c r="N276" s="2">
        <v>100.5</v>
      </c>
      <c r="O276" s="2">
        <v>95.5</v>
      </c>
      <c r="P276" s="2">
        <f>+N276-O276</f>
        <v>5</v>
      </c>
      <c r="Q276">
        <v>0.1</v>
      </c>
    </row>
    <row r="277" spans="1:17">
      <c r="A277" t="s">
        <v>36</v>
      </c>
      <c r="B277" t="s">
        <v>5</v>
      </c>
      <c r="C277">
        <v>35</v>
      </c>
      <c r="D277">
        <v>47</v>
      </c>
      <c r="E277" s="1">
        <f>+C277/(C277+D277)</f>
        <v>0.42682926829268292</v>
      </c>
      <c r="F277" s="2">
        <v>94.1</v>
      </c>
      <c r="G277" s="2">
        <v>97.6</v>
      </c>
      <c r="H277" s="2">
        <f>+F277-G277</f>
        <v>-3.5</v>
      </c>
      <c r="I277" s="1">
        <f>+(F277^14)/((F277^14+G277^14))</f>
        <v>0.37489532651227531</v>
      </c>
      <c r="J277" s="2">
        <v>100.4</v>
      </c>
      <c r="K277" s="2">
        <v>104.2</v>
      </c>
      <c r="L277" s="2">
        <f>+J277-K277</f>
        <v>-3.7999999999999972</v>
      </c>
      <c r="M277" s="1">
        <f>+E277-I277</f>
        <v>5.1933941780407611E-2</v>
      </c>
      <c r="N277" s="2">
        <v>102</v>
      </c>
      <c r="O277" s="2">
        <v>97.1</v>
      </c>
      <c r="P277" s="2">
        <f>+N277-O277</f>
        <v>4.9000000000000057</v>
      </c>
      <c r="Q277">
        <v>-2</v>
      </c>
    </row>
    <row r="278" spans="1:17">
      <c r="A278" t="s">
        <v>4</v>
      </c>
      <c r="B278" t="s">
        <v>30</v>
      </c>
      <c r="C278">
        <v>47</v>
      </c>
      <c r="D278">
        <v>35</v>
      </c>
      <c r="E278" s="1">
        <f>+C278/(C278+D278)</f>
        <v>0.57317073170731703</v>
      </c>
      <c r="F278" s="2">
        <v>97.6</v>
      </c>
      <c r="G278" s="2">
        <v>95.4</v>
      </c>
      <c r="H278" s="2">
        <f>+F278-G278</f>
        <v>2.1999999999999886</v>
      </c>
      <c r="I278" s="1">
        <f>+(F278^14)/((F278^14+G278^14))</f>
        <v>0.57912557114227126</v>
      </c>
      <c r="J278" s="2">
        <v>104.4</v>
      </c>
      <c r="K278" s="2">
        <v>102</v>
      </c>
      <c r="L278" s="2">
        <f>+J278-K278</f>
        <v>2.4000000000000057</v>
      </c>
      <c r="M278" s="1">
        <f>+E278-I278</f>
        <v>-5.9548394349542288E-3</v>
      </c>
      <c r="N278" s="2">
        <v>96.8</v>
      </c>
      <c r="O278" s="2">
        <v>92.1</v>
      </c>
      <c r="P278" s="2">
        <f>+N278-O278</f>
        <v>4.7000000000000028</v>
      </c>
      <c r="Q278">
        <v>0.7</v>
      </c>
    </row>
    <row r="279" spans="1:17">
      <c r="A279" t="s">
        <v>43</v>
      </c>
      <c r="B279" t="s">
        <v>42</v>
      </c>
      <c r="C279">
        <v>39</v>
      </c>
      <c r="D279">
        <v>43</v>
      </c>
      <c r="E279" s="1">
        <f>+C279/(C279+D279)</f>
        <v>0.47560975609756095</v>
      </c>
      <c r="F279" s="2">
        <v>95.5</v>
      </c>
      <c r="G279" s="2">
        <v>97.1</v>
      </c>
      <c r="H279" s="2">
        <f>+F279-G279</f>
        <v>-1.5999999999999943</v>
      </c>
      <c r="I279" s="1">
        <f>+(F279^14)/((F279^14+G279^14))</f>
        <v>0.44210785442582834</v>
      </c>
      <c r="J279" s="2">
        <v>103.7</v>
      </c>
      <c r="K279" s="2">
        <v>105.4</v>
      </c>
      <c r="L279" s="2">
        <f>+J279-K279</f>
        <v>-1.7000000000000028</v>
      </c>
      <c r="M279" s="1">
        <f>+E279-I279</f>
        <v>3.3501901671732615E-2</v>
      </c>
      <c r="N279" s="2">
        <v>101.2</v>
      </c>
      <c r="O279" s="2">
        <v>96.6</v>
      </c>
      <c r="P279" s="2">
        <f>+N279-O279</f>
        <v>4.6000000000000085</v>
      </c>
      <c r="Q279">
        <v>-0.2</v>
      </c>
    </row>
    <row r="280" spans="1:17">
      <c r="A280" t="s">
        <v>47</v>
      </c>
      <c r="B280" t="s">
        <v>26</v>
      </c>
      <c r="C280">
        <v>50</v>
      </c>
      <c r="D280">
        <v>32</v>
      </c>
      <c r="E280" s="1">
        <f>+C280/(C280+D280)</f>
        <v>0.6097560975609756</v>
      </c>
      <c r="F280" s="2">
        <v>98.1</v>
      </c>
      <c r="G280" s="2">
        <v>94.8</v>
      </c>
      <c r="H280" s="2">
        <f>+F280-G280</f>
        <v>3.2999999999999972</v>
      </c>
      <c r="I280" s="1">
        <f>+(F280^14)/((F280^14+G280^14))</f>
        <v>0.61752385224098172</v>
      </c>
      <c r="J280" s="2">
        <v>109.6</v>
      </c>
      <c r="K280" s="2">
        <v>106.1</v>
      </c>
      <c r="L280" s="2">
        <f>+J280-K280</f>
        <v>3.5</v>
      </c>
      <c r="M280" s="1">
        <f>+E280-I280</f>
        <v>-7.7677546800061226E-3</v>
      </c>
      <c r="N280" s="2">
        <v>100.8</v>
      </c>
      <c r="O280" s="2">
        <v>96.2</v>
      </c>
      <c r="P280" s="2">
        <f>+N280-O280</f>
        <v>4.5999999999999943</v>
      </c>
      <c r="Q280">
        <v>0.4</v>
      </c>
    </row>
    <row r="281" spans="1:17">
      <c r="A281" t="s">
        <v>4</v>
      </c>
      <c r="B281" t="s">
        <v>9</v>
      </c>
      <c r="C281">
        <v>30</v>
      </c>
      <c r="D281">
        <v>52</v>
      </c>
      <c r="E281" s="1">
        <f>+C281/(C281+D281)</f>
        <v>0.36585365853658536</v>
      </c>
      <c r="F281" s="2">
        <v>92.2</v>
      </c>
      <c r="G281" s="2">
        <v>96.5</v>
      </c>
      <c r="H281" s="2">
        <f>+F281-G281</f>
        <v>-4.2999999999999972</v>
      </c>
      <c r="I281" s="1">
        <f>+(F281^14)/((F281^14+G281^14))</f>
        <v>0.34566252690458571</v>
      </c>
      <c r="J281" s="2">
        <v>99.3</v>
      </c>
      <c r="K281" s="2">
        <v>103.5</v>
      </c>
      <c r="L281" s="2">
        <f>+J281-K281</f>
        <v>-4.2000000000000028</v>
      </c>
      <c r="M281" s="1">
        <f>+E281-I281</f>
        <v>2.0191131631999648E-2</v>
      </c>
      <c r="N281" s="2">
        <v>91.3</v>
      </c>
      <c r="O281" s="2">
        <v>86.8</v>
      </c>
      <c r="P281" s="2">
        <f>+N281-O281</f>
        <v>4.5</v>
      </c>
      <c r="Q281">
        <v>1</v>
      </c>
    </row>
    <row r="282" spans="1:17">
      <c r="A282" t="s">
        <v>43</v>
      </c>
      <c r="B282" t="s">
        <v>22</v>
      </c>
      <c r="C282">
        <v>33</v>
      </c>
      <c r="D282">
        <v>49</v>
      </c>
      <c r="E282" s="1">
        <f>+C282/(C282+D282)</f>
        <v>0.40243902439024393</v>
      </c>
      <c r="F282" s="2">
        <v>97.5</v>
      </c>
      <c r="G282" s="2">
        <v>100.3</v>
      </c>
      <c r="H282" s="2">
        <f>+F282-G282</f>
        <v>-2.7999999999999972</v>
      </c>
      <c r="I282" s="1">
        <f>+(F282^14)/((F282^14+G282^14))</f>
        <v>0.40218084588560077</v>
      </c>
      <c r="J282" s="2">
        <v>104.3</v>
      </c>
      <c r="K282" s="2">
        <v>107.4</v>
      </c>
      <c r="L282" s="2">
        <f>+J282-K282</f>
        <v>-3.1000000000000085</v>
      </c>
      <c r="M282" s="1">
        <f>+E282-I282</f>
        <v>2.5817850464315839E-4</v>
      </c>
      <c r="N282" s="2">
        <v>107.4</v>
      </c>
      <c r="O282" s="2">
        <v>102.9</v>
      </c>
      <c r="P282" s="2">
        <f>+N282-O282</f>
        <v>4.5</v>
      </c>
      <c r="Q282">
        <v>-0.2</v>
      </c>
    </row>
    <row r="283" spans="1:17">
      <c r="A283" t="s">
        <v>47</v>
      </c>
      <c r="B283" t="s">
        <v>19</v>
      </c>
      <c r="C283">
        <v>46</v>
      </c>
      <c r="D283">
        <v>36</v>
      </c>
      <c r="E283" s="1">
        <f>+C283/(C283+D283)</f>
        <v>0.56097560975609762</v>
      </c>
      <c r="F283" s="2">
        <v>97.7</v>
      </c>
      <c r="G283" s="2">
        <v>96</v>
      </c>
      <c r="H283" s="2">
        <f>+F283-G283</f>
        <v>1.7000000000000028</v>
      </c>
      <c r="I283" s="1">
        <f>+(F283^14)/((F283^14+G283^14))</f>
        <v>0.56112945331002462</v>
      </c>
      <c r="J283" s="2">
        <v>104</v>
      </c>
      <c r="K283" s="2">
        <v>101.9</v>
      </c>
      <c r="L283" s="2">
        <f>+J283-K283</f>
        <v>2.0999999999999943</v>
      </c>
      <c r="M283" s="1">
        <f>+E283-I283</f>
        <v>-1.5384355392700222E-4</v>
      </c>
      <c r="N283" s="2">
        <v>99.6</v>
      </c>
      <c r="O283" s="2">
        <v>95.1</v>
      </c>
      <c r="P283" s="2">
        <f>+N283-O283</f>
        <v>4.5</v>
      </c>
      <c r="Q283">
        <v>0.2</v>
      </c>
    </row>
    <row r="284" spans="1:17">
      <c r="A284" t="s">
        <v>63</v>
      </c>
      <c r="B284" t="s">
        <v>17</v>
      </c>
      <c r="C284">
        <v>43</v>
      </c>
      <c r="D284">
        <v>39</v>
      </c>
      <c r="E284" s="1">
        <f>+C284/(C284+D284)</f>
        <v>0.52439024390243905</v>
      </c>
      <c r="F284" s="2">
        <v>117.2</v>
      </c>
      <c r="G284" s="2">
        <v>116.6</v>
      </c>
      <c r="H284" s="2">
        <f>+F284-G284</f>
        <v>0.60000000000000853</v>
      </c>
      <c r="I284" s="1">
        <f>+(F284^14)/((F284^14+G284^14))</f>
        <v>0.5179563857008791</v>
      </c>
      <c r="J284" s="2">
        <v>113.9</v>
      </c>
      <c r="K284" s="2">
        <v>113.2</v>
      </c>
      <c r="L284" s="2">
        <f>+J284-K284</f>
        <v>0.70000000000000284</v>
      </c>
      <c r="M284" s="1">
        <f>+E284-I284</f>
        <v>6.4338582015599499E-3</v>
      </c>
      <c r="N284" s="2">
        <v>115.9</v>
      </c>
      <c r="O284" s="2">
        <v>111.5</v>
      </c>
      <c r="P284" s="2">
        <f>+N284-O284</f>
        <v>4.4000000000000057</v>
      </c>
      <c r="Q284">
        <v>1.9</v>
      </c>
    </row>
    <row r="285" spans="1:17">
      <c r="A285" t="s">
        <v>63</v>
      </c>
      <c r="B285" t="s">
        <v>6</v>
      </c>
      <c r="C285">
        <v>57</v>
      </c>
      <c r="D285">
        <v>25</v>
      </c>
      <c r="E285" s="1">
        <f>+C285/(C285+D285)</f>
        <v>0.69512195121951215</v>
      </c>
      <c r="F285" s="2">
        <v>117.9</v>
      </c>
      <c r="G285" s="2">
        <v>111.4</v>
      </c>
      <c r="H285" s="2">
        <f>+F285-G285</f>
        <v>6.5</v>
      </c>
      <c r="I285" s="1">
        <f>+(F285^14)/((F285^14+G285^14))</f>
        <v>0.6886751375801452</v>
      </c>
      <c r="J285" s="2">
        <v>117.3</v>
      </c>
      <c r="K285" s="2">
        <v>110.6</v>
      </c>
      <c r="L285" s="2">
        <f>+J285-K285</f>
        <v>6.7000000000000028</v>
      </c>
      <c r="M285" s="1">
        <f>+E285-I285</f>
        <v>6.446813639366944E-3</v>
      </c>
      <c r="N285" s="2">
        <v>107.4</v>
      </c>
      <c r="O285" s="2">
        <v>103.1</v>
      </c>
      <c r="P285" s="2">
        <f>+N285-O285</f>
        <v>4.3000000000000114</v>
      </c>
      <c r="Q285">
        <v>0.6</v>
      </c>
    </row>
    <row r="286" spans="1:17">
      <c r="A286" t="s">
        <v>41</v>
      </c>
      <c r="B286" t="s">
        <v>27</v>
      </c>
      <c r="C286">
        <v>44</v>
      </c>
      <c r="D286">
        <v>38</v>
      </c>
      <c r="E286" s="1">
        <f>+C286/(C286+D286)</f>
        <v>0.53658536585365857</v>
      </c>
      <c r="F286" s="2">
        <v>98.9</v>
      </c>
      <c r="G286" s="2">
        <v>97.3</v>
      </c>
      <c r="H286" s="2">
        <f>+F286-G286</f>
        <v>1.6000000000000085</v>
      </c>
      <c r="I286" s="1">
        <f>+(F286^14)/((F286^14+G286^14))</f>
        <v>0.55683911786058593</v>
      </c>
      <c r="J286" s="2">
        <v>105.3</v>
      </c>
      <c r="K286" s="2">
        <v>103.5</v>
      </c>
      <c r="L286" s="2">
        <f>+J286-K286</f>
        <v>1.7999999999999972</v>
      </c>
      <c r="M286" s="1">
        <f>+E286-I286</f>
        <v>-2.0253752006927361E-2</v>
      </c>
      <c r="N286" s="2">
        <v>101.9</v>
      </c>
      <c r="O286" s="2">
        <v>97.8</v>
      </c>
      <c r="P286" s="2">
        <f>+N286-O286</f>
        <v>4.1000000000000085</v>
      </c>
      <c r="Q286">
        <v>-0.7</v>
      </c>
    </row>
    <row r="287" spans="1:17">
      <c r="A287" t="s">
        <v>39</v>
      </c>
      <c r="B287" t="s">
        <v>21</v>
      </c>
      <c r="C287">
        <v>42</v>
      </c>
      <c r="D287">
        <v>40</v>
      </c>
      <c r="E287" s="1">
        <f>+C287/(C287+D287)</f>
        <v>0.51219512195121952</v>
      </c>
      <c r="F287" s="2">
        <v>91.4</v>
      </c>
      <c r="G287" s="2">
        <v>92.9</v>
      </c>
      <c r="H287" s="2">
        <f>+F287-G287</f>
        <v>-1.5</v>
      </c>
      <c r="I287" s="1">
        <f>+(F287^14)/((F287^14+G287^14))</f>
        <v>0.44327172117741881</v>
      </c>
      <c r="J287" s="2">
        <v>99.9</v>
      </c>
      <c r="K287" s="2">
        <v>101.6</v>
      </c>
      <c r="L287" s="2">
        <f>+J287-K287</f>
        <v>-1.6999999999999886</v>
      </c>
      <c r="M287" s="1">
        <f>+E287-I287</f>
        <v>6.8923400773800714E-2</v>
      </c>
      <c r="N287" s="2">
        <v>100</v>
      </c>
      <c r="O287" s="2">
        <v>95.9</v>
      </c>
      <c r="P287" s="2">
        <f>+N287-O287</f>
        <v>4.0999999999999943</v>
      </c>
      <c r="Q287">
        <v>-2.2000000000000002</v>
      </c>
    </row>
    <row r="288" spans="1:17">
      <c r="A288" t="s">
        <v>58</v>
      </c>
      <c r="B288" t="s">
        <v>11</v>
      </c>
      <c r="C288">
        <v>46</v>
      </c>
      <c r="D288">
        <v>36</v>
      </c>
      <c r="E288" s="1">
        <f>+C288/(C288+D288)</f>
        <v>0.56097560975609762</v>
      </c>
      <c r="F288" s="2">
        <v>110</v>
      </c>
      <c r="G288" s="2">
        <v>108.5</v>
      </c>
      <c r="H288" s="2">
        <f>+F288-G288</f>
        <v>1.5</v>
      </c>
      <c r="I288" s="1">
        <f>+(F288^14)/((F288^14+G288^14))</f>
        <v>0.54790824985193565</v>
      </c>
      <c r="J288" s="2">
        <v>111.4</v>
      </c>
      <c r="K288" s="2">
        <v>110</v>
      </c>
      <c r="L288" s="2">
        <f>+J288-K288</f>
        <v>1.4000000000000057</v>
      </c>
      <c r="M288" s="1">
        <f>+E288-I288</f>
        <v>1.3067359904161968E-2</v>
      </c>
      <c r="N288" s="2">
        <v>103.6</v>
      </c>
      <c r="O288" s="2">
        <v>99.5</v>
      </c>
      <c r="P288" s="2">
        <f>+N288-O288</f>
        <v>4.0999999999999943</v>
      </c>
      <c r="Q288">
        <v>-0.6</v>
      </c>
    </row>
    <row r="289" spans="1:17">
      <c r="A289" t="s">
        <v>65</v>
      </c>
      <c r="B289" t="s">
        <v>17</v>
      </c>
      <c r="C289">
        <v>50</v>
      </c>
      <c r="D289">
        <v>32</v>
      </c>
      <c r="E289" s="1">
        <f>+C289/(C289+D289)</f>
        <v>0.6097560975609756</v>
      </c>
      <c r="F289" s="2">
        <v>113.4</v>
      </c>
      <c r="G289" s="2">
        <v>112.2</v>
      </c>
      <c r="H289" s="2">
        <f>+F289-G289</f>
        <v>1.2000000000000028</v>
      </c>
      <c r="I289" s="1">
        <f>+(F289^14)/((F289^14+G289^14))</f>
        <v>0.5371657170333668</v>
      </c>
      <c r="J289" s="2">
        <v>115</v>
      </c>
      <c r="K289" s="2">
        <v>113.8</v>
      </c>
      <c r="L289" s="2">
        <f>+J289-K289</f>
        <v>1.2000000000000028</v>
      </c>
      <c r="M289" s="1">
        <f>+E289-I289</f>
        <v>7.25903805276088E-2</v>
      </c>
      <c r="N289" s="2">
        <v>114.6</v>
      </c>
      <c r="O289" s="2">
        <v>110.6</v>
      </c>
      <c r="P289" s="2">
        <f>+N289-O289</f>
        <v>4</v>
      </c>
      <c r="Q289">
        <v>-0.7</v>
      </c>
    </row>
    <row r="290" spans="1:17">
      <c r="A290" t="s">
        <v>4</v>
      </c>
      <c r="B290" t="s">
        <v>17</v>
      </c>
      <c r="C290">
        <v>56</v>
      </c>
      <c r="D290">
        <v>26</v>
      </c>
      <c r="E290" s="1">
        <f>+C290/(C290+D290)</f>
        <v>0.68292682926829273</v>
      </c>
      <c r="F290" s="2">
        <v>100.6</v>
      </c>
      <c r="G290" s="2">
        <v>97.2</v>
      </c>
      <c r="H290" s="2">
        <f>+F290-G290</f>
        <v>3.3999999999999915</v>
      </c>
      <c r="I290" s="1">
        <f>+(F290^14)/((F290^14+G290^14))</f>
        <v>0.61806463503344422</v>
      </c>
      <c r="J290" s="2">
        <v>107</v>
      </c>
      <c r="K290" s="2">
        <v>103.6</v>
      </c>
      <c r="L290" s="2">
        <f>+J290-K290</f>
        <v>3.4000000000000057</v>
      </c>
      <c r="M290" s="1">
        <f>+E290-I290</f>
        <v>6.4862194234848514E-2</v>
      </c>
      <c r="N290" s="2">
        <v>103.2</v>
      </c>
      <c r="O290" s="2">
        <v>99.2</v>
      </c>
      <c r="P290" s="2">
        <f>+N290-O290</f>
        <v>4</v>
      </c>
      <c r="Q290">
        <v>-1</v>
      </c>
    </row>
    <row r="291" spans="1:17">
      <c r="A291" t="s">
        <v>52</v>
      </c>
      <c r="B291" t="s">
        <v>46</v>
      </c>
      <c r="C291">
        <v>59</v>
      </c>
      <c r="D291">
        <v>23</v>
      </c>
      <c r="E291" s="1">
        <f>+C291/(C291+D291)</f>
        <v>0.71951219512195119</v>
      </c>
      <c r="F291" s="2">
        <v>106.2</v>
      </c>
      <c r="G291" s="2">
        <v>99.8</v>
      </c>
      <c r="H291" s="2">
        <f>+F291-G291</f>
        <v>6.4000000000000057</v>
      </c>
      <c r="I291" s="1">
        <f>+(F291^14)/((F291^14+G291^14))</f>
        <v>0.70478376609010041</v>
      </c>
      <c r="J291" s="2">
        <v>109.4</v>
      </c>
      <c r="K291" s="2">
        <v>103</v>
      </c>
      <c r="L291" s="2">
        <f>+J291-K291</f>
        <v>6.4000000000000057</v>
      </c>
      <c r="M291" s="1">
        <f>+E291-I291</f>
        <v>1.4728429031850787E-2</v>
      </c>
      <c r="N291" s="2">
        <v>103.7</v>
      </c>
      <c r="O291" s="2">
        <v>99.7</v>
      </c>
      <c r="P291" s="2">
        <f>+N291-O291</f>
        <v>4</v>
      </c>
      <c r="Q291">
        <v>1.1000000000000001</v>
      </c>
    </row>
    <row r="292" spans="1:17">
      <c r="A292" t="s">
        <v>36</v>
      </c>
      <c r="B292" t="s">
        <v>24</v>
      </c>
      <c r="C292">
        <v>48</v>
      </c>
      <c r="D292">
        <v>34</v>
      </c>
      <c r="E292" s="1">
        <f>+C292/(C292+D292)</f>
        <v>0.58536585365853655</v>
      </c>
      <c r="F292" s="2">
        <v>96.8</v>
      </c>
      <c r="G292" s="2">
        <v>94.5</v>
      </c>
      <c r="H292" s="2">
        <f>+F292-G292</f>
        <v>2.2999999999999972</v>
      </c>
      <c r="I292" s="1">
        <f>+(F292^14)/((F292^14+G292^14))</f>
        <v>0.58337902714403844</v>
      </c>
      <c r="J292" s="2">
        <v>103.2</v>
      </c>
      <c r="K292" s="2">
        <v>100.6</v>
      </c>
      <c r="L292" s="2">
        <f>+J292-K292</f>
        <v>2.6000000000000085</v>
      </c>
      <c r="M292" s="1">
        <f>+E292-I292</f>
        <v>1.9868265144981079E-3</v>
      </c>
      <c r="N292" s="2">
        <v>102.4</v>
      </c>
      <c r="O292" s="2">
        <v>98.5</v>
      </c>
      <c r="P292" s="2">
        <f>+N292-O292</f>
        <v>3.9000000000000057</v>
      </c>
      <c r="Q292">
        <v>1.1000000000000001</v>
      </c>
    </row>
    <row r="293" spans="1:17">
      <c r="A293" t="s">
        <v>47</v>
      </c>
      <c r="B293" t="s">
        <v>17</v>
      </c>
      <c r="C293">
        <v>57</v>
      </c>
      <c r="D293">
        <v>25</v>
      </c>
      <c r="E293" s="1">
        <f>+C293/(C293+D293)</f>
        <v>0.69512195121951215</v>
      </c>
      <c r="F293" s="2">
        <v>101.7</v>
      </c>
      <c r="G293" s="2">
        <v>97</v>
      </c>
      <c r="H293" s="2">
        <f>+F293-G293</f>
        <v>4.7000000000000028</v>
      </c>
      <c r="I293" s="1">
        <f>+(F293^14)/((F293^14+G293^14))</f>
        <v>0.65980571592524628</v>
      </c>
      <c r="J293" s="2">
        <v>107.6</v>
      </c>
      <c r="K293" s="2">
        <v>102.7</v>
      </c>
      <c r="L293" s="2">
        <f>+J293-K293</f>
        <v>4.8999999999999915</v>
      </c>
      <c r="M293" s="1">
        <f>+E293-I293</f>
        <v>3.5316235294265863E-2</v>
      </c>
      <c r="N293" s="2">
        <v>99.7</v>
      </c>
      <c r="O293" s="2">
        <v>95.9</v>
      </c>
      <c r="P293" s="2">
        <f>+N293-O293</f>
        <v>3.7999999999999972</v>
      </c>
      <c r="Q293">
        <v>0.2</v>
      </c>
    </row>
    <row r="294" spans="1:17">
      <c r="A294" t="s">
        <v>60</v>
      </c>
      <c r="B294" t="s">
        <v>22</v>
      </c>
      <c r="C294">
        <v>21</v>
      </c>
      <c r="D294">
        <v>45</v>
      </c>
      <c r="E294" s="1">
        <f>+C294/(C294+D294)</f>
        <v>0.31818181818181818</v>
      </c>
      <c r="F294" s="2">
        <v>105.8</v>
      </c>
      <c r="G294" s="2">
        <v>112.3</v>
      </c>
      <c r="H294" s="2">
        <f>+F294-G294</f>
        <v>-6.5</v>
      </c>
      <c r="I294" s="1">
        <f>+(F294^14)/((F294^14+G294^14))</f>
        <v>0.30264654338217839</v>
      </c>
      <c r="J294" s="2">
        <v>105.9</v>
      </c>
      <c r="K294" s="2">
        <v>112.4</v>
      </c>
      <c r="L294" s="2">
        <f>+J294-K294</f>
        <v>-6.5</v>
      </c>
      <c r="M294" s="1">
        <f>+E294-I294</f>
        <v>1.5535274799639787E-2</v>
      </c>
      <c r="N294" s="2">
        <v>106.3</v>
      </c>
      <c r="O294" s="2">
        <v>102.5</v>
      </c>
      <c r="P294" s="2">
        <f>+N294-O294</f>
        <v>3.7999999999999972</v>
      </c>
      <c r="Q294">
        <v>-0.8</v>
      </c>
    </row>
    <row r="295" spans="1:17">
      <c r="A295" t="s">
        <v>66</v>
      </c>
      <c r="B295" t="s">
        <v>20</v>
      </c>
      <c r="C295">
        <v>40</v>
      </c>
      <c r="D295">
        <v>24</v>
      </c>
      <c r="E295" s="1">
        <f>+C295/(C295+D295)</f>
        <v>0.625</v>
      </c>
      <c r="F295" s="2">
        <v>118.6</v>
      </c>
      <c r="G295" s="2">
        <v>114.5</v>
      </c>
      <c r="H295" s="2">
        <f>+F295-G295</f>
        <v>4.0999999999999943</v>
      </c>
      <c r="I295" s="1">
        <f>+(F295^14)/((F295^14+G295^14))</f>
        <v>0.62070538318450608</v>
      </c>
      <c r="J295" s="2">
        <v>116.1</v>
      </c>
      <c r="K295" s="2">
        <v>112.2</v>
      </c>
      <c r="L295" s="2">
        <f>+J295-K295</f>
        <v>3.8999999999999915</v>
      </c>
      <c r="M295" s="1">
        <f>+E295-I295</f>
        <v>4.2946168154939235E-3</v>
      </c>
      <c r="N295" s="2">
        <v>117.2</v>
      </c>
      <c r="O295" s="2">
        <v>113.4</v>
      </c>
      <c r="P295" s="2">
        <f>+N295-O295</f>
        <v>3.7999999999999972</v>
      </c>
      <c r="Q295" s="2">
        <v>1.6</v>
      </c>
    </row>
    <row r="296" spans="1:17">
      <c r="A296" t="s">
        <v>62</v>
      </c>
      <c r="B296" t="s">
        <v>11</v>
      </c>
      <c r="C296">
        <v>48</v>
      </c>
      <c r="D296">
        <v>34</v>
      </c>
      <c r="E296" s="1">
        <f>+C296/(C296+D296)</f>
        <v>0.58536585365853655</v>
      </c>
      <c r="F296" s="2">
        <v>112.7</v>
      </c>
      <c r="G296" s="2">
        <v>110.4</v>
      </c>
      <c r="H296" s="2">
        <f>+F296-G296</f>
        <v>2.2999999999999972</v>
      </c>
      <c r="I296" s="1">
        <f>+(F296^14)/((F296^14+G296^14))</f>
        <v>0.57167050088011562</v>
      </c>
      <c r="J296" s="2">
        <v>113.8</v>
      </c>
      <c r="K296" s="2">
        <v>111.5</v>
      </c>
      <c r="L296" s="2">
        <f>+J296-K296</f>
        <v>2.2999999999999972</v>
      </c>
      <c r="M296" s="1">
        <f>+E296-I296</f>
        <v>1.3695352778420933E-2</v>
      </c>
      <c r="N296" s="2">
        <v>106.9</v>
      </c>
      <c r="O296" s="2">
        <v>103.2</v>
      </c>
      <c r="P296" s="2">
        <f>+N296-O296</f>
        <v>3.7000000000000028</v>
      </c>
      <c r="Q296">
        <v>-1.8</v>
      </c>
    </row>
    <row r="297" spans="1:17">
      <c r="A297" t="s">
        <v>59</v>
      </c>
      <c r="B297" t="s">
        <v>31</v>
      </c>
      <c r="C297">
        <v>50</v>
      </c>
      <c r="D297">
        <v>32</v>
      </c>
      <c r="E297" s="1">
        <f>+C297/(C297+D297)</f>
        <v>0.6097560975609756</v>
      </c>
      <c r="F297" s="2">
        <v>111.7</v>
      </c>
      <c r="G297" s="2">
        <v>106.5</v>
      </c>
      <c r="H297" s="2">
        <f>+F297-G297</f>
        <v>5.2000000000000028</v>
      </c>
      <c r="I297" s="1">
        <f>+(F297^14)/((F297^14+G297^14))</f>
        <v>0.66092164871809023</v>
      </c>
      <c r="J297" s="2">
        <v>110.3</v>
      </c>
      <c r="K297" s="2">
        <v>105.3</v>
      </c>
      <c r="L297" s="2">
        <f>+J297-K297</f>
        <v>5</v>
      </c>
      <c r="M297" s="1">
        <f>+E297-I297</f>
        <v>-5.116555115711463E-2</v>
      </c>
      <c r="N297" s="2">
        <v>112.7</v>
      </c>
      <c r="O297" s="2">
        <v>109.1</v>
      </c>
      <c r="P297" s="2">
        <f>+N297-O297</f>
        <v>3.6000000000000085</v>
      </c>
      <c r="Q297">
        <v>0.6</v>
      </c>
    </row>
    <row r="298" spans="1:17">
      <c r="A298" t="s">
        <v>36</v>
      </c>
      <c r="B298" t="s">
        <v>31</v>
      </c>
      <c r="C298">
        <v>47</v>
      </c>
      <c r="D298">
        <v>35</v>
      </c>
      <c r="E298" s="1">
        <f>+C298/(C298+D298)</f>
        <v>0.57317073170731703</v>
      </c>
      <c r="F298" s="2">
        <v>94.7</v>
      </c>
      <c r="G298" s="2">
        <v>92.3</v>
      </c>
      <c r="H298" s="2">
        <f>+F298-G298</f>
        <v>2.4000000000000057</v>
      </c>
      <c r="I298" s="1">
        <f>+(F298^14)/((F298^14+G298^14))</f>
        <v>0.58888986228470186</v>
      </c>
      <c r="J298" s="2">
        <v>103.7</v>
      </c>
      <c r="K298" s="2">
        <v>101.1</v>
      </c>
      <c r="L298" s="2">
        <f>+J298-K298</f>
        <v>2.6000000000000085</v>
      </c>
      <c r="M298" s="1">
        <f>+E298-I298</f>
        <v>-1.5719130577384832E-2</v>
      </c>
      <c r="N298" s="2">
        <v>102.6</v>
      </c>
      <c r="O298" s="2">
        <v>99</v>
      </c>
      <c r="P298" s="2">
        <f>+N298-O298</f>
        <v>3.5999999999999943</v>
      </c>
      <c r="Q298">
        <v>0.3</v>
      </c>
    </row>
    <row r="299" spans="1:17">
      <c r="A299" t="s">
        <v>60</v>
      </c>
      <c r="B299" t="s">
        <v>6</v>
      </c>
      <c r="C299">
        <v>48</v>
      </c>
      <c r="D299">
        <v>24</v>
      </c>
      <c r="E299" s="1">
        <f>+C299/(C299+D299)</f>
        <v>0.66666666666666663</v>
      </c>
      <c r="F299" s="2">
        <v>113.7</v>
      </c>
      <c r="G299" s="2">
        <v>107.3</v>
      </c>
      <c r="H299" s="2">
        <f>+F299-G299</f>
        <v>6.4000000000000057</v>
      </c>
      <c r="I299" s="1">
        <f>+(F299^14)/((F299^14+G299^14))</f>
        <v>0.69234098586672488</v>
      </c>
      <c r="J299" s="2">
        <v>112.8</v>
      </c>
      <c r="K299" s="2">
        <v>106.5</v>
      </c>
      <c r="L299" s="2">
        <f>+J299-K299</f>
        <v>6.2999999999999972</v>
      </c>
      <c r="M299" s="1">
        <f>+E299-I299</f>
        <v>-2.5674319200058249E-2</v>
      </c>
      <c r="N299" s="2">
        <v>114.7</v>
      </c>
      <c r="O299" s="2">
        <v>111.2</v>
      </c>
      <c r="P299" s="2">
        <f>+N299-O299</f>
        <v>3.5</v>
      </c>
      <c r="Q299">
        <v>0.6</v>
      </c>
    </row>
    <row r="300" spans="1:17">
      <c r="A300" t="s">
        <v>59</v>
      </c>
      <c r="B300" t="s">
        <v>24</v>
      </c>
      <c r="C300">
        <v>51</v>
      </c>
      <c r="D300">
        <v>31</v>
      </c>
      <c r="E300" s="1">
        <f>+C300/(C300+D300)</f>
        <v>0.62195121951219512</v>
      </c>
      <c r="F300" s="2">
        <v>115.2</v>
      </c>
      <c r="G300" s="2">
        <v>112.5</v>
      </c>
      <c r="H300" s="2">
        <f>+F300-G300</f>
        <v>2.7000000000000028</v>
      </c>
      <c r="I300" s="1">
        <f>+(F300^14)/((F300^14+G300^14))</f>
        <v>0.58225355885206587</v>
      </c>
      <c r="J300" s="2">
        <v>111.6</v>
      </c>
      <c r="K300" s="2">
        <v>109</v>
      </c>
      <c r="L300" s="2">
        <f>+J300-K300</f>
        <v>2.5999999999999943</v>
      </c>
      <c r="M300" s="1">
        <f>+E300-I300</f>
        <v>3.9697660660129253E-2</v>
      </c>
      <c r="N300" s="2">
        <v>109.5</v>
      </c>
      <c r="O300" s="2">
        <v>106.1</v>
      </c>
      <c r="P300" s="2">
        <f>+N300-O300</f>
        <v>3.4000000000000057</v>
      </c>
      <c r="Q300">
        <v>-0.1</v>
      </c>
    </row>
    <row r="301" spans="1:17">
      <c r="A301" t="s">
        <v>64</v>
      </c>
      <c r="B301" t="s">
        <v>23</v>
      </c>
      <c r="C301">
        <v>47</v>
      </c>
      <c r="D301">
        <v>35</v>
      </c>
      <c r="E301" s="1">
        <f>+C301/(C301+D301)</f>
        <v>0.57317073170731703</v>
      </c>
      <c r="F301" s="2">
        <v>110.5</v>
      </c>
      <c r="G301" s="2">
        <v>108.4</v>
      </c>
      <c r="H301" s="2">
        <f>+F301-G301</f>
        <v>2.0999999999999943</v>
      </c>
      <c r="I301" s="1">
        <f>+(F301^14)/((F301^14+G301^14))</f>
        <v>0.56675507945775017</v>
      </c>
      <c r="J301" s="2">
        <v>112.9</v>
      </c>
      <c r="K301" s="2">
        <v>110.8</v>
      </c>
      <c r="L301" s="2">
        <f>+J301-K301</f>
        <v>2.1000000000000085</v>
      </c>
      <c r="M301" s="1">
        <f>+E301-I301</f>
        <v>6.4156522495668611E-3</v>
      </c>
      <c r="N301" s="2">
        <v>104.2</v>
      </c>
      <c r="O301" s="2">
        <v>100.8</v>
      </c>
      <c r="P301" s="2">
        <f>+N301-O301</f>
        <v>3.4000000000000057</v>
      </c>
      <c r="Q301">
        <v>0.6</v>
      </c>
    </row>
    <row r="302" spans="1:17">
      <c r="A302" t="s">
        <v>34</v>
      </c>
      <c r="B302" t="s">
        <v>12</v>
      </c>
      <c r="C302">
        <v>50</v>
      </c>
      <c r="D302">
        <v>32</v>
      </c>
      <c r="E302" s="1">
        <f>+C302/(C302+D302)</f>
        <v>0.6097560975609756</v>
      </c>
      <c r="F302" s="2">
        <v>94.3</v>
      </c>
      <c r="G302" s="2">
        <v>92.2</v>
      </c>
      <c r="H302" s="2">
        <f>+F302-G302</f>
        <v>2.0999999999999943</v>
      </c>
      <c r="I302" s="1">
        <f>+(F302^14)/((F302^14+G302^14))</f>
        <v>0.57817713942580595</v>
      </c>
      <c r="J302" s="2">
        <v>103.2</v>
      </c>
      <c r="K302" s="2">
        <v>100.9</v>
      </c>
      <c r="L302" s="2">
        <f>+J302-K302</f>
        <v>2.2999999999999972</v>
      </c>
      <c r="M302" s="1">
        <f>+E302-I302</f>
        <v>3.1578958135169644E-2</v>
      </c>
      <c r="N302" s="2">
        <v>96.6</v>
      </c>
      <c r="O302" s="2">
        <v>93.2</v>
      </c>
      <c r="P302" s="2">
        <f>+N302-O302</f>
        <v>3.3999999999999915</v>
      </c>
      <c r="Q302">
        <v>1</v>
      </c>
    </row>
    <row r="303" spans="1:17">
      <c r="A303" t="s">
        <v>39</v>
      </c>
      <c r="B303" t="s">
        <v>6</v>
      </c>
      <c r="C303">
        <v>45</v>
      </c>
      <c r="D303">
        <v>37</v>
      </c>
      <c r="E303" s="1">
        <f>+C303/(C303+D303)</f>
        <v>0.54878048780487809</v>
      </c>
      <c r="F303" s="2">
        <v>101.3</v>
      </c>
      <c r="G303" s="2">
        <v>100.4</v>
      </c>
      <c r="H303" s="2">
        <f>+F303-G303</f>
        <v>0.89999999999999147</v>
      </c>
      <c r="I303" s="1">
        <f>+(F303^14)/((F303^14+G303^14))</f>
        <v>0.53119414689005995</v>
      </c>
      <c r="J303" s="2">
        <v>105.9</v>
      </c>
      <c r="K303" s="2">
        <v>105.1</v>
      </c>
      <c r="L303" s="2">
        <f>+J303-K303</f>
        <v>0.80000000000001137</v>
      </c>
      <c r="M303" s="1">
        <f>+E303-I303</f>
        <v>1.7586340914818144E-2</v>
      </c>
      <c r="N303" s="2">
        <v>98.3</v>
      </c>
      <c r="O303" s="2">
        <v>94.9</v>
      </c>
      <c r="P303" s="2">
        <f>+N303-O303</f>
        <v>3.3999999999999915</v>
      </c>
      <c r="Q303">
        <v>0.2</v>
      </c>
    </row>
    <row r="304" spans="1:17">
      <c r="A304" t="s">
        <v>41</v>
      </c>
      <c r="B304" t="s">
        <v>31</v>
      </c>
      <c r="C304">
        <v>41</v>
      </c>
      <c r="D304">
        <v>41</v>
      </c>
      <c r="E304" s="1">
        <f>+C304/(C304+D304)</f>
        <v>0.5</v>
      </c>
      <c r="F304" s="2">
        <v>92.4</v>
      </c>
      <c r="G304" s="2">
        <v>95</v>
      </c>
      <c r="H304" s="2">
        <f>+F304-G304</f>
        <v>-2.5999999999999943</v>
      </c>
      <c r="I304" s="1">
        <f>+(F304^14)/((F304^14+G304^14))</f>
        <v>0.40407874070852795</v>
      </c>
      <c r="J304" s="2">
        <v>102.4</v>
      </c>
      <c r="K304" s="2">
        <v>105.1</v>
      </c>
      <c r="L304" s="2">
        <f>+J304-K304</f>
        <v>-2.6999999999999886</v>
      </c>
      <c r="M304" s="1">
        <f>+E304-I304</f>
        <v>9.592125929147205E-2</v>
      </c>
      <c r="N304" s="2">
        <v>107.2</v>
      </c>
      <c r="O304" s="2">
        <v>103.9</v>
      </c>
      <c r="P304" s="2">
        <f>+N304-O304</f>
        <v>3.2999999999999972</v>
      </c>
      <c r="Q304">
        <v>0.7</v>
      </c>
    </row>
    <row r="305" spans="1:17">
      <c r="A305" t="s">
        <v>66</v>
      </c>
      <c r="B305" t="s">
        <v>5</v>
      </c>
      <c r="C305">
        <v>33</v>
      </c>
      <c r="D305">
        <v>31</v>
      </c>
      <c r="E305" s="1">
        <f>+C305/(C305+D305)</f>
        <v>0.515625</v>
      </c>
      <c r="F305" s="2">
        <v>117.7</v>
      </c>
      <c r="G305" s="2">
        <v>117.3</v>
      </c>
      <c r="H305" s="2">
        <f>+F305-G305</f>
        <v>0.40000000000000568</v>
      </c>
      <c r="I305" s="1">
        <f>+(F305^14)/((F305^14+G305^14))</f>
        <v>0.51191265030386746</v>
      </c>
      <c r="J305" s="2">
        <v>114.1</v>
      </c>
      <c r="K305" s="2">
        <v>113.7</v>
      </c>
      <c r="L305" s="2">
        <f>+J305-K305</f>
        <v>0.39999999999999147</v>
      </c>
      <c r="M305" s="1">
        <f>+E305-I305</f>
        <v>3.7123496961325442E-3</v>
      </c>
      <c r="N305" s="2">
        <v>116</v>
      </c>
      <c r="O305" s="2">
        <v>112.7</v>
      </c>
      <c r="P305" s="2">
        <f>+N305-O305</f>
        <v>3.2999999999999972</v>
      </c>
      <c r="Q305">
        <v>0.7</v>
      </c>
    </row>
    <row r="306" spans="1:17">
      <c r="A306" t="s">
        <v>44</v>
      </c>
      <c r="B306" t="s">
        <v>11</v>
      </c>
      <c r="C306">
        <v>50</v>
      </c>
      <c r="D306">
        <v>32</v>
      </c>
      <c r="E306" s="1">
        <f>+C306/(C306+D306)</f>
        <v>0.6097560975609756</v>
      </c>
      <c r="F306" s="2">
        <v>110.7</v>
      </c>
      <c r="G306" s="2">
        <v>107</v>
      </c>
      <c r="H306" s="2">
        <f>+F306-G306</f>
        <v>3.7000000000000028</v>
      </c>
      <c r="I306" s="1">
        <f>+(F306^14)/((F306^14+G306^14))</f>
        <v>0.61678636144729848</v>
      </c>
      <c r="J306" s="2">
        <v>108.9</v>
      </c>
      <c r="K306" s="2">
        <v>105.5</v>
      </c>
      <c r="L306" s="2">
        <f>+J306-K306</f>
        <v>3.4000000000000057</v>
      </c>
      <c r="M306" s="1">
        <f>+E306-I306</f>
        <v>-7.030263886322885E-3</v>
      </c>
      <c r="N306" s="2">
        <v>100.3</v>
      </c>
      <c r="O306" s="2">
        <v>97</v>
      </c>
      <c r="P306" s="2">
        <f>+N306-O306</f>
        <v>3.2999999999999972</v>
      </c>
      <c r="Q306">
        <v>0.8</v>
      </c>
    </row>
    <row r="307" spans="1:17">
      <c r="A307" t="s">
        <v>60</v>
      </c>
      <c r="B307" t="s">
        <v>51</v>
      </c>
      <c r="C307">
        <v>35</v>
      </c>
      <c r="D307">
        <v>37</v>
      </c>
      <c r="E307" s="1">
        <f>+C307/(C307+D307)</f>
        <v>0.4861111111111111</v>
      </c>
      <c r="F307" s="2">
        <v>111.8</v>
      </c>
      <c r="G307" s="2">
        <v>112.3</v>
      </c>
      <c r="H307" s="2">
        <f>+F307-G307</f>
        <v>-0.5</v>
      </c>
      <c r="I307" s="1">
        <f>+(F307^14)/((F307^14+G307^14))</f>
        <v>0.48438702391890293</v>
      </c>
      <c r="J307" s="2">
        <v>108.7</v>
      </c>
      <c r="K307" s="2">
        <v>109.2</v>
      </c>
      <c r="L307" s="2">
        <f>+J307-K307</f>
        <v>-0.5</v>
      </c>
      <c r="M307" s="1">
        <f>+E307-I307</f>
        <v>1.7240871922081791E-3</v>
      </c>
      <c r="N307" s="2">
        <v>110.4</v>
      </c>
      <c r="O307" s="2">
        <v>107.2</v>
      </c>
      <c r="P307" s="2">
        <f>+N307-O307</f>
        <v>3.2000000000000028</v>
      </c>
      <c r="Q307">
        <v>-1.3</v>
      </c>
    </row>
    <row r="308" spans="1:17">
      <c r="A308" t="s">
        <v>34</v>
      </c>
      <c r="B308" t="s">
        <v>7</v>
      </c>
      <c r="C308">
        <v>44</v>
      </c>
      <c r="D308">
        <v>38</v>
      </c>
      <c r="E308" s="1">
        <f>+C308/(C308+D308)</f>
        <v>0.53658536585365857</v>
      </c>
      <c r="F308" s="2">
        <v>93.9</v>
      </c>
      <c r="G308" s="2">
        <v>92.9</v>
      </c>
      <c r="H308" s="2">
        <f>+F308-G308</f>
        <v>1</v>
      </c>
      <c r="I308" s="1">
        <f>+(F308^14)/((F308^14+G308^14))</f>
        <v>0.5374035846136257</v>
      </c>
      <c r="J308" s="2">
        <v>102.9</v>
      </c>
      <c r="K308" s="2">
        <v>101.8</v>
      </c>
      <c r="L308" s="2">
        <f>+J308-K308</f>
        <v>1.1000000000000085</v>
      </c>
      <c r="M308" s="1">
        <f>+E308-I308</f>
        <v>-8.1821875996712645E-4</v>
      </c>
      <c r="N308" s="2">
        <v>101.1</v>
      </c>
      <c r="O308" s="2">
        <v>97.9</v>
      </c>
      <c r="P308" s="2">
        <f>+N308-O308</f>
        <v>3.1999999999999886</v>
      </c>
      <c r="Q308">
        <v>-0.5</v>
      </c>
    </row>
    <row r="309" spans="1:17">
      <c r="A309" t="s">
        <v>36</v>
      </c>
      <c r="B309" t="s">
        <v>6</v>
      </c>
      <c r="C309">
        <v>44</v>
      </c>
      <c r="D309">
        <v>38</v>
      </c>
      <c r="E309" s="1">
        <f>+C309/(C309+D309)</f>
        <v>0.53658536585365857</v>
      </c>
      <c r="F309" s="2">
        <v>92.7</v>
      </c>
      <c r="G309" s="2">
        <v>93.1</v>
      </c>
      <c r="H309" s="2">
        <f>+F309-G309</f>
        <v>-0.39999999999999147</v>
      </c>
      <c r="I309" s="1">
        <f>+(F309^14)/((F309^14+G309^14))</f>
        <v>0.48493457063949058</v>
      </c>
      <c r="J309" s="2">
        <v>100</v>
      </c>
      <c r="K309" s="2">
        <v>100.5</v>
      </c>
      <c r="L309" s="2">
        <f>+J309-K309</f>
        <v>-0.5</v>
      </c>
      <c r="M309" s="1">
        <f>+E309-I309</f>
        <v>5.1650795214167988E-2</v>
      </c>
      <c r="N309" s="2">
        <v>93.4</v>
      </c>
      <c r="O309" s="2">
        <v>90.4</v>
      </c>
      <c r="P309" s="2">
        <f>+N309-O309</f>
        <v>3</v>
      </c>
      <c r="Q309">
        <v>0</v>
      </c>
    </row>
    <row r="310" spans="1:17">
      <c r="A310" t="s">
        <v>59</v>
      </c>
      <c r="B310" t="s">
        <v>19</v>
      </c>
      <c r="C310">
        <v>60</v>
      </c>
      <c r="D310">
        <v>22</v>
      </c>
      <c r="E310" s="1">
        <f>+C310/(C310+D310)</f>
        <v>0.73170731707317072</v>
      </c>
      <c r="F310" s="2">
        <v>118.1</v>
      </c>
      <c r="G310" s="2">
        <v>109.3</v>
      </c>
      <c r="H310" s="2">
        <f>+F310-G310</f>
        <v>8.7999999999999972</v>
      </c>
      <c r="I310" s="1">
        <f>+(F310^14)/((F310^14+G310^14))</f>
        <v>0.7472680645596036</v>
      </c>
      <c r="J310" s="2">
        <v>113.5</v>
      </c>
      <c r="K310" s="2">
        <v>104.9</v>
      </c>
      <c r="L310" s="2">
        <f>+J310-K310</f>
        <v>8.5999999999999943</v>
      </c>
      <c r="M310" s="1">
        <f>+E310-I310</f>
        <v>-1.556074748643288E-2</v>
      </c>
      <c r="N310" s="2">
        <v>113</v>
      </c>
      <c r="O310" s="2">
        <v>110.1</v>
      </c>
      <c r="P310" s="2">
        <f>+N310-O310</f>
        <v>2.9000000000000057</v>
      </c>
      <c r="Q310">
        <v>2.1</v>
      </c>
    </row>
    <row r="311" spans="1:17">
      <c r="A311" t="s">
        <v>44</v>
      </c>
      <c r="B311" t="s">
        <v>26</v>
      </c>
      <c r="C311">
        <v>41</v>
      </c>
      <c r="D311">
        <v>41</v>
      </c>
      <c r="E311" s="1">
        <f>+C311/(C311+D311)</f>
        <v>0.5</v>
      </c>
      <c r="F311" s="2">
        <v>95.4</v>
      </c>
      <c r="G311" s="2">
        <v>96.3</v>
      </c>
      <c r="H311" s="2">
        <f>+F311-G311</f>
        <v>-0.89999999999999147</v>
      </c>
      <c r="I311" s="1">
        <f>+(F311^14)/((F311^14+G311^14))</f>
        <v>0.46718315355083007</v>
      </c>
      <c r="J311" s="2">
        <v>105.9</v>
      </c>
      <c r="K311" s="2">
        <v>106.8</v>
      </c>
      <c r="L311" s="2">
        <f>+J311-K311</f>
        <v>-0.89999999999999147</v>
      </c>
      <c r="M311" s="1">
        <f>+E311-I311</f>
        <v>3.2816846449169934E-2</v>
      </c>
      <c r="N311" s="2">
        <v>110.6</v>
      </c>
      <c r="O311" s="2">
        <v>107.7</v>
      </c>
      <c r="P311" s="2">
        <f>+N311-O311</f>
        <v>2.8999999999999915</v>
      </c>
      <c r="Q311">
        <v>0.1</v>
      </c>
    </row>
    <row r="312" spans="1:17">
      <c r="A312" t="s">
        <v>38</v>
      </c>
      <c r="B312" t="s">
        <v>29</v>
      </c>
      <c r="C312">
        <v>37</v>
      </c>
      <c r="D312">
        <v>45</v>
      </c>
      <c r="E312" s="1">
        <f>+C312/(C312+D312)</f>
        <v>0.45121951219512196</v>
      </c>
      <c r="F312" s="2">
        <v>97.1</v>
      </c>
      <c r="G312" s="2">
        <v>97.8</v>
      </c>
      <c r="H312" s="2">
        <f>+F312-G312</f>
        <v>-0.70000000000000284</v>
      </c>
      <c r="I312" s="1">
        <f>+(F312^14)/((F312^14+G312^14))</f>
        <v>0.4748799608375659</v>
      </c>
      <c r="J312" s="2">
        <v>105.6</v>
      </c>
      <c r="K312" s="2">
        <v>106.4</v>
      </c>
      <c r="L312" s="2">
        <f>+J312-K312</f>
        <v>-0.80000000000001137</v>
      </c>
      <c r="M312" s="1">
        <f>+E312-I312</f>
        <v>-2.3660448642443932E-2</v>
      </c>
      <c r="N312" s="2">
        <v>111.3</v>
      </c>
      <c r="O312" s="2">
        <v>108.4</v>
      </c>
      <c r="P312" s="2">
        <f>+N312-O312</f>
        <v>2.8999999999999915</v>
      </c>
      <c r="Q312">
        <v>0.3</v>
      </c>
    </row>
    <row r="313" spans="1:17">
      <c r="A313" t="s">
        <v>44</v>
      </c>
      <c r="B313" t="s">
        <v>27</v>
      </c>
      <c r="C313">
        <v>38</v>
      </c>
      <c r="D313">
        <v>44</v>
      </c>
      <c r="E313" s="1">
        <f>+C313/(C313+D313)</f>
        <v>0.46341463414634149</v>
      </c>
      <c r="F313" s="2">
        <v>102.5</v>
      </c>
      <c r="G313" s="2">
        <v>104.8</v>
      </c>
      <c r="H313" s="2">
        <f>+F313-G313</f>
        <v>-2.2999999999999972</v>
      </c>
      <c r="I313" s="1">
        <f>+(F313^14)/((F313^14+G313^14))</f>
        <v>0.42295032284639811</v>
      </c>
      <c r="J313" s="2">
        <v>106.2</v>
      </c>
      <c r="K313" s="2">
        <v>108.6</v>
      </c>
      <c r="L313" s="2">
        <f>+J313-K313</f>
        <v>-2.3999999999999915</v>
      </c>
      <c r="M313" s="1">
        <f>+E313-I313</f>
        <v>4.0464311299943378E-2</v>
      </c>
      <c r="N313" s="2">
        <v>109.5</v>
      </c>
      <c r="O313" s="2">
        <v>106.7</v>
      </c>
      <c r="P313" s="2">
        <f>+N313-O313</f>
        <v>2.7999999999999972</v>
      </c>
      <c r="Q313">
        <v>-0.6</v>
      </c>
    </row>
    <row r="314" spans="1:17">
      <c r="A314" t="s">
        <v>61</v>
      </c>
      <c r="B314" t="s">
        <v>33</v>
      </c>
      <c r="C314">
        <v>34</v>
      </c>
      <c r="D314">
        <v>38</v>
      </c>
      <c r="E314" s="1">
        <f>+C314/(C314+D314)</f>
        <v>0.47222222222222221</v>
      </c>
      <c r="F314" s="2">
        <v>116.6</v>
      </c>
      <c r="G314" s="2">
        <v>118.5</v>
      </c>
      <c r="H314" s="2">
        <f>+F314-G314</f>
        <v>-1.9000000000000057</v>
      </c>
      <c r="I314" s="1">
        <f>+(F314^14)/((F314^14+G314^14))</f>
        <v>0.44366728176929326</v>
      </c>
      <c r="J314" s="2">
        <v>110.7</v>
      </c>
      <c r="K314" s="2">
        <v>112.3</v>
      </c>
      <c r="L314" s="2">
        <f>+J314-K314</f>
        <v>-1.5999999999999943</v>
      </c>
      <c r="M314" s="1">
        <f>+E314-I314</f>
        <v>2.8554940452928945E-2</v>
      </c>
      <c r="N314" s="2">
        <v>110.5</v>
      </c>
      <c r="O314" s="2">
        <v>107.7</v>
      </c>
      <c r="P314" s="2">
        <f>+N314-O314</f>
        <v>2.7999999999999972</v>
      </c>
      <c r="Q314">
        <v>-0.3</v>
      </c>
    </row>
    <row r="315" spans="1:17">
      <c r="A315" t="s">
        <v>39</v>
      </c>
      <c r="B315" t="s">
        <v>17</v>
      </c>
      <c r="C315">
        <v>34</v>
      </c>
      <c r="D315">
        <v>48</v>
      </c>
      <c r="E315" s="1">
        <f>+C315/(C315+D315)</f>
        <v>0.41463414634146339</v>
      </c>
      <c r="F315" s="2">
        <v>98.7</v>
      </c>
      <c r="G315" s="2">
        <v>101.7</v>
      </c>
      <c r="H315" s="2">
        <f>+F315-G315</f>
        <v>-3</v>
      </c>
      <c r="I315" s="1">
        <f>+(F315^14)/((F315^14+G315^14))</f>
        <v>0.39670987603328994</v>
      </c>
      <c r="J315" s="2">
        <v>106.4</v>
      </c>
      <c r="K315" s="2">
        <v>109.6</v>
      </c>
      <c r="L315" s="2">
        <f>+J315-K315</f>
        <v>-3.1999999999999886</v>
      </c>
      <c r="M315" s="1">
        <f>+E315-I315</f>
        <v>1.7924270308173451E-2</v>
      </c>
      <c r="N315" s="2">
        <v>104.3</v>
      </c>
      <c r="O315" s="2">
        <v>101.5</v>
      </c>
      <c r="P315" s="2">
        <f>+N315-O315</f>
        <v>2.7999999999999972</v>
      </c>
      <c r="Q315">
        <v>0.7</v>
      </c>
    </row>
    <row r="316" spans="1:17">
      <c r="A316" t="s">
        <v>65</v>
      </c>
      <c r="B316" t="s">
        <v>22</v>
      </c>
      <c r="C316">
        <v>51</v>
      </c>
      <c r="D316">
        <v>31</v>
      </c>
      <c r="E316" s="1">
        <f>+C316/(C316+D316)</f>
        <v>0.62195121951219512</v>
      </c>
      <c r="F316" s="2">
        <v>115.8</v>
      </c>
      <c r="G316" s="2">
        <v>111.7</v>
      </c>
      <c r="H316" s="2">
        <f>+F316-G316</f>
        <v>4.0999999999999943</v>
      </c>
      <c r="I316" s="1">
        <f>+(F316^14)/((F316^14+G316^14))</f>
        <v>0.62355617559165299</v>
      </c>
      <c r="J316" s="2">
        <v>117.3</v>
      </c>
      <c r="K316" s="2">
        <v>113.3</v>
      </c>
      <c r="L316" s="2">
        <f>+J316-K316</f>
        <v>4</v>
      </c>
      <c r="M316" s="1">
        <f>+E316-I316</f>
        <v>-1.6049560794578754E-3</v>
      </c>
      <c r="N316" s="2">
        <v>111.2</v>
      </c>
      <c r="O316" s="2">
        <v>108.4</v>
      </c>
      <c r="P316" s="2">
        <f>+N316-O316</f>
        <v>2.7999999999999972</v>
      </c>
      <c r="Q316">
        <v>-1</v>
      </c>
    </row>
    <row r="317" spans="1:17">
      <c r="A317" t="s">
        <v>54</v>
      </c>
      <c r="B317" t="s">
        <v>15</v>
      </c>
      <c r="C317">
        <v>38</v>
      </c>
      <c r="D317">
        <v>44</v>
      </c>
      <c r="E317" s="1">
        <f>+C317/(C317+D317)</f>
        <v>0.46341463414634149</v>
      </c>
      <c r="F317" s="2">
        <v>97.3</v>
      </c>
      <c r="G317" s="2">
        <v>97</v>
      </c>
      <c r="H317" s="2">
        <f>+F317-G317</f>
        <v>0.29999999999999716</v>
      </c>
      <c r="I317" s="1">
        <f>+(F317^14)/((F317^14+G317^14))</f>
        <v>0.51080635435585753</v>
      </c>
      <c r="J317" s="2">
        <v>102.9</v>
      </c>
      <c r="K317" s="2">
        <v>102.7</v>
      </c>
      <c r="L317" s="2">
        <f>+J317-K317</f>
        <v>0.20000000000000284</v>
      </c>
      <c r="M317" s="1">
        <f>+E317-I317</f>
        <v>-4.7391720209516042E-2</v>
      </c>
      <c r="N317" s="2">
        <v>97.5</v>
      </c>
      <c r="O317" s="2">
        <v>94.7</v>
      </c>
      <c r="P317" s="2">
        <f>+N317-O317</f>
        <v>2.7999999999999972</v>
      </c>
      <c r="Q317">
        <v>0.7</v>
      </c>
    </row>
    <row r="318" spans="1:17">
      <c r="A318" t="s">
        <v>45</v>
      </c>
      <c r="B318" t="s">
        <v>8</v>
      </c>
      <c r="C318">
        <v>41</v>
      </c>
      <c r="D318">
        <v>41</v>
      </c>
      <c r="E318" s="1">
        <f>+C318/(C318+D318)</f>
        <v>0.5</v>
      </c>
      <c r="F318" s="2">
        <v>102.2</v>
      </c>
      <c r="G318" s="2">
        <v>102.5</v>
      </c>
      <c r="H318" s="2">
        <f>+F318-G318</f>
        <v>-0.29999999999999716</v>
      </c>
      <c r="I318" s="1">
        <f>+(F318^14)/((F318^14+G318^14))</f>
        <v>0.48974251653386769</v>
      </c>
      <c r="J318" s="2">
        <v>107.2</v>
      </c>
      <c r="K318" s="2">
        <v>107.5</v>
      </c>
      <c r="L318" s="2">
        <f>+J318-K318</f>
        <v>-0.29999999999999716</v>
      </c>
      <c r="M318" s="1">
        <f>+E318-I318</f>
        <v>1.0257483466132311E-2</v>
      </c>
      <c r="N318" s="2">
        <v>107.2</v>
      </c>
      <c r="O318" s="2">
        <v>104.5</v>
      </c>
      <c r="P318" s="2">
        <f>+N318-O318</f>
        <v>2.7000000000000028</v>
      </c>
      <c r="Q318">
        <v>1.6</v>
      </c>
    </row>
    <row r="319" spans="1:17">
      <c r="A319" t="s">
        <v>36</v>
      </c>
      <c r="B319" t="s">
        <v>27</v>
      </c>
      <c r="C319">
        <v>59</v>
      </c>
      <c r="D319">
        <v>23</v>
      </c>
      <c r="E319" s="1">
        <f>+C319/(C319+D319)</f>
        <v>0.71951219512195119</v>
      </c>
      <c r="F319" s="2">
        <v>101.7</v>
      </c>
      <c r="G319" s="2">
        <v>95.2</v>
      </c>
      <c r="H319" s="2">
        <f>+F319-G319</f>
        <v>6.5</v>
      </c>
      <c r="I319" s="1">
        <f>+(F319^14)/((F319^14+G319^14))</f>
        <v>0.71599128231824272</v>
      </c>
      <c r="J319" s="2">
        <v>104.4</v>
      </c>
      <c r="K319" s="2">
        <v>97.8</v>
      </c>
      <c r="L319" s="2">
        <f>+J319-K319</f>
        <v>6.6000000000000085</v>
      </c>
      <c r="M319" s="1">
        <f>+E319-I319</f>
        <v>3.5209128037084758E-3</v>
      </c>
      <c r="N319" s="2">
        <v>104.5</v>
      </c>
      <c r="O319" s="2">
        <v>101.8</v>
      </c>
      <c r="P319" s="2">
        <f>+N319-O319</f>
        <v>2.7000000000000028</v>
      </c>
      <c r="Q319">
        <v>0.4</v>
      </c>
    </row>
    <row r="320" spans="1:17">
      <c r="A320" t="s">
        <v>62</v>
      </c>
      <c r="B320" t="s">
        <v>13</v>
      </c>
      <c r="C320">
        <v>53</v>
      </c>
      <c r="D320">
        <v>29</v>
      </c>
      <c r="E320" s="1">
        <f>+C320/(C320+D320)</f>
        <v>0.64634146341463417</v>
      </c>
      <c r="F320" s="2">
        <v>111</v>
      </c>
      <c r="G320" s="2">
        <v>105.5</v>
      </c>
      <c r="H320" s="2">
        <f>+F320-G320</f>
        <v>5.5</v>
      </c>
      <c r="I320" s="1">
        <f>+(F320^14)/((F320^14+G320^14))</f>
        <v>0.67072577928625987</v>
      </c>
      <c r="J320" s="2">
        <v>112.1</v>
      </c>
      <c r="K320" s="2">
        <v>106.6</v>
      </c>
      <c r="L320" s="2">
        <f>+J320-K320</f>
        <v>5.5</v>
      </c>
      <c r="M320" s="1">
        <f>+E320-I320</f>
        <v>-2.4384315871625706E-2</v>
      </c>
      <c r="N320" s="2">
        <v>101.7</v>
      </c>
      <c r="O320" s="2">
        <v>99</v>
      </c>
      <c r="P320" s="2">
        <f>+N320-O320</f>
        <v>2.7000000000000028</v>
      </c>
      <c r="Q320">
        <v>1.3</v>
      </c>
    </row>
    <row r="321" spans="1:17">
      <c r="A321" t="s">
        <v>38</v>
      </c>
      <c r="B321" t="s">
        <v>26</v>
      </c>
      <c r="C321">
        <v>41</v>
      </c>
      <c r="D321">
        <v>41</v>
      </c>
      <c r="E321" s="1">
        <f>+C321/(C321+D321)</f>
        <v>0.5</v>
      </c>
      <c r="F321" s="2">
        <v>90.7</v>
      </c>
      <c r="G321" s="2">
        <v>92</v>
      </c>
      <c r="H321" s="2">
        <f>+F321-G321</f>
        <v>-1.2999999999999972</v>
      </c>
      <c r="I321" s="1">
        <f>+(F321^14)/((F321^14+G321^14))</f>
        <v>0.45035484545137711</v>
      </c>
      <c r="J321" s="2">
        <v>102.1</v>
      </c>
      <c r="K321" s="2">
        <v>103.5</v>
      </c>
      <c r="L321" s="2">
        <f>+J321-K321</f>
        <v>-1.4000000000000057</v>
      </c>
      <c r="M321" s="1">
        <f>+E321-I321</f>
        <v>4.9645154548622894E-2</v>
      </c>
      <c r="N321" s="2">
        <v>101.4</v>
      </c>
      <c r="O321" s="2">
        <v>98.8</v>
      </c>
      <c r="P321" s="2">
        <f>+N321-O321</f>
        <v>2.6000000000000085</v>
      </c>
      <c r="Q321">
        <v>-1.1000000000000001</v>
      </c>
    </row>
    <row r="322" spans="1:17">
      <c r="A322" t="s">
        <v>58</v>
      </c>
      <c r="B322" t="s">
        <v>27</v>
      </c>
      <c r="C322">
        <v>27</v>
      </c>
      <c r="D322">
        <v>55</v>
      </c>
      <c r="E322" s="1">
        <f>+C322/(C322+D322)</f>
        <v>0.32926829268292684</v>
      </c>
      <c r="F322" s="2">
        <v>98.8</v>
      </c>
      <c r="G322" s="2">
        <v>105.8</v>
      </c>
      <c r="H322" s="2">
        <f>+F322-G322</f>
        <v>-7</v>
      </c>
      <c r="I322" s="1">
        <f>+(F322^14)/((F322^14+G322^14))</f>
        <v>0.27721051622974674</v>
      </c>
      <c r="J322" s="2">
        <v>103.1</v>
      </c>
      <c r="K322" s="2">
        <v>110.4</v>
      </c>
      <c r="L322" s="2">
        <f>+J322-K322</f>
        <v>-7.3000000000000114</v>
      </c>
      <c r="M322" s="1">
        <f>+E322-I322</f>
        <v>5.2057776453180105E-2</v>
      </c>
      <c r="N322" s="2">
        <v>105.8</v>
      </c>
      <c r="O322" s="2">
        <v>103.2</v>
      </c>
      <c r="P322" s="2">
        <f>+N322-O322</f>
        <v>2.5999999999999943</v>
      </c>
      <c r="Q322">
        <v>-0.9</v>
      </c>
    </row>
    <row r="323" spans="1:17">
      <c r="A323" t="s">
        <v>34</v>
      </c>
      <c r="B323" t="s">
        <v>30</v>
      </c>
      <c r="C323">
        <v>42</v>
      </c>
      <c r="D323">
        <v>40</v>
      </c>
      <c r="E323" s="1">
        <f>+C323/(C323+D323)</f>
        <v>0.51219512195121952</v>
      </c>
      <c r="F323" s="2">
        <v>91.4</v>
      </c>
      <c r="G323" s="2">
        <v>91.8</v>
      </c>
      <c r="H323" s="2">
        <f>+F323-G323</f>
        <v>-0.39999999999999147</v>
      </c>
      <c r="I323" s="1">
        <f>+(F323^14)/((F323^14+G323^14))</f>
        <v>0.48472089148498448</v>
      </c>
      <c r="J323" s="2">
        <v>101.1</v>
      </c>
      <c r="K323" s="2">
        <v>101.7</v>
      </c>
      <c r="L323" s="2">
        <f>+J323-K323</f>
        <v>-0.60000000000000853</v>
      </c>
      <c r="M323" s="1">
        <f>+E323-I323</f>
        <v>2.7474230466235039E-2</v>
      </c>
      <c r="N323" s="2">
        <v>93</v>
      </c>
      <c r="O323" s="2">
        <v>90.4</v>
      </c>
      <c r="P323" s="2">
        <f>+N323-O323</f>
        <v>2.5999999999999943</v>
      </c>
      <c r="Q323">
        <v>-0.8</v>
      </c>
    </row>
    <row r="324" spans="1:17">
      <c r="A324" t="s">
        <v>63</v>
      </c>
      <c r="B324" t="s">
        <v>56</v>
      </c>
      <c r="C324">
        <v>44</v>
      </c>
      <c r="D324">
        <v>38</v>
      </c>
      <c r="E324" s="1">
        <f>+C324/(C324+D324)</f>
        <v>0.53658536585365857</v>
      </c>
      <c r="F324" s="2">
        <v>113.6</v>
      </c>
      <c r="G324" s="2">
        <v>113.1</v>
      </c>
      <c r="H324" s="2">
        <f>+F324-G324</f>
        <v>0.5</v>
      </c>
      <c r="I324" s="1">
        <f>+(F324^14)/((F324^14+G324^14))</f>
        <v>0.515434026237649</v>
      </c>
      <c r="J324" s="2">
        <v>114</v>
      </c>
      <c r="K324" s="2">
        <v>113.6</v>
      </c>
      <c r="L324" s="2">
        <f>+J324-K324</f>
        <v>0.40000000000000568</v>
      </c>
      <c r="M324" s="1">
        <f>+E324-I324</f>
        <v>2.1151339616009568E-2</v>
      </c>
      <c r="N324" s="2">
        <v>112.3</v>
      </c>
      <c r="O324" s="2">
        <v>109.8</v>
      </c>
      <c r="P324" s="2">
        <f>+N324-O324</f>
        <v>2.5</v>
      </c>
      <c r="Q324">
        <v>0.7</v>
      </c>
    </row>
    <row r="325" spans="1:17">
      <c r="A325" t="s">
        <v>57</v>
      </c>
      <c r="B325" t="s">
        <v>26</v>
      </c>
      <c r="C325">
        <v>41</v>
      </c>
      <c r="D325">
        <v>41</v>
      </c>
      <c r="E325" s="1">
        <f>+C325/(C325+D325)</f>
        <v>0.5</v>
      </c>
      <c r="F325" s="2">
        <v>107.9</v>
      </c>
      <c r="G325" s="2">
        <v>108.5</v>
      </c>
      <c r="H325" s="2">
        <f>+F325-G325</f>
        <v>-0.59999999999999432</v>
      </c>
      <c r="I325" s="1">
        <f>+(F325^14)/((F325^14+G325^14))</f>
        <v>0.48060118968049892</v>
      </c>
      <c r="J325" s="2">
        <v>109.4</v>
      </c>
      <c r="K325" s="2">
        <v>110</v>
      </c>
      <c r="L325" s="2">
        <f>+J325-K325</f>
        <v>-0.59999999999999432</v>
      </c>
      <c r="M325" s="1">
        <f>+E325-I325</f>
        <v>1.9398810319501081E-2</v>
      </c>
      <c r="N325" s="2">
        <v>104.9</v>
      </c>
      <c r="O325" s="2">
        <v>102.4</v>
      </c>
      <c r="P325" s="2">
        <f>+N325-O325</f>
        <v>2.5</v>
      </c>
      <c r="Q325">
        <v>-0.1</v>
      </c>
    </row>
    <row r="326" spans="1:17">
      <c r="A326" t="s">
        <v>50</v>
      </c>
      <c r="B326" t="s">
        <v>19</v>
      </c>
      <c r="C326">
        <v>38</v>
      </c>
      <c r="D326">
        <v>44</v>
      </c>
      <c r="E326" s="1">
        <f>+C326/(C326+D326)</f>
        <v>0.46341463414634149</v>
      </c>
      <c r="F326" s="2">
        <v>98.9</v>
      </c>
      <c r="G326" s="2">
        <v>100.4</v>
      </c>
      <c r="H326" s="2">
        <f>+F326-G326</f>
        <v>-1.5</v>
      </c>
      <c r="I326" s="1">
        <f>+(F326^14)/((F326^14+G326^14))</f>
        <v>0.44750873634234695</v>
      </c>
      <c r="J326" s="2">
        <v>102.5</v>
      </c>
      <c r="K326" s="2">
        <v>104.2</v>
      </c>
      <c r="L326" s="2">
        <f>+J326-K326</f>
        <v>-1.7000000000000028</v>
      </c>
      <c r="M326" s="1">
        <f>+E326-I326</f>
        <v>1.590589780399454E-2</v>
      </c>
      <c r="N326" s="2">
        <v>101.6</v>
      </c>
      <c r="O326" s="2">
        <v>99.1</v>
      </c>
      <c r="P326" s="2">
        <f>+N326-O326</f>
        <v>2.5</v>
      </c>
      <c r="Q326">
        <v>-1.2</v>
      </c>
    </row>
    <row r="327" spans="1:17">
      <c r="A327" t="s">
        <v>44</v>
      </c>
      <c r="B327" t="s">
        <v>17</v>
      </c>
      <c r="C327">
        <v>57</v>
      </c>
      <c r="D327">
        <v>25</v>
      </c>
      <c r="E327" s="1">
        <f>+C327/(C327+D327)</f>
        <v>0.69512195121951215</v>
      </c>
      <c r="F327" s="2">
        <v>108.6</v>
      </c>
      <c r="G327" s="2">
        <v>101.3</v>
      </c>
      <c r="H327" s="2">
        <f>+F327-G327</f>
        <v>7.2999999999999972</v>
      </c>
      <c r="I327" s="1">
        <f>+(F327^14)/((F327^14+G327^14))</f>
        <v>0.72595385497038523</v>
      </c>
      <c r="J327" s="2">
        <v>111.7</v>
      </c>
      <c r="K327" s="2">
        <v>104.3</v>
      </c>
      <c r="L327" s="2">
        <f>+J327-K327</f>
        <v>7.4000000000000057</v>
      </c>
      <c r="M327" s="1">
        <f>+E327-I327</f>
        <v>-3.083190375087308E-2</v>
      </c>
      <c r="N327" s="2">
        <v>104.6</v>
      </c>
      <c r="O327" s="2">
        <v>102.1</v>
      </c>
      <c r="P327" s="2">
        <f>+N327-O327</f>
        <v>2.5</v>
      </c>
      <c r="Q327">
        <v>1.8</v>
      </c>
    </row>
    <row r="328" spans="1:17">
      <c r="A328" t="s">
        <v>36</v>
      </c>
      <c r="B328" t="s">
        <v>28</v>
      </c>
      <c r="C328">
        <v>60</v>
      </c>
      <c r="D328">
        <v>22</v>
      </c>
      <c r="E328" s="1">
        <f>+C328/(C328+D328)</f>
        <v>0.73170731707317072</v>
      </c>
      <c r="F328" s="2">
        <v>95.8</v>
      </c>
      <c r="G328" s="2">
        <v>90.4</v>
      </c>
      <c r="H328" s="2">
        <f>+F328-G328</f>
        <v>5.3999999999999915</v>
      </c>
      <c r="I328" s="1">
        <f>+(F328^14)/((F328^14+G328^14))</f>
        <v>0.6925904288126854</v>
      </c>
      <c r="J328" s="2">
        <v>103.9</v>
      </c>
      <c r="K328" s="2">
        <v>98.1</v>
      </c>
      <c r="L328" s="2">
        <f>+J328-K328</f>
        <v>5.8000000000000114</v>
      </c>
      <c r="M328" s="1">
        <f>+E328-I328</f>
        <v>3.9116888260485316E-2</v>
      </c>
      <c r="N328" s="2">
        <v>102.4</v>
      </c>
      <c r="O328" s="2">
        <v>100</v>
      </c>
      <c r="P328" s="2">
        <f>+N328-O328</f>
        <v>2.4000000000000057</v>
      </c>
      <c r="Q328">
        <v>-1.9</v>
      </c>
    </row>
    <row r="329" spans="1:17">
      <c r="A329" t="s">
        <v>61</v>
      </c>
      <c r="B329" t="s">
        <v>25</v>
      </c>
      <c r="C329">
        <v>51</v>
      </c>
      <c r="D329">
        <v>21</v>
      </c>
      <c r="E329" s="1">
        <f>+C329/(C329+D329)</f>
        <v>0.70833333333333337</v>
      </c>
      <c r="F329" s="2">
        <v>115.3</v>
      </c>
      <c r="G329" s="2">
        <v>109.5</v>
      </c>
      <c r="H329" s="2">
        <f>+F329-G329</f>
        <v>5.7999999999999972</v>
      </c>
      <c r="I329" s="1">
        <f>+(F329^14)/((F329^14+G329^14))</f>
        <v>0.67317496175026137</v>
      </c>
      <c r="J329" s="2">
        <v>116.3</v>
      </c>
      <c r="K329" s="2">
        <v>110.4</v>
      </c>
      <c r="L329" s="2">
        <f>+J329-K329</f>
        <v>5.8999999999999915</v>
      </c>
      <c r="M329" s="1">
        <f>+E329-I329</f>
        <v>3.5158371583072001E-2</v>
      </c>
      <c r="N329" s="2">
        <v>110.3</v>
      </c>
      <c r="O329" s="2">
        <v>107.9</v>
      </c>
      <c r="P329" s="2">
        <f>+N329-O329</f>
        <v>2.3999999999999915</v>
      </c>
      <c r="Q329">
        <v>0.7</v>
      </c>
    </row>
    <row r="330" spans="1:17">
      <c r="A330" t="s">
        <v>62</v>
      </c>
      <c r="B330" t="s">
        <v>24</v>
      </c>
      <c r="C330">
        <v>51</v>
      </c>
      <c r="D330">
        <v>31</v>
      </c>
      <c r="E330" s="1">
        <f>+C330/(C330+D330)</f>
        <v>0.62195121951219512</v>
      </c>
      <c r="F330" s="2">
        <v>109.9</v>
      </c>
      <c r="G330" s="2">
        <v>107.3</v>
      </c>
      <c r="H330" s="2">
        <f>+F330-G330</f>
        <v>2.6000000000000085</v>
      </c>
      <c r="I330" s="1">
        <f>+(F330^14)/((F330^14+G330^14))</f>
        <v>0.58302187989199494</v>
      </c>
      <c r="J330" s="2">
        <v>113</v>
      </c>
      <c r="K330" s="2">
        <v>110.2</v>
      </c>
      <c r="L330" s="2">
        <f>+J330-K330</f>
        <v>2.7999999999999972</v>
      </c>
      <c r="M330" s="1">
        <f>+E330-I330</f>
        <v>3.8929339620200176E-2</v>
      </c>
      <c r="N330" s="2">
        <v>105.9</v>
      </c>
      <c r="O330" s="2">
        <v>103.6</v>
      </c>
      <c r="P330" s="2">
        <f>+N330-O330</f>
        <v>2.3000000000000114</v>
      </c>
      <c r="Q330">
        <v>0.5</v>
      </c>
    </row>
    <row r="331" spans="1:17">
      <c r="A331" t="s">
        <v>59</v>
      </c>
      <c r="B331" t="s">
        <v>46</v>
      </c>
      <c r="C331">
        <v>49</v>
      </c>
      <c r="D331">
        <v>33</v>
      </c>
      <c r="E331" s="1">
        <f>+C331/(C331+D331)</f>
        <v>0.59756097560975607</v>
      </c>
      <c r="F331" s="2">
        <v>114.5</v>
      </c>
      <c r="G331" s="2">
        <v>111.1</v>
      </c>
      <c r="H331" s="2">
        <f>+F331-G331</f>
        <v>3.4000000000000057</v>
      </c>
      <c r="I331" s="1">
        <f>+(F331^14)/((F331^14+G331^14))</f>
        <v>0.60396598327503692</v>
      </c>
      <c r="J331" s="2">
        <v>109.8</v>
      </c>
      <c r="K331" s="2">
        <v>106.5</v>
      </c>
      <c r="L331" s="2">
        <f>+J331-K331</f>
        <v>3.2999999999999972</v>
      </c>
      <c r="M331" s="1">
        <f>+E331-I331</f>
        <v>-6.4050076652808485E-3</v>
      </c>
      <c r="N331" s="2">
        <v>106.9</v>
      </c>
      <c r="O331" s="2">
        <v>104.6</v>
      </c>
      <c r="P331" s="2">
        <f>+N331-O331</f>
        <v>2.3000000000000114</v>
      </c>
      <c r="Q331">
        <v>1</v>
      </c>
    </row>
    <row r="332" spans="1:17">
      <c r="A332" t="s">
        <v>49</v>
      </c>
      <c r="B332" t="s">
        <v>10</v>
      </c>
      <c r="C332">
        <v>36</v>
      </c>
      <c r="D332">
        <v>30</v>
      </c>
      <c r="E332" s="1">
        <f>+C332/(C332+D332)</f>
        <v>0.54545454545454541</v>
      </c>
      <c r="F332" s="2">
        <v>95.8</v>
      </c>
      <c r="G332" s="2">
        <v>94.8</v>
      </c>
      <c r="H332" s="2">
        <f>+F332-G332</f>
        <v>1</v>
      </c>
      <c r="I332" s="1">
        <f>+(F332^14)/((F332^14+G332^14))</f>
        <v>0.53666055673861812</v>
      </c>
      <c r="J332" s="2">
        <v>102.1</v>
      </c>
      <c r="K332" s="2">
        <v>100.9</v>
      </c>
      <c r="L332" s="2">
        <f>+J332-K332</f>
        <v>1.1999999999999886</v>
      </c>
      <c r="M332" s="1">
        <f>+E332-I332</f>
        <v>8.7939887159272923E-3</v>
      </c>
      <c r="N332" s="2">
        <v>101</v>
      </c>
      <c r="O332" s="2">
        <v>98.7</v>
      </c>
      <c r="P332" s="2">
        <f>+N332-O332</f>
        <v>2.2999999999999972</v>
      </c>
      <c r="Q332">
        <v>-0.6</v>
      </c>
    </row>
    <row r="333" spans="1:17">
      <c r="A333" t="s">
        <v>47</v>
      </c>
      <c r="B333" t="s">
        <v>22</v>
      </c>
      <c r="C333">
        <v>29</v>
      </c>
      <c r="D333">
        <v>53</v>
      </c>
      <c r="E333" s="1">
        <f>+C333/(C333+D333)</f>
        <v>0.35365853658536583</v>
      </c>
      <c r="F333" s="2">
        <v>102.1</v>
      </c>
      <c r="G333" s="2">
        <v>105.9</v>
      </c>
      <c r="H333" s="2">
        <f>+F333-G333</f>
        <v>-3.8000000000000114</v>
      </c>
      <c r="I333" s="1">
        <f>+(F333^14)/((F333^14+G333^14))</f>
        <v>0.3748196047848904</v>
      </c>
      <c r="J333" s="2">
        <v>106.4</v>
      </c>
      <c r="K333" s="2">
        <v>110.3</v>
      </c>
      <c r="L333" s="2">
        <f>+J333-K333</f>
        <v>-3.8999999999999915</v>
      </c>
      <c r="M333" s="1">
        <f>+E333-I333</f>
        <v>-2.1161068199524569E-2</v>
      </c>
      <c r="N333" s="2">
        <v>99.7</v>
      </c>
      <c r="O333" s="2">
        <v>97.4</v>
      </c>
      <c r="P333" s="2">
        <f>+N333-O333</f>
        <v>2.2999999999999972</v>
      </c>
      <c r="Q333">
        <v>1</v>
      </c>
    </row>
    <row r="334" spans="1:17">
      <c r="A334" t="s">
        <v>45</v>
      </c>
      <c r="B334" t="s">
        <v>11</v>
      </c>
      <c r="C334">
        <v>54</v>
      </c>
      <c r="D334">
        <v>28</v>
      </c>
      <c r="E334" s="1">
        <f>+C334/(C334+D334)</f>
        <v>0.65853658536585369</v>
      </c>
      <c r="F334" s="2">
        <v>104.3</v>
      </c>
      <c r="G334" s="2">
        <v>100.9</v>
      </c>
      <c r="H334" s="2">
        <f>+F334-G334</f>
        <v>3.3999999999999915</v>
      </c>
      <c r="I334" s="1">
        <f>+(F334^14)/((F334^14+G334^14))</f>
        <v>0.61395793719078184</v>
      </c>
      <c r="J334" s="2">
        <v>109</v>
      </c>
      <c r="K334" s="2">
        <v>105.6</v>
      </c>
      <c r="L334" s="2">
        <f>+J334-K334</f>
        <v>3.4000000000000057</v>
      </c>
      <c r="M334" s="1">
        <f>+E334-I334</f>
        <v>4.4578648175071844E-2</v>
      </c>
      <c r="N334" s="2">
        <v>108.5</v>
      </c>
      <c r="O334" s="2">
        <v>106.3</v>
      </c>
      <c r="P334" s="2">
        <f>+N334-O334</f>
        <v>2.2000000000000028</v>
      </c>
      <c r="Q334">
        <v>-0.4</v>
      </c>
    </row>
    <row r="335" spans="1:17">
      <c r="A335" t="s">
        <v>64</v>
      </c>
      <c r="B335" t="s">
        <v>26</v>
      </c>
      <c r="C335">
        <v>21</v>
      </c>
      <c r="D335">
        <v>61</v>
      </c>
      <c r="E335" s="1">
        <f>+C335/(C335+D335)</f>
        <v>0.25609756097560976</v>
      </c>
      <c r="F335" s="2">
        <v>106.4</v>
      </c>
      <c r="G335" s="2">
        <v>115.4</v>
      </c>
      <c r="H335" s="2">
        <f>+F335-G335</f>
        <v>-9</v>
      </c>
      <c r="I335" s="1">
        <f>+(F335^14)/((F335^14+G335^14))</f>
        <v>0.24291151759071603</v>
      </c>
      <c r="J335" s="2">
        <v>107.6</v>
      </c>
      <c r="K335" s="2">
        <v>116.6</v>
      </c>
      <c r="L335" s="2">
        <f>+J335-K335</f>
        <v>-9</v>
      </c>
      <c r="M335" s="1">
        <f>+E335-I335</f>
        <v>1.3186043384893736E-2</v>
      </c>
      <c r="N335" s="2">
        <v>104.8</v>
      </c>
      <c r="O335" s="2">
        <v>102.6</v>
      </c>
      <c r="P335" s="2">
        <f>+N335-O335</f>
        <v>2.2000000000000028</v>
      </c>
      <c r="Q335">
        <v>-0.6</v>
      </c>
    </row>
    <row r="336" spans="1:17">
      <c r="A336" t="s">
        <v>36</v>
      </c>
      <c r="B336" t="s">
        <v>19</v>
      </c>
      <c r="C336">
        <v>42</v>
      </c>
      <c r="D336">
        <v>40</v>
      </c>
      <c r="E336" s="1">
        <f>+C336/(C336+D336)</f>
        <v>0.51219512195121952</v>
      </c>
      <c r="F336" s="2">
        <v>99.5</v>
      </c>
      <c r="G336" s="2">
        <v>99.3</v>
      </c>
      <c r="H336" s="2">
        <f>+F336-G336</f>
        <v>0.20000000000000284</v>
      </c>
      <c r="I336" s="1">
        <f>+(F336^14)/((F336^14+G336^14))</f>
        <v>0.50704179026833252</v>
      </c>
      <c r="J336" s="2">
        <v>107.2</v>
      </c>
      <c r="K336" s="2">
        <v>106.9</v>
      </c>
      <c r="L336" s="2">
        <f>+J336-K336</f>
        <v>0.29999999999999716</v>
      </c>
      <c r="M336" s="1">
        <f>+E336-I336</f>
        <v>5.1533316828870079E-3</v>
      </c>
      <c r="N336" s="2">
        <v>104.2</v>
      </c>
      <c r="O336" s="2">
        <v>102</v>
      </c>
      <c r="P336" s="2">
        <f>+N336-O336</f>
        <v>2.2000000000000028</v>
      </c>
      <c r="Q336">
        <v>1.8</v>
      </c>
    </row>
    <row r="337" spans="1:17">
      <c r="A337" t="s">
        <v>58</v>
      </c>
      <c r="B337" t="s">
        <v>28</v>
      </c>
      <c r="C337">
        <v>47</v>
      </c>
      <c r="D337">
        <v>35</v>
      </c>
      <c r="E337" s="1">
        <f>+C337/(C337+D337)</f>
        <v>0.57317073170731703</v>
      </c>
      <c r="F337" s="2">
        <v>102.7</v>
      </c>
      <c r="G337" s="2">
        <v>99.8</v>
      </c>
      <c r="H337" s="2">
        <f>+F337-G337</f>
        <v>2.9000000000000057</v>
      </c>
      <c r="I337" s="1">
        <f>+(F337^14)/((F337^14+G337^14))</f>
        <v>0.59893151729191718</v>
      </c>
      <c r="J337" s="2">
        <v>107.1</v>
      </c>
      <c r="K337" s="2">
        <v>104.1</v>
      </c>
      <c r="L337" s="2">
        <f>+J337-K337</f>
        <v>3</v>
      </c>
      <c r="M337" s="1">
        <f>+E337-I337</f>
        <v>-2.5760785584600154E-2</v>
      </c>
      <c r="N337" s="2">
        <v>106.8</v>
      </c>
      <c r="O337" s="2">
        <v>104.6</v>
      </c>
      <c r="P337" s="2">
        <f>+N337-O337</f>
        <v>2.2000000000000028</v>
      </c>
      <c r="Q337">
        <v>1.3</v>
      </c>
    </row>
    <row r="338" spans="1:17">
      <c r="A338" t="s">
        <v>34</v>
      </c>
      <c r="B338" t="s">
        <v>25</v>
      </c>
      <c r="C338">
        <v>36</v>
      </c>
      <c r="D338">
        <v>46</v>
      </c>
      <c r="E338" s="1">
        <f>+C338/(C338+D338)</f>
        <v>0.43902439024390244</v>
      </c>
      <c r="F338" s="2">
        <v>95.1</v>
      </c>
      <c r="G338" s="2">
        <v>95.8</v>
      </c>
      <c r="H338" s="2">
        <f>+F338-G338</f>
        <v>-0.70000000000000284</v>
      </c>
      <c r="I338" s="1">
        <f>+(F338^14)/((F338^14+G338^14))</f>
        <v>0.47435452063041067</v>
      </c>
      <c r="J338" s="2">
        <v>101.8</v>
      </c>
      <c r="K338" s="2">
        <v>102.6</v>
      </c>
      <c r="L338" s="2">
        <f>+J338-K338</f>
        <v>-0.79999999999999716</v>
      </c>
      <c r="M338" s="1">
        <f>+E338-I338</f>
        <v>-3.5330130386508229E-2</v>
      </c>
      <c r="N338" s="2">
        <v>104</v>
      </c>
      <c r="O338" s="2">
        <v>101.8</v>
      </c>
      <c r="P338" s="2">
        <f>+N338-O338</f>
        <v>2.2000000000000028</v>
      </c>
      <c r="Q338">
        <v>0.1</v>
      </c>
    </row>
    <row r="339" spans="1:17">
      <c r="A339" t="s">
        <v>43</v>
      </c>
      <c r="B339" t="s">
        <v>28</v>
      </c>
      <c r="C339">
        <v>58</v>
      </c>
      <c r="D339">
        <v>24</v>
      </c>
      <c r="E339" s="1">
        <f>+C339/(C339+D339)</f>
        <v>0.70731707317073167</v>
      </c>
      <c r="F339" s="2">
        <v>98.5</v>
      </c>
      <c r="G339" s="2">
        <v>90.1</v>
      </c>
      <c r="H339" s="2">
        <f>+F339-G339</f>
        <v>8.4000000000000057</v>
      </c>
      <c r="I339" s="1">
        <f>+(F339^14)/((F339^14+G339^14))</f>
        <v>0.77693775330182646</v>
      </c>
      <c r="J339" s="2">
        <v>108.6</v>
      </c>
      <c r="K339" s="2">
        <v>99.4</v>
      </c>
      <c r="L339" s="2">
        <f>+J339-K339</f>
        <v>9.1999999999999886</v>
      </c>
      <c r="M339" s="1">
        <f>+E339-I339</f>
        <v>-6.9620680131094792E-2</v>
      </c>
      <c r="N339" s="2">
        <v>102.2</v>
      </c>
      <c r="O339" s="2">
        <v>100</v>
      </c>
      <c r="P339" s="2">
        <f>+N339-O339</f>
        <v>2.2000000000000028</v>
      </c>
      <c r="Q339">
        <v>1.1000000000000001</v>
      </c>
    </row>
    <row r="340" spans="1:17">
      <c r="A340" t="s">
        <v>66</v>
      </c>
      <c r="B340" t="s">
        <v>23</v>
      </c>
      <c r="C340">
        <v>34</v>
      </c>
      <c r="D340">
        <v>27</v>
      </c>
      <c r="E340" s="1">
        <f>+C340/(C340+D340)</f>
        <v>0.55737704918032782</v>
      </c>
      <c r="F340" s="2">
        <v>114.8</v>
      </c>
      <c r="G340" s="2">
        <v>113.7</v>
      </c>
      <c r="H340" s="2">
        <f>+F340-G340</f>
        <v>1.0999999999999943</v>
      </c>
      <c r="I340" s="1">
        <f>+(F340^14)/((F340^14+G340^14))</f>
        <v>0.53364736091127729</v>
      </c>
      <c r="J340" s="2">
        <v>113.7</v>
      </c>
      <c r="K340" s="2">
        <v>112.7</v>
      </c>
      <c r="L340" s="2">
        <f>+J340-K340</f>
        <v>1</v>
      </c>
      <c r="M340" s="1">
        <f>+E340-I340</f>
        <v>2.3729688269050531E-2</v>
      </c>
      <c r="N340" s="2">
        <v>109.6</v>
      </c>
      <c r="O340" s="2">
        <v>107.4</v>
      </c>
      <c r="P340" s="2">
        <f>+N340-O340</f>
        <v>2.1999999999999886</v>
      </c>
      <c r="Q340" s="2">
        <v>0.7</v>
      </c>
    </row>
    <row r="341" spans="1:17">
      <c r="A341" t="s">
        <v>34</v>
      </c>
      <c r="B341" t="s">
        <v>8</v>
      </c>
      <c r="C341">
        <v>21</v>
      </c>
      <c r="D341">
        <v>61</v>
      </c>
      <c r="E341" s="1">
        <f>+C341/(C341+D341)</f>
        <v>0.25609756097560976</v>
      </c>
      <c r="F341" s="2">
        <v>89.5</v>
      </c>
      <c r="G341" s="2">
        <v>98</v>
      </c>
      <c r="H341" s="2">
        <f>+F341-G341</f>
        <v>-8.5</v>
      </c>
      <c r="I341" s="1">
        <f>+(F341^14)/((F341^14+G341^14))</f>
        <v>0.21922234164546633</v>
      </c>
      <c r="J341" s="2">
        <v>97.2</v>
      </c>
      <c r="K341" s="2">
        <v>106.2</v>
      </c>
      <c r="L341" s="2">
        <f>+J341-K341</f>
        <v>-9</v>
      </c>
      <c r="M341" s="1">
        <f>+E341-I341</f>
        <v>3.6875219330143427E-2</v>
      </c>
      <c r="N341" s="2">
        <v>99.7</v>
      </c>
      <c r="O341" s="2">
        <v>97.6</v>
      </c>
      <c r="P341" s="2">
        <f>+N341-O341</f>
        <v>2.1000000000000085</v>
      </c>
      <c r="Q341">
        <v>0</v>
      </c>
    </row>
    <row r="342" spans="1:17">
      <c r="A342" t="s">
        <v>45</v>
      </c>
      <c r="B342" t="s">
        <v>25</v>
      </c>
      <c r="C342">
        <v>46</v>
      </c>
      <c r="D342">
        <v>36</v>
      </c>
      <c r="E342" s="1">
        <f>+C342/(C342+D342)</f>
        <v>0.56097560975609762</v>
      </c>
      <c r="F342" s="2">
        <v>109.4</v>
      </c>
      <c r="G342" s="2">
        <v>107.5</v>
      </c>
      <c r="H342" s="2">
        <f>+F342-G342</f>
        <v>1.9000000000000057</v>
      </c>
      <c r="I342" s="1">
        <f>+(F342^14)/((F342^14+G342^14))</f>
        <v>0.56101455538977274</v>
      </c>
      <c r="J342" s="2">
        <v>112.4</v>
      </c>
      <c r="K342" s="2">
        <v>110.4</v>
      </c>
      <c r="L342" s="2">
        <f>+J342-K342</f>
        <v>2</v>
      </c>
      <c r="M342" s="1">
        <f>+E342-I342</f>
        <v>-3.8945633675124824E-5</v>
      </c>
      <c r="N342" s="2">
        <v>111.9</v>
      </c>
      <c r="O342" s="2">
        <v>109.8</v>
      </c>
      <c r="P342" s="2">
        <f>+N342-O342</f>
        <v>2.1000000000000085</v>
      </c>
      <c r="Q342">
        <v>1.5</v>
      </c>
    </row>
    <row r="343" spans="1:17">
      <c r="A343" t="s">
        <v>50</v>
      </c>
      <c r="B343" t="s">
        <v>14</v>
      </c>
      <c r="C343">
        <v>45</v>
      </c>
      <c r="D343">
        <v>37</v>
      </c>
      <c r="E343" s="1">
        <f>+C343/(C343+D343)</f>
        <v>0.54878048780487809</v>
      </c>
      <c r="F343" s="2">
        <v>106</v>
      </c>
      <c r="G343" s="2">
        <v>102.5</v>
      </c>
      <c r="H343" s="2">
        <f>+F343-G343</f>
        <v>3.5</v>
      </c>
      <c r="I343" s="1">
        <f>+(F343^14)/((F343^14+G343^14))</f>
        <v>0.61539988348983532</v>
      </c>
      <c r="J343" s="2">
        <v>108.8</v>
      </c>
      <c r="K343" s="2">
        <v>105.3</v>
      </c>
      <c r="L343" s="2">
        <f>+J343-K343</f>
        <v>3.5</v>
      </c>
      <c r="M343" s="1">
        <f>+E343-I343</f>
        <v>-6.6619395684957228E-2</v>
      </c>
      <c r="N343" s="2">
        <v>105.4</v>
      </c>
      <c r="O343" s="2">
        <v>103.3</v>
      </c>
      <c r="P343" s="2">
        <f>+N343-O343</f>
        <v>2.1000000000000085</v>
      </c>
      <c r="Q343">
        <v>1.1000000000000001</v>
      </c>
    </row>
    <row r="344" spans="1:17">
      <c r="A344" t="s">
        <v>64</v>
      </c>
      <c r="B344" t="s">
        <v>24</v>
      </c>
      <c r="C344">
        <v>47</v>
      </c>
      <c r="D344">
        <v>35</v>
      </c>
      <c r="E344" s="1">
        <f>+C344/(C344+D344)</f>
        <v>0.57317073170731703</v>
      </c>
      <c r="F344" s="2">
        <v>114.6</v>
      </c>
      <c r="G344" s="2">
        <v>111.5</v>
      </c>
      <c r="H344" s="2">
        <f>+F344-G344</f>
        <v>3.0999999999999943</v>
      </c>
      <c r="I344" s="1">
        <f>+(F344^14)/((F344^14+G344^14))</f>
        <v>0.59481941226835489</v>
      </c>
      <c r="J344" s="2">
        <v>116.2</v>
      </c>
      <c r="K344" s="2">
        <v>113</v>
      </c>
      <c r="L344" s="2">
        <f>+J344-K344</f>
        <v>3.2000000000000028</v>
      </c>
      <c r="M344" s="1">
        <f>+E344-I344</f>
        <v>-2.1648680561037859E-2</v>
      </c>
      <c r="N344" s="2">
        <v>115.3</v>
      </c>
      <c r="O344" s="2">
        <v>113.2</v>
      </c>
      <c r="P344" s="2">
        <f>+N344-O344</f>
        <v>2.0999999999999943</v>
      </c>
      <c r="Q344">
        <v>0.7</v>
      </c>
    </row>
    <row r="345" spans="1:17">
      <c r="A345" t="s">
        <v>52</v>
      </c>
      <c r="B345" t="s">
        <v>40</v>
      </c>
      <c r="C345">
        <v>43</v>
      </c>
      <c r="D345">
        <v>39</v>
      </c>
      <c r="E345" s="1">
        <f>+C345/(C345+D345)</f>
        <v>0.52439024390243905</v>
      </c>
      <c r="F345" s="2">
        <v>96.9</v>
      </c>
      <c r="G345" s="2">
        <v>97.1</v>
      </c>
      <c r="H345" s="2">
        <f>+F345-G345</f>
        <v>-0.19999999999998863</v>
      </c>
      <c r="I345" s="1">
        <f>+(F345^14)/((F345^14+G345^14))</f>
        <v>0.49278400364904085</v>
      </c>
      <c r="J345" s="2">
        <v>103</v>
      </c>
      <c r="K345" s="2">
        <v>103.3</v>
      </c>
      <c r="L345" s="2">
        <f>+J345-K345</f>
        <v>-0.29999999999999716</v>
      </c>
      <c r="M345" s="1">
        <f>+E345-I345</f>
        <v>3.1606240253398199E-2</v>
      </c>
      <c r="N345" s="2">
        <v>94.6</v>
      </c>
      <c r="O345" s="2">
        <v>92.6</v>
      </c>
      <c r="P345" s="2">
        <f>+N345-O345</f>
        <v>2</v>
      </c>
      <c r="Q345">
        <v>-0.4</v>
      </c>
    </row>
    <row r="346" spans="1:17">
      <c r="A346" t="s">
        <v>47</v>
      </c>
      <c r="B346" t="s">
        <v>5</v>
      </c>
      <c r="C346">
        <v>53</v>
      </c>
      <c r="D346">
        <v>29</v>
      </c>
      <c r="E346" s="1">
        <f>+C346/(C346+D346)</f>
        <v>0.64634146341463417</v>
      </c>
      <c r="F346" s="2">
        <v>101.7</v>
      </c>
      <c r="G346" s="2">
        <v>97</v>
      </c>
      <c r="H346" s="2">
        <f>+F346-G346</f>
        <v>4.7000000000000028</v>
      </c>
      <c r="I346" s="1">
        <f>+(F346^14)/((F346^14+G346^14))</f>
        <v>0.65980571592524628</v>
      </c>
      <c r="J346" s="2">
        <v>111</v>
      </c>
      <c r="K346" s="2">
        <v>106</v>
      </c>
      <c r="L346" s="2">
        <f>+J346-K346</f>
        <v>5</v>
      </c>
      <c r="M346" s="1">
        <f>+E346-I346</f>
        <v>-1.3464252510612118E-2</v>
      </c>
      <c r="N346" s="2">
        <v>105.7</v>
      </c>
      <c r="O346" s="2">
        <v>103.7</v>
      </c>
      <c r="P346" s="2">
        <f>+N346-O346</f>
        <v>2</v>
      </c>
      <c r="Q346">
        <v>0.3</v>
      </c>
    </row>
    <row r="347" spans="1:17">
      <c r="A347" t="s">
        <v>44</v>
      </c>
      <c r="B347" t="s">
        <v>33</v>
      </c>
      <c r="C347">
        <v>43</v>
      </c>
      <c r="D347">
        <v>39</v>
      </c>
      <c r="E347" s="1">
        <f>+C347/(C347+D347)</f>
        <v>0.52439024390243905</v>
      </c>
      <c r="F347" s="2">
        <v>98.8</v>
      </c>
      <c r="G347" s="2">
        <v>99.2</v>
      </c>
      <c r="H347" s="2">
        <f>+F347-G347</f>
        <v>-0.40000000000000568</v>
      </c>
      <c r="I347" s="1">
        <f>+(F347^14)/((F347^14+G347^14))</f>
        <v>0.48586233608877544</v>
      </c>
      <c r="J347" s="2">
        <v>107.6</v>
      </c>
      <c r="K347" s="2">
        <v>107.9</v>
      </c>
      <c r="L347" s="2">
        <f>+J347-K347</f>
        <v>-0.30000000000001137</v>
      </c>
      <c r="M347" s="1">
        <f>+E347-I347</f>
        <v>3.8527907813663609E-2</v>
      </c>
      <c r="N347" s="2">
        <v>110.5</v>
      </c>
      <c r="O347" s="2">
        <v>108.6</v>
      </c>
      <c r="P347" s="2">
        <f>+N347-O347</f>
        <v>1.9000000000000057</v>
      </c>
      <c r="Q347">
        <v>-0.1</v>
      </c>
    </row>
    <row r="348" spans="1:17">
      <c r="A348" t="s">
        <v>45</v>
      </c>
      <c r="B348" t="s">
        <v>18</v>
      </c>
      <c r="C348">
        <v>43</v>
      </c>
      <c r="D348">
        <v>39</v>
      </c>
      <c r="E348" s="1">
        <f>+C348/(C348+D348)</f>
        <v>0.52439024390243905</v>
      </c>
      <c r="F348" s="2">
        <v>98.3</v>
      </c>
      <c r="G348" s="2">
        <v>98</v>
      </c>
      <c r="H348" s="2">
        <f>+F348-G348</f>
        <v>0.29999999999999716</v>
      </c>
      <c r="I348" s="1">
        <f>+(F348^14)/((F348^14+G348^14))</f>
        <v>0.51069628754963348</v>
      </c>
      <c r="J348" s="2">
        <v>106.8</v>
      </c>
      <c r="K348" s="2">
        <v>106.5</v>
      </c>
      <c r="L348" s="2">
        <f>+J348-K348</f>
        <v>0.29999999999999716</v>
      </c>
      <c r="M348" s="1">
        <f>+E348-I348</f>
        <v>1.369395635280557E-2</v>
      </c>
      <c r="N348" s="2">
        <v>114.1</v>
      </c>
      <c r="O348" s="2">
        <v>112.2</v>
      </c>
      <c r="P348" s="2">
        <f>+N348-O348</f>
        <v>1.8999999999999915</v>
      </c>
      <c r="Q348">
        <v>-0.7</v>
      </c>
    </row>
    <row r="349" spans="1:17">
      <c r="A349" t="s">
        <v>38</v>
      </c>
      <c r="B349" t="s">
        <v>37</v>
      </c>
      <c r="C349">
        <v>41</v>
      </c>
      <c r="D349">
        <v>41</v>
      </c>
      <c r="E349" s="1">
        <f>+C349/(C349+D349)</f>
        <v>0.5</v>
      </c>
      <c r="F349" s="2">
        <v>91.8</v>
      </c>
      <c r="G349" s="2">
        <v>91.9</v>
      </c>
      <c r="H349" s="2">
        <f>+F349-G349</f>
        <v>-0.10000000000000853</v>
      </c>
      <c r="I349" s="1">
        <f>+(F349^14)/((F349^14+G349^14))</f>
        <v>0.49618951269946909</v>
      </c>
      <c r="J349" s="2">
        <v>100.7</v>
      </c>
      <c r="K349" s="2">
        <v>100.6</v>
      </c>
      <c r="L349" s="2">
        <f>+J349-K349</f>
        <v>0.10000000000000853</v>
      </c>
      <c r="M349" s="1">
        <f>+E349-I349</f>
        <v>3.810487300530907E-3</v>
      </c>
      <c r="N349" s="2">
        <v>94.3</v>
      </c>
      <c r="O349" s="2">
        <v>92.4</v>
      </c>
      <c r="P349" s="2">
        <f>+N349-O349</f>
        <v>1.8999999999999915</v>
      </c>
      <c r="Q349">
        <v>1.1000000000000001</v>
      </c>
    </row>
    <row r="350" spans="1:17">
      <c r="A350" t="s">
        <v>36</v>
      </c>
      <c r="B350" t="s">
        <v>29</v>
      </c>
      <c r="C350">
        <v>40</v>
      </c>
      <c r="D350">
        <v>42</v>
      </c>
      <c r="E350" s="1">
        <f>+C350/(C350+D350)</f>
        <v>0.48780487804878048</v>
      </c>
      <c r="F350" s="2">
        <v>92.1</v>
      </c>
      <c r="G350" s="2">
        <v>92.3</v>
      </c>
      <c r="H350" s="2">
        <f>+F350-G350</f>
        <v>-0.20000000000000284</v>
      </c>
      <c r="I350" s="1">
        <f>+(F350^14)/((F350^14+G350^14))</f>
        <v>0.49240838957943855</v>
      </c>
      <c r="J350" s="2">
        <v>102.4</v>
      </c>
      <c r="K350" s="2">
        <v>102.6</v>
      </c>
      <c r="L350" s="2">
        <f>+J350-K350</f>
        <v>-0.19999999999998863</v>
      </c>
      <c r="M350" s="1">
        <f>+E350-I350</f>
        <v>-4.6035115306580776E-3</v>
      </c>
      <c r="N350" s="2">
        <v>101.6</v>
      </c>
      <c r="O350" s="2">
        <v>99.7</v>
      </c>
      <c r="P350" s="2">
        <f>+N350-O350</f>
        <v>1.8999999999999915</v>
      </c>
      <c r="Q350">
        <v>-0.5</v>
      </c>
    </row>
    <row r="351" spans="1:17">
      <c r="A351" t="s">
        <v>58</v>
      </c>
      <c r="B351" t="s">
        <v>19</v>
      </c>
      <c r="C351">
        <v>44</v>
      </c>
      <c r="D351">
        <v>38</v>
      </c>
      <c r="E351" s="1">
        <f>+C351/(C351+D351)</f>
        <v>0.53658536585365857</v>
      </c>
      <c r="F351" s="2">
        <v>106.5</v>
      </c>
      <c r="G351" s="2">
        <v>106.8</v>
      </c>
      <c r="H351" s="2">
        <f>+F351-G351</f>
        <v>-0.29999999999999716</v>
      </c>
      <c r="I351" s="1">
        <f>+(F351^14)/((F351^14+G351^14))</f>
        <v>0.49015597738821681</v>
      </c>
      <c r="J351" s="2">
        <v>109</v>
      </c>
      <c r="K351" s="2">
        <v>109.1</v>
      </c>
      <c r="L351" s="2">
        <f>+J351-K351</f>
        <v>-9.9999999999994316E-2</v>
      </c>
      <c r="M351" s="1">
        <f>+E351-I351</f>
        <v>4.6429388465441757E-2</v>
      </c>
      <c r="N351" s="2">
        <v>102.1</v>
      </c>
      <c r="O351" s="2">
        <v>100.3</v>
      </c>
      <c r="P351" s="2">
        <f>+N351-O351</f>
        <v>1.7999999999999972</v>
      </c>
      <c r="Q351">
        <v>-1.2</v>
      </c>
    </row>
    <row r="352" spans="1:17">
      <c r="A352" t="s">
        <v>48</v>
      </c>
      <c r="B352" t="s">
        <v>13</v>
      </c>
      <c r="C352">
        <v>36</v>
      </c>
      <c r="D352">
        <v>46</v>
      </c>
      <c r="E352" s="1">
        <f>+C352/(C352+D352)</f>
        <v>0.43902439024390244</v>
      </c>
      <c r="F352" s="2">
        <v>103.4</v>
      </c>
      <c r="G352" s="2">
        <v>105.7</v>
      </c>
      <c r="H352" s="2">
        <f>+F352-G352</f>
        <v>-2.2999999999999972</v>
      </c>
      <c r="I352" s="1">
        <f>+(F352^14)/((F352^14+G352^14))</f>
        <v>0.42360322763648928</v>
      </c>
      <c r="J352" s="2">
        <v>107.1</v>
      </c>
      <c r="K352" s="2">
        <v>109.4</v>
      </c>
      <c r="L352" s="2">
        <f>+J352-K352</f>
        <v>-2.3000000000000114</v>
      </c>
      <c r="M352" s="1">
        <f>+E352-I352</f>
        <v>1.5421162607413164E-2</v>
      </c>
      <c r="N352" s="2">
        <v>113</v>
      </c>
      <c r="O352" s="2">
        <v>111.2</v>
      </c>
      <c r="P352" s="2">
        <f>+N352-O352</f>
        <v>1.7999999999999972</v>
      </c>
      <c r="Q352">
        <v>-0.1</v>
      </c>
    </row>
    <row r="353" spans="1:17">
      <c r="A353" t="s">
        <v>57</v>
      </c>
      <c r="B353" t="s">
        <v>56</v>
      </c>
      <c r="C353">
        <v>51</v>
      </c>
      <c r="D353">
        <v>31</v>
      </c>
      <c r="E353" s="1">
        <f>+C353/(C353+D353)</f>
        <v>0.62195121951219512</v>
      </c>
      <c r="F353" s="2">
        <v>108.7</v>
      </c>
      <c r="G353" s="2">
        <v>104.4</v>
      </c>
      <c r="H353" s="2">
        <f>+F353-G353</f>
        <v>4.2999999999999972</v>
      </c>
      <c r="I353" s="1">
        <f>+(F353^14)/((F353^14+G353^14))</f>
        <v>0.63762474872278996</v>
      </c>
      <c r="J353" s="2">
        <v>111.8</v>
      </c>
      <c r="K353" s="2">
        <v>107.5</v>
      </c>
      <c r="L353" s="2">
        <f>+J353-K353</f>
        <v>4.2999999999999972</v>
      </c>
      <c r="M353" s="1">
        <f>+E353-I353</f>
        <v>-1.5673529210594839E-2</v>
      </c>
      <c r="N353" s="2">
        <v>97.3</v>
      </c>
      <c r="O353" s="2">
        <v>95.5</v>
      </c>
      <c r="P353" s="2">
        <f>+N353-O353</f>
        <v>1.7999999999999972</v>
      </c>
      <c r="Q353">
        <v>-0.5</v>
      </c>
    </row>
    <row r="354" spans="1:17">
      <c r="A354" t="s">
        <v>43</v>
      </c>
      <c r="B354" t="s">
        <v>15</v>
      </c>
      <c r="C354">
        <v>35</v>
      </c>
      <c r="D354">
        <v>47</v>
      </c>
      <c r="E354" s="1">
        <f>+C354/(C354+D354)</f>
        <v>0.42682926829268292</v>
      </c>
      <c r="F354" s="2">
        <v>95.6</v>
      </c>
      <c r="G354" s="2">
        <v>98</v>
      </c>
      <c r="H354" s="2">
        <f>+F354-G354</f>
        <v>-2.4000000000000057</v>
      </c>
      <c r="I354" s="1">
        <f>+(F354^14)/((F354^14+G354^14))</f>
        <v>0.41407972075394056</v>
      </c>
      <c r="J354" s="2">
        <v>101.9</v>
      </c>
      <c r="K354" s="2">
        <v>104.4</v>
      </c>
      <c r="L354" s="2">
        <f>+J354-K354</f>
        <v>-2.5</v>
      </c>
      <c r="M354" s="1">
        <f>+E354-I354</f>
        <v>1.2749547538742356E-2</v>
      </c>
      <c r="N354" s="2">
        <v>102.9</v>
      </c>
      <c r="O354" s="2">
        <v>101.2</v>
      </c>
      <c r="P354" s="2">
        <f>+N354-O354</f>
        <v>1.7000000000000028</v>
      </c>
      <c r="Q354">
        <v>-0.4</v>
      </c>
    </row>
    <row r="355" spans="1:17">
      <c r="A355" t="s">
        <v>44</v>
      </c>
      <c r="B355" t="s">
        <v>6</v>
      </c>
      <c r="C355">
        <v>66</v>
      </c>
      <c r="D355">
        <v>16</v>
      </c>
      <c r="E355" s="1">
        <f>+C355/(C355+D355)</f>
        <v>0.80487804878048785</v>
      </c>
      <c r="F355" s="2">
        <v>100.5</v>
      </c>
      <c r="G355" s="2">
        <v>90.3</v>
      </c>
      <c r="H355" s="2">
        <f>+F355-G355</f>
        <v>10.200000000000003</v>
      </c>
      <c r="I355" s="1">
        <f>+(F355^14)/((F355^14+G355^14))</f>
        <v>0.81731836243506328</v>
      </c>
      <c r="J355" s="2">
        <v>108.8</v>
      </c>
      <c r="K355" s="2">
        <v>98.1</v>
      </c>
      <c r="L355" s="2">
        <f>+J355-K355</f>
        <v>10.700000000000003</v>
      </c>
      <c r="M355" s="1">
        <f>+E355-I355</f>
        <v>-1.244031365457543E-2</v>
      </c>
      <c r="N355" s="2">
        <v>101.4</v>
      </c>
      <c r="O355" s="2">
        <v>99.7</v>
      </c>
      <c r="P355" s="2">
        <f>+N355-O355</f>
        <v>1.7000000000000028</v>
      </c>
      <c r="Q355">
        <v>1</v>
      </c>
    </row>
    <row r="356" spans="1:17">
      <c r="A356" t="s">
        <v>4</v>
      </c>
      <c r="B356" t="s">
        <v>22</v>
      </c>
      <c r="C356">
        <v>48</v>
      </c>
      <c r="D356">
        <v>34</v>
      </c>
      <c r="E356" s="1">
        <f>+C356/(C356+D356)</f>
        <v>0.58536585365853655</v>
      </c>
      <c r="F356" s="2">
        <v>88.7</v>
      </c>
      <c r="G356" s="2">
        <v>86.1</v>
      </c>
      <c r="H356" s="2">
        <f>+F356-G356</f>
        <v>2.6000000000000085</v>
      </c>
      <c r="I356" s="1">
        <f>+(F356^14)/((F356^14+G356^14))</f>
        <v>0.6026470301039869</v>
      </c>
      <c r="J356" s="2">
        <v>100</v>
      </c>
      <c r="K356" s="2">
        <v>97</v>
      </c>
      <c r="L356" s="2">
        <f>+J356-K356</f>
        <v>3</v>
      </c>
      <c r="M356" s="1">
        <f>+E356-I356</f>
        <v>-1.7281176445450352E-2</v>
      </c>
      <c r="N356" s="2">
        <v>82.7</v>
      </c>
      <c r="O356" s="2">
        <v>81</v>
      </c>
      <c r="P356" s="2">
        <f>+N356-O356</f>
        <v>1.7000000000000028</v>
      </c>
      <c r="Q356">
        <v>1.3</v>
      </c>
    </row>
    <row r="357" spans="1:17">
      <c r="A357" t="s">
        <v>43</v>
      </c>
      <c r="B357" t="s">
        <v>29</v>
      </c>
      <c r="C357">
        <v>31</v>
      </c>
      <c r="D357">
        <v>51</v>
      </c>
      <c r="E357" s="1">
        <f>+C357/(C357+D357)</f>
        <v>0.37804878048780488</v>
      </c>
      <c r="F357" s="2">
        <v>99.1</v>
      </c>
      <c r="G357" s="2">
        <v>102</v>
      </c>
      <c r="H357" s="2">
        <f>+F357-G357</f>
        <v>-2.9000000000000057</v>
      </c>
      <c r="I357" s="1">
        <f>+(F357^14)/((F357^14+G357^14))</f>
        <v>0.40039796208658779</v>
      </c>
      <c r="J357" s="2">
        <v>105.9</v>
      </c>
      <c r="K357" s="2">
        <v>108.9</v>
      </c>
      <c r="L357" s="2">
        <f>+J357-K357</f>
        <v>-3</v>
      </c>
      <c r="M357" s="1">
        <f>+E357-I357</f>
        <v>-2.2349181598782908E-2</v>
      </c>
      <c r="N357" s="2">
        <v>105.5</v>
      </c>
      <c r="O357" s="2">
        <v>103.8</v>
      </c>
      <c r="P357" s="2">
        <f>+N357-O357</f>
        <v>1.7000000000000028</v>
      </c>
      <c r="Q357">
        <v>-0.4</v>
      </c>
    </row>
    <row r="358" spans="1:17">
      <c r="A358" t="s">
        <v>64</v>
      </c>
      <c r="B358" t="s">
        <v>27</v>
      </c>
      <c r="C358">
        <v>46</v>
      </c>
      <c r="D358">
        <v>36</v>
      </c>
      <c r="E358" s="1">
        <f>+C358/(C358+D358)</f>
        <v>0.56097560975609762</v>
      </c>
      <c r="F358" s="2">
        <v>116.6</v>
      </c>
      <c r="G358" s="2">
        <v>114.8</v>
      </c>
      <c r="H358" s="2">
        <f>+F358-G358</f>
        <v>1.7999999999999972</v>
      </c>
      <c r="I358" s="1">
        <f>+(F358^14)/((F358^14+G358^14))</f>
        <v>0.55423800996909134</v>
      </c>
      <c r="J358" s="2">
        <v>116.2</v>
      </c>
      <c r="K358" s="2">
        <v>114.4</v>
      </c>
      <c r="L358" s="2">
        <f>+J358-K358</f>
        <v>1.7999999999999972</v>
      </c>
      <c r="M358" s="1">
        <f>+E358-I358</f>
        <v>6.7375997870062765E-3</v>
      </c>
      <c r="N358" s="2">
        <v>105.6</v>
      </c>
      <c r="O358" s="2">
        <v>104.1</v>
      </c>
      <c r="P358" s="2">
        <f>+N358-O358</f>
        <v>1.5</v>
      </c>
      <c r="Q358">
        <v>-0.8</v>
      </c>
    </row>
    <row r="359" spans="1:17">
      <c r="A359" t="s">
        <v>54</v>
      </c>
      <c r="B359" t="s">
        <v>25</v>
      </c>
      <c r="C359">
        <v>39</v>
      </c>
      <c r="D359">
        <v>43</v>
      </c>
      <c r="E359" s="1">
        <f>+C359/(C359+D359)</f>
        <v>0.47560975609756095</v>
      </c>
      <c r="F359" s="2">
        <v>102.4</v>
      </c>
      <c r="G359" s="2">
        <v>103.3</v>
      </c>
      <c r="H359" s="2">
        <f>+F359-G359</f>
        <v>-0.89999999999999147</v>
      </c>
      <c r="I359" s="1">
        <f>+(F359^14)/((F359^14+G359^14))</f>
        <v>0.4694109261885151</v>
      </c>
      <c r="J359" s="2">
        <v>104.2</v>
      </c>
      <c r="K359" s="2">
        <v>105.3</v>
      </c>
      <c r="L359" s="2">
        <f>+J359-K359</f>
        <v>-1.0999999999999943</v>
      </c>
      <c r="M359" s="1">
        <f>+E359-I359</f>
        <v>6.1988299090458554E-3</v>
      </c>
      <c r="N359" s="2">
        <v>98</v>
      </c>
      <c r="O359" s="2">
        <v>96.5</v>
      </c>
      <c r="P359" s="2">
        <f>+N359-O359</f>
        <v>1.5</v>
      </c>
      <c r="Q359">
        <v>0.9</v>
      </c>
    </row>
    <row r="360" spans="1:17">
      <c r="A360" t="s">
        <v>50</v>
      </c>
      <c r="B360" t="s">
        <v>28</v>
      </c>
      <c r="C360">
        <v>58</v>
      </c>
      <c r="D360">
        <v>24</v>
      </c>
      <c r="E360" s="1">
        <f>+C360/(C360+D360)</f>
        <v>0.70731707317073167</v>
      </c>
      <c r="F360" s="2">
        <v>103</v>
      </c>
      <c r="G360" s="2">
        <v>96.6</v>
      </c>
      <c r="H360" s="2">
        <f>+F360-G360</f>
        <v>6.4000000000000057</v>
      </c>
      <c r="I360" s="1">
        <f>+(F360^14)/((F360^14+G360^14))</f>
        <v>0.71055960682270991</v>
      </c>
      <c r="J360" s="2">
        <v>107</v>
      </c>
      <c r="K360" s="2">
        <v>100.3</v>
      </c>
      <c r="L360" s="2">
        <f>+J360-K360</f>
        <v>6.7000000000000028</v>
      </c>
      <c r="M360" s="1">
        <f>+E360-I360</f>
        <v>-3.2425336519782411E-3</v>
      </c>
      <c r="N360" s="2">
        <v>95</v>
      </c>
      <c r="O360" s="2">
        <v>93.5</v>
      </c>
      <c r="P360" s="2">
        <f>+N360-O360</f>
        <v>1.5</v>
      </c>
      <c r="Q360">
        <v>1.2</v>
      </c>
    </row>
    <row r="361" spans="1:17">
      <c r="A361" t="s">
        <v>61</v>
      </c>
      <c r="B361" t="s">
        <v>19</v>
      </c>
      <c r="C361">
        <v>46</v>
      </c>
      <c r="D361">
        <v>26</v>
      </c>
      <c r="E361" s="1">
        <f>+C361/(C361+D361)</f>
        <v>0.63888888888888884</v>
      </c>
      <c r="F361" s="2">
        <v>120.1</v>
      </c>
      <c r="G361" s="2">
        <v>114.2</v>
      </c>
      <c r="H361" s="2">
        <f>+F361-G361</f>
        <v>5.8999999999999915</v>
      </c>
      <c r="I361" s="1">
        <f>+(F361^14)/((F361^14+G361^14))</f>
        <v>0.66934587633870324</v>
      </c>
      <c r="J361" s="2">
        <v>116.5</v>
      </c>
      <c r="K361" s="2">
        <v>110.7</v>
      </c>
      <c r="L361" s="2">
        <f>+J361-K361</f>
        <v>5.7999999999999972</v>
      </c>
      <c r="M361" s="1">
        <f>+E361-I361</f>
        <v>-3.0456987449814399E-2</v>
      </c>
      <c r="N361" s="2">
        <v>107</v>
      </c>
      <c r="O361" s="2">
        <v>105.5</v>
      </c>
      <c r="P361" s="2">
        <f>+N361-O361</f>
        <v>1.5</v>
      </c>
      <c r="Q361">
        <v>-0.2</v>
      </c>
    </row>
    <row r="362" spans="1:17">
      <c r="A362" t="s">
        <v>44</v>
      </c>
      <c r="B362" t="s">
        <v>40</v>
      </c>
      <c r="C362">
        <v>32</v>
      </c>
      <c r="D362">
        <v>50</v>
      </c>
      <c r="E362" s="1">
        <f>+C362/(C362+D362)</f>
        <v>0.3902439024390244</v>
      </c>
      <c r="F362" s="2">
        <v>97.1</v>
      </c>
      <c r="G362" s="2">
        <v>101.4</v>
      </c>
      <c r="H362" s="2">
        <f>+F362-G362</f>
        <v>-4.3000000000000114</v>
      </c>
      <c r="I362" s="1">
        <f>+(F362^14)/((F362^14+G362^14))</f>
        <v>0.35282512141387656</v>
      </c>
      <c r="J362" s="2">
        <v>103.7</v>
      </c>
      <c r="K362" s="2">
        <v>108.2</v>
      </c>
      <c r="L362" s="2">
        <f>+J362-K362</f>
        <v>-4.5</v>
      </c>
      <c r="M362" s="1">
        <f>+E362-I362</f>
        <v>3.741878102514784E-2</v>
      </c>
      <c r="N362" s="2">
        <v>101.9</v>
      </c>
      <c r="O362" s="2">
        <v>100.5</v>
      </c>
      <c r="P362" s="2">
        <f>+N362-O362</f>
        <v>1.4000000000000057</v>
      </c>
      <c r="Q362">
        <v>-0.5</v>
      </c>
    </row>
    <row r="363" spans="1:17">
      <c r="A363" t="s">
        <v>4</v>
      </c>
      <c r="B363" t="s">
        <v>33</v>
      </c>
      <c r="C363">
        <v>19</v>
      </c>
      <c r="D363">
        <v>63</v>
      </c>
      <c r="E363" s="1">
        <f>+C363/(C363+D363)</f>
        <v>0.23170731707317074</v>
      </c>
      <c r="F363" s="2">
        <v>93.2</v>
      </c>
      <c r="G363" s="2">
        <v>99.9</v>
      </c>
      <c r="H363" s="2">
        <f>+F363-G363</f>
        <v>-6.7000000000000028</v>
      </c>
      <c r="I363" s="1">
        <f>+(F363^14)/((F363^14+G363^14))</f>
        <v>0.27450046120978927</v>
      </c>
      <c r="J363" s="2">
        <v>99.4</v>
      </c>
      <c r="K363" s="2">
        <v>106.2</v>
      </c>
      <c r="L363" s="2">
        <f>+J363-K363</f>
        <v>-6.7999999999999972</v>
      </c>
      <c r="M363" s="1">
        <f>+E363-I363</f>
        <v>-4.2793144136618527E-2</v>
      </c>
      <c r="N363" s="2">
        <v>101.4</v>
      </c>
      <c r="O363" s="2">
        <v>100</v>
      </c>
      <c r="P363" s="2">
        <f>+N363-O363</f>
        <v>1.4000000000000057</v>
      </c>
      <c r="Q363">
        <v>-1.1000000000000001</v>
      </c>
    </row>
    <row r="364" spans="1:17">
      <c r="A364" t="s">
        <v>62</v>
      </c>
      <c r="B364" t="s">
        <v>27</v>
      </c>
      <c r="C364">
        <v>30</v>
      </c>
      <c r="D364">
        <v>52</v>
      </c>
      <c r="E364" s="1">
        <f>+C364/(C364+D364)</f>
        <v>0.36585365853658536</v>
      </c>
      <c r="F364" s="2">
        <v>110.3</v>
      </c>
      <c r="G364" s="2">
        <v>115.8</v>
      </c>
      <c r="H364" s="2">
        <f>+F364-G364</f>
        <v>-5.5</v>
      </c>
      <c r="I364" s="1">
        <f>+(F364^14)/((F364^14+G364^14))</f>
        <v>0.33598260819490139</v>
      </c>
      <c r="J364" s="2">
        <v>109.6</v>
      </c>
      <c r="K364" s="2">
        <v>114.8</v>
      </c>
      <c r="L364" s="2">
        <f>+J364-K364</f>
        <v>-5.2000000000000028</v>
      </c>
      <c r="M364" s="1">
        <f>+E364-I364</f>
        <v>2.9871050341683969E-2</v>
      </c>
      <c r="N364" s="2">
        <v>110.6</v>
      </c>
      <c r="O364" s="2">
        <v>109.2</v>
      </c>
      <c r="P364" s="2">
        <f>+N364-O364</f>
        <v>1.3999999999999915</v>
      </c>
      <c r="Q364">
        <v>-1.3</v>
      </c>
    </row>
    <row r="365" spans="1:17">
      <c r="A365" t="s">
        <v>36</v>
      </c>
      <c r="B365" t="s">
        <v>23</v>
      </c>
      <c r="C365">
        <v>42</v>
      </c>
      <c r="D365">
        <v>40</v>
      </c>
      <c r="E365" s="1">
        <f>+C365/(C365+D365)</f>
        <v>0.51219512195121952</v>
      </c>
      <c r="F365" s="2">
        <v>98.5</v>
      </c>
      <c r="G365" s="2">
        <v>98.4</v>
      </c>
      <c r="H365" s="2">
        <f>+F365-G365</f>
        <v>9.9999999999994316E-2</v>
      </c>
      <c r="I365" s="1">
        <f>+(F365^14)/((F365^14+G365^14))</f>
        <v>0.5035550445111181</v>
      </c>
      <c r="J365" s="2">
        <v>103.7</v>
      </c>
      <c r="K365" s="2">
        <v>103.7</v>
      </c>
      <c r="L365" s="2">
        <f>+J365-K365</f>
        <v>0</v>
      </c>
      <c r="M365" s="1">
        <f>+E365-I365</f>
        <v>8.6400774401014235E-3</v>
      </c>
      <c r="N365" s="2">
        <v>95.9</v>
      </c>
      <c r="O365" s="2">
        <v>94.6</v>
      </c>
      <c r="P365" s="2">
        <f>+N365-O365</f>
        <v>1.3000000000000114</v>
      </c>
      <c r="Q365">
        <v>-1</v>
      </c>
    </row>
    <row r="366" spans="1:17">
      <c r="A366" t="s">
        <v>41</v>
      </c>
      <c r="B366" t="s">
        <v>29</v>
      </c>
      <c r="C366">
        <v>35</v>
      </c>
      <c r="D366">
        <v>47</v>
      </c>
      <c r="E366" s="1">
        <f>+C366/(C366+D366)</f>
        <v>0.42682926829268292</v>
      </c>
      <c r="F366" s="2">
        <v>102.6</v>
      </c>
      <c r="G366" s="2">
        <v>105.6</v>
      </c>
      <c r="H366" s="2">
        <f>+F366-G366</f>
        <v>-3</v>
      </c>
      <c r="I366" s="1">
        <f>+(F366^14)/((F366^14+G366^14))</f>
        <v>0.40047504632184655</v>
      </c>
      <c r="J366" s="2">
        <v>109.4</v>
      </c>
      <c r="K366" s="2">
        <v>112.7</v>
      </c>
      <c r="L366" s="2">
        <f>+J366-K366</f>
        <v>-3.2999999999999972</v>
      </c>
      <c r="M366" s="1">
        <f>+E366-I366</f>
        <v>2.6354221970836367E-2</v>
      </c>
      <c r="N366" s="2">
        <v>112.8</v>
      </c>
      <c r="O366" s="2">
        <v>111.5</v>
      </c>
      <c r="P366" s="2">
        <f>+N366-O366</f>
        <v>1.2999999999999972</v>
      </c>
      <c r="Q366">
        <v>-1.2</v>
      </c>
    </row>
    <row r="367" spans="1:17">
      <c r="A367" t="s">
        <v>65</v>
      </c>
      <c r="B367" t="s">
        <v>10</v>
      </c>
      <c r="C367">
        <v>39</v>
      </c>
      <c r="D367">
        <v>43</v>
      </c>
      <c r="E367" s="1">
        <f>+C367/(C367+D367)</f>
        <v>0.47560975609756095</v>
      </c>
      <c r="F367" s="2">
        <v>114.2</v>
      </c>
      <c r="G367" s="2">
        <v>115.4</v>
      </c>
      <c r="H367" s="2">
        <f>+F367-G367</f>
        <v>-1.2000000000000028</v>
      </c>
      <c r="I367" s="1">
        <f>+(F367^14)/((F367^14+G367^14))</f>
        <v>0.46347945541484592</v>
      </c>
      <c r="J367" s="2">
        <v>113.7</v>
      </c>
      <c r="K367" s="2">
        <v>115</v>
      </c>
      <c r="L367" s="2">
        <f>+J367-K367</f>
        <v>-1.2999999999999972</v>
      </c>
      <c r="M367" s="1">
        <f>+E367-I367</f>
        <v>1.2130300682715034E-2</v>
      </c>
      <c r="N367" s="2">
        <v>113</v>
      </c>
      <c r="O367" s="2">
        <v>111.7</v>
      </c>
      <c r="P367" s="2">
        <f>+N367-O367</f>
        <v>1.2999999999999972</v>
      </c>
      <c r="Q367">
        <v>0.1</v>
      </c>
    </row>
    <row r="368" spans="1:17">
      <c r="A368" t="s">
        <v>62</v>
      </c>
      <c r="B368" t="s">
        <v>26</v>
      </c>
      <c r="C368">
        <v>27</v>
      </c>
      <c r="D368">
        <v>55</v>
      </c>
      <c r="E368" s="1">
        <f>+C368/(C368+D368)</f>
        <v>0.32926829268292684</v>
      </c>
      <c r="F368" s="2">
        <v>106.2</v>
      </c>
      <c r="G368" s="2">
        <v>115.1</v>
      </c>
      <c r="H368" s="2">
        <f>+F368-G368</f>
        <v>-8.8999999999999915</v>
      </c>
      <c r="I368" s="1">
        <f>+(F368^14)/((F368^14+G368^14))</f>
        <v>0.24477414963979585</v>
      </c>
      <c r="J368" s="2">
        <v>107.3</v>
      </c>
      <c r="K368" s="2">
        <v>116.3</v>
      </c>
      <c r="L368" s="2">
        <f>+J368-K368</f>
        <v>-9</v>
      </c>
      <c r="M368" s="1">
        <f>+E368-I368</f>
        <v>8.4494143043130993E-2</v>
      </c>
      <c r="N368" s="2">
        <v>107</v>
      </c>
      <c r="O368" s="2">
        <v>105.8</v>
      </c>
      <c r="P368" s="2">
        <f>+N368-O368</f>
        <v>1.2000000000000028</v>
      </c>
      <c r="Q368">
        <v>-3.6</v>
      </c>
    </row>
    <row r="369" spans="1:17">
      <c r="A369" t="s">
        <v>65</v>
      </c>
      <c r="B369" t="s">
        <v>53</v>
      </c>
      <c r="C369">
        <v>21</v>
      </c>
      <c r="D369">
        <v>61</v>
      </c>
      <c r="E369" s="1">
        <f>+C369/(C369+D369)</f>
        <v>0.25609756097560976</v>
      </c>
      <c r="F369" s="2">
        <v>109.8</v>
      </c>
      <c r="G369" s="2">
        <v>119.3</v>
      </c>
      <c r="H369" s="2">
        <f>+F369-G369</f>
        <v>-9.5</v>
      </c>
      <c r="I369" s="1">
        <f>+(F369^14)/((F369^14+G369^14))</f>
        <v>0.23835285935229417</v>
      </c>
      <c r="J369" s="2">
        <v>109.7</v>
      </c>
      <c r="K369" s="2">
        <v>119.1</v>
      </c>
      <c r="L369" s="2">
        <f>+J369-K369</f>
        <v>-9.3999999999999915</v>
      </c>
      <c r="M369" s="1">
        <f>+E369-I369</f>
        <v>1.7744701623315595E-2</v>
      </c>
      <c r="N369" s="2">
        <v>104.5</v>
      </c>
      <c r="O369" s="2">
        <v>103.3</v>
      </c>
      <c r="P369" s="2">
        <f>+N369-O369</f>
        <v>1.2000000000000028</v>
      </c>
      <c r="Q369">
        <v>-1</v>
      </c>
    </row>
    <row r="370" spans="1:17">
      <c r="A370" t="s">
        <v>62</v>
      </c>
      <c r="B370" t="s">
        <v>18</v>
      </c>
      <c r="C370">
        <v>53</v>
      </c>
      <c r="D370">
        <v>29</v>
      </c>
      <c r="E370" s="1">
        <f>+C370/(C370+D370)</f>
        <v>0.64634146341463417</v>
      </c>
      <c r="F370" s="2">
        <v>110</v>
      </c>
      <c r="G370" s="2">
        <v>105.6</v>
      </c>
      <c r="H370" s="2">
        <f>+F370-G370</f>
        <v>4.4000000000000057</v>
      </c>
      <c r="I370" s="1">
        <f>+(F370^14)/((F370^14+G370^14))</f>
        <v>0.63911104772076754</v>
      </c>
      <c r="J370" s="2">
        <v>113</v>
      </c>
      <c r="K370" s="2">
        <v>108.4</v>
      </c>
      <c r="L370" s="2">
        <f>+J370-K370</f>
        <v>4.5999999999999943</v>
      </c>
      <c r="M370" s="1">
        <f>+E370-I370</f>
        <v>7.2304156938666209E-3</v>
      </c>
      <c r="N370" s="2">
        <v>100.4</v>
      </c>
      <c r="O370" s="2">
        <v>99.2</v>
      </c>
      <c r="P370" s="2">
        <f>+N370-O370</f>
        <v>1.2000000000000028</v>
      </c>
      <c r="Q370">
        <v>0.4</v>
      </c>
    </row>
    <row r="371" spans="1:17">
      <c r="A371" t="s">
        <v>47</v>
      </c>
      <c r="B371" t="s">
        <v>18</v>
      </c>
      <c r="C371">
        <v>47</v>
      </c>
      <c r="D371">
        <v>35</v>
      </c>
      <c r="E371" s="1">
        <f>+C371/(C371+D371)</f>
        <v>0.57317073170731703</v>
      </c>
      <c r="F371" s="2">
        <v>96.5</v>
      </c>
      <c r="G371" s="2">
        <v>94.2</v>
      </c>
      <c r="H371" s="2">
        <f>+F371-G371</f>
        <v>2.2999999999999972</v>
      </c>
      <c r="I371" s="1">
        <f>+(F371^14)/((F371^14+G371^14))</f>
        <v>0.58363647422814535</v>
      </c>
      <c r="J371" s="2">
        <v>105.7</v>
      </c>
      <c r="K371" s="2">
        <v>103.4</v>
      </c>
      <c r="L371" s="2">
        <f>+J371-K371</f>
        <v>2.2999999999999972</v>
      </c>
      <c r="M371" s="1">
        <f>+E371-I371</f>
        <v>-1.0465742520828325E-2</v>
      </c>
      <c r="N371" s="2">
        <v>102.9</v>
      </c>
      <c r="O371" s="2">
        <v>101.7</v>
      </c>
      <c r="P371" s="2">
        <f>+N371-O371</f>
        <v>1.2000000000000028</v>
      </c>
      <c r="Q371">
        <v>-0.9</v>
      </c>
    </row>
    <row r="372" spans="1:17">
      <c r="A372" t="s">
        <v>59</v>
      </c>
      <c r="B372" t="s">
        <v>28</v>
      </c>
      <c r="C372">
        <v>48</v>
      </c>
      <c r="D372">
        <v>34</v>
      </c>
      <c r="E372" s="1">
        <f>+C372/(C372+D372)</f>
        <v>0.58536585365853655</v>
      </c>
      <c r="F372" s="2">
        <v>111.7</v>
      </c>
      <c r="G372" s="2">
        <v>110</v>
      </c>
      <c r="H372" s="2">
        <f>+F372-G372</f>
        <v>1.7000000000000028</v>
      </c>
      <c r="I372" s="1">
        <f>+(F372^14)/((F372^14+G372^14))</f>
        <v>0.55347192797788125</v>
      </c>
      <c r="J372" s="2">
        <v>112.2</v>
      </c>
      <c r="K372" s="2">
        <v>110.6</v>
      </c>
      <c r="L372" s="2">
        <f>+J372-K372</f>
        <v>1.6000000000000085</v>
      </c>
      <c r="M372" s="1">
        <f>+E372-I372</f>
        <v>3.18939256806553E-2</v>
      </c>
      <c r="N372" s="2">
        <v>113.6</v>
      </c>
      <c r="O372" s="2">
        <v>112.5</v>
      </c>
      <c r="P372" s="2">
        <f>+N372-O372</f>
        <v>1.0999999999999943</v>
      </c>
      <c r="Q372">
        <v>0.4</v>
      </c>
    </row>
    <row r="373" spans="1:17">
      <c r="A373" t="s">
        <v>62</v>
      </c>
      <c r="B373" t="s">
        <v>20</v>
      </c>
      <c r="C373">
        <v>46</v>
      </c>
      <c r="D373">
        <v>36</v>
      </c>
      <c r="E373" s="1">
        <f>+C373/(C373+D373)</f>
        <v>0.56097560975609762</v>
      </c>
      <c r="F373" s="2">
        <v>115.9</v>
      </c>
      <c r="G373" s="2">
        <v>113.3</v>
      </c>
      <c r="H373" s="2">
        <f>+F373-G373</f>
        <v>2.6000000000000085</v>
      </c>
      <c r="I373" s="1">
        <f>+(F373^14)/((F373^14+G373^14))</f>
        <v>0.57874903178603399</v>
      </c>
      <c r="J373" s="2">
        <v>113.8</v>
      </c>
      <c r="K373" s="2">
        <v>111</v>
      </c>
      <c r="L373" s="2">
        <f>+J373-K373</f>
        <v>2.7999999999999972</v>
      </c>
      <c r="M373" s="1">
        <f>+E373-I373</f>
        <v>-1.777342202993637E-2</v>
      </c>
      <c r="N373" s="2">
        <v>107.1</v>
      </c>
      <c r="O373" s="2">
        <v>106</v>
      </c>
      <c r="P373" s="2">
        <f>+N373-O373</f>
        <v>1.0999999999999943</v>
      </c>
      <c r="Q373">
        <v>-0.9</v>
      </c>
    </row>
    <row r="374" spans="1:17">
      <c r="A374" t="s">
        <v>58</v>
      </c>
      <c r="B374" t="s">
        <v>6</v>
      </c>
      <c r="C374">
        <v>55</v>
      </c>
      <c r="D374">
        <v>27</v>
      </c>
      <c r="E374" s="1">
        <f>+C374/(C374+D374)</f>
        <v>0.67073170731707321</v>
      </c>
      <c r="F374" s="2">
        <v>104</v>
      </c>
      <c r="G374" s="2">
        <v>100.4</v>
      </c>
      <c r="H374" s="2">
        <f>+F374-G374</f>
        <v>3.5999999999999943</v>
      </c>
      <c r="I374" s="1">
        <f>+(F374^14)/((F374^14+G374^14))</f>
        <v>0.62086037726466381</v>
      </c>
      <c r="J374" s="2">
        <v>106.8</v>
      </c>
      <c r="K374" s="2">
        <v>103.2</v>
      </c>
      <c r="L374" s="2">
        <f>+J374-K374</f>
        <v>3.5999999999999943</v>
      </c>
      <c r="M374" s="1">
        <f>+E374-I374</f>
        <v>4.9871330052409402E-2</v>
      </c>
      <c r="N374" s="2">
        <v>109.6</v>
      </c>
      <c r="O374" s="2">
        <v>108.6</v>
      </c>
      <c r="P374" s="2">
        <f>+N374-O374</f>
        <v>1</v>
      </c>
      <c r="Q374">
        <v>0.8</v>
      </c>
    </row>
    <row r="375" spans="1:17">
      <c r="A375" t="s">
        <v>63</v>
      </c>
      <c r="B375" t="s">
        <v>35</v>
      </c>
      <c r="C375">
        <v>51</v>
      </c>
      <c r="D375">
        <v>31</v>
      </c>
      <c r="E375" s="1">
        <f>+C375/(C375+D375)</f>
        <v>0.62195121951219512</v>
      </c>
      <c r="F375" s="2">
        <v>116.9</v>
      </c>
      <c r="G375" s="2">
        <v>113</v>
      </c>
      <c r="H375" s="2">
        <f>+F375-G375</f>
        <v>3.9000000000000057</v>
      </c>
      <c r="I375" s="1">
        <f>+(F375^14)/((F375^14+G375^14))</f>
        <v>0.61657470721768026</v>
      </c>
      <c r="J375" s="2">
        <v>114.7</v>
      </c>
      <c r="K375" s="2">
        <v>110.7</v>
      </c>
      <c r="L375" s="2">
        <f>+J375-K375</f>
        <v>4</v>
      </c>
      <c r="M375" s="1">
        <f>+E375-I375</f>
        <v>5.3765122945148569E-3</v>
      </c>
      <c r="N375" s="2">
        <v>114.9</v>
      </c>
      <c r="O375" s="2">
        <v>113.9</v>
      </c>
      <c r="P375" s="2">
        <f>+N375-O375</f>
        <v>1</v>
      </c>
      <c r="Q375">
        <v>-1.1000000000000001</v>
      </c>
    </row>
    <row r="376" spans="1:17">
      <c r="A376" t="s">
        <v>61</v>
      </c>
      <c r="B376" t="s">
        <v>46</v>
      </c>
      <c r="C376">
        <v>22</v>
      </c>
      <c r="D376">
        <v>50</v>
      </c>
      <c r="E376" s="1">
        <f>+C376/(C376+D376)</f>
        <v>0.30555555555555558</v>
      </c>
      <c r="F376" s="2">
        <v>105</v>
      </c>
      <c r="G376" s="2">
        <v>115.6</v>
      </c>
      <c r="H376" s="2">
        <f>+F376-G376</f>
        <v>-10.599999999999994</v>
      </c>
      <c r="I376" s="1">
        <f>+(F376^14)/((F376^14+G376^14))</f>
        <v>0.20644996928068904</v>
      </c>
      <c r="J376" s="2">
        <v>102.8</v>
      </c>
      <c r="K376" s="2">
        <v>113.4</v>
      </c>
      <c r="L376" s="2">
        <f>+J376-K376</f>
        <v>-10.600000000000009</v>
      </c>
      <c r="M376" s="1">
        <f>+E376-I376</f>
        <v>9.9105586274866542E-2</v>
      </c>
      <c r="N376" s="2">
        <v>102.7</v>
      </c>
      <c r="O376" s="2">
        <v>101.8</v>
      </c>
      <c r="P376" s="2">
        <f>+N376-O376</f>
        <v>0.90000000000000568</v>
      </c>
      <c r="Q376">
        <v>-1.1000000000000001</v>
      </c>
    </row>
    <row r="377" spans="1:17">
      <c r="A377" t="s">
        <v>43</v>
      </c>
      <c r="B377" t="s">
        <v>26</v>
      </c>
      <c r="C377">
        <v>32</v>
      </c>
      <c r="D377">
        <v>50</v>
      </c>
      <c r="E377" s="1">
        <f>+C377/(C377+D377)</f>
        <v>0.3902439024390244</v>
      </c>
      <c r="F377" s="2">
        <v>94.1</v>
      </c>
      <c r="G377" s="2">
        <v>98.4</v>
      </c>
      <c r="H377" s="2">
        <f>+F377-G377</f>
        <v>-4.3000000000000114</v>
      </c>
      <c r="I377" s="1">
        <f>+(F377^14)/((F377^14+G377^14))</f>
        <v>0.34851829160504433</v>
      </c>
      <c r="J377" s="2">
        <v>103.8</v>
      </c>
      <c r="K377" s="2">
        <v>108.6</v>
      </c>
      <c r="L377" s="2">
        <f>+J377-K377</f>
        <v>-4.7999999999999972</v>
      </c>
      <c r="M377" s="1">
        <f>+E377-I377</f>
        <v>4.1725610833980076E-2</v>
      </c>
      <c r="N377" s="2">
        <v>113.4</v>
      </c>
      <c r="O377" s="2">
        <v>112.5</v>
      </c>
      <c r="P377" s="2">
        <f>+N377-O377</f>
        <v>0.90000000000000568</v>
      </c>
      <c r="Q377">
        <v>-0.5</v>
      </c>
    </row>
    <row r="378" spans="1:17">
      <c r="A378" t="s">
        <v>54</v>
      </c>
      <c r="B378" t="s">
        <v>53</v>
      </c>
      <c r="C378">
        <v>45</v>
      </c>
      <c r="D378">
        <v>37</v>
      </c>
      <c r="E378" s="1">
        <f>+C378/(C378+D378)</f>
        <v>0.54878048780487809</v>
      </c>
      <c r="F378" s="2">
        <v>99.4</v>
      </c>
      <c r="G378" s="2">
        <v>98.6</v>
      </c>
      <c r="H378" s="2">
        <f>+F378-G378</f>
        <v>0.80000000000001137</v>
      </c>
      <c r="I378" s="1">
        <f>+(F378^14)/((F378^14+G378^14))</f>
        <v>0.52825285498297569</v>
      </c>
      <c r="J378" s="2">
        <v>107.1</v>
      </c>
      <c r="K378" s="2">
        <v>106.3</v>
      </c>
      <c r="L378" s="2">
        <f>+J378-K378</f>
        <v>0.79999999999999716</v>
      </c>
      <c r="M378" s="1">
        <f>+E378-I378</f>
        <v>2.0527632821902397E-2</v>
      </c>
      <c r="N378" s="2">
        <v>106.2</v>
      </c>
      <c r="O378" s="2">
        <v>105.3</v>
      </c>
      <c r="P378" s="2">
        <f>+N378-O378</f>
        <v>0.90000000000000568</v>
      </c>
      <c r="Q378">
        <v>-0.2</v>
      </c>
    </row>
    <row r="379" spans="1:17">
      <c r="A379" t="s">
        <v>39</v>
      </c>
      <c r="B379" t="s">
        <v>24</v>
      </c>
      <c r="C379">
        <v>43</v>
      </c>
      <c r="D379">
        <v>39</v>
      </c>
      <c r="E379" s="1">
        <f>+C379/(C379+D379)</f>
        <v>0.52439024390243905</v>
      </c>
      <c r="F379" s="2">
        <v>99.1</v>
      </c>
      <c r="G379" s="2">
        <v>99.9</v>
      </c>
      <c r="H379" s="2">
        <f>+F379-G379</f>
        <v>-0.80000000000001137</v>
      </c>
      <c r="I379" s="1">
        <f>+(F379^14)/((F379^14+G379^14))</f>
        <v>0.47188882056574427</v>
      </c>
      <c r="J379" s="2">
        <v>101.8</v>
      </c>
      <c r="K379" s="2">
        <v>102.5</v>
      </c>
      <c r="L379" s="2">
        <f>+J379-K379</f>
        <v>-0.70000000000000284</v>
      </c>
      <c r="M379" s="1">
        <f>+E379-I379</f>
        <v>5.2501423336694775E-2</v>
      </c>
      <c r="N379" s="2">
        <v>95.8</v>
      </c>
      <c r="O379" s="2">
        <v>94.9</v>
      </c>
      <c r="P379" s="2">
        <f>+N379-O379</f>
        <v>0.89999999999999147</v>
      </c>
      <c r="Q379">
        <v>-0.7</v>
      </c>
    </row>
    <row r="380" spans="1:17">
      <c r="A380" t="s">
        <v>45</v>
      </c>
      <c r="B380" t="s">
        <v>40</v>
      </c>
      <c r="C380">
        <v>35</v>
      </c>
      <c r="D380">
        <v>47</v>
      </c>
      <c r="E380" s="1">
        <f>+C380/(C380+D380)</f>
        <v>0.42682926829268292</v>
      </c>
      <c r="F380" s="2">
        <v>93.6</v>
      </c>
      <c r="G380" s="2">
        <v>94.9</v>
      </c>
      <c r="H380" s="2">
        <f>+F380-G380</f>
        <v>-1.3000000000000114</v>
      </c>
      <c r="I380" s="1">
        <f>+(F380^14)/((F380^14+G380^14))</f>
        <v>0.4518728353322306</v>
      </c>
      <c r="J380" s="2">
        <v>103.7</v>
      </c>
      <c r="K380" s="2">
        <v>105</v>
      </c>
      <c r="L380" s="2">
        <f>+J380-K380</f>
        <v>-1.2999999999999972</v>
      </c>
      <c r="M380" s="1">
        <f>+E380-I380</f>
        <v>-2.5043567039547687E-2</v>
      </c>
      <c r="N380" s="2">
        <v>97.8</v>
      </c>
      <c r="O380" s="2">
        <v>96.9</v>
      </c>
      <c r="P380" s="2">
        <f>+N380-O380</f>
        <v>0.89999999999999147</v>
      </c>
      <c r="Q380">
        <v>-0.3</v>
      </c>
    </row>
    <row r="381" spans="1:17">
      <c r="A381" t="s">
        <v>61</v>
      </c>
      <c r="B381" t="s">
        <v>23</v>
      </c>
      <c r="C381">
        <v>21</v>
      </c>
      <c r="D381">
        <v>51</v>
      </c>
      <c r="E381" s="1">
        <f>+C381/(C381+D381)</f>
        <v>0.29166666666666669</v>
      </c>
      <c r="F381" s="2">
        <v>104</v>
      </c>
      <c r="G381" s="2">
        <v>113.3</v>
      </c>
      <c r="H381" s="2">
        <f>+F381-G381</f>
        <v>-9.2999999999999972</v>
      </c>
      <c r="I381" s="1">
        <f>+(F381^14)/((F381^14+G381^14))</f>
        <v>0.23163967366224553</v>
      </c>
      <c r="J381" s="2">
        <v>104.6</v>
      </c>
      <c r="K381" s="2">
        <v>113.9</v>
      </c>
      <c r="L381" s="2">
        <f>+J381-K381</f>
        <v>-9.3000000000000114</v>
      </c>
      <c r="M381" s="1">
        <f>+E381-I381</f>
        <v>6.0026993004421159E-2</v>
      </c>
      <c r="N381" s="2">
        <v>106.5</v>
      </c>
      <c r="O381" s="2">
        <v>105.7</v>
      </c>
      <c r="P381" s="2">
        <f>+N381-O381</f>
        <v>0.79999999999999716</v>
      </c>
      <c r="Q381">
        <v>-1.8</v>
      </c>
    </row>
    <row r="382" spans="1:17">
      <c r="A382" t="s">
        <v>52</v>
      </c>
      <c r="B382" t="s">
        <v>17</v>
      </c>
      <c r="C382">
        <v>27</v>
      </c>
      <c r="D382">
        <v>55</v>
      </c>
      <c r="E382" s="1">
        <f>+C382/(C382+D382)</f>
        <v>0.32926829268292684</v>
      </c>
      <c r="F382" s="2">
        <v>103</v>
      </c>
      <c r="G382" s="2">
        <v>109.2</v>
      </c>
      <c r="H382" s="2">
        <f>+F382-G382</f>
        <v>-6.2000000000000028</v>
      </c>
      <c r="I382" s="1">
        <f>+(F382^14)/((F382^14+G382^14))</f>
        <v>0.30611847103175666</v>
      </c>
      <c r="J382" s="2">
        <v>103.2</v>
      </c>
      <c r="K382" s="2">
        <v>109.3</v>
      </c>
      <c r="L382" s="2">
        <f>+J382-K382</f>
        <v>-6.0999999999999943</v>
      </c>
      <c r="M382" s="1">
        <f>+E382-I382</f>
        <v>2.3149821651170188E-2</v>
      </c>
      <c r="N382" s="2">
        <v>100.8</v>
      </c>
      <c r="O382" s="2">
        <v>100</v>
      </c>
      <c r="P382" s="2">
        <f>+N382-O382</f>
        <v>0.79999999999999716</v>
      </c>
      <c r="Q382">
        <v>0.5</v>
      </c>
    </row>
    <row r="383" spans="1:17">
      <c r="A383" t="s">
        <v>4</v>
      </c>
      <c r="B383" t="s">
        <v>15</v>
      </c>
      <c r="C383">
        <v>41</v>
      </c>
      <c r="D383">
        <v>41</v>
      </c>
      <c r="E383" s="1">
        <f>+C383/(C383+D383)</f>
        <v>0.5</v>
      </c>
      <c r="F383" s="2">
        <v>92.6</v>
      </c>
      <c r="G383" s="2">
        <v>92.8</v>
      </c>
      <c r="H383" s="2">
        <f>+F383-G383</f>
        <v>-0.20000000000000284</v>
      </c>
      <c r="I383" s="1">
        <f>+(F383^14)/((F383^14+G383^14))</f>
        <v>0.49244933056629364</v>
      </c>
      <c r="J383" s="2">
        <v>100.3</v>
      </c>
      <c r="K383" s="2">
        <v>100.5</v>
      </c>
      <c r="L383" s="2">
        <f>+J383-K383</f>
        <v>-0.20000000000000284</v>
      </c>
      <c r="M383" s="1">
        <f>+E383-I383</f>
        <v>7.5506694337063585E-3</v>
      </c>
      <c r="N383" s="2">
        <v>93.1</v>
      </c>
      <c r="O383" s="2">
        <v>92.3</v>
      </c>
      <c r="P383" s="2">
        <f>+N383-O383</f>
        <v>0.79999999999999716</v>
      </c>
      <c r="Q383">
        <v>0</v>
      </c>
    </row>
    <row r="384" spans="1:17">
      <c r="A384" t="s">
        <v>49</v>
      </c>
      <c r="B384" t="s">
        <v>6</v>
      </c>
      <c r="C384">
        <v>39</v>
      </c>
      <c r="D384">
        <v>27</v>
      </c>
      <c r="E384" s="1">
        <f>+C384/(C384+D384)</f>
        <v>0.59090909090909094</v>
      </c>
      <c r="F384" s="2">
        <v>91.8</v>
      </c>
      <c r="G384" s="2">
        <v>89.3</v>
      </c>
      <c r="H384" s="2">
        <f>+F384-G384</f>
        <v>2.5</v>
      </c>
      <c r="I384" s="1">
        <f>+(F384^14)/((F384^14+G384^14))</f>
        <v>0.59545222881559101</v>
      </c>
      <c r="J384" s="2">
        <v>100.1</v>
      </c>
      <c r="K384" s="2">
        <v>97.5</v>
      </c>
      <c r="L384" s="2">
        <f>+J384-K384</f>
        <v>2.5999999999999943</v>
      </c>
      <c r="M384" s="1">
        <f>+E384-I384</f>
        <v>-4.5431379065000721E-3</v>
      </c>
      <c r="N384" s="2">
        <v>101.2</v>
      </c>
      <c r="O384" s="2">
        <v>100.4</v>
      </c>
      <c r="P384" s="2">
        <f>+N384-O384</f>
        <v>0.79999999999999716</v>
      </c>
      <c r="Q384">
        <v>0.1</v>
      </c>
    </row>
    <row r="385" spans="1:17">
      <c r="A385" t="s">
        <v>41</v>
      </c>
      <c r="B385" t="s">
        <v>40</v>
      </c>
      <c r="C385">
        <v>26</v>
      </c>
      <c r="D385">
        <v>56</v>
      </c>
      <c r="E385" s="1">
        <f>+C385/(C385+D385)</f>
        <v>0.31707317073170732</v>
      </c>
      <c r="F385" s="2">
        <v>96.9</v>
      </c>
      <c r="G385" s="2">
        <v>100.9</v>
      </c>
      <c r="H385" s="2">
        <f>+F385-G385</f>
        <v>-4</v>
      </c>
      <c r="I385" s="1">
        <f>+(F385^14)/((F385^14+G385^14))</f>
        <v>0.36208969727051943</v>
      </c>
      <c r="J385" s="2">
        <v>101.2</v>
      </c>
      <c r="K385" s="2">
        <v>105.6</v>
      </c>
      <c r="L385" s="2">
        <f>+J385-K385</f>
        <v>-4.3999999999999915</v>
      </c>
      <c r="M385" s="1">
        <f>+E385-I385</f>
        <v>-4.5016526538812107E-2</v>
      </c>
      <c r="N385" s="2">
        <v>101.7</v>
      </c>
      <c r="O385" s="2">
        <v>100.9</v>
      </c>
      <c r="P385" s="2">
        <f>+N385-O385</f>
        <v>0.79999999999999716</v>
      </c>
      <c r="Q385">
        <v>0.4</v>
      </c>
    </row>
    <row r="386" spans="1:17">
      <c r="A386" t="s">
        <v>63</v>
      </c>
      <c r="B386" t="s">
        <v>8</v>
      </c>
      <c r="C386">
        <v>40</v>
      </c>
      <c r="D386">
        <v>42</v>
      </c>
      <c r="E386" s="1">
        <f>+C386/(C386+D386)</f>
        <v>0.48780487804878048</v>
      </c>
      <c r="F386" s="2">
        <v>113.1</v>
      </c>
      <c r="G386" s="2">
        <v>111.8</v>
      </c>
      <c r="H386" s="2">
        <f>+F386-G386</f>
        <v>1.2999999999999972</v>
      </c>
      <c r="I386" s="1">
        <f>+(F386^14)/((F386^14+G386^14))</f>
        <v>0.54037477901258768</v>
      </c>
      <c r="J386" s="2">
        <v>112.8</v>
      </c>
      <c r="K386" s="2">
        <v>111.5</v>
      </c>
      <c r="L386" s="2">
        <f>+J386-K386</f>
        <v>1.2999999999999972</v>
      </c>
      <c r="M386" s="1">
        <f>+E386-I386</f>
        <v>-5.2569900963807203E-2</v>
      </c>
      <c r="N386" s="2">
        <v>106</v>
      </c>
      <c r="O386" s="2">
        <v>105.2</v>
      </c>
      <c r="P386" s="2">
        <f>+N386-O386</f>
        <v>0.79999999999999716</v>
      </c>
      <c r="Q386">
        <v>0.5</v>
      </c>
    </row>
    <row r="387" spans="1:17">
      <c r="A387" t="s">
        <v>65</v>
      </c>
      <c r="B387" t="s">
        <v>13</v>
      </c>
      <c r="C387">
        <v>48</v>
      </c>
      <c r="D387">
        <v>34</v>
      </c>
      <c r="E387" s="1">
        <f>+C387/(C387+D387)</f>
        <v>0.58536585365853655</v>
      </c>
      <c r="F387" s="2">
        <v>113.8</v>
      </c>
      <c r="G387" s="2">
        <v>110.5</v>
      </c>
      <c r="H387" s="2">
        <f>+F387-G387</f>
        <v>3.2999999999999972</v>
      </c>
      <c r="I387" s="1">
        <f>+(F387^14)/((F387^14+G387^14))</f>
        <v>0.60156207363677106</v>
      </c>
      <c r="J387" s="2">
        <v>114.2</v>
      </c>
      <c r="K387" s="2">
        <v>111</v>
      </c>
      <c r="L387" s="2">
        <f>+J387-K387</f>
        <v>3.2000000000000028</v>
      </c>
      <c r="M387" s="1">
        <f>+E387-I387</f>
        <v>-1.6196219978234505E-2</v>
      </c>
      <c r="N387" s="2">
        <v>111</v>
      </c>
      <c r="O387" s="2">
        <v>110.3</v>
      </c>
      <c r="P387" s="2">
        <f>+N387-O387</f>
        <v>0.70000000000000284</v>
      </c>
      <c r="Q387">
        <v>0.8</v>
      </c>
    </row>
    <row r="388" spans="1:17">
      <c r="A388" t="s">
        <v>61</v>
      </c>
      <c r="B388" t="s">
        <v>5</v>
      </c>
      <c r="C388">
        <v>41</v>
      </c>
      <c r="D388">
        <v>31</v>
      </c>
      <c r="E388" s="1">
        <f>+C388/(C388+D388)</f>
        <v>0.56944444444444442</v>
      </c>
      <c r="F388" s="2">
        <v>113.7</v>
      </c>
      <c r="G388" s="2">
        <v>111.4</v>
      </c>
      <c r="H388" s="2">
        <f>+F388-G388</f>
        <v>2.2999999999999972</v>
      </c>
      <c r="I388" s="1">
        <f>+(F388^14)/((F388^14+G388^14))</f>
        <v>0.57104231246361747</v>
      </c>
      <c r="J388" s="2">
        <v>114.3</v>
      </c>
      <c r="K388" s="2">
        <v>112.1</v>
      </c>
      <c r="L388" s="2">
        <f>+J388-K388</f>
        <v>2.2000000000000028</v>
      </c>
      <c r="M388" s="1">
        <f>+E388-I388</f>
        <v>-1.5978680191730543E-3</v>
      </c>
      <c r="N388" s="2">
        <v>113.7</v>
      </c>
      <c r="O388" s="2">
        <v>113.1</v>
      </c>
      <c r="P388" s="2">
        <f>+N388-O388</f>
        <v>0.60000000000000853</v>
      </c>
      <c r="Q388">
        <v>0.7</v>
      </c>
    </row>
    <row r="389" spans="1:17">
      <c r="A389" t="s">
        <v>58</v>
      </c>
      <c r="B389" t="s">
        <v>30</v>
      </c>
      <c r="C389">
        <v>59</v>
      </c>
      <c r="D389">
        <v>23</v>
      </c>
      <c r="E389" s="1">
        <f>+C389/(C389+D389)</f>
        <v>0.71951219512195119</v>
      </c>
      <c r="F389" s="2">
        <v>111.7</v>
      </c>
      <c r="G389" s="2">
        <v>103.9</v>
      </c>
      <c r="H389" s="2">
        <f>+F389-G389</f>
        <v>7.7999999999999972</v>
      </c>
      <c r="I389" s="1">
        <f>+(F389^14)/((F389^14+G389^14))</f>
        <v>0.73369073451534572</v>
      </c>
      <c r="J389" s="2">
        <v>113</v>
      </c>
      <c r="K389" s="2">
        <v>105.3</v>
      </c>
      <c r="L389" s="2">
        <f>+J389-K389</f>
        <v>7.7000000000000028</v>
      </c>
      <c r="M389" s="1">
        <f>+E389-I389</f>
        <v>-1.4178539393394529E-2</v>
      </c>
      <c r="N389" s="2">
        <v>103.1</v>
      </c>
      <c r="O389" s="2">
        <v>102.6</v>
      </c>
      <c r="P389" s="2">
        <f>+N389-O389</f>
        <v>0.5</v>
      </c>
      <c r="Q389">
        <v>1.9</v>
      </c>
    </row>
    <row r="390" spans="1:17">
      <c r="A390" t="s">
        <v>41</v>
      </c>
      <c r="B390" t="s">
        <v>25</v>
      </c>
      <c r="C390">
        <v>54</v>
      </c>
      <c r="D390">
        <v>28</v>
      </c>
      <c r="E390" s="1">
        <f>+C390/(C390+D390)</f>
        <v>0.65853658536585369</v>
      </c>
      <c r="F390" s="2">
        <v>108.4</v>
      </c>
      <c r="G390" s="2">
        <v>102.8</v>
      </c>
      <c r="H390" s="2">
        <f>+F390-G390</f>
        <v>5.6000000000000085</v>
      </c>
      <c r="I390" s="1">
        <f>+(F390^14)/((F390^14+G390^14))</f>
        <v>0.67756377223855135</v>
      </c>
      <c r="J390" s="2">
        <v>110.2</v>
      </c>
      <c r="K390" s="2">
        <v>104.7</v>
      </c>
      <c r="L390" s="2">
        <f>+J390-K390</f>
        <v>5.5</v>
      </c>
      <c r="M390" s="1">
        <f>+E390-I390</f>
        <v>-1.9027186872697666E-2</v>
      </c>
      <c r="N390" s="2">
        <v>105.4</v>
      </c>
      <c r="O390" s="2">
        <v>104.9</v>
      </c>
      <c r="P390" s="2">
        <f>+N390-O390</f>
        <v>0.5</v>
      </c>
      <c r="Q390">
        <v>0.5</v>
      </c>
    </row>
    <row r="391" spans="1:17">
      <c r="A391" t="s">
        <v>39</v>
      </c>
      <c r="B391" t="s">
        <v>27</v>
      </c>
      <c r="C391">
        <v>50</v>
      </c>
      <c r="D391">
        <v>32</v>
      </c>
      <c r="E391" s="1">
        <f>+C391/(C391+D391)</f>
        <v>0.6097560975609756</v>
      </c>
      <c r="F391" s="2">
        <v>103.7</v>
      </c>
      <c r="G391" s="2">
        <v>101.6</v>
      </c>
      <c r="H391" s="2">
        <f>+F391-G391</f>
        <v>2.1000000000000085</v>
      </c>
      <c r="I391" s="1">
        <f>+(F391^14)/((F391^14+G391^14))</f>
        <v>0.57111949434189069</v>
      </c>
      <c r="J391" s="2">
        <v>108.8</v>
      </c>
      <c r="K391" s="2">
        <v>106.5</v>
      </c>
      <c r="L391" s="2">
        <f>+J391-K391</f>
        <v>2.2999999999999972</v>
      </c>
      <c r="M391" s="1">
        <f>+E391-I391</f>
        <v>3.8636603219084908E-2</v>
      </c>
      <c r="N391" s="2">
        <v>105.2</v>
      </c>
      <c r="O391" s="2">
        <v>104.8</v>
      </c>
      <c r="P391" s="2">
        <f>+N391-O391</f>
        <v>0.40000000000000568</v>
      </c>
      <c r="Q391">
        <v>0</v>
      </c>
    </row>
    <row r="392" spans="1:17">
      <c r="A392" t="s">
        <v>41</v>
      </c>
      <c r="B392" t="s">
        <v>11</v>
      </c>
      <c r="C392">
        <v>44</v>
      </c>
      <c r="D392">
        <v>38</v>
      </c>
      <c r="E392" s="1">
        <f>+C392/(C392+D392)</f>
        <v>0.53658536585365857</v>
      </c>
      <c r="F392" s="2">
        <v>100.3</v>
      </c>
      <c r="G392" s="2">
        <v>100.1</v>
      </c>
      <c r="H392" s="2">
        <f>+F392-G392</f>
        <v>0.20000000000000284</v>
      </c>
      <c r="I392" s="1">
        <f>+(F392^14)/((F392^14+G392^14))</f>
        <v>0.50698557569827274</v>
      </c>
      <c r="J392" s="2">
        <v>104.4</v>
      </c>
      <c r="K392" s="2">
        <v>104.1</v>
      </c>
      <c r="L392" s="2">
        <f>+J392-K392</f>
        <v>0.30000000000001137</v>
      </c>
      <c r="M392" s="1">
        <f>+E392-I392</f>
        <v>2.959979015538583E-2</v>
      </c>
      <c r="N392" s="2">
        <v>102.1</v>
      </c>
      <c r="O392" s="2">
        <v>101.8</v>
      </c>
      <c r="P392" s="2">
        <f>+N392-O392</f>
        <v>0.29999999999999716</v>
      </c>
      <c r="Q392">
        <v>0.1</v>
      </c>
    </row>
    <row r="393" spans="1:17">
      <c r="A393" t="s">
        <v>48</v>
      </c>
      <c r="B393" t="s">
        <v>25</v>
      </c>
      <c r="C393">
        <v>40</v>
      </c>
      <c r="D393">
        <v>42</v>
      </c>
      <c r="E393" s="1">
        <f>+C393/(C393+D393)</f>
        <v>0.48780487804878048</v>
      </c>
      <c r="F393" s="2">
        <v>105</v>
      </c>
      <c r="G393" s="2">
        <v>105.9</v>
      </c>
      <c r="H393" s="2">
        <f>+F393-G393</f>
        <v>-0.90000000000000568</v>
      </c>
      <c r="I393" s="1">
        <f>+(F393^14)/((F393^14+G393^14))</f>
        <v>0.47016333248324643</v>
      </c>
      <c r="J393" s="2">
        <v>108.6</v>
      </c>
      <c r="K393" s="2">
        <v>109.4</v>
      </c>
      <c r="L393" s="2">
        <f>+J393-K393</f>
        <v>-0.80000000000001137</v>
      </c>
      <c r="M393" s="1">
        <f>+E393-I393</f>
        <v>1.7641545565534045E-2</v>
      </c>
      <c r="N393" s="2">
        <v>106.3</v>
      </c>
      <c r="O393" s="2">
        <v>106</v>
      </c>
      <c r="P393" s="2">
        <f>+N393-O393</f>
        <v>0.29999999999999716</v>
      </c>
      <c r="Q393">
        <v>-0.1</v>
      </c>
    </row>
    <row r="394" spans="1:17">
      <c r="A394" t="s">
        <v>64</v>
      </c>
      <c r="B394" t="s">
        <v>15</v>
      </c>
      <c r="C394">
        <v>46</v>
      </c>
      <c r="D394">
        <v>35</v>
      </c>
      <c r="E394" s="1">
        <f>+C394/(C394+D394)</f>
        <v>0.5679012345679012</v>
      </c>
      <c r="F394" s="2">
        <v>123.2</v>
      </c>
      <c r="G394" s="2">
        <v>120.3</v>
      </c>
      <c r="H394" s="2">
        <f>+F394-G394</f>
        <v>2.9000000000000057</v>
      </c>
      <c r="I394" s="1">
        <f>+(F394^14)/((F394^14+G394^14))</f>
        <v>0.5826073302631597</v>
      </c>
      <c r="J394" s="2">
        <v>120.5</v>
      </c>
      <c r="K394" s="2">
        <v>117.6</v>
      </c>
      <c r="L394" s="2">
        <f>+J394-K394</f>
        <v>2.9000000000000057</v>
      </c>
      <c r="M394" s="1">
        <f>+E394-I394</f>
        <v>-1.4706095695258492E-2</v>
      </c>
      <c r="N394" s="2">
        <v>117.2</v>
      </c>
      <c r="O394" s="2">
        <v>116.9</v>
      </c>
      <c r="P394" s="2">
        <f>+N394-O394</f>
        <v>0.29999999999999716</v>
      </c>
      <c r="Q394">
        <v>0.7</v>
      </c>
    </row>
    <row r="395" spans="1:17">
      <c r="A395" t="s">
        <v>64</v>
      </c>
      <c r="B395" t="s">
        <v>13</v>
      </c>
      <c r="C395">
        <v>46</v>
      </c>
      <c r="D395">
        <v>36</v>
      </c>
      <c r="E395" s="1">
        <f>+C395/(C395+D395)</f>
        <v>0.56097560975609762</v>
      </c>
      <c r="F395" s="2">
        <v>117.8</v>
      </c>
      <c r="G395" s="2">
        <v>115.2</v>
      </c>
      <c r="H395" s="2">
        <f>+F395-G395</f>
        <v>2.5999999999999943</v>
      </c>
      <c r="I395" s="1">
        <f>+(F395^14)/((F395^14+G395^14))</f>
        <v>0.57748543979619871</v>
      </c>
      <c r="J395" s="2">
        <v>116.9</v>
      </c>
      <c r="K395" s="2">
        <v>114.5</v>
      </c>
      <c r="L395" s="2">
        <f>+J395-K395</f>
        <v>2.4000000000000057</v>
      </c>
      <c r="M395" s="1">
        <f>+E395-I395</f>
        <v>-1.6509830040101092E-2</v>
      </c>
      <c r="N395" s="2">
        <v>116.2</v>
      </c>
      <c r="O395" s="2">
        <v>115.9</v>
      </c>
      <c r="P395" s="2">
        <f>+N395-O395</f>
        <v>0.29999999999999716</v>
      </c>
      <c r="Q395">
        <v>-0.5</v>
      </c>
    </row>
    <row r="396" spans="1:17">
      <c r="A396" t="s">
        <v>66</v>
      </c>
      <c r="B396" t="s">
        <v>30</v>
      </c>
      <c r="C396">
        <v>35</v>
      </c>
      <c r="D396">
        <v>27</v>
      </c>
      <c r="E396" s="1">
        <f>+C396/(C396+D396)</f>
        <v>0.56451612903225812</v>
      </c>
      <c r="F396" s="2">
        <v>113.5</v>
      </c>
      <c r="G396" s="2">
        <v>112</v>
      </c>
      <c r="H396" s="2">
        <f>+F396-G396</f>
        <v>1.5</v>
      </c>
      <c r="I396" s="1">
        <f>+(F396^14)/((F396^14+G396^14))</f>
        <v>0.54642973229059522</v>
      </c>
      <c r="J396" s="2">
        <v>113.7</v>
      </c>
      <c r="K396" s="2">
        <v>112.2</v>
      </c>
      <c r="L396" s="2">
        <f>+J396-K396</f>
        <v>1.5</v>
      </c>
      <c r="M396" s="1">
        <f>+E396-I396</f>
        <v>1.8086396741662902E-2</v>
      </c>
      <c r="N396" s="2">
        <v>104.3</v>
      </c>
      <c r="O396" s="2">
        <v>104.1</v>
      </c>
      <c r="P396" s="2">
        <f>+N396-O396</f>
        <v>0.20000000000000284</v>
      </c>
      <c r="Q396" s="2">
        <v>-0.5</v>
      </c>
    </row>
    <row r="397" spans="1:17">
      <c r="A397" t="s">
        <v>48</v>
      </c>
      <c r="B397" t="s">
        <v>6</v>
      </c>
      <c r="C397">
        <v>56</v>
      </c>
      <c r="D397">
        <v>26</v>
      </c>
      <c r="E397" s="1">
        <f>+C397/(C397+D397)</f>
        <v>0.68292682926829273</v>
      </c>
      <c r="F397" s="2">
        <v>96.5</v>
      </c>
      <c r="G397" s="2">
        <v>91.1</v>
      </c>
      <c r="H397" s="2">
        <f>+F397-G397</f>
        <v>5.4000000000000057</v>
      </c>
      <c r="I397" s="1">
        <f>+(F397^14)/((F397^14+G397^14))</f>
        <v>0.69129763241570297</v>
      </c>
      <c r="J397" s="2">
        <v>105.5</v>
      </c>
      <c r="K397" s="2">
        <v>99.8</v>
      </c>
      <c r="L397" s="2">
        <f>+J397-K397</f>
        <v>5.7000000000000028</v>
      </c>
      <c r="M397" s="1">
        <f>+E397-I397</f>
        <v>-8.3708031474102329E-3</v>
      </c>
      <c r="N397" s="2">
        <v>98.7</v>
      </c>
      <c r="O397" s="2">
        <v>98.6</v>
      </c>
      <c r="P397" s="2">
        <f>+N397-O397</f>
        <v>0.10000000000000853</v>
      </c>
      <c r="Q397">
        <v>0.5</v>
      </c>
    </row>
    <row r="398" spans="1:17">
      <c r="A398" t="s">
        <v>38</v>
      </c>
      <c r="B398" t="s">
        <v>14</v>
      </c>
      <c r="C398">
        <v>45</v>
      </c>
      <c r="D398">
        <v>37</v>
      </c>
      <c r="E398" s="1">
        <f>+C398/(C398+D398)</f>
        <v>0.54878048780487809</v>
      </c>
      <c r="F398" s="2">
        <v>89.8</v>
      </c>
      <c r="G398" s="2">
        <v>88</v>
      </c>
      <c r="H398" s="2">
        <f>+F398-G398</f>
        <v>1.7999999999999972</v>
      </c>
      <c r="I398" s="1">
        <f>+(F398^14)/((F398^14+G398^14))</f>
        <v>0.5703977764006517</v>
      </c>
      <c r="J398" s="2">
        <v>99.7</v>
      </c>
      <c r="K398" s="2">
        <v>97.8</v>
      </c>
      <c r="L398" s="2">
        <f>+J398-K398</f>
        <v>1.9000000000000057</v>
      </c>
      <c r="M398" s="1">
        <f>+E398-I398</f>
        <v>-2.1617288595773609E-2</v>
      </c>
      <c r="N398" s="2">
        <v>105.8</v>
      </c>
      <c r="O398" s="2">
        <v>105.7</v>
      </c>
      <c r="P398" s="2">
        <f>+N398-O398</f>
        <v>9.9999999999994316E-2</v>
      </c>
      <c r="Q398">
        <v>-0.1</v>
      </c>
    </row>
    <row r="399" spans="1:17">
      <c r="A399" t="s">
        <v>38</v>
      </c>
      <c r="B399" t="s">
        <v>21</v>
      </c>
      <c r="C399">
        <v>47</v>
      </c>
      <c r="D399">
        <v>35</v>
      </c>
      <c r="E399" s="1">
        <f>+C399/(C399+D399)</f>
        <v>0.57317073170731703</v>
      </c>
      <c r="F399" s="2">
        <v>90.3</v>
      </c>
      <c r="G399" s="2">
        <v>87.8</v>
      </c>
      <c r="H399" s="2">
        <f>+F399-G399</f>
        <v>2.5</v>
      </c>
      <c r="I399" s="1">
        <f>+(F399^14)/((F399^14+G399^14))</f>
        <v>0.59701994134505132</v>
      </c>
      <c r="J399" s="2">
        <v>99</v>
      </c>
      <c r="K399" s="2">
        <v>96.4</v>
      </c>
      <c r="L399" s="2">
        <f>+J399-K399</f>
        <v>2.5999999999999943</v>
      </c>
      <c r="M399" s="1">
        <f>+E399-I399</f>
        <v>-2.3849209637734292E-2</v>
      </c>
      <c r="N399" s="2">
        <v>96</v>
      </c>
      <c r="O399" s="2">
        <v>95.9</v>
      </c>
      <c r="P399" s="2">
        <f>+N399-O399</f>
        <v>9.9999999999994316E-2</v>
      </c>
      <c r="Q399">
        <v>0.3</v>
      </c>
    </row>
    <row r="400" spans="1:17">
      <c r="A400" t="s">
        <v>48</v>
      </c>
      <c r="B400" t="s">
        <v>23</v>
      </c>
      <c r="C400">
        <v>52</v>
      </c>
      <c r="D400">
        <v>30</v>
      </c>
      <c r="E400" s="1">
        <f>+C400/(C400+D400)</f>
        <v>0.63414634146341464</v>
      </c>
      <c r="F400" s="2">
        <v>99.2</v>
      </c>
      <c r="G400" s="2">
        <v>93.7</v>
      </c>
      <c r="H400" s="2">
        <f>+F400-G400</f>
        <v>5.5</v>
      </c>
      <c r="I400" s="1">
        <f>+(F400^14)/((F400^14+G400^14))</f>
        <v>0.68966584270274334</v>
      </c>
      <c r="J400" s="2">
        <v>107.4</v>
      </c>
      <c r="K400" s="2">
        <v>101.8</v>
      </c>
      <c r="L400" s="2">
        <f>+J400-K400</f>
        <v>5.6000000000000085</v>
      </c>
      <c r="M400" s="1">
        <f>+E400-I400</f>
        <v>-5.5519501239328695E-2</v>
      </c>
      <c r="N400" s="2">
        <v>107.1</v>
      </c>
      <c r="O400" s="2">
        <v>107</v>
      </c>
      <c r="P400" s="2">
        <f>+N400-O400</f>
        <v>9.9999999999994316E-2</v>
      </c>
      <c r="Q400">
        <v>1.2</v>
      </c>
    </row>
    <row r="401" spans="1:17">
      <c r="A401" t="s">
        <v>65</v>
      </c>
      <c r="B401" t="s">
        <v>14</v>
      </c>
      <c r="C401">
        <v>52</v>
      </c>
      <c r="D401">
        <v>29</v>
      </c>
      <c r="E401" s="1">
        <f>+C401/(C401+D401)</f>
        <v>0.64197530864197527</v>
      </c>
      <c r="F401" s="2">
        <v>114.5</v>
      </c>
      <c r="G401" s="2">
        <v>109.8</v>
      </c>
      <c r="H401" s="2">
        <f>+F401-G401</f>
        <v>4.7000000000000028</v>
      </c>
      <c r="I401" s="1">
        <f>+(F401^14)/((F401^14+G401^14))</f>
        <v>0.64263060711327835</v>
      </c>
      <c r="J401" s="2">
        <v>115.1</v>
      </c>
      <c r="K401" s="2">
        <v>110.2</v>
      </c>
      <c r="L401" s="2">
        <f>+J401-K401</f>
        <v>4.8999999999999915</v>
      </c>
      <c r="M401" s="1">
        <f>+E401-I401</f>
        <v>-6.552984713030785E-4</v>
      </c>
      <c r="N401" s="2">
        <v>107.1</v>
      </c>
      <c r="O401" s="2">
        <v>107.1</v>
      </c>
      <c r="P401" s="2">
        <f>+N401-O401</f>
        <v>0</v>
      </c>
      <c r="Q401">
        <v>-0.5</v>
      </c>
    </row>
    <row r="402" spans="1:17">
      <c r="A402" t="s">
        <v>54</v>
      </c>
      <c r="B402" t="s">
        <v>23</v>
      </c>
      <c r="C402">
        <v>25</v>
      </c>
      <c r="D402">
        <v>57</v>
      </c>
      <c r="E402" s="1">
        <f>+C402/(C402+D402)</f>
        <v>0.3048780487804878</v>
      </c>
      <c r="F402" s="2">
        <v>95.7</v>
      </c>
      <c r="G402" s="2">
        <v>101.4</v>
      </c>
      <c r="H402" s="2">
        <f>+F402-G402</f>
        <v>-5.7000000000000028</v>
      </c>
      <c r="I402" s="1">
        <f>+(F402^14)/((F402^14+G402^14))</f>
        <v>0.3078975070073538</v>
      </c>
      <c r="J402" s="2">
        <v>101</v>
      </c>
      <c r="K402" s="2">
        <v>106.8</v>
      </c>
      <c r="L402" s="2">
        <f>+J402-K402</f>
        <v>-5.7999999999999972</v>
      </c>
      <c r="M402" s="1">
        <f>+E402-I402</f>
        <v>-3.0194582268660008E-3</v>
      </c>
      <c r="N402" s="2">
        <v>100</v>
      </c>
      <c r="O402" s="2">
        <v>100</v>
      </c>
      <c r="P402" s="2">
        <f>+N402-O402</f>
        <v>0</v>
      </c>
      <c r="Q402">
        <v>-0.5</v>
      </c>
    </row>
    <row r="403" spans="1:17">
      <c r="A403" t="s">
        <v>65</v>
      </c>
      <c r="B403" t="s">
        <v>56</v>
      </c>
      <c r="C403">
        <v>50</v>
      </c>
      <c r="D403">
        <v>32</v>
      </c>
      <c r="E403" s="1">
        <f>+C403/(C403+D403)</f>
        <v>0.6097560975609756</v>
      </c>
      <c r="F403" s="2">
        <v>112.9</v>
      </c>
      <c r="G403" s="2">
        <v>108.2</v>
      </c>
      <c r="H403" s="2">
        <f>+F403-G403</f>
        <v>4.7000000000000028</v>
      </c>
      <c r="I403" s="1">
        <f>+(F403^14)/((F403^14+G403^14))</f>
        <v>0.64457924701771829</v>
      </c>
      <c r="J403" s="2">
        <v>114.3</v>
      </c>
      <c r="K403" s="2">
        <v>109.4</v>
      </c>
      <c r="L403" s="2">
        <f>+J403-K403</f>
        <v>4.8999999999999915</v>
      </c>
      <c r="M403" s="1">
        <f>+E403-I403</f>
        <v>-3.4823149456742697E-2</v>
      </c>
      <c r="N403" s="2">
        <v>105.9</v>
      </c>
      <c r="O403" s="2">
        <v>106</v>
      </c>
      <c r="P403" s="2">
        <f>+N403-O403</f>
        <v>-9.9999999999994316E-2</v>
      </c>
      <c r="Q403">
        <v>1</v>
      </c>
    </row>
    <row r="404" spans="1:17">
      <c r="A404" t="s">
        <v>44</v>
      </c>
      <c r="B404" t="s">
        <v>29</v>
      </c>
      <c r="C404">
        <v>20</v>
      </c>
      <c r="D404">
        <v>62</v>
      </c>
      <c r="E404" s="1">
        <f>+C404/(C404+D404)</f>
        <v>0.24390243902439024</v>
      </c>
      <c r="F404" s="2">
        <v>97.5</v>
      </c>
      <c r="G404" s="2">
        <v>106.3</v>
      </c>
      <c r="H404" s="2">
        <f>+F404-G404</f>
        <v>-8.7999999999999972</v>
      </c>
      <c r="I404" s="1">
        <f>+(F404^14)/((F404^14+G404^14))</f>
        <v>0.22973985536315381</v>
      </c>
      <c r="J404" s="2">
        <v>99.6</v>
      </c>
      <c r="K404" s="2">
        <v>108.3</v>
      </c>
      <c r="L404" s="2">
        <f>+J404-K404</f>
        <v>-8.7000000000000028</v>
      </c>
      <c r="M404" s="1">
        <f>+E404-I404</f>
        <v>1.4162583661236433E-2</v>
      </c>
      <c r="N404" s="2">
        <v>105.6</v>
      </c>
      <c r="O404" s="2">
        <v>105.8</v>
      </c>
      <c r="P404" s="2">
        <f>+N404-O404</f>
        <v>-0.20000000000000284</v>
      </c>
      <c r="Q404">
        <v>-2.6</v>
      </c>
    </row>
    <row r="405" spans="1:17">
      <c r="A405" t="s">
        <v>63</v>
      </c>
      <c r="B405" t="s">
        <v>20</v>
      </c>
      <c r="C405">
        <v>42</v>
      </c>
      <c r="D405">
        <v>40</v>
      </c>
      <c r="E405" s="1">
        <f>+C405/(C405+D405)</f>
        <v>0.51219512195121952</v>
      </c>
      <c r="F405" s="2">
        <v>115.8</v>
      </c>
      <c r="G405" s="2">
        <v>115.8</v>
      </c>
      <c r="H405" s="2">
        <f>+F405-G405</f>
        <v>0</v>
      </c>
      <c r="I405" s="1">
        <f>+(F405^14)/((F405^14+G405^14))</f>
        <v>0.5</v>
      </c>
      <c r="J405" s="2">
        <v>113.3</v>
      </c>
      <c r="K405" s="2">
        <v>113.1</v>
      </c>
      <c r="L405" s="2">
        <f>+J405-K405</f>
        <v>0.20000000000000284</v>
      </c>
      <c r="M405" s="1">
        <f>+E405-I405</f>
        <v>1.2195121951219523E-2</v>
      </c>
      <c r="N405" s="2">
        <v>100.3</v>
      </c>
      <c r="O405" s="2">
        <v>100.5</v>
      </c>
      <c r="P405" s="2">
        <f>+N405-O405</f>
        <v>-0.20000000000000284</v>
      </c>
      <c r="Q405">
        <v>-0.2</v>
      </c>
    </row>
    <row r="406" spans="1:17">
      <c r="A406" t="s">
        <v>50</v>
      </c>
      <c r="B406" t="s">
        <v>16</v>
      </c>
      <c r="C406">
        <v>56</v>
      </c>
      <c r="D406">
        <v>26</v>
      </c>
      <c r="E406" s="1">
        <f>+C406/(C406+D406)</f>
        <v>0.68292682926829273</v>
      </c>
      <c r="F406" s="2">
        <v>101.1</v>
      </c>
      <c r="G406" s="2">
        <v>94.6</v>
      </c>
      <c r="H406" s="2">
        <f>+F406-G406</f>
        <v>6.5</v>
      </c>
      <c r="I406" s="1">
        <f>+(F406^14)/((F406^14+G406^14))</f>
        <v>0.71714367068078333</v>
      </c>
      <c r="J406" s="2">
        <v>109.8</v>
      </c>
      <c r="K406" s="2">
        <v>102.8</v>
      </c>
      <c r="L406" s="2">
        <f>+J406-K406</f>
        <v>7</v>
      </c>
      <c r="M406" s="1">
        <f>+E406-I406</f>
        <v>-3.4216841412490595E-2</v>
      </c>
      <c r="N406" s="2">
        <v>114.7</v>
      </c>
      <c r="O406" s="2">
        <v>114.9</v>
      </c>
      <c r="P406" s="2">
        <f>+N406-O406</f>
        <v>-0.20000000000000284</v>
      </c>
      <c r="Q406">
        <v>2.2000000000000002</v>
      </c>
    </row>
    <row r="407" spans="1:17">
      <c r="A407" t="s">
        <v>43</v>
      </c>
      <c r="B407" t="s">
        <v>6</v>
      </c>
      <c r="C407">
        <v>24</v>
      </c>
      <c r="D407">
        <v>58</v>
      </c>
      <c r="E407" s="1">
        <f>+C407/(C407+D407)</f>
        <v>0.29268292682926828</v>
      </c>
      <c r="F407" s="2">
        <v>95.8</v>
      </c>
      <c r="G407" s="2">
        <v>99.2</v>
      </c>
      <c r="H407" s="2">
        <f>+F407-G407</f>
        <v>-3.4000000000000057</v>
      </c>
      <c r="I407" s="1">
        <f>+(F407^14)/((F407^14+G407^14))</f>
        <v>0.38030482295206253</v>
      </c>
      <c r="J407" s="2">
        <v>102.3</v>
      </c>
      <c r="K407" s="2">
        <v>105.8</v>
      </c>
      <c r="L407" s="2">
        <f>+J407-K407</f>
        <v>-3.5</v>
      </c>
      <c r="M407" s="1">
        <f>+E407-I407</f>
        <v>-8.7621896122794252E-2</v>
      </c>
      <c r="N407" s="2">
        <v>98.7</v>
      </c>
      <c r="O407" s="2">
        <v>99</v>
      </c>
      <c r="P407" s="2">
        <f>+N407-O407</f>
        <v>-0.29999999999999716</v>
      </c>
      <c r="Q407">
        <v>0.1</v>
      </c>
    </row>
    <row r="408" spans="1:17">
      <c r="A408" t="s">
        <v>39</v>
      </c>
      <c r="B408" t="s">
        <v>33</v>
      </c>
      <c r="C408">
        <v>45</v>
      </c>
      <c r="D408">
        <v>37</v>
      </c>
      <c r="E408" s="1">
        <f>+C408/(C408+D408)</f>
        <v>0.54878048780487809</v>
      </c>
      <c r="F408" s="2">
        <v>100.5</v>
      </c>
      <c r="G408" s="2">
        <v>100.8</v>
      </c>
      <c r="H408" s="2">
        <f>+F408-G408</f>
        <v>-0.29999999999999716</v>
      </c>
      <c r="I408" s="1">
        <f>+(F408^14)/((F408^14+G408^14))</f>
        <v>0.48956931504516038</v>
      </c>
      <c r="J408" s="2">
        <v>105.4</v>
      </c>
      <c r="K408" s="2">
        <v>105.9</v>
      </c>
      <c r="L408" s="2">
        <f>+J408-K408</f>
        <v>-0.5</v>
      </c>
      <c r="M408" s="1">
        <f>+E408-I408</f>
        <v>5.9211172759717712E-2</v>
      </c>
      <c r="N408" s="2">
        <v>109.6</v>
      </c>
      <c r="O408" s="2">
        <v>109.9</v>
      </c>
      <c r="P408" s="2">
        <f>+N408-O408</f>
        <v>-0.30000000000001137</v>
      </c>
      <c r="Q408">
        <v>-0.3</v>
      </c>
    </row>
    <row r="409" spans="1:17">
      <c r="A409" t="s">
        <v>34</v>
      </c>
      <c r="B409" t="s">
        <v>21</v>
      </c>
      <c r="C409">
        <v>52</v>
      </c>
      <c r="D409">
        <v>30</v>
      </c>
      <c r="E409" s="1">
        <f>+C409/(C409+D409)</f>
        <v>0.63414634146341464</v>
      </c>
      <c r="F409" s="2">
        <v>96.2</v>
      </c>
      <c r="G409" s="2">
        <v>92</v>
      </c>
      <c r="H409" s="2">
        <f>+F409-G409</f>
        <v>4.2000000000000028</v>
      </c>
      <c r="I409" s="1">
        <f>+(F409^14)/((F409^14+G409^14))</f>
        <v>0.65134826278971358</v>
      </c>
      <c r="J409" s="2">
        <v>102.4</v>
      </c>
      <c r="K409" s="2">
        <v>98.1</v>
      </c>
      <c r="L409" s="2">
        <f>+J409-K409</f>
        <v>4.3000000000000114</v>
      </c>
      <c r="M409" s="1">
        <f>+E409-I409</f>
        <v>-1.7201921326298941E-2</v>
      </c>
      <c r="N409" s="2">
        <v>98.1</v>
      </c>
      <c r="O409" s="2">
        <v>98.6</v>
      </c>
      <c r="P409" s="2">
        <f>+N409-O409</f>
        <v>-0.5</v>
      </c>
      <c r="Q409">
        <v>1</v>
      </c>
    </row>
    <row r="410" spans="1:17">
      <c r="A410" t="s">
        <v>60</v>
      </c>
      <c r="B410" t="s">
        <v>25</v>
      </c>
      <c r="C410">
        <v>34</v>
      </c>
      <c r="D410">
        <v>39</v>
      </c>
      <c r="E410" s="1">
        <f>+C410/(C410+D410)</f>
        <v>0.46575342465753422</v>
      </c>
      <c r="F410" s="2">
        <v>113.6</v>
      </c>
      <c r="G410" s="2">
        <v>113.4</v>
      </c>
      <c r="H410" s="2">
        <f>+F410-G410</f>
        <v>0.19999999999998863</v>
      </c>
      <c r="I410" s="1">
        <f>+(F410^14)/((F410^14+G410^14))</f>
        <v>0.50616708971115398</v>
      </c>
      <c r="J410" s="2">
        <v>111.3</v>
      </c>
      <c r="K410" s="2">
        <v>110.8</v>
      </c>
      <c r="L410" s="2">
        <f>+J410-K410</f>
        <v>0.5</v>
      </c>
      <c r="M410" s="1">
        <f>+E410-I410</f>
        <v>-4.0413665053619763E-2</v>
      </c>
      <c r="N410" s="2">
        <v>110.3</v>
      </c>
      <c r="O410" s="2">
        <v>110.8</v>
      </c>
      <c r="P410" s="2">
        <f>+N410-O410</f>
        <v>-0.5</v>
      </c>
      <c r="Q410">
        <v>-0.7</v>
      </c>
    </row>
    <row r="411" spans="1:17">
      <c r="A411" t="s">
        <v>47</v>
      </c>
      <c r="B411" t="s">
        <v>40</v>
      </c>
      <c r="C411">
        <v>44</v>
      </c>
      <c r="D411">
        <v>38</v>
      </c>
      <c r="E411" s="1">
        <f>+C411/(C411+D411)</f>
        <v>0.53658536585365857</v>
      </c>
      <c r="F411" s="2">
        <v>95.3</v>
      </c>
      <c r="G411" s="2">
        <v>93.8</v>
      </c>
      <c r="H411" s="2">
        <f>+F411-G411</f>
        <v>1.5</v>
      </c>
      <c r="I411" s="1">
        <f>+(F411^14)/((F411^14+G411^14))</f>
        <v>0.55530018627834388</v>
      </c>
      <c r="J411" s="2">
        <v>103.9</v>
      </c>
      <c r="K411" s="2">
        <v>102</v>
      </c>
      <c r="L411" s="2">
        <f>+J411-K411</f>
        <v>1.9000000000000057</v>
      </c>
      <c r="M411" s="1">
        <f>+E411-I411</f>
        <v>-1.8714820424685308E-2</v>
      </c>
      <c r="N411" s="2">
        <v>98.2</v>
      </c>
      <c r="O411" s="2">
        <v>98.8</v>
      </c>
      <c r="P411" s="2">
        <f>+N411-O411</f>
        <v>-0.59999999999999432</v>
      </c>
      <c r="Q411">
        <v>0.2</v>
      </c>
    </row>
    <row r="412" spans="1:17">
      <c r="A412" t="s">
        <v>63</v>
      </c>
      <c r="B412" t="s">
        <v>15</v>
      </c>
      <c r="C412">
        <v>35</v>
      </c>
      <c r="D412">
        <v>47</v>
      </c>
      <c r="E412" s="1">
        <f>+C412/(C412+D412)</f>
        <v>0.42682926829268292</v>
      </c>
      <c r="F412" s="2">
        <v>116.3</v>
      </c>
      <c r="G412" s="2">
        <v>119.5</v>
      </c>
      <c r="H412" s="2">
        <f>+F412-G412</f>
        <v>-3.2000000000000028</v>
      </c>
      <c r="I412" s="1">
        <f>+(F412^14)/((F412^14+G412^14))</f>
        <v>0.40612536169941066</v>
      </c>
      <c r="J412" s="2">
        <v>113.8</v>
      </c>
      <c r="K412" s="2">
        <v>117.1</v>
      </c>
      <c r="L412" s="2">
        <f>+J412-K412</f>
        <v>-3.2999999999999972</v>
      </c>
      <c r="M412" s="1">
        <f>+E412-I412</f>
        <v>2.0703906593272259E-2</v>
      </c>
      <c r="N412" s="2">
        <v>110</v>
      </c>
      <c r="O412" s="2">
        <v>110.7</v>
      </c>
      <c r="P412" s="2">
        <f>+N412-O412</f>
        <v>-0.70000000000000284</v>
      </c>
      <c r="Q412">
        <v>0.7</v>
      </c>
    </row>
    <row r="413" spans="1:17">
      <c r="A413" t="s">
        <v>34</v>
      </c>
      <c r="B413" t="s">
        <v>33</v>
      </c>
      <c r="C413">
        <v>37</v>
      </c>
      <c r="D413">
        <v>45</v>
      </c>
      <c r="E413" s="1">
        <f>+C413/(C413+D413)</f>
        <v>0.45121951219512196</v>
      </c>
      <c r="F413" s="2">
        <v>92.8</v>
      </c>
      <c r="G413" s="2">
        <v>94.2</v>
      </c>
      <c r="H413" s="2">
        <f>+F413-G413</f>
        <v>-1.4000000000000057</v>
      </c>
      <c r="I413" s="1">
        <f>+(F413^14)/((F413^14+G413^14))</f>
        <v>0.4477836824349537</v>
      </c>
      <c r="J413" s="2">
        <v>102.9</v>
      </c>
      <c r="K413" s="2">
        <v>104.5</v>
      </c>
      <c r="L413" s="2">
        <f>+J413-K413</f>
        <v>-1.5999999999999943</v>
      </c>
      <c r="M413" s="1">
        <f>+E413-I413</f>
        <v>3.435829760168263E-3</v>
      </c>
      <c r="N413" s="2">
        <v>100.3</v>
      </c>
      <c r="O413" s="2">
        <v>101</v>
      </c>
      <c r="P413" s="2">
        <f>+N413-O413</f>
        <v>-0.70000000000000284</v>
      </c>
      <c r="Q413">
        <v>-0.4</v>
      </c>
    </row>
    <row r="414" spans="1:17">
      <c r="A414" t="s">
        <v>4</v>
      </c>
      <c r="B414" t="s">
        <v>10</v>
      </c>
      <c r="C414">
        <v>53</v>
      </c>
      <c r="D414">
        <v>29</v>
      </c>
      <c r="E414" s="1">
        <f>+C414/(C414+D414)</f>
        <v>0.64634146341463417</v>
      </c>
      <c r="F414" s="2">
        <v>100.5</v>
      </c>
      <c r="G414" s="2">
        <v>96.2</v>
      </c>
      <c r="H414" s="2">
        <f>+F414-G414</f>
        <v>4.2999999999999972</v>
      </c>
      <c r="I414" s="1">
        <f>+(F414^14)/((F414^14+G414^14))</f>
        <v>0.64844184492485568</v>
      </c>
      <c r="J414" s="2">
        <v>105.6</v>
      </c>
      <c r="K414" s="2">
        <v>101.2</v>
      </c>
      <c r="L414" s="2">
        <f>+J414-K414</f>
        <v>4.3999999999999915</v>
      </c>
      <c r="M414" s="1">
        <f>+E414-I414</f>
        <v>-2.1003815102215162E-3</v>
      </c>
      <c r="N414" s="2">
        <v>103.3</v>
      </c>
      <c r="O414" s="2">
        <v>104</v>
      </c>
      <c r="P414" s="2">
        <f>+N414-O414</f>
        <v>-0.70000000000000284</v>
      </c>
      <c r="Q414">
        <v>1</v>
      </c>
    </row>
    <row r="415" spans="1:17">
      <c r="A415" t="s">
        <v>66</v>
      </c>
      <c r="B415" t="s">
        <v>56</v>
      </c>
      <c r="C415">
        <v>31</v>
      </c>
      <c r="D415">
        <v>32</v>
      </c>
      <c r="E415" s="1">
        <f>+C415/(C415+D415)</f>
        <v>0.49206349206349204</v>
      </c>
      <c r="F415" s="2">
        <v>112.6</v>
      </c>
      <c r="G415" s="2">
        <v>112.2</v>
      </c>
      <c r="H415" s="2">
        <f>+F415-G415</f>
        <v>0.39999999999999147</v>
      </c>
      <c r="I415" s="1">
        <f>+(F415^14)/((F415^14+G415^14))</f>
        <v>0.51245295332770446</v>
      </c>
      <c r="J415" s="2">
        <v>115.6</v>
      </c>
      <c r="K415" s="2">
        <v>115.3</v>
      </c>
      <c r="L415" s="2">
        <f>+J415-K415</f>
        <v>0.29999999999999716</v>
      </c>
      <c r="M415" s="1">
        <f>+E415-I415</f>
        <v>-2.0389461264212427E-2</v>
      </c>
      <c r="N415" s="2">
        <v>115.7</v>
      </c>
      <c r="O415" s="2">
        <v>116.4</v>
      </c>
      <c r="P415" s="2">
        <f>+N415-O415</f>
        <v>-0.70000000000000284</v>
      </c>
      <c r="Q415" s="2">
        <v>-0.7</v>
      </c>
    </row>
    <row r="416" spans="1:17">
      <c r="A416" t="s">
        <v>47</v>
      </c>
      <c r="B416" t="s">
        <v>8</v>
      </c>
      <c r="C416">
        <v>41</v>
      </c>
      <c r="D416">
        <v>41</v>
      </c>
      <c r="E416" s="1">
        <f>+C416/(C416+D416)</f>
        <v>0.5</v>
      </c>
      <c r="F416" s="2">
        <v>97.5</v>
      </c>
      <c r="G416" s="2">
        <v>99.1</v>
      </c>
      <c r="H416" s="2">
        <f>+F416-G416</f>
        <v>-1.5999999999999943</v>
      </c>
      <c r="I416" s="1">
        <f>+(F416^14)/((F416^14+G416^14))</f>
        <v>0.44327553553702231</v>
      </c>
      <c r="J416" s="2">
        <v>102.6</v>
      </c>
      <c r="K416" s="2">
        <v>104.2</v>
      </c>
      <c r="L416" s="2">
        <f>+J416-K416</f>
        <v>-1.6000000000000085</v>
      </c>
      <c r="M416" s="1">
        <f>+E416-I416</f>
        <v>5.6724464462977686E-2</v>
      </c>
      <c r="N416" s="2">
        <v>97.2</v>
      </c>
      <c r="O416" s="2">
        <v>98</v>
      </c>
      <c r="P416" s="2">
        <f>+N416-O416</f>
        <v>-0.79999999999999716</v>
      </c>
      <c r="Q416">
        <v>-0.3</v>
      </c>
    </row>
    <row r="417" spans="1:17">
      <c r="A417" t="s">
        <v>66</v>
      </c>
      <c r="B417" t="s">
        <v>25</v>
      </c>
      <c r="C417">
        <v>36</v>
      </c>
      <c r="D417">
        <v>27</v>
      </c>
      <c r="E417" s="1">
        <f>+C417/(C417+D417)</f>
        <v>0.5714285714285714</v>
      </c>
      <c r="F417" s="2">
        <v>112.1</v>
      </c>
      <c r="G417" s="2">
        <v>111.2</v>
      </c>
      <c r="H417" s="2">
        <f>+F417-G417</f>
        <v>0.89999999999999147</v>
      </c>
      <c r="I417" s="1">
        <f>+(F417^14)/((F417^14+G417^14))</f>
        <v>0.52818341359119181</v>
      </c>
      <c r="J417" s="2">
        <v>113.4</v>
      </c>
      <c r="K417" s="2">
        <v>112.5</v>
      </c>
      <c r="L417" s="2">
        <f>+J417-K417</f>
        <v>0.90000000000000568</v>
      </c>
      <c r="M417" s="1">
        <f>+E417-I417</f>
        <v>4.3245157837379589E-2</v>
      </c>
      <c r="N417" s="2">
        <v>113.4</v>
      </c>
      <c r="O417" s="2">
        <v>114.2</v>
      </c>
      <c r="P417" s="2">
        <f>+N417-O417</f>
        <v>-0.79999999999999716</v>
      </c>
      <c r="Q417" s="2">
        <v>-1.1000000000000001</v>
      </c>
    </row>
    <row r="418" spans="1:17">
      <c r="A418" t="s">
        <v>47</v>
      </c>
      <c r="B418" t="s">
        <v>35</v>
      </c>
      <c r="C418">
        <v>40</v>
      </c>
      <c r="D418">
        <v>42</v>
      </c>
      <c r="E418" s="1">
        <f>+C418/(C418+D418)</f>
        <v>0.48780487804878048</v>
      </c>
      <c r="F418" s="2">
        <v>102.5</v>
      </c>
      <c r="G418" s="2">
        <v>104</v>
      </c>
      <c r="H418" s="2">
        <f>+F418-G418</f>
        <v>-1.5</v>
      </c>
      <c r="I418" s="1">
        <f>+(F418^14)/((F418^14+G418^14))</f>
        <v>0.44932622081798346</v>
      </c>
      <c r="J418" s="2">
        <v>107.5</v>
      </c>
      <c r="K418" s="2">
        <v>109</v>
      </c>
      <c r="L418" s="2">
        <f>+J418-K418</f>
        <v>-1.5</v>
      </c>
      <c r="M418" s="1">
        <f>+E418-I418</f>
        <v>3.847865723079702E-2</v>
      </c>
      <c r="N418" s="2">
        <v>98.2</v>
      </c>
      <c r="O418" s="2">
        <v>99</v>
      </c>
      <c r="P418" s="2">
        <f>+N418-O418</f>
        <v>-0.79999999999999716</v>
      </c>
      <c r="Q418">
        <v>-1.5</v>
      </c>
    </row>
    <row r="419" spans="1:17">
      <c r="A419" t="s">
        <v>54</v>
      </c>
      <c r="B419" t="s">
        <v>6</v>
      </c>
      <c r="C419">
        <v>40</v>
      </c>
      <c r="D419">
        <v>42</v>
      </c>
      <c r="E419" s="1">
        <f>+C419/(C419+D419)</f>
        <v>0.48780487804878048</v>
      </c>
      <c r="F419" s="2">
        <v>101.4</v>
      </c>
      <c r="G419" s="2">
        <v>101.2</v>
      </c>
      <c r="H419" s="2">
        <f>+F419-G419</f>
        <v>0.20000000000000284</v>
      </c>
      <c r="I419" s="1">
        <f>+(F419^14)/((F419^14+G419^14))</f>
        <v>0.50690973014497898</v>
      </c>
      <c r="J419" s="2">
        <v>103.8</v>
      </c>
      <c r="K419" s="2">
        <v>103.5</v>
      </c>
      <c r="L419" s="2">
        <f>+J419-K419</f>
        <v>0.29999999999999716</v>
      </c>
      <c r="M419" s="1">
        <f>+E419-I419</f>
        <v>-1.9104852096198499E-2</v>
      </c>
      <c r="N419" s="2">
        <v>103</v>
      </c>
      <c r="O419" s="2">
        <v>103.8</v>
      </c>
      <c r="P419" s="2">
        <f>+N419-O419</f>
        <v>-0.79999999999999716</v>
      </c>
      <c r="Q419">
        <v>0.9</v>
      </c>
    </row>
    <row r="420" spans="1:17">
      <c r="A420" t="s">
        <v>63</v>
      </c>
      <c r="B420" t="s">
        <v>30</v>
      </c>
      <c r="C420">
        <v>41</v>
      </c>
      <c r="D420">
        <v>41</v>
      </c>
      <c r="E420" s="1">
        <f>+C420/(C420+D420)</f>
        <v>0.5</v>
      </c>
      <c r="F420" s="2">
        <v>112.9</v>
      </c>
      <c r="G420" s="2">
        <v>111.4</v>
      </c>
      <c r="H420" s="2">
        <f>+F420-G420</f>
        <v>1.5</v>
      </c>
      <c r="I420" s="1">
        <f>+(F420^14)/((F420^14+G420^14))</f>
        <v>0.54667669581130873</v>
      </c>
      <c r="J420" s="2">
        <v>114.6</v>
      </c>
      <c r="K420" s="2">
        <v>113.1</v>
      </c>
      <c r="L420" s="2">
        <f>+J420-K420</f>
        <v>1.5</v>
      </c>
      <c r="M420" s="1">
        <f>+E420-I420</f>
        <v>-4.6676695811308733E-2</v>
      </c>
      <c r="N420" s="2">
        <v>106.3</v>
      </c>
      <c r="O420" s="2">
        <v>107.1</v>
      </c>
      <c r="P420" s="2">
        <f>+N420-O420</f>
        <v>-0.79999999999999716</v>
      </c>
      <c r="Q420">
        <v>0.4</v>
      </c>
    </row>
    <row r="421" spans="1:17">
      <c r="A421" t="s">
        <v>52</v>
      </c>
      <c r="B421" t="s">
        <v>25</v>
      </c>
      <c r="C421">
        <v>48</v>
      </c>
      <c r="D421">
        <v>34</v>
      </c>
      <c r="E421" s="1">
        <f>+C421/(C421+D421)</f>
        <v>0.58536585365853655</v>
      </c>
      <c r="F421" s="2">
        <v>105.2</v>
      </c>
      <c r="G421" s="2">
        <v>102.6</v>
      </c>
      <c r="H421" s="2">
        <f>+F421-G421</f>
        <v>2.6000000000000085</v>
      </c>
      <c r="I421" s="1">
        <f>+(F421^14)/((F421^14+G421^14))</f>
        <v>0.58670369823184843</v>
      </c>
      <c r="J421" s="2">
        <v>108.2</v>
      </c>
      <c r="K421" s="2">
        <v>105.6</v>
      </c>
      <c r="L421" s="2">
        <f>+J421-K421</f>
        <v>2.6000000000000085</v>
      </c>
      <c r="M421" s="1">
        <f>+E421-I421</f>
        <v>-1.3378445733118749E-3</v>
      </c>
      <c r="N421" s="2">
        <v>96.2</v>
      </c>
      <c r="O421" s="2">
        <v>97.1</v>
      </c>
      <c r="P421" s="2">
        <f>+N421-O421</f>
        <v>-0.89999999999999147</v>
      </c>
      <c r="Q421">
        <v>0.4</v>
      </c>
    </row>
    <row r="422" spans="1:17">
      <c r="A422" t="s">
        <v>63</v>
      </c>
      <c r="B422" t="s">
        <v>9</v>
      </c>
      <c r="C422">
        <v>51</v>
      </c>
      <c r="D422">
        <v>31</v>
      </c>
      <c r="E422" s="1">
        <f>+C422/(C422+D422)</f>
        <v>0.62195121951219512</v>
      </c>
      <c r="F422" s="2">
        <v>112.3</v>
      </c>
      <c r="G422" s="2">
        <v>106.9</v>
      </c>
      <c r="H422" s="2">
        <f>+F422-G422</f>
        <v>5.3999999999999915</v>
      </c>
      <c r="I422" s="1">
        <f>+(F422^14)/((F422^14+G422^14))</f>
        <v>0.66594926626048301</v>
      </c>
      <c r="J422" s="2">
        <v>115.5</v>
      </c>
      <c r="K422" s="2">
        <v>109.9</v>
      </c>
      <c r="L422" s="2">
        <f>+J422-K422</f>
        <v>5.5999999999999943</v>
      </c>
      <c r="M422" s="1">
        <f>+E422-I422</f>
        <v>-4.3998046748287889E-2</v>
      </c>
      <c r="N422" s="2">
        <v>97.9</v>
      </c>
      <c r="O422" s="2">
        <v>98.8</v>
      </c>
      <c r="P422" s="2">
        <f>+N422-O422</f>
        <v>-0.89999999999999147</v>
      </c>
      <c r="Q422">
        <v>2.2000000000000002</v>
      </c>
    </row>
    <row r="423" spans="1:17">
      <c r="A423" t="s">
        <v>50</v>
      </c>
      <c r="B423" t="s">
        <v>51</v>
      </c>
      <c r="C423">
        <v>49</v>
      </c>
      <c r="D423">
        <v>33</v>
      </c>
      <c r="E423" s="1">
        <f>+C423/(C423+D423)</f>
        <v>0.59756097560975607</v>
      </c>
      <c r="F423" s="2">
        <v>96.9</v>
      </c>
      <c r="G423" s="2">
        <v>95.1</v>
      </c>
      <c r="H423" s="2">
        <f>+F423-G423</f>
        <v>1.8000000000000114</v>
      </c>
      <c r="I423" s="1">
        <f>+(F423^14)/((F423^14+G423^14))</f>
        <v>0.56525263753000543</v>
      </c>
      <c r="J423" s="2">
        <v>106.9</v>
      </c>
      <c r="K423" s="2">
        <v>104.8</v>
      </c>
      <c r="L423" s="2">
        <f>+J423-K423</f>
        <v>2.1000000000000085</v>
      </c>
      <c r="M423" s="1">
        <f>+E423-I423</f>
        <v>3.2308338079750643E-2</v>
      </c>
      <c r="N423" s="2">
        <v>98.8</v>
      </c>
      <c r="O423" s="2">
        <v>99.7</v>
      </c>
      <c r="P423" s="2">
        <f>+N423-O423</f>
        <v>-0.90000000000000568</v>
      </c>
      <c r="Q423">
        <v>0.4</v>
      </c>
    </row>
    <row r="424" spans="1:17">
      <c r="A424" t="s">
        <v>41</v>
      </c>
      <c r="B424" t="s">
        <v>17</v>
      </c>
      <c r="C424">
        <v>45</v>
      </c>
      <c r="D424">
        <v>37</v>
      </c>
      <c r="E424" s="1">
        <f>+C424/(C424+D424)</f>
        <v>0.54878048780487809</v>
      </c>
      <c r="F424" s="2">
        <v>99.4</v>
      </c>
      <c r="G424" s="2">
        <v>96.9</v>
      </c>
      <c r="H424" s="2">
        <f>+F424-G424</f>
        <v>2.5</v>
      </c>
      <c r="I424" s="1">
        <f>+(F424^14)/((F424^14+G424^14))</f>
        <v>0.58822109610228113</v>
      </c>
      <c r="J424" s="2">
        <v>106.8</v>
      </c>
      <c r="K424" s="2">
        <v>104.2</v>
      </c>
      <c r="L424" s="2">
        <f>+J424-K424</f>
        <v>2.5999999999999943</v>
      </c>
      <c r="M424" s="1">
        <f>+E424-I424</f>
        <v>-3.9440608297403035E-2</v>
      </c>
      <c r="N424" s="2">
        <v>108.6</v>
      </c>
      <c r="O424" s="2">
        <v>109.5</v>
      </c>
      <c r="P424" s="2">
        <f>+N424-O424</f>
        <v>-0.90000000000000568</v>
      </c>
      <c r="Q424">
        <v>0.7</v>
      </c>
    </row>
    <row r="425" spans="1:17">
      <c r="A425" t="s">
        <v>58</v>
      </c>
      <c r="B425" t="s">
        <v>7</v>
      </c>
      <c r="C425">
        <v>36</v>
      </c>
      <c r="D425">
        <v>46</v>
      </c>
      <c r="E425" s="1">
        <f>+C425/(C425+D425)</f>
        <v>0.43902439024390244</v>
      </c>
      <c r="F425" s="2">
        <v>108.2</v>
      </c>
      <c r="G425" s="2">
        <v>108</v>
      </c>
      <c r="H425" s="2">
        <f>+F425-G425</f>
        <v>0.20000000000000284</v>
      </c>
      <c r="I425" s="1">
        <f>+(F425^14)/((F425^14+G425^14))</f>
        <v>0.50647512549319473</v>
      </c>
      <c r="J425" s="2">
        <v>109</v>
      </c>
      <c r="K425" s="2">
        <v>109</v>
      </c>
      <c r="L425" s="2">
        <f>+J425-K425</f>
        <v>0</v>
      </c>
      <c r="M425" s="1">
        <f>+E425-I425</f>
        <v>-6.7450735249292293E-2</v>
      </c>
      <c r="N425" s="2">
        <v>98.8</v>
      </c>
      <c r="O425" s="2">
        <v>99.7</v>
      </c>
      <c r="P425" s="2">
        <f>+N425-O425</f>
        <v>-0.90000000000000568</v>
      </c>
      <c r="Q425">
        <v>-0.3</v>
      </c>
    </row>
    <row r="426" spans="1:17">
      <c r="A426" t="s">
        <v>36</v>
      </c>
      <c r="B426" t="s">
        <v>26</v>
      </c>
      <c r="C426">
        <v>50</v>
      </c>
      <c r="D426">
        <v>32</v>
      </c>
      <c r="E426" s="1">
        <f>+C426/(C426+D426)</f>
        <v>0.6097560975609756</v>
      </c>
      <c r="F426" s="2">
        <v>95.2</v>
      </c>
      <c r="G426" s="2">
        <v>92.5</v>
      </c>
      <c r="H426" s="2">
        <f>+F426-G426</f>
        <v>2.7000000000000028</v>
      </c>
      <c r="I426" s="1">
        <f>+(F426^14)/((F426^14+G426^14))</f>
        <v>0.59935976254287349</v>
      </c>
      <c r="J426" s="2">
        <v>104.2</v>
      </c>
      <c r="K426" s="2">
        <v>101.5</v>
      </c>
      <c r="L426" s="2">
        <f>+J426-K426</f>
        <v>2.7000000000000028</v>
      </c>
      <c r="M426" s="1">
        <f>+E426-I426</f>
        <v>1.039633501810211E-2</v>
      </c>
      <c r="N426" s="2">
        <v>97.3</v>
      </c>
      <c r="O426" s="2">
        <v>98.3</v>
      </c>
      <c r="P426" s="2">
        <f>+N426-O426</f>
        <v>-1</v>
      </c>
      <c r="Q426">
        <v>-1</v>
      </c>
    </row>
    <row r="427" spans="1:17">
      <c r="A427" t="s">
        <v>49</v>
      </c>
      <c r="B427" t="s">
        <v>16</v>
      </c>
      <c r="C427">
        <v>40</v>
      </c>
      <c r="D427">
        <v>26</v>
      </c>
      <c r="E427" s="1">
        <f>+C427/(C427+D427)</f>
        <v>0.60606060606060608</v>
      </c>
      <c r="F427" s="2">
        <v>97.5</v>
      </c>
      <c r="G427" s="2">
        <v>95</v>
      </c>
      <c r="H427" s="2">
        <f>+F427-G427</f>
        <v>2.5</v>
      </c>
      <c r="I427" s="1">
        <f>+(F427^14)/((F427^14+G427^14))</f>
        <v>0.58992535543589308</v>
      </c>
      <c r="J427" s="2">
        <v>107.5</v>
      </c>
      <c r="K427" s="2">
        <v>104.8</v>
      </c>
      <c r="L427" s="2">
        <f>+J427-K427</f>
        <v>2.7000000000000028</v>
      </c>
      <c r="M427" s="1">
        <f>+E427-I427</f>
        <v>1.6135250624712993E-2</v>
      </c>
      <c r="N427" s="2">
        <v>98.4</v>
      </c>
      <c r="O427" s="2">
        <v>99.5</v>
      </c>
      <c r="P427" s="2">
        <f>+N427-O427</f>
        <v>-1.0999999999999943</v>
      </c>
      <c r="Q427">
        <v>0.9</v>
      </c>
    </row>
    <row r="428" spans="1:17">
      <c r="A428" t="s">
        <v>43</v>
      </c>
      <c r="B428" t="s">
        <v>17</v>
      </c>
      <c r="C428">
        <v>42</v>
      </c>
      <c r="D428">
        <v>40</v>
      </c>
      <c r="E428" s="1">
        <f>+C428/(C428+D428)</f>
        <v>0.51219512195121952</v>
      </c>
      <c r="F428" s="2">
        <v>103.3</v>
      </c>
      <c r="G428" s="2">
        <v>103.4</v>
      </c>
      <c r="H428" s="2">
        <f>+F428-G428</f>
        <v>-0.10000000000000853</v>
      </c>
      <c r="I428" s="1">
        <f>+(F428^14)/((F428^14+G428^14))</f>
        <v>0.49661350096437384</v>
      </c>
      <c r="J428" s="2">
        <v>107.3</v>
      </c>
      <c r="K428" s="2">
        <v>107.5</v>
      </c>
      <c r="L428" s="2">
        <f>+J428-K428</f>
        <v>-0.20000000000000284</v>
      </c>
      <c r="M428" s="1">
        <f>+E428-I428</f>
        <v>1.5581620986845679E-2</v>
      </c>
      <c r="N428" s="2">
        <v>105</v>
      </c>
      <c r="O428" s="2">
        <v>106.1</v>
      </c>
      <c r="P428" s="2">
        <f>+N428-O428</f>
        <v>-1.0999999999999943</v>
      </c>
      <c r="Q428">
        <v>-0.2</v>
      </c>
    </row>
    <row r="429" spans="1:17">
      <c r="A429" t="s">
        <v>59</v>
      </c>
      <c r="B429" t="s">
        <v>27</v>
      </c>
      <c r="C429">
        <v>39</v>
      </c>
      <c r="D429">
        <v>43</v>
      </c>
      <c r="E429" s="1">
        <f>+C429/(C429+D429)</f>
        <v>0.47560975609756095</v>
      </c>
      <c r="F429" s="2">
        <v>114.2</v>
      </c>
      <c r="G429" s="2">
        <v>115.3</v>
      </c>
      <c r="H429" s="2">
        <f>+F429-G429</f>
        <v>-1.0999999999999943</v>
      </c>
      <c r="I429" s="1">
        <f>+(F429^14)/((F429^14+G429^14))</f>
        <v>0.466498812781387</v>
      </c>
      <c r="J429" s="2">
        <v>109.6</v>
      </c>
      <c r="K429" s="2">
        <v>110.8</v>
      </c>
      <c r="L429" s="2">
        <f>+J429-K429</f>
        <v>-1.2000000000000028</v>
      </c>
      <c r="M429" s="1">
        <f>+E429-I429</f>
        <v>9.1109433161739584E-3</v>
      </c>
      <c r="N429" s="2">
        <v>106.1</v>
      </c>
      <c r="O429" s="2">
        <v>107.2</v>
      </c>
      <c r="P429" s="2">
        <f>+N429-O429</f>
        <v>-1.1000000000000085</v>
      </c>
      <c r="Q429">
        <v>-0.2</v>
      </c>
    </row>
    <row r="430" spans="1:17">
      <c r="A430" t="s">
        <v>48</v>
      </c>
      <c r="B430" t="s">
        <v>16</v>
      </c>
      <c r="C430">
        <v>32</v>
      </c>
      <c r="D430">
        <v>50</v>
      </c>
      <c r="E430" s="1">
        <f>+C430/(C430+D430)</f>
        <v>0.3902439024390244</v>
      </c>
      <c r="F430" s="2">
        <v>98.6</v>
      </c>
      <c r="G430" s="2">
        <v>101.8</v>
      </c>
      <c r="H430" s="2">
        <f>+F430-G430</f>
        <v>-3.2000000000000028</v>
      </c>
      <c r="I430" s="1">
        <f>+(F430^14)/((F430^14+G430^14))</f>
        <v>0.39004006855823664</v>
      </c>
      <c r="J430" s="2">
        <v>104.8</v>
      </c>
      <c r="K430" s="2">
        <v>108</v>
      </c>
      <c r="L430" s="2">
        <f>+J430-K430</f>
        <v>-3.2000000000000028</v>
      </c>
      <c r="M430" s="1">
        <f>+E430-I430</f>
        <v>2.0383388078776266E-4</v>
      </c>
      <c r="N430" s="2">
        <v>107.1</v>
      </c>
      <c r="O430" s="2">
        <v>108.2</v>
      </c>
      <c r="P430" s="2">
        <f>+N430-O430</f>
        <v>-1.1000000000000085</v>
      </c>
      <c r="Q430">
        <v>-1.1000000000000001</v>
      </c>
    </row>
    <row r="431" spans="1:17">
      <c r="A431" t="s">
        <v>63</v>
      </c>
      <c r="B431" t="s">
        <v>10</v>
      </c>
      <c r="C431">
        <v>38</v>
      </c>
      <c r="D431">
        <v>44</v>
      </c>
      <c r="E431" s="1">
        <f>+C431/(C431+D431)</f>
        <v>0.46341463414634149</v>
      </c>
      <c r="F431" s="2">
        <v>114.2</v>
      </c>
      <c r="G431" s="2">
        <v>114.1</v>
      </c>
      <c r="H431" s="2">
        <f>+F431-G431</f>
        <v>0.10000000000000853</v>
      </c>
      <c r="I431" s="1">
        <f>+(F431^14)/((F431^14+G431^14))</f>
        <v>0.50306610280519148</v>
      </c>
      <c r="J431" s="2">
        <v>115.9</v>
      </c>
      <c r="K431" s="2">
        <v>116.1</v>
      </c>
      <c r="L431" s="2">
        <f>+J431-K431</f>
        <v>-0.19999999999998863</v>
      </c>
      <c r="M431" s="1">
        <f>+E431-I431</f>
        <v>-3.9651468658849998E-2</v>
      </c>
      <c r="N431" s="2">
        <v>105.1</v>
      </c>
      <c r="O431" s="2">
        <v>106.2</v>
      </c>
      <c r="P431" s="2">
        <f>+N431-O431</f>
        <v>-1.1000000000000085</v>
      </c>
      <c r="Q431">
        <v>-0.7</v>
      </c>
    </row>
    <row r="432" spans="1:17">
      <c r="A432" t="s">
        <v>50</v>
      </c>
      <c r="B432" t="s">
        <v>10</v>
      </c>
      <c r="C432">
        <v>41</v>
      </c>
      <c r="D432">
        <v>41</v>
      </c>
      <c r="E432" s="1">
        <f>+C432/(C432+D432)</f>
        <v>0.5</v>
      </c>
      <c r="F432" s="2">
        <v>101.1</v>
      </c>
      <c r="G432" s="2">
        <v>101.7</v>
      </c>
      <c r="H432" s="2">
        <f>+F432-G432</f>
        <v>-0.60000000000000853</v>
      </c>
      <c r="I432" s="1">
        <f>+(F432^14)/((F432^14+G432^14))</f>
        <v>0.47930171595662069</v>
      </c>
      <c r="J432" s="2">
        <v>104.7</v>
      </c>
      <c r="K432" s="2">
        <v>105.4</v>
      </c>
      <c r="L432" s="2">
        <f>+J432-K432</f>
        <v>-0.70000000000000284</v>
      </c>
      <c r="M432" s="1">
        <f>+E432-I432</f>
        <v>2.0698284043379311E-2</v>
      </c>
      <c r="N432" s="2">
        <v>101</v>
      </c>
      <c r="O432" s="2">
        <v>102.2</v>
      </c>
      <c r="P432" s="2">
        <f>+N432-O432</f>
        <v>-1.2000000000000028</v>
      </c>
      <c r="Q432">
        <v>-0.3</v>
      </c>
    </row>
    <row r="433" spans="1:17">
      <c r="A433" t="s">
        <v>57</v>
      </c>
      <c r="B433" t="s">
        <v>15</v>
      </c>
      <c r="C433">
        <v>42</v>
      </c>
      <c r="D433">
        <v>40</v>
      </c>
      <c r="E433" s="1">
        <f>+C433/(C433+D433)</f>
        <v>0.51219512195121952</v>
      </c>
      <c r="F433" s="2">
        <v>105.1</v>
      </c>
      <c r="G433" s="2">
        <v>105.3</v>
      </c>
      <c r="H433" s="2">
        <f>+F433-G433</f>
        <v>-0.20000000000000284</v>
      </c>
      <c r="I433" s="1">
        <f>+(F433^14)/((F433^14+G433^14))</f>
        <v>0.49334639838574956</v>
      </c>
      <c r="J433" s="2">
        <v>107.9</v>
      </c>
      <c r="K433" s="2">
        <v>108.1</v>
      </c>
      <c r="L433" s="2">
        <f>+J433-K433</f>
        <v>-0.19999999999998863</v>
      </c>
      <c r="M433" s="1">
        <f>+E433-I433</f>
        <v>1.884872356546996E-2</v>
      </c>
      <c r="N433" s="2">
        <v>103.1</v>
      </c>
      <c r="O433" s="2">
        <v>104.3</v>
      </c>
      <c r="P433" s="2">
        <f>+N433-O433</f>
        <v>-1.2000000000000028</v>
      </c>
      <c r="Q433">
        <v>-0.6</v>
      </c>
    </row>
    <row r="434" spans="1:17">
      <c r="A434" t="s">
        <v>36</v>
      </c>
      <c r="B434" t="s">
        <v>33</v>
      </c>
      <c r="C434">
        <v>37</v>
      </c>
      <c r="D434">
        <v>45</v>
      </c>
      <c r="E434" s="1">
        <f>+C434/(C434+D434)</f>
        <v>0.45121951219512196</v>
      </c>
      <c r="F434" s="2">
        <v>91.5</v>
      </c>
      <c r="G434" s="2">
        <v>92.5</v>
      </c>
      <c r="H434" s="2">
        <f>+F434-G434</f>
        <v>-1</v>
      </c>
      <c r="I434" s="1">
        <f>+(F434^14)/((F434^14+G434^14))</f>
        <v>0.4620293938086929</v>
      </c>
      <c r="J434" s="2">
        <v>101.5</v>
      </c>
      <c r="K434" s="2">
        <v>102.6</v>
      </c>
      <c r="L434" s="2">
        <f>+J434-K434</f>
        <v>-1.0999999999999943</v>
      </c>
      <c r="M434" s="1">
        <f>+E434-I434</f>
        <v>-1.0809881613570937E-2</v>
      </c>
      <c r="N434" s="2">
        <v>103.1</v>
      </c>
      <c r="O434" s="2">
        <v>104.3</v>
      </c>
      <c r="P434" s="2">
        <f>+N434-O434</f>
        <v>-1.2000000000000028</v>
      </c>
      <c r="Q434">
        <v>-0.3</v>
      </c>
    </row>
    <row r="435" spans="1:17">
      <c r="A435" t="s">
        <v>58</v>
      </c>
      <c r="B435" t="s">
        <v>8</v>
      </c>
      <c r="C435">
        <v>27</v>
      </c>
      <c r="D435">
        <v>55</v>
      </c>
      <c r="E435" s="1">
        <f>+C435/(C435+D435)</f>
        <v>0.32926829268292684</v>
      </c>
      <c r="F435" s="2">
        <v>102.9</v>
      </c>
      <c r="G435" s="2">
        <v>110</v>
      </c>
      <c r="H435" s="2">
        <f>+F435-G435</f>
        <v>-7.0999999999999943</v>
      </c>
      <c r="I435" s="1">
        <f>+(F435^14)/((F435^14+G435^14))</f>
        <v>0.28208998434784138</v>
      </c>
      <c r="J435" s="2">
        <v>103.4</v>
      </c>
      <c r="K435" s="2">
        <v>110.5</v>
      </c>
      <c r="L435" s="2">
        <f>+J435-K435</f>
        <v>-7.0999999999999943</v>
      </c>
      <c r="M435" s="1">
        <f>+E435-I435</f>
        <v>4.7178308335085462E-2</v>
      </c>
      <c r="N435" s="2">
        <v>98.4</v>
      </c>
      <c r="O435" s="2">
        <v>99.7</v>
      </c>
      <c r="P435" s="2">
        <f>+N435-O435</f>
        <v>-1.2999999999999972</v>
      </c>
      <c r="Q435">
        <v>-0.5</v>
      </c>
    </row>
    <row r="436" spans="1:17">
      <c r="A436" t="s">
        <v>50</v>
      </c>
      <c r="B436" t="s">
        <v>27</v>
      </c>
      <c r="C436">
        <v>28</v>
      </c>
      <c r="D436">
        <v>54</v>
      </c>
      <c r="E436" s="1">
        <f>+C436/(C436+D436)</f>
        <v>0.34146341463414637</v>
      </c>
      <c r="F436" s="2">
        <v>100.2</v>
      </c>
      <c r="G436" s="2">
        <v>105.1</v>
      </c>
      <c r="H436" s="2">
        <f>+F436-G436</f>
        <v>-4.8999999999999915</v>
      </c>
      <c r="I436" s="1">
        <f>+(F436^14)/((F436^14+G436^14))</f>
        <v>0.33885133571043297</v>
      </c>
      <c r="J436" s="2">
        <v>105.3</v>
      </c>
      <c r="K436" s="2">
        <v>110</v>
      </c>
      <c r="L436" s="2">
        <f>+J436-K436</f>
        <v>-4.7000000000000028</v>
      </c>
      <c r="M436" s="1">
        <f>+E436-I436</f>
        <v>2.6120789237134012E-3</v>
      </c>
      <c r="N436" s="2">
        <v>101</v>
      </c>
      <c r="O436" s="2">
        <v>102.3</v>
      </c>
      <c r="P436" s="2">
        <f>+N436-O436</f>
        <v>-1.2999999999999972</v>
      </c>
      <c r="Q436">
        <v>-0.2</v>
      </c>
    </row>
    <row r="437" spans="1:17">
      <c r="A437" t="s">
        <v>54</v>
      </c>
      <c r="B437" t="s">
        <v>46</v>
      </c>
      <c r="C437">
        <v>45</v>
      </c>
      <c r="D437">
        <v>37</v>
      </c>
      <c r="E437" s="1">
        <f>+C437/(C437+D437)</f>
        <v>0.54878048780487809</v>
      </c>
      <c r="F437" s="2">
        <v>104</v>
      </c>
      <c r="G437" s="2">
        <v>101.8</v>
      </c>
      <c r="H437" s="2">
        <f>+F437-G437</f>
        <v>2.2000000000000028</v>
      </c>
      <c r="I437" s="1">
        <f>+(F437^14)/((F437^14+G437^14))</f>
        <v>0.57427899793021731</v>
      </c>
      <c r="J437" s="2">
        <v>106.7</v>
      </c>
      <c r="K437" s="2">
        <v>104.6</v>
      </c>
      <c r="L437" s="2">
        <f>+J437-K437</f>
        <v>2.1000000000000085</v>
      </c>
      <c r="M437" s="1">
        <f>+E437-I437</f>
        <v>-2.5498510125339213E-2</v>
      </c>
      <c r="N437" s="2">
        <v>92.7</v>
      </c>
      <c r="O437" s="2">
        <v>94</v>
      </c>
      <c r="P437" s="2">
        <f>+N437-O437</f>
        <v>-1.2999999999999972</v>
      </c>
      <c r="Q437">
        <v>-0.5</v>
      </c>
    </row>
    <row r="438" spans="1:17">
      <c r="A438" t="s">
        <v>39</v>
      </c>
      <c r="B438" t="s">
        <v>28</v>
      </c>
      <c r="C438">
        <v>59</v>
      </c>
      <c r="D438">
        <v>23</v>
      </c>
      <c r="E438" s="1">
        <f>+C438/(C438+D438)</f>
        <v>0.71951219512195119</v>
      </c>
      <c r="F438" s="2">
        <v>96.2</v>
      </c>
      <c r="G438" s="2">
        <v>88.4</v>
      </c>
      <c r="H438" s="2">
        <f>+F438-G438</f>
        <v>7.7999999999999972</v>
      </c>
      <c r="I438" s="1">
        <f>+(F438^14)/((F438^14+G438^14))</f>
        <v>0.76563098176040723</v>
      </c>
      <c r="J438" s="2">
        <v>106.1</v>
      </c>
      <c r="K438" s="2">
        <v>97.8</v>
      </c>
      <c r="L438" s="2">
        <f>+J438-K438</f>
        <v>8.2999999999999972</v>
      </c>
      <c r="M438" s="1">
        <f>+E438-I438</f>
        <v>-4.6118786638456033E-2</v>
      </c>
      <c r="N438" s="2">
        <v>109.4</v>
      </c>
      <c r="O438" s="2">
        <v>110.8</v>
      </c>
      <c r="P438" s="2">
        <f>+N438-O438</f>
        <v>-1.3999999999999915</v>
      </c>
      <c r="Q438">
        <v>1.7</v>
      </c>
    </row>
    <row r="439" spans="1:17">
      <c r="A439" t="s">
        <v>60</v>
      </c>
      <c r="B439" t="s">
        <v>5</v>
      </c>
      <c r="C439">
        <v>20</v>
      </c>
      <c r="D439">
        <v>47</v>
      </c>
      <c r="E439" s="1">
        <f>+C439/(C439+D439)</f>
        <v>0.29850746268656714</v>
      </c>
      <c r="F439" s="2">
        <v>111.8</v>
      </c>
      <c r="G439" s="2">
        <v>119.7</v>
      </c>
      <c r="H439" s="2">
        <f>+F439-G439</f>
        <v>-7.9000000000000057</v>
      </c>
      <c r="I439" s="1">
        <f>+(F439^14)/((F439^14+G439^14))</f>
        <v>0.27770410092072012</v>
      </c>
      <c r="J439" s="2">
        <v>107</v>
      </c>
      <c r="K439" s="2">
        <v>114.4</v>
      </c>
      <c r="L439" s="2">
        <f>+J439-K439</f>
        <v>-7.4000000000000057</v>
      </c>
      <c r="M439" s="1">
        <f>+E439-I439</f>
        <v>2.0803361765847017E-2</v>
      </c>
      <c r="N439" s="2">
        <v>97.4</v>
      </c>
      <c r="O439" s="2">
        <v>98.9</v>
      </c>
      <c r="P439" s="2">
        <f>+N439-O439</f>
        <v>-1.5</v>
      </c>
      <c r="Q439">
        <v>-1</v>
      </c>
    </row>
    <row r="440" spans="1:17">
      <c r="A440" t="s">
        <v>64</v>
      </c>
      <c r="B440" t="s">
        <v>7</v>
      </c>
      <c r="C440">
        <v>21</v>
      </c>
      <c r="D440">
        <v>61</v>
      </c>
      <c r="E440" s="1">
        <f>+C440/(C440+D440)</f>
        <v>0.25609756097560976</v>
      </c>
      <c r="F440" s="2">
        <v>106.6</v>
      </c>
      <c r="G440" s="2">
        <v>116.8</v>
      </c>
      <c r="H440" s="2">
        <f>+F440-G440</f>
        <v>-10.200000000000003</v>
      </c>
      <c r="I440" s="1">
        <f>+(F440^14)/((F440^14+G440^14))</f>
        <v>0.21766704901451664</v>
      </c>
      <c r="J440" s="2">
        <v>108.6</v>
      </c>
      <c r="K440" s="2">
        <v>119.2</v>
      </c>
      <c r="L440" s="2">
        <f>+J440-K440</f>
        <v>-10.600000000000009</v>
      </c>
      <c r="M440" s="1">
        <f>+E440-I440</f>
        <v>3.8430511961093122E-2</v>
      </c>
      <c r="N440" s="2">
        <v>112</v>
      </c>
      <c r="O440" s="2">
        <v>113.6</v>
      </c>
      <c r="P440" s="2">
        <f>+N440-O440</f>
        <v>-1.5999999999999943</v>
      </c>
      <c r="Q440">
        <v>-0.3</v>
      </c>
    </row>
    <row r="441" spans="1:17">
      <c r="A441" t="s">
        <v>45</v>
      </c>
      <c r="B441" t="s">
        <v>46</v>
      </c>
      <c r="C441">
        <v>23</v>
      </c>
      <c r="D441">
        <v>59</v>
      </c>
      <c r="E441" s="1">
        <f>+C441/(C441+D441)</f>
        <v>0.28048780487804881</v>
      </c>
      <c r="F441" s="2">
        <v>97</v>
      </c>
      <c r="G441" s="2">
        <v>103.1</v>
      </c>
      <c r="H441" s="2">
        <f>+F441-G441</f>
        <v>-6.0999999999999943</v>
      </c>
      <c r="I441" s="1">
        <f>+(F441^14)/((F441^14+G441^14))</f>
        <v>0.29862841677001067</v>
      </c>
      <c r="J441" s="2">
        <v>101.4</v>
      </c>
      <c r="K441" s="2">
        <v>107.6</v>
      </c>
      <c r="L441" s="2">
        <f>+J441-K441</f>
        <v>-6.1999999999999886</v>
      </c>
      <c r="M441" s="1">
        <f>+E441-I441</f>
        <v>-1.8140611891961866E-2</v>
      </c>
      <c r="N441" s="2">
        <v>100</v>
      </c>
      <c r="O441" s="2">
        <v>101.6</v>
      </c>
      <c r="P441" s="2">
        <f>+N441-O441</f>
        <v>-1.5999999999999943</v>
      </c>
      <c r="Q441">
        <v>-2.2000000000000002</v>
      </c>
    </row>
    <row r="442" spans="1:17">
      <c r="A442" t="s">
        <v>54</v>
      </c>
      <c r="B442" t="s">
        <v>28</v>
      </c>
      <c r="C442">
        <v>55</v>
      </c>
      <c r="D442">
        <v>27</v>
      </c>
      <c r="E442" s="1">
        <f>+C442/(C442+D442)</f>
        <v>0.67073170731707321</v>
      </c>
      <c r="F442" s="2">
        <v>103.2</v>
      </c>
      <c r="G442" s="2">
        <v>97</v>
      </c>
      <c r="H442" s="2">
        <f>+F442-G442</f>
        <v>6.2000000000000028</v>
      </c>
      <c r="I442" s="1">
        <f>+(F442^14)/((F442^14+G442^14))</f>
        <v>0.70420653798027644</v>
      </c>
      <c r="J442" s="2">
        <v>107.6</v>
      </c>
      <c r="K442" s="2">
        <v>101.4</v>
      </c>
      <c r="L442" s="2">
        <f>+J442-K442</f>
        <v>6.1999999999999886</v>
      </c>
      <c r="M442" s="1">
        <f>+E442-I442</f>
        <v>-3.3474830663203226E-2</v>
      </c>
      <c r="N442" s="2">
        <v>95.5</v>
      </c>
      <c r="O442" s="2">
        <v>97.1</v>
      </c>
      <c r="P442" s="2">
        <f>+N442-O442</f>
        <v>-1.5999999999999943</v>
      </c>
      <c r="Q442">
        <v>0.9</v>
      </c>
    </row>
    <row r="443" spans="1:17">
      <c r="A443" t="s">
        <v>49</v>
      </c>
      <c r="B443" t="s">
        <v>31</v>
      </c>
      <c r="C443">
        <v>36</v>
      </c>
      <c r="D443">
        <v>30</v>
      </c>
      <c r="E443" s="1">
        <f>+C443/(C443+D443)</f>
        <v>0.54545454545454541</v>
      </c>
      <c r="F443" s="2">
        <v>99.7</v>
      </c>
      <c r="G443" s="2">
        <v>99</v>
      </c>
      <c r="H443" s="2">
        <f>+F443-G443</f>
        <v>0.70000000000000284</v>
      </c>
      <c r="I443" s="1">
        <f>+(F443^14)/((F443^14+G443^14))</f>
        <v>0.52464041755417556</v>
      </c>
      <c r="J443" s="2">
        <v>105.5</v>
      </c>
      <c r="K443" s="2">
        <v>104.9</v>
      </c>
      <c r="L443" s="2">
        <f>+J443-K443</f>
        <v>0.59999999999999432</v>
      </c>
      <c r="M443" s="1">
        <f>+E443-I443</f>
        <v>2.081412790036985E-2</v>
      </c>
      <c r="N443" s="2">
        <v>96.6</v>
      </c>
      <c r="O443" s="2">
        <v>98.2</v>
      </c>
      <c r="P443" s="2">
        <f>+N443-O443</f>
        <v>-1.6000000000000085</v>
      </c>
      <c r="Q443">
        <v>0</v>
      </c>
    </row>
    <row r="444" spans="1:17">
      <c r="A444" t="s">
        <v>50</v>
      </c>
      <c r="B444" t="s">
        <v>26</v>
      </c>
      <c r="C444">
        <v>33</v>
      </c>
      <c r="D444">
        <v>49</v>
      </c>
      <c r="E444" s="1">
        <f>+C444/(C444+D444)</f>
        <v>0.40243902439024393</v>
      </c>
      <c r="F444" s="2">
        <v>97.5</v>
      </c>
      <c r="G444" s="2">
        <v>100.7</v>
      </c>
      <c r="H444" s="2">
        <f>+F444-G444</f>
        <v>-3.2000000000000028</v>
      </c>
      <c r="I444" s="1">
        <f>+(F444^14)/((F444^14+G444^14))</f>
        <v>0.38885971000700537</v>
      </c>
      <c r="J444" s="2">
        <v>104.5</v>
      </c>
      <c r="K444" s="2">
        <v>107.9</v>
      </c>
      <c r="L444" s="2">
        <f>+J444-K444</f>
        <v>-3.4000000000000057</v>
      </c>
      <c r="M444" s="1">
        <f>+E444-I444</f>
        <v>1.3579314383238561E-2</v>
      </c>
      <c r="N444" s="2">
        <v>105.1</v>
      </c>
      <c r="O444" s="2">
        <v>106.7</v>
      </c>
      <c r="P444" s="2">
        <f>+N444-O444</f>
        <v>-1.6000000000000085</v>
      </c>
      <c r="Q444">
        <v>-0.2</v>
      </c>
    </row>
    <row r="445" spans="1:17">
      <c r="A445" t="s">
        <v>59</v>
      </c>
      <c r="B445" t="s">
        <v>14</v>
      </c>
      <c r="C445">
        <v>53</v>
      </c>
      <c r="D445">
        <v>29</v>
      </c>
      <c r="E445" s="1">
        <f>+C445/(C445+D445)</f>
        <v>0.64634146341463417</v>
      </c>
      <c r="F445" s="2">
        <v>113.9</v>
      </c>
      <c r="G445" s="2">
        <v>109.1</v>
      </c>
      <c r="H445" s="2">
        <f>+F445-G445</f>
        <v>4.8000000000000114</v>
      </c>
      <c r="I445" s="1">
        <f>+(F445^14)/((F445^14+G445^14))</f>
        <v>0.64629291131974342</v>
      </c>
      <c r="J445" s="2">
        <v>114.9</v>
      </c>
      <c r="K445" s="2">
        <v>110.1</v>
      </c>
      <c r="L445" s="2">
        <f>+J445-K445</f>
        <v>4.8000000000000114</v>
      </c>
      <c r="M445" s="1">
        <f>+E445-I445</f>
        <v>4.8552094890741415E-5</v>
      </c>
      <c r="N445" s="2">
        <v>111.8</v>
      </c>
      <c r="O445" s="2">
        <v>113.4</v>
      </c>
      <c r="P445" s="2">
        <f>+N445-O445</f>
        <v>-1.6000000000000085</v>
      </c>
      <c r="Q445">
        <v>0.5</v>
      </c>
    </row>
    <row r="446" spans="1:17">
      <c r="A446" t="s">
        <v>66</v>
      </c>
      <c r="B446" t="s">
        <v>33</v>
      </c>
      <c r="C446">
        <v>16</v>
      </c>
      <c r="D446">
        <v>46</v>
      </c>
      <c r="E446" s="1">
        <f>+C446/(C446+D446)</f>
        <v>0.25806451612903225</v>
      </c>
      <c r="F446" s="2">
        <v>112.2</v>
      </c>
      <c r="G446" s="2">
        <v>123</v>
      </c>
      <c r="H446" s="2">
        <f>+F446-G446</f>
        <v>-10.799999999999997</v>
      </c>
      <c r="I446" s="1">
        <f>+(F446^14)/((F446^14+G446^14))</f>
        <v>0.21642561770690236</v>
      </c>
      <c r="J446" s="2">
        <v>109.5</v>
      </c>
      <c r="K446" s="2">
        <v>120.3</v>
      </c>
      <c r="L446" s="2">
        <f>+J446-K446</f>
        <v>-10.799999999999997</v>
      </c>
      <c r="M446" s="1">
        <f>+E446-I446</f>
        <v>4.1638898422129894E-2</v>
      </c>
      <c r="N446" s="2">
        <v>112.8</v>
      </c>
      <c r="O446" s="2">
        <v>114.5</v>
      </c>
      <c r="P446" s="2">
        <f>+N446-O446</f>
        <v>-1.7000000000000028</v>
      </c>
      <c r="Q446" s="2">
        <v>-2.9</v>
      </c>
    </row>
    <row r="447" spans="1:17">
      <c r="A447" t="s">
        <v>54</v>
      </c>
      <c r="B447" t="s">
        <v>31</v>
      </c>
      <c r="C447">
        <v>38</v>
      </c>
      <c r="D447">
        <v>44</v>
      </c>
      <c r="E447" s="1">
        <f>+C447/(C447+D447)</f>
        <v>0.46341463414634149</v>
      </c>
      <c r="F447" s="2">
        <v>95.1</v>
      </c>
      <c r="G447" s="2">
        <v>94.9</v>
      </c>
      <c r="H447" s="2">
        <f>+F447-G447</f>
        <v>0.19999999999998863</v>
      </c>
      <c r="I447" s="1">
        <f>+(F447^14)/((F447^14+G447^14))</f>
        <v>0.50736789040877028</v>
      </c>
      <c r="J447" s="2">
        <v>104.2</v>
      </c>
      <c r="K447" s="2">
        <v>104.1</v>
      </c>
      <c r="L447" s="2">
        <f>+J447-K447</f>
        <v>0.10000000000000853</v>
      </c>
      <c r="M447" s="1">
        <f>+E447-I447</f>
        <v>-4.3953256262428797E-2</v>
      </c>
      <c r="N447" s="2">
        <v>95.5</v>
      </c>
      <c r="O447" s="2">
        <v>97.3</v>
      </c>
      <c r="P447" s="2">
        <f>+N447-O447</f>
        <v>-1.7999999999999972</v>
      </c>
      <c r="Q447">
        <v>-0.2</v>
      </c>
    </row>
    <row r="448" spans="1:17">
      <c r="A448" t="s">
        <v>44</v>
      </c>
      <c r="B448" t="s">
        <v>31</v>
      </c>
      <c r="C448">
        <v>54</v>
      </c>
      <c r="D448">
        <v>28</v>
      </c>
      <c r="E448" s="1">
        <f>+C448/(C448+D448)</f>
        <v>0.65853658536585369</v>
      </c>
      <c r="F448" s="2">
        <v>106.2</v>
      </c>
      <c r="G448" s="2">
        <v>99.3</v>
      </c>
      <c r="H448" s="2">
        <f>+F448-G448</f>
        <v>6.9000000000000057</v>
      </c>
      <c r="I448" s="1">
        <f>+(F448^14)/((F448^14+G448^14))</f>
        <v>0.71920054882030759</v>
      </c>
      <c r="J448" s="2">
        <v>112.1</v>
      </c>
      <c r="K448" s="2">
        <v>104.9</v>
      </c>
      <c r="L448" s="2">
        <f>+J448-K448</f>
        <v>7.1999999999999886</v>
      </c>
      <c r="M448" s="1">
        <f>+E448-I448</f>
        <v>-6.0663963454453906E-2</v>
      </c>
      <c r="N448" s="2">
        <v>116.3</v>
      </c>
      <c r="O448" s="2">
        <v>118.1</v>
      </c>
      <c r="P448" s="2">
        <f>+N448-O448</f>
        <v>-1.7999999999999972</v>
      </c>
      <c r="Q448">
        <v>1.5</v>
      </c>
    </row>
    <row r="449" spans="1:17">
      <c r="A449" t="s">
        <v>4</v>
      </c>
      <c r="B449" t="s">
        <v>6</v>
      </c>
      <c r="C449">
        <v>36</v>
      </c>
      <c r="D449">
        <v>46</v>
      </c>
      <c r="E449" s="1">
        <f>+C449/(C449+D449)</f>
        <v>0.43902439024390244</v>
      </c>
      <c r="F449" s="2">
        <v>94.6</v>
      </c>
      <c r="G449" s="2">
        <v>96.8</v>
      </c>
      <c r="H449" s="2">
        <f>+F449-G449</f>
        <v>-2.2000000000000028</v>
      </c>
      <c r="I449" s="1">
        <f>+(F449^14)/((F449^14+G449^14))</f>
        <v>0.42022416188672446</v>
      </c>
      <c r="J449" s="2">
        <v>100.1</v>
      </c>
      <c r="K449" s="2">
        <v>102.3</v>
      </c>
      <c r="L449" s="2">
        <f>+J449-K449</f>
        <v>-2.2000000000000028</v>
      </c>
      <c r="M449" s="1">
        <f>+E449-I449</f>
        <v>1.8800228357177984E-2</v>
      </c>
      <c r="N449" s="2">
        <v>95.1</v>
      </c>
      <c r="O449" s="2">
        <v>96.9</v>
      </c>
      <c r="P449" s="2">
        <f>+N449-O449</f>
        <v>-1.8000000000000114</v>
      </c>
      <c r="Q449">
        <v>-0.8</v>
      </c>
    </row>
    <row r="450" spans="1:17">
      <c r="A450" t="s">
        <v>52</v>
      </c>
      <c r="B450" t="s">
        <v>53</v>
      </c>
      <c r="C450">
        <v>34</v>
      </c>
      <c r="D450">
        <v>48</v>
      </c>
      <c r="E450" s="1">
        <f>+C450/(C450+D450)</f>
        <v>0.41463414634146339</v>
      </c>
      <c r="F450" s="2">
        <v>99.7</v>
      </c>
      <c r="G450" s="2">
        <v>102.4</v>
      </c>
      <c r="H450" s="2">
        <f>+F450-G450</f>
        <v>-2.7000000000000028</v>
      </c>
      <c r="I450" s="1">
        <f>+(F450^14)/((F450^14+G450^14))</f>
        <v>0.40755201801637742</v>
      </c>
      <c r="J450" s="2">
        <v>106.2</v>
      </c>
      <c r="K450" s="2">
        <v>109.1</v>
      </c>
      <c r="L450" s="2">
        <f>+J450-K450</f>
        <v>-2.8999999999999915</v>
      </c>
      <c r="M450" s="1">
        <f>+E450-I450</f>
        <v>7.082128325085979E-3</v>
      </c>
      <c r="N450" s="2">
        <v>103.6</v>
      </c>
      <c r="O450" s="2">
        <v>105.4</v>
      </c>
      <c r="P450" s="2">
        <f>+N450-O450</f>
        <v>-1.8000000000000114</v>
      </c>
      <c r="Q450">
        <v>-0.2</v>
      </c>
    </row>
    <row r="451" spans="1:17">
      <c r="A451" t="s">
        <v>61</v>
      </c>
      <c r="B451" t="s">
        <v>15</v>
      </c>
      <c r="C451">
        <v>34</v>
      </c>
      <c r="D451">
        <v>38</v>
      </c>
      <c r="E451" s="1">
        <f>+C451/(C451+D451)</f>
        <v>0.47222222222222221</v>
      </c>
      <c r="F451" s="2">
        <v>115.3</v>
      </c>
      <c r="G451" s="2">
        <v>115.3</v>
      </c>
      <c r="H451" s="2">
        <f>+F451-G451</f>
        <v>0</v>
      </c>
      <c r="I451" s="1">
        <f>+(F451^14)/((F451^14+G451^14))</f>
        <v>0.5</v>
      </c>
      <c r="J451" s="2">
        <v>111.9</v>
      </c>
      <c r="K451" s="2">
        <v>111.9</v>
      </c>
      <c r="L451" s="2">
        <f>+J451-K451</f>
        <v>0</v>
      </c>
      <c r="M451" s="1">
        <f>+E451-I451</f>
        <v>-2.777777777777779E-2</v>
      </c>
      <c r="N451" s="2">
        <v>101.1</v>
      </c>
      <c r="O451" s="2">
        <v>102.9</v>
      </c>
      <c r="P451" s="2">
        <f>+N451-O451</f>
        <v>-1.8000000000000114</v>
      </c>
      <c r="Q451">
        <v>-0.2</v>
      </c>
    </row>
    <row r="452" spans="1:17">
      <c r="A452" t="s">
        <v>38</v>
      </c>
      <c r="B452" t="s">
        <v>28</v>
      </c>
      <c r="C452">
        <v>57</v>
      </c>
      <c r="D452">
        <v>25</v>
      </c>
      <c r="E452" s="1">
        <f>+C452/(C452+D452)</f>
        <v>0.69512195121951215</v>
      </c>
      <c r="F452" s="2">
        <v>91.5</v>
      </c>
      <c r="G452" s="2">
        <v>84.3</v>
      </c>
      <c r="H452" s="2">
        <f>+F452-G452</f>
        <v>7.2000000000000028</v>
      </c>
      <c r="I452" s="1">
        <f>+(F452^14)/((F452^14+G452^14))</f>
        <v>0.75903560483804922</v>
      </c>
      <c r="J452" s="2">
        <v>101</v>
      </c>
      <c r="K452" s="2">
        <v>93.1</v>
      </c>
      <c r="L452" s="2">
        <f>+J452-K452</f>
        <v>7.9000000000000057</v>
      </c>
      <c r="M452" s="1">
        <f>+E452-I452</f>
        <v>-6.391365361853707E-2</v>
      </c>
      <c r="N452" s="2">
        <v>95.1</v>
      </c>
      <c r="O452" s="2">
        <v>96.9</v>
      </c>
      <c r="P452" s="2">
        <f>+N452-O452</f>
        <v>-1.8000000000000114</v>
      </c>
      <c r="Q452">
        <v>0.4</v>
      </c>
    </row>
    <row r="453" spans="1:17">
      <c r="A453" t="s">
        <v>54</v>
      </c>
      <c r="B453" t="s">
        <v>14</v>
      </c>
      <c r="C453">
        <v>56</v>
      </c>
      <c r="D453">
        <v>26</v>
      </c>
      <c r="E453" s="1">
        <f>+C453/(C453+D453)</f>
        <v>0.68292682926829273</v>
      </c>
      <c r="F453" s="2">
        <v>103.9</v>
      </c>
      <c r="G453" s="2">
        <v>100.5</v>
      </c>
      <c r="H453" s="2">
        <f>+F453-G453</f>
        <v>3.4000000000000057</v>
      </c>
      <c r="I453" s="1">
        <f>+(F453^14)/((F453^14+G453^14))</f>
        <v>0.61438833657997272</v>
      </c>
      <c r="J453" s="2">
        <v>106</v>
      </c>
      <c r="K453" s="2">
        <v>102.6</v>
      </c>
      <c r="L453" s="2">
        <f>+J453-K453</f>
        <v>3.4000000000000057</v>
      </c>
      <c r="M453" s="1">
        <f>+E453-I453</f>
        <v>6.8538492688320019E-2</v>
      </c>
      <c r="N453" s="2">
        <v>98.4</v>
      </c>
      <c r="O453" s="2">
        <v>100.3</v>
      </c>
      <c r="P453" s="2">
        <f>+N453-O453</f>
        <v>-1.8999999999999915</v>
      </c>
      <c r="Q453">
        <v>-0.8</v>
      </c>
    </row>
    <row r="454" spans="1:17">
      <c r="A454" t="s">
        <v>55</v>
      </c>
      <c r="B454" t="s">
        <v>26</v>
      </c>
      <c r="C454">
        <v>44</v>
      </c>
      <c r="D454">
        <v>38</v>
      </c>
      <c r="E454" s="1">
        <f>+C454/(C454+D454)</f>
        <v>0.53658536585365857</v>
      </c>
      <c r="F454" s="2">
        <v>105.1</v>
      </c>
      <c r="G454" s="2">
        <v>104.3</v>
      </c>
      <c r="H454" s="2">
        <f>+F454-G454</f>
        <v>0.79999999999999716</v>
      </c>
      <c r="I454" s="1">
        <f>+(F454^14)/((F454^14+G454^14))</f>
        <v>0.52671773242887121</v>
      </c>
      <c r="J454" s="2">
        <v>107.6</v>
      </c>
      <c r="K454" s="2">
        <v>106.8</v>
      </c>
      <c r="L454" s="2">
        <f>+J454-K454</f>
        <v>0.79999999999999716</v>
      </c>
      <c r="M454" s="1">
        <f>+E454-I454</f>
        <v>9.8676334247873587E-3</v>
      </c>
      <c r="N454" s="2">
        <v>106.2</v>
      </c>
      <c r="O454" s="2">
        <v>108.1</v>
      </c>
      <c r="P454" s="2">
        <f>+N454-O454</f>
        <v>-1.8999999999999915</v>
      </c>
      <c r="Q454">
        <v>-0.3</v>
      </c>
    </row>
    <row r="455" spans="1:17">
      <c r="A455" t="s">
        <v>59</v>
      </c>
      <c r="B455" t="s">
        <v>7</v>
      </c>
      <c r="C455">
        <v>39</v>
      </c>
      <c r="D455">
        <v>43</v>
      </c>
      <c r="E455" s="1">
        <f>+C455/(C455+D455)</f>
        <v>0.47560975609756095</v>
      </c>
      <c r="F455" s="2">
        <v>110.7</v>
      </c>
      <c r="G455" s="2">
        <v>111.8</v>
      </c>
      <c r="H455" s="2">
        <f>+F455-G455</f>
        <v>-1.0999999999999943</v>
      </c>
      <c r="I455" s="1">
        <f>+(F455^14)/((F455^14+G455^14))</f>
        <v>0.46544813340769592</v>
      </c>
      <c r="J455" s="2">
        <v>110.7</v>
      </c>
      <c r="K455" s="2">
        <v>112</v>
      </c>
      <c r="L455" s="2">
        <f>+J455-K455</f>
        <v>-1.2999999999999972</v>
      </c>
      <c r="M455" s="1">
        <f>+E455-I455</f>
        <v>1.0161622689865035E-2</v>
      </c>
      <c r="N455" s="2">
        <v>109.3</v>
      </c>
      <c r="O455" s="2">
        <v>111.2</v>
      </c>
      <c r="P455" s="2">
        <f>+N455-O455</f>
        <v>-1.9000000000000057</v>
      </c>
      <c r="Q455">
        <v>-1.1000000000000001</v>
      </c>
    </row>
    <row r="456" spans="1:17">
      <c r="A456" t="s">
        <v>34</v>
      </c>
      <c r="B456" t="s">
        <v>15</v>
      </c>
      <c r="C456">
        <v>42</v>
      </c>
      <c r="D456">
        <v>40</v>
      </c>
      <c r="E456" s="1">
        <f>+C456/(C456+D456)</f>
        <v>0.51219512195121952</v>
      </c>
      <c r="F456" s="2">
        <v>96.8</v>
      </c>
      <c r="G456" s="2">
        <v>96.5</v>
      </c>
      <c r="H456" s="2">
        <f>+F456-G456</f>
        <v>0.29999999999999716</v>
      </c>
      <c r="I456" s="1">
        <f>+(F456^14)/((F456^14+G456^14))</f>
        <v>0.51086224147445425</v>
      </c>
      <c r="J456" s="2">
        <v>102.8</v>
      </c>
      <c r="K456" s="2">
        <v>102.4</v>
      </c>
      <c r="L456" s="2">
        <f>+J456-K456</f>
        <v>0.39999999999999147</v>
      </c>
      <c r="M456" s="1">
        <f>+E456-I456</f>
        <v>1.3328804767652747E-3</v>
      </c>
      <c r="N456" s="2">
        <v>101.1</v>
      </c>
      <c r="O456" s="2">
        <v>103</v>
      </c>
      <c r="P456" s="2">
        <f>+N456-O456</f>
        <v>-1.9000000000000057</v>
      </c>
      <c r="Q456">
        <v>-0.1</v>
      </c>
    </row>
    <row r="457" spans="1:17">
      <c r="A457" t="s">
        <v>62</v>
      </c>
      <c r="B457" t="s">
        <v>7</v>
      </c>
      <c r="C457">
        <v>43</v>
      </c>
      <c r="D457">
        <v>39</v>
      </c>
      <c r="E457" s="1">
        <f>+C457/(C457+D457)</f>
        <v>0.52439024390243905</v>
      </c>
      <c r="F457" s="2">
        <v>115.3</v>
      </c>
      <c r="G457" s="2">
        <v>114.9</v>
      </c>
      <c r="H457" s="2">
        <f>+F457-G457</f>
        <v>0.39999999999999147</v>
      </c>
      <c r="I457" s="1">
        <f>+(F457^14)/((F457^14+G457^14))</f>
        <v>0.5121609496635926</v>
      </c>
      <c r="J457" s="2">
        <v>113.6</v>
      </c>
      <c r="K457" s="2">
        <v>113.1</v>
      </c>
      <c r="L457" s="2">
        <f>+J457-K457</f>
        <v>0.5</v>
      </c>
      <c r="M457" s="1">
        <f>+E457-I457</f>
        <v>1.2229294238846444E-2</v>
      </c>
      <c r="N457" s="2">
        <v>109.6</v>
      </c>
      <c r="O457" s="2">
        <v>111.6</v>
      </c>
      <c r="P457" s="2">
        <f>+N457-O457</f>
        <v>-2</v>
      </c>
      <c r="Q457">
        <v>0.8</v>
      </c>
    </row>
    <row r="458" spans="1:17">
      <c r="A458" t="s">
        <v>57</v>
      </c>
      <c r="B458" t="s">
        <v>22</v>
      </c>
      <c r="C458">
        <v>31</v>
      </c>
      <c r="D458">
        <v>51</v>
      </c>
      <c r="E458" s="1">
        <f>+C458/(C458+D458)</f>
        <v>0.37804878048780488</v>
      </c>
      <c r="F458" s="2">
        <v>104.3</v>
      </c>
      <c r="G458" s="2">
        <v>108</v>
      </c>
      <c r="H458" s="2">
        <f>+F458-G458</f>
        <v>-3.7000000000000028</v>
      </c>
      <c r="I458" s="1">
        <f>+(F458^14)/((F458^14+G458^14))</f>
        <v>0.38035584719829063</v>
      </c>
      <c r="J458" s="2">
        <v>107.1</v>
      </c>
      <c r="K458" s="2">
        <v>110.7</v>
      </c>
      <c r="L458" s="2">
        <f>+J458-K458</f>
        <v>-3.6000000000000085</v>
      </c>
      <c r="M458" s="1">
        <f>+E458-I458</f>
        <v>-2.3070667104857501E-3</v>
      </c>
      <c r="N458" s="2">
        <v>104.7</v>
      </c>
      <c r="O458" s="2">
        <v>106.7</v>
      </c>
      <c r="P458" s="2">
        <f>+N458-O458</f>
        <v>-2</v>
      </c>
      <c r="Q458">
        <v>0.6</v>
      </c>
    </row>
    <row r="459" spans="1:17">
      <c r="A459" t="s">
        <v>54</v>
      </c>
      <c r="B459" t="s">
        <v>19</v>
      </c>
      <c r="C459">
        <v>41</v>
      </c>
      <c r="D459">
        <v>41</v>
      </c>
      <c r="E459" s="1">
        <f>+C459/(C459+D459)</f>
        <v>0.5</v>
      </c>
      <c r="F459" s="2">
        <v>97.8</v>
      </c>
      <c r="G459" s="2">
        <v>97.4</v>
      </c>
      <c r="H459" s="2">
        <f>+F459-G459</f>
        <v>0.39999999999999147</v>
      </c>
      <c r="I459" s="1">
        <f>+(F459^14)/((F459^14+G459^14))</f>
        <v>0.51434034839194509</v>
      </c>
      <c r="J459" s="2">
        <v>102</v>
      </c>
      <c r="K459" s="2">
        <v>101.4</v>
      </c>
      <c r="L459" s="2">
        <f>+J459-K459</f>
        <v>0.59999999999999432</v>
      </c>
      <c r="M459" s="1">
        <f>+E459-I459</f>
        <v>-1.434034839194509E-2</v>
      </c>
      <c r="N459" s="2">
        <v>94.2</v>
      </c>
      <c r="O459" s="2">
        <v>96.2</v>
      </c>
      <c r="P459" s="2">
        <f>+N459-O459</f>
        <v>-2</v>
      </c>
      <c r="Q459">
        <v>-1</v>
      </c>
    </row>
    <row r="460" spans="1:17">
      <c r="A460" t="s">
        <v>59</v>
      </c>
      <c r="B460" t="s">
        <v>51</v>
      </c>
      <c r="C460">
        <v>42</v>
      </c>
      <c r="D460">
        <v>40</v>
      </c>
      <c r="E460" s="1">
        <f>+C460/(C460+D460)</f>
        <v>0.51219512195121952</v>
      </c>
      <c r="F460" s="2">
        <v>112.2</v>
      </c>
      <c r="G460" s="2">
        <v>112.3</v>
      </c>
      <c r="H460" s="2">
        <f>+F460-G460</f>
        <v>-9.9999999999994316E-2</v>
      </c>
      <c r="I460" s="1">
        <f>+(F460^14)/((F460^14+G460^14))</f>
        <v>0.49688200012291167</v>
      </c>
      <c r="J460" s="2">
        <v>108.9</v>
      </c>
      <c r="K460" s="2">
        <v>109</v>
      </c>
      <c r="L460" s="2">
        <f>+J460-K460</f>
        <v>-9.9999999999994316E-2</v>
      </c>
      <c r="M460" s="1">
        <f>+E460-I460</f>
        <v>1.5313121828307852E-2</v>
      </c>
      <c r="N460" s="2">
        <v>109.7</v>
      </c>
      <c r="O460" s="2">
        <v>111.8</v>
      </c>
      <c r="P460" s="2">
        <f>+N460-O460</f>
        <v>-2.0999999999999943</v>
      </c>
      <c r="Q460">
        <v>-0.3</v>
      </c>
    </row>
    <row r="461" spans="1:17">
      <c r="A461" t="s">
        <v>59</v>
      </c>
      <c r="B461" t="s">
        <v>12</v>
      </c>
      <c r="C461">
        <v>41</v>
      </c>
      <c r="D461">
        <v>41</v>
      </c>
      <c r="E461" s="1">
        <f>+C461/(C461+D461)</f>
        <v>0.5</v>
      </c>
      <c r="F461" s="2">
        <v>107</v>
      </c>
      <c r="G461" s="2">
        <v>107.3</v>
      </c>
      <c r="H461" s="2">
        <f>+F461-G461</f>
        <v>-0.29999999999999716</v>
      </c>
      <c r="I461" s="1">
        <f>+(F461^14)/((F461^14+G461^14))</f>
        <v>0.4902019013698185</v>
      </c>
      <c r="J461" s="2">
        <v>108.4</v>
      </c>
      <c r="K461" s="2">
        <v>108.7</v>
      </c>
      <c r="L461" s="2">
        <f>+J461-K461</f>
        <v>-0.29999999999999716</v>
      </c>
      <c r="M461" s="1">
        <f>+E461-I461</f>
        <v>9.7980986301814954E-3</v>
      </c>
      <c r="N461" s="2">
        <v>111.9</v>
      </c>
      <c r="O461" s="2">
        <v>114</v>
      </c>
      <c r="P461" s="2">
        <f>+N461-O461</f>
        <v>-2.0999999999999943</v>
      </c>
      <c r="Q461">
        <v>1.1000000000000001</v>
      </c>
    </row>
    <row r="462" spans="1:17">
      <c r="A462" t="s">
        <v>49</v>
      </c>
      <c r="B462" t="s">
        <v>11</v>
      </c>
      <c r="C462">
        <v>38</v>
      </c>
      <c r="D462">
        <v>28</v>
      </c>
      <c r="E462" s="1">
        <f>+C462/(C462+D462)</f>
        <v>0.5757575757575758</v>
      </c>
      <c r="F462" s="2">
        <v>104.1</v>
      </c>
      <c r="G462" s="2">
        <v>101.2</v>
      </c>
      <c r="H462" s="2">
        <f>+F462-G462</f>
        <v>2.8999999999999915</v>
      </c>
      <c r="I462" s="1">
        <f>+(F462^14)/((F462^14+G462^14))</f>
        <v>0.59761684455531594</v>
      </c>
      <c r="J462" s="2">
        <v>108.3</v>
      </c>
      <c r="K462" s="2">
        <v>105.1</v>
      </c>
      <c r="L462" s="2">
        <f>+J462-K462</f>
        <v>3.2000000000000028</v>
      </c>
      <c r="M462" s="1">
        <f>+E462-I462</f>
        <v>-2.1859268797740139E-2</v>
      </c>
      <c r="N462" s="2">
        <v>97.9</v>
      </c>
      <c r="O462" s="2">
        <v>100</v>
      </c>
      <c r="P462" s="2">
        <f>+N462-O462</f>
        <v>-2.0999999999999943</v>
      </c>
      <c r="Q462">
        <v>0.3</v>
      </c>
    </row>
    <row r="463" spans="1:17">
      <c r="A463" t="s">
        <v>44</v>
      </c>
      <c r="B463" t="s">
        <v>19</v>
      </c>
      <c r="C463">
        <v>26</v>
      </c>
      <c r="D463">
        <v>56</v>
      </c>
      <c r="E463" s="1">
        <f>+C463/(C463+D463)</f>
        <v>0.31707317073170732</v>
      </c>
      <c r="F463" s="2">
        <v>97</v>
      </c>
      <c r="G463" s="2">
        <v>103.9</v>
      </c>
      <c r="H463" s="2">
        <f>+F463-G463</f>
        <v>-6.9000000000000057</v>
      </c>
      <c r="I463" s="1">
        <f>+(F463^14)/((F463^14+G463^14))</f>
        <v>0.27646776360303693</v>
      </c>
      <c r="J463" s="2">
        <v>103.9</v>
      </c>
      <c r="K463" s="2">
        <v>111.1</v>
      </c>
      <c r="L463" s="2">
        <f>+J463-K463</f>
        <v>-7.1999999999999886</v>
      </c>
      <c r="M463" s="1">
        <f>+E463-I463</f>
        <v>4.060540712867039E-2</v>
      </c>
      <c r="N463" s="2">
        <v>109.3</v>
      </c>
      <c r="O463" s="2">
        <v>111.5</v>
      </c>
      <c r="P463" s="2">
        <f>+N463-O463</f>
        <v>-2.2000000000000028</v>
      </c>
      <c r="Q463">
        <v>-1.7</v>
      </c>
    </row>
    <row r="464" spans="1:17">
      <c r="A464" t="s">
        <v>43</v>
      </c>
      <c r="B464" t="s">
        <v>16</v>
      </c>
      <c r="C464">
        <v>40</v>
      </c>
      <c r="D464">
        <v>42</v>
      </c>
      <c r="E464" s="1">
        <f>+C464/(C464+D464)</f>
        <v>0.48780487804878048</v>
      </c>
      <c r="F464" s="2">
        <v>95.6</v>
      </c>
      <c r="G464" s="2">
        <v>96.1</v>
      </c>
      <c r="H464" s="2">
        <f>+F464-G464</f>
        <v>-0.5</v>
      </c>
      <c r="I464" s="1">
        <f>+(F464^14)/((F464^14+G464^14))</f>
        <v>0.48175037478926502</v>
      </c>
      <c r="J464" s="2">
        <v>103.8</v>
      </c>
      <c r="K464" s="2">
        <v>104.2</v>
      </c>
      <c r="L464" s="2">
        <f>+J464-K464</f>
        <v>-0.40000000000000568</v>
      </c>
      <c r="M464" s="1">
        <f>+E464-I464</f>
        <v>6.0545032595154535E-3</v>
      </c>
      <c r="N464" s="2">
        <v>105.7</v>
      </c>
      <c r="O464" s="2">
        <v>107.9</v>
      </c>
      <c r="P464" s="2">
        <f>+N464-O464</f>
        <v>-2.2000000000000028</v>
      </c>
      <c r="Q464">
        <v>-0.3</v>
      </c>
    </row>
    <row r="465" spans="1:17">
      <c r="A465" t="s">
        <v>38</v>
      </c>
      <c r="B465" t="s">
        <v>23</v>
      </c>
      <c r="C465">
        <v>21</v>
      </c>
      <c r="D465">
        <v>61</v>
      </c>
      <c r="E465" s="1">
        <f>+C465/(C465+D465)</f>
        <v>0.25609756097560976</v>
      </c>
      <c r="F465" s="2">
        <v>94</v>
      </c>
      <c r="G465" s="2">
        <v>101.1</v>
      </c>
      <c r="H465" s="2">
        <f>+F465-G465</f>
        <v>-7.0999999999999943</v>
      </c>
      <c r="I465" s="1">
        <f>+(F465^14)/((F465^14+G465^14))</f>
        <v>0.26514140361954713</v>
      </c>
      <c r="J465" s="2">
        <v>101.4</v>
      </c>
      <c r="K465" s="2">
        <v>108.8</v>
      </c>
      <c r="L465" s="2">
        <f>+J465-K465</f>
        <v>-7.3999999999999915</v>
      </c>
      <c r="M465" s="1">
        <f>+E465-I465</f>
        <v>-9.043842643937372E-3</v>
      </c>
      <c r="N465" s="2">
        <v>97.2</v>
      </c>
      <c r="O465" s="2">
        <v>99.4</v>
      </c>
      <c r="P465" s="2">
        <f>+N465-O465</f>
        <v>-2.2000000000000028</v>
      </c>
      <c r="Q465">
        <v>-2.4</v>
      </c>
    </row>
    <row r="466" spans="1:17">
      <c r="A466" t="s">
        <v>52</v>
      </c>
      <c r="B466" t="s">
        <v>51</v>
      </c>
      <c r="C466">
        <v>44</v>
      </c>
      <c r="D466">
        <v>38</v>
      </c>
      <c r="E466" s="1">
        <f>+C466/(C466+D466)</f>
        <v>0.53658536585365857</v>
      </c>
      <c r="F466" s="2">
        <v>98.5</v>
      </c>
      <c r="G466" s="2">
        <v>99.5</v>
      </c>
      <c r="H466" s="2">
        <f>+F466-G466</f>
        <v>-1</v>
      </c>
      <c r="I466" s="1">
        <f>+(F466^14)/((F466^14+G466^14))</f>
        <v>0.46470496450899657</v>
      </c>
      <c r="J466" s="2">
        <v>105.4</v>
      </c>
      <c r="K466" s="2">
        <v>106.7</v>
      </c>
      <c r="L466" s="2">
        <f>+J466-K466</f>
        <v>-1.2999999999999972</v>
      </c>
      <c r="M466" s="1">
        <f>+E466-I466</f>
        <v>7.1880401344662004E-2</v>
      </c>
      <c r="N466" s="2">
        <v>98.3</v>
      </c>
      <c r="O466" s="2">
        <v>100.6</v>
      </c>
      <c r="P466" s="2">
        <f>+N466-O466</f>
        <v>-2.2999999999999972</v>
      </c>
      <c r="Q466">
        <v>-1.1000000000000001</v>
      </c>
    </row>
    <row r="467" spans="1:17">
      <c r="A467" t="s">
        <v>62</v>
      </c>
      <c r="B467" t="s">
        <v>23</v>
      </c>
      <c r="C467">
        <v>22</v>
      </c>
      <c r="D467">
        <v>60</v>
      </c>
      <c r="E467" s="1">
        <f>+C467/(C467+D467)</f>
        <v>0.26829268292682928</v>
      </c>
      <c r="F467" s="2">
        <v>104.2</v>
      </c>
      <c r="G467" s="2">
        <v>112.2</v>
      </c>
      <c r="H467" s="2">
        <f>+F467-G467</f>
        <v>-8</v>
      </c>
      <c r="I467" s="1">
        <f>+(F467^14)/((F467^14+G467^14))</f>
        <v>0.26200139759286833</v>
      </c>
      <c r="J467" s="2">
        <v>103.9</v>
      </c>
      <c r="K467" s="2">
        <v>112.1</v>
      </c>
      <c r="L467" s="2">
        <f>+J467-K467</f>
        <v>-8.1999999999999886</v>
      </c>
      <c r="M467" s="1">
        <f>+E467-I467</f>
        <v>6.2912853339609498E-3</v>
      </c>
      <c r="N467" s="2">
        <v>98.8</v>
      </c>
      <c r="O467" s="2">
        <v>101.2</v>
      </c>
      <c r="P467" s="2">
        <f>+N467-O467</f>
        <v>-2.4000000000000057</v>
      </c>
      <c r="Q467">
        <v>-0.2</v>
      </c>
    </row>
    <row r="468" spans="1:17">
      <c r="A468" t="s">
        <v>36</v>
      </c>
      <c r="B468" t="s">
        <v>30</v>
      </c>
      <c r="C468">
        <v>24</v>
      </c>
      <c r="D468">
        <v>58</v>
      </c>
      <c r="E468" s="1">
        <f>+C468/(C468+D468)</f>
        <v>0.29268292682926828</v>
      </c>
      <c r="F468" s="2">
        <v>90.9</v>
      </c>
      <c r="G468" s="2">
        <v>96.8</v>
      </c>
      <c r="H468" s="2">
        <f>+F468-G468</f>
        <v>-5.8999999999999915</v>
      </c>
      <c r="I468" s="1">
        <f>+(F468^14)/((F468^14+G468^14))</f>
        <v>0.29309118654274396</v>
      </c>
      <c r="J468" s="2">
        <v>99.3</v>
      </c>
      <c r="K468" s="2">
        <v>105.6</v>
      </c>
      <c r="L468" s="2">
        <f>+J468-K468</f>
        <v>-6.2999999999999972</v>
      </c>
      <c r="M468" s="1">
        <f>+E468-I468</f>
        <v>-4.0825971347568935E-4</v>
      </c>
      <c r="N468" s="2">
        <v>101.2</v>
      </c>
      <c r="O468" s="2">
        <v>103.7</v>
      </c>
      <c r="P468" s="2">
        <f>+N468-O468</f>
        <v>-2.5</v>
      </c>
      <c r="Q468">
        <v>-1</v>
      </c>
    </row>
    <row r="469" spans="1:17">
      <c r="A469" t="s">
        <v>59</v>
      </c>
      <c r="B469" t="s">
        <v>23</v>
      </c>
      <c r="C469">
        <v>42</v>
      </c>
      <c r="D469">
        <v>40</v>
      </c>
      <c r="E469" s="1">
        <f>+C469/(C469+D469)</f>
        <v>0.51219512195121952</v>
      </c>
      <c r="F469" s="2">
        <v>107.3</v>
      </c>
      <c r="G469" s="2">
        <v>106.6</v>
      </c>
      <c r="H469" s="2">
        <f>+F469-G469</f>
        <v>0.70000000000000284</v>
      </c>
      <c r="I469" s="1">
        <f>+(F469^14)/((F469^14+G469^14))</f>
        <v>0.52289196737820709</v>
      </c>
      <c r="J469" s="2">
        <v>108.2</v>
      </c>
      <c r="K469" s="2">
        <v>107.6</v>
      </c>
      <c r="L469" s="2">
        <f>+J469-K469</f>
        <v>0.60000000000000853</v>
      </c>
      <c r="M469" s="1">
        <f>+E469-I469</f>
        <v>-1.0696845426987567E-2</v>
      </c>
      <c r="N469" s="2">
        <v>96</v>
      </c>
      <c r="O469" s="2">
        <v>98.5</v>
      </c>
      <c r="P469" s="2">
        <f>+N469-O469</f>
        <v>-2.5</v>
      </c>
      <c r="Q469">
        <v>-0.5</v>
      </c>
    </row>
    <row r="470" spans="1:17">
      <c r="A470" t="s">
        <v>50</v>
      </c>
      <c r="B470" t="s">
        <v>6</v>
      </c>
      <c r="C470">
        <v>41</v>
      </c>
      <c r="D470">
        <v>40</v>
      </c>
      <c r="E470" s="1">
        <f>+C470/(C470+D470)</f>
        <v>0.50617283950617287</v>
      </c>
      <c r="F470" s="2">
        <v>96.5</v>
      </c>
      <c r="G470" s="2">
        <v>96.7</v>
      </c>
      <c r="H470" s="2">
        <f>+F470-G470</f>
        <v>-0.20000000000000284</v>
      </c>
      <c r="I470" s="1">
        <f>+(F470^14)/((F470^14+G470^14))</f>
        <v>0.49275412790061462</v>
      </c>
      <c r="J470" s="2">
        <v>102.2</v>
      </c>
      <c r="K470" s="2">
        <v>102.6</v>
      </c>
      <c r="L470" s="2">
        <f>+J470-K470</f>
        <v>-0.39999999999999147</v>
      </c>
      <c r="M470" s="1">
        <f>+E470-I470</f>
        <v>1.3418711605558242E-2</v>
      </c>
      <c r="N470" s="2">
        <v>92.5</v>
      </c>
      <c r="O470" s="2">
        <v>95.1</v>
      </c>
      <c r="P470" s="2">
        <f>+N470-O470</f>
        <v>-2.5999999999999943</v>
      </c>
      <c r="Q470">
        <v>-0.6</v>
      </c>
    </row>
    <row r="471" spans="1:17">
      <c r="A471" t="s">
        <v>60</v>
      </c>
      <c r="B471" t="s">
        <v>27</v>
      </c>
      <c r="C471">
        <v>31</v>
      </c>
      <c r="D471">
        <v>41</v>
      </c>
      <c r="E471" s="1">
        <f>+C471/(C471+D471)</f>
        <v>0.43055555555555558</v>
      </c>
      <c r="F471" s="2">
        <v>110.1</v>
      </c>
      <c r="G471" s="2">
        <v>112.1</v>
      </c>
      <c r="H471" s="2">
        <f>+F471-G471</f>
        <v>-2</v>
      </c>
      <c r="I471" s="1">
        <f>+(F471^14)/((F471^14+G471^14))</f>
        <v>0.43732341582347528</v>
      </c>
      <c r="J471" s="2">
        <v>109.5</v>
      </c>
      <c r="K471" s="2">
        <v>111.4</v>
      </c>
      <c r="L471" s="2">
        <f>+J471-K471</f>
        <v>-1.9000000000000057</v>
      </c>
      <c r="M471" s="1">
        <f>+E471-I471</f>
        <v>-6.7678602679197009E-3</v>
      </c>
      <c r="N471" s="2">
        <v>111</v>
      </c>
      <c r="O471" s="2">
        <v>113.7</v>
      </c>
      <c r="P471" s="2">
        <f>+N471-O471</f>
        <v>-2.7000000000000028</v>
      </c>
      <c r="Q471">
        <v>0.1</v>
      </c>
    </row>
    <row r="472" spans="1:17">
      <c r="A472" t="s">
        <v>58</v>
      </c>
      <c r="B472" t="s">
        <v>46</v>
      </c>
      <c r="C472">
        <v>48</v>
      </c>
      <c r="D472">
        <v>34</v>
      </c>
      <c r="E472" s="1">
        <f>+C472/(C472+D472)</f>
        <v>0.58536585365853655</v>
      </c>
      <c r="F472" s="2">
        <v>107.9</v>
      </c>
      <c r="G472" s="2">
        <v>104.4</v>
      </c>
      <c r="H472" s="2">
        <f>+F472-G472</f>
        <v>3.5</v>
      </c>
      <c r="I472" s="1">
        <f>+(F472^14)/((F472^14+G472^14))</f>
        <v>0.61340618235435873</v>
      </c>
      <c r="J472" s="2">
        <v>110.1</v>
      </c>
      <c r="K472" s="2">
        <v>106.4</v>
      </c>
      <c r="L472" s="2">
        <f>+J472-K472</f>
        <v>3.6999999999999886</v>
      </c>
      <c r="M472" s="1">
        <f>+E472-I472</f>
        <v>-2.8040328695822181E-2</v>
      </c>
      <c r="N472" s="2">
        <v>104.5</v>
      </c>
      <c r="O472" s="2">
        <v>107.2</v>
      </c>
      <c r="P472" s="2">
        <f>+N472-O472</f>
        <v>-2.7000000000000028</v>
      </c>
      <c r="Q472">
        <v>1.5</v>
      </c>
    </row>
    <row r="473" spans="1:17">
      <c r="A473" t="s">
        <v>4</v>
      </c>
      <c r="B473" t="s">
        <v>28</v>
      </c>
      <c r="C473">
        <v>58</v>
      </c>
      <c r="D473">
        <v>24</v>
      </c>
      <c r="E473" s="1">
        <f>+C473/(C473+D473)</f>
        <v>0.70731707317073167</v>
      </c>
      <c r="F473" s="2">
        <v>96.2</v>
      </c>
      <c r="G473" s="2">
        <v>88.4</v>
      </c>
      <c r="H473" s="2">
        <f>+F473-G473</f>
        <v>7.7999999999999972</v>
      </c>
      <c r="I473" s="1">
        <f>+(F473^14)/((F473^14+G473^14))</f>
        <v>0.76563098176040723</v>
      </c>
      <c r="J473" s="2">
        <v>105</v>
      </c>
      <c r="K473" s="2">
        <v>96.6</v>
      </c>
      <c r="L473" s="2">
        <f>+J473-K473</f>
        <v>8.4000000000000057</v>
      </c>
      <c r="M473" s="1">
        <f>+E473-I473</f>
        <v>-5.8313908589675556E-2</v>
      </c>
      <c r="N473" s="2">
        <v>97.7</v>
      </c>
      <c r="O473" s="2">
        <v>100.4</v>
      </c>
      <c r="P473" s="2">
        <f>+N473-O473</f>
        <v>-2.7000000000000028</v>
      </c>
      <c r="Q473">
        <v>0.9</v>
      </c>
    </row>
    <row r="474" spans="1:17">
      <c r="A474" t="s">
        <v>45</v>
      </c>
      <c r="B474" t="s">
        <v>21</v>
      </c>
      <c r="C474">
        <v>34</v>
      </c>
      <c r="D474">
        <v>48</v>
      </c>
      <c r="E474" s="1">
        <f>+C474/(C474+D474)</f>
        <v>0.41463414634146339</v>
      </c>
      <c r="F474" s="2">
        <v>98.1</v>
      </c>
      <c r="G474" s="2">
        <v>100.5</v>
      </c>
      <c r="H474" s="2">
        <f>+F474-G474</f>
        <v>-2.4000000000000057</v>
      </c>
      <c r="I474" s="1">
        <f>+(F474^14)/((F474^14+G474^14))</f>
        <v>0.41620182026051067</v>
      </c>
      <c r="J474" s="2">
        <v>106.8</v>
      </c>
      <c r="K474" s="2">
        <v>109.5</v>
      </c>
      <c r="L474" s="2">
        <f>+J474-K474</f>
        <v>-2.7000000000000028</v>
      </c>
      <c r="M474" s="1">
        <f>+E474-I474</f>
        <v>-1.5676739190472744E-3</v>
      </c>
      <c r="N474" s="2">
        <v>105.3</v>
      </c>
      <c r="O474" s="2">
        <v>108.1</v>
      </c>
      <c r="P474" s="2">
        <f>+N474-O474</f>
        <v>-2.7999999999999972</v>
      </c>
      <c r="Q474">
        <v>1.1000000000000001</v>
      </c>
    </row>
    <row r="475" spans="1:17">
      <c r="A475" t="s">
        <v>38</v>
      </c>
      <c r="B475" t="s">
        <v>19</v>
      </c>
      <c r="C475">
        <v>41</v>
      </c>
      <c r="D475">
        <v>41</v>
      </c>
      <c r="E475" s="1">
        <f>+C475/(C475+D475)</f>
        <v>0.5</v>
      </c>
      <c r="F475" s="2">
        <v>98</v>
      </c>
      <c r="G475" s="2">
        <v>97</v>
      </c>
      <c r="H475" s="2">
        <f>+F475-G475</f>
        <v>1</v>
      </c>
      <c r="I475" s="1">
        <f>+(F475^14)/((F475^14+G475^14))</f>
        <v>0.53583619805025806</v>
      </c>
      <c r="J475" s="2">
        <v>104.6</v>
      </c>
      <c r="K475" s="2">
        <v>103.5</v>
      </c>
      <c r="L475" s="2">
        <f>+J475-K475</f>
        <v>1.0999999999999943</v>
      </c>
      <c r="M475" s="1">
        <f>+E475-I475</f>
        <v>-3.5836198050258061E-2</v>
      </c>
      <c r="N475" s="2">
        <v>94.3</v>
      </c>
      <c r="O475" s="2">
        <v>97.1</v>
      </c>
      <c r="P475" s="2">
        <f>+N475-O475</f>
        <v>-2.7999999999999972</v>
      </c>
      <c r="Q475">
        <v>0.2</v>
      </c>
    </row>
    <row r="476" spans="1:17">
      <c r="A476" t="s">
        <v>49</v>
      </c>
      <c r="B476" t="s">
        <v>9</v>
      </c>
      <c r="C476">
        <v>21</v>
      </c>
      <c r="D476">
        <v>45</v>
      </c>
      <c r="E476" s="1">
        <f>+C476/(C476+D476)</f>
        <v>0.31818181818181818</v>
      </c>
      <c r="F476" s="2">
        <v>93</v>
      </c>
      <c r="G476" s="2">
        <v>100.2</v>
      </c>
      <c r="H476" s="2">
        <f>+F476-G476</f>
        <v>-7.2000000000000028</v>
      </c>
      <c r="I476" s="1">
        <f>+(F476^14)/((F476^14+G476^14))</f>
        <v>0.2603862977504619</v>
      </c>
      <c r="J476" s="2">
        <v>100</v>
      </c>
      <c r="K476" s="2">
        <v>107.6</v>
      </c>
      <c r="L476" s="2">
        <f>+J476-K476</f>
        <v>-7.5999999999999943</v>
      </c>
      <c r="M476" s="1">
        <f>+E476-I476</f>
        <v>5.7795520431356273E-2</v>
      </c>
      <c r="N476" s="2">
        <v>103</v>
      </c>
      <c r="O476" s="2">
        <v>106</v>
      </c>
      <c r="P476" s="2">
        <f>+N476-O476</f>
        <v>-3</v>
      </c>
      <c r="Q476">
        <v>0.3</v>
      </c>
    </row>
    <row r="477" spans="1:17">
      <c r="A477" t="s">
        <v>39</v>
      </c>
      <c r="B477" t="s">
        <v>19</v>
      </c>
      <c r="C477">
        <v>30</v>
      </c>
      <c r="D477">
        <v>52</v>
      </c>
      <c r="E477" s="1">
        <f>+C477/(C477+D477)</f>
        <v>0.36585365853658536</v>
      </c>
      <c r="F477" s="2">
        <v>97.2</v>
      </c>
      <c r="G477" s="2">
        <v>100.2</v>
      </c>
      <c r="H477" s="2">
        <f>+F477-G477</f>
        <v>-3</v>
      </c>
      <c r="I477" s="1">
        <f>+(F477^14)/((F477^14+G477^14))</f>
        <v>0.3951859407291477</v>
      </c>
      <c r="J477" s="2">
        <v>105.1</v>
      </c>
      <c r="K477" s="2">
        <v>108.1</v>
      </c>
      <c r="L477" s="2">
        <f>+J477-K477</f>
        <v>-3</v>
      </c>
      <c r="M477" s="1">
        <f>+E477-I477</f>
        <v>-2.9332282192562342E-2</v>
      </c>
      <c r="N477" s="2">
        <v>105.2</v>
      </c>
      <c r="O477" s="2">
        <v>108.2</v>
      </c>
      <c r="P477" s="2">
        <f>+N477-O477</f>
        <v>-3</v>
      </c>
      <c r="Q477">
        <v>-1.3</v>
      </c>
    </row>
    <row r="478" spans="1:17">
      <c r="A478" t="s">
        <v>55</v>
      </c>
      <c r="B478" t="s">
        <v>33</v>
      </c>
      <c r="C478">
        <v>41</v>
      </c>
      <c r="D478">
        <v>41</v>
      </c>
      <c r="E478" s="1">
        <f>+C478/(C478+D478)</f>
        <v>0.5</v>
      </c>
      <c r="F478" s="2">
        <v>104.1</v>
      </c>
      <c r="G478" s="2">
        <v>104.6</v>
      </c>
      <c r="H478" s="2">
        <f>+F478-G478</f>
        <v>-0.5</v>
      </c>
      <c r="I478" s="1">
        <f>+(F478^14)/((F478^14+G478^14))</f>
        <v>0.48323577008477736</v>
      </c>
      <c r="J478" s="2">
        <v>104.5</v>
      </c>
      <c r="K478" s="2">
        <v>105.1</v>
      </c>
      <c r="L478" s="2">
        <f>+J478-K478</f>
        <v>-0.59999999999999432</v>
      </c>
      <c r="M478" s="1">
        <f>+E478-I478</f>
        <v>1.6764229915222639E-2</v>
      </c>
      <c r="N478" s="2">
        <v>101.4</v>
      </c>
      <c r="O478" s="2">
        <v>104.5</v>
      </c>
      <c r="P478" s="2">
        <f>+N478-O478</f>
        <v>-3.0999999999999943</v>
      </c>
      <c r="Q478">
        <v>-0.3</v>
      </c>
    </row>
    <row r="479" spans="1:17">
      <c r="A479" t="s">
        <v>43</v>
      </c>
      <c r="B479" t="s">
        <v>20</v>
      </c>
      <c r="C479">
        <v>32</v>
      </c>
      <c r="D479">
        <v>50</v>
      </c>
      <c r="E479" s="1">
        <f>+C479/(C479+D479)</f>
        <v>0.3902439024390244</v>
      </c>
      <c r="F479" s="2">
        <v>96.1</v>
      </c>
      <c r="G479" s="2">
        <v>99.7</v>
      </c>
      <c r="H479" s="2">
        <f>+F479-G479</f>
        <v>-3.6000000000000085</v>
      </c>
      <c r="I479" s="1">
        <f>+(F479^14)/((F479^14+G479^14))</f>
        <v>0.37405280109871952</v>
      </c>
      <c r="J479" s="2">
        <v>102.4</v>
      </c>
      <c r="K479" s="2">
        <v>106.5</v>
      </c>
      <c r="L479" s="2">
        <f>+J479-K479</f>
        <v>-4.0999999999999943</v>
      </c>
      <c r="M479" s="1">
        <f>+E479-I479</f>
        <v>1.6191101340304881E-2</v>
      </c>
      <c r="N479" s="2">
        <v>98.2</v>
      </c>
      <c r="O479" s="2">
        <v>101.3</v>
      </c>
      <c r="P479" s="2">
        <f>+N479-O479</f>
        <v>-3.0999999999999943</v>
      </c>
      <c r="Q479">
        <v>0</v>
      </c>
    </row>
    <row r="480" spans="1:17">
      <c r="A480" t="s">
        <v>55</v>
      </c>
      <c r="B480" t="s">
        <v>23</v>
      </c>
      <c r="C480">
        <v>35</v>
      </c>
      <c r="D480">
        <v>47</v>
      </c>
      <c r="E480" s="1">
        <f>+C480/(C480+D480)</f>
        <v>0.42682926829268292</v>
      </c>
      <c r="F480" s="2">
        <v>102.1</v>
      </c>
      <c r="G480" s="2">
        <v>103.7</v>
      </c>
      <c r="H480" s="2">
        <f>+F480-G480</f>
        <v>-1.6000000000000085</v>
      </c>
      <c r="I480" s="1">
        <f>+(F480^14)/((F480^14+G480^14))</f>
        <v>0.44579104414763582</v>
      </c>
      <c r="J480" s="2">
        <v>104.4</v>
      </c>
      <c r="K480" s="2">
        <v>106</v>
      </c>
      <c r="L480" s="2">
        <f>+J480-K480</f>
        <v>-1.5999999999999943</v>
      </c>
      <c r="M480" s="1">
        <f>+E480-I480</f>
        <v>-1.89617758549529E-2</v>
      </c>
      <c r="N480" s="2">
        <v>94.2</v>
      </c>
      <c r="O480" s="2">
        <v>97.3</v>
      </c>
      <c r="P480" s="2">
        <f>+N480-O480</f>
        <v>-3.0999999999999943</v>
      </c>
      <c r="Q480">
        <v>-0.7</v>
      </c>
    </row>
    <row r="481" spans="1:17">
      <c r="A481" t="s">
        <v>41</v>
      </c>
      <c r="B481" t="s">
        <v>23</v>
      </c>
      <c r="C481">
        <v>36</v>
      </c>
      <c r="D481">
        <v>46</v>
      </c>
      <c r="E481" s="1">
        <f>+C481/(C481+D481)</f>
        <v>0.43902439024390244</v>
      </c>
      <c r="F481" s="2">
        <v>94.9</v>
      </c>
      <c r="G481" s="2">
        <v>96</v>
      </c>
      <c r="H481" s="2">
        <f>+F481-G481</f>
        <v>-1.0999999999999943</v>
      </c>
      <c r="I481" s="1">
        <f>+(F481^14)/((F481^14+G481^14))</f>
        <v>0.45975157223924717</v>
      </c>
      <c r="J481" s="2">
        <v>105.3</v>
      </c>
      <c r="K481" s="2">
        <v>106.6</v>
      </c>
      <c r="L481" s="2">
        <f>+J481-K481</f>
        <v>-1.2999999999999972</v>
      </c>
      <c r="M481" s="1">
        <f>+E481-I481</f>
        <v>-2.0727181995344734E-2</v>
      </c>
      <c r="N481" s="2">
        <v>100.8</v>
      </c>
      <c r="O481" s="2">
        <v>103.9</v>
      </c>
      <c r="P481" s="2">
        <f>+N481-O481</f>
        <v>-3.1000000000000085</v>
      </c>
      <c r="Q481">
        <v>0.1</v>
      </c>
    </row>
    <row r="482" spans="1:17">
      <c r="A482" t="s">
        <v>63</v>
      </c>
      <c r="B482" t="s">
        <v>25</v>
      </c>
      <c r="C482">
        <v>45</v>
      </c>
      <c r="D482">
        <v>37</v>
      </c>
      <c r="E482" s="1">
        <f>+C482/(C482+D482)</f>
        <v>0.54878048780487809</v>
      </c>
      <c r="F482" s="2">
        <v>113.6</v>
      </c>
      <c r="G482" s="2">
        <v>111.6</v>
      </c>
      <c r="H482" s="2">
        <f>+F482-G482</f>
        <v>2</v>
      </c>
      <c r="I482" s="1">
        <f>+(F482^14)/((F482^14+G482^14))</f>
        <v>0.56185019593174323</v>
      </c>
      <c r="J482" s="2">
        <v>114.5</v>
      </c>
      <c r="K482" s="2">
        <v>112.3</v>
      </c>
      <c r="L482" s="2">
        <f>+J482-K482</f>
        <v>2.2000000000000028</v>
      </c>
      <c r="M482" s="1">
        <f>+E482-I482</f>
        <v>-1.3069708126865143E-2</v>
      </c>
      <c r="N482" s="2">
        <v>109.4</v>
      </c>
      <c r="O482" s="2">
        <v>112.6</v>
      </c>
      <c r="P482" s="2">
        <f>+N482-O482</f>
        <v>-3.1999999999999886</v>
      </c>
      <c r="Q482">
        <v>-0.2</v>
      </c>
    </row>
    <row r="483" spans="1:17">
      <c r="A483" t="s">
        <v>36</v>
      </c>
      <c r="B483" t="s">
        <v>8</v>
      </c>
      <c r="C483">
        <v>30</v>
      </c>
      <c r="D483">
        <v>52</v>
      </c>
      <c r="E483" s="1">
        <f>+C483/(C483+D483)</f>
        <v>0.36585365853658536</v>
      </c>
      <c r="F483" s="2">
        <v>95</v>
      </c>
      <c r="G483" s="2">
        <v>100.1</v>
      </c>
      <c r="H483" s="2">
        <f>+F483-G483</f>
        <v>-5.0999999999999943</v>
      </c>
      <c r="I483" s="1">
        <f>+(F483^14)/((F483^14+G483^14))</f>
        <v>0.32473425777947651</v>
      </c>
      <c r="J483" s="2">
        <v>99.1</v>
      </c>
      <c r="K483" s="2">
        <v>104.2</v>
      </c>
      <c r="L483" s="2">
        <f>+J483-K483</f>
        <v>-5.1000000000000085</v>
      </c>
      <c r="M483" s="1">
        <f>+E483-I483</f>
        <v>4.1119400757108848E-2</v>
      </c>
      <c r="N483" s="2">
        <v>100.6</v>
      </c>
      <c r="O483" s="2">
        <v>103.8</v>
      </c>
      <c r="P483" s="2">
        <f>+N483-O483</f>
        <v>-3.2000000000000028</v>
      </c>
      <c r="Q483">
        <v>1.6</v>
      </c>
    </row>
    <row r="484" spans="1:17">
      <c r="A484" t="s">
        <v>64</v>
      </c>
      <c r="B484" t="s">
        <v>25</v>
      </c>
      <c r="C484">
        <v>49</v>
      </c>
      <c r="D484">
        <v>33</v>
      </c>
      <c r="E484" s="1">
        <f>+C484/(C484+D484)</f>
        <v>0.59756097560975607</v>
      </c>
      <c r="F484" s="2">
        <v>116.2</v>
      </c>
      <c r="G484" s="2">
        <v>113.2</v>
      </c>
      <c r="H484" s="2">
        <f>+F484-G484</f>
        <v>3</v>
      </c>
      <c r="I484" s="1">
        <f>+(F484^14)/((F484^14+G484^14))</f>
        <v>0.59053887488262369</v>
      </c>
      <c r="J484" s="2">
        <v>116.8</v>
      </c>
      <c r="K484" s="2">
        <v>113.7</v>
      </c>
      <c r="L484" s="2">
        <f>+J484-K484</f>
        <v>3.0999999999999943</v>
      </c>
      <c r="M484" s="1">
        <f>+E484-I484</f>
        <v>7.0221007271323854E-3</v>
      </c>
      <c r="N484" s="2">
        <v>102</v>
      </c>
      <c r="O484" s="2">
        <v>105.2</v>
      </c>
      <c r="P484" s="2">
        <f>+N484-O484</f>
        <v>-3.2000000000000028</v>
      </c>
      <c r="Q484">
        <v>-2.4</v>
      </c>
    </row>
    <row r="485" spans="1:17">
      <c r="A485" t="s">
        <v>49</v>
      </c>
      <c r="B485" t="s">
        <v>20</v>
      </c>
      <c r="C485">
        <v>26</v>
      </c>
      <c r="D485">
        <v>40</v>
      </c>
      <c r="E485" s="1">
        <f>+C485/(C485+D485)</f>
        <v>0.39393939393939392</v>
      </c>
      <c r="F485" s="2">
        <v>97.9</v>
      </c>
      <c r="G485" s="2">
        <v>100.1</v>
      </c>
      <c r="H485" s="2">
        <f>+F485-G485</f>
        <v>-2.1999999999999886</v>
      </c>
      <c r="I485" s="1">
        <f>+(F485^14)/((F485^14+G485^14))</f>
        <v>0.42284042770166808</v>
      </c>
      <c r="J485" s="2">
        <v>103.1</v>
      </c>
      <c r="K485" s="2">
        <v>105.3</v>
      </c>
      <c r="L485" s="2">
        <f>+J485-K485</f>
        <v>-2.2000000000000028</v>
      </c>
      <c r="M485" s="1">
        <f>+E485-I485</f>
        <v>-2.8901033762274153E-2</v>
      </c>
      <c r="N485" s="2">
        <v>101</v>
      </c>
      <c r="O485" s="2">
        <v>104.2</v>
      </c>
      <c r="P485" s="2">
        <f>+N485-O485</f>
        <v>-3.2000000000000028</v>
      </c>
      <c r="Q485">
        <v>0.2</v>
      </c>
    </row>
    <row r="486" spans="1:17">
      <c r="A486" t="s">
        <v>62</v>
      </c>
      <c r="B486" t="s">
        <v>17</v>
      </c>
      <c r="C486">
        <v>33</v>
      </c>
      <c r="D486">
        <v>49</v>
      </c>
      <c r="E486" s="1">
        <f>+C486/(C486+D486)</f>
        <v>0.40243902439024393</v>
      </c>
      <c r="F486" s="2">
        <v>112.1</v>
      </c>
      <c r="G486" s="2">
        <v>115.1</v>
      </c>
      <c r="H486" s="2">
        <f>+F486-G486</f>
        <v>-3</v>
      </c>
      <c r="I486" s="1">
        <f>+(F486^14)/((F486^14+G486^14))</f>
        <v>0.40860389677498032</v>
      </c>
      <c r="J486" s="2">
        <v>110</v>
      </c>
      <c r="K486" s="2">
        <v>112.8</v>
      </c>
      <c r="L486" s="2">
        <f>+J486-K486</f>
        <v>-2.7999999999999972</v>
      </c>
      <c r="M486" s="1">
        <f>+E486-I486</f>
        <v>-6.1648723847363973E-3</v>
      </c>
      <c r="N486" s="2">
        <v>103.8</v>
      </c>
      <c r="O486" s="2">
        <v>107.1</v>
      </c>
      <c r="P486" s="2">
        <f>+N486-O486</f>
        <v>-3.2999999999999972</v>
      </c>
      <c r="Q486">
        <v>0.6</v>
      </c>
    </row>
    <row r="487" spans="1:17">
      <c r="A487" t="s">
        <v>50</v>
      </c>
      <c r="B487" t="s">
        <v>12</v>
      </c>
      <c r="C487">
        <v>29</v>
      </c>
      <c r="D487">
        <v>53</v>
      </c>
      <c r="E487" s="1">
        <f>+C487/(C487+D487)</f>
        <v>0.35365853658536583</v>
      </c>
      <c r="F487" s="2">
        <v>94.9</v>
      </c>
      <c r="G487" s="2">
        <v>98.8</v>
      </c>
      <c r="H487" s="2">
        <f>+F487-G487</f>
        <v>-3.8999999999999915</v>
      </c>
      <c r="I487" s="1">
        <f>+(F487^14)/((F487^14+G487^14))</f>
        <v>0.36266067514952754</v>
      </c>
      <c r="J487" s="2">
        <v>102.7</v>
      </c>
      <c r="K487" s="2">
        <v>107.2</v>
      </c>
      <c r="L487" s="2">
        <f>+J487-K487</f>
        <v>-4.5</v>
      </c>
      <c r="M487" s="1">
        <f>+E487-I487</f>
        <v>-9.0021385641617102E-3</v>
      </c>
      <c r="N487" s="2">
        <v>101.4</v>
      </c>
      <c r="O487" s="2">
        <v>104.7</v>
      </c>
      <c r="P487" s="2">
        <f>+N487-O487</f>
        <v>-3.2999999999999972</v>
      </c>
      <c r="Q487">
        <v>-0.5</v>
      </c>
    </row>
    <row r="488" spans="1:17">
      <c r="A488" t="s">
        <v>41</v>
      </c>
      <c r="B488" t="s">
        <v>14</v>
      </c>
      <c r="C488">
        <v>34</v>
      </c>
      <c r="D488">
        <v>48</v>
      </c>
      <c r="E488" s="1">
        <f>+C488/(C488+D488)</f>
        <v>0.41463414634146339</v>
      </c>
      <c r="F488" s="2">
        <v>90.1</v>
      </c>
      <c r="G488" s="2">
        <v>91.7</v>
      </c>
      <c r="H488" s="2">
        <f>+F488-G488</f>
        <v>-1.6000000000000085</v>
      </c>
      <c r="I488" s="1">
        <f>+(F488^14)/((F488^14+G488^14))</f>
        <v>0.43870214445209316</v>
      </c>
      <c r="J488" s="2">
        <v>100.4</v>
      </c>
      <c r="K488" s="2">
        <v>102.1</v>
      </c>
      <c r="L488" s="2">
        <f>+J488-K488</f>
        <v>-1.6999999999999886</v>
      </c>
      <c r="M488" s="1">
        <f>+E488-I488</f>
        <v>-2.4067998110629762E-2</v>
      </c>
      <c r="N488" s="2">
        <v>97.2</v>
      </c>
      <c r="O488" s="2">
        <v>100.5</v>
      </c>
      <c r="P488" s="2">
        <f>+N488-O488</f>
        <v>-3.2999999999999972</v>
      </c>
      <c r="Q488">
        <v>0.4</v>
      </c>
    </row>
    <row r="489" spans="1:17">
      <c r="A489" t="s">
        <v>66</v>
      </c>
      <c r="B489" t="s">
        <v>14</v>
      </c>
      <c r="C489">
        <v>39</v>
      </c>
      <c r="D489">
        <v>23</v>
      </c>
      <c r="E489" s="1">
        <f>+C489/(C489+D489)</f>
        <v>0.62903225806451613</v>
      </c>
      <c r="F489" s="2">
        <v>114.5</v>
      </c>
      <c r="G489" s="2">
        <v>109.3</v>
      </c>
      <c r="H489" s="2">
        <f>+F489-G489</f>
        <v>5.2000000000000028</v>
      </c>
      <c r="I489" s="1">
        <f>+(F489^14)/((F489^14+G489^14))</f>
        <v>0.65716773573957665</v>
      </c>
      <c r="J489" s="2">
        <v>116.8</v>
      </c>
      <c r="K489" s="2">
        <v>111.6</v>
      </c>
      <c r="L489" s="2">
        <f>+J489-K489</f>
        <v>5.2000000000000028</v>
      </c>
      <c r="M489" s="1">
        <f>+E489-I489</f>
        <v>-2.8135477675060527E-2</v>
      </c>
      <c r="N489" s="2">
        <v>114.4</v>
      </c>
      <c r="O489" s="2">
        <v>117.7</v>
      </c>
      <c r="P489" s="2">
        <f>+N489-O489</f>
        <v>-3.2999999999999972</v>
      </c>
      <c r="Q489" s="2">
        <v>-0.3</v>
      </c>
    </row>
    <row r="490" spans="1:17">
      <c r="A490" t="s">
        <v>66</v>
      </c>
      <c r="B490" t="s">
        <v>26</v>
      </c>
      <c r="C490">
        <v>30</v>
      </c>
      <c r="D490">
        <v>34</v>
      </c>
      <c r="E490" s="1">
        <f>+C490/(C490+D490)</f>
        <v>0.46875</v>
      </c>
      <c r="F490" s="2">
        <v>115.1</v>
      </c>
      <c r="G490" s="2">
        <v>118.1</v>
      </c>
      <c r="H490" s="2">
        <f>+F490-G490</f>
        <v>-3</v>
      </c>
      <c r="I490" s="1">
        <f>+(F490^14)/((F490^14+G490^14))</f>
        <v>0.41090493030680209</v>
      </c>
      <c r="J490" s="2">
        <v>112.4</v>
      </c>
      <c r="K490" s="2">
        <v>115.5</v>
      </c>
      <c r="L490" s="2">
        <f>+J490-K490</f>
        <v>-3.0999999999999943</v>
      </c>
      <c r="M490" s="1">
        <f>+E490-I490</f>
        <v>5.7845069693197915E-2</v>
      </c>
      <c r="N490" s="2">
        <v>116.5</v>
      </c>
      <c r="O490" s="2">
        <v>120</v>
      </c>
      <c r="P490" s="2">
        <f>+N490-O490</f>
        <v>-3.5</v>
      </c>
      <c r="Q490" s="2">
        <v>-1.2</v>
      </c>
    </row>
    <row r="491" spans="1:17">
      <c r="A491" t="s">
        <v>66</v>
      </c>
      <c r="B491" t="s">
        <v>6</v>
      </c>
      <c r="C491">
        <v>42</v>
      </c>
      <c r="D491">
        <v>21</v>
      </c>
      <c r="E491" s="1">
        <f>+C491/(C491+D491)</f>
        <v>0.66666666666666663</v>
      </c>
      <c r="F491" s="2">
        <v>114.5</v>
      </c>
      <c r="G491" s="2">
        <v>107</v>
      </c>
      <c r="H491" s="2">
        <f>+F491-G491</f>
        <v>7.5</v>
      </c>
      <c r="I491" s="1">
        <f>+(F491^14)/((F491^14+G491^14))</f>
        <v>0.72080211390693061</v>
      </c>
      <c r="J491" s="2">
        <v>119.9</v>
      </c>
      <c r="K491" s="2">
        <v>111.7</v>
      </c>
      <c r="L491" s="2">
        <f>+J491-K491</f>
        <v>8.2000000000000028</v>
      </c>
      <c r="M491" s="1">
        <f>+E491-I491</f>
        <v>-5.4135447240263979E-2</v>
      </c>
      <c r="N491" s="2">
        <v>113.1</v>
      </c>
      <c r="O491" s="2">
        <v>116.6</v>
      </c>
      <c r="P491" s="2">
        <f>+N491-O491</f>
        <v>-3.5</v>
      </c>
      <c r="Q491">
        <v>1.2</v>
      </c>
    </row>
    <row r="492" spans="1:17">
      <c r="A492" t="s">
        <v>62</v>
      </c>
      <c r="B492" t="s">
        <v>46</v>
      </c>
      <c r="C492">
        <v>24</v>
      </c>
      <c r="D492">
        <v>58</v>
      </c>
      <c r="E492" s="1">
        <f>+C492/(C492+D492)</f>
        <v>0.29268292682926828</v>
      </c>
      <c r="F492" s="2">
        <v>103.7</v>
      </c>
      <c r="G492" s="2">
        <v>111.8</v>
      </c>
      <c r="H492" s="2">
        <f>+F492-G492</f>
        <v>-8.0999999999999943</v>
      </c>
      <c r="I492" s="1">
        <f>+(F492^14)/((F492^14+G492^14))</f>
        <v>0.25866242852383342</v>
      </c>
      <c r="J492" s="2">
        <v>103.8</v>
      </c>
      <c r="K492" s="2">
        <v>111.7</v>
      </c>
      <c r="L492" s="2">
        <f>+J492-K492</f>
        <v>-7.9000000000000057</v>
      </c>
      <c r="M492" s="1">
        <f>+E492-I492</f>
        <v>3.4020498305434854E-2</v>
      </c>
      <c r="N492" s="2">
        <v>105.1</v>
      </c>
      <c r="O492" s="2">
        <v>108.7</v>
      </c>
      <c r="P492" s="2">
        <f>+N492-O492</f>
        <v>-3.6000000000000085</v>
      </c>
      <c r="Q492">
        <v>-0.7</v>
      </c>
    </row>
    <row r="493" spans="1:17">
      <c r="A493" t="s">
        <v>55</v>
      </c>
      <c r="B493" t="s">
        <v>20</v>
      </c>
      <c r="C493">
        <v>29</v>
      </c>
      <c r="D493">
        <v>53</v>
      </c>
      <c r="E493" s="1">
        <f>+C493/(C493+D493)</f>
        <v>0.35365853658536583</v>
      </c>
      <c r="F493" s="2">
        <v>102.4</v>
      </c>
      <c r="G493" s="2">
        <v>106</v>
      </c>
      <c r="H493" s="2">
        <f>+F493-G493</f>
        <v>-3.5999999999999943</v>
      </c>
      <c r="I493" s="1">
        <f>+(F493^14)/((F493^14+G493^14))</f>
        <v>0.38137093948309719</v>
      </c>
      <c r="J493" s="2">
        <v>105.4</v>
      </c>
      <c r="K493" s="2">
        <v>109</v>
      </c>
      <c r="L493" s="2">
        <f>+J493-K493</f>
        <v>-3.5999999999999943</v>
      </c>
      <c r="M493" s="1">
        <f>+E493-I493</f>
        <v>-2.7712402897731359E-2</v>
      </c>
      <c r="N493" s="2">
        <v>98.6</v>
      </c>
      <c r="O493" s="2">
        <v>102.2</v>
      </c>
      <c r="P493" s="2">
        <f>+N493-O493</f>
        <v>-3.6000000000000085</v>
      </c>
      <c r="Q493">
        <v>0.1</v>
      </c>
    </row>
    <row r="494" spans="1:17">
      <c r="A494" t="s">
        <v>66</v>
      </c>
      <c r="B494" t="s">
        <v>18</v>
      </c>
      <c r="C494">
        <v>35</v>
      </c>
      <c r="D494">
        <v>29</v>
      </c>
      <c r="E494" s="1">
        <f>+C494/(C494+D494)</f>
        <v>0.546875</v>
      </c>
      <c r="F494" s="2">
        <v>120.1</v>
      </c>
      <c r="G494" s="2">
        <v>116.6</v>
      </c>
      <c r="H494" s="2">
        <f>+F494-G494</f>
        <v>3.5</v>
      </c>
      <c r="I494" s="1">
        <f>+(F494^14)/((F494^14+G494^14))</f>
        <v>0.60206012084803828</v>
      </c>
      <c r="J494" s="2">
        <v>114.7</v>
      </c>
      <c r="K494" s="2">
        <v>111.5</v>
      </c>
      <c r="L494" s="2">
        <f>+J494-K494</f>
        <v>3.2000000000000028</v>
      </c>
      <c r="M494" s="1">
        <f>+E494-I494</f>
        <v>-5.5185120848038283E-2</v>
      </c>
      <c r="N494" s="2">
        <v>109.9</v>
      </c>
      <c r="O494" s="2">
        <v>113.6</v>
      </c>
      <c r="P494" s="2">
        <f>+N494-O494</f>
        <v>-3.6999999999999886</v>
      </c>
      <c r="Q494" s="2">
        <v>0.9</v>
      </c>
    </row>
    <row r="495" spans="1:17">
      <c r="A495" t="s">
        <v>34</v>
      </c>
      <c r="B495" t="s">
        <v>31</v>
      </c>
      <c r="C495">
        <v>44</v>
      </c>
      <c r="D495">
        <v>38</v>
      </c>
      <c r="E495" s="1">
        <f>+C495/(C495+D495)</f>
        <v>0.53658536585365857</v>
      </c>
      <c r="F495" s="2">
        <v>96</v>
      </c>
      <c r="G495" s="2">
        <v>95.1</v>
      </c>
      <c r="H495" s="2">
        <f>+F495-G495</f>
        <v>0.90000000000000568</v>
      </c>
      <c r="I495" s="1">
        <f>+(F495^14)/((F495^14+G495^14))</f>
        <v>0.53291958603886924</v>
      </c>
      <c r="J495" s="2">
        <v>103.8</v>
      </c>
      <c r="K495" s="2">
        <v>102.9</v>
      </c>
      <c r="L495" s="2">
        <f>+J495-K495</f>
        <v>0.89999999999999147</v>
      </c>
      <c r="M495" s="1">
        <f>+E495-I495</f>
        <v>3.6657798147893272E-3</v>
      </c>
      <c r="N495" s="2">
        <v>102.8</v>
      </c>
      <c r="O495" s="2">
        <v>106.5</v>
      </c>
      <c r="P495" s="2">
        <f>+N495-O495</f>
        <v>-3.7000000000000028</v>
      </c>
      <c r="Q495">
        <v>0.6</v>
      </c>
    </row>
    <row r="496" spans="1:17">
      <c r="A496" t="s">
        <v>59</v>
      </c>
      <c r="B496" t="s">
        <v>33</v>
      </c>
      <c r="C496">
        <v>32</v>
      </c>
      <c r="D496">
        <v>50</v>
      </c>
      <c r="E496" s="1">
        <f>+C496/(C496+D496)</f>
        <v>0.3902439024390244</v>
      </c>
      <c r="F496" s="2">
        <v>114</v>
      </c>
      <c r="G496" s="2">
        <v>116.9</v>
      </c>
      <c r="H496" s="2">
        <f>+F496-G496</f>
        <v>-2.9000000000000057</v>
      </c>
      <c r="I496" s="1">
        <f>+(F496^14)/((F496^14+G496^14))</f>
        <v>0.41297365907785938</v>
      </c>
      <c r="J496" s="2">
        <v>110.2</v>
      </c>
      <c r="K496" s="2">
        <v>112.9</v>
      </c>
      <c r="L496" s="2">
        <f>+J496-K496</f>
        <v>-2.7000000000000028</v>
      </c>
      <c r="M496" s="1">
        <f>+E496-I496</f>
        <v>-2.2729756638834975E-2</v>
      </c>
      <c r="N496" s="2">
        <v>108.1</v>
      </c>
      <c r="O496" s="2">
        <v>111.8</v>
      </c>
      <c r="P496" s="2">
        <f>+N496-O496</f>
        <v>-3.7000000000000028</v>
      </c>
      <c r="Q496">
        <v>1.1000000000000001</v>
      </c>
    </row>
    <row r="497" spans="1:17">
      <c r="A497" t="s">
        <v>49</v>
      </c>
      <c r="B497" t="s">
        <v>26</v>
      </c>
      <c r="C497">
        <v>28</v>
      </c>
      <c r="D497">
        <v>38</v>
      </c>
      <c r="E497" s="1">
        <f>+C497/(C497+D497)</f>
        <v>0.42424242424242425</v>
      </c>
      <c r="F497" s="2">
        <v>97.2</v>
      </c>
      <c r="G497" s="2">
        <v>97.8</v>
      </c>
      <c r="H497" s="2">
        <f>+F497-G497</f>
        <v>-0.59999999999999432</v>
      </c>
      <c r="I497" s="1">
        <f>+(F497^14)/((F497^14+G497^14))</f>
        <v>0.4784747831438797</v>
      </c>
      <c r="J497" s="2">
        <v>104.4</v>
      </c>
      <c r="K497" s="2">
        <v>105.3</v>
      </c>
      <c r="L497" s="2">
        <f>+J497-K497</f>
        <v>-0.89999999999999147</v>
      </c>
      <c r="M497" s="1">
        <f>+E497-I497</f>
        <v>-5.4232358901455446E-2</v>
      </c>
      <c r="N497" s="2">
        <v>91.5</v>
      </c>
      <c r="O497" s="2">
        <v>95.2</v>
      </c>
      <c r="P497" s="2">
        <f>+N497-O497</f>
        <v>-3.7000000000000028</v>
      </c>
      <c r="Q497">
        <v>0.5</v>
      </c>
    </row>
    <row r="498" spans="1:17">
      <c r="A498" t="s">
        <v>41</v>
      </c>
      <c r="B498" t="s">
        <v>24</v>
      </c>
      <c r="C498">
        <v>38</v>
      </c>
      <c r="D498">
        <v>44</v>
      </c>
      <c r="E498" s="1">
        <f>+C498/(C498+D498)</f>
        <v>0.46341463414634149</v>
      </c>
      <c r="F498" s="2">
        <v>99.4</v>
      </c>
      <c r="G498" s="2">
        <v>101.3</v>
      </c>
      <c r="H498" s="2">
        <f>+F498-G498</f>
        <v>-1.8999999999999915</v>
      </c>
      <c r="I498" s="1">
        <f>+(F498^14)/((F498^14+G498^14))</f>
        <v>0.4341153034134177</v>
      </c>
      <c r="J498" s="2">
        <v>104.7</v>
      </c>
      <c r="K498" s="2">
        <v>106.5</v>
      </c>
      <c r="L498" s="2">
        <f>+J498-K498</f>
        <v>-1.7999999999999972</v>
      </c>
      <c r="M498" s="1">
        <f>+E498-I498</f>
        <v>2.929933073292379E-2</v>
      </c>
      <c r="N498" s="2">
        <v>89.7</v>
      </c>
      <c r="O498" s="2">
        <v>93.5</v>
      </c>
      <c r="P498" s="2">
        <f>+N498-O498</f>
        <v>-3.7999999999999972</v>
      </c>
      <c r="Q498">
        <v>-1</v>
      </c>
    </row>
    <row r="499" spans="1:17">
      <c r="A499" t="s">
        <v>45</v>
      </c>
      <c r="B499" t="s">
        <v>15</v>
      </c>
      <c r="C499">
        <v>36</v>
      </c>
      <c r="D499">
        <v>46</v>
      </c>
      <c r="E499" s="1">
        <f>+C499/(C499+D499)</f>
        <v>0.43902439024390244</v>
      </c>
      <c r="F499" s="2">
        <v>105.1</v>
      </c>
      <c r="G499" s="2">
        <v>106.2</v>
      </c>
      <c r="H499" s="2">
        <f>+F499-G499</f>
        <v>-1.1000000000000085</v>
      </c>
      <c r="I499" s="1">
        <f>+(F499^14)/((F499^14+G499^14))</f>
        <v>0.46362297938992397</v>
      </c>
      <c r="J499" s="2">
        <v>107.2</v>
      </c>
      <c r="K499" s="2">
        <v>108.2</v>
      </c>
      <c r="L499" s="2">
        <f>+J499-K499</f>
        <v>-1</v>
      </c>
      <c r="M499" s="1">
        <f>+E499-I499</f>
        <v>-2.4598589146021532E-2</v>
      </c>
      <c r="N499" s="2">
        <v>102.7</v>
      </c>
      <c r="O499" s="2">
        <v>106.5</v>
      </c>
      <c r="P499" s="2">
        <f>+N499-O499</f>
        <v>-3.7999999999999972</v>
      </c>
      <c r="Q499">
        <v>-0.6</v>
      </c>
    </row>
    <row r="500" spans="1:17">
      <c r="A500" t="s">
        <v>54</v>
      </c>
      <c r="B500" t="s">
        <v>20</v>
      </c>
      <c r="C500">
        <v>16</v>
      </c>
      <c r="D500">
        <v>66</v>
      </c>
      <c r="E500" s="1">
        <f>+C500/(C500+D500)</f>
        <v>0.1951219512195122</v>
      </c>
      <c r="F500" s="2">
        <v>97.8</v>
      </c>
      <c r="G500" s="2">
        <v>106.5</v>
      </c>
      <c r="H500" s="2">
        <f>+F500-G500</f>
        <v>-8.7000000000000028</v>
      </c>
      <c r="I500" s="1">
        <f>+(F500^14)/((F500^14+G500^14))</f>
        <v>0.23270751266872564</v>
      </c>
      <c r="J500" s="2">
        <v>101.8</v>
      </c>
      <c r="K500" s="2">
        <v>110.9</v>
      </c>
      <c r="L500" s="2">
        <f>+J500-K500</f>
        <v>-9.1000000000000085</v>
      </c>
      <c r="M500" s="1">
        <f>+E500-I500</f>
        <v>-3.7585561449213434E-2</v>
      </c>
      <c r="N500" s="2">
        <v>103.7</v>
      </c>
      <c r="O500" s="2">
        <v>107.6</v>
      </c>
      <c r="P500" s="2">
        <f>+N500-O500</f>
        <v>-3.8999999999999915</v>
      </c>
      <c r="Q500">
        <v>-0.1</v>
      </c>
    </row>
    <row r="501" spans="1:17">
      <c r="A501" t="s">
        <v>61</v>
      </c>
      <c r="B501" t="s">
        <v>28</v>
      </c>
      <c r="C501">
        <v>33</v>
      </c>
      <c r="D501">
        <v>39</v>
      </c>
      <c r="E501" s="1">
        <f>+C501/(C501+D501)</f>
        <v>0.45833333333333331</v>
      </c>
      <c r="F501" s="2">
        <v>111.1</v>
      </c>
      <c r="G501" s="2">
        <v>112.8</v>
      </c>
      <c r="H501" s="2">
        <f>+F501-G501</f>
        <v>-1.7000000000000028</v>
      </c>
      <c r="I501" s="1">
        <f>+(F501^14)/((F501^14+G501^14))</f>
        <v>0.44704954082867138</v>
      </c>
      <c r="J501" s="2">
        <v>110.5</v>
      </c>
      <c r="K501" s="2">
        <v>112</v>
      </c>
      <c r="L501" s="2">
        <f>+J501-K501</f>
        <v>-1.5</v>
      </c>
      <c r="M501" s="1">
        <f>+E501-I501</f>
        <v>1.1283792504661938E-2</v>
      </c>
      <c r="N501" s="2">
        <v>105</v>
      </c>
      <c r="O501" s="2">
        <v>108.9</v>
      </c>
      <c r="P501" s="2">
        <f>+N501-O501</f>
        <v>-3.9000000000000057</v>
      </c>
      <c r="Q501">
        <v>-0.3</v>
      </c>
    </row>
    <row r="502" spans="1:17">
      <c r="A502" t="s">
        <v>65</v>
      </c>
      <c r="B502" t="s">
        <v>28</v>
      </c>
      <c r="C502">
        <v>34</v>
      </c>
      <c r="D502">
        <v>48</v>
      </c>
      <c r="E502" s="1">
        <f>+C502/(C502+D502)</f>
        <v>0.41463414634146339</v>
      </c>
      <c r="F502" s="2">
        <v>113.9</v>
      </c>
      <c r="G502" s="2">
        <v>116.7</v>
      </c>
      <c r="H502" s="2">
        <f>+F502-G502</f>
        <v>-2.7999999999999972</v>
      </c>
      <c r="I502" s="1">
        <f>+(F502^14)/((F502^14+G502^14))</f>
        <v>0.41580963161703305</v>
      </c>
      <c r="J502" s="2">
        <v>113.5</v>
      </c>
      <c r="K502" s="2">
        <v>116.3</v>
      </c>
      <c r="L502" s="2">
        <f>+J502-K502</f>
        <v>-2.7999999999999972</v>
      </c>
      <c r="M502" s="1">
        <f>+E502-I502</f>
        <v>-1.1754852755696543E-3</v>
      </c>
      <c r="N502" s="2">
        <v>103.5</v>
      </c>
      <c r="O502" s="2">
        <v>107.4</v>
      </c>
      <c r="P502" s="2">
        <f>+N502-O502</f>
        <v>-3.9000000000000057</v>
      </c>
      <c r="Q502">
        <v>-0.2</v>
      </c>
    </row>
    <row r="503" spans="1:17">
      <c r="A503" t="s">
        <v>4</v>
      </c>
      <c r="B503" t="s">
        <v>29</v>
      </c>
      <c r="C503">
        <v>44</v>
      </c>
      <c r="D503">
        <v>38</v>
      </c>
      <c r="E503" s="1">
        <f>+C503/(C503+D503)</f>
        <v>0.53658536585365857</v>
      </c>
      <c r="F503" s="2">
        <v>97.3</v>
      </c>
      <c r="G503" s="2">
        <v>97.3</v>
      </c>
      <c r="H503" s="2">
        <f>+F503-G503</f>
        <v>0</v>
      </c>
      <c r="I503" s="1">
        <f>+(F503^14)/((F503^14+G503^14))</f>
        <v>0.5</v>
      </c>
      <c r="J503" s="2">
        <v>104.4</v>
      </c>
      <c r="K503" s="2">
        <v>104.2</v>
      </c>
      <c r="L503" s="2">
        <f>+J503-K503</f>
        <v>0.20000000000000284</v>
      </c>
      <c r="M503" s="1">
        <f>+E503-I503</f>
        <v>3.6585365853658569E-2</v>
      </c>
      <c r="N503" s="2">
        <v>98.3</v>
      </c>
      <c r="O503" s="2">
        <v>102.3</v>
      </c>
      <c r="P503" s="2">
        <f>+N503-O503</f>
        <v>-4</v>
      </c>
      <c r="Q503">
        <v>-0.4</v>
      </c>
    </row>
    <row r="504" spans="1:17">
      <c r="A504" t="s">
        <v>38</v>
      </c>
      <c r="B504" t="s">
        <v>9</v>
      </c>
      <c r="C504">
        <v>35</v>
      </c>
      <c r="D504">
        <v>47</v>
      </c>
      <c r="E504" s="1">
        <f>+C504/(C504+D504)</f>
        <v>0.42682926829268292</v>
      </c>
      <c r="F504" s="2">
        <v>92.9</v>
      </c>
      <c r="G504" s="2">
        <v>95.5</v>
      </c>
      <c r="H504" s="2">
        <f>+F504-G504</f>
        <v>-2.5999999999999943</v>
      </c>
      <c r="I504" s="1">
        <f>+(F504^14)/((F504^14+G504^14))</f>
        <v>0.40457545277008533</v>
      </c>
      <c r="J504" s="2">
        <v>100.6</v>
      </c>
      <c r="K504" s="2">
        <v>103.1</v>
      </c>
      <c r="L504" s="2">
        <f>+J504-K504</f>
        <v>-2.5</v>
      </c>
      <c r="M504" s="1">
        <f>+E504-I504</f>
        <v>2.2253815522597586E-2</v>
      </c>
      <c r="N504" s="2">
        <v>93.1</v>
      </c>
      <c r="O504" s="2">
        <v>97.1</v>
      </c>
      <c r="P504" s="2">
        <f>+N504-O504</f>
        <v>-4</v>
      </c>
      <c r="Q504">
        <v>-0.5</v>
      </c>
    </row>
    <row r="505" spans="1:17">
      <c r="A505" t="s">
        <v>45</v>
      </c>
      <c r="B505" t="s">
        <v>30</v>
      </c>
      <c r="C505">
        <v>33</v>
      </c>
      <c r="D505">
        <v>49</v>
      </c>
      <c r="E505" s="1">
        <f>+C505/(C505+D505)</f>
        <v>0.40243902439024393</v>
      </c>
      <c r="F505" s="2">
        <v>99</v>
      </c>
      <c r="G505" s="2">
        <v>101.9</v>
      </c>
      <c r="H505" s="2">
        <f>+F505-G505</f>
        <v>-2.9000000000000057</v>
      </c>
      <c r="I505" s="1">
        <f>+(F505^14)/((F505^14+G505^14))</f>
        <v>0.4003014410465785</v>
      </c>
      <c r="J505" s="2">
        <v>105.5</v>
      </c>
      <c r="K505" s="2">
        <v>108.6</v>
      </c>
      <c r="L505" s="2">
        <f>+J505-K505</f>
        <v>-3.0999999999999943</v>
      </c>
      <c r="M505" s="1">
        <f>+E505-I505</f>
        <v>2.1375833436654279E-3</v>
      </c>
      <c r="N505" s="2">
        <v>107</v>
      </c>
      <c r="O505" s="2">
        <v>111</v>
      </c>
      <c r="P505" s="2">
        <f>+N505-O505</f>
        <v>-4</v>
      </c>
      <c r="Q505">
        <v>-0.5</v>
      </c>
    </row>
    <row r="506" spans="1:17">
      <c r="A506" t="s">
        <v>38</v>
      </c>
      <c r="B506" t="s">
        <v>6</v>
      </c>
      <c r="C506">
        <v>36</v>
      </c>
      <c r="D506">
        <v>46</v>
      </c>
      <c r="E506" s="1">
        <f>+C506/(C506+D506)</f>
        <v>0.43902439024390244</v>
      </c>
      <c r="F506" s="2">
        <v>95.3</v>
      </c>
      <c r="G506" s="2">
        <v>96.7</v>
      </c>
      <c r="H506" s="2">
        <f>+F506-G506</f>
        <v>-1.4000000000000057</v>
      </c>
      <c r="I506" s="1">
        <f>+(F506^14)/((F506^14+G506^14))</f>
        <v>0.44913400395840042</v>
      </c>
      <c r="J506" s="2">
        <v>100.7</v>
      </c>
      <c r="K506" s="2">
        <v>102.2</v>
      </c>
      <c r="L506" s="2">
        <f>+J506-K506</f>
        <v>-1.5</v>
      </c>
      <c r="M506" s="1">
        <f>+E506-I506</f>
        <v>-1.0109613714497978E-2</v>
      </c>
      <c r="N506" s="2">
        <v>100.3</v>
      </c>
      <c r="O506" s="2">
        <v>104.3</v>
      </c>
      <c r="P506" s="2">
        <f>+N506-O506</f>
        <v>-4</v>
      </c>
      <c r="Q506">
        <v>-0.4</v>
      </c>
    </row>
    <row r="507" spans="1:17">
      <c r="A507" t="s">
        <v>48</v>
      </c>
      <c r="B507" t="s">
        <v>22</v>
      </c>
      <c r="C507">
        <v>42</v>
      </c>
      <c r="D507">
        <v>40</v>
      </c>
      <c r="E507" s="1">
        <f>+C507/(C507+D507)</f>
        <v>0.51219512195121952</v>
      </c>
      <c r="F507" s="2">
        <v>106.5</v>
      </c>
      <c r="G507" s="2">
        <v>105.7</v>
      </c>
      <c r="H507" s="2">
        <f>+F507-G507</f>
        <v>0.79999999999999716</v>
      </c>
      <c r="I507" s="1">
        <f>+(F507^14)/((F507^14+G507^14))</f>
        <v>0.52636584420943078</v>
      </c>
      <c r="J507" s="2">
        <v>109.9</v>
      </c>
      <c r="K507" s="2">
        <v>109</v>
      </c>
      <c r="L507" s="2">
        <f>+J507-K507</f>
        <v>0.90000000000000568</v>
      </c>
      <c r="M507" s="1">
        <f>+E507-I507</f>
        <v>-1.4170722258211255E-2</v>
      </c>
      <c r="N507" s="2">
        <v>106.4</v>
      </c>
      <c r="O507" s="2">
        <v>110.4</v>
      </c>
      <c r="P507" s="2">
        <f>+N507-O507</f>
        <v>-4</v>
      </c>
      <c r="Q507">
        <v>-0.4</v>
      </c>
    </row>
    <row r="508" spans="1:17">
      <c r="A508" t="s">
        <v>57</v>
      </c>
      <c r="B508" t="s">
        <v>53</v>
      </c>
      <c r="C508">
        <v>34</v>
      </c>
      <c r="D508">
        <v>48</v>
      </c>
      <c r="E508" s="1">
        <f>+C508/(C508+D508)</f>
        <v>0.41463414634146339</v>
      </c>
      <c r="F508" s="2">
        <v>104.3</v>
      </c>
      <c r="G508" s="2">
        <v>106.4</v>
      </c>
      <c r="H508" s="2">
        <f>+F508-G508</f>
        <v>-2.1000000000000085</v>
      </c>
      <c r="I508" s="1">
        <f>+(F508^14)/((F508^14+G508^14))</f>
        <v>0.4306795838171591</v>
      </c>
      <c r="J508" s="2">
        <v>104.7</v>
      </c>
      <c r="K508" s="2">
        <v>106.8</v>
      </c>
      <c r="L508" s="2">
        <f>+J508-K508</f>
        <v>-2.0999999999999943</v>
      </c>
      <c r="M508" s="1">
        <f>+E508-I508</f>
        <v>-1.6045437475695701E-2</v>
      </c>
      <c r="N508" s="2">
        <v>91.6</v>
      </c>
      <c r="O508" s="2">
        <v>95.6</v>
      </c>
      <c r="P508" s="2">
        <f>+N508-O508</f>
        <v>-4</v>
      </c>
      <c r="Q508">
        <v>-0.8</v>
      </c>
    </row>
    <row r="509" spans="1:17">
      <c r="A509" t="s">
        <v>57</v>
      </c>
      <c r="B509" t="s">
        <v>7</v>
      </c>
      <c r="C509">
        <v>36</v>
      </c>
      <c r="D509">
        <v>46</v>
      </c>
      <c r="E509" s="1">
        <f>+C509/(C509+D509)</f>
        <v>0.43902439024390244</v>
      </c>
      <c r="F509" s="2">
        <v>104.9</v>
      </c>
      <c r="G509" s="2">
        <v>104.7</v>
      </c>
      <c r="H509" s="2">
        <f>+F509-G509</f>
        <v>0.20000000000000284</v>
      </c>
      <c r="I509" s="1">
        <f>+(F509^14)/((F509^14+G509^14))</f>
        <v>0.50667899404030869</v>
      </c>
      <c r="J509" s="2">
        <v>108.4</v>
      </c>
      <c r="K509" s="2">
        <v>108.4</v>
      </c>
      <c r="L509" s="2">
        <f>+J509-K509</f>
        <v>0</v>
      </c>
      <c r="M509" s="1">
        <f>+E509-I509</f>
        <v>-6.7654603796406254E-2</v>
      </c>
      <c r="N509" s="2">
        <v>115.5</v>
      </c>
      <c r="O509" s="2">
        <v>119.6</v>
      </c>
      <c r="P509" s="2">
        <f>+N509-O509</f>
        <v>-4.0999999999999943</v>
      </c>
      <c r="Q509">
        <v>-0.3</v>
      </c>
    </row>
    <row r="510" spans="1:17">
      <c r="A510" t="s">
        <v>4</v>
      </c>
      <c r="B510" t="s">
        <v>20</v>
      </c>
      <c r="C510">
        <v>47</v>
      </c>
      <c r="D510">
        <v>35</v>
      </c>
      <c r="E510" s="1">
        <f>+C510/(C510+D510)</f>
        <v>0.57317073170731703</v>
      </c>
      <c r="F510" s="2">
        <v>97.3</v>
      </c>
      <c r="G510" s="2">
        <v>96</v>
      </c>
      <c r="H510" s="2">
        <f>+F510-G510</f>
        <v>1.2999999999999972</v>
      </c>
      <c r="I510" s="1">
        <f>+(F510^14)/((F510^14+G510^14))</f>
        <v>0.546939164426965</v>
      </c>
      <c r="J510" s="2">
        <v>103.9</v>
      </c>
      <c r="K510" s="2">
        <v>102.4</v>
      </c>
      <c r="L510" s="2">
        <f>+J510-K510</f>
        <v>1.5</v>
      </c>
      <c r="M510" s="1">
        <f>+E510-I510</f>
        <v>2.6231567280352031E-2</v>
      </c>
      <c r="N510" s="2">
        <v>102.8</v>
      </c>
      <c r="O510" s="2">
        <v>106.9</v>
      </c>
      <c r="P510" s="2">
        <f>+N510-O510</f>
        <v>-4.1000000000000085</v>
      </c>
      <c r="Q510">
        <v>-0.5</v>
      </c>
    </row>
    <row r="511" spans="1:17">
      <c r="A511" t="s">
        <v>48</v>
      </c>
      <c r="B511" t="s">
        <v>12</v>
      </c>
      <c r="C511">
        <v>30</v>
      </c>
      <c r="D511">
        <v>52</v>
      </c>
      <c r="E511" s="1">
        <f>+C511/(C511+D511)</f>
        <v>0.36585365853658536</v>
      </c>
      <c r="F511" s="2">
        <v>97</v>
      </c>
      <c r="G511" s="2">
        <v>100.6</v>
      </c>
      <c r="H511" s="2">
        <f>+F511-G511</f>
        <v>-3.5999999999999943</v>
      </c>
      <c r="I511" s="1">
        <f>+(F511^14)/((F511^14+G511^14))</f>
        <v>0.37515182060576369</v>
      </c>
      <c r="J511" s="2">
        <v>107</v>
      </c>
      <c r="K511" s="2">
        <v>110.7</v>
      </c>
      <c r="L511" s="2">
        <f>+J511-K511</f>
        <v>-3.7000000000000028</v>
      </c>
      <c r="M511" s="1">
        <f>+E511-I511</f>
        <v>-9.2981620691783284E-3</v>
      </c>
      <c r="N511" s="2">
        <v>99.4</v>
      </c>
      <c r="O511" s="2">
        <v>103.6</v>
      </c>
      <c r="P511" s="2">
        <f>+N511-O511</f>
        <v>-4.1999999999999886</v>
      </c>
      <c r="Q511">
        <v>-1.1000000000000001</v>
      </c>
    </row>
    <row r="512" spans="1:17">
      <c r="A512" t="s">
        <v>34</v>
      </c>
      <c r="B512" t="s">
        <v>28</v>
      </c>
      <c r="C512">
        <v>58</v>
      </c>
      <c r="D512">
        <v>24</v>
      </c>
      <c r="E512" s="1">
        <f>+C512/(C512+D512)</f>
        <v>0.70731707317073167</v>
      </c>
      <c r="F512" s="2">
        <v>96.7</v>
      </c>
      <c r="G512" s="2">
        <v>90.5</v>
      </c>
      <c r="H512" s="2">
        <f>+F512-G512</f>
        <v>6.2000000000000028</v>
      </c>
      <c r="I512" s="1">
        <f>+(F512^14)/((F512^14+G512^14))</f>
        <v>0.71660634572291726</v>
      </c>
      <c r="J512" s="2">
        <v>105.4</v>
      </c>
      <c r="K512" s="2">
        <v>98.5</v>
      </c>
      <c r="L512" s="2">
        <f>+J512-K512</f>
        <v>6.9000000000000057</v>
      </c>
      <c r="M512" s="1">
        <f>+E512-I512</f>
        <v>-9.2892725521855901E-3</v>
      </c>
      <c r="N512" s="2">
        <v>92.5</v>
      </c>
      <c r="O512" s="2">
        <v>96.7</v>
      </c>
      <c r="P512" s="2">
        <f>+N512-O512</f>
        <v>-4.2000000000000028</v>
      </c>
      <c r="Q512">
        <v>0.2</v>
      </c>
    </row>
    <row r="513" spans="1:17">
      <c r="A513" t="s">
        <v>54</v>
      </c>
      <c r="B513" t="s">
        <v>30</v>
      </c>
      <c r="C513">
        <v>49</v>
      </c>
      <c r="D513">
        <v>33</v>
      </c>
      <c r="E513" s="1">
        <f>+C513/(C513+D513)</f>
        <v>0.59756097560975607</v>
      </c>
      <c r="F513" s="2">
        <v>104</v>
      </c>
      <c r="G513" s="2">
        <v>100.9</v>
      </c>
      <c r="H513" s="2">
        <f>+F513-G513</f>
        <v>3.0999999999999943</v>
      </c>
      <c r="I513" s="1">
        <f>+(F513^14)/((F513^14+G513^14))</f>
        <v>0.60435719403948929</v>
      </c>
      <c r="J513" s="2">
        <v>110.2</v>
      </c>
      <c r="K513" s="2">
        <v>107.1</v>
      </c>
      <c r="L513" s="2">
        <f>+J513-K513</f>
        <v>3.1000000000000085</v>
      </c>
      <c r="M513" s="1">
        <f>+E513-I513</f>
        <v>-6.796218429733214E-3</v>
      </c>
      <c r="N513" s="2">
        <v>104.4</v>
      </c>
      <c r="O513" s="2">
        <v>108.7</v>
      </c>
      <c r="P513" s="2">
        <f>+N513-O513</f>
        <v>-4.2999999999999972</v>
      </c>
      <c r="Q513">
        <v>0.3</v>
      </c>
    </row>
    <row r="514" spans="1:17">
      <c r="A514" t="s">
        <v>59</v>
      </c>
      <c r="B514" t="s">
        <v>18</v>
      </c>
      <c r="C514">
        <v>39</v>
      </c>
      <c r="D514">
        <v>43</v>
      </c>
      <c r="E514" s="1">
        <f>+C514/(C514+D514)</f>
        <v>0.47560975609756095</v>
      </c>
      <c r="F514" s="2">
        <v>105.7</v>
      </c>
      <c r="G514" s="2">
        <v>105.9</v>
      </c>
      <c r="H514" s="2">
        <f>+F514-G514</f>
        <v>-0.20000000000000284</v>
      </c>
      <c r="I514" s="1">
        <f>+(F514^14)/((F514^14+G514^14))</f>
        <v>0.49338412708182683</v>
      </c>
      <c r="J514" s="2">
        <v>106.7</v>
      </c>
      <c r="K514" s="2">
        <v>107.1</v>
      </c>
      <c r="L514" s="2">
        <f>+J514-K514</f>
        <v>-0.39999999999999147</v>
      </c>
      <c r="M514" s="1">
        <f>+E514-I514</f>
        <v>-1.7774370984265875E-2</v>
      </c>
      <c r="N514" s="2">
        <v>93.6</v>
      </c>
      <c r="O514" s="2">
        <v>97.9</v>
      </c>
      <c r="P514" s="2">
        <f>+N514-O514</f>
        <v>-4.3000000000000114</v>
      </c>
      <c r="Q514">
        <v>-0.7</v>
      </c>
    </row>
    <row r="515" spans="1:17">
      <c r="A515" t="s">
        <v>48</v>
      </c>
      <c r="B515" t="s">
        <v>19</v>
      </c>
      <c r="C515">
        <v>35</v>
      </c>
      <c r="D515">
        <v>47</v>
      </c>
      <c r="E515" s="1">
        <f>+C515/(C515+D515)</f>
        <v>0.42682926829268292</v>
      </c>
      <c r="F515" s="2">
        <v>91.9</v>
      </c>
      <c r="G515" s="2">
        <v>92.7</v>
      </c>
      <c r="H515" s="2">
        <f>+F515-G515</f>
        <v>-0.79999999999999716</v>
      </c>
      <c r="I515" s="1">
        <f>+(F515^14)/((F515^14+G515^14))</f>
        <v>0.46970111742339138</v>
      </c>
      <c r="J515" s="2">
        <v>100.8</v>
      </c>
      <c r="K515" s="2">
        <v>101.5</v>
      </c>
      <c r="L515" s="2">
        <f>+J515-K515</f>
        <v>-0.70000000000000284</v>
      </c>
      <c r="M515" s="1">
        <f>+E515-I515</f>
        <v>-4.2871849130708461E-2</v>
      </c>
      <c r="N515" s="2">
        <v>90.8</v>
      </c>
      <c r="O515" s="2">
        <v>95.2</v>
      </c>
      <c r="P515" s="2">
        <f>+N515-O515</f>
        <v>-4.4000000000000057</v>
      </c>
      <c r="Q515">
        <v>0.4</v>
      </c>
    </row>
    <row r="516" spans="1:17">
      <c r="A516" t="s">
        <v>55</v>
      </c>
      <c r="B516" t="s">
        <v>8</v>
      </c>
      <c r="C516">
        <v>42</v>
      </c>
      <c r="D516">
        <v>40</v>
      </c>
      <c r="E516" s="1">
        <f>+C516/(C516+D516)</f>
        <v>0.51219512195121952</v>
      </c>
      <c r="F516" s="2">
        <v>101.6</v>
      </c>
      <c r="G516" s="2">
        <v>103.1</v>
      </c>
      <c r="H516" s="2">
        <f>+F516-G516</f>
        <v>-1.5</v>
      </c>
      <c r="I516" s="1">
        <f>+(F516^14)/((F516^14+G516^14))</f>
        <v>0.44888371019614143</v>
      </c>
      <c r="J516" s="2">
        <v>104.1</v>
      </c>
      <c r="K516" s="2">
        <v>105.5</v>
      </c>
      <c r="L516" s="2">
        <f>+J516-K516</f>
        <v>-1.4000000000000057</v>
      </c>
      <c r="M516" s="1">
        <f>+E516-I516</f>
        <v>6.3311411755078095E-2</v>
      </c>
      <c r="N516" s="2">
        <v>95.5</v>
      </c>
      <c r="O516" s="2">
        <v>100</v>
      </c>
      <c r="P516" s="2">
        <f>+N516-O516</f>
        <v>-4.5</v>
      </c>
      <c r="Q516">
        <v>-0.7</v>
      </c>
    </row>
    <row r="517" spans="1:17">
      <c r="A517" t="s">
        <v>38</v>
      </c>
      <c r="B517" t="s">
        <v>30</v>
      </c>
      <c r="C517">
        <v>33</v>
      </c>
      <c r="D517">
        <v>49</v>
      </c>
      <c r="E517" s="1">
        <f>+C517/(C517+D517)</f>
        <v>0.40243902439024393</v>
      </c>
      <c r="F517" s="2">
        <v>85.4</v>
      </c>
      <c r="G517" s="2">
        <v>88.5</v>
      </c>
      <c r="H517" s="2">
        <f>+F517-G517</f>
        <v>-3.0999999999999943</v>
      </c>
      <c r="I517" s="1">
        <f>+(F517^14)/((F517^14+G517^14))</f>
        <v>0.37773096615035939</v>
      </c>
      <c r="J517" s="2">
        <v>95.3</v>
      </c>
      <c r="K517" s="2">
        <v>98.8</v>
      </c>
      <c r="L517" s="2">
        <f>+J517-K517</f>
        <v>-3.5</v>
      </c>
      <c r="M517" s="1">
        <f>+E517-I517</f>
        <v>2.4708058239884534E-2</v>
      </c>
      <c r="N517" s="2">
        <v>92.7</v>
      </c>
      <c r="O517" s="2">
        <v>97.2</v>
      </c>
      <c r="P517" s="2">
        <f>+N517-O517</f>
        <v>-4.5</v>
      </c>
      <c r="Q517">
        <v>0.3</v>
      </c>
    </row>
    <row r="518" spans="1:17">
      <c r="A518" t="s">
        <v>4</v>
      </c>
      <c r="B518" t="s">
        <v>32</v>
      </c>
      <c r="C518">
        <v>23</v>
      </c>
      <c r="D518">
        <v>59</v>
      </c>
      <c r="E518" s="1">
        <f>+C518/(C518+D518)</f>
        <v>0.28048780487804881</v>
      </c>
      <c r="F518" s="2">
        <v>91.7</v>
      </c>
      <c r="G518" s="2">
        <v>97.5</v>
      </c>
      <c r="H518" s="2">
        <f>+F518-G518</f>
        <v>-5.7999999999999972</v>
      </c>
      <c r="I518" s="1">
        <f>+(F518^14)/((F518^14+G518^14))</f>
        <v>0.29762775150060888</v>
      </c>
      <c r="J518" s="2">
        <v>98.2</v>
      </c>
      <c r="K518" s="2">
        <v>104.2</v>
      </c>
      <c r="L518" s="2">
        <f>+J518-K518</f>
        <v>-6</v>
      </c>
      <c r="M518" s="1">
        <f>+E518-I518</f>
        <v>-1.7139946622560076E-2</v>
      </c>
      <c r="N518" s="2">
        <v>102.1</v>
      </c>
      <c r="O518" s="2">
        <v>106.7</v>
      </c>
      <c r="P518" s="2">
        <f>+N518-O518</f>
        <v>-4.6000000000000085</v>
      </c>
      <c r="Q518">
        <v>-1.3</v>
      </c>
    </row>
    <row r="519" spans="1:17">
      <c r="A519" t="s">
        <v>50</v>
      </c>
      <c r="B519" t="s">
        <v>40</v>
      </c>
      <c r="C519">
        <v>21</v>
      </c>
      <c r="D519">
        <v>61</v>
      </c>
      <c r="E519" s="1">
        <f>+C519/(C519+D519)</f>
        <v>0.25609756097560976</v>
      </c>
      <c r="F519" s="2">
        <v>93.4</v>
      </c>
      <c r="G519" s="2">
        <v>102.7</v>
      </c>
      <c r="H519" s="2">
        <f>+F519-G519</f>
        <v>-9.2999999999999972</v>
      </c>
      <c r="I519" s="1">
        <f>+(F519^14)/((F519^14+G519^14))</f>
        <v>0.20934289845958631</v>
      </c>
      <c r="J519" s="2">
        <v>100.4</v>
      </c>
      <c r="K519" s="2">
        <v>110.3</v>
      </c>
      <c r="L519" s="2">
        <f>+J519-K519</f>
        <v>-9.8999999999999915</v>
      </c>
      <c r="M519" s="1">
        <f>+E519-I519</f>
        <v>4.6754662516023449E-2</v>
      </c>
      <c r="N519" s="2">
        <v>95.9</v>
      </c>
      <c r="O519" s="2">
        <v>100.6</v>
      </c>
      <c r="P519" s="2">
        <f>+N519-O519</f>
        <v>-4.6999999999999886</v>
      </c>
      <c r="Q519">
        <v>-1.8</v>
      </c>
    </row>
    <row r="520" spans="1:17">
      <c r="A520" t="s">
        <v>64</v>
      </c>
      <c r="B520" t="s">
        <v>9</v>
      </c>
      <c r="C520">
        <v>48</v>
      </c>
      <c r="D520">
        <v>34</v>
      </c>
      <c r="E520" s="1">
        <f>+C520/(C520+D520)</f>
        <v>0.58536585365853655</v>
      </c>
      <c r="F520" s="2">
        <v>112.6</v>
      </c>
      <c r="G520" s="2">
        <v>110.2</v>
      </c>
      <c r="H520" s="2">
        <f>+F520-G520</f>
        <v>2.3999999999999915</v>
      </c>
      <c r="I520" s="1">
        <f>+(F520^14)/((F520^14+G520^14))</f>
        <v>0.57484031607485653</v>
      </c>
      <c r="J520" s="2">
        <v>114.7</v>
      </c>
      <c r="K520" s="2">
        <v>112.1</v>
      </c>
      <c r="L520" s="2">
        <f>+J520-K520</f>
        <v>2.6000000000000085</v>
      </c>
      <c r="M520" s="1">
        <f>+E520-I520</f>
        <v>1.0525537583680022E-2</v>
      </c>
      <c r="N520" s="2">
        <v>106.4</v>
      </c>
      <c r="O520" s="2">
        <v>111.1</v>
      </c>
      <c r="P520" s="2">
        <f>+N520-O520</f>
        <v>-4.6999999999999886</v>
      </c>
      <c r="Q520">
        <v>0.3</v>
      </c>
    </row>
    <row r="521" spans="1:17">
      <c r="A521" t="s">
        <v>47</v>
      </c>
      <c r="B521" t="s">
        <v>31</v>
      </c>
      <c r="C521">
        <v>53</v>
      </c>
      <c r="D521">
        <v>29</v>
      </c>
      <c r="E521" s="1">
        <f>+C521/(C521+D521)</f>
        <v>0.64634146341463417</v>
      </c>
      <c r="F521" s="2">
        <v>104.2</v>
      </c>
      <c r="G521" s="2">
        <v>98.9</v>
      </c>
      <c r="H521" s="2">
        <f>+F521-G521</f>
        <v>5.2999999999999972</v>
      </c>
      <c r="I521" s="1">
        <f>+(F521^14)/((F521^14+G521^14))</f>
        <v>0.67498968076198662</v>
      </c>
      <c r="J521" s="2">
        <v>109.7</v>
      </c>
      <c r="K521" s="2">
        <v>104</v>
      </c>
      <c r="L521" s="2">
        <f>+J521-K521</f>
        <v>5.7000000000000028</v>
      </c>
      <c r="M521" s="1">
        <f>+E521-I521</f>
        <v>-2.8648217347352456E-2</v>
      </c>
      <c r="N521" s="2">
        <v>105.9</v>
      </c>
      <c r="O521" s="2">
        <v>110.6</v>
      </c>
      <c r="P521" s="2">
        <f>+N521-O521</f>
        <v>-4.6999999999999886</v>
      </c>
      <c r="Q521">
        <v>1.5</v>
      </c>
    </row>
    <row r="522" spans="1:17">
      <c r="A522" t="s">
        <v>62</v>
      </c>
      <c r="B522" t="s">
        <v>53</v>
      </c>
      <c r="C522">
        <v>36</v>
      </c>
      <c r="D522">
        <v>46</v>
      </c>
      <c r="E522" s="1">
        <f>+C522/(C522+D522)</f>
        <v>0.43902439024390244</v>
      </c>
      <c r="F522" s="2">
        <v>109.3</v>
      </c>
      <c r="G522" s="2">
        <v>110.3</v>
      </c>
      <c r="H522" s="2">
        <f>+F522-G522</f>
        <v>-1</v>
      </c>
      <c r="I522" s="1">
        <f>+(F522^14)/((F522^14+G522^14))</f>
        <v>0.46816675732183283</v>
      </c>
      <c r="J522" s="2">
        <v>111.2</v>
      </c>
      <c r="K522" s="2">
        <v>112</v>
      </c>
      <c r="L522" s="2">
        <f>+J522-K522</f>
        <v>-0.79999999999999716</v>
      </c>
      <c r="M522" s="1">
        <f>+E522-I522</f>
        <v>-2.9142367077930387E-2</v>
      </c>
      <c r="N522" s="2">
        <v>115.5</v>
      </c>
      <c r="O522" s="2">
        <v>120.3</v>
      </c>
      <c r="P522" s="2">
        <f>+N522-O522</f>
        <v>-4.7999999999999972</v>
      </c>
      <c r="Q522">
        <v>0.3</v>
      </c>
    </row>
    <row r="523" spans="1:17">
      <c r="A523" t="s">
        <v>4</v>
      </c>
      <c r="B523" t="s">
        <v>7</v>
      </c>
      <c r="C523">
        <v>46</v>
      </c>
      <c r="D523">
        <v>36</v>
      </c>
      <c r="E523" s="1">
        <f>+C523/(C523+D523)</f>
        <v>0.56097560975609762</v>
      </c>
      <c r="F523" s="2">
        <v>91.9</v>
      </c>
      <c r="G523" s="2">
        <v>89.8</v>
      </c>
      <c r="H523" s="2">
        <f>+F523-G523</f>
        <v>2.1000000000000085</v>
      </c>
      <c r="I523" s="1">
        <f>+(F523^14)/((F523^14+G523^14))</f>
        <v>0.58020737825185043</v>
      </c>
      <c r="J523" s="2">
        <v>99.7</v>
      </c>
      <c r="K523" s="2">
        <v>97.6</v>
      </c>
      <c r="L523" s="2">
        <f>+J523-K523</f>
        <v>2.1000000000000085</v>
      </c>
      <c r="M523" s="1">
        <f>+E523-I523</f>
        <v>-1.923176849575281E-2</v>
      </c>
      <c r="N523" s="2">
        <v>91.6</v>
      </c>
      <c r="O523" s="2">
        <v>96.4</v>
      </c>
      <c r="P523" s="2">
        <f>+N523-O523</f>
        <v>-4.8000000000000114</v>
      </c>
      <c r="Q523">
        <v>-0.2</v>
      </c>
    </row>
    <row r="524" spans="1:17">
      <c r="A524" t="s">
        <v>45</v>
      </c>
      <c r="B524" t="s">
        <v>12</v>
      </c>
      <c r="C524">
        <v>39</v>
      </c>
      <c r="D524">
        <v>43</v>
      </c>
      <c r="E524" s="1">
        <f>+C524/(C524+D524)</f>
        <v>0.47560975609756095</v>
      </c>
      <c r="F524" s="2">
        <v>94.2</v>
      </c>
      <c r="G524" s="2">
        <v>94.7</v>
      </c>
      <c r="H524" s="2">
        <f>+F524-G524</f>
        <v>-0.5</v>
      </c>
      <c r="I524" s="1">
        <f>+(F524^14)/((F524^14+G524^14))</f>
        <v>0.48148011126820961</v>
      </c>
      <c r="J524" s="2">
        <v>105.8</v>
      </c>
      <c r="K524" s="2">
        <v>106.4</v>
      </c>
      <c r="L524" s="2">
        <f>+J524-K524</f>
        <v>-0.60000000000000853</v>
      </c>
      <c r="M524" s="1">
        <f>+E524-I524</f>
        <v>-5.8703551706486556E-3</v>
      </c>
      <c r="N524" s="2">
        <v>101.4</v>
      </c>
      <c r="O524" s="2">
        <v>106.3</v>
      </c>
      <c r="P524" s="2">
        <f>+N524-O524</f>
        <v>-4.8999999999999915</v>
      </c>
      <c r="Q524">
        <v>-0.5</v>
      </c>
    </row>
    <row r="525" spans="1:17">
      <c r="A525" t="s">
        <v>36</v>
      </c>
      <c r="B525" t="s">
        <v>13</v>
      </c>
      <c r="C525">
        <v>38</v>
      </c>
      <c r="D525">
        <v>44</v>
      </c>
      <c r="E525" s="1">
        <f>+C525/(C525+D525)</f>
        <v>0.46341463414634149</v>
      </c>
      <c r="F525" s="2">
        <v>102.4</v>
      </c>
      <c r="G525" s="2">
        <v>103.6</v>
      </c>
      <c r="H525" s="2">
        <f>+F525-G525</f>
        <v>-1.1999999999999886</v>
      </c>
      <c r="I525" s="1">
        <f>+(F525^14)/((F525^14+G525^14))</f>
        <v>0.45931300428144822</v>
      </c>
      <c r="J525" s="2">
        <v>106.4</v>
      </c>
      <c r="K525" s="2">
        <v>107.7</v>
      </c>
      <c r="L525" s="2">
        <f>+J525-K525</f>
        <v>-1.2999999999999972</v>
      </c>
      <c r="M525" s="1">
        <f>+E525-I525</f>
        <v>4.1016298648932636E-3</v>
      </c>
      <c r="N525" s="2">
        <v>100.3</v>
      </c>
      <c r="O525" s="2">
        <v>105.2</v>
      </c>
      <c r="P525" s="2">
        <f>+N525-O525</f>
        <v>-4.9000000000000057</v>
      </c>
      <c r="Q525">
        <v>-0.2</v>
      </c>
    </row>
    <row r="526" spans="1:17">
      <c r="A526" t="s">
        <v>41</v>
      </c>
      <c r="B526" t="s">
        <v>33</v>
      </c>
      <c r="C526">
        <v>42</v>
      </c>
      <c r="D526">
        <v>40</v>
      </c>
      <c r="E526" s="1">
        <f>+C526/(C526+D526)</f>
        <v>0.51219512195121952</v>
      </c>
      <c r="F526" s="2">
        <v>101.7</v>
      </c>
      <c r="G526" s="2">
        <v>99.8</v>
      </c>
      <c r="H526" s="2">
        <f>+F526-G526</f>
        <v>1.9000000000000057</v>
      </c>
      <c r="I526" s="1">
        <f>+(F526^14)/((F526^14+G526^14))</f>
        <v>0.56562612482912078</v>
      </c>
      <c r="J526" s="2">
        <v>107.7</v>
      </c>
      <c r="K526" s="2">
        <v>105.8</v>
      </c>
      <c r="L526" s="2">
        <f>+J526-K526</f>
        <v>1.9000000000000057</v>
      </c>
      <c r="M526" s="1">
        <f>+E526-I526</f>
        <v>-5.3431002877901257E-2</v>
      </c>
      <c r="N526" s="2">
        <v>101</v>
      </c>
      <c r="O526" s="2">
        <v>105.9</v>
      </c>
      <c r="P526" s="2">
        <f>+N526-O526</f>
        <v>-4.9000000000000057</v>
      </c>
      <c r="Q526">
        <v>-0.5</v>
      </c>
    </row>
    <row r="527" spans="1:17">
      <c r="A527" t="s">
        <v>43</v>
      </c>
      <c r="B527" t="s">
        <v>11</v>
      </c>
      <c r="C527">
        <v>45</v>
      </c>
      <c r="D527">
        <v>37</v>
      </c>
      <c r="E527" s="1">
        <f>+C527/(C527+D527)</f>
        <v>0.54878048780487809</v>
      </c>
      <c r="F527" s="2">
        <v>105.4</v>
      </c>
      <c r="G527" s="2">
        <v>103.7</v>
      </c>
      <c r="H527" s="2">
        <f>+F527-G527</f>
        <v>1.7000000000000028</v>
      </c>
      <c r="I527" s="1">
        <f>+(F527^14)/((F527^14+G527^14))</f>
        <v>0.55666731029444283</v>
      </c>
      <c r="J527" s="2">
        <v>106.7</v>
      </c>
      <c r="K527" s="2">
        <v>105.1</v>
      </c>
      <c r="L527" s="2">
        <f>+J527-K527</f>
        <v>1.6000000000000085</v>
      </c>
      <c r="M527" s="1">
        <f>+E527-I527</f>
        <v>-7.8868224895647376E-3</v>
      </c>
      <c r="N527" s="2">
        <v>95.3</v>
      </c>
      <c r="O527" s="2">
        <v>100.3</v>
      </c>
      <c r="P527" s="2">
        <f>+N527-O527</f>
        <v>-5</v>
      </c>
      <c r="Q527">
        <v>-1.4</v>
      </c>
    </row>
    <row r="528" spans="1:17">
      <c r="A528" t="s">
        <v>55</v>
      </c>
      <c r="B528" t="s">
        <v>53</v>
      </c>
      <c r="C528">
        <v>30</v>
      </c>
      <c r="D528">
        <v>52</v>
      </c>
      <c r="E528" s="1">
        <f>+C528/(C528+D528)</f>
        <v>0.36585365853658536</v>
      </c>
      <c r="F528" s="2">
        <v>102.7</v>
      </c>
      <c r="G528" s="2">
        <v>106.5</v>
      </c>
      <c r="H528" s="2">
        <f>+F528-G528</f>
        <v>-3.7999999999999972</v>
      </c>
      <c r="I528" s="1">
        <f>+(F528^14)/((F528^14+G528^14))</f>
        <v>0.37550766895906917</v>
      </c>
      <c r="J528" s="2">
        <v>104.8</v>
      </c>
      <c r="K528" s="2">
        <v>108.4</v>
      </c>
      <c r="L528" s="2">
        <f>+J528-K528</f>
        <v>-3.6000000000000085</v>
      </c>
      <c r="M528" s="1">
        <f>+E528-I528</f>
        <v>-9.6540104224838164E-3</v>
      </c>
      <c r="N528" s="2">
        <v>106.8</v>
      </c>
      <c r="O528" s="2">
        <v>111.8</v>
      </c>
      <c r="P528" s="2">
        <f>+N528-O528</f>
        <v>-5</v>
      </c>
      <c r="Q528">
        <v>-0.6</v>
      </c>
    </row>
    <row r="529" spans="1:17">
      <c r="A529" t="s">
        <v>34</v>
      </c>
      <c r="B529" t="s">
        <v>16</v>
      </c>
      <c r="C529">
        <v>39</v>
      </c>
      <c r="D529">
        <v>43</v>
      </c>
      <c r="E529" s="1">
        <f>+C529/(C529+D529)</f>
        <v>0.47560975609756095</v>
      </c>
      <c r="F529" s="2">
        <v>95.7</v>
      </c>
      <c r="G529" s="2">
        <v>96.1</v>
      </c>
      <c r="H529" s="2">
        <f>+F529-G529</f>
        <v>-0.39999999999999147</v>
      </c>
      <c r="I529" s="1">
        <f>+(F529^14)/((F529^14+G529^14))</f>
        <v>0.48540558556338809</v>
      </c>
      <c r="J529" s="2">
        <v>104.3</v>
      </c>
      <c r="K529" s="2">
        <v>104.7</v>
      </c>
      <c r="L529" s="2">
        <f>+J529-K529</f>
        <v>-0.40000000000000568</v>
      </c>
      <c r="M529" s="1">
        <f>+E529-I529</f>
        <v>-9.7958294658271328E-3</v>
      </c>
      <c r="N529" s="2">
        <v>95.3</v>
      </c>
      <c r="O529" s="2">
        <v>100.3</v>
      </c>
      <c r="P529" s="2">
        <f>+N529-O529</f>
        <v>-5</v>
      </c>
      <c r="Q529">
        <v>-0.5</v>
      </c>
    </row>
    <row r="530" spans="1:17">
      <c r="A530" t="s">
        <v>58</v>
      </c>
      <c r="B530" t="s">
        <v>35</v>
      </c>
      <c r="C530">
        <v>22</v>
      </c>
      <c r="D530">
        <v>60</v>
      </c>
      <c r="E530" s="1">
        <f>+C530/(C530+D530)</f>
        <v>0.26829268292682928</v>
      </c>
      <c r="F530" s="2">
        <v>99.3</v>
      </c>
      <c r="G530" s="2">
        <v>105.5</v>
      </c>
      <c r="H530" s="2">
        <f>+F530-G530</f>
        <v>-6.2000000000000028</v>
      </c>
      <c r="I530" s="1">
        <f>+(F530^14)/((F530^14+G530^14))</f>
        <v>0.2998703440144932</v>
      </c>
      <c r="J530" s="2">
        <v>103.6</v>
      </c>
      <c r="K530" s="2">
        <v>110.4</v>
      </c>
      <c r="L530" s="2">
        <f>+J530-K530</f>
        <v>-6.8000000000000114</v>
      </c>
      <c r="M530" s="1">
        <f>+E530-I530</f>
        <v>-3.1577661087663911E-2</v>
      </c>
      <c r="N530" s="2">
        <v>92.4</v>
      </c>
      <c r="O530" s="2">
        <v>97.4</v>
      </c>
      <c r="P530" s="2">
        <f>+N530-O530</f>
        <v>-5</v>
      </c>
      <c r="Q530">
        <v>-1</v>
      </c>
    </row>
    <row r="531" spans="1:17">
      <c r="A531" t="s">
        <v>44</v>
      </c>
      <c r="B531" t="s">
        <v>30</v>
      </c>
      <c r="C531">
        <v>41</v>
      </c>
      <c r="D531">
        <v>41</v>
      </c>
      <c r="E531" s="1">
        <f>+C531/(C531+D531)</f>
        <v>0.5</v>
      </c>
      <c r="F531" s="2">
        <v>100.2</v>
      </c>
      <c r="G531" s="2">
        <v>97.3</v>
      </c>
      <c r="H531" s="2">
        <f>+F531-G531</f>
        <v>2.9000000000000057</v>
      </c>
      <c r="I531" s="1">
        <f>+(F531^14)/((F531^14+G531^14))</f>
        <v>0.6013681002055381</v>
      </c>
      <c r="J531" s="2">
        <v>108.9</v>
      </c>
      <c r="K531" s="2">
        <v>105.6</v>
      </c>
      <c r="L531" s="2">
        <f>+J531-K531</f>
        <v>3.3000000000000114</v>
      </c>
      <c r="M531" s="1">
        <f>+E531-I531</f>
        <v>-0.1013681002055381</v>
      </c>
      <c r="N531" s="2">
        <v>115.5</v>
      </c>
      <c r="O531" s="2">
        <v>120.5</v>
      </c>
      <c r="P531" s="2">
        <f>+N531-O531</f>
        <v>-5</v>
      </c>
      <c r="Q531">
        <v>0</v>
      </c>
    </row>
    <row r="532" spans="1:17">
      <c r="A532" t="s">
        <v>34</v>
      </c>
      <c r="B532" t="s">
        <v>5</v>
      </c>
      <c r="C532">
        <v>33</v>
      </c>
      <c r="D532">
        <v>49</v>
      </c>
      <c r="E532" s="1">
        <f>+C532/(C532+D532)</f>
        <v>0.40243902439024393</v>
      </c>
      <c r="F532" s="2">
        <v>94</v>
      </c>
      <c r="G532" s="2">
        <v>98.3</v>
      </c>
      <c r="H532" s="2">
        <f>+F532-G532</f>
        <v>-4.2999999999999972</v>
      </c>
      <c r="I532" s="1">
        <f>+(F532^14)/((F532^14+G532^14))</f>
        <v>0.34837053448478683</v>
      </c>
      <c r="J532" s="2">
        <v>100.4</v>
      </c>
      <c r="K532" s="2">
        <v>104.8</v>
      </c>
      <c r="L532" s="2">
        <f>+J532-K532</f>
        <v>-4.3999999999999915</v>
      </c>
      <c r="M532" s="1">
        <f>+E532-I532</f>
        <v>5.4068489905457096E-2</v>
      </c>
      <c r="N532" s="2">
        <v>95.5</v>
      </c>
      <c r="O532" s="2">
        <v>100.6</v>
      </c>
      <c r="P532" s="2">
        <f>+N532-O532</f>
        <v>-5.0999999999999943</v>
      </c>
      <c r="Q532">
        <v>-1.2</v>
      </c>
    </row>
    <row r="533" spans="1:17">
      <c r="A533" t="s">
        <v>43</v>
      </c>
      <c r="B533" t="s">
        <v>35</v>
      </c>
      <c r="C533">
        <v>22</v>
      </c>
      <c r="D533">
        <v>60</v>
      </c>
      <c r="E533" s="1">
        <f>+C533/(C533+D533)</f>
        <v>0.26829268292682928</v>
      </c>
      <c r="F533" s="2">
        <v>101.6</v>
      </c>
      <c r="G533" s="2">
        <v>106.7</v>
      </c>
      <c r="H533" s="2">
        <f>+F533-G533</f>
        <v>-5.1000000000000085</v>
      </c>
      <c r="I533" s="1">
        <f>+(F533^14)/((F533^14+G533^14))</f>
        <v>0.33499326878539809</v>
      </c>
      <c r="J533" s="2">
        <v>105.7</v>
      </c>
      <c r="K533" s="2">
        <v>110.9</v>
      </c>
      <c r="L533" s="2">
        <f>+J533-K533</f>
        <v>-5.2000000000000028</v>
      </c>
      <c r="M533" s="1">
        <f>+E533-I533</f>
        <v>-6.6700585858568806E-2</v>
      </c>
      <c r="N533" s="2">
        <v>102.4</v>
      </c>
      <c r="O533" s="2">
        <v>107.5</v>
      </c>
      <c r="P533" s="2">
        <f>+N533-O533</f>
        <v>-5.0999999999999943</v>
      </c>
      <c r="Q533">
        <v>1.6</v>
      </c>
    </row>
    <row r="534" spans="1:17">
      <c r="A534" t="s">
        <v>66</v>
      </c>
      <c r="B534" t="s">
        <v>13</v>
      </c>
      <c r="C534">
        <v>32</v>
      </c>
      <c r="D534">
        <v>31</v>
      </c>
      <c r="E534" s="1">
        <f>+C534/(C534+D534)</f>
        <v>0.50793650793650791</v>
      </c>
      <c r="F534" s="2">
        <v>115</v>
      </c>
      <c r="G534" s="2">
        <v>113.9</v>
      </c>
      <c r="H534" s="2">
        <f>+F534-G534</f>
        <v>1.0999999999999943</v>
      </c>
      <c r="I534" s="1">
        <f>+(F534^14)/((F534^14+G534^14))</f>
        <v>0.53358873886110747</v>
      </c>
      <c r="J534" s="2">
        <v>114.1</v>
      </c>
      <c r="K534" s="2">
        <v>112.9</v>
      </c>
      <c r="L534" s="2">
        <f>+J534-K534</f>
        <v>1.1999999999999886</v>
      </c>
      <c r="M534" s="1">
        <f>+E534-I534</f>
        <v>-2.5652230924599562E-2</v>
      </c>
      <c r="N534" s="2">
        <v>118.2</v>
      </c>
      <c r="O534" s="2">
        <v>123.4</v>
      </c>
      <c r="P534" s="2">
        <f>+N534-O534</f>
        <v>-5.2000000000000028</v>
      </c>
      <c r="Q534" s="2">
        <v>1</v>
      </c>
    </row>
    <row r="535" spans="1:17">
      <c r="A535" t="s">
        <v>44</v>
      </c>
      <c r="B535" t="s">
        <v>14</v>
      </c>
      <c r="C535">
        <v>55</v>
      </c>
      <c r="D535">
        <v>27</v>
      </c>
      <c r="E535" s="1">
        <f>+C535/(C535+D535)</f>
        <v>0.67073170731707321</v>
      </c>
      <c r="F535" s="2">
        <v>96.7</v>
      </c>
      <c r="G535" s="2">
        <v>92</v>
      </c>
      <c r="H535" s="2">
        <f>+F535-G535</f>
        <v>4.7000000000000028</v>
      </c>
      <c r="I535" s="1">
        <f>+(F535^14)/((F535^14+G535^14))</f>
        <v>0.6676438096091204</v>
      </c>
      <c r="J535" s="2">
        <v>105.4</v>
      </c>
      <c r="K535" s="2">
        <v>100.5</v>
      </c>
      <c r="L535" s="2">
        <f>+J535-K535</f>
        <v>4.9000000000000057</v>
      </c>
      <c r="M535" s="1">
        <f>+E535-I535</f>
        <v>3.0878977079528136E-3</v>
      </c>
      <c r="N535" s="2">
        <v>99.2</v>
      </c>
      <c r="O535" s="2">
        <v>104.5</v>
      </c>
      <c r="P535" s="2">
        <f>+N535-O535</f>
        <v>-5.2999999999999972</v>
      </c>
      <c r="Q535">
        <v>0.1</v>
      </c>
    </row>
    <row r="536" spans="1:17">
      <c r="A536" t="s">
        <v>43</v>
      </c>
      <c r="B536" t="s">
        <v>5</v>
      </c>
      <c r="C536">
        <v>30</v>
      </c>
      <c r="D536">
        <v>52</v>
      </c>
      <c r="E536" s="1">
        <f>+C536/(C536+D536)</f>
        <v>0.36585365853658536</v>
      </c>
      <c r="F536" s="2">
        <v>93.7</v>
      </c>
      <c r="G536" s="2">
        <v>98.4</v>
      </c>
      <c r="H536" s="2">
        <f>+F536-G536</f>
        <v>-4.7000000000000028</v>
      </c>
      <c r="I536" s="1">
        <f>+(F536^14)/((F536^14+G536^14))</f>
        <v>0.33510246231607854</v>
      </c>
      <c r="J536" s="2">
        <v>102</v>
      </c>
      <c r="K536" s="2">
        <v>107</v>
      </c>
      <c r="L536" s="2">
        <f>+J536-K536</f>
        <v>-5</v>
      </c>
      <c r="M536" s="1">
        <f>+E536-I536</f>
        <v>3.0751196220506816E-2</v>
      </c>
      <c r="N536" s="2">
        <v>95.5</v>
      </c>
      <c r="O536" s="2">
        <v>100.9</v>
      </c>
      <c r="P536" s="2">
        <f>+N536-O536</f>
        <v>-5.4000000000000057</v>
      </c>
      <c r="Q536">
        <v>-0.5</v>
      </c>
    </row>
    <row r="537" spans="1:17">
      <c r="A537" t="s">
        <v>50</v>
      </c>
      <c r="B537" t="s">
        <v>25</v>
      </c>
      <c r="C537">
        <v>25</v>
      </c>
      <c r="D537">
        <v>57</v>
      </c>
      <c r="E537" s="1">
        <f>+C537/(C537+D537)</f>
        <v>0.3048780487804878</v>
      </c>
      <c r="F537" s="2">
        <v>95.2</v>
      </c>
      <c r="G537" s="2">
        <v>101.6</v>
      </c>
      <c r="H537" s="2">
        <f>+F537-G537</f>
        <v>-6.3999999999999915</v>
      </c>
      <c r="I537" s="1">
        <f>+(F537^14)/((F537^14+G537^14))</f>
        <v>0.28681768748070391</v>
      </c>
      <c r="J537" s="2">
        <v>100.2</v>
      </c>
      <c r="K537" s="2">
        <v>106.9</v>
      </c>
      <c r="L537" s="2">
        <f>+J537-K537</f>
        <v>-6.7000000000000028</v>
      </c>
      <c r="M537" s="1">
        <f>+E537-I537</f>
        <v>1.8060361299783889E-2</v>
      </c>
      <c r="N537" s="2">
        <v>94.8</v>
      </c>
      <c r="O537" s="2">
        <v>100.3</v>
      </c>
      <c r="P537" s="2">
        <f>+N537-O537</f>
        <v>-5.5</v>
      </c>
      <c r="Q537">
        <v>-1.5</v>
      </c>
    </row>
    <row r="538" spans="1:17">
      <c r="A538" t="s">
        <v>39</v>
      </c>
      <c r="B538" t="s">
        <v>16</v>
      </c>
      <c r="C538">
        <v>37</v>
      </c>
      <c r="D538">
        <v>45</v>
      </c>
      <c r="E538" s="1">
        <f>+C538/(C538+D538)</f>
        <v>0.45121951219512196</v>
      </c>
      <c r="F538" s="2">
        <v>95.7</v>
      </c>
      <c r="G538" s="2">
        <v>96.5</v>
      </c>
      <c r="H538" s="2">
        <f>+F538-G538</f>
        <v>-0.79999999999999716</v>
      </c>
      <c r="I538" s="1">
        <f>+(F538^14)/((F538^14+G538^14))</f>
        <v>0.47089645062894331</v>
      </c>
      <c r="J538" s="2">
        <v>103.8</v>
      </c>
      <c r="K538" s="2">
        <v>104.5</v>
      </c>
      <c r="L538" s="2">
        <f>+J538-K538</f>
        <v>-0.70000000000000284</v>
      </c>
      <c r="M538" s="1">
        <f>+E538-I538</f>
        <v>-1.9676938433821345E-2</v>
      </c>
      <c r="N538" s="2">
        <v>101.2</v>
      </c>
      <c r="O538" s="2">
        <v>106.7</v>
      </c>
      <c r="P538" s="2">
        <f>+N538-O538</f>
        <v>-5.5</v>
      </c>
      <c r="Q538">
        <v>-1.3</v>
      </c>
    </row>
    <row r="539" spans="1:17">
      <c r="A539" t="s">
        <v>34</v>
      </c>
      <c r="B539" t="s">
        <v>29</v>
      </c>
      <c r="C539">
        <v>45</v>
      </c>
      <c r="D539">
        <v>37</v>
      </c>
      <c r="E539" s="1">
        <f>+C539/(C539+D539)</f>
        <v>0.54878048780487809</v>
      </c>
      <c r="F539" s="2">
        <v>97.7</v>
      </c>
      <c r="G539" s="2">
        <v>94.7</v>
      </c>
      <c r="H539" s="2">
        <f>+F539-G539</f>
        <v>3</v>
      </c>
      <c r="I539" s="1">
        <f>+(F539^14)/((F539^14+G539^14))</f>
        <v>0.60745473911501191</v>
      </c>
      <c r="J539" s="2">
        <v>107.3</v>
      </c>
      <c r="K539" s="2">
        <v>104.1</v>
      </c>
      <c r="L539" s="2">
        <f>+J539-K539</f>
        <v>3.2000000000000028</v>
      </c>
      <c r="M539" s="1">
        <f>+E539-I539</f>
        <v>-5.8674251310133818E-2</v>
      </c>
      <c r="N539" s="2">
        <v>92.6</v>
      </c>
      <c r="O539" s="2">
        <v>98.2</v>
      </c>
      <c r="P539" s="2">
        <f>+N539-O539</f>
        <v>-5.6000000000000085</v>
      </c>
      <c r="Q539">
        <v>0.3</v>
      </c>
    </row>
    <row r="540" spans="1:17">
      <c r="A540" t="s">
        <v>34</v>
      </c>
      <c r="B540" t="s">
        <v>11</v>
      </c>
      <c r="C540">
        <v>27</v>
      </c>
      <c r="D540">
        <v>55</v>
      </c>
      <c r="E540" s="1">
        <f>+C540/(C540+D540)</f>
        <v>0.32926829268292684</v>
      </c>
      <c r="F540" s="2">
        <v>92.2</v>
      </c>
      <c r="G540" s="2">
        <v>98</v>
      </c>
      <c r="H540" s="2">
        <f>+F540-G540</f>
        <v>-5.7999999999999972</v>
      </c>
      <c r="I540" s="1">
        <f>+(F540^14)/((F540^14+G540^14))</f>
        <v>0.29857289504453155</v>
      </c>
      <c r="J540" s="2">
        <v>100.3</v>
      </c>
      <c r="K540" s="2">
        <v>106.6</v>
      </c>
      <c r="L540" s="2">
        <f>+J540-K540</f>
        <v>-6.2999999999999972</v>
      </c>
      <c r="M540" s="1">
        <f>+E540-I540</f>
        <v>3.0695397638395294E-2</v>
      </c>
      <c r="N540" s="2">
        <v>89.7</v>
      </c>
      <c r="O540" s="2">
        <v>95.4</v>
      </c>
      <c r="P540" s="2">
        <f>+N540-O540</f>
        <v>-5.7000000000000028</v>
      </c>
      <c r="Q540">
        <v>0.1</v>
      </c>
    </row>
    <row r="541" spans="1:17">
      <c r="A541" t="s">
        <v>61</v>
      </c>
      <c r="B541" t="s">
        <v>10</v>
      </c>
      <c r="C541">
        <v>42</v>
      </c>
      <c r="D541">
        <v>30</v>
      </c>
      <c r="E541" s="1">
        <f>+C541/(C541+D541)</f>
        <v>0.58333333333333337</v>
      </c>
      <c r="F541" s="2">
        <v>112.4</v>
      </c>
      <c r="G541" s="2">
        <v>110.2</v>
      </c>
      <c r="H541" s="2">
        <f>+F541-G541</f>
        <v>2.2000000000000028</v>
      </c>
      <c r="I541" s="1">
        <f>+(F541^14)/((F541^14+G541^14))</f>
        <v>0.56874646032092568</v>
      </c>
      <c r="J541" s="2">
        <v>114.6</v>
      </c>
      <c r="K541" s="2">
        <v>112.3</v>
      </c>
      <c r="L541" s="2">
        <f>+J541-K541</f>
        <v>2.2999999999999972</v>
      </c>
      <c r="M541" s="1">
        <f>+E541-I541</f>
        <v>1.4586873012407686E-2</v>
      </c>
      <c r="N541" s="2">
        <v>116.3</v>
      </c>
      <c r="O541" s="2">
        <v>122</v>
      </c>
      <c r="P541" s="2">
        <f>+N541-O541</f>
        <v>-5.7000000000000028</v>
      </c>
      <c r="Q541">
        <v>-0.3</v>
      </c>
    </row>
    <row r="542" spans="1:17">
      <c r="A542" t="s">
        <v>57</v>
      </c>
      <c r="B542" t="s">
        <v>14</v>
      </c>
      <c r="C542">
        <v>55</v>
      </c>
      <c r="D542">
        <v>27</v>
      </c>
      <c r="E542" s="1">
        <f>+C542/(C542+D542)</f>
        <v>0.67073170731707321</v>
      </c>
      <c r="F542" s="2">
        <v>115.3</v>
      </c>
      <c r="G542" s="2">
        <v>109.6</v>
      </c>
      <c r="H542" s="2">
        <f>+F542-G542</f>
        <v>5.7000000000000028</v>
      </c>
      <c r="I542" s="1">
        <f>+(F542^14)/((F542^14+G542^14))</f>
        <v>0.67035712884085974</v>
      </c>
      <c r="J542" s="2">
        <v>114.1</v>
      </c>
      <c r="K542" s="2">
        <v>108.4</v>
      </c>
      <c r="L542" s="2">
        <f>+J542-K542</f>
        <v>5.6999999999999886</v>
      </c>
      <c r="M542" s="1">
        <f>+E542-I542</f>
        <v>3.7457847621347184E-4</v>
      </c>
      <c r="N542" s="2">
        <v>100</v>
      </c>
      <c r="O542" s="2">
        <v>105.7</v>
      </c>
      <c r="P542" s="2">
        <f>+N542-O542</f>
        <v>-5.7000000000000028</v>
      </c>
      <c r="Q542">
        <v>-1.1000000000000001</v>
      </c>
    </row>
    <row r="543" spans="1:17">
      <c r="A543" t="s">
        <v>47</v>
      </c>
      <c r="B543" t="s">
        <v>46</v>
      </c>
      <c r="C543">
        <v>50</v>
      </c>
      <c r="D543">
        <v>32</v>
      </c>
      <c r="E543" s="1">
        <f>+C543/(C543+D543)</f>
        <v>0.6097560975609756</v>
      </c>
      <c r="F543" s="2">
        <v>101.5</v>
      </c>
      <c r="G543" s="2">
        <v>98</v>
      </c>
      <c r="H543" s="2">
        <f>+F543-G543</f>
        <v>3.5</v>
      </c>
      <c r="I543" s="1">
        <f>+(F543^14)/((F543^14+G543^14))</f>
        <v>0.62040756265639296</v>
      </c>
      <c r="J543" s="2">
        <v>107</v>
      </c>
      <c r="K543" s="2">
        <v>103.5</v>
      </c>
      <c r="L543" s="2">
        <f>+J543-K543</f>
        <v>3.5</v>
      </c>
      <c r="M543" s="1">
        <f>+E543-I543</f>
        <v>-1.0651465095417367E-2</v>
      </c>
      <c r="N543" s="2">
        <v>92.3</v>
      </c>
      <c r="O543" s="2">
        <v>98</v>
      </c>
      <c r="P543" s="2">
        <f>+N543-O543</f>
        <v>-5.7000000000000028</v>
      </c>
      <c r="Q543">
        <v>-0.6</v>
      </c>
    </row>
    <row r="544" spans="1:17">
      <c r="A544" t="s">
        <v>50</v>
      </c>
      <c r="B544" t="s">
        <v>24</v>
      </c>
      <c r="C544">
        <v>34</v>
      </c>
      <c r="D544">
        <v>48</v>
      </c>
      <c r="E544" s="1">
        <f>+C544/(C544+D544)</f>
        <v>0.41463414634146339</v>
      </c>
      <c r="F544" s="2">
        <v>93.2</v>
      </c>
      <c r="G544" s="2">
        <v>96.5</v>
      </c>
      <c r="H544" s="2">
        <f>+F544-G544</f>
        <v>-3.2999999999999972</v>
      </c>
      <c r="I544" s="1">
        <f>+(F544^14)/((F544^14+G544^14))</f>
        <v>0.38056895293996196</v>
      </c>
      <c r="J544" s="2">
        <v>101</v>
      </c>
      <c r="K544" s="2">
        <v>104.7</v>
      </c>
      <c r="L544" s="2">
        <f>+J544-K544</f>
        <v>-3.7000000000000028</v>
      </c>
      <c r="M544" s="1">
        <f>+E544-I544</f>
        <v>3.4065193401501437E-2</v>
      </c>
      <c r="N544" s="2">
        <v>94.2</v>
      </c>
      <c r="O544" s="2">
        <v>100</v>
      </c>
      <c r="P544" s="2">
        <f>+N544-O544</f>
        <v>-5.7999999999999972</v>
      </c>
      <c r="Q544">
        <v>-0.7</v>
      </c>
    </row>
    <row r="545" spans="1:17">
      <c r="A545" t="s">
        <v>63</v>
      </c>
      <c r="B545" t="s">
        <v>7</v>
      </c>
      <c r="C545">
        <v>27</v>
      </c>
      <c r="D545">
        <v>55</v>
      </c>
      <c r="E545" s="1">
        <f>+C545/(C545+D545)</f>
        <v>0.32926829268292684</v>
      </c>
      <c r="F545" s="2">
        <v>111</v>
      </c>
      <c r="G545" s="2">
        <v>117.2</v>
      </c>
      <c r="H545" s="2">
        <f>+F545-G545</f>
        <v>-6.2000000000000028</v>
      </c>
      <c r="I545" s="1">
        <f>+(F545^14)/((F545^14+G545^14))</f>
        <v>0.31844580628258201</v>
      </c>
      <c r="J545" s="2">
        <v>108.4</v>
      </c>
      <c r="K545" s="2">
        <v>114.7</v>
      </c>
      <c r="L545" s="2">
        <f>+J545-K545</f>
        <v>-6.2999999999999972</v>
      </c>
      <c r="M545" s="1">
        <f>+E545-I545</f>
        <v>1.0822486400344833E-2</v>
      </c>
      <c r="N545" s="2">
        <v>108.6</v>
      </c>
      <c r="O545" s="2">
        <v>114.4</v>
      </c>
      <c r="P545" s="2">
        <f>+N545-O545</f>
        <v>-5.8000000000000114</v>
      </c>
      <c r="Q545">
        <v>-0.3</v>
      </c>
    </row>
    <row r="546" spans="1:17">
      <c r="A546" t="s">
        <v>34</v>
      </c>
      <c r="B546" t="s">
        <v>18</v>
      </c>
      <c r="C546">
        <v>36</v>
      </c>
      <c r="D546">
        <v>46</v>
      </c>
      <c r="E546" s="1">
        <f>+C546/(C546+D546)</f>
        <v>0.43902439024390244</v>
      </c>
      <c r="F546" s="2">
        <v>87.2</v>
      </c>
      <c r="G546" s="2">
        <v>88.7</v>
      </c>
      <c r="H546" s="2">
        <f>+F546-G546</f>
        <v>-1.5</v>
      </c>
      <c r="I546" s="1">
        <f>+(F546^14)/((F546^14+G546^14))</f>
        <v>0.44058756031569546</v>
      </c>
      <c r="J546" s="2">
        <v>97.3</v>
      </c>
      <c r="K546" s="2">
        <v>99</v>
      </c>
      <c r="L546" s="2">
        <f>+J546-K546</f>
        <v>-1.7000000000000028</v>
      </c>
      <c r="M546" s="1">
        <f>+E546-I546</f>
        <v>-1.5631700717930186E-3</v>
      </c>
      <c r="N546" s="2">
        <v>86.1</v>
      </c>
      <c r="O546" s="2">
        <v>92</v>
      </c>
      <c r="P546" s="2">
        <f>+N546-O546</f>
        <v>-5.9000000000000057</v>
      </c>
      <c r="Q546">
        <v>-0.4</v>
      </c>
    </row>
    <row r="547" spans="1:17">
      <c r="A547" t="s">
        <v>65</v>
      </c>
      <c r="B547" t="s">
        <v>25</v>
      </c>
      <c r="C547">
        <v>36</v>
      </c>
      <c r="D547">
        <v>46</v>
      </c>
      <c r="E547" s="1">
        <f>+C547/(C547+D547)</f>
        <v>0.43902439024390244</v>
      </c>
      <c r="F547" s="2">
        <v>113.6</v>
      </c>
      <c r="G547" s="2">
        <v>116.6</v>
      </c>
      <c r="H547" s="2">
        <f>+F547-G547</f>
        <v>-3</v>
      </c>
      <c r="I547" s="1">
        <f>+(F547^14)/((F547^14+G547^14))</f>
        <v>0.40976891597843029</v>
      </c>
      <c r="J547" s="2">
        <v>114.7</v>
      </c>
      <c r="K547" s="2">
        <v>117.7</v>
      </c>
      <c r="L547" s="2">
        <f>+J547-K547</f>
        <v>-3</v>
      </c>
      <c r="M547" s="1">
        <f>+E547-I547</f>
        <v>2.9255474265472148E-2</v>
      </c>
      <c r="N547" s="2">
        <v>115.5</v>
      </c>
      <c r="O547" s="2">
        <v>121.5</v>
      </c>
      <c r="P547" s="2">
        <f>+N547-O547</f>
        <v>-6</v>
      </c>
      <c r="Q547">
        <v>-0.5</v>
      </c>
    </row>
    <row r="548" spans="1:17">
      <c r="A548" t="s">
        <v>65</v>
      </c>
      <c r="B548" t="s">
        <v>7</v>
      </c>
      <c r="C548">
        <v>19</v>
      </c>
      <c r="D548">
        <v>63</v>
      </c>
      <c r="E548" s="1">
        <f>+C548/(C548+D548)</f>
        <v>0.23170731707317074</v>
      </c>
      <c r="F548" s="2">
        <v>105.1</v>
      </c>
      <c r="G548" s="2">
        <v>114.2</v>
      </c>
      <c r="H548" s="2">
        <f>+F548-G548</f>
        <v>-9.1000000000000085</v>
      </c>
      <c r="I548" s="1">
        <f>+(F548^14)/((F548^14+G548^14))</f>
        <v>0.23820492240798724</v>
      </c>
      <c r="J548" s="2">
        <v>106.7</v>
      </c>
      <c r="K548" s="2">
        <v>115.7</v>
      </c>
      <c r="L548" s="2">
        <f>+J548-K548</f>
        <v>-9</v>
      </c>
      <c r="M548" s="1">
        <f>+E548-I548</f>
        <v>-6.4976053348164975E-3</v>
      </c>
      <c r="N548" s="2">
        <v>105.4</v>
      </c>
      <c r="O548" s="2">
        <v>111.4</v>
      </c>
      <c r="P548" s="2">
        <f>+N548-O548</f>
        <v>-6</v>
      </c>
      <c r="Q548">
        <v>-0.5</v>
      </c>
    </row>
    <row r="549" spans="1:17">
      <c r="A549" t="s">
        <v>57</v>
      </c>
      <c r="B549" t="s">
        <v>10</v>
      </c>
      <c r="C549">
        <v>33</v>
      </c>
      <c r="D549">
        <v>49</v>
      </c>
      <c r="E549" s="1">
        <f>+C549/(C549+D549)</f>
        <v>0.40243902439024393</v>
      </c>
      <c r="F549" s="2">
        <v>97.9</v>
      </c>
      <c r="G549" s="2">
        <v>100.8</v>
      </c>
      <c r="H549" s="2">
        <f>+F549-G549</f>
        <v>-2.8999999999999915</v>
      </c>
      <c r="I549" s="1">
        <f>+(F549^14)/((F549^14+G549^14))</f>
        <v>0.39922740690355496</v>
      </c>
      <c r="J549" s="2">
        <v>104.7</v>
      </c>
      <c r="K549" s="2">
        <v>107.7</v>
      </c>
      <c r="L549" s="2">
        <f>+J549-K549</f>
        <v>-3</v>
      </c>
      <c r="M549" s="1">
        <f>+E549-I549</f>
        <v>3.2116174866889668E-3</v>
      </c>
      <c r="N549" s="2">
        <v>101.7</v>
      </c>
      <c r="O549" s="2">
        <v>107.8</v>
      </c>
      <c r="P549" s="2">
        <f>+N549-O549</f>
        <v>-6.0999999999999943</v>
      </c>
      <c r="Q549">
        <v>-0.6</v>
      </c>
    </row>
    <row r="550" spans="1:17">
      <c r="A550" t="s">
        <v>48</v>
      </c>
      <c r="B550" t="s">
        <v>21</v>
      </c>
      <c r="C550">
        <v>24</v>
      </c>
      <c r="D550">
        <v>58</v>
      </c>
      <c r="E550" s="1">
        <f>+C550/(C550+D550)</f>
        <v>0.29268292682926828</v>
      </c>
      <c r="F550" s="2">
        <v>94.2</v>
      </c>
      <c r="G550" s="2">
        <v>100.4</v>
      </c>
      <c r="H550" s="2">
        <f>+F550-G550</f>
        <v>-6.2000000000000028</v>
      </c>
      <c r="I550" s="1">
        <f>+(F550^14)/((F550^14+G550^14))</f>
        <v>0.29061719989236251</v>
      </c>
      <c r="J550" s="2">
        <v>102.1</v>
      </c>
      <c r="K550" s="2">
        <v>108.9</v>
      </c>
      <c r="L550" s="2">
        <f>+J550-K550</f>
        <v>-6.8000000000000114</v>
      </c>
      <c r="M550" s="1">
        <f>+E550-I550</f>
        <v>2.0657269369057651E-3</v>
      </c>
      <c r="N550" s="2">
        <v>100.5</v>
      </c>
      <c r="O550" s="2">
        <v>106.6</v>
      </c>
      <c r="P550" s="2">
        <f>+N550-O550</f>
        <v>-6.0999999999999943</v>
      </c>
      <c r="Q550">
        <v>-0.4</v>
      </c>
    </row>
    <row r="551" spans="1:17">
      <c r="A551" t="s">
        <v>58</v>
      </c>
      <c r="B551" t="s">
        <v>17</v>
      </c>
      <c r="C551">
        <v>35</v>
      </c>
      <c r="D551">
        <v>47</v>
      </c>
      <c r="E551" s="1">
        <f>+C551/(C551+D551)</f>
        <v>0.42682926829268292</v>
      </c>
      <c r="F551" s="2">
        <v>108.1</v>
      </c>
      <c r="G551" s="2">
        <v>109.6</v>
      </c>
      <c r="H551" s="2">
        <f>+F551-G551</f>
        <v>-1.5</v>
      </c>
      <c r="I551" s="1">
        <f>+(F551^14)/((F551^14+G551^14))</f>
        <v>0.45191677770464023</v>
      </c>
      <c r="J551" s="2">
        <v>106</v>
      </c>
      <c r="K551" s="2">
        <v>107.3</v>
      </c>
      <c r="L551" s="2">
        <f>+J551-K551</f>
        <v>-1.2999999999999972</v>
      </c>
      <c r="M551" s="1">
        <f>+E551-I551</f>
        <v>-2.5087509411957309E-2</v>
      </c>
      <c r="N551" s="2">
        <v>99.7</v>
      </c>
      <c r="O551" s="2">
        <v>105.8</v>
      </c>
      <c r="P551" s="2">
        <f>+N551-O551</f>
        <v>-6.0999999999999943</v>
      </c>
      <c r="Q551">
        <v>-0.4</v>
      </c>
    </row>
    <row r="552" spans="1:17">
      <c r="A552" t="s">
        <v>58</v>
      </c>
      <c r="B552" t="s">
        <v>5</v>
      </c>
      <c r="C552">
        <v>24</v>
      </c>
      <c r="D552">
        <v>58</v>
      </c>
      <c r="E552" s="1">
        <f>+C552/(C552+D552)</f>
        <v>0.29268292682926828</v>
      </c>
      <c r="F552" s="2">
        <v>103.4</v>
      </c>
      <c r="G552" s="2">
        <v>108.8</v>
      </c>
      <c r="H552" s="2">
        <f>+F552-G552</f>
        <v>-5.3999999999999915</v>
      </c>
      <c r="I552" s="1">
        <f>+(F552^14)/((F552^14+G552^14))</f>
        <v>0.32900489498317276</v>
      </c>
      <c r="J552" s="2">
        <v>104.4</v>
      </c>
      <c r="K552" s="2">
        <v>110.1</v>
      </c>
      <c r="L552" s="2">
        <f>+J552-K552</f>
        <v>-5.6999999999999886</v>
      </c>
      <c r="M552" s="1">
        <f>+E552-I552</f>
        <v>-3.6321968153904483E-2</v>
      </c>
      <c r="N552" s="2">
        <v>105.4</v>
      </c>
      <c r="O552" s="2">
        <v>111.5</v>
      </c>
      <c r="P552" s="2">
        <f>+N552-O552</f>
        <v>-6.0999999999999943</v>
      </c>
      <c r="Q552">
        <v>0.4</v>
      </c>
    </row>
    <row r="553" spans="1:17">
      <c r="A553" t="s">
        <v>47</v>
      </c>
      <c r="B553" t="s">
        <v>20</v>
      </c>
      <c r="C553">
        <v>15</v>
      </c>
      <c r="D553">
        <v>67</v>
      </c>
      <c r="E553" s="1">
        <f>+C553/(C553+D553)</f>
        <v>0.18292682926829268</v>
      </c>
      <c r="F553" s="2">
        <v>98.2</v>
      </c>
      <c r="G553" s="2">
        <v>107.8</v>
      </c>
      <c r="H553" s="2">
        <f>+F553-G553</f>
        <v>-9.5999999999999943</v>
      </c>
      <c r="I553" s="1">
        <f>+(F553^14)/((F553^14+G553^14))</f>
        <v>0.21319047062273172</v>
      </c>
      <c r="J553" s="2">
        <v>100.6</v>
      </c>
      <c r="K553" s="2">
        <v>110.4</v>
      </c>
      <c r="L553" s="2">
        <f>+J553-K553</f>
        <v>-9.8000000000000114</v>
      </c>
      <c r="M553" s="1">
        <f>+E553-I553</f>
        <v>-3.0263641354439041E-2</v>
      </c>
      <c r="N553" s="2">
        <v>102.7</v>
      </c>
      <c r="O553" s="2">
        <v>108.9</v>
      </c>
      <c r="P553" s="2">
        <f>+N553-O553</f>
        <v>-6.2000000000000028</v>
      </c>
      <c r="Q553">
        <v>0.3</v>
      </c>
    </row>
    <row r="554" spans="1:17">
      <c r="A554" t="s">
        <v>55</v>
      </c>
      <c r="B554" t="s">
        <v>11</v>
      </c>
      <c r="C554">
        <v>33</v>
      </c>
      <c r="D554">
        <v>49</v>
      </c>
      <c r="E554" s="1">
        <f>+C554/(C554+D554)</f>
        <v>0.40243902439024393</v>
      </c>
      <c r="F554" s="2">
        <v>101.9</v>
      </c>
      <c r="G554" s="2">
        <v>105</v>
      </c>
      <c r="H554" s="2">
        <f>+F554-G554</f>
        <v>-3.0999999999999943</v>
      </c>
      <c r="I554" s="1">
        <f>+(F554^14)/((F554^14+G554^14))</f>
        <v>0.39662258414921886</v>
      </c>
      <c r="J554" s="2">
        <v>104.9</v>
      </c>
      <c r="K554" s="2">
        <v>108.2</v>
      </c>
      <c r="L554" s="2">
        <f>+J554-K554</f>
        <v>-3.2999999999999972</v>
      </c>
      <c r="M554" s="1">
        <f>+E554-I554</f>
        <v>5.8164402410250671E-3</v>
      </c>
      <c r="N554" s="2">
        <v>89.7</v>
      </c>
      <c r="O554" s="2">
        <v>96</v>
      </c>
      <c r="P554" s="2">
        <f>+N554-O554</f>
        <v>-6.2999999999999972</v>
      </c>
      <c r="Q554">
        <v>-0.2</v>
      </c>
    </row>
    <row r="555" spans="1:17">
      <c r="A555" t="s">
        <v>36</v>
      </c>
      <c r="B555" t="s">
        <v>22</v>
      </c>
      <c r="C555">
        <v>37</v>
      </c>
      <c r="D555">
        <v>45</v>
      </c>
      <c r="E555" s="1">
        <f>+C555/(C555+D555)</f>
        <v>0.45121951219512196</v>
      </c>
      <c r="F555" s="2">
        <v>95.9</v>
      </c>
      <c r="G555" s="2">
        <v>97.2</v>
      </c>
      <c r="H555" s="2">
        <f>+F555-G555</f>
        <v>-1.2999999999999972</v>
      </c>
      <c r="I555" s="1">
        <f>+(F555^14)/((F555^14+G555^14))</f>
        <v>0.45301250427242873</v>
      </c>
      <c r="J555" s="2">
        <v>103.3</v>
      </c>
      <c r="K555" s="2">
        <v>104.6</v>
      </c>
      <c r="L555" s="2">
        <f>+J555-K555</f>
        <v>-1.2999999999999972</v>
      </c>
      <c r="M555" s="1">
        <f>+E555-I555</f>
        <v>-1.7929920773067654E-3</v>
      </c>
      <c r="N555" s="2">
        <v>100</v>
      </c>
      <c r="O555" s="2">
        <v>106.3</v>
      </c>
      <c r="P555" s="2">
        <f>+N555-O555</f>
        <v>-6.2999999999999972</v>
      </c>
      <c r="Q555">
        <v>-0.3</v>
      </c>
    </row>
    <row r="556" spans="1:17">
      <c r="A556" t="s">
        <v>64</v>
      </c>
      <c r="B556" t="s">
        <v>30</v>
      </c>
      <c r="C556">
        <v>25</v>
      </c>
      <c r="D556">
        <v>57</v>
      </c>
      <c r="E556" s="1">
        <f>+C556/(C556+D556)</f>
        <v>0.3048780487804878</v>
      </c>
      <c r="F556" s="2">
        <v>112.4</v>
      </c>
      <c r="G556" s="2">
        <v>118.8</v>
      </c>
      <c r="H556" s="2">
        <f>+F556-G556</f>
        <v>-6.3999999999999915</v>
      </c>
      <c r="I556" s="1">
        <f>+(F556^14)/((F556^14+G556^14))</f>
        <v>0.3153370573458385</v>
      </c>
      <c r="J556" s="2">
        <v>111.8</v>
      </c>
      <c r="K556" s="2">
        <v>118.1</v>
      </c>
      <c r="L556" s="2">
        <f>+J556-K556</f>
        <v>-6.2999999999999972</v>
      </c>
      <c r="M556" s="1">
        <f>+E556-I556</f>
        <v>-1.0459008565350703E-2</v>
      </c>
      <c r="N556" s="2">
        <v>109</v>
      </c>
      <c r="O556" s="2">
        <v>115.5</v>
      </c>
      <c r="P556" s="2">
        <f>+N556-O556</f>
        <v>-6.5</v>
      </c>
      <c r="Q556">
        <v>-1</v>
      </c>
    </row>
    <row r="557" spans="1:17">
      <c r="A557" t="s">
        <v>60</v>
      </c>
      <c r="B557" t="s">
        <v>9</v>
      </c>
      <c r="C557">
        <v>19</v>
      </c>
      <c r="D557">
        <v>46</v>
      </c>
      <c r="E557" s="1">
        <f>+C557/(C557+D557)</f>
        <v>0.29230769230769232</v>
      </c>
      <c r="F557" s="2">
        <v>106.9</v>
      </c>
      <c r="G557" s="2">
        <v>114.8</v>
      </c>
      <c r="H557" s="2">
        <f>+F557-G557</f>
        <v>-7.8999999999999915</v>
      </c>
      <c r="I557" s="1">
        <f>+(F557^14)/((F557^14+G557^14))</f>
        <v>0.26930190028801032</v>
      </c>
      <c r="J557" s="2">
        <v>106.9</v>
      </c>
      <c r="K557" s="2">
        <v>114.8</v>
      </c>
      <c r="L557" s="2">
        <f>+J557-K557</f>
        <v>-7.8999999999999915</v>
      </c>
      <c r="M557" s="1">
        <f>+E557-I557</f>
        <v>2.3005792019682003E-2</v>
      </c>
      <c r="N557" s="2">
        <v>103.5</v>
      </c>
      <c r="O557" s="2">
        <v>110.1</v>
      </c>
      <c r="P557" s="2">
        <f>+N557-O557</f>
        <v>-6.5999999999999943</v>
      </c>
      <c r="Q557">
        <v>0</v>
      </c>
    </row>
    <row r="558" spans="1:17">
      <c r="A558" t="s">
        <v>52</v>
      </c>
      <c r="B558" t="s">
        <v>33</v>
      </c>
      <c r="C558">
        <v>44</v>
      </c>
      <c r="D558">
        <v>38</v>
      </c>
      <c r="E558" s="1">
        <f>+C558/(C558+D558)</f>
        <v>0.53658536585365857</v>
      </c>
      <c r="F558" s="2">
        <v>100.7</v>
      </c>
      <c r="G558" s="2">
        <v>99.4</v>
      </c>
      <c r="H558" s="2">
        <f>+F558-G558</f>
        <v>1.2999999999999972</v>
      </c>
      <c r="I558" s="1">
        <f>+(F558^14)/((F558^14+G558^14))</f>
        <v>0.54535290258851965</v>
      </c>
      <c r="J558" s="2">
        <v>104.9</v>
      </c>
      <c r="K558" s="2">
        <v>103.6</v>
      </c>
      <c r="L558" s="2">
        <f>+J558-K558</f>
        <v>1.3000000000000114</v>
      </c>
      <c r="M558" s="1">
        <f>+E558-I558</f>
        <v>-8.7675367348610811E-3</v>
      </c>
      <c r="N558" s="2">
        <v>92.4</v>
      </c>
      <c r="O558" s="2">
        <v>99</v>
      </c>
      <c r="P558" s="2">
        <f>+N558-O558</f>
        <v>-6.5999999999999943</v>
      </c>
      <c r="Q558">
        <v>0</v>
      </c>
    </row>
    <row r="559" spans="1:17">
      <c r="A559" t="s">
        <v>55</v>
      </c>
      <c r="B559" t="s">
        <v>15</v>
      </c>
      <c r="C559">
        <v>45</v>
      </c>
      <c r="D559">
        <v>37</v>
      </c>
      <c r="E559" s="1">
        <f>+C559/(C559+D559)</f>
        <v>0.54878048780487809</v>
      </c>
      <c r="F559" s="2">
        <v>102.2</v>
      </c>
      <c r="G559" s="2">
        <v>100.5</v>
      </c>
      <c r="H559" s="2">
        <f>+F559-G559</f>
        <v>1.7000000000000028</v>
      </c>
      <c r="I559" s="1">
        <f>+(F559^14)/((F559^14+G559^14))</f>
        <v>0.55844050126148148</v>
      </c>
      <c r="J559" s="2">
        <v>103.8</v>
      </c>
      <c r="K559" s="2">
        <v>102.2</v>
      </c>
      <c r="L559" s="2">
        <f>+J559-K559</f>
        <v>1.5999999999999943</v>
      </c>
      <c r="M559" s="1">
        <f>+E559-I559</f>
        <v>-9.6600134566033891E-3</v>
      </c>
      <c r="N559" s="2">
        <v>97.1</v>
      </c>
      <c r="O559" s="2">
        <v>103.7</v>
      </c>
      <c r="P559" s="2">
        <f>+N559-O559</f>
        <v>-6.6000000000000085</v>
      </c>
      <c r="Q559">
        <v>0.7</v>
      </c>
    </row>
    <row r="560" spans="1:17">
      <c r="A560" t="s">
        <v>36</v>
      </c>
      <c r="B560" t="s">
        <v>35</v>
      </c>
      <c r="C560">
        <v>28</v>
      </c>
      <c r="D560">
        <v>54</v>
      </c>
      <c r="E560" s="1">
        <f>+C560/(C560+D560)</f>
        <v>0.34146341463414637</v>
      </c>
      <c r="F560" s="2">
        <v>97.5</v>
      </c>
      <c r="G560" s="2">
        <v>100.7</v>
      </c>
      <c r="H560" s="2">
        <f>+F560-G560</f>
        <v>-3.2000000000000028</v>
      </c>
      <c r="I560" s="1">
        <f>+(F560^14)/((F560^14+G560^14))</f>
        <v>0.38885971000700537</v>
      </c>
      <c r="J560" s="2">
        <v>102.3</v>
      </c>
      <c r="K560" s="2">
        <v>105.9</v>
      </c>
      <c r="L560" s="2">
        <f>+J560-K560</f>
        <v>-3.6000000000000085</v>
      </c>
      <c r="M560" s="1">
        <f>+E560-I560</f>
        <v>-4.7396295372858999E-2</v>
      </c>
      <c r="N560" s="2">
        <v>97.8</v>
      </c>
      <c r="O560" s="2">
        <v>104.4</v>
      </c>
      <c r="P560" s="2">
        <f>+N560-O560</f>
        <v>-6.6000000000000085</v>
      </c>
      <c r="Q560">
        <v>0.2</v>
      </c>
    </row>
    <row r="561" spans="1:17">
      <c r="A561" t="s">
        <v>61</v>
      </c>
      <c r="B561" t="s">
        <v>13</v>
      </c>
      <c r="C561">
        <v>39</v>
      </c>
      <c r="D561">
        <v>33</v>
      </c>
      <c r="E561" s="1">
        <f>+C561/(C561+D561)</f>
        <v>0.54166666666666663</v>
      </c>
      <c r="F561" s="2">
        <v>113.7</v>
      </c>
      <c r="G561" s="2">
        <v>112.7</v>
      </c>
      <c r="H561" s="2">
        <f>+F561-G561</f>
        <v>1</v>
      </c>
      <c r="I561" s="1">
        <f>+(F561^14)/((F561^14+G561^14))</f>
        <v>0.53087957866492586</v>
      </c>
      <c r="J561" s="2">
        <v>110.5</v>
      </c>
      <c r="K561" s="2">
        <v>109.4</v>
      </c>
      <c r="L561" s="2">
        <f>+J561-K561</f>
        <v>1.0999999999999943</v>
      </c>
      <c r="M561" s="1">
        <f>+E561-I561</f>
        <v>1.0787088001740774E-2</v>
      </c>
      <c r="N561" s="2">
        <v>112.6</v>
      </c>
      <c r="O561" s="2">
        <v>119.3</v>
      </c>
      <c r="P561" s="2">
        <f>+N561-O561</f>
        <v>-6.7000000000000028</v>
      </c>
      <c r="Q561">
        <v>0.2</v>
      </c>
    </row>
    <row r="562" spans="1:17">
      <c r="A562" t="s">
        <v>64</v>
      </c>
      <c r="B562" t="s">
        <v>51</v>
      </c>
      <c r="C562">
        <v>32</v>
      </c>
      <c r="D562">
        <v>50</v>
      </c>
      <c r="E562" s="1">
        <f>+C562/(C562+D562)</f>
        <v>0.3902439024390244</v>
      </c>
      <c r="F562" s="2">
        <v>110.4</v>
      </c>
      <c r="G562" s="2">
        <v>113.3</v>
      </c>
      <c r="H562" s="2">
        <f>+F562-G562</f>
        <v>-2.8999999999999915</v>
      </c>
      <c r="I562" s="1">
        <f>+(F562^14)/((F562^14+G562^14))</f>
        <v>0.41023197755598673</v>
      </c>
      <c r="J562" s="2">
        <v>112.4</v>
      </c>
      <c r="K562" s="2">
        <v>115.4</v>
      </c>
      <c r="L562" s="2">
        <f>+J562-K562</f>
        <v>-3</v>
      </c>
      <c r="M562" s="1">
        <f>+E562-I562</f>
        <v>-1.9988075116962323E-2</v>
      </c>
      <c r="N562" s="2">
        <v>107.5</v>
      </c>
      <c r="O562" s="2">
        <v>114.2</v>
      </c>
      <c r="P562" s="2">
        <f>+N562-O562</f>
        <v>-6.7000000000000028</v>
      </c>
      <c r="Q562">
        <v>-0.1</v>
      </c>
    </row>
    <row r="563" spans="1:17">
      <c r="A563" t="s">
        <v>43</v>
      </c>
      <c r="B563" t="s">
        <v>13</v>
      </c>
      <c r="C563">
        <v>42</v>
      </c>
      <c r="D563">
        <v>40</v>
      </c>
      <c r="E563" s="1">
        <f>+C563/(C563+D563)</f>
        <v>0.51219512195121952</v>
      </c>
      <c r="F563" s="2">
        <v>106.5</v>
      </c>
      <c r="G563" s="2">
        <v>106.9</v>
      </c>
      <c r="H563" s="2">
        <f>+F563-G563</f>
        <v>-0.40000000000000568</v>
      </c>
      <c r="I563" s="1">
        <f>+(F563^14)/((F563^14+G563^14))</f>
        <v>0.48688209591984372</v>
      </c>
      <c r="J563" s="2">
        <v>106.2</v>
      </c>
      <c r="K563" s="2">
        <v>106.5</v>
      </c>
      <c r="L563" s="2">
        <f>+J563-K563</f>
        <v>-0.29999999999999716</v>
      </c>
      <c r="M563" s="1">
        <f>+E563-I563</f>
        <v>2.5313026031375807E-2</v>
      </c>
      <c r="N563" s="2">
        <v>98.2</v>
      </c>
      <c r="O563" s="2">
        <v>105</v>
      </c>
      <c r="P563" s="2">
        <f>+N563-O563</f>
        <v>-6.7999999999999972</v>
      </c>
      <c r="Q563">
        <v>-0.5</v>
      </c>
    </row>
    <row r="564" spans="1:17">
      <c r="A564" t="s">
        <v>52</v>
      </c>
      <c r="B564" t="s">
        <v>9</v>
      </c>
      <c r="C564">
        <v>33</v>
      </c>
      <c r="D564">
        <v>49</v>
      </c>
      <c r="E564" s="1">
        <f>+C564/(C564+D564)</f>
        <v>0.40243902439024393</v>
      </c>
      <c r="F564" s="2">
        <v>98.2</v>
      </c>
      <c r="G564" s="2">
        <v>101.5</v>
      </c>
      <c r="H564" s="2">
        <f>+F564-G564</f>
        <v>-3.2999999999999972</v>
      </c>
      <c r="I564" s="1">
        <f>+(F564^14)/((F564^14+G564^14))</f>
        <v>0.38633693083562831</v>
      </c>
      <c r="J564" s="2">
        <v>103.5</v>
      </c>
      <c r="K564" s="2">
        <v>107</v>
      </c>
      <c r="L564" s="2">
        <f>+J564-K564</f>
        <v>-3.5</v>
      </c>
      <c r="M564" s="1">
        <f>+E564-I564</f>
        <v>1.6102093554615615E-2</v>
      </c>
      <c r="N564" s="2">
        <v>95.4</v>
      </c>
      <c r="O564" s="2">
        <v>102.2</v>
      </c>
      <c r="P564" s="2">
        <f>+N564-O564</f>
        <v>-6.7999999999999972</v>
      </c>
      <c r="Q564">
        <v>0.2</v>
      </c>
    </row>
    <row r="565" spans="1:17">
      <c r="A565" t="s">
        <v>52</v>
      </c>
      <c r="B565" t="s">
        <v>11</v>
      </c>
      <c r="C565">
        <v>36</v>
      </c>
      <c r="D565">
        <v>46</v>
      </c>
      <c r="E565" s="1">
        <f>+C565/(C565+D565)</f>
        <v>0.43902439024390244</v>
      </c>
      <c r="F565" s="2">
        <v>104.4</v>
      </c>
      <c r="G565" s="2">
        <v>106.5</v>
      </c>
      <c r="H565" s="2">
        <f>+F565-G565</f>
        <v>-2.0999999999999943</v>
      </c>
      <c r="I565" s="1">
        <f>+(F565^14)/((F565^14+G565^14))</f>
        <v>0.43074448136951871</v>
      </c>
      <c r="J565" s="2">
        <v>105.1</v>
      </c>
      <c r="K565" s="2">
        <v>107.3</v>
      </c>
      <c r="L565" s="2">
        <f>+J565-K565</f>
        <v>-2.2000000000000028</v>
      </c>
      <c r="M565" s="1">
        <f>+E565-I565</f>
        <v>8.2799088743837346E-3</v>
      </c>
      <c r="N565" s="2">
        <v>98.8</v>
      </c>
      <c r="O565" s="2">
        <v>105.6</v>
      </c>
      <c r="P565" s="2">
        <f>+N565-O565</f>
        <v>-6.7999999999999972</v>
      </c>
      <c r="Q565">
        <v>-0.5</v>
      </c>
    </row>
    <row r="566" spans="1:17">
      <c r="A566" t="s">
        <v>60</v>
      </c>
      <c r="B566" t="s">
        <v>28</v>
      </c>
      <c r="C566">
        <v>32</v>
      </c>
      <c r="D566">
        <v>39</v>
      </c>
      <c r="E566" s="1">
        <f>+C566/(C566+D566)</f>
        <v>0.45070422535211269</v>
      </c>
      <c r="F566" s="2">
        <v>114.1</v>
      </c>
      <c r="G566" s="2">
        <v>115.2</v>
      </c>
      <c r="H566" s="2">
        <f>+F566-G566</f>
        <v>-1.1000000000000085</v>
      </c>
      <c r="I566" s="1">
        <f>+(F566^14)/((F566^14+G566^14))</f>
        <v>0.46646967958188307</v>
      </c>
      <c r="J566" s="2">
        <v>111.7</v>
      </c>
      <c r="K566" s="2">
        <v>112.6</v>
      </c>
      <c r="L566" s="2">
        <f>+J566-K566</f>
        <v>-0.89999999999999147</v>
      </c>
      <c r="M566" s="1">
        <f>+E566-I566</f>
        <v>-1.5765454229770381E-2</v>
      </c>
      <c r="N566" s="2">
        <v>105.2</v>
      </c>
      <c r="O566" s="2">
        <v>112</v>
      </c>
      <c r="P566" s="2">
        <f>+N566-O566</f>
        <v>-6.7999999999999972</v>
      </c>
      <c r="Q566">
        <v>-0.9</v>
      </c>
    </row>
    <row r="567" spans="1:17">
      <c r="A567" t="s">
        <v>48</v>
      </c>
      <c r="B567" t="s">
        <v>35</v>
      </c>
      <c r="C567">
        <v>46</v>
      </c>
      <c r="D567">
        <v>36</v>
      </c>
      <c r="E567" s="1">
        <f>+C567/(C567+D567)</f>
        <v>0.56097560975609762</v>
      </c>
      <c r="F567" s="2">
        <v>99.9</v>
      </c>
      <c r="G567" s="2">
        <v>97.6</v>
      </c>
      <c r="H567" s="2">
        <f>+F567-G567</f>
        <v>2.3000000000000114</v>
      </c>
      <c r="I567" s="1">
        <f>+(F567^14)/((F567^14+G567^14))</f>
        <v>0.58080787890560803</v>
      </c>
      <c r="J567" s="2">
        <v>107</v>
      </c>
      <c r="K567" s="2">
        <v>104.5</v>
      </c>
      <c r="L567" s="2">
        <f>+J567-K567</f>
        <v>2.5</v>
      </c>
      <c r="M567" s="1">
        <f>+E567-I567</f>
        <v>-1.9832269149510418E-2</v>
      </c>
      <c r="N567" s="2">
        <v>101.7</v>
      </c>
      <c r="O567" s="2">
        <v>108.5</v>
      </c>
      <c r="P567" s="2">
        <f>+N567-O567</f>
        <v>-6.7999999999999972</v>
      </c>
      <c r="Q567">
        <v>1</v>
      </c>
    </row>
    <row r="568" spans="1:17">
      <c r="A568" t="s">
        <v>63</v>
      </c>
      <c r="B568" t="s">
        <v>26</v>
      </c>
      <c r="C568">
        <v>33</v>
      </c>
      <c r="D568">
        <v>49</v>
      </c>
      <c r="E568" s="1">
        <f>+C568/(C568+D568)</f>
        <v>0.40243902439024393</v>
      </c>
      <c r="F568" s="2">
        <v>113.4</v>
      </c>
      <c r="G568" s="2">
        <v>117.4</v>
      </c>
      <c r="H568" s="2">
        <f>+F568-G568</f>
        <v>-4</v>
      </c>
      <c r="I568" s="1">
        <f>+(F568^14)/((F568^14+G568^14))</f>
        <v>0.3809973284555101</v>
      </c>
      <c r="J568" s="2">
        <v>114</v>
      </c>
      <c r="K568" s="2">
        <v>118</v>
      </c>
      <c r="L568" s="2">
        <f>+J568-K568</f>
        <v>-4</v>
      </c>
      <c r="M568" s="1">
        <f>+E568-I568</f>
        <v>2.1441695934733829E-2</v>
      </c>
      <c r="N568" s="2">
        <v>107.1</v>
      </c>
      <c r="O568" s="2">
        <v>113.9</v>
      </c>
      <c r="P568" s="2">
        <f>+N568-O568</f>
        <v>-6.8000000000000114</v>
      </c>
      <c r="Q568">
        <v>-1.2</v>
      </c>
    </row>
    <row r="569" spans="1:17">
      <c r="A569" t="s">
        <v>59</v>
      </c>
      <c r="B569" t="s">
        <v>35</v>
      </c>
      <c r="C569">
        <v>33</v>
      </c>
      <c r="D569">
        <v>49</v>
      </c>
      <c r="E569" s="1">
        <f>+C569/(C569+D569)</f>
        <v>0.40243902439024393</v>
      </c>
      <c r="F569" s="2">
        <v>103.5</v>
      </c>
      <c r="G569" s="2">
        <v>106.1</v>
      </c>
      <c r="H569" s="2">
        <f>+F569-G569</f>
        <v>-2.5999999999999943</v>
      </c>
      <c r="I569" s="1">
        <f>+(F569^14)/((F569^14+G569^14))</f>
        <v>0.41402614202375848</v>
      </c>
      <c r="J569" s="2">
        <v>105.6</v>
      </c>
      <c r="K569" s="2">
        <v>108</v>
      </c>
      <c r="L569" s="2">
        <f>+J569-K569</f>
        <v>-2.4000000000000057</v>
      </c>
      <c r="M569" s="1">
        <f>+E569-I569</f>
        <v>-1.1587117633514554E-2</v>
      </c>
      <c r="N569" s="2">
        <v>102.9</v>
      </c>
      <c r="O569" s="2">
        <v>109.8</v>
      </c>
      <c r="P569" s="2">
        <f>+N569-O569</f>
        <v>-6.8999999999999915</v>
      </c>
      <c r="Q569">
        <v>-1.7</v>
      </c>
    </row>
    <row r="570" spans="1:17">
      <c r="A570" t="s">
        <v>45</v>
      </c>
      <c r="B570" t="s">
        <v>19</v>
      </c>
      <c r="C570">
        <v>34</v>
      </c>
      <c r="D570">
        <v>48</v>
      </c>
      <c r="E570" s="1">
        <f>+C570/(C570+D570)</f>
        <v>0.41463414634146339</v>
      </c>
      <c r="F570" s="2">
        <v>99.3</v>
      </c>
      <c r="G570" s="2">
        <v>100.4</v>
      </c>
      <c r="H570" s="2">
        <f>+F570-G570</f>
        <v>-1.1000000000000085</v>
      </c>
      <c r="I570" s="1">
        <f>+(F570^14)/((F570^14+G570^14))</f>
        <v>0.46151802647482632</v>
      </c>
      <c r="J570" s="2">
        <v>105.2</v>
      </c>
      <c r="K570" s="2">
        <v>106.3</v>
      </c>
      <c r="L570" s="2">
        <f>+J570-K570</f>
        <v>-1.0999999999999943</v>
      </c>
      <c r="M570" s="1">
        <f>+E570-I570</f>
        <v>-4.6883880133362921E-2</v>
      </c>
      <c r="N570" s="2">
        <v>102</v>
      </c>
      <c r="O570" s="2">
        <v>108.9</v>
      </c>
      <c r="P570" s="2">
        <f>+N570-O570</f>
        <v>-6.9000000000000057</v>
      </c>
      <c r="Q570">
        <v>-1</v>
      </c>
    </row>
    <row r="571" spans="1:17">
      <c r="A571" t="s">
        <v>61</v>
      </c>
      <c r="B571" t="s">
        <v>18</v>
      </c>
      <c r="C571">
        <v>40</v>
      </c>
      <c r="D571">
        <v>32</v>
      </c>
      <c r="E571" s="1">
        <f>+C571/(C571+D571)</f>
        <v>0.55555555555555558</v>
      </c>
      <c r="F571" s="2">
        <v>108.1</v>
      </c>
      <c r="G571" s="2">
        <v>108</v>
      </c>
      <c r="H571" s="2">
        <f>+F571-G571</f>
        <v>9.9999999999994316E-2</v>
      </c>
      <c r="I571" s="1">
        <f>+(F571^14)/((F571^14+G571^14))</f>
        <v>0.50323919600627853</v>
      </c>
      <c r="J571" s="2">
        <v>110.6</v>
      </c>
      <c r="K571" s="2">
        <v>110.7</v>
      </c>
      <c r="L571" s="2">
        <f>+J571-K571</f>
        <v>-0.10000000000000853</v>
      </c>
      <c r="M571" s="1">
        <f>+E571-I571</f>
        <v>5.2316359549277047E-2</v>
      </c>
      <c r="N571" s="2">
        <v>95.1</v>
      </c>
      <c r="O571" s="2">
        <v>102.1</v>
      </c>
      <c r="P571" s="2">
        <f>+N571-O571</f>
        <v>-7</v>
      </c>
      <c r="Q571">
        <v>-1.1000000000000001</v>
      </c>
    </row>
    <row r="572" spans="1:17">
      <c r="A572" t="s">
        <v>61</v>
      </c>
      <c r="B572" t="s">
        <v>27</v>
      </c>
      <c r="C572">
        <v>31</v>
      </c>
      <c r="D572">
        <v>41</v>
      </c>
      <c r="E572" s="1">
        <f>+C572/(C572+D572)</f>
        <v>0.43055555555555558</v>
      </c>
      <c r="F572" s="2">
        <v>113.7</v>
      </c>
      <c r="G572" s="2">
        <v>117.4</v>
      </c>
      <c r="H572" s="2">
        <f>+F572-G572</f>
        <v>-3.7000000000000028</v>
      </c>
      <c r="I572" s="1">
        <f>+(F572^14)/((F572^14+G572^14))</f>
        <v>0.38975811254317522</v>
      </c>
      <c r="J572" s="2">
        <v>112.7</v>
      </c>
      <c r="K572" s="2">
        <v>116.5</v>
      </c>
      <c r="L572" s="2">
        <f>+J572-K572</f>
        <v>-3.7999999999999972</v>
      </c>
      <c r="M572" s="1">
        <f>+E572-I572</f>
        <v>4.0797443012380363E-2</v>
      </c>
      <c r="N572" s="2">
        <v>107.9</v>
      </c>
      <c r="O572" s="2">
        <v>114.9</v>
      </c>
      <c r="P572" s="2">
        <f>+N572-O572</f>
        <v>-7</v>
      </c>
      <c r="Q572">
        <v>-1</v>
      </c>
    </row>
    <row r="573" spans="1:17">
      <c r="A573" t="s">
        <v>47</v>
      </c>
      <c r="B573" t="s">
        <v>12</v>
      </c>
      <c r="C573">
        <v>27</v>
      </c>
      <c r="D573">
        <v>55</v>
      </c>
      <c r="E573" s="1">
        <f>+C573/(C573+D573)</f>
        <v>0.32926829268292684</v>
      </c>
      <c r="F573" s="2">
        <v>94</v>
      </c>
      <c r="G573" s="2">
        <v>99.1</v>
      </c>
      <c r="H573" s="2">
        <f>+F573-G573</f>
        <v>-5.0999999999999943</v>
      </c>
      <c r="I573" s="1">
        <f>+(F573^14)/((F573^14+G573^14))</f>
        <v>0.32307297980123056</v>
      </c>
      <c r="J573" s="2">
        <v>104.5</v>
      </c>
      <c r="K573" s="2">
        <v>110.3</v>
      </c>
      <c r="L573" s="2">
        <f>+J573-K573</f>
        <v>-5.7999999999999972</v>
      </c>
      <c r="M573" s="1">
        <f>+E573-I573</f>
        <v>6.1953128816962799E-3</v>
      </c>
      <c r="N573" s="2">
        <v>98.1</v>
      </c>
      <c r="O573" s="2">
        <v>105.1</v>
      </c>
      <c r="P573" s="2">
        <f>+N573-O573</f>
        <v>-7</v>
      </c>
      <c r="Q573">
        <v>-1.1000000000000001</v>
      </c>
    </row>
    <row r="574" spans="1:17">
      <c r="A574" t="s">
        <v>44</v>
      </c>
      <c r="B574" t="s">
        <v>22</v>
      </c>
      <c r="C574">
        <v>23</v>
      </c>
      <c r="D574">
        <v>59</v>
      </c>
      <c r="E574" s="1">
        <f>+C574/(C574+D574)</f>
        <v>0.28048780487804881</v>
      </c>
      <c r="F574" s="2">
        <v>96.9</v>
      </c>
      <c r="G574" s="2">
        <v>103.5</v>
      </c>
      <c r="H574" s="2">
        <f>+F574-G574</f>
        <v>-6.5999999999999943</v>
      </c>
      <c r="I574" s="1">
        <f>+(F574^14)/((F574^14+G574^14))</f>
        <v>0.28445095118347524</v>
      </c>
      <c r="J574" s="2">
        <v>103.5</v>
      </c>
      <c r="K574" s="2">
        <v>110.4</v>
      </c>
      <c r="L574" s="2">
        <f>+J574-K574</f>
        <v>-6.9000000000000057</v>
      </c>
      <c r="M574" s="1">
        <f>+E574-I574</f>
        <v>-3.9631463054264349E-3</v>
      </c>
      <c r="N574" s="2">
        <v>89.9</v>
      </c>
      <c r="O574" s="2">
        <v>96.9</v>
      </c>
      <c r="P574" s="2">
        <f>+N574-O574</f>
        <v>-7</v>
      </c>
      <c r="Q574">
        <v>-1.4</v>
      </c>
    </row>
    <row r="575" spans="1:17">
      <c r="A575" t="s">
        <v>55</v>
      </c>
      <c r="B575" t="s">
        <v>51</v>
      </c>
      <c r="C575">
        <v>21</v>
      </c>
      <c r="D575">
        <v>61</v>
      </c>
      <c r="E575" s="1">
        <f>+C575/(C575+D575)</f>
        <v>0.25609756097560976</v>
      </c>
      <c r="F575" s="2">
        <v>98.6</v>
      </c>
      <c r="G575" s="2">
        <v>106</v>
      </c>
      <c r="H575" s="2">
        <f>+F575-G575</f>
        <v>-7.4000000000000057</v>
      </c>
      <c r="I575" s="1">
        <f>+(F575^14)/((F575^14+G575^14))</f>
        <v>0.26636391076495491</v>
      </c>
      <c r="J575" s="2">
        <v>102.4</v>
      </c>
      <c r="K575" s="2">
        <v>109.7</v>
      </c>
      <c r="L575" s="2">
        <f>+J575-K575</f>
        <v>-7.2999999999999972</v>
      </c>
      <c r="M575" s="1">
        <f>+E575-I575</f>
        <v>-1.0266349789345153E-2</v>
      </c>
      <c r="N575" s="2">
        <v>96.9</v>
      </c>
      <c r="O575" s="2">
        <v>104</v>
      </c>
      <c r="P575" s="2">
        <f>+N575-O575</f>
        <v>-7.0999999999999943</v>
      </c>
      <c r="Q575">
        <v>-1.8</v>
      </c>
    </row>
    <row r="576" spans="1:17">
      <c r="A576" t="s">
        <v>36</v>
      </c>
      <c r="B576" t="s">
        <v>15</v>
      </c>
      <c r="C576">
        <v>48</v>
      </c>
      <c r="D576">
        <v>34</v>
      </c>
      <c r="E576" s="1">
        <f>+C576/(C576+D576)</f>
        <v>0.58536585365853655</v>
      </c>
      <c r="F576" s="2">
        <v>96.8</v>
      </c>
      <c r="G576" s="2">
        <v>93.3</v>
      </c>
      <c r="H576" s="2">
        <f>+F576-G576</f>
        <v>3.5</v>
      </c>
      <c r="I576" s="1">
        <f>+(F576^14)/((F576^14+G576^14))</f>
        <v>0.62611280259686619</v>
      </c>
      <c r="J576" s="2">
        <v>103.2</v>
      </c>
      <c r="K576" s="2">
        <v>99.6</v>
      </c>
      <c r="L576" s="2">
        <f>+J576-K576</f>
        <v>3.6000000000000085</v>
      </c>
      <c r="M576" s="1">
        <f>+E576-I576</f>
        <v>-4.0746948938329641E-2</v>
      </c>
      <c r="N576" s="2">
        <v>90.7</v>
      </c>
      <c r="O576" s="2">
        <v>97.8</v>
      </c>
      <c r="P576" s="2">
        <f>+N576-O576</f>
        <v>-7.0999999999999943</v>
      </c>
      <c r="Q576">
        <v>-0.6</v>
      </c>
    </row>
    <row r="577" spans="1:17">
      <c r="A577" t="s">
        <v>50</v>
      </c>
      <c r="B577" t="s">
        <v>9</v>
      </c>
      <c r="C577">
        <v>24</v>
      </c>
      <c r="D577">
        <v>58</v>
      </c>
      <c r="E577" s="1">
        <f>+C577/(C577+D577)</f>
        <v>0.29268292682926828</v>
      </c>
      <c r="F577" s="2">
        <v>96.5</v>
      </c>
      <c r="G577" s="2">
        <v>101.2</v>
      </c>
      <c r="H577" s="2">
        <f>+F577-G577</f>
        <v>-4.7000000000000028</v>
      </c>
      <c r="I577" s="1">
        <f>+(F577^14)/((F577^14+G577^14))</f>
        <v>0.33944230501218881</v>
      </c>
      <c r="J577" s="2">
        <v>103.2</v>
      </c>
      <c r="K577" s="2">
        <v>108.2</v>
      </c>
      <c r="L577" s="2">
        <f>+J577-K577</f>
        <v>-5</v>
      </c>
      <c r="M577" s="1">
        <f>+E577-I577</f>
        <v>-4.675937818292053E-2</v>
      </c>
      <c r="N577" s="2">
        <v>102</v>
      </c>
      <c r="O577" s="2">
        <v>109.1</v>
      </c>
      <c r="P577" s="2">
        <f>+N577-O577</f>
        <v>-7.0999999999999943</v>
      </c>
      <c r="Q577">
        <v>-1.4</v>
      </c>
    </row>
    <row r="578" spans="1:17">
      <c r="A578" t="s">
        <v>54</v>
      </c>
      <c r="B578" t="s">
        <v>24</v>
      </c>
      <c r="C578">
        <v>18</v>
      </c>
      <c r="D578">
        <v>64</v>
      </c>
      <c r="E578" s="1">
        <f>+C578/(C578+D578)</f>
        <v>0.21951219512195122</v>
      </c>
      <c r="F578" s="2">
        <v>92</v>
      </c>
      <c r="G578" s="2">
        <v>101</v>
      </c>
      <c r="H578" s="2">
        <f>+F578-G578</f>
        <v>-9</v>
      </c>
      <c r="I578" s="1">
        <f>+(F578^14)/((F578^14+G578^14))</f>
        <v>0.21304843690621958</v>
      </c>
      <c r="J578" s="2">
        <v>94.9</v>
      </c>
      <c r="K578" s="2">
        <v>103.9</v>
      </c>
      <c r="L578" s="2">
        <f>+J578-K578</f>
        <v>-9</v>
      </c>
      <c r="M578" s="1">
        <f>+E578-I578</f>
        <v>6.4637582157316409E-3</v>
      </c>
      <c r="N578" s="2">
        <v>84.7</v>
      </c>
      <c r="O578" s="2">
        <v>91.9</v>
      </c>
      <c r="P578" s="2">
        <f>+N578-O578</f>
        <v>-7.2000000000000028</v>
      </c>
      <c r="Q578">
        <v>-1</v>
      </c>
    </row>
    <row r="579" spans="1:17">
      <c r="A579" t="s">
        <v>61</v>
      </c>
      <c r="B579" t="s">
        <v>56</v>
      </c>
      <c r="C579">
        <v>47</v>
      </c>
      <c r="D579">
        <v>25</v>
      </c>
      <c r="E579" s="1">
        <f>+C579/(C579+D579)</f>
        <v>0.65277777777777779</v>
      </c>
      <c r="F579" s="2">
        <v>114</v>
      </c>
      <c r="G579" s="2">
        <v>107.8</v>
      </c>
      <c r="H579" s="2">
        <f>+F579-G579</f>
        <v>6.2000000000000028</v>
      </c>
      <c r="I579" s="1">
        <f>+(F579^14)/((F579^14+G579^14))</f>
        <v>0.68630286858129474</v>
      </c>
      <c r="J579" s="2">
        <v>116.7</v>
      </c>
      <c r="K579" s="2">
        <v>110.6</v>
      </c>
      <c r="L579" s="2">
        <f>+J579-K579</f>
        <v>6.1000000000000085</v>
      </c>
      <c r="M579" s="1">
        <f>+E579-I579</f>
        <v>-3.3525090803516955E-2</v>
      </c>
      <c r="N579" s="2">
        <v>110.3</v>
      </c>
      <c r="O579" s="2">
        <v>117.5</v>
      </c>
      <c r="P579" s="2">
        <f>+N579-O579</f>
        <v>-7.2000000000000028</v>
      </c>
      <c r="Q579">
        <v>1.1000000000000001</v>
      </c>
    </row>
    <row r="580" spans="1:17">
      <c r="A580" t="s">
        <v>61</v>
      </c>
      <c r="B580" t="s">
        <v>9</v>
      </c>
      <c r="C580">
        <v>22</v>
      </c>
      <c r="D580">
        <v>50</v>
      </c>
      <c r="E580" s="1">
        <f>+C580/(C580+D580)</f>
        <v>0.30555555555555558</v>
      </c>
      <c r="F580" s="2">
        <v>103.8</v>
      </c>
      <c r="G580" s="2">
        <v>112.3</v>
      </c>
      <c r="H580" s="2">
        <f>+F580-G580</f>
        <v>-8.5</v>
      </c>
      <c r="I580" s="1">
        <f>+(F580^14)/((F580^14+G580^14))</f>
        <v>0.24938210026428717</v>
      </c>
      <c r="J580" s="2">
        <v>105.2</v>
      </c>
      <c r="K580" s="2">
        <v>113.5</v>
      </c>
      <c r="L580" s="2">
        <f>+J580-K580</f>
        <v>-8.2999999999999972</v>
      </c>
      <c r="M580" s="1">
        <f>+E580-I580</f>
        <v>5.6173455291268409E-2</v>
      </c>
      <c r="N580" s="2">
        <v>99.1</v>
      </c>
      <c r="O580" s="2">
        <v>106.4</v>
      </c>
      <c r="P580" s="2">
        <f>+N580-O580</f>
        <v>-7.3000000000000114</v>
      </c>
      <c r="Q580">
        <v>-1.5</v>
      </c>
    </row>
    <row r="581" spans="1:17">
      <c r="A581" t="s">
        <v>58</v>
      </c>
      <c r="B581" t="s">
        <v>20</v>
      </c>
      <c r="C581">
        <v>47</v>
      </c>
      <c r="D581">
        <v>35</v>
      </c>
      <c r="E581" s="1">
        <f>+C581/(C581+D581)</f>
        <v>0.57317073170731703</v>
      </c>
      <c r="F581" s="2">
        <v>109.5</v>
      </c>
      <c r="G581" s="2">
        <v>107.3</v>
      </c>
      <c r="H581" s="2">
        <f>+F581-G581</f>
        <v>2.2000000000000028</v>
      </c>
      <c r="I581" s="1">
        <f>+(F581^14)/((F581^14+G581^14))</f>
        <v>0.57056154224834466</v>
      </c>
      <c r="J581" s="2">
        <v>112.5</v>
      </c>
      <c r="K581" s="2">
        <v>110.2</v>
      </c>
      <c r="L581" s="2">
        <f>+J581-K581</f>
        <v>2.2999999999999972</v>
      </c>
      <c r="M581" s="1">
        <f>+E581-I581</f>
        <v>2.6091894589723719E-3</v>
      </c>
      <c r="N581" s="2">
        <v>107.4</v>
      </c>
      <c r="O581" s="2">
        <v>114.8</v>
      </c>
      <c r="P581" s="2">
        <f>+N581-O581</f>
        <v>-7.3999999999999915</v>
      </c>
      <c r="Q581">
        <v>-0.6</v>
      </c>
    </row>
    <row r="582" spans="1:17">
      <c r="A582" t="s">
        <v>64</v>
      </c>
      <c r="B582" t="s">
        <v>35</v>
      </c>
      <c r="C582">
        <v>27</v>
      </c>
      <c r="D582">
        <v>55</v>
      </c>
      <c r="E582" s="1">
        <f>+C582/(C582+D582)</f>
        <v>0.32926829268292684</v>
      </c>
      <c r="F582" s="2">
        <v>105.8</v>
      </c>
      <c r="G582" s="2">
        <v>112.8</v>
      </c>
      <c r="H582" s="2">
        <f>+F582-G582</f>
        <v>-7</v>
      </c>
      <c r="I582" s="1">
        <f>+(F582^14)/((F582^14+G582^14))</f>
        <v>0.28968354582770361</v>
      </c>
      <c r="J582" s="2">
        <v>106.8</v>
      </c>
      <c r="K582" s="2">
        <v>113.7</v>
      </c>
      <c r="L582" s="2">
        <f>+J582-K582</f>
        <v>-6.9000000000000057</v>
      </c>
      <c r="M582" s="1">
        <f>+E582-I582</f>
        <v>3.958474685522323E-2</v>
      </c>
      <c r="N582" s="2">
        <v>98.4</v>
      </c>
      <c r="O582" s="2">
        <v>105.9</v>
      </c>
      <c r="P582" s="2">
        <f>+N582-O582</f>
        <v>-7.5</v>
      </c>
      <c r="Q582">
        <v>0.4</v>
      </c>
    </row>
    <row r="583" spans="1:17">
      <c r="A583" t="s">
        <v>62</v>
      </c>
      <c r="B583" t="s">
        <v>10</v>
      </c>
      <c r="C583">
        <v>52</v>
      </c>
      <c r="D583">
        <v>30</v>
      </c>
      <c r="E583" s="1">
        <f>+C583/(C583+D583)</f>
        <v>0.63414634146341464</v>
      </c>
      <c r="F583" s="2">
        <v>108</v>
      </c>
      <c r="G583" s="2">
        <v>104.7</v>
      </c>
      <c r="H583" s="2">
        <f>+F583-G583</f>
        <v>3.2999999999999972</v>
      </c>
      <c r="I583" s="1">
        <f>+(F583^14)/((F583^14+G583^14))</f>
        <v>0.60693567293355</v>
      </c>
      <c r="J583" s="2">
        <v>112.5</v>
      </c>
      <c r="K583" s="2">
        <v>109.1</v>
      </c>
      <c r="L583" s="2">
        <f>+J583-K583</f>
        <v>3.4000000000000057</v>
      </c>
      <c r="M583" s="1">
        <f>+E583-I583</f>
        <v>2.7210668529864646E-2</v>
      </c>
      <c r="N583" s="2">
        <v>109.5</v>
      </c>
      <c r="O583" s="2">
        <v>117</v>
      </c>
      <c r="P583" s="2">
        <f>+N583-O583</f>
        <v>-7.5</v>
      </c>
      <c r="Q583">
        <v>-0.1</v>
      </c>
    </row>
    <row r="584" spans="1:17">
      <c r="A584" t="s">
        <v>50</v>
      </c>
      <c r="B584" t="s">
        <v>20</v>
      </c>
      <c r="C584">
        <v>31</v>
      </c>
      <c r="D584">
        <v>51</v>
      </c>
      <c r="E584" s="1">
        <f>+C584/(C584+D584)</f>
        <v>0.37804878048780488</v>
      </c>
      <c r="F584" s="2">
        <v>95.7</v>
      </c>
      <c r="G584" s="2">
        <v>98.1</v>
      </c>
      <c r="H584" s="2">
        <f>+F584-G584</f>
        <v>-2.3999999999999915</v>
      </c>
      <c r="I584" s="1">
        <f>+(F584^14)/((F584^14+G584^14))</f>
        <v>0.41416664534903919</v>
      </c>
      <c r="J584" s="2">
        <v>101.8</v>
      </c>
      <c r="K584" s="2">
        <v>104</v>
      </c>
      <c r="L584" s="2">
        <f>+J584-K584</f>
        <v>-2.2000000000000028</v>
      </c>
      <c r="M584" s="1">
        <f>+E584-I584</f>
        <v>-3.6117864861234306E-2</v>
      </c>
      <c r="N584" s="2">
        <v>96.4</v>
      </c>
      <c r="O584" s="2">
        <v>103.9</v>
      </c>
      <c r="P584" s="2">
        <f>+N584-O584</f>
        <v>-7.5</v>
      </c>
      <c r="Q584">
        <v>-1.1000000000000001</v>
      </c>
    </row>
    <row r="585" spans="1:17">
      <c r="A585" t="s">
        <v>41</v>
      </c>
      <c r="B585" t="s">
        <v>6</v>
      </c>
      <c r="C585">
        <v>33</v>
      </c>
      <c r="D585">
        <v>49</v>
      </c>
      <c r="E585" s="1">
        <f>+C585/(C585+D585)</f>
        <v>0.40243902439024393</v>
      </c>
      <c r="F585" s="2">
        <v>98</v>
      </c>
      <c r="G585" s="2">
        <v>99.5</v>
      </c>
      <c r="H585" s="2">
        <f>+F585-G585</f>
        <v>-1.5</v>
      </c>
      <c r="I585" s="1">
        <f>+(F585^14)/((F585^14+G585^14))</f>
        <v>0.44703388765865459</v>
      </c>
      <c r="J585" s="2">
        <v>104</v>
      </c>
      <c r="K585" s="2">
        <v>105.6</v>
      </c>
      <c r="L585" s="2">
        <f>+J585-K585</f>
        <v>-1.5999999999999943</v>
      </c>
      <c r="M585" s="1">
        <f>+E585-I585</f>
        <v>-4.4594863268410667E-2</v>
      </c>
      <c r="N585" s="2">
        <v>94.7</v>
      </c>
      <c r="O585" s="2">
        <v>102.2</v>
      </c>
      <c r="P585" s="2">
        <f>+N585-O585</f>
        <v>-7.5</v>
      </c>
      <c r="Q585">
        <v>-0.6</v>
      </c>
    </row>
    <row r="586" spans="1:17">
      <c r="A586" t="s">
        <v>66</v>
      </c>
      <c r="B586" t="s">
        <v>7</v>
      </c>
      <c r="C586">
        <v>32</v>
      </c>
      <c r="D586">
        <v>32</v>
      </c>
      <c r="E586" s="1">
        <f>+C586/(C586+D586)</f>
        <v>0.5</v>
      </c>
      <c r="F586" s="2">
        <v>116.2</v>
      </c>
      <c r="G586" s="2">
        <v>112.5</v>
      </c>
      <c r="H586" s="2">
        <f>+F586-G586</f>
        <v>3.7000000000000028</v>
      </c>
      <c r="I586" s="1">
        <f>+(F586^14)/((F586^14+G586^14))</f>
        <v>0.61136052280832021</v>
      </c>
      <c r="J586" s="2">
        <v>117.8</v>
      </c>
      <c r="K586" s="2">
        <v>114.1</v>
      </c>
      <c r="L586" s="2">
        <f>+J586-K586</f>
        <v>3.7000000000000028</v>
      </c>
      <c r="M586" s="1">
        <f>+E586-I586</f>
        <v>-0.11136052280832021</v>
      </c>
      <c r="N586" s="2">
        <v>108</v>
      </c>
      <c r="O586" s="2">
        <v>115.5</v>
      </c>
      <c r="P586" s="2">
        <f>+N586-O586</f>
        <v>-7.5</v>
      </c>
      <c r="Q586">
        <v>-0.9</v>
      </c>
    </row>
    <row r="587" spans="1:17">
      <c r="A587" t="s">
        <v>52</v>
      </c>
      <c r="B587" t="s">
        <v>27</v>
      </c>
      <c r="C587">
        <v>28</v>
      </c>
      <c r="D587">
        <v>54</v>
      </c>
      <c r="E587" s="1">
        <f>+C587/(C587+D587)</f>
        <v>0.34146341463414637</v>
      </c>
      <c r="F587" s="2">
        <v>100.5</v>
      </c>
      <c r="G587" s="2">
        <v>103.4</v>
      </c>
      <c r="H587" s="2">
        <f>+F587-G587</f>
        <v>-2.9000000000000057</v>
      </c>
      <c r="I587" s="1">
        <f>+(F587^14)/((F587^14+G587^14))</f>
        <v>0.40173015666550166</v>
      </c>
      <c r="J587" s="2">
        <v>105.1</v>
      </c>
      <c r="K587" s="2">
        <v>107.8</v>
      </c>
      <c r="L587" s="2">
        <f>+J587-K587</f>
        <v>-2.7000000000000028</v>
      </c>
      <c r="M587" s="1">
        <f>+E587-I587</f>
        <v>-6.0266742031355292E-2</v>
      </c>
      <c r="N587" s="2">
        <v>101.2</v>
      </c>
      <c r="O587" s="2">
        <v>108.8</v>
      </c>
      <c r="P587" s="2">
        <f>+N587-O587</f>
        <v>-7.5999999999999943</v>
      </c>
      <c r="Q587">
        <v>-1</v>
      </c>
    </row>
    <row r="588" spans="1:17">
      <c r="A588" t="s">
        <v>55</v>
      </c>
      <c r="B588" t="s">
        <v>17</v>
      </c>
      <c r="C588">
        <v>17</v>
      </c>
      <c r="D588">
        <v>65</v>
      </c>
      <c r="E588" s="1">
        <f>+C588/(C588+D588)</f>
        <v>0.2073170731707317</v>
      </c>
      <c r="F588" s="2">
        <v>97.3</v>
      </c>
      <c r="G588" s="2">
        <v>106.9</v>
      </c>
      <c r="H588" s="2">
        <f>+F588-G588</f>
        <v>-9.6000000000000085</v>
      </c>
      <c r="I588" s="1">
        <f>+(F588^14)/((F588^14+G588^14))</f>
        <v>0.21126325417773295</v>
      </c>
      <c r="J588" s="2">
        <v>100.7</v>
      </c>
      <c r="K588" s="2">
        <v>110.3</v>
      </c>
      <c r="L588" s="2">
        <f>+J588-K588</f>
        <v>-9.5999999999999943</v>
      </c>
      <c r="M588" s="1">
        <f>+E588-I588</f>
        <v>-3.9461810070012537E-3</v>
      </c>
      <c r="N588" s="2">
        <v>108.9</v>
      </c>
      <c r="O588" s="2">
        <v>116.7</v>
      </c>
      <c r="P588" s="2">
        <f>+N588-O588</f>
        <v>-7.7999999999999972</v>
      </c>
      <c r="Q588">
        <v>-0.1</v>
      </c>
    </row>
    <row r="589" spans="1:17">
      <c r="A589" t="s">
        <v>59</v>
      </c>
      <c r="B589" t="s">
        <v>22</v>
      </c>
      <c r="C589">
        <v>17</v>
      </c>
      <c r="D589">
        <v>65</v>
      </c>
      <c r="E589" s="1">
        <f>+C589/(C589+D589)</f>
        <v>0.2073170731707317</v>
      </c>
      <c r="F589" s="2">
        <v>104.6</v>
      </c>
      <c r="G589" s="2">
        <v>113.8</v>
      </c>
      <c r="H589" s="2">
        <f>+F589-G589</f>
        <v>-9.2000000000000028</v>
      </c>
      <c r="I589" s="1">
        <f>+(F589^14)/((F589^14+G589^14))</f>
        <v>0.23501882994446718</v>
      </c>
      <c r="J589" s="2">
        <v>104</v>
      </c>
      <c r="K589" s="2">
        <v>112.9</v>
      </c>
      <c r="L589" s="2">
        <f>+J589-K589</f>
        <v>-8.9000000000000057</v>
      </c>
      <c r="M589" s="1">
        <f>+E589-I589</f>
        <v>-2.7701756773735486E-2</v>
      </c>
      <c r="N589" s="2">
        <v>103</v>
      </c>
      <c r="O589" s="2">
        <v>110.8</v>
      </c>
      <c r="P589" s="2">
        <f>+N589-O589</f>
        <v>-7.7999999999999972</v>
      </c>
      <c r="Q589">
        <v>-1.1000000000000001</v>
      </c>
    </row>
    <row r="590" spans="1:17">
      <c r="A590" t="s">
        <v>54</v>
      </c>
      <c r="B590" t="s">
        <v>11</v>
      </c>
      <c r="C590">
        <v>30</v>
      </c>
      <c r="D590">
        <v>52</v>
      </c>
      <c r="E590" s="1">
        <f>+C590/(C590+D590)</f>
        <v>0.36585365853658536</v>
      </c>
      <c r="F590" s="2">
        <v>101.5</v>
      </c>
      <c r="G590" s="2">
        <v>105</v>
      </c>
      <c r="H590" s="2">
        <f>+F590-G590</f>
        <v>-3.5</v>
      </c>
      <c r="I590" s="1">
        <f>+(F590^14)/((F590^14+G590^14))</f>
        <v>0.38352292862917464</v>
      </c>
      <c r="J590" s="2">
        <v>103.9</v>
      </c>
      <c r="K590" s="2">
        <v>107.1</v>
      </c>
      <c r="L590" s="2">
        <f>+J590-K590</f>
        <v>-3.1999999999999886</v>
      </c>
      <c r="M590" s="1">
        <f>+E590-I590</f>
        <v>-1.7669270092589284E-2</v>
      </c>
      <c r="N590" s="2">
        <v>104.4</v>
      </c>
      <c r="O590" s="2">
        <v>112.3</v>
      </c>
      <c r="P590" s="2">
        <f>+N590-O590</f>
        <v>-7.8999999999999915</v>
      </c>
      <c r="Q590">
        <v>-0.8</v>
      </c>
    </row>
    <row r="591" spans="1:17">
      <c r="A591" t="s">
        <v>57</v>
      </c>
      <c r="B591" t="s">
        <v>11</v>
      </c>
      <c r="C591">
        <v>40</v>
      </c>
      <c r="D591">
        <v>42</v>
      </c>
      <c r="E591" s="1">
        <f>+C591/(C591+D591)</f>
        <v>0.48780487804878048</v>
      </c>
      <c r="F591" s="2">
        <v>111.7</v>
      </c>
      <c r="G591" s="2">
        <v>111.2</v>
      </c>
      <c r="H591" s="2">
        <f>+F591-G591</f>
        <v>0.5</v>
      </c>
      <c r="I591" s="1">
        <f>+(F591^14)/((F591^14+G591^14))</f>
        <v>0.51569697497834144</v>
      </c>
      <c r="J591" s="2">
        <v>112.2</v>
      </c>
      <c r="K591" s="2">
        <v>111.7</v>
      </c>
      <c r="L591" s="2">
        <f>+J591-K591</f>
        <v>0.5</v>
      </c>
      <c r="M591" s="1">
        <f>+E591-I591</f>
        <v>-2.7892096929560961E-2</v>
      </c>
      <c r="N591" s="2">
        <v>97.2</v>
      </c>
      <c r="O591" s="2">
        <v>105.3</v>
      </c>
      <c r="P591" s="2">
        <f>+N591-O591</f>
        <v>-8.0999999999999943</v>
      </c>
      <c r="Q591">
        <v>-1</v>
      </c>
    </row>
    <row r="592" spans="1:17">
      <c r="A592" t="s">
        <v>60</v>
      </c>
      <c r="B592" t="s">
        <v>10</v>
      </c>
      <c r="C592">
        <v>43</v>
      </c>
      <c r="D592">
        <v>32</v>
      </c>
      <c r="E592" s="1">
        <f>+C592/(C592+D592)</f>
        <v>0.57333333333333336</v>
      </c>
      <c r="F592" s="2">
        <v>117</v>
      </c>
      <c r="G592" s="2">
        <v>112.1</v>
      </c>
      <c r="H592" s="2">
        <f>+F592-G592</f>
        <v>4.9000000000000057</v>
      </c>
      <c r="I592" s="1">
        <f>+(F592^14)/((F592^14+G592^14))</f>
        <v>0.64541752583706569</v>
      </c>
      <c r="J592" s="2">
        <v>115.9</v>
      </c>
      <c r="K592" s="2">
        <v>111.2</v>
      </c>
      <c r="L592" s="2">
        <f>+J592-K592</f>
        <v>4.7000000000000028</v>
      </c>
      <c r="M592" s="1">
        <f>+E592-I592</f>
        <v>-7.2084192503732325E-2</v>
      </c>
      <c r="N592" s="2">
        <v>99.4</v>
      </c>
      <c r="O592" s="2">
        <v>107.5</v>
      </c>
      <c r="P592" s="2">
        <f>+N592-O592</f>
        <v>-8.0999999999999943</v>
      </c>
      <c r="Q592">
        <v>0.5</v>
      </c>
    </row>
    <row r="593" spans="1:17">
      <c r="A593" t="s">
        <v>48</v>
      </c>
      <c r="B593" t="s">
        <v>15</v>
      </c>
      <c r="C593">
        <v>37</v>
      </c>
      <c r="D593">
        <v>45</v>
      </c>
      <c r="E593" s="1">
        <f>+C593/(C593+D593)</f>
        <v>0.45121951219512196</v>
      </c>
      <c r="F593" s="2">
        <v>99.8</v>
      </c>
      <c r="G593" s="2">
        <v>100.9</v>
      </c>
      <c r="H593" s="2">
        <f>+F593-G593</f>
        <v>-1.1000000000000085</v>
      </c>
      <c r="I593" s="1">
        <f>+(F593^14)/((F593^14+G593^14))</f>
        <v>0.4617090166605291</v>
      </c>
      <c r="J593" s="2">
        <v>104.1</v>
      </c>
      <c r="K593" s="2">
        <v>105</v>
      </c>
      <c r="L593" s="2">
        <f>+J593-K593</f>
        <v>-0.90000000000000568</v>
      </c>
      <c r="M593" s="1">
        <f>+E593-I593</f>
        <v>-1.048950446540714E-2</v>
      </c>
      <c r="N593" s="2">
        <v>96.3</v>
      </c>
      <c r="O593" s="2">
        <v>104.4</v>
      </c>
      <c r="P593" s="2">
        <f>+N593-O593</f>
        <v>-8.1000000000000085</v>
      </c>
      <c r="Q593">
        <v>-1.5</v>
      </c>
    </row>
    <row r="594" spans="1:17">
      <c r="A594" t="s">
        <v>61</v>
      </c>
      <c r="B594" t="s">
        <v>8</v>
      </c>
      <c r="C594">
        <v>31</v>
      </c>
      <c r="D594">
        <v>41</v>
      </c>
      <c r="E594" s="1">
        <f>+C594/(C594+D594)</f>
        <v>0.43055555555555558</v>
      </c>
      <c r="F594" s="2">
        <v>110.7</v>
      </c>
      <c r="G594" s="2">
        <v>111.6</v>
      </c>
      <c r="H594" s="2">
        <f>+F594-G594</f>
        <v>-0.89999999999999147</v>
      </c>
      <c r="I594" s="1">
        <f>+(F594^14)/((F594^14+G594^14))</f>
        <v>0.47169007456598405</v>
      </c>
      <c r="J594" s="2">
        <v>110.4</v>
      </c>
      <c r="K594" s="2">
        <v>111.5</v>
      </c>
      <c r="L594" s="2">
        <f>+J594-K594</f>
        <v>-1.0999999999999943</v>
      </c>
      <c r="M594" s="1">
        <f>+E594-I594</f>
        <v>-4.1134519010428472E-2</v>
      </c>
      <c r="N594" s="2">
        <v>107.1</v>
      </c>
      <c r="O594" s="2">
        <v>115.2</v>
      </c>
      <c r="P594" s="2">
        <f>+N594-O594</f>
        <v>-8.1000000000000085</v>
      </c>
      <c r="Q594">
        <v>-1.1000000000000001</v>
      </c>
    </row>
    <row r="595" spans="1:17">
      <c r="A595" t="s">
        <v>58</v>
      </c>
      <c r="B595" t="s">
        <v>12</v>
      </c>
      <c r="C595">
        <v>39</v>
      </c>
      <c r="D595">
        <v>43</v>
      </c>
      <c r="E595" s="1">
        <f>+C595/(C595+D595)</f>
        <v>0.47560975609756095</v>
      </c>
      <c r="F595" s="2">
        <v>103.8</v>
      </c>
      <c r="G595" s="2">
        <v>103.9</v>
      </c>
      <c r="H595" s="2">
        <f>+F595-G595</f>
        <v>-0.10000000000000853</v>
      </c>
      <c r="I595" s="1">
        <f>+(F595^14)/((F595^14+G595^14))</f>
        <v>0.49662980523369954</v>
      </c>
      <c r="J595" s="2">
        <v>106.6</v>
      </c>
      <c r="K595" s="2">
        <v>106.7</v>
      </c>
      <c r="L595" s="2">
        <f>+J595-K595</f>
        <v>-0.10000000000000853</v>
      </c>
      <c r="M595" s="1">
        <f>+E595-I595</f>
        <v>-2.1020049136138585E-2</v>
      </c>
      <c r="N595" s="2">
        <v>101.4</v>
      </c>
      <c r="O595" s="2">
        <v>109.6</v>
      </c>
      <c r="P595" s="2">
        <f>+N595-O595</f>
        <v>-8.1999999999999886</v>
      </c>
      <c r="Q595">
        <v>0.8</v>
      </c>
    </row>
    <row r="596" spans="1:17">
      <c r="A596" t="s">
        <v>59</v>
      </c>
      <c r="B596" t="s">
        <v>8</v>
      </c>
      <c r="C596">
        <v>22</v>
      </c>
      <c r="D596">
        <v>60</v>
      </c>
      <c r="E596" s="1">
        <f>+C596/(C596+D596)</f>
        <v>0.26829268292682928</v>
      </c>
      <c r="F596" s="2">
        <v>104.9</v>
      </c>
      <c r="G596" s="2">
        <v>113.4</v>
      </c>
      <c r="H596" s="2">
        <f>+F596-G596</f>
        <v>-8.5</v>
      </c>
      <c r="I596" s="1">
        <f>+(F596^14)/((F596^14+G596^14))</f>
        <v>0.25146874309736672</v>
      </c>
      <c r="J596" s="2">
        <v>104.5</v>
      </c>
      <c r="K596" s="2">
        <v>112.8</v>
      </c>
      <c r="L596" s="2">
        <f>+J596-K596</f>
        <v>-8.2999999999999972</v>
      </c>
      <c r="M596" s="1">
        <f>+E596-I596</f>
        <v>1.6823939829462564E-2</v>
      </c>
      <c r="N596" s="2">
        <v>98.8</v>
      </c>
      <c r="O596" s="2">
        <v>107.1</v>
      </c>
      <c r="P596" s="2">
        <f>+N596-O596</f>
        <v>-8.2999999999999972</v>
      </c>
      <c r="Q596">
        <v>-1</v>
      </c>
    </row>
    <row r="597" spans="1:17">
      <c r="A597" t="s">
        <v>58</v>
      </c>
      <c r="B597" t="s">
        <v>33</v>
      </c>
      <c r="C597">
        <v>43</v>
      </c>
      <c r="D597">
        <v>39</v>
      </c>
      <c r="E597" s="1">
        <f>+C597/(C597+D597)</f>
        <v>0.52439024390243905</v>
      </c>
      <c r="F597" s="2">
        <v>106.6</v>
      </c>
      <c r="G597" s="2">
        <v>106</v>
      </c>
      <c r="H597" s="2">
        <f>+F597-G597</f>
        <v>0.59999999999999432</v>
      </c>
      <c r="I597" s="1">
        <f>+(F597^14)/((F597^14+G597^14))</f>
        <v>0.51974518791445967</v>
      </c>
      <c r="J597" s="2">
        <v>108.1</v>
      </c>
      <c r="K597" s="2">
        <v>107.7</v>
      </c>
      <c r="L597" s="2">
        <f>+J597-K597</f>
        <v>0.39999999999999147</v>
      </c>
      <c r="M597" s="1">
        <f>+E597-I597</f>
        <v>4.645055987979374E-3</v>
      </c>
      <c r="N597" s="2">
        <v>96</v>
      </c>
      <c r="O597" s="2">
        <v>104.3</v>
      </c>
      <c r="P597" s="2">
        <f>+N597-O597</f>
        <v>-8.2999999999999972</v>
      </c>
      <c r="Q597">
        <v>-0.8</v>
      </c>
    </row>
    <row r="598" spans="1:17">
      <c r="A598" t="s">
        <v>34</v>
      </c>
      <c r="B598" t="s">
        <v>20</v>
      </c>
      <c r="C598">
        <v>50</v>
      </c>
      <c r="D598">
        <v>32</v>
      </c>
      <c r="E598" s="1">
        <f>+C598/(C598+D598)</f>
        <v>0.6097560975609756</v>
      </c>
      <c r="F598" s="2">
        <v>99.3</v>
      </c>
      <c r="G598" s="2">
        <v>96</v>
      </c>
      <c r="H598" s="2">
        <f>+F598-G598</f>
        <v>3.2999999999999972</v>
      </c>
      <c r="I598" s="1">
        <f>+(F598^14)/((F598^14+G598^14))</f>
        <v>0.6161321966292217</v>
      </c>
      <c r="J598" s="2">
        <v>107.5</v>
      </c>
      <c r="K598" s="2">
        <v>104.1</v>
      </c>
      <c r="L598" s="2">
        <f>+J598-K598</f>
        <v>3.4000000000000057</v>
      </c>
      <c r="M598" s="1">
        <f>+E598-I598</f>
        <v>-6.3760990682460994E-3</v>
      </c>
      <c r="N598" s="2">
        <v>94.3</v>
      </c>
      <c r="O598" s="2">
        <v>102.6</v>
      </c>
      <c r="P598" s="2">
        <f>+N598-O598</f>
        <v>-8.2999999999999972</v>
      </c>
      <c r="Q598">
        <v>-0.2</v>
      </c>
    </row>
    <row r="599" spans="1:17">
      <c r="A599" t="s">
        <v>52</v>
      </c>
      <c r="B599" t="s">
        <v>22</v>
      </c>
      <c r="C599">
        <v>37</v>
      </c>
      <c r="D599">
        <v>45</v>
      </c>
      <c r="E599" s="1">
        <f>+C599/(C599+D599)</f>
        <v>0.45121951219512196</v>
      </c>
      <c r="F599" s="2">
        <v>98.6</v>
      </c>
      <c r="G599" s="2">
        <v>99.4</v>
      </c>
      <c r="H599" s="2">
        <f>+F599-G599</f>
        <v>-0.80000000000001137</v>
      </c>
      <c r="I599" s="1">
        <f>+(F599^14)/((F599^14+G599^14))</f>
        <v>0.47174714501702425</v>
      </c>
      <c r="J599" s="2">
        <v>107</v>
      </c>
      <c r="K599" s="2">
        <v>108.1</v>
      </c>
      <c r="L599" s="2">
        <f>+J599-K599</f>
        <v>-1.0999999999999943</v>
      </c>
      <c r="M599" s="1">
        <f>+E599-I599</f>
        <v>-2.0527632821902286E-2</v>
      </c>
      <c r="N599" s="2">
        <v>92.3</v>
      </c>
      <c r="O599" s="2">
        <v>100.6</v>
      </c>
      <c r="P599" s="2">
        <f>+N599-O599</f>
        <v>-8.2999999999999972</v>
      </c>
      <c r="Q599">
        <v>-1.2</v>
      </c>
    </row>
    <row r="600" spans="1:17">
      <c r="A600" t="s">
        <v>65</v>
      </c>
      <c r="B600" t="s">
        <v>26</v>
      </c>
      <c r="C600">
        <v>36</v>
      </c>
      <c r="D600">
        <v>46</v>
      </c>
      <c r="E600" s="1">
        <f>+C600/(C600+D600)</f>
        <v>0.43902439024390244</v>
      </c>
      <c r="F600" s="2">
        <v>110.9</v>
      </c>
      <c r="G600" s="2">
        <v>113.9</v>
      </c>
      <c r="H600" s="2">
        <f>+F600-G600</f>
        <v>-3</v>
      </c>
      <c r="I600" s="1">
        <f>+(F600^14)/((F600^14+G600^14))</f>
        <v>0.40765025304678426</v>
      </c>
      <c r="J600" s="2">
        <v>111</v>
      </c>
      <c r="K600" s="2">
        <v>113.7</v>
      </c>
      <c r="L600" s="2">
        <f>+J600-K600</f>
        <v>-2.7000000000000028</v>
      </c>
      <c r="M600" s="1">
        <f>+E600-I600</f>
        <v>3.1374137197118179E-2</v>
      </c>
      <c r="N600" s="2">
        <v>113.6</v>
      </c>
      <c r="O600" s="2">
        <v>121.9</v>
      </c>
      <c r="P600" s="2">
        <f>+N600-O600</f>
        <v>-8.3000000000000114</v>
      </c>
      <c r="Q600">
        <v>-1.1000000000000001</v>
      </c>
    </row>
    <row r="601" spans="1:17">
      <c r="A601" t="s">
        <v>39</v>
      </c>
      <c r="B601" t="s">
        <v>9</v>
      </c>
      <c r="C601">
        <v>42</v>
      </c>
      <c r="D601">
        <v>40</v>
      </c>
      <c r="E601" s="1">
        <f>+C601/(C601+D601)</f>
        <v>0.51219512195121952</v>
      </c>
      <c r="F601" s="2">
        <v>96.5</v>
      </c>
      <c r="G601" s="2">
        <v>95.7</v>
      </c>
      <c r="H601" s="2">
        <f>+F601-G601</f>
        <v>0.79999999999999716</v>
      </c>
      <c r="I601" s="1">
        <f>+(F601^14)/((F601^14+G601^14))</f>
        <v>0.52910354937105664</v>
      </c>
      <c r="J601" s="2">
        <v>105.3</v>
      </c>
      <c r="K601" s="2">
        <v>104.7</v>
      </c>
      <c r="L601" s="2">
        <f>+J601-K601</f>
        <v>0.59999999999999432</v>
      </c>
      <c r="M601" s="1">
        <f>+E601-I601</f>
        <v>-1.6908427419837113E-2</v>
      </c>
      <c r="N601" s="2">
        <v>96.7</v>
      </c>
      <c r="O601" s="2">
        <v>105.1</v>
      </c>
      <c r="P601" s="2">
        <f>+N601-O601</f>
        <v>-8.3999999999999915</v>
      </c>
      <c r="Q601">
        <v>0.2</v>
      </c>
    </row>
    <row r="602" spans="1:17">
      <c r="A602" t="s">
        <v>38</v>
      </c>
      <c r="B602" t="s">
        <v>24</v>
      </c>
      <c r="C602">
        <v>33</v>
      </c>
      <c r="D602">
        <v>49</v>
      </c>
      <c r="E602" s="1">
        <f>+C602/(C602+D602)</f>
        <v>0.40243902439024393</v>
      </c>
      <c r="F602" s="2">
        <v>88</v>
      </c>
      <c r="G602" s="2">
        <v>90.5</v>
      </c>
      <c r="H602" s="2">
        <f>+F602-G602</f>
        <v>-2.5</v>
      </c>
      <c r="I602" s="1">
        <f>+(F602^14)/((F602^14+G602^14))</f>
        <v>0.4031920171201035</v>
      </c>
      <c r="J602" s="2">
        <v>97.8</v>
      </c>
      <c r="K602" s="2">
        <v>100.4</v>
      </c>
      <c r="L602" s="2">
        <f>+J602-K602</f>
        <v>-2.6000000000000085</v>
      </c>
      <c r="M602" s="1">
        <f>+E602-I602</f>
        <v>-7.5299272985956955E-4</v>
      </c>
      <c r="N602" s="2">
        <v>82.5</v>
      </c>
      <c r="O602" s="2">
        <v>90.9</v>
      </c>
      <c r="P602" s="2">
        <f>+N602-O602</f>
        <v>-8.4000000000000057</v>
      </c>
      <c r="Q602">
        <v>-0.1</v>
      </c>
    </row>
    <row r="603" spans="1:17">
      <c r="A603" t="s">
        <v>62</v>
      </c>
      <c r="B603" t="s">
        <v>31</v>
      </c>
      <c r="C603">
        <v>49</v>
      </c>
      <c r="D603">
        <v>33</v>
      </c>
      <c r="E603" s="1">
        <f>+C603/(C603+D603)</f>
        <v>0.59756097560975607</v>
      </c>
      <c r="F603" s="2">
        <v>113.6</v>
      </c>
      <c r="G603" s="2">
        <v>107.6</v>
      </c>
      <c r="H603" s="2">
        <f>+F603-G603</f>
        <v>6</v>
      </c>
      <c r="I603" s="1">
        <f>+(F603^14)/((F603^14+G603^14))</f>
        <v>0.68128425860011865</v>
      </c>
      <c r="J603" s="2">
        <v>116.2</v>
      </c>
      <c r="K603" s="2">
        <v>110</v>
      </c>
      <c r="L603" s="2">
        <f>+J603-K603</f>
        <v>6.2000000000000028</v>
      </c>
      <c r="M603" s="1">
        <f>+E603-I603</f>
        <v>-8.372328299036258E-2</v>
      </c>
      <c r="N603" s="2">
        <v>105.1</v>
      </c>
      <c r="O603" s="2">
        <v>113.5</v>
      </c>
      <c r="P603" s="2">
        <f>+N603-O603</f>
        <v>-8.4000000000000057</v>
      </c>
      <c r="Q603">
        <v>0.7</v>
      </c>
    </row>
    <row r="604" spans="1:17">
      <c r="A604" t="s">
        <v>55</v>
      </c>
      <c r="B604" t="s">
        <v>46</v>
      </c>
      <c r="C604">
        <v>55</v>
      </c>
      <c r="D604">
        <v>27</v>
      </c>
      <c r="E604" s="1">
        <f>+C604/(C604+D604)</f>
        <v>0.67073170731707321</v>
      </c>
      <c r="F604" s="2">
        <v>110.2</v>
      </c>
      <c r="G604" s="2">
        <v>102.9</v>
      </c>
      <c r="H604" s="2">
        <f>+F604-G604</f>
        <v>7.2999999999999972</v>
      </c>
      <c r="I604" s="1">
        <f>+(F604^14)/((F604^14+G604^14))</f>
        <v>0.72303160932792188</v>
      </c>
      <c r="J604" s="2">
        <v>112.1</v>
      </c>
      <c r="K604" s="2">
        <v>104.8</v>
      </c>
      <c r="L604" s="2">
        <f>+J604-K604</f>
        <v>7.2999999999999972</v>
      </c>
      <c r="M604" s="1">
        <f>+E604-I604</f>
        <v>-5.2299902010848665E-2</v>
      </c>
      <c r="N604" s="2">
        <v>102.2</v>
      </c>
      <c r="O604" s="2">
        <v>110.7</v>
      </c>
      <c r="P604" s="2">
        <f>+N604-O604</f>
        <v>-8.5</v>
      </c>
      <c r="Q604">
        <v>0</v>
      </c>
    </row>
    <row r="605" spans="1:17">
      <c r="A605" t="s">
        <v>58</v>
      </c>
      <c r="B605" t="s">
        <v>56</v>
      </c>
      <c r="C605">
        <v>42</v>
      </c>
      <c r="D605">
        <v>40</v>
      </c>
      <c r="E605" s="1">
        <f>+C605/(C605+D605)</f>
        <v>0.51219512195121952</v>
      </c>
      <c r="F605" s="2">
        <v>109</v>
      </c>
      <c r="G605" s="2">
        <v>109</v>
      </c>
      <c r="H605" s="2">
        <f>+F605-G605</f>
        <v>0</v>
      </c>
      <c r="I605" s="1">
        <f>+(F605^14)/((F605^14+G605^14))</f>
        <v>0.5</v>
      </c>
      <c r="J605" s="2">
        <v>109.4</v>
      </c>
      <c r="K605" s="2">
        <v>109.2</v>
      </c>
      <c r="L605" s="2">
        <f>+J605-K605</f>
        <v>0.20000000000000284</v>
      </c>
      <c r="M605" s="1">
        <f>+E605-I605</f>
        <v>1.2195121951219523E-2</v>
      </c>
      <c r="N605" s="2">
        <v>110.5</v>
      </c>
      <c r="O605" s="2">
        <v>119.1</v>
      </c>
      <c r="P605" s="2">
        <f>+N605-O605</f>
        <v>-8.5999999999999943</v>
      </c>
      <c r="Q605">
        <v>1.5</v>
      </c>
    </row>
    <row r="606" spans="1:17">
      <c r="A606" t="s">
        <v>59</v>
      </c>
      <c r="B606" t="s">
        <v>10</v>
      </c>
      <c r="C606">
        <v>33</v>
      </c>
      <c r="D606">
        <v>49</v>
      </c>
      <c r="E606" s="1">
        <f>+C606/(C606+D606)</f>
        <v>0.40243902439024393</v>
      </c>
      <c r="F606" s="2">
        <v>108.9</v>
      </c>
      <c r="G606" s="2">
        <v>110.1</v>
      </c>
      <c r="H606" s="2">
        <f>+F606-G606</f>
        <v>-1.1999999999999886</v>
      </c>
      <c r="I606" s="1">
        <f>+(F606^14)/((F606^14+G606^14))</f>
        <v>0.46171851651459928</v>
      </c>
      <c r="J606" s="2">
        <v>108.7</v>
      </c>
      <c r="K606" s="2">
        <v>110.1</v>
      </c>
      <c r="L606" s="2">
        <f>+J606-K606</f>
        <v>-1.3999999999999915</v>
      </c>
      <c r="M606" s="1">
        <f>+E606-I606</f>
        <v>-5.9279492124355349E-2</v>
      </c>
      <c r="N606" s="2">
        <v>100.3</v>
      </c>
      <c r="O606" s="2">
        <v>108.9</v>
      </c>
      <c r="P606" s="2">
        <f>+N606-O606</f>
        <v>-8.6000000000000085</v>
      </c>
      <c r="Q606">
        <v>0.4</v>
      </c>
    </row>
    <row r="607" spans="1:17">
      <c r="A607" t="s">
        <v>66</v>
      </c>
      <c r="B607" t="s">
        <v>8</v>
      </c>
      <c r="C607">
        <v>26</v>
      </c>
      <c r="D607">
        <v>37</v>
      </c>
      <c r="E607" s="1">
        <f>+C607/(C607+D607)</f>
        <v>0.41269841269841268</v>
      </c>
      <c r="F607" s="2">
        <v>115.5</v>
      </c>
      <c r="G607" s="2">
        <v>119.7</v>
      </c>
      <c r="H607" s="2">
        <f>+F607-G607</f>
        <v>-4.2000000000000028</v>
      </c>
      <c r="I607" s="1">
        <f>+(F607^14)/((F607^14+G607^14))</f>
        <v>0.37752817692129625</v>
      </c>
      <c r="J607" s="2">
        <v>112.2</v>
      </c>
      <c r="K607" s="2">
        <v>116.6</v>
      </c>
      <c r="L607" s="2">
        <f>+J607-K607</f>
        <v>-4.3999999999999915</v>
      </c>
      <c r="M607" s="1">
        <f>+E607-I607</f>
        <v>3.5170235777116421E-2</v>
      </c>
      <c r="N607" s="2">
        <v>108.4</v>
      </c>
      <c r="O607" s="2">
        <v>117.1</v>
      </c>
      <c r="P607" s="2">
        <f>+N607-O607</f>
        <v>-8.6999999999999886</v>
      </c>
      <c r="Q607">
        <v>-0.6</v>
      </c>
    </row>
    <row r="608" spans="1:17">
      <c r="A608" t="s">
        <v>58</v>
      </c>
      <c r="B608" t="s">
        <v>23</v>
      </c>
      <c r="C608">
        <v>25</v>
      </c>
      <c r="D608">
        <v>57</v>
      </c>
      <c r="E608" s="1">
        <f>+C608/(C608+D608)</f>
        <v>0.3048780487804878</v>
      </c>
      <c r="F608" s="2">
        <v>103.4</v>
      </c>
      <c r="G608" s="2">
        <v>108.2</v>
      </c>
      <c r="H608" s="2">
        <f>+F608-G608</f>
        <v>-4.7999999999999972</v>
      </c>
      <c r="I608" s="1">
        <f>+(F608^14)/((F608^14+G608^14))</f>
        <v>0.34631662039158329</v>
      </c>
      <c r="J608" s="2">
        <v>104.7</v>
      </c>
      <c r="K608" s="2">
        <v>109.4</v>
      </c>
      <c r="L608" s="2">
        <f>+J608-K608</f>
        <v>-4.7000000000000028</v>
      </c>
      <c r="M608" s="1">
        <f>+E608-I608</f>
        <v>-4.1438571611095487E-2</v>
      </c>
      <c r="N608" s="2">
        <v>98.4</v>
      </c>
      <c r="O608" s="2">
        <v>107.1</v>
      </c>
      <c r="P608" s="2">
        <f>+N608-O608</f>
        <v>-8.6999999999999886</v>
      </c>
      <c r="Q608">
        <v>0</v>
      </c>
    </row>
    <row r="609" spans="1:17">
      <c r="A609" t="s">
        <v>43</v>
      </c>
      <c r="B609" t="s">
        <v>21</v>
      </c>
      <c r="C609">
        <v>41</v>
      </c>
      <c r="D609">
        <v>41</v>
      </c>
      <c r="E609" s="1">
        <f>+C609/(C609+D609)</f>
        <v>0.5</v>
      </c>
      <c r="F609" s="2">
        <v>97.6</v>
      </c>
      <c r="G609" s="2">
        <v>98.3</v>
      </c>
      <c r="H609" s="2">
        <f>+F609-G609</f>
        <v>-0.70000000000000284</v>
      </c>
      <c r="I609" s="1">
        <f>+(F609^14)/((F609^14+G609^14))</f>
        <v>0.47500797658493921</v>
      </c>
      <c r="J609" s="2">
        <v>104.2</v>
      </c>
      <c r="K609" s="2">
        <v>105.1</v>
      </c>
      <c r="L609" s="2">
        <f>+J609-K609</f>
        <v>-0.89999999999999147</v>
      </c>
      <c r="M609" s="1">
        <f>+E609-I609</f>
        <v>2.4992023415060793E-2</v>
      </c>
      <c r="N609" s="2">
        <v>101.7</v>
      </c>
      <c r="O609" s="2">
        <v>110.4</v>
      </c>
      <c r="P609" s="2">
        <f>+N609-O609</f>
        <v>-8.7000000000000028</v>
      </c>
      <c r="Q609">
        <v>-0.6</v>
      </c>
    </row>
    <row r="610" spans="1:17">
      <c r="A610" t="s">
        <v>43</v>
      </c>
      <c r="B610" t="s">
        <v>14</v>
      </c>
      <c r="C610">
        <v>52</v>
      </c>
      <c r="D610">
        <v>30</v>
      </c>
      <c r="E610" s="1">
        <f>+C610/(C610+D610)</f>
        <v>0.63414634146341464</v>
      </c>
      <c r="F610" s="2">
        <v>97</v>
      </c>
      <c r="G610" s="2">
        <v>92.1</v>
      </c>
      <c r="H610" s="2">
        <f>+F610-G610</f>
        <v>4.9000000000000057</v>
      </c>
      <c r="I610" s="1">
        <f>+(F610^14)/((F610^14+G610^14))</f>
        <v>0.67386194635235153</v>
      </c>
      <c r="J610" s="2">
        <v>104.7</v>
      </c>
      <c r="K610" s="2">
        <v>99.7</v>
      </c>
      <c r="L610" s="2">
        <f>+J610-K610</f>
        <v>5</v>
      </c>
      <c r="M610" s="1">
        <f>+E610-I610</f>
        <v>-3.9715604888936884E-2</v>
      </c>
      <c r="N610" s="2">
        <v>99.7</v>
      </c>
      <c r="O610" s="2">
        <v>108.4</v>
      </c>
      <c r="P610" s="2">
        <f>+N610-O610</f>
        <v>-8.7000000000000028</v>
      </c>
      <c r="Q610">
        <v>-1.4</v>
      </c>
    </row>
    <row r="611" spans="1:17">
      <c r="A611" t="s">
        <v>49</v>
      </c>
      <c r="B611" t="s">
        <v>12</v>
      </c>
      <c r="C611">
        <v>25</v>
      </c>
      <c r="D611">
        <v>41</v>
      </c>
      <c r="E611" s="1">
        <f>+C611/(C611+D611)</f>
        <v>0.37878787878787878</v>
      </c>
      <c r="F611" s="2">
        <v>90.9</v>
      </c>
      <c r="G611" s="2">
        <v>95.7</v>
      </c>
      <c r="H611" s="2">
        <f>+F611-G611</f>
        <v>-4.7999999999999972</v>
      </c>
      <c r="I611" s="1">
        <f>+(F611^14)/((F611^14+G611^14))</f>
        <v>0.32730134783785092</v>
      </c>
      <c r="J611" s="2">
        <v>100</v>
      </c>
      <c r="K611" s="2">
        <v>105</v>
      </c>
      <c r="L611" s="2">
        <f>+J611-K611</f>
        <v>-5</v>
      </c>
      <c r="M611" s="1">
        <f>+E611-I611</f>
        <v>5.1486530950027865E-2</v>
      </c>
      <c r="N611" s="2">
        <v>95.9</v>
      </c>
      <c r="O611" s="2">
        <v>104.7</v>
      </c>
      <c r="P611" s="2">
        <f>+N611-O611</f>
        <v>-8.7999999999999972</v>
      </c>
      <c r="Q611">
        <v>-2.2999999999999998</v>
      </c>
    </row>
    <row r="612" spans="1:17">
      <c r="A612" t="s">
        <v>47</v>
      </c>
      <c r="B612" t="s">
        <v>33</v>
      </c>
      <c r="C612">
        <v>26</v>
      </c>
      <c r="D612">
        <v>56</v>
      </c>
      <c r="E612" s="1">
        <f>+C612/(C612+D612)</f>
        <v>0.31707317073170732</v>
      </c>
      <c r="F612" s="2">
        <v>96.2</v>
      </c>
      <c r="G612" s="2">
        <v>101</v>
      </c>
      <c r="H612" s="2">
        <f>+F612-G612</f>
        <v>-4.7999999999999972</v>
      </c>
      <c r="I612" s="1">
        <f>+(F612^14)/((F612^14+G612^14))</f>
        <v>0.33588728853069855</v>
      </c>
      <c r="J612" s="2">
        <v>103.1</v>
      </c>
      <c r="K612" s="2">
        <v>108.3</v>
      </c>
      <c r="L612" s="2">
        <f>+J612-K612</f>
        <v>-5.2000000000000028</v>
      </c>
      <c r="M612" s="1">
        <f>+E612-I612</f>
        <v>-1.8814117798991226E-2</v>
      </c>
      <c r="N612" s="2">
        <v>94.2</v>
      </c>
      <c r="O612" s="2">
        <v>103.1</v>
      </c>
      <c r="P612" s="2">
        <f>+N612-O612</f>
        <v>-8.8999999999999915</v>
      </c>
      <c r="Q612">
        <v>-1</v>
      </c>
    </row>
    <row r="613" spans="1:17">
      <c r="A613" t="s">
        <v>63</v>
      </c>
      <c r="B613" t="s">
        <v>33</v>
      </c>
      <c r="C613">
        <v>35</v>
      </c>
      <c r="D613">
        <v>47</v>
      </c>
      <c r="E613" s="1">
        <f>+C613/(C613+D613)</f>
        <v>0.42682926829268292</v>
      </c>
      <c r="F613" s="2">
        <v>113.2</v>
      </c>
      <c r="G613" s="2">
        <v>114.4</v>
      </c>
      <c r="H613" s="2">
        <f>+F613-G613</f>
        <v>-1.2000000000000028</v>
      </c>
      <c r="I613" s="1">
        <f>+(F613^14)/((F613^14+G613^14))</f>
        <v>0.46315968852837397</v>
      </c>
      <c r="J613" s="2">
        <v>113.7</v>
      </c>
      <c r="K613" s="2">
        <v>114.9</v>
      </c>
      <c r="L613" s="2">
        <f>+J613-K613</f>
        <v>-1.2000000000000028</v>
      </c>
      <c r="M613" s="1">
        <f>+E613-I613</f>
        <v>-3.6330420235691052E-2</v>
      </c>
      <c r="N613" s="2">
        <v>101.4</v>
      </c>
      <c r="O613" s="2">
        <v>110.3</v>
      </c>
      <c r="P613" s="2">
        <f>+N613-O613</f>
        <v>-8.8999999999999915</v>
      </c>
      <c r="Q613">
        <v>0</v>
      </c>
    </row>
    <row r="614" spans="1:17">
      <c r="A614" t="s">
        <v>62</v>
      </c>
      <c r="B614" t="s">
        <v>5</v>
      </c>
      <c r="C614">
        <v>43</v>
      </c>
      <c r="D614">
        <v>39</v>
      </c>
      <c r="E614" s="1">
        <f>+C614/(C614+D614)</f>
        <v>0.52439024390243905</v>
      </c>
      <c r="F614" s="2">
        <v>113.9</v>
      </c>
      <c r="G614" s="2">
        <v>112.4</v>
      </c>
      <c r="H614" s="2">
        <f>+F614-G614</f>
        <v>1.5</v>
      </c>
      <c r="I614" s="1">
        <f>+(F614^14)/((F614^14+G614^14))</f>
        <v>0.54626653254094071</v>
      </c>
      <c r="J614" s="2">
        <v>115.4</v>
      </c>
      <c r="K614" s="2">
        <v>113.7</v>
      </c>
      <c r="L614" s="2">
        <f>+J614-K614</f>
        <v>1.7000000000000028</v>
      </c>
      <c r="M614" s="1">
        <f>+E614-I614</f>
        <v>-2.1876288638501662E-2</v>
      </c>
      <c r="N614" s="2">
        <v>110.5</v>
      </c>
      <c r="O614" s="2">
        <v>119.4</v>
      </c>
      <c r="P614" s="2">
        <f>+N614-O614</f>
        <v>-8.9000000000000057</v>
      </c>
      <c r="Q614">
        <v>-1.3</v>
      </c>
    </row>
    <row r="615" spans="1:17">
      <c r="A615" t="s">
        <v>60</v>
      </c>
      <c r="B615" t="s">
        <v>23</v>
      </c>
      <c r="C615">
        <v>33</v>
      </c>
      <c r="D615">
        <v>40</v>
      </c>
      <c r="E615" s="1">
        <f>+C615/(C615+D615)</f>
        <v>0.45205479452054792</v>
      </c>
      <c r="F615" s="2">
        <v>107.3</v>
      </c>
      <c r="G615" s="2">
        <v>108.3</v>
      </c>
      <c r="H615" s="2">
        <f>+F615-G615</f>
        <v>-1</v>
      </c>
      <c r="I615" s="1">
        <f>+(F615^14)/((F615^14+G615^14))</f>
        <v>0.46757779264200222</v>
      </c>
      <c r="J615" s="2">
        <v>107.9</v>
      </c>
      <c r="K615" s="2">
        <v>109.2</v>
      </c>
      <c r="L615" s="2">
        <f>+J615-K615</f>
        <v>-1.2999999999999972</v>
      </c>
      <c r="M615" s="1">
        <f>+E615-I615</f>
        <v>-1.5522998121454301E-2</v>
      </c>
      <c r="N615" s="2">
        <v>95.7</v>
      </c>
      <c r="O615" s="2">
        <v>104.7</v>
      </c>
      <c r="P615" s="2">
        <f>+N615-O615</f>
        <v>-9</v>
      </c>
      <c r="Q615">
        <v>-0.9</v>
      </c>
    </row>
    <row r="616" spans="1:17">
      <c r="A616" t="s">
        <v>54</v>
      </c>
      <c r="B616" t="s">
        <v>27</v>
      </c>
      <c r="C616">
        <v>29</v>
      </c>
      <c r="D616">
        <v>53</v>
      </c>
      <c r="E616" s="1">
        <f>+C616/(C616+D616)</f>
        <v>0.35365853658536583</v>
      </c>
      <c r="F616" s="2">
        <v>101.3</v>
      </c>
      <c r="G616" s="2">
        <v>105</v>
      </c>
      <c r="H616" s="2">
        <f>+F616-G616</f>
        <v>-3.7000000000000028</v>
      </c>
      <c r="I616" s="1">
        <f>+(F616^14)/((F616^14+G616^14))</f>
        <v>0.37701554546274013</v>
      </c>
      <c r="J616" s="2">
        <v>104.5</v>
      </c>
      <c r="K616" s="2">
        <v>108.2</v>
      </c>
      <c r="L616" s="2">
        <f>+J616-K616</f>
        <v>-3.7000000000000028</v>
      </c>
      <c r="M616" s="1">
        <f>+E616-I616</f>
        <v>-2.3357008877374297E-2</v>
      </c>
      <c r="N616" s="2">
        <v>99.6</v>
      </c>
      <c r="O616" s="2">
        <v>108.6</v>
      </c>
      <c r="P616" s="2">
        <f>+N616-O616</f>
        <v>-9</v>
      </c>
      <c r="Q616">
        <v>-1.2</v>
      </c>
    </row>
    <row r="617" spans="1:17">
      <c r="A617" t="s">
        <v>39</v>
      </c>
      <c r="B617" t="s">
        <v>14</v>
      </c>
      <c r="C617">
        <v>51</v>
      </c>
      <c r="D617">
        <v>31</v>
      </c>
      <c r="E617" s="1">
        <f>+C617/(C617+D617)</f>
        <v>0.62195121951219512</v>
      </c>
      <c r="F617" s="2">
        <v>95.1</v>
      </c>
      <c r="G617" s="2">
        <v>91</v>
      </c>
      <c r="H617" s="2">
        <f>+F617-G617</f>
        <v>4.0999999999999943</v>
      </c>
      <c r="I617" s="1">
        <f>+(F617^14)/((F617^14+G617^14))</f>
        <v>0.64952967421468588</v>
      </c>
      <c r="J617" s="2">
        <v>104.4</v>
      </c>
      <c r="K617" s="2">
        <v>100.1</v>
      </c>
      <c r="L617" s="2">
        <f>+J617-K617</f>
        <v>4.3000000000000114</v>
      </c>
      <c r="M617" s="1">
        <f>+E617-I617</f>
        <v>-2.7578454702490762E-2</v>
      </c>
      <c r="N617" s="2">
        <v>95.7</v>
      </c>
      <c r="O617" s="2">
        <v>104.7</v>
      </c>
      <c r="P617" s="2">
        <f>+N617-O617</f>
        <v>-9</v>
      </c>
      <c r="Q617">
        <v>0.4</v>
      </c>
    </row>
    <row r="618" spans="1:17">
      <c r="A618" t="s">
        <v>66</v>
      </c>
      <c r="B618" t="s">
        <v>11</v>
      </c>
      <c r="C618">
        <v>39</v>
      </c>
      <c r="D618">
        <v>25</v>
      </c>
      <c r="E618" s="1">
        <f>+C618/(C618+D618)</f>
        <v>0.609375</v>
      </c>
      <c r="F618" s="2">
        <v>120.2</v>
      </c>
      <c r="G618" s="2">
        <v>116.5</v>
      </c>
      <c r="H618" s="2">
        <f>+F618-G618</f>
        <v>3.7000000000000028</v>
      </c>
      <c r="I618" s="1">
        <f>+(F618^14)/((F618^14+G618^14))</f>
        <v>0.6077157346709432</v>
      </c>
      <c r="J618" s="2">
        <v>120</v>
      </c>
      <c r="K618" s="2">
        <v>116.3</v>
      </c>
      <c r="L618" s="2">
        <f>+J618-K618</f>
        <v>3.7000000000000028</v>
      </c>
      <c r="M618" s="1">
        <f>+E618-I618</f>
        <v>1.6592653290568027E-3</v>
      </c>
      <c r="N618" s="2">
        <v>119.4</v>
      </c>
      <c r="O618" s="2">
        <v>128.5</v>
      </c>
      <c r="P618" s="2">
        <f>+N618-O618</f>
        <v>-9.0999999999999943</v>
      </c>
      <c r="Q618" s="2">
        <v>-0.5</v>
      </c>
    </row>
    <row r="619" spans="1:17">
      <c r="A619" t="s">
        <v>59</v>
      </c>
      <c r="B619" t="s">
        <v>25</v>
      </c>
      <c r="C619">
        <v>19</v>
      </c>
      <c r="D619">
        <v>63</v>
      </c>
      <c r="E619" s="1">
        <f>+C619/(C619+D619)</f>
        <v>0.23170731707317074</v>
      </c>
      <c r="F619" s="2">
        <v>107.5</v>
      </c>
      <c r="G619" s="2">
        <v>116.8</v>
      </c>
      <c r="H619" s="2">
        <f>+F619-G619</f>
        <v>-9.2999999999999972</v>
      </c>
      <c r="I619" s="1">
        <f>+(F619^14)/((F619^14+G619^14))</f>
        <v>0.2383746596037172</v>
      </c>
      <c r="J619" s="2">
        <v>105.3</v>
      </c>
      <c r="K619" s="2">
        <v>114.2</v>
      </c>
      <c r="L619" s="2">
        <f>+J619-K619</f>
        <v>-8.9000000000000057</v>
      </c>
      <c r="M619" s="1">
        <f>+E619-I619</f>
        <v>-6.6673425305464606E-3</v>
      </c>
      <c r="N619" s="2">
        <v>107.7</v>
      </c>
      <c r="O619" s="2">
        <v>116.9</v>
      </c>
      <c r="P619" s="2">
        <f>+N619-O619</f>
        <v>-9.2000000000000028</v>
      </c>
      <c r="Q619">
        <v>-2.1</v>
      </c>
    </row>
    <row r="620" spans="1:17">
      <c r="A620" t="s">
        <v>43</v>
      </c>
      <c r="B620" t="s">
        <v>19</v>
      </c>
      <c r="C620">
        <v>28</v>
      </c>
      <c r="D620">
        <v>54</v>
      </c>
      <c r="E620" s="1">
        <f>+C620/(C620+D620)</f>
        <v>0.34146341463414637</v>
      </c>
      <c r="F620" s="2">
        <v>99.7</v>
      </c>
      <c r="G620" s="2">
        <v>104</v>
      </c>
      <c r="H620" s="2">
        <f>+F620-G620</f>
        <v>-4.2999999999999972</v>
      </c>
      <c r="I620" s="1">
        <f>+(F620^14)/((F620^14+G620^14))</f>
        <v>0.35637032098910626</v>
      </c>
      <c r="J620" s="2">
        <v>106</v>
      </c>
      <c r="K620" s="2">
        <v>110.3</v>
      </c>
      <c r="L620" s="2">
        <f>+J620-K620</f>
        <v>-4.2999999999999972</v>
      </c>
      <c r="M620" s="1">
        <f>+E620-I620</f>
        <v>-1.4906906354959892E-2</v>
      </c>
      <c r="N620" s="2">
        <v>99.2</v>
      </c>
      <c r="O620" s="2">
        <v>108.4</v>
      </c>
      <c r="P620" s="2">
        <f>+N620-O620</f>
        <v>-9.2000000000000028</v>
      </c>
      <c r="Q620">
        <v>-1.1000000000000001</v>
      </c>
    </row>
    <row r="621" spans="1:17">
      <c r="A621" t="s">
        <v>63</v>
      </c>
      <c r="B621" t="s">
        <v>46</v>
      </c>
      <c r="C621">
        <v>40</v>
      </c>
      <c r="D621">
        <v>42</v>
      </c>
      <c r="E621" s="1">
        <f>+C621/(C621+D621)</f>
        <v>0.48780487804878048</v>
      </c>
      <c r="F621" s="2">
        <v>117.5</v>
      </c>
      <c r="G621" s="2">
        <v>116.4</v>
      </c>
      <c r="H621" s="2">
        <f>+F621-G621</f>
        <v>1.0999999999999943</v>
      </c>
      <c r="I621" s="1">
        <f>+(F621^14)/((F621^14+G621^14))</f>
        <v>0.53287280670641013</v>
      </c>
      <c r="J621" s="2">
        <v>114.2</v>
      </c>
      <c r="K621" s="2">
        <v>113.2</v>
      </c>
      <c r="L621" s="2">
        <f>+J621-K621</f>
        <v>1</v>
      </c>
      <c r="M621" s="1">
        <f>+E621-I621</f>
        <v>-4.5067928657629652E-2</v>
      </c>
      <c r="N621" s="2">
        <v>97.1</v>
      </c>
      <c r="O621" s="2">
        <v>106.3</v>
      </c>
      <c r="P621" s="2">
        <f>+N621-O621</f>
        <v>-9.2000000000000028</v>
      </c>
      <c r="Q621">
        <v>-0.7</v>
      </c>
    </row>
    <row r="622" spans="1:17">
      <c r="A622" t="s">
        <v>61</v>
      </c>
      <c r="B622" t="s">
        <v>35</v>
      </c>
      <c r="C622">
        <v>38</v>
      </c>
      <c r="D622">
        <v>34</v>
      </c>
      <c r="E622" s="1">
        <f>+C622/(C622+D622)</f>
        <v>0.52777777777777779</v>
      </c>
      <c r="F622" s="2">
        <v>113.3</v>
      </c>
      <c r="G622" s="2">
        <v>112.3</v>
      </c>
      <c r="H622" s="2">
        <f>+F622-G622</f>
        <v>1</v>
      </c>
      <c r="I622" s="1">
        <f>+(F622^14)/((F622^14+G622^14))</f>
        <v>0.53098880201006593</v>
      </c>
      <c r="J622" s="2">
        <v>111.7</v>
      </c>
      <c r="K622" s="2">
        <v>110.5</v>
      </c>
      <c r="L622" s="2">
        <f>+J622-K622</f>
        <v>1.2000000000000028</v>
      </c>
      <c r="M622" s="1">
        <f>+E622-I622</f>
        <v>-3.2110242322881399E-3</v>
      </c>
      <c r="N622" s="2">
        <v>101.6</v>
      </c>
      <c r="O622" s="2">
        <v>110.9</v>
      </c>
      <c r="P622" s="2">
        <f>+N622-O622</f>
        <v>-9.3000000000000114</v>
      </c>
      <c r="Q622">
        <v>-0.2</v>
      </c>
    </row>
    <row r="623" spans="1:17">
      <c r="A623" t="s">
        <v>43</v>
      </c>
      <c r="B623" t="s">
        <v>40</v>
      </c>
      <c r="C623">
        <v>33</v>
      </c>
      <c r="D623">
        <v>49</v>
      </c>
      <c r="E623" s="1">
        <f>+C623/(C623+D623)</f>
        <v>0.40243902439024393</v>
      </c>
      <c r="F623" s="2">
        <v>96.9</v>
      </c>
      <c r="G623" s="2">
        <v>100.6</v>
      </c>
      <c r="H623" s="2">
        <f>+F623-G623</f>
        <v>-3.6999999999999886</v>
      </c>
      <c r="I623" s="1">
        <f>+(F623^14)/((F623^14+G623^14))</f>
        <v>0.37177294637427477</v>
      </c>
      <c r="J623" s="2">
        <v>102.4</v>
      </c>
      <c r="K623" s="2">
        <v>106.3</v>
      </c>
      <c r="L623" s="2">
        <f>+J623-K623</f>
        <v>-3.8999999999999915</v>
      </c>
      <c r="M623" s="1">
        <f>+E623-I623</f>
        <v>3.0666078015969156E-2</v>
      </c>
      <c r="N623" s="2">
        <v>93.9</v>
      </c>
      <c r="O623" s="2">
        <v>103.3</v>
      </c>
      <c r="P623" s="2">
        <f>+N623-O623</f>
        <v>-9.3999999999999915</v>
      </c>
      <c r="Q623">
        <v>-1.2</v>
      </c>
    </row>
    <row r="624" spans="1:17">
      <c r="A624" t="s">
        <v>34</v>
      </c>
      <c r="B624" t="s">
        <v>35</v>
      </c>
      <c r="C624">
        <v>23</v>
      </c>
      <c r="D624">
        <v>59</v>
      </c>
      <c r="E624" s="1">
        <f>+C624/(C624+D624)</f>
        <v>0.28048780487804881</v>
      </c>
      <c r="F624" s="2">
        <v>89.9</v>
      </c>
      <c r="G624" s="2">
        <v>97.3</v>
      </c>
      <c r="H624" s="2">
        <f>+F624-G624</f>
        <v>-7.3999999999999915</v>
      </c>
      <c r="I624" s="1">
        <f>+(F624^14)/((F624^14+G624^14))</f>
        <v>0.24835318847310597</v>
      </c>
      <c r="J624" s="2">
        <v>96.6</v>
      </c>
      <c r="K624" s="2">
        <v>104.7</v>
      </c>
      <c r="L624" s="2">
        <f>+J624-K624</f>
        <v>-8.1000000000000085</v>
      </c>
      <c r="M624" s="1">
        <f>+E624-I624</f>
        <v>3.2134616404942834E-2</v>
      </c>
      <c r="N624" s="2">
        <v>89.1</v>
      </c>
      <c r="O624" s="2">
        <v>98.5</v>
      </c>
      <c r="P624" s="2">
        <f>+N624-O624</f>
        <v>-9.4000000000000057</v>
      </c>
      <c r="Q624">
        <v>-1.2</v>
      </c>
    </row>
    <row r="625" spans="1:17">
      <c r="A625" t="s">
        <v>66</v>
      </c>
      <c r="B625" t="s">
        <v>15</v>
      </c>
      <c r="C625">
        <v>15</v>
      </c>
      <c r="D625">
        <v>48</v>
      </c>
      <c r="E625" s="1">
        <f>+C625/(C625+D625)</f>
        <v>0.23809523809523808</v>
      </c>
      <c r="F625" s="2">
        <v>111.4</v>
      </c>
      <c r="G625" s="2">
        <v>119.9</v>
      </c>
      <c r="H625" s="2">
        <f>+F625-G625</f>
        <v>-8.5</v>
      </c>
      <c r="I625" s="1">
        <f>+(F625^14)/((F625^14+G625^14))</f>
        <v>0.26319457048820816</v>
      </c>
      <c r="J625" s="2">
        <v>108.7</v>
      </c>
      <c r="K625" s="2">
        <v>117</v>
      </c>
      <c r="L625" s="2">
        <f>+J625-K625</f>
        <v>-8.2999999999999972</v>
      </c>
      <c r="M625" s="1">
        <f>+E625-I625</f>
        <v>-2.5099332392970075E-2</v>
      </c>
      <c r="N625" s="2">
        <v>97.6</v>
      </c>
      <c r="O625" s="2">
        <v>107</v>
      </c>
      <c r="P625" s="2">
        <f>+N625-O625</f>
        <v>-9.4000000000000057</v>
      </c>
      <c r="Q625" s="2">
        <v>-1</v>
      </c>
    </row>
    <row r="626" spans="1:17">
      <c r="A626" t="s">
        <v>62</v>
      </c>
      <c r="B626" t="s">
        <v>6</v>
      </c>
      <c r="C626">
        <v>51</v>
      </c>
      <c r="D626">
        <v>31</v>
      </c>
      <c r="E626" s="1">
        <f>+C626/(C626+D626)</f>
        <v>0.62195121951219512</v>
      </c>
      <c r="F626" s="2">
        <v>111.8</v>
      </c>
      <c r="G626" s="2">
        <v>104.5</v>
      </c>
      <c r="H626" s="2">
        <f>+F626-G626</f>
        <v>7.2999999999999972</v>
      </c>
      <c r="I626" s="1">
        <f>+(F626^14)/((F626^14+G626^14))</f>
        <v>0.72017762385554718</v>
      </c>
      <c r="J626" s="2">
        <v>113.6</v>
      </c>
      <c r="K626" s="2">
        <v>106.2</v>
      </c>
      <c r="L626" s="2">
        <f>+J626-K626</f>
        <v>7.3999999999999915</v>
      </c>
      <c r="M626" s="1">
        <f>+E626-I626</f>
        <v>-9.8226404343352058E-2</v>
      </c>
      <c r="N626" s="2">
        <v>96.8</v>
      </c>
      <c r="O626" s="2">
        <v>106.2</v>
      </c>
      <c r="P626" s="2">
        <f>+N626-O626</f>
        <v>-9.4000000000000057</v>
      </c>
      <c r="Q626">
        <v>0.3</v>
      </c>
    </row>
    <row r="627" spans="1:17">
      <c r="A627" t="s">
        <v>39</v>
      </c>
      <c r="B627" t="s">
        <v>23</v>
      </c>
      <c r="C627">
        <v>36</v>
      </c>
      <c r="D627">
        <v>46</v>
      </c>
      <c r="E627" s="1">
        <f>+C627/(C627+D627)</f>
        <v>0.43902439024390244</v>
      </c>
      <c r="F627" s="2">
        <v>99.5</v>
      </c>
      <c r="G627" s="2">
        <v>101.8</v>
      </c>
      <c r="H627" s="2">
        <f>+F627-G627</f>
        <v>-2.2999999999999972</v>
      </c>
      <c r="I627" s="1">
        <f>+(F627^14)/((F627^14+G627^14))</f>
        <v>0.42069172557292256</v>
      </c>
      <c r="J627" s="2">
        <v>103.4</v>
      </c>
      <c r="K627" s="2">
        <v>105.7</v>
      </c>
      <c r="L627" s="2">
        <f>+J627-K627</f>
        <v>-2.2999999999999972</v>
      </c>
      <c r="M627" s="1">
        <f>+E627-I627</f>
        <v>1.8332664670979881E-2</v>
      </c>
      <c r="N627" s="2">
        <v>97.2</v>
      </c>
      <c r="O627" s="2">
        <v>106.7</v>
      </c>
      <c r="P627" s="2">
        <f>+N627-O627</f>
        <v>-9.5</v>
      </c>
      <c r="Q627">
        <v>-0.4</v>
      </c>
    </row>
    <row r="628" spans="1:17">
      <c r="A628" t="s">
        <v>36</v>
      </c>
      <c r="B628" t="s">
        <v>9</v>
      </c>
      <c r="C628">
        <v>17</v>
      </c>
      <c r="D628">
        <v>65</v>
      </c>
      <c r="E628" s="1">
        <f>+C628/(C628+D628)</f>
        <v>0.2073170731707317</v>
      </c>
      <c r="F628" s="2">
        <v>91.4</v>
      </c>
      <c r="G628" s="2">
        <v>101</v>
      </c>
      <c r="H628" s="2">
        <f>+F628-G628</f>
        <v>-9.5999999999999943</v>
      </c>
      <c r="I628" s="1">
        <f>+(F628^14)/((F628^14+G628^14))</f>
        <v>0.19809387151453933</v>
      </c>
      <c r="J628" s="2">
        <v>95.2</v>
      </c>
      <c r="K628" s="2">
        <v>105.1</v>
      </c>
      <c r="L628" s="2">
        <f>+J628-K628</f>
        <v>-9.8999999999999915</v>
      </c>
      <c r="M628" s="1">
        <f>+E628-I628</f>
        <v>9.2232016561923647E-3</v>
      </c>
      <c r="N628" s="2">
        <v>86.6</v>
      </c>
      <c r="O628" s="2">
        <v>96.1</v>
      </c>
      <c r="P628" s="2">
        <f>+N628-O628</f>
        <v>-9.5</v>
      </c>
      <c r="Q628">
        <v>-0.2</v>
      </c>
    </row>
    <row r="629" spans="1:17">
      <c r="A629" t="s">
        <v>65</v>
      </c>
      <c r="B629" t="s">
        <v>20</v>
      </c>
      <c r="C629">
        <v>49</v>
      </c>
      <c r="D629">
        <v>33</v>
      </c>
      <c r="E629" s="1">
        <f>+C629/(C629+D629)</f>
        <v>0.59756097560975607</v>
      </c>
      <c r="F629" s="2">
        <v>114.3</v>
      </c>
      <c r="G629" s="2">
        <v>109.3</v>
      </c>
      <c r="H629" s="2">
        <f>+F629-G629</f>
        <v>5</v>
      </c>
      <c r="I629" s="1">
        <f>+(F629^14)/((F629^14+G629^14))</f>
        <v>0.65163242349651695</v>
      </c>
      <c r="J629" s="2">
        <v>115.7</v>
      </c>
      <c r="K629" s="2">
        <v>110.8</v>
      </c>
      <c r="L629" s="2">
        <f>+J629-K629</f>
        <v>4.9000000000000057</v>
      </c>
      <c r="M629" s="1">
        <f>+E629-I629</f>
        <v>-5.4071447886760882E-2</v>
      </c>
      <c r="N629" s="2">
        <v>105.4</v>
      </c>
      <c r="O629" s="2">
        <v>114.9</v>
      </c>
      <c r="P629" s="2">
        <f>+N629-O629</f>
        <v>-9.5</v>
      </c>
      <c r="Q629">
        <v>2.2999999999999998</v>
      </c>
    </row>
    <row r="630" spans="1:17">
      <c r="A630" t="s">
        <v>54</v>
      </c>
      <c r="B630" t="s">
        <v>22</v>
      </c>
      <c r="C630">
        <v>17</v>
      </c>
      <c r="D630">
        <v>65</v>
      </c>
      <c r="E630" s="1">
        <f>+C630/(C630+D630)</f>
        <v>0.2073170731707317</v>
      </c>
      <c r="F630" s="2">
        <v>91.9</v>
      </c>
      <c r="G630" s="2">
        <v>101.2</v>
      </c>
      <c r="H630" s="2">
        <f>+F630-G630</f>
        <v>-9.2999999999999972</v>
      </c>
      <c r="I630" s="1">
        <f>+(F630^14)/((F630^14+G630^14))</f>
        <v>0.20594097725423322</v>
      </c>
      <c r="J630" s="2">
        <v>98.9</v>
      </c>
      <c r="K630" s="2">
        <v>109</v>
      </c>
      <c r="L630" s="2">
        <f>+J630-K630</f>
        <v>-10.099999999999994</v>
      </c>
      <c r="M630" s="1">
        <f>+E630-I630</f>
        <v>1.3760959164984821E-3</v>
      </c>
      <c r="N630" s="2">
        <v>91.9</v>
      </c>
      <c r="O630" s="2">
        <v>101.5</v>
      </c>
      <c r="P630" s="2">
        <f>+N630-O630</f>
        <v>-9.5999999999999943</v>
      </c>
      <c r="Q630">
        <v>0.6</v>
      </c>
    </row>
    <row r="631" spans="1:17">
      <c r="A631" t="s">
        <v>63</v>
      </c>
      <c r="B631" t="s">
        <v>14</v>
      </c>
      <c r="C631">
        <v>22</v>
      </c>
      <c r="D631">
        <v>60</v>
      </c>
      <c r="E631" s="1">
        <f>+C631/(C631+D631)</f>
        <v>0.26829268292682928</v>
      </c>
      <c r="F631" s="2">
        <v>110.7</v>
      </c>
      <c r="G631" s="2">
        <v>118.6</v>
      </c>
      <c r="H631" s="2">
        <f>+F631-G631</f>
        <v>-7.8999999999999915</v>
      </c>
      <c r="I631" s="1">
        <f>+(F631^14)/((F631^14+G631^14))</f>
        <v>0.27586683135290885</v>
      </c>
      <c r="J631" s="2">
        <v>110.5</v>
      </c>
      <c r="K631" s="2">
        <v>118.6</v>
      </c>
      <c r="L631" s="2">
        <f>+J631-K631</f>
        <v>-8.0999999999999943</v>
      </c>
      <c r="M631" s="1">
        <f>+E631-I631</f>
        <v>-7.5741484260795633E-3</v>
      </c>
      <c r="N631" s="2">
        <v>91.4</v>
      </c>
      <c r="O631" s="2">
        <v>101</v>
      </c>
      <c r="P631" s="2">
        <f>+N631-O631</f>
        <v>-9.5999999999999943</v>
      </c>
      <c r="Q631">
        <v>-1.9</v>
      </c>
    </row>
    <row r="632" spans="1:17">
      <c r="A632" t="s">
        <v>58</v>
      </c>
      <c r="B632" t="s">
        <v>25</v>
      </c>
      <c r="C632">
        <v>21</v>
      </c>
      <c r="D632">
        <v>61</v>
      </c>
      <c r="E632" s="1">
        <f>+C632/(C632+D632)</f>
        <v>0.25609756097560976</v>
      </c>
      <c r="F632" s="2">
        <v>103.9</v>
      </c>
      <c r="G632" s="2">
        <v>113.3</v>
      </c>
      <c r="H632" s="2">
        <f>+F632-G632</f>
        <v>-9.3999999999999915</v>
      </c>
      <c r="I632" s="1">
        <f>+(F632^14)/((F632^14+G632^14))</f>
        <v>0.22925126807249627</v>
      </c>
      <c r="J632" s="2">
        <v>102.8</v>
      </c>
      <c r="K632" s="2">
        <v>111.7</v>
      </c>
      <c r="L632" s="2">
        <f>+J632-K632</f>
        <v>-8.9000000000000057</v>
      </c>
      <c r="M632" s="1">
        <f>+E632-I632</f>
        <v>2.6846292903113494E-2</v>
      </c>
      <c r="N632" s="2">
        <v>95.3</v>
      </c>
      <c r="O632" s="2">
        <v>104.9</v>
      </c>
      <c r="P632" s="2">
        <f>+N632-O632</f>
        <v>-9.6000000000000085</v>
      </c>
      <c r="Q632">
        <v>-0.4</v>
      </c>
    </row>
    <row r="633" spans="1:17">
      <c r="A633" t="s">
        <v>54</v>
      </c>
      <c r="B633" t="s">
        <v>7</v>
      </c>
      <c r="C633">
        <v>33</v>
      </c>
      <c r="D633">
        <v>49</v>
      </c>
      <c r="E633" s="1">
        <f>+C633/(C633+D633)</f>
        <v>0.40243902439024393</v>
      </c>
      <c r="F633" s="2">
        <v>94.2</v>
      </c>
      <c r="G633" s="2">
        <v>97.3</v>
      </c>
      <c r="H633" s="2">
        <f>+F633-G633</f>
        <v>-3.0999999999999943</v>
      </c>
      <c r="I633" s="1">
        <f>+(F633^14)/((F633^14+G633^14))</f>
        <v>0.38857566297444734</v>
      </c>
      <c r="J633" s="2">
        <v>99.6</v>
      </c>
      <c r="K633" s="2">
        <v>103</v>
      </c>
      <c r="L633" s="2">
        <f>+J633-K633</f>
        <v>-3.4000000000000057</v>
      </c>
      <c r="M633" s="1">
        <f>+E633-I633</f>
        <v>1.3863361415796582E-2</v>
      </c>
      <c r="N633" s="2">
        <v>89.8</v>
      </c>
      <c r="O633" s="2">
        <v>99.4</v>
      </c>
      <c r="P633" s="2">
        <f>+N633-O633</f>
        <v>-9.6000000000000085</v>
      </c>
      <c r="Q633">
        <v>-1.2</v>
      </c>
    </row>
    <row r="634" spans="1:17">
      <c r="A634" t="s">
        <v>65</v>
      </c>
      <c r="B634" t="s">
        <v>12</v>
      </c>
      <c r="C634">
        <v>44</v>
      </c>
      <c r="D634">
        <v>38</v>
      </c>
      <c r="E634" s="1">
        <f>+C634/(C634+D634)</f>
        <v>0.53658536585365857</v>
      </c>
      <c r="F634" s="2">
        <v>115.5</v>
      </c>
      <c r="G634" s="2">
        <v>113.6</v>
      </c>
      <c r="H634" s="2">
        <f>+F634-G634</f>
        <v>1.9000000000000057</v>
      </c>
      <c r="I634" s="1">
        <f>+(F634^14)/((F634^14+G634^14))</f>
        <v>0.55779509756392176</v>
      </c>
      <c r="J634" s="2">
        <v>114.6</v>
      </c>
      <c r="K634" s="2">
        <v>112.5</v>
      </c>
      <c r="L634" s="2">
        <f>+J634-K634</f>
        <v>2.0999999999999943</v>
      </c>
      <c r="M634" s="1">
        <f>+E634-I634</f>
        <v>-2.1209731710263191E-2</v>
      </c>
      <c r="N634" s="2">
        <v>107.4</v>
      </c>
      <c r="O634" s="2">
        <v>117.1</v>
      </c>
      <c r="P634" s="2">
        <f>+N634-O634</f>
        <v>-9.6999999999999886</v>
      </c>
      <c r="Q634">
        <v>0.3</v>
      </c>
    </row>
    <row r="635" spans="1:17">
      <c r="A635" t="s">
        <v>4</v>
      </c>
      <c r="B635" t="s">
        <v>12</v>
      </c>
      <c r="C635">
        <v>32</v>
      </c>
      <c r="D635">
        <v>50</v>
      </c>
      <c r="E635" s="1">
        <f>+C635/(C635+D635)</f>
        <v>0.3902439024390244</v>
      </c>
      <c r="F635" s="2">
        <v>95.6</v>
      </c>
      <c r="G635" s="2">
        <v>97.3</v>
      </c>
      <c r="H635" s="2">
        <f>+F635-G635</f>
        <v>-1.7000000000000028</v>
      </c>
      <c r="I635" s="1">
        <f>+(F635^14)/((F635^14+G635^14))</f>
        <v>0.43861956554908621</v>
      </c>
      <c r="J635" s="2">
        <v>98.5</v>
      </c>
      <c r="K635" s="2">
        <v>100.3</v>
      </c>
      <c r="L635" s="2">
        <f>+J635-K635</f>
        <v>-1.7999999999999972</v>
      </c>
      <c r="M635" s="1">
        <f>+E635-I635</f>
        <v>-4.8375663110061806E-2</v>
      </c>
      <c r="N635" s="2">
        <v>91.8</v>
      </c>
      <c r="O635" s="2">
        <v>101.5</v>
      </c>
      <c r="P635" s="2">
        <f>+N635-O635</f>
        <v>-9.7000000000000028</v>
      </c>
      <c r="Q635">
        <v>-0.7</v>
      </c>
    </row>
    <row r="636" spans="1:17">
      <c r="A636" t="s">
        <v>57</v>
      </c>
      <c r="B636" t="s">
        <v>20</v>
      </c>
      <c r="C636">
        <v>31</v>
      </c>
      <c r="D636">
        <v>51</v>
      </c>
      <c r="E636" s="1">
        <f>+C636/(C636+D636)</f>
        <v>0.37804878048780488</v>
      </c>
      <c r="F636" s="2">
        <v>105.6</v>
      </c>
      <c r="G636" s="2">
        <v>106.7</v>
      </c>
      <c r="H636" s="2">
        <f>+F636-G636</f>
        <v>-1.1000000000000085</v>
      </c>
      <c r="I636" s="1">
        <f>+(F636^14)/((F636^14+G636^14))</f>
        <v>0.46379372867246205</v>
      </c>
      <c r="J636" s="2">
        <v>110</v>
      </c>
      <c r="K636" s="2">
        <v>110.9</v>
      </c>
      <c r="L636" s="2">
        <f>+J636-K636</f>
        <v>-0.90000000000000568</v>
      </c>
      <c r="M636" s="1">
        <f>+E636-I636</f>
        <v>-8.5744948184657166E-2</v>
      </c>
      <c r="N636" s="2">
        <v>95</v>
      </c>
      <c r="O636" s="2">
        <v>104.7</v>
      </c>
      <c r="P636" s="2">
        <f>+N636-O636</f>
        <v>-9.7000000000000028</v>
      </c>
      <c r="Q636">
        <v>-1.1000000000000001</v>
      </c>
    </row>
    <row r="637" spans="1:17">
      <c r="A637" t="s">
        <v>66</v>
      </c>
      <c r="B637" t="s">
        <v>10</v>
      </c>
      <c r="C637">
        <v>21</v>
      </c>
      <c r="D637">
        <v>42</v>
      </c>
      <c r="E637" s="1">
        <f>+C637/(C637+D637)</f>
        <v>0.33333333333333331</v>
      </c>
      <c r="F637" s="2">
        <v>113.3</v>
      </c>
      <c r="G637" s="2">
        <v>117.7</v>
      </c>
      <c r="H637" s="2">
        <f>+F637-G637</f>
        <v>-4.4000000000000057</v>
      </c>
      <c r="I637" s="1">
        <f>+(F637^14)/((F637^14+G637^14))</f>
        <v>0.36972474338344835</v>
      </c>
      <c r="J637" s="2">
        <v>109.8</v>
      </c>
      <c r="K637" s="2">
        <v>114</v>
      </c>
      <c r="L637" s="2">
        <f>+J637-K637</f>
        <v>-4.2000000000000028</v>
      </c>
      <c r="M637" s="1">
        <f>+E637-I637</f>
        <v>-3.6391410050115036E-2</v>
      </c>
      <c r="N637" s="2">
        <v>103.6</v>
      </c>
      <c r="O637" s="2">
        <v>113.4</v>
      </c>
      <c r="P637" s="2">
        <f>+N637-O637</f>
        <v>-9.8000000000000114</v>
      </c>
      <c r="Q637">
        <v>-0.3</v>
      </c>
    </row>
    <row r="638" spans="1:17">
      <c r="A638" t="s">
        <v>62</v>
      </c>
      <c r="B638" t="s">
        <v>14</v>
      </c>
      <c r="C638">
        <v>20</v>
      </c>
      <c r="D638">
        <v>62</v>
      </c>
      <c r="E638" s="1">
        <f>+C638/(C638+D638)</f>
        <v>0.24390243902439024</v>
      </c>
      <c r="F638" s="2">
        <v>109.7</v>
      </c>
      <c r="G638" s="2">
        <v>118.2</v>
      </c>
      <c r="H638" s="2">
        <f>+F638-G638</f>
        <v>-8.5</v>
      </c>
      <c r="I638" s="1">
        <f>+(F638^14)/((F638^14+G638^14))</f>
        <v>0.2602244449686712</v>
      </c>
      <c r="J638" s="2">
        <v>108.1</v>
      </c>
      <c r="K638" s="2">
        <v>116.4</v>
      </c>
      <c r="L638" s="2">
        <f>+J638-K638</f>
        <v>-8.3000000000000114</v>
      </c>
      <c r="M638" s="1">
        <f>+E638-I638</f>
        <v>-1.632200594428096E-2</v>
      </c>
      <c r="N638" s="2">
        <v>100.4</v>
      </c>
      <c r="O638" s="2">
        <v>110.3</v>
      </c>
      <c r="P638" s="2">
        <f>+N638-O638</f>
        <v>-9.8999999999999915</v>
      </c>
      <c r="Q638">
        <v>-0.4</v>
      </c>
    </row>
    <row r="639" spans="1:17">
      <c r="A639" t="s">
        <v>63</v>
      </c>
      <c r="B639" t="s">
        <v>22</v>
      </c>
      <c r="C639">
        <v>47</v>
      </c>
      <c r="D639">
        <v>35</v>
      </c>
      <c r="E639" s="1">
        <f>+C639/(C639+D639)</f>
        <v>0.57317073170731703</v>
      </c>
      <c r="F639" s="2">
        <v>116</v>
      </c>
      <c r="G639" s="2">
        <v>113.1</v>
      </c>
      <c r="H639" s="2">
        <f>+F639-G639</f>
        <v>2.9000000000000057</v>
      </c>
      <c r="I639" s="1">
        <f>+(F639^14)/((F639^14+G639^14))</f>
        <v>0.58769610800156147</v>
      </c>
      <c r="J639" s="2">
        <v>117</v>
      </c>
      <c r="K639" s="2">
        <v>114.2</v>
      </c>
      <c r="L639" s="2">
        <f>+J639-K639</f>
        <v>2.7999999999999972</v>
      </c>
      <c r="M639" s="1">
        <f>+E639-I639</f>
        <v>-1.4525376294244441E-2</v>
      </c>
      <c r="N639" s="2">
        <v>109.1</v>
      </c>
      <c r="O639" s="2">
        <v>119</v>
      </c>
      <c r="P639" s="2">
        <f>+N639-O639</f>
        <v>-9.9000000000000057</v>
      </c>
      <c r="Q639">
        <v>0</v>
      </c>
    </row>
    <row r="640" spans="1:17">
      <c r="A640" t="s">
        <v>58</v>
      </c>
      <c r="B640" t="s">
        <v>51</v>
      </c>
      <c r="C640">
        <v>28</v>
      </c>
      <c r="D640">
        <v>54</v>
      </c>
      <c r="E640" s="1">
        <f>+C640/(C640+D640)</f>
        <v>0.34146341463414637</v>
      </c>
      <c r="F640" s="2">
        <v>106.6</v>
      </c>
      <c r="G640" s="2">
        <v>110.3</v>
      </c>
      <c r="H640" s="2">
        <f>+F640-G640</f>
        <v>-3.7000000000000028</v>
      </c>
      <c r="I640" s="1">
        <f>+(F640^14)/((F640^14+G640^14))</f>
        <v>0.38279873776476753</v>
      </c>
      <c r="J640" s="2">
        <v>106.1</v>
      </c>
      <c r="K640" s="2">
        <v>109.7</v>
      </c>
      <c r="L640" s="2">
        <f>+J640-K640</f>
        <v>-3.6000000000000085</v>
      </c>
      <c r="M640" s="1">
        <f>+E640-I640</f>
        <v>-4.133532313062116E-2</v>
      </c>
      <c r="N640" s="2">
        <v>98.5</v>
      </c>
      <c r="O640" s="2">
        <v>108.4</v>
      </c>
      <c r="P640" s="2">
        <f>+N640-O640</f>
        <v>-9.9000000000000057</v>
      </c>
      <c r="Q640">
        <v>-0.7</v>
      </c>
    </row>
    <row r="641" spans="1:17">
      <c r="A641" t="s">
        <v>54</v>
      </c>
      <c r="B641" t="s">
        <v>12</v>
      </c>
      <c r="C641">
        <v>32</v>
      </c>
      <c r="D641">
        <v>50</v>
      </c>
      <c r="E641" s="1">
        <f>+C641/(C641+D641)</f>
        <v>0.3902439024390244</v>
      </c>
      <c r="F641" s="2">
        <v>98.5</v>
      </c>
      <c r="G641" s="2">
        <v>99.5</v>
      </c>
      <c r="H641" s="2">
        <f>+F641-G641</f>
        <v>-1</v>
      </c>
      <c r="I641" s="1">
        <f>+(F641^14)/((F641^14+G641^14))</f>
        <v>0.46470496450899657</v>
      </c>
      <c r="J641" s="2">
        <v>104.3</v>
      </c>
      <c r="K641" s="2">
        <v>105.4</v>
      </c>
      <c r="L641" s="2">
        <f>+J641-K641</f>
        <v>-1.1000000000000085</v>
      </c>
      <c r="M641" s="1">
        <f>+E641-I641</f>
        <v>-7.4461062069972161E-2</v>
      </c>
      <c r="N641" s="2">
        <v>90.2</v>
      </c>
      <c r="O641" s="2">
        <v>100.3</v>
      </c>
      <c r="P641" s="2">
        <f>+N641-O641</f>
        <v>-10.099999999999994</v>
      </c>
      <c r="Q641">
        <v>0</v>
      </c>
    </row>
    <row r="642" spans="1:17">
      <c r="A642" t="s">
        <v>34</v>
      </c>
      <c r="B642" t="s">
        <v>14</v>
      </c>
      <c r="C642">
        <v>28</v>
      </c>
      <c r="D642">
        <v>54</v>
      </c>
      <c r="E642" s="1">
        <f>+C642/(C642+D642)</f>
        <v>0.34146341463414637</v>
      </c>
      <c r="F642" s="2">
        <v>92.3</v>
      </c>
      <c r="G642" s="2">
        <v>97.2</v>
      </c>
      <c r="H642" s="2">
        <f>+F642-G642</f>
        <v>-4.9000000000000057</v>
      </c>
      <c r="I642" s="1">
        <f>+(F642^14)/((F642^14+G642^14))</f>
        <v>0.3264749470449273</v>
      </c>
      <c r="J642" s="2">
        <v>101.6</v>
      </c>
      <c r="K642" s="2">
        <v>106.9</v>
      </c>
      <c r="L642" s="2">
        <f>+J642-K642</f>
        <v>-5.3000000000000114</v>
      </c>
      <c r="M642" s="1">
        <f>+E642-I642</f>
        <v>1.4988467589219068E-2</v>
      </c>
      <c r="N642" s="2">
        <v>96.6</v>
      </c>
      <c r="O642" s="2">
        <v>106.7</v>
      </c>
      <c r="P642" s="2">
        <f>+N642-O642</f>
        <v>-10.100000000000009</v>
      </c>
      <c r="Q642">
        <v>-1</v>
      </c>
    </row>
    <row r="643" spans="1:17">
      <c r="A643" t="s">
        <v>41</v>
      </c>
      <c r="B643" t="s">
        <v>15</v>
      </c>
      <c r="C643">
        <v>41</v>
      </c>
      <c r="D643">
        <v>41</v>
      </c>
      <c r="E643" s="1">
        <f>+C643/(C643+D643)</f>
        <v>0.5</v>
      </c>
      <c r="F643" s="2">
        <v>93.9</v>
      </c>
      <c r="G643" s="2">
        <v>92</v>
      </c>
      <c r="H643" s="2">
        <f>+F643-G643</f>
        <v>1.9000000000000057</v>
      </c>
      <c r="I643" s="1">
        <f>+(F643^14)/((F643^14+G643^14))</f>
        <v>0.57106198271976594</v>
      </c>
      <c r="J643" s="2">
        <v>103.1</v>
      </c>
      <c r="K643" s="2">
        <v>101</v>
      </c>
      <c r="L643" s="2">
        <f>+J643-K643</f>
        <v>2.0999999999999943</v>
      </c>
      <c r="M643" s="1">
        <f>+E643-I643</f>
        <v>-7.1061982719765937E-2</v>
      </c>
      <c r="N643" s="2">
        <v>91.4</v>
      </c>
      <c r="O643" s="2">
        <v>101.6</v>
      </c>
      <c r="P643" s="2">
        <f>+N643-O643</f>
        <v>-10.199999999999989</v>
      </c>
      <c r="Q643">
        <v>-0.2</v>
      </c>
    </row>
    <row r="644" spans="1:17">
      <c r="A644" t="s">
        <v>48</v>
      </c>
      <c r="B644" t="s">
        <v>24</v>
      </c>
      <c r="C644">
        <v>41</v>
      </c>
      <c r="D644">
        <v>41</v>
      </c>
      <c r="E644" s="1">
        <f>+C644/(C644+D644)</f>
        <v>0.5</v>
      </c>
      <c r="F644" s="2">
        <v>99</v>
      </c>
      <c r="G644" s="2">
        <v>97.5</v>
      </c>
      <c r="H644" s="2">
        <f>+F644-G644</f>
        <v>1.5</v>
      </c>
      <c r="I644" s="1">
        <f>+(F644^14)/((F644^14+G644^14))</f>
        <v>0.55323363393409675</v>
      </c>
      <c r="J644" s="2">
        <v>105.3</v>
      </c>
      <c r="K644" s="2">
        <v>103.8</v>
      </c>
      <c r="L644" s="2">
        <f>+J644-K644</f>
        <v>1.5</v>
      </c>
      <c r="M644" s="1">
        <f>+E644-I644</f>
        <v>-5.3233633934096747E-2</v>
      </c>
      <c r="N644" s="2">
        <v>97.2</v>
      </c>
      <c r="O644" s="2">
        <v>107.6</v>
      </c>
      <c r="P644" s="2">
        <f>+N644-O644</f>
        <v>-10.399999999999991</v>
      </c>
      <c r="Q644">
        <v>0.3</v>
      </c>
    </row>
    <row r="645" spans="1:17">
      <c r="A645" t="s">
        <v>62</v>
      </c>
      <c r="B645" t="s">
        <v>28</v>
      </c>
      <c r="C645">
        <v>34</v>
      </c>
      <c r="D645">
        <v>48</v>
      </c>
      <c r="E645" s="1">
        <f>+C645/(C645+D645)</f>
        <v>0.41463414634146339</v>
      </c>
      <c r="F645" s="2">
        <v>113.2</v>
      </c>
      <c r="G645" s="2">
        <v>113</v>
      </c>
      <c r="H645" s="2">
        <f>+F645-G645</f>
        <v>0.20000000000000284</v>
      </c>
      <c r="I645" s="1">
        <f>+(F645^14)/((F645^14+G645^14))</f>
        <v>0.50618889860276861</v>
      </c>
      <c r="J645" s="2">
        <v>111.9</v>
      </c>
      <c r="K645" s="2">
        <v>111.7</v>
      </c>
      <c r="L645" s="2">
        <f>+J645-K645</f>
        <v>0.20000000000000284</v>
      </c>
      <c r="M645" s="1">
        <f>+E645-I645</f>
        <v>-9.1554752261305217E-2</v>
      </c>
      <c r="N645" s="2">
        <v>93.4</v>
      </c>
      <c r="O645" s="2">
        <v>103.8</v>
      </c>
      <c r="P645" s="2">
        <f>+N645-O645</f>
        <v>-10.399999999999991</v>
      </c>
      <c r="Q645">
        <v>0.7</v>
      </c>
    </row>
    <row r="646" spans="1:17">
      <c r="A646" t="s">
        <v>45</v>
      </c>
      <c r="B646" t="s">
        <v>14</v>
      </c>
      <c r="C646">
        <v>53</v>
      </c>
      <c r="D646">
        <v>29</v>
      </c>
      <c r="E646" s="1">
        <f>+C646/(C646+D646)</f>
        <v>0.64634146341463417</v>
      </c>
      <c r="F646" s="2">
        <v>98.4</v>
      </c>
      <c r="G646" s="2">
        <v>94.4</v>
      </c>
      <c r="H646" s="2">
        <f>+F646-G646</f>
        <v>4</v>
      </c>
      <c r="I646" s="1">
        <f>+(F646^14)/((F646^14+G646^14))</f>
        <v>0.64129660723482429</v>
      </c>
      <c r="J646" s="2">
        <v>107.1</v>
      </c>
      <c r="K646" s="2">
        <v>102.9</v>
      </c>
      <c r="L646" s="2">
        <f>+J646-K646</f>
        <v>4.1999999999999886</v>
      </c>
      <c r="M646" s="1">
        <f>+E646-I646</f>
        <v>5.0448561798098757E-3</v>
      </c>
      <c r="N646" s="2">
        <v>93.3</v>
      </c>
      <c r="O646" s="2">
        <v>103.8</v>
      </c>
      <c r="P646" s="2">
        <f>+N646-O646</f>
        <v>-10.5</v>
      </c>
      <c r="Q646">
        <v>-0.6</v>
      </c>
    </row>
    <row r="647" spans="1:17">
      <c r="A647" t="s">
        <v>54</v>
      </c>
      <c r="B647" t="s">
        <v>51</v>
      </c>
      <c r="C647">
        <v>38</v>
      </c>
      <c r="D647">
        <v>44</v>
      </c>
      <c r="E647" s="1">
        <f>+C647/(C647+D647)</f>
        <v>0.46341463414634149</v>
      </c>
      <c r="F647" s="2">
        <v>98</v>
      </c>
      <c r="G647" s="2">
        <v>100.9</v>
      </c>
      <c r="H647" s="2">
        <f>+F647-G647</f>
        <v>-2.9000000000000057</v>
      </c>
      <c r="I647" s="1">
        <f>+(F647^14)/((F647^14+G647^14))</f>
        <v>0.3993259881358221</v>
      </c>
      <c r="J647" s="2">
        <v>103.4</v>
      </c>
      <c r="K647" s="2">
        <v>106.3</v>
      </c>
      <c r="L647" s="2">
        <f>+J647-K647</f>
        <v>-2.8999999999999915</v>
      </c>
      <c r="M647" s="1">
        <f>+E647-I647</f>
        <v>6.408864601051939E-2</v>
      </c>
      <c r="N647" s="2">
        <v>91.9</v>
      </c>
      <c r="O647" s="2">
        <v>102.5</v>
      </c>
      <c r="P647" s="2">
        <f>+N647-O647</f>
        <v>-10.599999999999994</v>
      </c>
      <c r="Q647">
        <v>-0.2</v>
      </c>
    </row>
    <row r="648" spans="1:17">
      <c r="A648" t="s">
        <v>59</v>
      </c>
      <c r="B648" t="s">
        <v>53</v>
      </c>
      <c r="C648">
        <v>33</v>
      </c>
      <c r="D648">
        <v>49</v>
      </c>
      <c r="E648" s="1">
        <f>+C648/(C648+D648)</f>
        <v>0.40243902439024393</v>
      </c>
      <c r="F648" s="2">
        <v>115.4</v>
      </c>
      <c r="G648" s="2">
        <v>116.8</v>
      </c>
      <c r="H648" s="2">
        <f>+F648-G648</f>
        <v>-1.3999999999999915</v>
      </c>
      <c r="I648" s="1">
        <f>+(F648^14)/((F648^14+G648^14))</f>
        <v>0.45789444917000782</v>
      </c>
      <c r="J648" s="2">
        <v>110.7</v>
      </c>
      <c r="K648" s="2">
        <v>112</v>
      </c>
      <c r="L648" s="2">
        <f>+J648-K648</f>
        <v>-1.2999999999999972</v>
      </c>
      <c r="M648" s="1">
        <f>+E648-I648</f>
        <v>-5.5455424779763896E-2</v>
      </c>
      <c r="N648" s="2">
        <v>99.4</v>
      </c>
      <c r="O648" s="2">
        <v>110</v>
      </c>
      <c r="P648" s="2">
        <f>+N648-O648</f>
        <v>-10.599999999999994</v>
      </c>
      <c r="Q648">
        <v>0.8</v>
      </c>
    </row>
    <row r="649" spans="1:17">
      <c r="A649" t="s">
        <v>34</v>
      </c>
      <c r="B649" t="s">
        <v>22</v>
      </c>
      <c r="C649">
        <v>30</v>
      </c>
      <c r="D649">
        <v>52</v>
      </c>
      <c r="E649" s="1">
        <f>+C649/(C649+D649)</f>
        <v>0.36585365853658536</v>
      </c>
      <c r="F649" s="2">
        <v>91.6</v>
      </c>
      <c r="G649" s="2">
        <v>95.6</v>
      </c>
      <c r="H649" s="2">
        <f>+F649-G649</f>
        <v>-4</v>
      </c>
      <c r="I649" s="1">
        <f>+(F649^14)/((F649^14+G649^14))</f>
        <v>0.35471402772199295</v>
      </c>
      <c r="J649" s="2">
        <v>100.4</v>
      </c>
      <c r="K649" s="2">
        <v>104.6</v>
      </c>
      <c r="L649" s="2">
        <f>+J649-K649</f>
        <v>-4.1999999999999886</v>
      </c>
      <c r="M649" s="1">
        <f>+E649-I649</f>
        <v>1.1139630814592405E-2</v>
      </c>
      <c r="N649" s="2">
        <v>89.8</v>
      </c>
      <c r="O649" s="2">
        <v>100.5</v>
      </c>
      <c r="P649" s="2">
        <f>+N649-O649</f>
        <v>-10.700000000000003</v>
      </c>
      <c r="Q649">
        <v>-1.2</v>
      </c>
    </row>
    <row r="650" spans="1:17">
      <c r="A650" t="s">
        <v>4</v>
      </c>
      <c r="B650" t="s">
        <v>23</v>
      </c>
      <c r="C650">
        <v>43</v>
      </c>
      <c r="D650">
        <v>39</v>
      </c>
      <c r="E650" s="1">
        <f>+C650/(C650+D650)</f>
        <v>0.52439024390243905</v>
      </c>
      <c r="F650" s="2">
        <v>97.5</v>
      </c>
      <c r="G650" s="2">
        <v>96.5</v>
      </c>
      <c r="H650" s="2">
        <f>+F650-G650</f>
        <v>1</v>
      </c>
      <c r="I650" s="1">
        <f>+(F650^14)/((F650^14+G650^14))</f>
        <v>0.5360202858252715</v>
      </c>
      <c r="J650" s="2">
        <v>102.1</v>
      </c>
      <c r="K650" s="2">
        <v>101.1</v>
      </c>
      <c r="L650" s="2">
        <f>+J650-K650</f>
        <v>1</v>
      </c>
      <c r="M650" s="1">
        <f>+E650-I650</f>
        <v>-1.1630041922832457E-2</v>
      </c>
      <c r="N650" s="2">
        <v>93.5</v>
      </c>
      <c r="O650" s="2">
        <v>104.3</v>
      </c>
      <c r="P650" s="2">
        <f>+N650-O650</f>
        <v>-10.799999999999997</v>
      </c>
      <c r="Q650">
        <v>-0.6</v>
      </c>
    </row>
    <row r="651" spans="1:17">
      <c r="A651" t="s">
        <v>44</v>
      </c>
      <c r="B651" t="s">
        <v>35</v>
      </c>
      <c r="C651">
        <v>22</v>
      </c>
      <c r="D651">
        <v>60</v>
      </c>
      <c r="E651" s="1">
        <f>+C651/(C651+D651)</f>
        <v>0.26829268292682928</v>
      </c>
      <c r="F651" s="2">
        <v>100.7</v>
      </c>
      <c r="G651" s="2">
        <v>106.9</v>
      </c>
      <c r="H651" s="2">
        <f>+F651-G651</f>
        <v>-6.2000000000000028</v>
      </c>
      <c r="I651" s="1">
        <f>+(F651^14)/((F651^14+G651^14))</f>
        <v>0.30227828737765194</v>
      </c>
      <c r="J651" s="2">
        <v>103.9</v>
      </c>
      <c r="K651" s="2">
        <v>110.2</v>
      </c>
      <c r="L651" s="2">
        <f>+J651-K651</f>
        <v>-6.2999999999999972</v>
      </c>
      <c r="M651" s="1">
        <f>+E651-I651</f>
        <v>-3.398560445082266E-2</v>
      </c>
      <c r="N651" s="2">
        <v>105.8</v>
      </c>
      <c r="O651" s="2">
        <v>116.6</v>
      </c>
      <c r="P651" s="2">
        <f>+N651-O651</f>
        <v>-10.799999999999997</v>
      </c>
      <c r="Q651">
        <v>0</v>
      </c>
    </row>
    <row r="652" spans="1:17">
      <c r="A652" t="s">
        <v>57</v>
      </c>
      <c r="B652" t="s">
        <v>18</v>
      </c>
      <c r="C652">
        <v>41</v>
      </c>
      <c r="D652">
        <v>41</v>
      </c>
      <c r="E652" s="1">
        <f>+C652/(C652+D652)</f>
        <v>0.5</v>
      </c>
      <c r="F652" s="2">
        <v>103.2</v>
      </c>
      <c r="G652" s="2">
        <v>102.1</v>
      </c>
      <c r="H652" s="2">
        <f>+F652-G652</f>
        <v>1.1000000000000085</v>
      </c>
      <c r="I652" s="1">
        <f>+(F652^14)/((F652^14+G652^14))</f>
        <v>0.53743625677450491</v>
      </c>
      <c r="J652" s="2">
        <v>107.4</v>
      </c>
      <c r="K652" s="2">
        <v>106.4</v>
      </c>
      <c r="L652" s="2">
        <f>+J652-K652</f>
        <v>1</v>
      </c>
      <c r="M652" s="1">
        <f>+E652-I652</f>
        <v>-3.7436256774504906E-2</v>
      </c>
      <c r="N652" s="2">
        <v>96.4</v>
      </c>
      <c r="O652" s="2">
        <v>107.3</v>
      </c>
      <c r="P652" s="2">
        <f>+N652-O652</f>
        <v>-10.899999999999991</v>
      </c>
      <c r="Q652">
        <v>1</v>
      </c>
    </row>
    <row r="653" spans="1:17">
      <c r="A653" t="s">
        <v>44</v>
      </c>
      <c r="B653" t="s">
        <v>5</v>
      </c>
      <c r="C653">
        <v>37</v>
      </c>
      <c r="D653">
        <v>45</v>
      </c>
      <c r="E653" s="1">
        <f>+C653/(C653+D653)</f>
        <v>0.45121951219512196</v>
      </c>
      <c r="F653" s="2">
        <v>98.2</v>
      </c>
      <c r="G653" s="2">
        <v>100</v>
      </c>
      <c r="H653" s="2">
        <f>+F653-G653</f>
        <v>-1.7999999999999972</v>
      </c>
      <c r="I653" s="1">
        <f>+(F653^14)/((F653^14+G653^14))</f>
        <v>0.43676649224387093</v>
      </c>
      <c r="J653" s="2">
        <v>105.5</v>
      </c>
      <c r="K653" s="2">
        <v>107.3</v>
      </c>
      <c r="L653" s="2">
        <f>+J653-K653</f>
        <v>-1.7999999999999972</v>
      </c>
      <c r="M653" s="1">
        <f>+E653-I653</f>
        <v>1.4453019951251034E-2</v>
      </c>
      <c r="N653" s="2">
        <v>100.3</v>
      </c>
      <c r="O653" s="2">
        <v>111.2</v>
      </c>
      <c r="P653" s="2">
        <f>+N653-O653</f>
        <v>-10.900000000000006</v>
      </c>
      <c r="Q653">
        <v>-0.1</v>
      </c>
    </row>
    <row r="654" spans="1:17">
      <c r="A654" t="s">
        <v>61</v>
      </c>
      <c r="B654" t="s">
        <v>6</v>
      </c>
      <c r="C654">
        <v>36</v>
      </c>
      <c r="D654">
        <v>36</v>
      </c>
      <c r="E654" s="1">
        <f>+C654/(C654+D654)</f>
        <v>0.5</v>
      </c>
      <c r="F654" s="2">
        <v>112.6</v>
      </c>
      <c r="G654" s="2">
        <v>111.2</v>
      </c>
      <c r="H654" s="2">
        <f>+F654-G654</f>
        <v>1.3999999999999915</v>
      </c>
      <c r="I654" s="1">
        <f>+(F654^14)/((F654^14+G654^14))</f>
        <v>0.54367805340698128</v>
      </c>
      <c r="J654" s="2">
        <v>113.1</v>
      </c>
      <c r="K654" s="2">
        <v>111.8</v>
      </c>
      <c r="L654" s="2">
        <f>+J654-K654</f>
        <v>1.2999999999999972</v>
      </c>
      <c r="M654" s="1">
        <f>+E654-I654</f>
        <v>-4.3678053406981276E-2</v>
      </c>
      <c r="N654" s="2">
        <v>101.5</v>
      </c>
      <c r="O654" s="2">
        <v>112.4</v>
      </c>
      <c r="P654" s="2">
        <f>+N654-O654</f>
        <v>-10.900000000000006</v>
      </c>
      <c r="Q654">
        <v>0.5</v>
      </c>
    </row>
    <row r="655" spans="1:17">
      <c r="A655" t="s">
        <v>57</v>
      </c>
      <c r="B655" t="s">
        <v>24</v>
      </c>
      <c r="C655">
        <v>28</v>
      </c>
      <c r="D655">
        <v>54</v>
      </c>
      <c r="E655" s="1">
        <f>+C655/(C655+D655)</f>
        <v>0.34146341463414637</v>
      </c>
      <c r="F655" s="2">
        <v>102.4</v>
      </c>
      <c r="G655" s="2">
        <v>108.1</v>
      </c>
      <c r="H655" s="2">
        <f>+F655-G655</f>
        <v>-5.6999999999999886</v>
      </c>
      <c r="I655" s="1">
        <f>+(F655^14)/((F655^14+G655^14))</f>
        <v>0.31899805241383661</v>
      </c>
      <c r="J655" s="2">
        <v>102.7</v>
      </c>
      <c r="K655" s="2">
        <v>108.2</v>
      </c>
      <c r="L655" s="2">
        <f>+J655-K655</f>
        <v>-5.5</v>
      </c>
      <c r="M655" s="1">
        <f>+E655-I655</f>
        <v>2.2465362220309759E-2</v>
      </c>
      <c r="N655" s="2">
        <v>98.1</v>
      </c>
      <c r="O655" s="2">
        <v>109.1</v>
      </c>
      <c r="P655" s="2">
        <f>+N655-O655</f>
        <v>-11</v>
      </c>
      <c r="Q655">
        <v>-1.4</v>
      </c>
    </row>
    <row r="656" spans="1:17">
      <c r="A656" t="s">
        <v>49</v>
      </c>
      <c r="B656" t="s">
        <v>19</v>
      </c>
      <c r="C656">
        <v>31</v>
      </c>
      <c r="D656">
        <v>35</v>
      </c>
      <c r="E656" s="1">
        <f>+C656/(C656+D656)</f>
        <v>0.46969696969696972</v>
      </c>
      <c r="F656" s="2">
        <v>99</v>
      </c>
      <c r="G656" s="2">
        <v>98.7</v>
      </c>
      <c r="H656" s="2">
        <f>+F656-G656</f>
        <v>0.29999999999999716</v>
      </c>
      <c r="I656" s="1">
        <f>+(F656^14)/((F656^14+G656^14))</f>
        <v>0.51062056521838828</v>
      </c>
      <c r="J656" s="2">
        <v>104.5</v>
      </c>
      <c r="K656" s="2">
        <v>104.1</v>
      </c>
      <c r="L656" s="2">
        <f>+J656-K656</f>
        <v>0.40000000000000568</v>
      </c>
      <c r="M656" s="1">
        <f>+E656-I656</f>
        <v>-4.0923595521418554E-2</v>
      </c>
      <c r="N656" s="2">
        <v>96.1</v>
      </c>
      <c r="O656" s="2">
        <v>107.1</v>
      </c>
      <c r="P656" s="2">
        <f>+N656-O656</f>
        <v>-11</v>
      </c>
      <c r="Q656">
        <v>1.1000000000000001</v>
      </c>
    </row>
    <row r="657" spans="1:17">
      <c r="A657" t="s">
        <v>60</v>
      </c>
      <c r="B657" t="s">
        <v>20</v>
      </c>
      <c r="C657">
        <v>19</v>
      </c>
      <c r="D657">
        <v>45</v>
      </c>
      <c r="E657" s="1">
        <f>+C657/(C657+D657)</f>
        <v>0.296875</v>
      </c>
      <c r="F657" s="2">
        <v>113.2</v>
      </c>
      <c r="G657" s="2">
        <v>117.5</v>
      </c>
      <c r="H657" s="2">
        <f>+F657-G657</f>
        <v>-4.2999999999999972</v>
      </c>
      <c r="I657" s="1">
        <f>+(F657^14)/((F657^14+G657^14))</f>
        <v>0.37239628997448704</v>
      </c>
      <c r="J657" s="2">
        <v>107.6</v>
      </c>
      <c r="K657" s="2">
        <v>111.6</v>
      </c>
      <c r="L657" s="2">
        <f>+J657-K657</f>
        <v>-4</v>
      </c>
      <c r="M657" s="1">
        <f>+E657-I657</f>
        <v>-7.5521289974487038E-2</v>
      </c>
      <c r="N657" s="2">
        <v>105.6</v>
      </c>
      <c r="O657" s="2">
        <v>116.6</v>
      </c>
      <c r="P657" s="2">
        <f>+N657-O657</f>
        <v>-11</v>
      </c>
      <c r="Q657">
        <v>-0.4</v>
      </c>
    </row>
    <row r="658" spans="1:17">
      <c r="A658" t="s">
        <v>57</v>
      </c>
      <c r="B658" t="s">
        <v>19</v>
      </c>
      <c r="C658">
        <v>42</v>
      </c>
      <c r="D658">
        <v>40</v>
      </c>
      <c r="E658" s="1">
        <f>+C658/(C658+D658)</f>
        <v>0.51219512195121952</v>
      </c>
      <c r="F658" s="2">
        <v>103.6</v>
      </c>
      <c r="G658" s="2">
        <v>103.8</v>
      </c>
      <c r="H658" s="2">
        <f>+F658-G658</f>
        <v>-0.20000000000000284</v>
      </c>
      <c r="I658" s="1">
        <f>+(F658^14)/((F658^14+G658^14))</f>
        <v>0.49325016690450357</v>
      </c>
      <c r="J658" s="2">
        <v>108.5</v>
      </c>
      <c r="K658" s="2">
        <v>108.7</v>
      </c>
      <c r="L658" s="2">
        <f>+J658-K658</f>
        <v>-0.20000000000000284</v>
      </c>
      <c r="M658" s="1">
        <f>+E658-I658</f>
        <v>1.894495504671595E-2</v>
      </c>
      <c r="N658" s="2">
        <v>88.9</v>
      </c>
      <c r="O658" s="2">
        <v>100</v>
      </c>
      <c r="P658" s="2">
        <f>+N658-O658</f>
        <v>-11.099999999999994</v>
      </c>
      <c r="Q658">
        <v>0.2</v>
      </c>
    </row>
    <row r="659" spans="1:17">
      <c r="A659" t="s">
        <v>55</v>
      </c>
      <c r="B659" t="s">
        <v>22</v>
      </c>
      <c r="C659">
        <v>32</v>
      </c>
      <c r="D659">
        <v>50</v>
      </c>
      <c r="E659" s="1">
        <f>+C659/(C659+D659)</f>
        <v>0.3902439024390244</v>
      </c>
      <c r="F659" s="2">
        <v>98.4</v>
      </c>
      <c r="G659" s="2">
        <v>101.1</v>
      </c>
      <c r="H659" s="2">
        <f>+F659-G659</f>
        <v>-2.6999999999999886</v>
      </c>
      <c r="I659" s="1">
        <f>+(F659^14)/((F659^14+G659^14))</f>
        <v>0.40637522210212157</v>
      </c>
      <c r="J659" s="2">
        <v>103.9</v>
      </c>
      <c r="K659" s="2">
        <v>106.7</v>
      </c>
      <c r="L659" s="2">
        <f>+J659-K659</f>
        <v>-2.7999999999999972</v>
      </c>
      <c r="M659" s="1">
        <f>+E659-I659</f>
        <v>-1.6131319663097166E-2</v>
      </c>
      <c r="N659" s="2">
        <v>100.9</v>
      </c>
      <c r="O659" s="2">
        <v>112</v>
      </c>
      <c r="P659" s="2">
        <f>+N659-O659</f>
        <v>-11.099999999999994</v>
      </c>
      <c r="Q659">
        <v>-2.2000000000000002</v>
      </c>
    </row>
    <row r="660" spans="1:17">
      <c r="A660" t="s">
        <v>39</v>
      </c>
      <c r="B660" t="s">
        <v>31</v>
      </c>
      <c r="C660">
        <v>26</v>
      </c>
      <c r="D660">
        <v>56</v>
      </c>
      <c r="E660" s="1">
        <f>+C660/(C660+D660)</f>
        <v>0.31707317073170732</v>
      </c>
      <c r="F660" s="2">
        <v>93</v>
      </c>
      <c r="G660" s="2">
        <v>97.3</v>
      </c>
      <c r="H660" s="2">
        <f>+F660-G660</f>
        <v>-4.2999999999999972</v>
      </c>
      <c r="I660" s="1">
        <f>+(F660^14)/((F660^14+G660^14))</f>
        <v>0.34687751612401035</v>
      </c>
      <c r="J660" s="2">
        <v>102.9</v>
      </c>
      <c r="K660" s="2">
        <v>107.3</v>
      </c>
      <c r="L660" s="2">
        <f>+J660-K660</f>
        <v>-4.3999999999999915</v>
      </c>
      <c r="M660" s="1">
        <f>+E660-I660</f>
        <v>-2.9804345392303033E-2</v>
      </c>
      <c r="N660" s="2">
        <v>98.8</v>
      </c>
      <c r="O660" s="2">
        <v>109.9</v>
      </c>
      <c r="P660" s="2">
        <f>+N660-O660</f>
        <v>-11.100000000000009</v>
      </c>
      <c r="Q660">
        <v>-1.2</v>
      </c>
    </row>
    <row r="661" spans="1:17">
      <c r="A661" t="s">
        <v>57</v>
      </c>
      <c r="B661" t="s">
        <v>27</v>
      </c>
      <c r="C661">
        <v>32</v>
      </c>
      <c r="D661">
        <v>50</v>
      </c>
      <c r="E661" s="1">
        <f>+C661/(C661+D661)</f>
        <v>0.3902439024390244</v>
      </c>
      <c r="F661" s="2">
        <v>102.8</v>
      </c>
      <c r="G661" s="2">
        <v>106.7</v>
      </c>
      <c r="H661" s="2">
        <f>+F661-G661</f>
        <v>-3.9000000000000057</v>
      </c>
      <c r="I661" s="1">
        <f>+(F661^14)/((F661^14+G661^14))</f>
        <v>0.37254800267996896</v>
      </c>
      <c r="J661" s="2">
        <v>106.6</v>
      </c>
      <c r="K661" s="2">
        <v>110.8</v>
      </c>
      <c r="L661" s="2">
        <f>+J661-K661</f>
        <v>-4.2000000000000028</v>
      </c>
      <c r="M661" s="1">
        <f>+E661-I661</f>
        <v>1.7695899759055445E-2</v>
      </c>
      <c r="N661" s="2">
        <v>97.7</v>
      </c>
      <c r="O661" s="2">
        <v>108.9</v>
      </c>
      <c r="P661" s="2">
        <f>+N661-O661</f>
        <v>-11.200000000000003</v>
      </c>
      <c r="Q661">
        <v>0.4</v>
      </c>
    </row>
    <row r="662" spans="1:17">
      <c r="A662" t="s">
        <v>45</v>
      </c>
      <c r="B662" t="s">
        <v>27</v>
      </c>
      <c r="C662">
        <v>17</v>
      </c>
      <c r="D662">
        <v>65</v>
      </c>
      <c r="E662" s="1">
        <f>+C662/(C662+D662)</f>
        <v>0.2073170731707317</v>
      </c>
      <c r="F662" s="2">
        <v>100.6</v>
      </c>
      <c r="G662" s="2">
        <v>109.3</v>
      </c>
      <c r="H662" s="2">
        <f>+F662-G662</f>
        <v>-8.7000000000000028</v>
      </c>
      <c r="I662" s="1">
        <f>+(F662^14)/((F662^14+G662^14))</f>
        <v>0.23844605223588522</v>
      </c>
      <c r="J662" s="2">
        <v>104.4</v>
      </c>
      <c r="K662" s="2">
        <v>113.4</v>
      </c>
      <c r="L662" s="2">
        <f>+J662-K662</f>
        <v>-9</v>
      </c>
      <c r="M662" s="1">
        <f>+E662-I662</f>
        <v>-3.1128979065153523E-2</v>
      </c>
      <c r="N662" s="2">
        <v>93.2</v>
      </c>
      <c r="O662" s="2">
        <v>104.6</v>
      </c>
      <c r="P662" s="2">
        <f>+N662-O662</f>
        <v>-11.399999999999991</v>
      </c>
      <c r="Q662">
        <v>-1.2</v>
      </c>
    </row>
    <row r="663" spans="1:17">
      <c r="A663" t="s">
        <v>65</v>
      </c>
      <c r="B663" t="s">
        <v>33</v>
      </c>
      <c r="C663">
        <v>18</v>
      </c>
      <c r="D663">
        <v>64</v>
      </c>
      <c r="E663" s="1">
        <f>+C663/(C663+D663)</f>
        <v>0.21951219512195122</v>
      </c>
      <c r="F663" s="2">
        <v>108</v>
      </c>
      <c r="G663" s="2">
        <v>120.4</v>
      </c>
      <c r="H663" s="2">
        <f>+F663-G663</f>
        <v>-12.400000000000006</v>
      </c>
      <c r="I663" s="1">
        <f>+(F663^14)/((F663^14+G663^14))</f>
        <v>0.17922069515019554</v>
      </c>
      <c r="J663" s="2">
        <v>105.8</v>
      </c>
      <c r="K663" s="2">
        <v>118</v>
      </c>
      <c r="L663" s="2">
        <f>+J663-K663</f>
        <v>-12.200000000000003</v>
      </c>
      <c r="M663" s="1">
        <f>+E663-I663</f>
        <v>4.0291499971755684E-2</v>
      </c>
      <c r="N663" s="2">
        <v>102.8</v>
      </c>
      <c r="O663" s="2">
        <v>114.2</v>
      </c>
      <c r="P663" s="2">
        <f>+N663-O663</f>
        <v>-11.400000000000006</v>
      </c>
      <c r="Q663">
        <v>-2</v>
      </c>
    </row>
    <row r="664" spans="1:17">
      <c r="A664" t="s">
        <v>41</v>
      </c>
      <c r="B664" t="s">
        <v>5</v>
      </c>
      <c r="C664">
        <v>26</v>
      </c>
      <c r="D664">
        <v>56</v>
      </c>
      <c r="E664" s="1">
        <f>+C664/(C664+D664)</f>
        <v>0.31707317073170732</v>
      </c>
      <c r="F664" s="2">
        <v>97.2</v>
      </c>
      <c r="G664" s="2">
        <v>102</v>
      </c>
      <c r="H664" s="2">
        <f>+F664-G664</f>
        <v>-4.7999999999999972</v>
      </c>
      <c r="I664" s="1">
        <f>+(F664^14)/((F664^14+G664^14))</f>
        <v>0.33741629653405997</v>
      </c>
      <c r="J664" s="2">
        <v>104.8</v>
      </c>
      <c r="K664" s="2">
        <v>110.1</v>
      </c>
      <c r="L664" s="2">
        <f>+J664-K664</f>
        <v>-5.2999999999999972</v>
      </c>
      <c r="M664" s="1">
        <f>+E664-I664</f>
        <v>-2.0343125802352646E-2</v>
      </c>
      <c r="N664" s="2">
        <v>96</v>
      </c>
      <c r="O664" s="2">
        <v>107.4</v>
      </c>
      <c r="P664" s="2">
        <f>+N664-O664</f>
        <v>-11.400000000000006</v>
      </c>
      <c r="Q664">
        <v>-0.4</v>
      </c>
    </row>
    <row r="665" spans="1:17">
      <c r="A665" t="s">
        <v>59</v>
      </c>
      <c r="B665" t="s">
        <v>9</v>
      </c>
      <c r="C665">
        <v>19</v>
      </c>
      <c r="D665">
        <v>63</v>
      </c>
      <c r="E665" s="1">
        <f>+C665/(C665+D665)</f>
        <v>0.23170731707317074</v>
      </c>
      <c r="F665" s="2">
        <v>104.5</v>
      </c>
      <c r="G665" s="2">
        <v>114.1</v>
      </c>
      <c r="H665" s="2">
        <f>+F665-G665</f>
        <v>-9.5999999999999943</v>
      </c>
      <c r="I665" s="1">
        <f>+(F665^14)/((F665^14+G665^14))</f>
        <v>0.22610537023312996</v>
      </c>
      <c r="J665" s="2">
        <v>106.8</v>
      </c>
      <c r="K665" s="2">
        <v>116.8</v>
      </c>
      <c r="L665" s="2">
        <f>+J665-K665</f>
        <v>-10</v>
      </c>
      <c r="M665" s="1">
        <f>+E665-I665</f>
        <v>5.6019468400407835E-3</v>
      </c>
      <c r="N665" s="2">
        <v>99</v>
      </c>
      <c r="O665" s="2">
        <v>110.6</v>
      </c>
      <c r="P665" s="2">
        <f>+N665-O665</f>
        <v>-11.599999999999994</v>
      </c>
      <c r="Q665">
        <v>-1.7</v>
      </c>
    </row>
    <row r="666" spans="1:17">
      <c r="A666" t="s">
        <v>63</v>
      </c>
      <c r="B666" t="s">
        <v>23</v>
      </c>
      <c r="C666">
        <v>34</v>
      </c>
      <c r="D666">
        <v>48</v>
      </c>
      <c r="E666" s="1">
        <f>+C666/(C666+D666)</f>
        <v>0.41463414634146339</v>
      </c>
      <c r="F666" s="2">
        <v>111.4</v>
      </c>
      <c r="G666" s="2">
        <v>114</v>
      </c>
      <c r="H666" s="2">
        <f>+F666-G666</f>
        <v>-2.5999999999999943</v>
      </c>
      <c r="I666" s="1">
        <f>+(F666^14)/((F666^14+G666^14))</f>
        <v>0.41994584859669859</v>
      </c>
      <c r="J666" s="2">
        <v>111.3</v>
      </c>
      <c r="K666" s="2">
        <v>113.7</v>
      </c>
      <c r="L666" s="2">
        <f>+J666-K666</f>
        <v>-2.4000000000000057</v>
      </c>
      <c r="M666" s="1">
        <f>+E666-I666</f>
        <v>-5.3117022552351956E-3</v>
      </c>
      <c r="N666" s="2">
        <v>109.2</v>
      </c>
      <c r="O666" s="2">
        <v>120.8</v>
      </c>
      <c r="P666" s="2">
        <f>+N666-O666</f>
        <v>-11.599999999999994</v>
      </c>
      <c r="Q666">
        <v>0.5</v>
      </c>
    </row>
    <row r="667" spans="1:17">
      <c r="A667" t="s">
        <v>44</v>
      </c>
      <c r="B667" t="s">
        <v>15</v>
      </c>
      <c r="C667">
        <v>36</v>
      </c>
      <c r="D667">
        <v>46</v>
      </c>
      <c r="E667" s="1">
        <f>+C667/(C667+D667)</f>
        <v>0.43902439024390244</v>
      </c>
      <c r="F667" s="2">
        <v>104</v>
      </c>
      <c r="G667" s="2">
        <v>105.4</v>
      </c>
      <c r="H667" s="2">
        <f>+F667-G667</f>
        <v>-1.4000000000000057</v>
      </c>
      <c r="I667" s="1">
        <f>+(F667^14)/((F667^14+G667^14))</f>
        <v>0.45333512374186213</v>
      </c>
      <c r="J667" s="2">
        <v>105.1</v>
      </c>
      <c r="K667" s="2">
        <v>106.3</v>
      </c>
      <c r="L667" s="2">
        <f>+J667-K667</f>
        <v>-1.2000000000000028</v>
      </c>
      <c r="M667" s="1">
        <f>+E667-I667</f>
        <v>-1.4310733497959693E-2</v>
      </c>
      <c r="N667" s="2">
        <v>101.4</v>
      </c>
      <c r="O667" s="2">
        <v>113.1</v>
      </c>
      <c r="P667" s="2">
        <f>+N667-O667</f>
        <v>-11.699999999999989</v>
      </c>
      <c r="Q667">
        <v>0.4</v>
      </c>
    </row>
    <row r="668" spans="1:17">
      <c r="A668" t="s">
        <v>64</v>
      </c>
      <c r="B668" t="s">
        <v>20</v>
      </c>
      <c r="C668">
        <v>56</v>
      </c>
      <c r="D668">
        <v>26</v>
      </c>
      <c r="E668" s="1">
        <f>+C668/(C668+D668)</f>
        <v>0.68292682926829273</v>
      </c>
      <c r="F668" s="2">
        <v>113</v>
      </c>
      <c r="G668" s="2">
        <v>106.5</v>
      </c>
      <c r="H668" s="2">
        <f>+F668-G668</f>
        <v>6.5</v>
      </c>
      <c r="I668" s="1">
        <f>+(F668^14)/((F668^14+G668^14))</f>
        <v>0.6962279782158256</v>
      </c>
      <c r="J668" s="2">
        <v>114.6</v>
      </c>
      <c r="K668" s="2">
        <v>108.4</v>
      </c>
      <c r="L668" s="2">
        <f>+J668-K668</f>
        <v>6.1999999999999886</v>
      </c>
      <c r="M668" s="1">
        <f>+E668-I668</f>
        <v>-1.330114894753287E-2</v>
      </c>
      <c r="N668" s="2">
        <v>104.9</v>
      </c>
      <c r="O668" s="2">
        <v>116.7</v>
      </c>
      <c r="P668" s="2">
        <f>+N668-O668</f>
        <v>-11.799999999999997</v>
      </c>
      <c r="Q668">
        <v>1.2</v>
      </c>
    </row>
    <row r="669" spans="1:17">
      <c r="A669" t="s">
        <v>61</v>
      </c>
      <c r="B669" t="s">
        <v>20</v>
      </c>
      <c r="C669">
        <v>23</v>
      </c>
      <c r="D669">
        <v>49</v>
      </c>
      <c r="E669" s="1">
        <f>+C669/(C669+D669)</f>
        <v>0.31944444444444442</v>
      </c>
      <c r="F669" s="2">
        <v>112.1</v>
      </c>
      <c r="G669" s="2">
        <v>117.7</v>
      </c>
      <c r="H669" s="2">
        <f>+F669-G669</f>
        <v>-5.6000000000000085</v>
      </c>
      <c r="I669" s="1">
        <f>+(F669^14)/((F669^14+G669^14))</f>
        <v>0.3357107873197604</v>
      </c>
      <c r="J669" s="2">
        <v>109.3</v>
      </c>
      <c r="K669" s="2">
        <v>114.5</v>
      </c>
      <c r="L669" s="2">
        <f>+J669-K669</f>
        <v>-5.2000000000000028</v>
      </c>
      <c r="M669" s="1">
        <f>+E669-I669</f>
        <v>-1.6266342875315976E-2</v>
      </c>
      <c r="N669" s="2">
        <v>105.4</v>
      </c>
      <c r="O669" s="2">
        <v>117.2</v>
      </c>
      <c r="P669" s="2">
        <f>+N669-O669</f>
        <v>-11.799999999999997</v>
      </c>
      <c r="Q669">
        <v>0.4</v>
      </c>
    </row>
    <row r="670" spans="1:17">
      <c r="A670" t="s">
        <v>38</v>
      </c>
      <c r="B670" t="s">
        <v>13</v>
      </c>
      <c r="C670">
        <v>37</v>
      </c>
      <c r="D670">
        <v>45</v>
      </c>
      <c r="E670" s="1">
        <f>+C670/(C670+D670)</f>
        <v>0.45121951219512196</v>
      </c>
      <c r="F670" s="2">
        <v>93.3</v>
      </c>
      <c r="G670" s="2">
        <v>94</v>
      </c>
      <c r="H670" s="2">
        <f>+F670-G670</f>
        <v>-0.70000000000000284</v>
      </c>
      <c r="I670" s="1">
        <f>+(F670^14)/((F670^14+G670^14))</f>
        <v>0.47386248712598766</v>
      </c>
      <c r="J670" s="2">
        <v>101.5</v>
      </c>
      <c r="K670" s="2">
        <v>102.6</v>
      </c>
      <c r="L670" s="2">
        <f>+J670-K670</f>
        <v>-1.0999999999999943</v>
      </c>
      <c r="M670" s="1">
        <f>+E670-I670</f>
        <v>-2.26429749308657E-2</v>
      </c>
      <c r="N670" s="2">
        <v>90.8</v>
      </c>
      <c r="O670" s="2">
        <v>102.6</v>
      </c>
      <c r="P670" s="2">
        <f>+N670-O670</f>
        <v>-11.799999999999997</v>
      </c>
      <c r="Q670">
        <v>-0.3</v>
      </c>
    </row>
    <row r="671" spans="1:17">
      <c r="A671" t="s">
        <v>41</v>
      </c>
      <c r="B671" t="s">
        <v>13</v>
      </c>
      <c r="C671">
        <v>34</v>
      </c>
      <c r="D671">
        <v>48</v>
      </c>
      <c r="E671" s="1">
        <f>+C671/(C671+D671)</f>
        <v>0.41463414634146339</v>
      </c>
      <c r="F671" s="2">
        <v>98.5</v>
      </c>
      <c r="G671" s="2">
        <v>99.8</v>
      </c>
      <c r="H671" s="2">
        <f>+F671-G671</f>
        <v>-1.2999999999999972</v>
      </c>
      <c r="I671" s="1">
        <f>+(F671^14)/((F671^14+G671^14))</f>
        <v>0.45423770290238813</v>
      </c>
      <c r="J671" s="2">
        <v>103.5</v>
      </c>
      <c r="K671" s="2">
        <v>104.9</v>
      </c>
      <c r="L671" s="2">
        <f>+J671-K671</f>
        <v>-1.4000000000000057</v>
      </c>
      <c r="M671" s="1">
        <f>+E671-I671</f>
        <v>-3.9603556560924735E-2</v>
      </c>
      <c r="N671" s="2">
        <v>101</v>
      </c>
      <c r="O671" s="2">
        <v>112.8</v>
      </c>
      <c r="P671" s="2">
        <f>+N671-O671</f>
        <v>-11.799999999999997</v>
      </c>
      <c r="Q671">
        <v>-0.6</v>
      </c>
    </row>
    <row r="672" spans="1:17">
      <c r="A672" t="s">
        <v>49</v>
      </c>
      <c r="B672" t="s">
        <v>37</v>
      </c>
      <c r="C672">
        <v>21</v>
      </c>
      <c r="D672">
        <v>45</v>
      </c>
      <c r="E672" s="1">
        <f>+C672/(C672+D672)</f>
        <v>0.31818181818181818</v>
      </c>
      <c r="F672" s="2">
        <v>89.6</v>
      </c>
      <c r="G672" s="2">
        <v>93.4</v>
      </c>
      <c r="H672" s="2">
        <f>+F672-G672</f>
        <v>-3.8000000000000114</v>
      </c>
      <c r="I672" s="1">
        <f>+(F672^14)/((F672^14+G672^14))</f>
        <v>0.35858651544032732</v>
      </c>
      <c r="J672" s="2">
        <v>99.9</v>
      </c>
      <c r="K672" s="2">
        <v>103.9</v>
      </c>
      <c r="L672" s="2">
        <f>+J672-K672</f>
        <v>-4</v>
      </c>
      <c r="M672" s="1">
        <f>+E672-I672</f>
        <v>-4.0404697258509148E-2</v>
      </c>
      <c r="N672" s="2">
        <v>93.5</v>
      </c>
      <c r="O672" s="2">
        <v>105.4</v>
      </c>
      <c r="P672" s="2">
        <f>+N672-O672</f>
        <v>-11.900000000000006</v>
      </c>
      <c r="Q672">
        <v>-0.9</v>
      </c>
    </row>
    <row r="673" spans="1:17">
      <c r="A673" t="s">
        <v>57</v>
      </c>
      <c r="B673" t="s">
        <v>12</v>
      </c>
      <c r="C673">
        <v>37</v>
      </c>
      <c r="D673">
        <v>45</v>
      </c>
      <c r="E673" s="1">
        <f>+C673/(C673+D673)</f>
        <v>0.45121951219512196</v>
      </c>
      <c r="F673" s="2">
        <v>101.3</v>
      </c>
      <c r="G673" s="2">
        <v>102.5</v>
      </c>
      <c r="H673" s="2">
        <f>+F673-G673</f>
        <v>-1.2000000000000028</v>
      </c>
      <c r="I673" s="1">
        <f>+(F673^14)/((F673^14+G673^14))</f>
        <v>0.45887575520915785</v>
      </c>
      <c r="J673" s="2">
        <v>105.3</v>
      </c>
      <c r="K673" s="2">
        <v>106.7</v>
      </c>
      <c r="L673" s="2">
        <f>+J673-K673</f>
        <v>-1.4000000000000057</v>
      </c>
      <c r="M673" s="1">
        <f>+E673-I673</f>
        <v>-7.6562430140358906E-3</v>
      </c>
      <c r="N673" s="2">
        <v>100.3</v>
      </c>
      <c r="O673" s="2">
        <v>112.5</v>
      </c>
      <c r="P673" s="2">
        <f>+N673-O673</f>
        <v>-12.200000000000003</v>
      </c>
      <c r="Q673">
        <v>1.3</v>
      </c>
    </row>
    <row r="674" spans="1:17">
      <c r="A674" t="s">
        <v>58</v>
      </c>
      <c r="B674" t="s">
        <v>22</v>
      </c>
      <c r="C674">
        <v>29</v>
      </c>
      <c r="D674">
        <v>53</v>
      </c>
      <c r="E674" s="1">
        <f>+C674/(C674+D674)</f>
        <v>0.35365853658536583</v>
      </c>
      <c r="F674" s="2">
        <v>104.5</v>
      </c>
      <c r="G674" s="2">
        <v>108</v>
      </c>
      <c r="H674" s="2">
        <f>+F674-G674</f>
        <v>-3.5</v>
      </c>
      <c r="I674" s="1">
        <f>+(F674^14)/((F674^14+G674^14))</f>
        <v>0.38669687750275528</v>
      </c>
      <c r="J674" s="2">
        <v>106.3</v>
      </c>
      <c r="K674" s="2">
        <v>109.7</v>
      </c>
      <c r="L674" s="2">
        <f>+J674-K674</f>
        <v>-3.4000000000000057</v>
      </c>
      <c r="M674" s="1">
        <f>+E674-I674</f>
        <v>-3.3038340917389442E-2</v>
      </c>
      <c r="N674" s="2">
        <v>95.8</v>
      </c>
      <c r="O674" s="2">
        <v>108</v>
      </c>
      <c r="P674" s="2">
        <f>+N674-O674</f>
        <v>-12.200000000000003</v>
      </c>
      <c r="Q674">
        <v>-1</v>
      </c>
    </row>
    <row r="675" spans="1:17">
      <c r="A675" t="s">
        <v>52</v>
      </c>
      <c r="B675" t="s">
        <v>31</v>
      </c>
      <c r="C675">
        <v>25</v>
      </c>
      <c r="D675">
        <v>57</v>
      </c>
      <c r="E675" s="1">
        <f>+C675/(C675+D675)</f>
        <v>0.3048780487804878</v>
      </c>
      <c r="F675" s="2">
        <v>95</v>
      </c>
      <c r="G675" s="2">
        <v>102.2</v>
      </c>
      <c r="H675" s="2">
        <f>+F675-G675</f>
        <v>-7.2000000000000028</v>
      </c>
      <c r="I675" s="1">
        <f>+(F675^14)/((F675^14+G675^14))</f>
        <v>0.26448877178052832</v>
      </c>
      <c r="J675" s="2">
        <v>102.4</v>
      </c>
      <c r="K675" s="2">
        <v>110.1</v>
      </c>
      <c r="L675" s="2">
        <f>+J675-K675</f>
        <v>-7.6999999999999886</v>
      </c>
      <c r="M675" s="1">
        <f>+E675-I675</f>
        <v>4.0389276999959478E-2</v>
      </c>
      <c r="N675" s="2">
        <v>108.8</v>
      </c>
      <c r="O675" s="2">
        <v>121.1</v>
      </c>
      <c r="P675" s="2">
        <f>+N675-O675</f>
        <v>-12.299999999999997</v>
      </c>
      <c r="Q675">
        <v>-1.8</v>
      </c>
    </row>
    <row r="676" spans="1:17">
      <c r="A676" t="s">
        <v>66</v>
      </c>
      <c r="B676" t="s">
        <v>27</v>
      </c>
      <c r="C676">
        <v>14</v>
      </c>
      <c r="D676">
        <v>50</v>
      </c>
      <c r="E676" s="1">
        <f>+C676/(C676+D676)</f>
        <v>0.21875</v>
      </c>
      <c r="F676" s="2">
        <v>110.4</v>
      </c>
      <c r="G676" s="2">
        <v>121.3</v>
      </c>
      <c r="H676" s="2">
        <f>+F676-G676</f>
        <v>-10.899999999999991</v>
      </c>
      <c r="I676" s="1">
        <f>+(F676^14)/((F676^14+G676^14))</f>
        <v>0.21111899676961832</v>
      </c>
      <c r="J676" s="2">
        <v>109.6</v>
      </c>
      <c r="K676" s="2">
        <v>120.2</v>
      </c>
      <c r="L676" s="2">
        <f>+J676-K676</f>
        <v>-10.600000000000009</v>
      </c>
      <c r="M676" s="1">
        <f>+E676-I676</f>
        <v>7.6310032303816833E-3</v>
      </c>
      <c r="N676" s="2">
        <v>103.5</v>
      </c>
      <c r="O676" s="2">
        <v>115.8</v>
      </c>
      <c r="P676" s="2">
        <f>+N676-O676</f>
        <v>-12.299999999999997</v>
      </c>
      <c r="Q676" s="2">
        <v>-3.1</v>
      </c>
    </row>
    <row r="677" spans="1:17">
      <c r="A677" t="s">
        <v>45</v>
      </c>
      <c r="B677" t="s">
        <v>22</v>
      </c>
      <c r="C677">
        <v>32</v>
      </c>
      <c r="D677">
        <v>50</v>
      </c>
      <c r="E677" s="1">
        <f>+C677/(C677+D677)</f>
        <v>0.3902439024390244</v>
      </c>
      <c r="F677" s="2">
        <v>105.2</v>
      </c>
      <c r="G677" s="2">
        <v>107.8</v>
      </c>
      <c r="H677" s="2">
        <f>+F677-G677</f>
        <v>-2.5999999999999943</v>
      </c>
      <c r="I677" s="1">
        <f>+(F677^14)/((F677^14+G677^14))</f>
        <v>0.41537205557839157</v>
      </c>
      <c r="J677" s="2">
        <v>107</v>
      </c>
      <c r="K677" s="2">
        <v>109.4</v>
      </c>
      <c r="L677" s="2">
        <f>+J677-K677</f>
        <v>-2.4000000000000057</v>
      </c>
      <c r="M677" s="1">
        <f>+E677-I677</f>
        <v>-2.5128153139367171E-2</v>
      </c>
      <c r="N677" s="2">
        <v>104.4</v>
      </c>
      <c r="O677" s="2">
        <v>116.8</v>
      </c>
      <c r="P677" s="2">
        <f>+N677-O677</f>
        <v>-12.399999999999991</v>
      </c>
      <c r="Q677">
        <v>-1.3</v>
      </c>
    </row>
    <row r="678" spans="1:17">
      <c r="A678" t="s">
        <v>43</v>
      </c>
      <c r="B678" t="s">
        <v>33</v>
      </c>
      <c r="C678">
        <v>41</v>
      </c>
      <c r="D678">
        <v>41</v>
      </c>
      <c r="E678" s="1">
        <f>+C678/(C678+D678)</f>
        <v>0.5</v>
      </c>
      <c r="F678" s="2">
        <v>104.3</v>
      </c>
      <c r="G678" s="2">
        <v>104.9</v>
      </c>
      <c r="H678" s="2">
        <f>+F678-G678</f>
        <v>-0.60000000000000853</v>
      </c>
      <c r="I678" s="1">
        <f>+(F678^14)/((F678^14+G678^14))</f>
        <v>0.47993424575681876</v>
      </c>
      <c r="J678" s="2">
        <v>108.7</v>
      </c>
      <c r="K678" s="2">
        <v>109.1</v>
      </c>
      <c r="L678" s="2">
        <f>+J678-K678</f>
        <v>-0.39999999999999147</v>
      </c>
      <c r="M678" s="1">
        <f>+E678-I678</f>
        <v>2.0065754243181244E-2</v>
      </c>
      <c r="N678" s="2">
        <v>102.3</v>
      </c>
      <c r="O678" s="2">
        <v>114.7</v>
      </c>
      <c r="P678" s="2">
        <f>+N678-O678</f>
        <v>-12.400000000000006</v>
      </c>
      <c r="Q678">
        <v>-1.4</v>
      </c>
    </row>
    <row r="679" spans="1:17">
      <c r="A679" t="s">
        <v>38</v>
      </c>
      <c r="B679" t="s">
        <v>16</v>
      </c>
      <c r="C679">
        <v>28</v>
      </c>
      <c r="D679">
        <v>54</v>
      </c>
      <c r="E679" s="1">
        <f>+C679/(C679+D679)</f>
        <v>0.34146341463414637</v>
      </c>
      <c r="F679" s="2">
        <v>94.8</v>
      </c>
      <c r="G679" s="2">
        <v>99.4</v>
      </c>
      <c r="H679" s="2">
        <f>+F679-G679</f>
        <v>-4.6000000000000085</v>
      </c>
      <c r="I679" s="1">
        <f>+(F679^14)/((F679^14+G679^14))</f>
        <v>0.33998571838438196</v>
      </c>
      <c r="J679" s="2">
        <v>101.9</v>
      </c>
      <c r="K679" s="2">
        <v>106.6</v>
      </c>
      <c r="L679" s="2">
        <f>+J679-K679</f>
        <v>-4.6999999999999886</v>
      </c>
      <c r="M679" s="1">
        <f>+E679-I679</f>
        <v>1.4776962497644042E-3</v>
      </c>
      <c r="N679" s="2">
        <v>93</v>
      </c>
      <c r="O679" s="2">
        <v>105.5</v>
      </c>
      <c r="P679" s="2">
        <f>+N679-O679</f>
        <v>-12.5</v>
      </c>
      <c r="Q679">
        <v>-1.3</v>
      </c>
    </row>
    <row r="680" spans="1:17">
      <c r="A680" t="s">
        <v>38</v>
      </c>
      <c r="B680" t="s">
        <v>33</v>
      </c>
      <c r="C680">
        <v>25</v>
      </c>
      <c r="D680">
        <v>57</v>
      </c>
      <c r="E680" s="1">
        <f>+C680/(C680+D680)</f>
        <v>0.3048780487804878</v>
      </c>
      <c r="F680" s="2">
        <v>91.8</v>
      </c>
      <c r="G680" s="2">
        <v>97.4</v>
      </c>
      <c r="H680" s="2">
        <f>+F680-G680</f>
        <v>-5.6000000000000085</v>
      </c>
      <c r="I680" s="1">
        <f>+(F680^14)/((F680^14+G680^14))</f>
        <v>0.30385766011408771</v>
      </c>
      <c r="J680" s="2">
        <v>97.1</v>
      </c>
      <c r="K680" s="2">
        <v>102.9</v>
      </c>
      <c r="L680" s="2">
        <f>+J680-K680</f>
        <v>-5.8000000000000114</v>
      </c>
      <c r="M680" s="1">
        <f>+E680-I680</f>
        <v>1.020388666400085E-3</v>
      </c>
      <c r="N680" s="2">
        <v>96.3</v>
      </c>
      <c r="O680" s="2">
        <v>108.8</v>
      </c>
      <c r="P680" s="2">
        <f>+N680-O680</f>
        <v>-12.5</v>
      </c>
      <c r="Q680">
        <v>-1.1000000000000001</v>
      </c>
    </row>
    <row r="681" spans="1:17">
      <c r="A681" t="s">
        <v>61</v>
      </c>
      <c r="B681" t="s">
        <v>30</v>
      </c>
      <c r="C681">
        <v>27</v>
      </c>
      <c r="D681">
        <v>45</v>
      </c>
      <c r="E681" s="1">
        <f>+C681/(C681+D681)</f>
        <v>0.375</v>
      </c>
      <c r="F681" s="2">
        <v>111.3</v>
      </c>
      <c r="G681" s="2">
        <v>111.7</v>
      </c>
      <c r="H681" s="2">
        <f>+F681-G681</f>
        <v>-0.40000000000000568</v>
      </c>
      <c r="I681" s="1">
        <f>+(F681^14)/((F681^14+G681^14))</f>
        <v>0.48744657142272707</v>
      </c>
      <c r="J681" s="2">
        <v>111.6</v>
      </c>
      <c r="K681" s="2">
        <v>112</v>
      </c>
      <c r="L681" s="2">
        <f>+J681-K681</f>
        <v>-0.40000000000000568</v>
      </c>
      <c r="M681" s="1">
        <f>+E681-I681</f>
        <v>-0.11244657142272707</v>
      </c>
      <c r="N681" s="2">
        <v>100.8</v>
      </c>
      <c r="O681" s="2">
        <v>113.3</v>
      </c>
      <c r="P681" s="2">
        <f>+N681-O681</f>
        <v>-12.5</v>
      </c>
      <c r="Q681">
        <v>0.8</v>
      </c>
    </row>
    <row r="682" spans="1:17">
      <c r="A682" t="s">
        <v>64</v>
      </c>
      <c r="B682" t="s">
        <v>28</v>
      </c>
      <c r="C682">
        <v>22</v>
      </c>
      <c r="D682">
        <v>60</v>
      </c>
      <c r="E682" s="1">
        <f>+C682/(C682+D682)</f>
        <v>0.26829268292682928</v>
      </c>
      <c r="F682" s="2">
        <v>112.1</v>
      </c>
      <c r="G682" s="2">
        <v>118.6</v>
      </c>
      <c r="H682" s="2">
        <f>+F682-G682</f>
        <v>-6.5</v>
      </c>
      <c r="I682" s="1">
        <f>+(F682^14)/((F682^14+G682^14))</f>
        <v>0.31235933105064495</v>
      </c>
      <c r="J682" s="2">
        <v>109.3</v>
      </c>
      <c r="K682" s="2">
        <v>115.6</v>
      </c>
      <c r="L682" s="2">
        <f>+J682-K682</f>
        <v>-6.2999999999999972</v>
      </c>
      <c r="M682" s="1">
        <f>+E682-I682</f>
        <v>-4.4066648123815666E-2</v>
      </c>
      <c r="N682" s="2">
        <v>101</v>
      </c>
      <c r="O682" s="2">
        <v>113.6</v>
      </c>
      <c r="P682" s="2">
        <f>+N682-O682</f>
        <v>-12.599999999999994</v>
      </c>
      <c r="Q682">
        <v>-0.2</v>
      </c>
    </row>
    <row r="683" spans="1:17">
      <c r="A683" t="s">
        <v>48</v>
      </c>
      <c r="B683" t="s">
        <v>14</v>
      </c>
      <c r="C683">
        <v>43</v>
      </c>
      <c r="D683">
        <v>39</v>
      </c>
      <c r="E683" s="1">
        <f>+C683/(C683+D683)</f>
        <v>0.52439024390243905</v>
      </c>
      <c r="F683" s="2">
        <v>105.9</v>
      </c>
      <c r="G683" s="2">
        <v>103.7</v>
      </c>
      <c r="H683" s="2">
        <f>+F683-G683</f>
        <v>2.2000000000000028</v>
      </c>
      <c r="I683" s="1">
        <f>+(F683^14)/((F683^14+G683^14))</f>
        <v>0.57295160820263835</v>
      </c>
      <c r="J683" s="2">
        <v>110.2</v>
      </c>
      <c r="K683" s="2">
        <v>107.9</v>
      </c>
      <c r="L683" s="2">
        <f>+J683-K683</f>
        <v>2.2999999999999972</v>
      </c>
      <c r="M683" s="1">
        <f>+E683-I683</f>
        <v>-4.8561364300199306E-2</v>
      </c>
      <c r="N683" s="2">
        <v>99.5</v>
      </c>
      <c r="O683" s="2">
        <v>112.1</v>
      </c>
      <c r="P683" s="2">
        <f>+N683-O683</f>
        <v>-12.599999999999994</v>
      </c>
      <c r="Q683">
        <v>-0.5</v>
      </c>
    </row>
    <row r="684" spans="1:17">
      <c r="A684" t="s">
        <v>44</v>
      </c>
      <c r="B684" t="s">
        <v>16</v>
      </c>
      <c r="C684">
        <v>23</v>
      </c>
      <c r="D684">
        <v>59</v>
      </c>
      <c r="E684" s="1">
        <f>+C684/(C684+D684)</f>
        <v>0.28048780487804881</v>
      </c>
      <c r="F684" s="2">
        <v>93.8</v>
      </c>
      <c r="G684" s="2">
        <v>101.1</v>
      </c>
      <c r="H684" s="2">
        <f>+F684-G684</f>
        <v>-7.2999999999999972</v>
      </c>
      <c r="I684" s="1">
        <f>+(F684^14)/((F684^14+G684^14))</f>
        <v>0.25937226319296447</v>
      </c>
      <c r="J684" s="2">
        <v>99.9</v>
      </c>
      <c r="K684" s="2">
        <v>107.4</v>
      </c>
      <c r="L684" s="2">
        <f>+J684-K684</f>
        <v>-7.5</v>
      </c>
      <c r="M684" s="1">
        <f>+E684-I684</f>
        <v>2.1115541685084338E-2</v>
      </c>
      <c r="N684" s="2">
        <v>110.1</v>
      </c>
      <c r="O684" s="2">
        <v>122.7</v>
      </c>
      <c r="P684" s="2">
        <f>+N684-O684</f>
        <v>-12.600000000000009</v>
      </c>
      <c r="Q684">
        <v>-1</v>
      </c>
    </row>
    <row r="685" spans="1:17">
      <c r="A685" t="s">
        <v>4</v>
      </c>
      <c r="B685" t="s">
        <v>21</v>
      </c>
      <c r="C685">
        <v>26</v>
      </c>
      <c r="D685">
        <v>56</v>
      </c>
      <c r="E685" s="1">
        <f>+C685/(C685+D685)</f>
        <v>0.31707317073170732</v>
      </c>
      <c r="F685" s="2">
        <v>92.1</v>
      </c>
      <c r="G685" s="2">
        <v>97.1</v>
      </c>
      <c r="H685" s="2">
        <f>+F685-G685</f>
        <v>-5</v>
      </c>
      <c r="I685" s="1">
        <f>+(F685^14)/((F685^14+G685^14))</f>
        <v>0.32297570638885176</v>
      </c>
      <c r="J685" s="2">
        <v>98.4</v>
      </c>
      <c r="K685" s="2">
        <v>103.8</v>
      </c>
      <c r="L685" s="2">
        <f>+J685-K685</f>
        <v>-5.3999999999999915</v>
      </c>
      <c r="M685" s="1">
        <f>+E685-I685</f>
        <v>-5.9025356571444365E-3</v>
      </c>
      <c r="N685" s="2">
        <v>93.1</v>
      </c>
      <c r="O685" s="2">
        <v>105.7</v>
      </c>
      <c r="P685" s="2">
        <f>+N685-O685</f>
        <v>-12.600000000000009</v>
      </c>
      <c r="Q685">
        <v>-1.8</v>
      </c>
    </row>
    <row r="686" spans="1:17">
      <c r="A686" t="s">
        <v>65</v>
      </c>
      <c r="B686" t="s">
        <v>24</v>
      </c>
      <c r="C686">
        <v>24</v>
      </c>
      <c r="D686">
        <v>58</v>
      </c>
      <c r="E686" s="1">
        <f>+C686/(C686+D686)</f>
        <v>0.29268292682926828</v>
      </c>
      <c r="F686" s="2">
        <v>109.6</v>
      </c>
      <c r="G686" s="2">
        <v>115.8</v>
      </c>
      <c r="H686" s="2">
        <f>+F686-G686</f>
        <v>-6.2000000000000028</v>
      </c>
      <c r="I686" s="1">
        <f>+(F686^14)/((F686^14+G686^14))</f>
        <v>0.31639676572205722</v>
      </c>
      <c r="J686" s="2">
        <v>111</v>
      </c>
      <c r="K686" s="2">
        <v>117.3</v>
      </c>
      <c r="L686" s="2">
        <f>+J686-K686</f>
        <v>-6.2999999999999972</v>
      </c>
      <c r="M686" s="1">
        <f>+E686-I686</f>
        <v>-2.3713838892788941E-2</v>
      </c>
      <c r="N686" s="2">
        <v>104.2</v>
      </c>
      <c r="O686" s="2">
        <v>117</v>
      </c>
      <c r="P686" s="2">
        <f>+N686-O686</f>
        <v>-12.799999999999997</v>
      </c>
      <c r="Q686">
        <v>-1.9</v>
      </c>
    </row>
    <row r="687" spans="1:17">
      <c r="A687" t="s">
        <v>41</v>
      </c>
      <c r="B687" t="s">
        <v>30</v>
      </c>
      <c r="C687">
        <v>27</v>
      </c>
      <c r="D687">
        <v>55</v>
      </c>
      <c r="E687" s="1">
        <f>+C687/(C687+D687)</f>
        <v>0.32926829268292684</v>
      </c>
      <c r="F687" s="2">
        <v>101.1</v>
      </c>
      <c r="G687" s="2">
        <v>104</v>
      </c>
      <c r="H687" s="2">
        <f>+F687-G687</f>
        <v>-2.9000000000000057</v>
      </c>
      <c r="I687" s="1">
        <f>+(F687^14)/((F687^14+G687^14))</f>
        <v>0.4022903946569592</v>
      </c>
      <c r="J687" s="2">
        <v>107.9</v>
      </c>
      <c r="K687" s="2">
        <v>111.2</v>
      </c>
      <c r="L687" s="2">
        <f>+J687-K687</f>
        <v>-3.2999999999999972</v>
      </c>
      <c r="M687" s="1">
        <f>+E687-I687</f>
        <v>-7.3022101974032361E-2</v>
      </c>
      <c r="N687" s="2">
        <v>101.6</v>
      </c>
      <c r="O687" s="2">
        <v>114.4</v>
      </c>
      <c r="P687" s="2">
        <f>+N687-O687</f>
        <v>-12.800000000000011</v>
      </c>
      <c r="Q687">
        <v>0.7</v>
      </c>
    </row>
    <row r="688" spans="1:17">
      <c r="A688" t="s">
        <v>57</v>
      </c>
      <c r="B688" t="s">
        <v>23</v>
      </c>
      <c r="C688">
        <v>29</v>
      </c>
      <c r="D688">
        <v>53</v>
      </c>
      <c r="E688" s="1">
        <f>+C688/(C688+D688)</f>
        <v>0.35365853658536583</v>
      </c>
      <c r="F688" s="2">
        <v>101.1</v>
      </c>
      <c r="G688" s="2">
        <v>107.6</v>
      </c>
      <c r="H688" s="2">
        <f>+F688-G688</f>
        <v>-6.5</v>
      </c>
      <c r="I688" s="1">
        <f>+(F688^14)/((F688^14+G688^14))</f>
        <v>0.29476611175193784</v>
      </c>
      <c r="J688" s="2">
        <v>103.7</v>
      </c>
      <c r="K688" s="2">
        <v>110.3</v>
      </c>
      <c r="L688" s="2">
        <f>+J688-K688</f>
        <v>-6.5999999999999943</v>
      </c>
      <c r="M688" s="1">
        <f>+E688-I688</f>
        <v>5.8892424833427992E-2</v>
      </c>
      <c r="N688" s="2">
        <v>101.3</v>
      </c>
      <c r="O688" s="2">
        <v>114.2</v>
      </c>
      <c r="P688" s="2">
        <f>+N688-O688</f>
        <v>-12.900000000000006</v>
      </c>
      <c r="Q688">
        <v>-1.8</v>
      </c>
    </row>
    <row r="689" spans="1:17">
      <c r="A689" t="s">
        <v>41</v>
      </c>
      <c r="B689" t="s">
        <v>22</v>
      </c>
      <c r="C689">
        <v>23</v>
      </c>
      <c r="D689">
        <v>59</v>
      </c>
      <c r="E689" s="1">
        <f>+C689/(C689+D689)</f>
        <v>0.28048780487804881</v>
      </c>
      <c r="F689" s="2">
        <v>95.6</v>
      </c>
      <c r="G689" s="2">
        <v>102</v>
      </c>
      <c r="H689" s="2">
        <f>+F689-G689</f>
        <v>-6.4000000000000057</v>
      </c>
      <c r="I689" s="1">
        <f>+(F689^14)/((F689^14+G689^14))</f>
        <v>0.28757316482715334</v>
      </c>
      <c r="J689" s="2">
        <v>102.7</v>
      </c>
      <c r="K689" s="2">
        <v>109.3</v>
      </c>
      <c r="L689" s="2">
        <f>+J689-K689</f>
        <v>-6.5999999999999943</v>
      </c>
      <c r="M689" s="1">
        <f>+E689-I689</f>
        <v>-7.0853599491045305E-3</v>
      </c>
      <c r="N689" s="2">
        <v>100.3</v>
      </c>
      <c r="O689" s="2">
        <v>113.2</v>
      </c>
      <c r="P689" s="2">
        <f>+N689-O689</f>
        <v>-12.900000000000006</v>
      </c>
      <c r="Q689">
        <v>1.2</v>
      </c>
    </row>
    <row r="690" spans="1:17">
      <c r="A690" t="s">
        <v>47</v>
      </c>
      <c r="B690" t="s">
        <v>28</v>
      </c>
      <c r="C690">
        <v>50</v>
      </c>
      <c r="D690">
        <v>32</v>
      </c>
      <c r="E690" s="1">
        <f>+C690/(C690+D690)</f>
        <v>0.6097560975609756</v>
      </c>
      <c r="F690" s="2">
        <v>101.4</v>
      </c>
      <c r="G690" s="2">
        <v>96.3</v>
      </c>
      <c r="H690" s="2">
        <f>+F690-G690</f>
        <v>5.1000000000000085</v>
      </c>
      <c r="I690" s="1">
        <f>+(F690^14)/((F690^14+G690^14))</f>
        <v>0.67314999462615233</v>
      </c>
      <c r="J690" s="2">
        <v>109.3</v>
      </c>
      <c r="K690" s="2">
        <v>103.9</v>
      </c>
      <c r="L690" s="2">
        <f>+J690-K690</f>
        <v>5.3999999999999915</v>
      </c>
      <c r="M690" s="1">
        <f>+E690-I690</f>
        <v>-6.339389706517673E-2</v>
      </c>
      <c r="N690" s="2">
        <v>99.3</v>
      </c>
      <c r="O690" s="2">
        <v>112.2</v>
      </c>
      <c r="P690" s="2">
        <f>+N690-O690</f>
        <v>-12.900000000000006</v>
      </c>
      <c r="Q690">
        <v>0.9</v>
      </c>
    </row>
    <row r="691" spans="1:17">
      <c r="A691" t="s">
        <v>4</v>
      </c>
      <c r="B691" t="s">
        <v>16</v>
      </c>
      <c r="C691">
        <v>31</v>
      </c>
      <c r="D691">
        <v>51</v>
      </c>
      <c r="E691" s="1">
        <f>+C691/(C691+D691)</f>
        <v>0.37804878048780488</v>
      </c>
      <c r="F691" s="2">
        <v>92.5</v>
      </c>
      <c r="G691" s="2">
        <v>95.3</v>
      </c>
      <c r="H691" s="2">
        <f>+F691-G691</f>
        <v>-2.7999999999999972</v>
      </c>
      <c r="I691" s="1">
        <f>+(F691^14)/((F691^14+G691^14))</f>
        <v>0.39711601228610965</v>
      </c>
      <c r="J691" s="2">
        <v>100.3</v>
      </c>
      <c r="K691" s="2">
        <v>103.2</v>
      </c>
      <c r="L691" s="2">
        <f>+J691-K691</f>
        <v>-2.9000000000000057</v>
      </c>
      <c r="M691" s="1">
        <f>+E691-I691</f>
        <v>-1.9067231798304773E-2</v>
      </c>
      <c r="N691" s="2">
        <v>95.7</v>
      </c>
      <c r="O691" s="2">
        <v>108.7</v>
      </c>
      <c r="P691" s="2">
        <f>+N691-O691</f>
        <v>-13</v>
      </c>
      <c r="Q691">
        <v>0.4</v>
      </c>
    </row>
    <row r="692" spans="1:17">
      <c r="A692" t="s">
        <v>64</v>
      </c>
      <c r="B692" t="s">
        <v>14</v>
      </c>
      <c r="C692">
        <v>41</v>
      </c>
      <c r="D692">
        <v>41</v>
      </c>
      <c r="E692" s="1">
        <f>+C692/(C692+D692)</f>
        <v>0.5</v>
      </c>
      <c r="F692" s="2">
        <v>114.3</v>
      </c>
      <c r="G692" s="2">
        <v>113.2</v>
      </c>
      <c r="H692" s="2">
        <f>+F692-G692</f>
        <v>1.0999999999999943</v>
      </c>
      <c r="I692" s="1">
        <f>+(F692^14)/((F692^14+G692^14))</f>
        <v>0.53379481382340799</v>
      </c>
      <c r="J692" s="2">
        <v>113.7</v>
      </c>
      <c r="K692" s="2">
        <v>112.8</v>
      </c>
      <c r="L692" s="2">
        <f>+J692-K692</f>
        <v>0.90000000000000568</v>
      </c>
      <c r="M692" s="1">
        <f>+E692-I692</f>
        <v>-3.3794813823407988E-2</v>
      </c>
      <c r="N692" s="2">
        <v>108.4</v>
      </c>
      <c r="O692" s="2">
        <v>121.6</v>
      </c>
      <c r="P692" s="2">
        <f>+N692-O692</f>
        <v>-13.199999999999989</v>
      </c>
      <c r="Q692">
        <v>0.3</v>
      </c>
    </row>
    <row r="693" spans="1:17">
      <c r="A693" t="s">
        <v>41</v>
      </c>
      <c r="B693" t="s">
        <v>26</v>
      </c>
      <c r="C693">
        <v>21</v>
      </c>
      <c r="D693">
        <v>61</v>
      </c>
      <c r="E693" s="1">
        <f>+C693/(C693+D693)</f>
        <v>0.25609756097560976</v>
      </c>
      <c r="F693" s="2">
        <v>88.8</v>
      </c>
      <c r="G693" s="2">
        <v>98.3</v>
      </c>
      <c r="H693" s="2">
        <f>+F693-G693</f>
        <v>-9.5</v>
      </c>
      <c r="I693" s="1">
        <f>+(F693^14)/((F693^14+G693^14))</f>
        <v>0.19420371450144952</v>
      </c>
      <c r="J693" s="2">
        <v>99.7</v>
      </c>
      <c r="K693" s="2">
        <v>110.3</v>
      </c>
      <c r="L693" s="2">
        <f>+J693-K693</f>
        <v>-10.599999999999994</v>
      </c>
      <c r="M693" s="1">
        <f>+E693-I693</f>
        <v>6.1893846474160241E-2</v>
      </c>
      <c r="N693" s="2">
        <v>89.2</v>
      </c>
      <c r="O693" s="2">
        <v>102.4</v>
      </c>
      <c r="P693" s="2">
        <f>+N693-O693</f>
        <v>-13.200000000000003</v>
      </c>
      <c r="Q693">
        <v>-1.7</v>
      </c>
    </row>
    <row r="694" spans="1:17">
      <c r="A694" t="s">
        <v>55</v>
      </c>
      <c r="B694" t="s">
        <v>27</v>
      </c>
      <c r="C694">
        <v>33</v>
      </c>
      <c r="D694">
        <v>49</v>
      </c>
      <c r="E694" s="1">
        <f>+C694/(C694+D694)</f>
        <v>0.40243902439024393</v>
      </c>
      <c r="F694" s="2">
        <v>106.6</v>
      </c>
      <c r="G694" s="2">
        <v>109.1</v>
      </c>
      <c r="H694" s="2">
        <f>+F694-G694</f>
        <v>-2.5</v>
      </c>
      <c r="I694" s="1">
        <f>+(F694^14)/((F694^14+G694^14))</f>
        <v>0.41956987710459787</v>
      </c>
      <c r="J694" s="2">
        <v>105.3</v>
      </c>
      <c r="K694" s="2">
        <v>107.6</v>
      </c>
      <c r="L694" s="2">
        <f>+J694-K694</f>
        <v>-2.2999999999999972</v>
      </c>
      <c r="M694" s="1">
        <f>+E694-I694</f>
        <v>-1.7130852714353939E-2</v>
      </c>
      <c r="N694" s="2">
        <v>93</v>
      </c>
      <c r="O694" s="2">
        <v>106.2</v>
      </c>
      <c r="P694" s="2">
        <f>+N694-O694</f>
        <v>-13.200000000000003</v>
      </c>
      <c r="Q694">
        <v>0</v>
      </c>
    </row>
    <row r="695" spans="1:17">
      <c r="A695" t="s">
        <v>64</v>
      </c>
      <c r="B695" t="s">
        <v>18</v>
      </c>
      <c r="C695">
        <v>46</v>
      </c>
      <c r="D695">
        <v>36</v>
      </c>
      <c r="E695" s="1">
        <f>+C695/(C695+D695)</f>
        <v>0.56097560975609762</v>
      </c>
      <c r="F695" s="2">
        <v>110.1</v>
      </c>
      <c r="G695" s="2">
        <v>108.4</v>
      </c>
      <c r="H695" s="2">
        <f>+F695-G695</f>
        <v>1.6999999999999886</v>
      </c>
      <c r="I695" s="1">
        <f>+(F695^14)/((F695^14+G695^14))</f>
        <v>0.55424895602857005</v>
      </c>
      <c r="J695" s="2">
        <v>113.3</v>
      </c>
      <c r="K695" s="2">
        <v>111.5</v>
      </c>
      <c r="L695" s="2">
        <f>+J695-K695</f>
        <v>1.7999999999999972</v>
      </c>
      <c r="M695" s="1">
        <f>+E695-I695</f>
        <v>6.7266537275275651E-3</v>
      </c>
      <c r="N695" s="2">
        <v>99.3</v>
      </c>
      <c r="O695" s="2">
        <v>112.6</v>
      </c>
      <c r="P695" s="2">
        <f>+N695-O695</f>
        <v>-13.299999999999997</v>
      </c>
      <c r="Q695">
        <v>-1.2</v>
      </c>
    </row>
    <row r="696" spans="1:17">
      <c r="A696" t="s">
        <v>44</v>
      </c>
      <c r="B696" t="s">
        <v>20</v>
      </c>
      <c r="C696">
        <v>22</v>
      </c>
      <c r="D696">
        <v>60</v>
      </c>
      <c r="E696" s="1">
        <f>+C696/(C696+D696)</f>
        <v>0.26829268292682928</v>
      </c>
      <c r="F696" s="2">
        <v>95.6</v>
      </c>
      <c r="G696" s="2">
        <v>102.4</v>
      </c>
      <c r="H696" s="2">
        <f>+F696-G696</f>
        <v>-6.8000000000000114</v>
      </c>
      <c r="I696" s="1">
        <f>+(F696^14)/((F696^14+G696^14))</f>
        <v>0.27647904137528079</v>
      </c>
      <c r="J696" s="2">
        <v>102.7</v>
      </c>
      <c r="K696" s="2">
        <v>110</v>
      </c>
      <c r="L696" s="2">
        <f>+J696-K696</f>
        <v>-7.2999999999999972</v>
      </c>
      <c r="M696" s="1">
        <f>+E696-I696</f>
        <v>-8.1863584484515028E-3</v>
      </c>
      <c r="N696" s="2">
        <v>105.4</v>
      </c>
      <c r="O696" s="2">
        <v>118.7</v>
      </c>
      <c r="P696" s="2">
        <f>+N696-O696</f>
        <v>-13.299999999999997</v>
      </c>
      <c r="Q696">
        <v>-1.9</v>
      </c>
    </row>
    <row r="697" spans="1:17">
      <c r="A697" t="s">
        <v>64</v>
      </c>
      <c r="B697" t="s">
        <v>53</v>
      </c>
      <c r="C697">
        <v>49</v>
      </c>
      <c r="D697">
        <v>32</v>
      </c>
      <c r="E697" s="1">
        <f>+C697/(C697+D697)</f>
        <v>0.60493827160493829</v>
      </c>
      <c r="F697" s="2">
        <v>115.4</v>
      </c>
      <c r="G697" s="2">
        <v>110.4</v>
      </c>
      <c r="H697" s="2">
        <f>+F697-G697</f>
        <v>5</v>
      </c>
      <c r="I697" s="1">
        <f>+(F697^14)/((F697^14+G697^14))</f>
        <v>0.65024563171173744</v>
      </c>
      <c r="J697" s="2">
        <v>116.9</v>
      </c>
      <c r="K697" s="2">
        <v>111.7</v>
      </c>
      <c r="L697" s="2">
        <f>+J697-K697</f>
        <v>5.2000000000000028</v>
      </c>
      <c r="M697" s="1">
        <f>+E697-I697</f>
        <v>-4.5307360106799144E-2</v>
      </c>
      <c r="N697" s="2">
        <v>99</v>
      </c>
      <c r="O697" s="2">
        <v>112.3</v>
      </c>
      <c r="P697" s="2">
        <f>+N697-O697</f>
        <v>-13.299999999999997</v>
      </c>
      <c r="Q697">
        <v>-0.3</v>
      </c>
    </row>
    <row r="698" spans="1:17">
      <c r="A698" t="s">
        <v>59</v>
      </c>
      <c r="B698" t="s">
        <v>20</v>
      </c>
      <c r="C698">
        <v>36</v>
      </c>
      <c r="D698">
        <v>46</v>
      </c>
      <c r="E698" s="1">
        <f>+C698/(C698+D698)</f>
        <v>0.43902439024390244</v>
      </c>
      <c r="F698" s="2">
        <v>112.5</v>
      </c>
      <c r="G698" s="2">
        <v>114</v>
      </c>
      <c r="H698" s="2">
        <f>+F698-G698</f>
        <v>-1.5</v>
      </c>
      <c r="I698" s="1">
        <f>+(F698^14)/((F698^14+G698^14))</f>
        <v>0.45377408880323472</v>
      </c>
      <c r="J698" s="2">
        <v>110.6</v>
      </c>
      <c r="K698" s="2">
        <v>112.2</v>
      </c>
      <c r="L698" s="2">
        <f>+J698-K698</f>
        <v>-1.6000000000000085</v>
      </c>
      <c r="M698" s="1">
        <f>+E698-I698</f>
        <v>-1.474969855933228E-2</v>
      </c>
      <c r="N698" s="2">
        <v>100</v>
      </c>
      <c r="O698" s="2">
        <v>113.4</v>
      </c>
      <c r="P698" s="2">
        <f>+N698-O698</f>
        <v>-13.400000000000006</v>
      </c>
      <c r="Q698">
        <v>-1.2</v>
      </c>
    </row>
    <row r="699" spans="1:17">
      <c r="A699" t="s">
        <v>39</v>
      </c>
      <c r="B699" t="s">
        <v>26</v>
      </c>
      <c r="C699">
        <v>27</v>
      </c>
      <c r="D699">
        <v>55</v>
      </c>
      <c r="E699" s="1">
        <f>+C699/(C699+D699)</f>
        <v>0.32926829268292684</v>
      </c>
      <c r="F699" s="2">
        <v>92.9</v>
      </c>
      <c r="G699" s="2">
        <v>96.9</v>
      </c>
      <c r="H699" s="2">
        <f>+F699-G699</f>
        <v>-4</v>
      </c>
      <c r="I699" s="1">
        <f>+(F699^14)/((F699^14+G699^14))</f>
        <v>0.35659304496257005</v>
      </c>
      <c r="J699" s="2">
        <v>101.9</v>
      </c>
      <c r="K699" s="2">
        <v>106.1</v>
      </c>
      <c r="L699" s="2">
        <f>+J699-K699</f>
        <v>-4.1999999999999886</v>
      </c>
      <c r="M699" s="1">
        <f>+E699-I699</f>
        <v>-2.7324752279643205E-2</v>
      </c>
      <c r="N699" s="2">
        <v>93.4</v>
      </c>
      <c r="O699" s="2">
        <v>107.3</v>
      </c>
      <c r="P699" s="2">
        <f>+N699-O699</f>
        <v>-13.899999999999991</v>
      </c>
      <c r="Q699">
        <v>-0.3</v>
      </c>
    </row>
    <row r="700" spans="1:17">
      <c r="A700" t="s">
        <v>4</v>
      </c>
      <c r="B700" t="s">
        <v>8</v>
      </c>
      <c r="C700">
        <v>15</v>
      </c>
      <c r="D700">
        <v>67</v>
      </c>
      <c r="E700" s="1">
        <f>+C700/(C700+D700)</f>
        <v>0.18292682926829268</v>
      </c>
      <c r="F700" s="2">
        <v>87.6</v>
      </c>
      <c r="G700" s="2">
        <v>96.7</v>
      </c>
      <c r="H700" s="2">
        <f>+F700-G700</f>
        <v>-9.1000000000000085</v>
      </c>
      <c r="I700" s="1">
        <f>+(F700^14)/((F700^14+G700^14))</f>
        <v>0.20042284639847754</v>
      </c>
      <c r="J700" s="2">
        <v>95.9</v>
      </c>
      <c r="K700" s="2">
        <v>105.9</v>
      </c>
      <c r="L700" s="2">
        <f>+J700-K700</f>
        <v>-10</v>
      </c>
      <c r="M700" s="1">
        <f>+E700-I700</f>
        <v>-1.7496017130184865E-2</v>
      </c>
      <c r="N700" s="2">
        <v>93.5</v>
      </c>
      <c r="O700" s="2">
        <v>107.4</v>
      </c>
      <c r="P700" s="2">
        <f>+N700-O700</f>
        <v>-13.900000000000006</v>
      </c>
      <c r="Q700">
        <v>-2.8</v>
      </c>
    </row>
    <row r="701" spans="1:17">
      <c r="A701" t="s">
        <v>38</v>
      </c>
      <c r="B701" t="s">
        <v>25</v>
      </c>
      <c r="C701">
        <v>29</v>
      </c>
      <c r="D701">
        <v>53</v>
      </c>
      <c r="E701" s="1">
        <f>+C701/(C701+D701)</f>
        <v>0.35365853658536583</v>
      </c>
      <c r="F701" s="2">
        <v>94.2</v>
      </c>
      <c r="G701" s="2">
        <v>97.9</v>
      </c>
      <c r="H701" s="2">
        <f>+F701-G701</f>
        <v>-3.7000000000000028</v>
      </c>
      <c r="I701" s="1">
        <f>+(F701^14)/((F701^14+G701^14))</f>
        <v>0.36833434593522879</v>
      </c>
      <c r="J701" s="2">
        <v>100.3</v>
      </c>
      <c r="K701" s="2">
        <v>104.2</v>
      </c>
      <c r="L701" s="2">
        <f>+J701-K701</f>
        <v>-3.9000000000000057</v>
      </c>
      <c r="M701" s="1">
        <f>+E701-I701</f>
        <v>-1.4675809349862956E-2</v>
      </c>
      <c r="N701" s="2">
        <v>92.8</v>
      </c>
      <c r="O701" s="2">
        <v>106.8</v>
      </c>
      <c r="P701" s="2">
        <f>+N701-O701</f>
        <v>-14</v>
      </c>
      <c r="Q701">
        <v>-1.6</v>
      </c>
    </row>
    <row r="702" spans="1:17">
      <c r="A702" t="s">
        <v>63</v>
      </c>
      <c r="B702" t="s">
        <v>28</v>
      </c>
      <c r="C702">
        <v>22</v>
      </c>
      <c r="D702">
        <v>60</v>
      </c>
      <c r="E702" s="1">
        <f>+C702/(C702+D702)</f>
        <v>0.26829268292682928</v>
      </c>
      <c r="F702" s="2">
        <v>113</v>
      </c>
      <c r="G702" s="2">
        <v>123.1</v>
      </c>
      <c r="H702" s="2">
        <f>+F702-G702</f>
        <v>-10.099999999999994</v>
      </c>
      <c r="I702" s="1">
        <f>+(F702^14)/((F702^14+G702^14))</f>
        <v>0.23173700210202122</v>
      </c>
      <c r="J702" s="2">
        <v>109.7</v>
      </c>
      <c r="K702" s="2">
        <v>119.6</v>
      </c>
      <c r="L702" s="2">
        <f>+J702-K702</f>
        <v>-9.8999999999999915</v>
      </c>
      <c r="M702" s="1">
        <f>+E702-I702</f>
        <v>3.6555680824808062E-2</v>
      </c>
      <c r="N702" s="2">
        <v>98.2</v>
      </c>
      <c r="O702" s="2">
        <v>112.4</v>
      </c>
      <c r="P702" s="2">
        <f>+N702-O702</f>
        <v>-14.200000000000003</v>
      </c>
      <c r="Q702">
        <v>-3.9</v>
      </c>
    </row>
    <row r="703" spans="1:17">
      <c r="A703" t="s">
        <v>54</v>
      </c>
      <c r="B703" t="s">
        <v>17</v>
      </c>
      <c r="C703">
        <v>21</v>
      </c>
      <c r="D703">
        <v>61</v>
      </c>
      <c r="E703" s="1">
        <f>+C703/(C703+D703)</f>
        <v>0.25609756097560976</v>
      </c>
      <c r="F703" s="2">
        <v>98.5</v>
      </c>
      <c r="G703" s="2">
        <v>105.3</v>
      </c>
      <c r="H703" s="2">
        <f>+F703-G703</f>
        <v>-6.7999999999999972</v>
      </c>
      <c r="I703" s="1">
        <f>+(F703^14)/((F703^14+G703^14))</f>
        <v>0.28199317754915287</v>
      </c>
      <c r="J703" s="2">
        <v>102.3</v>
      </c>
      <c r="K703" s="2">
        <v>109.4</v>
      </c>
      <c r="L703" s="2">
        <f>+J703-K703</f>
        <v>-7.1000000000000085</v>
      </c>
      <c r="M703" s="1">
        <f>+E703-I703</f>
        <v>-2.5895616573543112E-2</v>
      </c>
      <c r="N703" s="2">
        <v>95.5</v>
      </c>
      <c r="O703" s="2">
        <v>109.8</v>
      </c>
      <c r="P703" s="2">
        <f>+N703-O703</f>
        <v>-14.299999999999997</v>
      </c>
      <c r="Q703">
        <v>-0.5</v>
      </c>
    </row>
    <row r="704" spans="1:17">
      <c r="A704" t="s">
        <v>54</v>
      </c>
      <c r="B704" t="s">
        <v>33</v>
      </c>
      <c r="C704">
        <v>46</v>
      </c>
      <c r="D704">
        <v>36</v>
      </c>
      <c r="E704" s="1">
        <f>+C704/(C704+D704)</f>
        <v>0.56097560975609762</v>
      </c>
      <c r="F704" s="2">
        <v>98.5</v>
      </c>
      <c r="G704" s="2">
        <v>97.8</v>
      </c>
      <c r="H704" s="2">
        <f>+F704-G704</f>
        <v>0.70000000000000284</v>
      </c>
      <c r="I704" s="1">
        <f>+(F704^14)/((F704^14+G704^14))</f>
        <v>0.52494118140879675</v>
      </c>
      <c r="J704" s="2">
        <v>103</v>
      </c>
      <c r="K704" s="2">
        <v>102.4</v>
      </c>
      <c r="L704" s="2">
        <f>+J704-K704</f>
        <v>0.59999999999999432</v>
      </c>
      <c r="M704" s="1">
        <f>+E704-I704</f>
        <v>3.6034428347300862E-2</v>
      </c>
      <c r="N704" s="2">
        <v>89.6</v>
      </c>
      <c r="O704" s="2">
        <v>104</v>
      </c>
      <c r="P704" s="2">
        <f>+N704-O704</f>
        <v>-14.400000000000006</v>
      </c>
      <c r="Q704">
        <v>-1.7</v>
      </c>
    </row>
    <row r="705" spans="1:17">
      <c r="A705" t="s">
        <v>49</v>
      </c>
      <c r="B705" t="s">
        <v>25</v>
      </c>
      <c r="C705">
        <v>33</v>
      </c>
      <c r="D705">
        <v>33</v>
      </c>
      <c r="E705" s="1">
        <f>+C705/(C705+D705)</f>
        <v>0.5</v>
      </c>
      <c r="F705" s="2">
        <v>98.4</v>
      </c>
      <c r="G705" s="2">
        <v>98.6</v>
      </c>
      <c r="H705" s="2">
        <f>+F705-G705</f>
        <v>-0.19999999999998863</v>
      </c>
      <c r="I705" s="1">
        <f>+(F705^14)/((F705^14+G705^14))</f>
        <v>0.49289387708201343</v>
      </c>
      <c r="J705" s="2">
        <v>105.2</v>
      </c>
      <c r="K705" s="2">
        <v>105.2</v>
      </c>
      <c r="L705" s="2">
        <f>+J705-K705</f>
        <v>0</v>
      </c>
      <c r="M705" s="1">
        <f>+E705-I705</f>
        <v>7.1061229179865681E-3</v>
      </c>
      <c r="N705" s="2">
        <v>100</v>
      </c>
      <c r="O705" s="2">
        <v>114.4</v>
      </c>
      <c r="P705" s="2">
        <f>+N705-O705</f>
        <v>-14.400000000000006</v>
      </c>
      <c r="Q705">
        <v>0</v>
      </c>
    </row>
    <row r="706" spans="1:17">
      <c r="A706" t="s">
        <v>41</v>
      </c>
      <c r="B706" t="s">
        <v>20</v>
      </c>
      <c r="C706">
        <v>33</v>
      </c>
      <c r="D706">
        <v>49</v>
      </c>
      <c r="E706" s="1">
        <f>+C706/(C706+D706)</f>
        <v>0.40243902439024393</v>
      </c>
      <c r="F706" s="2">
        <v>91.7</v>
      </c>
      <c r="G706" s="2">
        <v>93.6</v>
      </c>
      <c r="H706" s="2">
        <f>+F706-G706</f>
        <v>-1.8999999999999915</v>
      </c>
      <c r="I706" s="1">
        <f>+(F706^14)/((F706^14+G706^14))</f>
        <v>0.42871102935912059</v>
      </c>
      <c r="J706" s="2">
        <v>101.5</v>
      </c>
      <c r="K706" s="2">
        <v>103.5</v>
      </c>
      <c r="L706" s="2">
        <f>+J706-K706</f>
        <v>-2</v>
      </c>
      <c r="M706" s="1">
        <f>+E706-I706</f>
        <v>-2.6272004968876661E-2</v>
      </c>
      <c r="N706" s="2">
        <v>95.6</v>
      </c>
      <c r="O706" s="2">
        <v>110.1</v>
      </c>
      <c r="P706" s="2">
        <f>+N706-O706</f>
        <v>-14.5</v>
      </c>
      <c r="Q706">
        <v>-1</v>
      </c>
    </row>
    <row r="707" spans="1:17">
      <c r="A707" t="s">
        <v>49</v>
      </c>
      <c r="B707" t="s">
        <v>24</v>
      </c>
      <c r="C707">
        <v>35</v>
      </c>
      <c r="D707">
        <v>31</v>
      </c>
      <c r="E707" s="1">
        <f>+C707/(C707+D707)</f>
        <v>0.53030303030303028</v>
      </c>
      <c r="F707" s="2">
        <v>93.6</v>
      </c>
      <c r="G707" s="2">
        <v>89.4</v>
      </c>
      <c r="H707" s="2">
        <f>+F707-G707</f>
        <v>4.1999999999999886</v>
      </c>
      <c r="I707" s="1">
        <f>+(F707^14)/((F707^14+G707^14))</f>
        <v>0.65537163395547915</v>
      </c>
      <c r="J707" s="2">
        <v>102.7</v>
      </c>
      <c r="K707" s="2">
        <v>98.2</v>
      </c>
      <c r="L707" s="2">
        <f>+J707-K707</f>
        <v>4.5</v>
      </c>
      <c r="M707" s="1">
        <f>+E707-I707</f>
        <v>-0.12506860365244887</v>
      </c>
      <c r="N707" s="2">
        <v>89.8</v>
      </c>
      <c r="O707" s="2">
        <v>104.4</v>
      </c>
      <c r="P707" s="2">
        <f>+N707-O707</f>
        <v>-14.600000000000009</v>
      </c>
      <c r="Q707">
        <v>-0.6</v>
      </c>
    </row>
    <row r="708" spans="1:17">
      <c r="A708" t="s">
        <v>64</v>
      </c>
      <c r="B708" t="s">
        <v>5</v>
      </c>
      <c r="C708">
        <v>36</v>
      </c>
      <c r="D708">
        <v>46</v>
      </c>
      <c r="E708" s="1">
        <f>+C708/(C708+D708)</f>
        <v>0.43902439024390244</v>
      </c>
      <c r="F708" s="2">
        <v>118.3</v>
      </c>
      <c r="G708" s="2">
        <v>120.5</v>
      </c>
      <c r="H708" s="2">
        <f>+F708-G708</f>
        <v>-2.2000000000000028</v>
      </c>
      <c r="I708" s="1">
        <f>+(F708^14)/((F708^14+G708^14))</f>
        <v>0.43586432994244823</v>
      </c>
      <c r="J708" s="2">
        <v>116.4</v>
      </c>
      <c r="K708" s="2">
        <v>118.4</v>
      </c>
      <c r="L708" s="2">
        <f>+J708-K708</f>
        <v>-2</v>
      </c>
      <c r="M708" s="1">
        <f>+E708-I708</f>
        <v>3.160060301454215E-3</v>
      </c>
      <c r="N708" s="2">
        <v>103.9</v>
      </c>
      <c r="O708" s="2">
        <v>118.7</v>
      </c>
      <c r="P708" s="2">
        <f>+N708-O708</f>
        <v>-14.799999999999997</v>
      </c>
      <c r="Q708">
        <v>-0.9</v>
      </c>
    </row>
    <row r="709" spans="1:17">
      <c r="A709" t="s">
        <v>38</v>
      </c>
      <c r="B709" t="s">
        <v>10</v>
      </c>
      <c r="C709">
        <v>52</v>
      </c>
      <c r="D709">
        <v>30</v>
      </c>
      <c r="E709" s="1">
        <f>+C709/(C709+D709)</f>
        <v>0.63414634146341464</v>
      </c>
      <c r="F709" s="2">
        <v>105.2</v>
      </c>
      <c r="G709" s="2">
        <v>100.8</v>
      </c>
      <c r="H709" s="2">
        <f>+F709-G709</f>
        <v>4.4000000000000057</v>
      </c>
      <c r="I709" s="1">
        <f>+(F709^14)/((F709^14+G709^14))</f>
        <v>0.64523276409206387</v>
      </c>
      <c r="J709" s="2">
        <v>110.4</v>
      </c>
      <c r="K709" s="2">
        <v>105.9</v>
      </c>
      <c r="L709" s="2">
        <f>+J709-K709</f>
        <v>4.5</v>
      </c>
      <c r="M709" s="1">
        <f>+E709-I709</f>
        <v>-1.1086422628649228E-2</v>
      </c>
      <c r="N709" s="2">
        <v>95.7</v>
      </c>
      <c r="O709" s="2">
        <v>110.5</v>
      </c>
      <c r="P709" s="2">
        <f>+N709-O709</f>
        <v>-14.799999999999997</v>
      </c>
      <c r="Q709">
        <v>0.4</v>
      </c>
    </row>
    <row r="710" spans="1:17">
      <c r="A710" t="s">
        <v>39</v>
      </c>
      <c r="B710" t="s">
        <v>5</v>
      </c>
      <c r="C710">
        <v>13</v>
      </c>
      <c r="D710">
        <v>69</v>
      </c>
      <c r="E710" s="1">
        <f>+C710/(C710+D710)</f>
        <v>0.15853658536585366</v>
      </c>
      <c r="F710" s="2">
        <v>92.7</v>
      </c>
      <c r="G710" s="2">
        <v>102.5</v>
      </c>
      <c r="H710" s="2">
        <f>+F710-G710</f>
        <v>-9.7999999999999972</v>
      </c>
      <c r="I710" s="1">
        <f>+(F710^14)/((F710^14+G710^14))</f>
        <v>0.19672021863355632</v>
      </c>
      <c r="J710" s="2">
        <v>98.8</v>
      </c>
      <c r="K710" s="2">
        <v>109</v>
      </c>
      <c r="L710" s="2">
        <f>+J710-K710</f>
        <v>-10.200000000000003</v>
      </c>
      <c r="M710" s="1">
        <f>+E710-I710</f>
        <v>-3.818363326770266E-2</v>
      </c>
      <c r="N710" s="2">
        <v>94.5</v>
      </c>
      <c r="O710" s="2">
        <v>109.5</v>
      </c>
      <c r="P710" s="2">
        <f>+N710-O710</f>
        <v>-15</v>
      </c>
      <c r="Q710">
        <v>-2.4</v>
      </c>
    </row>
    <row r="711" spans="1:17">
      <c r="A711" t="s">
        <v>39</v>
      </c>
      <c r="B711" t="s">
        <v>22</v>
      </c>
      <c r="C711">
        <v>33</v>
      </c>
      <c r="D711">
        <v>49</v>
      </c>
      <c r="E711" s="1">
        <f>+C711/(C711+D711)</f>
        <v>0.40243902439024393</v>
      </c>
      <c r="F711" s="2">
        <v>97.3</v>
      </c>
      <c r="G711" s="2">
        <v>99.7</v>
      </c>
      <c r="H711" s="2">
        <f>+F711-G711</f>
        <v>-2.4000000000000057</v>
      </c>
      <c r="I711" s="1">
        <f>+(F711^14)/((F711^14+G711^14))</f>
        <v>0.4155341313693024</v>
      </c>
      <c r="J711" s="2">
        <v>104.5</v>
      </c>
      <c r="K711" s="2">
        <v>107.2</v>
      </c>
      <c r="L711" s="2">
        <f>+J711-K711</f>
        <v>-2.7000000000000028</v>
      </c>
      <c r="M711" s="1">
        <f>+E711-I711</f>
        <v>-1.3095106979058468E-2</v>
      </c>
      <c r="N711" s="2">
        <v>96.2</v>
      </c>
      <c r="O711" s="2">
        <v>111.3</v>
      </c>
      <c r="P711" s="2">
        <f>+N711-O711</f>
        <v>-15.099999999999994</v>
      </c>
      <c r="Q711">
        <v>-0.8</v>
      </c>
    </row>
    <row r="712" spans="1:17">
      <c r="A712" t="s">
        <v>60</v>
      </c>
      <c r="B712" t="s">
        <v>33</v>
      </c>
      <c r="C712">
        <v>25</v>
      </c>
      <c r="D712">
        <v>47</v>
      </c>
      <c r="E712" s="1">
        <f>+C712/(C712+D712)</f>
        <v>0.34722222222222221</v>
      </c>
      <c r="F712" s="2">
        <v>114.4</v>
      </c>
      <c r="G712" s="2">
        <v>119.1</v>
      </c>
      <c r="H712" s="2">
        <f>+F712-G712</f>
        <v>-4.6999999999999886</v>
      </c>
      <c r="I712" s="1">
        <f>+(F712^14)/((F712^14+G712^14))</f>
        <v>0.36269789474955427</v>
      </c>
      <c r="J712" s="2">
        <v>110.2</v>
      </c>
      <c r="K712" s="2">
        <v>114.7</v>
      </c>
      <c r="L712" s="2">
        <f>+J712-K712</f>
        <v>-4.5</v>
      </c>
      <c r="M712" s="1">
        <f>+E712-I712</f>
        <v>-1.5475672527332063E-2</v>
      </c>
      <c r="N712" s="2">
        <v>104.3</v>
      </c>
      <c r="O712" s="2">
        <v>119.6</v>
      </c>
      <c r="P712" s="2">
        <f>+N712-O712</f>
        <v>-15.299999999999997</v>
      </c>
      <c r="Q712">
        <v>0.2</v>
      </c>
    </row>
    <row r="713" spans="1:17">
      <c r="A713" t="s">
        <v>43</v>
      </c>
      <c r="B713" t="s">
        <v>27</v>
      </c>
      <c r="C713">
        <v>33</v>
      </c>
      <c r="D713">
        <v>49</v>
      </c>
      <c r="E713" s="1">
        <f>+C713/(C713+D713)</f>
        <v>0.40243902439024393</v>
      </c>
      <c r="F713" s="2">
        <v>101.3</v>
      </c>
      <c r="G713" s="2">
        <v>103.1</v>
      </c>
      <c r="H713" s="2">
        <f>+F713-G713</f>
        <v>-1.7999999999999972</v>
      </c>
      <c r="I713" s="1">
        <f>+(F713^14)/((F713^14+G713^14))</f>
        <v>0.43866503316264344</v>
      </c>
      <c r="J713" s="2">
        <v>105.1</v>
      </c>
      <c r="K713" s="2">
        <v>106.7</v>
      </c>
      <c r="L713" s="2">
        <f>+J713-K713</f>
        <v>-1.6000000000000085</v>
      </c>
      <c r="M713" s="1">
        <f>+E713-I713</f>
        <v>-3.6226008772399509E-2</v>
      </c>
      <c r="N713" s="2">
        <v>93.7</v>
      </c>
      <c r="O713" s="2">
        <v>109</v>
      </c>
      <c r="P713" s="2">
        <f>+N713-O713</f>
        <v>-15.299999999999997</v>
      </c>
      <c r="Q713">
        <v>-0.4</v>
      </c>
    </row>
    <row r="714" spans="1:17">
      <c r="A714" t="s">
        <v>65</v>
      </c>
      <c r="B714" t="s">
        <v>18</v>
      </c>
      <c r="C714">
        <v>37</v>
      </c>
      <c r="D714">
        <v>45</v>
      </c>
      <c r="E714" s="1">
        <f>+C714/(C714+D714)</f>
        <v>0.45121951219512196</v>
      </c>
      <c r="F714" s="2">
        <v>110.6</v>
      </c>
      <c r="G714" s="2">
        <v>110</v>
      </c>
      <c r="H714" s="2">
        <f>+F714-G714</f>
        <v>0.59999999999999432</v>
      </c>
      <c r="I714" s="1">
        <f>+(F714^14)/((F714^14+G714^14))</f>
        <v>0.51902983505832589</v>
      </c>
      <c r="J714" s="2">
        <v>112.4</v>
      </c>
      <c r="K714" s="2">
        <v>112</v>
      </c>
      <c r="L714" s="2">
        <f>+J714-K714</f>
        <v>0.40000000000000568</v>
      </c>
      <c r="M714" s="1">
        <f>+E714-I714</f>
        <v>-6.7810322863203931E-2</v>
      </c>
      <c r="N714" s="2">
        <v>93.7</v>
      </c>
      <c r="O714" s="2">
        <v>109.1</v>
      </c>
      <c r="P714" s="2">
        <f>+N714-O714</f>
        <v>-15.399999999999991</v>
      </c>
      <c r="Q714">
        <v>-0.7</v>
      </c>
    </row>
    <row r="715" spans="1:17">
      <c r="A715" t="s">
        <v>48</v>
      </c>
      <c r="B715" t="s">
        <v>33</v>
      </c>
      <c r="C715">
        <v>23</v>
      </c>
      <c r="D715">
        <v>59</v>
      </c>
      <c r="E715" s="1">
        <f>+C715/(C715+D715)</f>
        <v>0.28048780487804881</v>
      </c>
      <c r="F715" s="2">
        <v>97.3</v>
      </c>
      <c r="G715" s="2">
        <v>104.7</v>
      </c>
      <c r="H715" s="2">
        <f>+F715-G715</f>
        <v>-7.4000000000000057</v>
      </c>
      <c r="I715" s="1">
        <f>+(F715^14)/((F715^14+G715^14))</f>
        <v>0.26382112647972111</v>
      </c>
      <c r="J715" s="2">
        <v>101.3</v>
      </c>
      <c r="K715" s="2">
        <v>109.1</v>
      </c>
      <c r="L715" s="2">
        <f>+J715-K715</f>
        <v>-7.7999999999999972</v>
      </c>
      <c r="M715" s="1">
        <f>+E715-I715</f>
        <v>1.6666678398327694E-2</v>
      </c>
      <c r="N715" s="2">
        <v>98.1</v>
      </c>
      <c r="O715" s="2">
        <v>113.7</v>
      </c>
      <c r="P715" s="2">
        <f>+N715-O715</f>
        <v>-15.600000000000009</v>
      </c>
      <c r="Q715">
        <v>-1</v>
      </c>
    </row>
    <row r="716" spans="1:17">
      <c r="A716" t="s">
        <v>61</v>
      </c>
      <c r="B716" t="s">
        <v>14</v>
      </c>
      <c r="C716">
        <v>17</v>
      </c>
      <c r="D716">
        <v>55</v>
      </c>
      <c r="E716" s="1">
        <f>+C716/(C716+D716)</f>
        <v>0.2361111111111111</v>
      </c>
      <c r="F716" s="2">
        <v>108.8</v>
      </c>
      <c r="G716" s="2">
        <v>116.7</v>
      </c>
      <c r="H716" s="2">
        <f>+F716-G716</f>
        <v>-7.9000000000000057</v>
      </c>
      <c r="I716" s="1">
        <f>+(F716^14)/((F716^14+G716^14))</f>
        <v>0.27262739354761001</v>
      </c>
      <c r="J716" s="2">
        <v>107</v>
      </c>
      <c r="K716" s="2">
        <v>114.4</v>
      </c>
      <c r="L716" s="2">
        <f>+J716-K716</f>
        <v>-7.4000000000000057</v>
      </c>
      <c r="M716" s="1">
        <f>+E716-I716</f>
        <v>-3.6516282436498904E-2</v>
      </c>
      <c r="N716" s="2">
        <v>97</v>
      </c>
      <c r="O716" s="2">
        <v>112.9</v>
      </c>
      <c r="P716" s="2">
        <f>+N716-O716</f>
        <v>-15.900000000000006</v>
      </c>
      <c r="Q716">
        <v>-1.2</v>
      </c>
    </row>
    <row r="717" spans="1:17">
      <c r="A717" t="s">
        <v>60</v>
      </c>
      <c r="B717" t="s">
        <v>35</v>
      </c>
      <c r="C717">
        <v>34</v>
      </c>
      <c r="D717">
        <v>39</v>
      </c>
      <c r="E717" s="1">
        <f>+C717/(C717+D717)</f>
        <v>0.46575342465753422</v>
      </c>
      <c r="F717" s="2">
        <v>112.6</v>
      </c>
      <c r="G717" s="2">
        <v>113.7</v>
      </c>
      <c r="H717" s="2">
        <f>+F717-G717</f>
        <v>-1.1000000000000085</v>
      </c>
      <c r="I717" s="1">
        <f>+(F717^14)/((F717^14+G717^14))</f>
        <v>0.46602653038070502</v>
      </c>
      <c r="J717" s="2">
        <v>108.7</v>
      </c>
      <c r="K717" s="2">
        <v>109.7</v>
      </c>
      <c r="L717" s="2">
        <f>+J717-K717</f>
        <v>-1</v>
      </c>
      <c r="M717" s="1">
        <f>+E717-I717</f>
        <v>-2.7310572317079673E-4</v>
      </c>
      <c r="N717" s="2">
        <v>100</v>
      </c>
      <c r="O717" s="2">
        <v>116.1</v>
      </c>
      <c r="P717" s="2">
        <f>+N717-O717</f>
        <v>-16.099999999999994</v>
      </c>
      <c r="Q717">
        <v>-0.1</v>
      </c>
    </row>
    <row r="718" spans="1:17">
      <c r="A718" t="s">
        <v>39</v>
      </c>
      <c r="B718" t="s">
        <v>40</v>
      </c>
      <c r="C718">
        <v>18</v>
      </c>
      <c r="D718">
        <v>64</v>
      </c>
      <c r="E718" s="1">
        <f>+C718/(C718+D718)</f>
        <v>0.21951219512195122</v>
      </c>
      <c r="F718" s="2">
        <v>94.3</v>
      </c>
      <c r="G718" s="2">
        <v>100.2</v>
      </c>
      <c r="H718" s="2">
        <f>+F718-G718</f>
        <v>-5.9000000000000057</v>
      </c>
      <c r="I718" s="1">
        <f>+(F718^14)/((F718^14+G718^14))</f>
        <v>0.29951299978674456</v>
      </c>
      <c r="J718" s="2">
        <v>99.8</v>
      </c>
      <c r="K718" s="2">
        <v>106</v>
      </c>
      <c r="L718" s="2">
        <f>+J718-K718</f>
        <v>-6.2000000000000028</v>
      </c>
      <c r="M718" s="1">
        <f>+E718-I718</f>
        <v>-8.000080466479334E-2</v>
      </c>
      <c r="N718" s="2">
        <v>91.4</v>
      </c>
      <c r="O718" s="2">
        <v>107.5</v>
      </c>
      <c r="P718" s="2">
        <f>+N718-O718</f>
        <v>-16.099999999999994</v>
      </c>
      <c r="Q718">
        <v>-1.2</v>
      </c>
    </row>
    <row r="719" spans="1:17">
      <c r="A719" t="s">
        <v>62</v>
      </c>
      <c r="B719" t="s">
        <v>12</v>
      </c>
      <c r="C719">
        <v>23</v>
      </c>
      <c r="D719">
        <v>59</v>
      </c>
      <c r="E719" s="1">
        <f>+C719/(C719+D719)</f>
        <v>0.28048780487804881</v>
      </c>
      <c r="F719" s="2">
        <v>104.8</v>
      </c>
      <c r="G719" s="2">
        <v>112.5</v>
      </c>
      <c r="H719" s="2">
        <f>+F719-G719</f>
        <v>-7.7000000000000028</v>
      </c>
      <c r="I719" s="1">
        <f>+(F719^14)/((F719^14+G719^14))</f>
        <v>0.27040035471369911</v>
      </c>
      <c r="J719" s="2">
        <v>105.6</v>
      </c>
      <c r="K719" s="2">
        <v>113.3</v>
      </c>
      <c r="L719" s="2">
        <f>+J719-K719</f>
        <v>-7.7000000000000028</v>
      </c>
      <c r="M719" s="1">
        <f>+E719-I719</f>
        <v>1.0087450164349698E-2</v>
      </c>
      <c r="N719" s="2">
        <v>94.1</v>
      </c>
      <c r="O719" s="2">
        <v>110.3</v>
      </c>
      <c r="P719" s="2">
        <f>+N719-O719</f>
        <v>-16.200000000000003</v>
      </c>
      <c r="Q719">
        <v>-1.3</v>
      </c>
    </row>
    <row r="720" spans="1:17">
      <c r="A720" t="s">
        <v>43</v>
      </c>
      <c r="B720" t="s">
        <v>23</v>
      </c>
      <c r="C720">
        <v>40</v>
      </c>
      <c r="D720">
        <v>42</v>
      </c>
      <c r="E720" s="1">
        <f>+C720/(C720+D720)</f>
        <v>0.48780487804878048</v>
      </c>
      <c r="F720" s="2">
        <v>94.8</v>
      </c>
      <c r="G720" s="2">
        <v>94</v>
      </c>
      <c r="H720" s="2">
        <f>+F720-G720</f>
        <v>0.79999999999999716</v>
      </c>
      <c r="I720" s="1">
        <f>+(F720^14)/((F720^14+G720^14))</f>
        <v>0.52962644935389902</v>
      </c>
      <c r="J720" s="2">
        <v>104.1</v>
      </c>
      <c r="K720" s="2">
        <v>103.3</v>
      </c>
      <c r="L720" s="2">
        <f>+J720-K720</f>
        <v>0.79999999999999716</v>
      </c>
      <c r="M720" s="1">
        <f>+E720-I720</f>
        <v>-4.1821571305118543E-2</v>
      </c>
      <c r="N720" s="2">
        <v>84.7</v>
      </c>
      <c r="O720" s="2">
        <v>100.9</v>
      </c>
      <c r="P720" s="2">
        <f>+N720-O720</f>
        <v>-16.200000000000003</v>
      </c>
      <c r="Q720">
        <v>-0.4</v>
      </c>
    </row>
    <row r="721" spans="1:17">
      <c r="A721" t="s">
        <v>57</v>
      </c>
      <c r="B721" t="s">
        <v>17</v>
      </c>
      <c r="C721">
        <v>26</v>
      </c>
      <c r="D721">
        <v>56</v>
      </c>
      <c r="E721" s="1">
        <f>+C721/(C721+D721)</f>
        <v>0.31707317073170732</v>
      </c>
      <c r="F721" s="2">
        <v>104.6</v>
      </c>
      <c r="G721" s="2">
        <v>111.5</v>
      </c>
      <c r="H721" s="2">
        <f>+F721-G721</f>
        <v>-6.9000000000000057</v>
      </c>
      <c r="I721" s="1">
        <f>+(F721^14)/((F721^14+G721^14))</f>
        <v>0.29021613910677707</v>
      </c>
      <c r="J721" s="2">
        <v>105.3</v>
      </c>
      <c r="K721" s="2">
        <v>112</v>
      </c>
      <c r="L721" s="2">
        <f>+J721-K721</f>
        <v>-6.7000000000000028</v>
      </c>
      <c r="M721" s="1">
        <f>+E721-I721</f>
        <v>2.685703162493025E-2</v>
      </c>
      <c r="N721" s="2">
        <v>106.9</v>
      </c>
      <c r="O721" s="2">
        <v>123.2</v>
      </c>
      <c r="P721" s="2">
        <f>+N721-O721</f>
        <v>-16.299999999999997</v>
      </c>
      <c r="Q721">
        <v>-0.7</v>
      </c>
    </row>
    <row r="722" spans="1:17">
      <c r="A722" t="s">
        <v>57</v>
      </c>
      <c r="B722" t="s">
        <v>51</v>
      </c>
      <c r="C722">
        <v>20</v>
      </c>
      <c r="D722">
        <v>62</v>
      </c>
      <c r="E722" s="1">
        <f>+C722/(C722+D722)</f>
        <v>0.24390243902439024</v>
      </c>
      <c r="F722" s="2">
        <v>105.8</v>
      </c>
      <c r="G722" s="2">
        <v>112.5</v>
      </c>
      <c r="H722" s="2">
        <f>+F722-G722</f>
        <v>-6.7000000000000028</v>
      </c>
      <c r="I722" s="1">
        <f>+(F722^14)/((F722^14+G722^14))</f>
        <v>0.29741501867468906</v>
      </c>
      <c r="J722" s="2">
        <v>103.6</v>
      </c>
      <c r="K722" s="2">
        <v>110.1</v>
      </c>
      <c r="L722" s="2">
        <f>+J722-K722</f>
        <v>-6.5</v>
      </c>
      <c r="M722" s="1">
        <f>+E722-I722</f>
        <v>-5.3512579650298819E-2</v>
      </c>
      <c r="N722" s="2">
        <v>99.7</v>
      </c>
      <c r="O722" s="2">
        <v>116.1</v>
      </c>
      <c r="P722" s="2">
        <f>+N722-O722</f>
        <v>-16.399999999999991</v>
      </c>
      <c r="Q722">
        <v>-0.7</v>
      </c>
    </row>
    <row r="723" spans="1:17">
      <c r="A723" t="s">
        <v>63</v>
      </c>
      <c r="B723" t="s">
        <v>5</v>
      </c>
      <c r="C723">
        <v>41</v>
      </c>
      <c r="D723">
        <v>41</v>
      </c>
      <c r="E723" s="1">
        <f>+C723/(C723+D723)</f>
        <v>0.5</v>
      </c>
      <c r="F723" s="2">
        <v>118.4</v>
      </c>
      <c r="G723" s="2">
        <v>118.1</v>
      </c>
      <c r="H723" s="2">
        <f>+F723-G723</f>
        <v>0.30000000000001137</v>
      </c>
      <c r="I723" s="1">
        <f>+(F723^14)/((F723^14+G723^14))</f>
        <v>0.50887856400324194</v>
      </c>
      <c r="J723" s="2">
        <v>115.5</v>
      </c>
      <c r="K723" s="2">
        <v>115.4</v>
      </c>
      <c r="L723" s="2">
        <f>+J723-K723</f>
        <v>9.9999999999994316E-2</v>
      </c>
      <c r="M723" s="1">
        <f>+E723-I723</f>
        <v>-8.87856400324194E-3</v>
      </c>
      <c r="N723" s="2">
        <v>102.1</v>
      </c>
      <c r="O723" s="2">
        <v>118.6</v>
      </c>
      <c r="P723" s="2">
        <f>+N723-O723</f>
        <v>-16.5</v>
      </c>
      <c r="Q723">
        <v>-0.9</v>
      </c>
    </row>
    <row r="724" spans="1:17">
      <c r="A724" t="s">
        <v>57</v>
      </c>
      <c r="B724" t="s">
        <v>25</v>
      </c>
      <c r="C724">
        <v>24</v>
      </c>
      <c r="D724">
        <v>58</v>
      </c>
      <c r="E724" s="1">
        <f>+C724/(C724+D724)</f>
        <v>0.29268292682926828</v>
      </c>
      <c r="F724" s="2">
        <v>107.7</v>
      </c>
      <c r="G724" s="2">
        <v>113.3</v>
      </c>
      <c r="H724" s="2">
        <f>+F724-G724</f>
        <v>-5.5999999999999943</v>
      </c>
      <c r="I724" s="1">
        <f>+(F724^14)/((F724^14+G724^14))</f>
        <v>0.3296752595531568</v>
      </c>
      <c r="J724" s="2">
        <v>106.1</v>
      </c>
      <c r="K724" s="2">
        <v>111.3</v>
      </c>
      <c r="L724" s="2">
        <f>+J724-K724</f>
        <v>-5.2000000000000028</v>
      </c>
      <c r="M724" s="1">
        <f>+E724-I724</f>
        <v>-3.6992332723888521E-2</v>
      </c>
      <c r="N724" s="2">
        <v>103</v>
      </c>
      <c r="O724" s="2">
        <v>119.5</v>
      </c>
      <c r="P724" s="2">
        <f>+N724-O724</f>
        <v>-16.5</v>
      </c>
      <c r="Q724">
        <v>-1.5</v>
      </c>
    </row>
    <row r="725" spans="1:17">
      <c r="A725" t="s">
        <v>52</v>
      </c>
      <c r="B725" t="s">
        <v>20</v>
      </c>
      <c r="C725">
        <v>40</v>
      </c>
      <c r="D725">
        <v>42</v>
      </c>
      <c r="E725" s="1">
        <f>+C725/(C725+D725)</f>
        <v>0.48780487804878048</v>
      </c>
      <c r="F725" s="2">
        <v>106.9</v>
      </c>
      <c r="G725" s="2">
        <v>104.3</v>
      </c>
      <c r="H725" s="2">
        <f>+F725-G725</f>
        <v>2.6000000000000085</v>
      </c>
      <c r="I725" s="1">
        <f>+(F725^14)/((F725^14+G725^14))</f>
        <v>0.58533524678753013</v>
      </c>
      <c r="J725" s="2">
        <v>107.7</v>
      </c>
      <c r="K725" s="2">
        <v>105.2</v>
      </c>
      <c r="L725" s="2">
        <f>+J725-K725</f>
        <v>2.5</v>
      </c>
      <c r="M725" s="1">
        <f>+E725-I725</f>
        <v>-9.7530368738749651E-2</v>
      </c>
      <c r="N725" s="2">
        <v>99.7</v>
      </c>
      <c r="O725" s="2">
        <v>116.3</v>
      </c>
      <c r="P725" s="2">
        <f>+N725-O725</f>
        <v>-16.599999999999994</v>
      </c>
      <c r="Q725">
        <v>-2.2999999999999998</v>
      </c>
    </row>
    <row r="726" spans="1:17">
      <c r="A726" t="s">
        <v>65</v>
      </c>
      <c r="B726" t="s">
        <v>51</v>
      </c>
      <c r="C726">
        <v>26</v>
      </c>
      <c r="D726">
        <v>56</v>
      </c>
      <c r="E726" s="1">
        <f>+C726/(C726+D726)</f>
        <v>0.31707317073170732</v>
      </c>
      <c r="F726" s="2">
        <v>105.1</v>
      </c>
      <c r="G726" s="2">
        <v>112.2</v>
      </c>
      <c r="H726" s="2">
        <f>+F726-G726</f>
        <v>-7.1000000000000085</v>
      </c>
      <c r="I726" s="1">
        <f>+(F726^14)/((F726^14+G726^14))</f>
        <v>0.28593897521823097</v>
      </c>
      <c r="J726" s="2">
        <v>108.1</v>
      </c>
      <c r="K726" s="2">
        <v>115.4</v>
      </c>
      <c r="L726" s="2">
        <f>+J726-K726</f>
        <v>-7.3000000000000114</v>
      </c>
      <c r="M726" s="1">
        <f>+E726-I726</f>
        <v>3.1134195513476348E-2</v>
      </c>
      <c r="N726" s="2">
        <v>100.3</v>
      </c>
      <c r="O726" s="2">
        <v>116.9</v>
      </c>
      <c r="P726" s="2">
        <f>+N726-O726</f>
        <v>-16.600000000000009</v>
      </c>
      <c r="Q726">
        <v>-1.6</v>
      </c>
    </row>
    <row r="727" spans="1:17">
      <c r="A727" t="s">
        <v>47</v>
      </c>
      <c r="B727" t="s">
        <v>27</v>
      </c>
      <c r="C727">
        <v>25</v>
      </c>
      <c r="D727">
        <v>57</v>
      </c>
      <c r="E727" s="1">
        <f>+C727/(C727+D727)</f>
        <v>0.3048780487804878</v>
      </c>
      <c r="F727" s="2">
        <v>100</v>
      </c>
      <c r="G727" s="2">
        <v>104.4</v>
      </c>
      <c r="H727" s="2">
        <f>+F727-G727</f>
        <v>-4.4000000000000057</v>
      </c>
      <c r="I727" s="1">
        <f>+(F727^14)/((F727^14+G727^14))</f>
        <v>0.35369584952753241</v>
      </c>
      <c r="J727" s="2">
        <v>104.4</v>
      </c>
      <c r="K727" s="2">
        <v>109.1</v>
      </c>
      <c r="L727" s="2">
        <f>+J727-K727</f>
        <v>-4.6999999999999886</v>
      </c>
      <c r="M727" s="1">
        <f>+E727-I727</f>
        <v>-4.8817800747044615E-2</v>
      </c>
      <c r="N727" s="2">
        <v>98.1</v>
      </c>
      <c r="O727" s="2">
        <v>114.8</v>
      </c>
      <c r="P727" s="2">
        <f>+N727-O727</f>
        <v>-16.700000000000003</v>
      </c>
      <c r="Q727">
        <v>-0.9</v>
      </c>
    </row>
    <row r="728" spans="1:17">
      <c r="A728" t="s">
        <v>38</v>
      </c>
      <c r="B728" t="s">
        <v>5</v>
      </c>
      <c r="C728">
        <v>28</v>
      </c>
      <c r="D728">
        <v>54</v>
      </c>
      <c r="E728" s="1">
        <f>+C728/(C728+D728)</f>
        <v>0.34146341463414637</v>
      </c>
      <c r="F728" s="2">
        <v>92.8</v>
      </c>
      <c r="G728" s="2">
        <v>97.5</v>
      </c>
      <c r="H728" s="2">
        <f>+F728-G728</f>
        <v>-4.7000000000000028</v>
      </c>
      <c r="I728" s="1">
        <f>+(F728^14)/((F728^14+G728^14))</f>
        <v>0.33365937867276591</v>
      </c>
      <c r="J728" s="2">
        <v>99.1</v>
      </c>
      <c r="K728" s="2">
        <v>103.9</v>
      </c>
      <c r="L728" s="2">
        <f>+J728-K728</f>
        <v>-4.8000000000000114</v>
      </c>
      <c r="M728" s="1">
        <f>+E728-I728</f>
        <v>7.8040359613804622E-3</v>
      </c>
      <c r="N728" s="2">
        <v>89.9</v>
      </c>
      <c r="O728" s="2">
        <v>106.7</v>
      </c>
      <c r="P728" s="2">
        <f>+N728-O728</f>
        <v>-16.799999999999997</v>
      </c>
      <c r="Q728">
        <v>-1.9</v>
      </c>
    </row>
    <row r="729" spans="1:17">
      <c r="A729" t="s">
        <v>38</v>
      </c>
      <c r="B729" t="s">
        <v>8</v>
      </c>
      <c r="C729">
        <v>23</v>
      </c>
      <c r="D729">
        <v>59</v>
      </c>
      <c r="E729" s="1">
        <f>+C729/(C729+D729)</f>
        <v>0.28048780487804881</v>
      </c>
      <c r="F729" s="2">
        <v>89.7</v>
      </c>
      <c r="G729" s="2">
        <v>96</v>
      </c>
      <c r="H729" s="2">
        <f>+F729-G729</f>
        <v>-6.2999999999999972</v>
      </c>
      <c r="I729" s="1">
        <f>+(F729^14)/((F729^14+G729^14))</f>
        <v>0.27882772823461371</v>
      </c>
      <c r="J729" s="2">
        <v>95.6</v>
      </c>
      <c r="K729" s="2">
        <v>102.1</v>
      </c>
      <c r="L729" s="2">
        <f>+J729-K729</f>
        <v>-6.5</v>
      </c>
      <c r="M729" s="1">
        <f>+E729-I729</f>
        <v>1.6600766434350933E-3</v>
      </c>
      <c r="N729" s="2">
        <v>84</v>
      </c>
      <c r="O729" s="2">
        <v>100.8</v>
      </c>
      <c r="P729" s="2">
        <f>+N729-O729</f>
        <v>-16.799999999999997</v>
      </c>
      <c r="Q729">
        <v>-2.2000000000000002</v>
      </c>
    </row>
    <row r="730" spans="1:17">
      <c r="A730" t="s">
        <v>36</v>
      </c>
      <c r="B730" t="s">
        <v>21</v>
      </c>
      <c r="C730">
        <v>49</v>
      </c>
      <c r="D730">
        <v>33</v>
      </c>
      <c r="E730" s="1">
        <f>+C730/(C730+D730)</f>
        <v>0.59756097560975607</v>
      </c>
      <c r="F730" s="2">
        <v>95.4</v>
      </c>
      <c r="G730" s="2">
        <v>90.1</v>
      </c>
      <c r="H730" s="2">
        <f>+F730-G730</f>
        <v>5.3000000000000114</v>
      </c>
      <c r="I730" s="1">
        <f>+(F730^14)/((F730^14+G730^14))</f>
        <v>0.69002106739686153</v>
      </c>
      <c r="J730" s="2">
        <v>102.1</v>
      </c>
      <c r="K730" s="2">
        <v>96.6</v>
      </c>
      <c r="L730" s="2">
        <f>+J730-K730</f>
        <v>5.5</v>
      </c>
      <c r="M730" s="1">
        <f>+E730-I730</f>
        <v>-9.2460091787105458E-2</v>
      </c>
      <c r="N730" s="2">
        <v>83.1</v>
      </c>
      <c r="O730" s="2">
        <v>100</v>
      </c>
      <c r="P730" s="2">
        <f>+N730-O730</f>
        <v>-16.900000000000006</v>
      </c>
      <c r="Q730">
        <v>-0.7</v>
      </c>
    </row>
    <row r="731" spans="1:17">
      <c r="A731" t="s">
        <v>60</v>
      </c>
      <c r="B731" t="s">
        <v>18</v>
      </c>
      <c r="C731">
        <v>44</v>
      </c>
      <c r="D731">
        <v>29</v>
      </c>
      <c r="E731" s="1">
        <f>+C731/(C731+D731)</f>
        <v>0.60273972602739723</v>
      </c>
      <c r="F731" s="2">
        <v>112</v>
      </c>
      <c r="G731" s="2">
        <v>109.1</v>
      </c>
      <c r="H731" s="2">
        <f>+F731-G731</f>
        <v>2.9000000000000057</v>
      </c>
      <c r="I731" s="1">
        <f>+(F731^14)/((F731^14+G731^14))</f>
        <v>0.5908005274630016</v>
      </c>
      <c r="J731" s="2">
        <v>111.9</v>
      </c>
      <c r="K731" s="2">
        <v>109.3</v>
      </c>
      <c r="L731" s="2">
        <f>+J731-K731</f>
        <v>2.6000000000000085</v>
      </c>
      <c r="M731" s="1">
        <f>+E731-I731</f>
        <v>1.1939198564395626E-2</v>
      </c>
      <c r="N731" s="2">
        <v>98.1</v>
      </c>
      <c r="O731" s="2">
        <v>115.1</v>
      </c>
      <c r="P731" s="2">
        <f>+N731-O731</f>
        <v>-17</v>
      </c>
      <c r="Q731">
        <v>-1.2</v>
      </c>
    </row>
    <row r="732" spans="1:17">
      <c r="A732" t="s">
        <v>47</v>
      </c>
      <c r="B732" t="s">
        <v>24</v>
      </c>
      <c r="C732">
        <v>27</v>
      </c>
      <c r="D732">
        <v>55</v>
      </c>
      <c r="E732" s="1">
        <f>+C732/(C732+D732)</f>
        <v>0.32926829268292684</v>
      </c>
      <c r="F732" s="2">
        <v>97.7</v>
      </c>
      <c r="G732" s="2">
        <v>101.6</v>
      </c>
      <c r="H732" s="2">
        <f>+F732-G732</f>
        <v>-3.8999999999999915</v>
      </c>
      <c r="I732" s="1">
        <f>+(F732^14)/((F732^14+G732^14))</f>
        <v>0.36633141190976742</v>
      </c>
      <c r="J732" s="2">
        <v>104.8</v>
      </c>
      <c r="K732" s="2">
        <v>108.9</v>
      </c>
      <c r="L732" s="2">
        <f>+J732-K732</f>
        <v>-4.1000000000000085</v>
      </c>
      <c r="M732" s="1">
        <f>+E732-I732</f>
        <v>-3.706311922684058E-2</v>
      </c>
      <c r="N732" s="2">
        <v>93.9</v>
      </c>
      <c r="O732" s="2">
        <v>111.1</v>
      </c>
      <c r="P732" s="2">
        <f>+N732-O732</f>
        <v>-17.199999999999989</v>
      </c>
      <c r="Q732">
        <v>-1.4</v>
      </c>
    </row>
    <row r="733" spans="1:17">
      <c r="A733" t="s">
        <v>36</v>
      </c>
      <c r="B733" t="s">
        <v>18</v>
      </c>
      <c r="C733">
        <v>25</v>
      </c>
      <c r="D733">
        <v>57</v>
      </c>
      <c r="E733" s="1">
        <f>+C733/(C733+D733)</f>
        <v>0.3048780487804878</v>
      </c>
      <c r="F733" s="2">
        <v>85.6</v>
      </c>
      <c r="G733" s="2">
        <v>90.6</v>
      </c>
      <c r="H733" s="2">
        <f>+F733-G733</f>
        <v>-5</v>
      </c>
      <c r="I733" s="1">
        <f>+(F733^14)/((F733^14+G733^14))</f>
        <v>0.31114644436616246</v>
      </c>
      <c r="J733" s="2">
        <v>95.4</v>
      </c>
      <c r="K733" s="2">
        <v>101.2</v>
      </c>
      <c r="L733" s="2">
        <f>+J733-K733</f>
        <v>-5.7999999999999972</v>
      </c>
      <c r="M733" s="1">
        <f>+E733-I733</f>
        <v>-6.2683955856746576E-3</v>
      </c>
      <c r="N733" s="2">
        <v>85.2</v>
      </c>
      <c r="O733" s="2">
        <v>102.5</v>
      </c>
      <c r="P733" s="2">
        <f>+N733-O733</f>
        <v>-17.299999999999997</v>
      </c>
      <c r="Q733">
        <v>-0.9</v>
      </c>
    </row>
    <row r="734" spans="1:17">
      <c r="A734" t="s">
        <v>52</v>
      </c>
      <c r="B734" t="s">
        <v>23</v>
      </c>
      <c r="C734">
        <v>23</v>
      </c>
      <c r="D734">
        <v>59</v>
      </c>
      <c r="E734" s="1">
        <f>+C734/(C734+D734)</f>
        <v>0.28048780487804881</v>
      </c>
      <c r="F734" s="2">
        <v>96.5</v>
      </c>
      <c r="G734" s="2">
        <v>102</v>
      </c>
      <c r="H734" s="2">
        <f>+F734-G734</f>
        <v>-5.5</v>
      </c>
      <c r="I734" s="1">
        <f>+(F734^14)/((F734^14+G734^14))</f>
        <v>0.31517888985534531</v>
      </c>
      <c r="J734" s="2">
        <v>101</v>
      </c>
      <c r="K734" s="2">
        <v>106.6</v>
      </c>
      <c r="L734" s="2">
        <f>+J734-K734</f>
        <v>-5.5999999999999943</v>
      </c>
      <c r="M734" s="1">
        <f>+E734-I734</f>
        <v>-3.4691084977296505E-2</v>
      </c>
      <c r="N734" s="2">
        <v>87.9</v>
      </c>
      <c r="O734" s="2">
        <v>105.2</v>
      </c>
      <c r="P734" s="2">
        <f>+N734-O734</f>
        <v>-17.299999999999997</v>
      </c>
      <c r="Q734">
        <v>-0.3</v>
      </c>
    </row>
    <row r="735" spans="1:17">
      <c r="A735" t="s">
        <v>50</v>
      </c>
      <c r="B735" t="s">
        <v>23</v>
      </c>
      <c r="C735">
        <v>20</v>
      </c>
      <c r="D735">
        <v>62</v>
      </c>
      <c r="E735" s="1">
        <f>+C735/(C735+D735)</f>
        <v>0.24390243902439024</v>
      </c>
      <c r="F735" s="2">
        <v>94.1</v>
      </c>
      <c r="G735" s="2">
        <v>101.1</v>
      </c>
      <c r="H735" s="2">
        <f>+F735-G735</f>
        <v>-7</v>
      </c>
      <c r="I735" s="1">
        <f>+(F735^14)/((F735^14+G735^14))</f>
        <v>0.26805187630664556</v>
      </c>
      <c r="J735" s="2">
        <v>100.9</v>
      </c>
      <c r="K735" s="2">
        <v>108.4</v>
      </c>
      <c r="L735" s="2">
        <f>+J735-K735</f>
        <v>-7.5</v>
      </c>
      <c r="M735" s="1">
        <f>+E735-I735</f>
        <v>-2.4149437282255326E-2</v>
      </c>
      <c r="N735" s="2">
        <v>92.7</v>
      </c>
      <c r="O735" s="2">
        <v>110.1</v>
      </c>
      <c r="P735" s="2">
        <f>+N735-O735</f>
        <v>-17.399999999999991</v>
      </c>
      <c r="Q735">
        <v>-1.4</v>
      </c>
    </row>
    <row r="736" spans="1:17">
      <c r="A736" t="s">
        <v>45</v>
      </c>
      <c r="B736" t="s">
        <v>13</v>
      </c>
      <c r="C736">
        <v>29</v>
      </c>
      <c r="D736">
        <v>53</v>
      </c>
      <c r="E736" s="1">
        <f>+C736/(C736+D736)</f>
        <v>0.35365853658536583</v>
      </c>
      <c r="F736" s="2">
        <v>108.6</v>
      </c>
      <c r="G736" s="2">
        <v>112.3</v>
      </c>
      <c r="H736" s="2">
        <f>+F736-G736</f>
        <v>-3.7000000000000028</v>
      </c>
      <c r="I736" s="1">
        <f>+(F736^14)/((F736^14+G736^14))</f>
        <v>0.38484482323315583</v>
      </c>
      <c r="J736" s="2">
        <v>108</v>
      </c>
      <c r="K736" s="2">
        <v>111.7</v>
      </c>
      <c r="L736" s="2">
        <f>+J736-K736</f>
        <v>-3.7000000000000028</v>
      </c>
      <c r="M736" s="1">
        <f>+E736-I736</f>
        <v>-3.1186286647789996E-2</v>
      </c>
      <c r="N736" s="2">
        <v>93.7</v>
      </c>
      <c r="O736" s="2">
        <v>111.1</v>
      </c>
      <c r="P736" s="2">
        <f>+N736-O736</f>
        <v>-17.399999999999991</v>
      </c>
      <c r="Q736">
        <v>-0.7</v>
      </c>
    </row>
    <row r="737" spans="1:17">
      <c r="A737" t="s">
        <v>49</v>
      </c>
      <c r="B737" t="s">
        <v>21</v>
      </c>
      <c r="C737">
        <v>22</v>
      </c>
      <c r="D737">
        <v>44</v>
      </c>
      <c r="E737" s="1">
        <f>+C737/(C737+D737)</f>
        <v>0.33333333333333331</v>
      </c>
      <c r="F737" s="2">
        <v>93.1</v>
      </c>
      <c r="G737" s="2">
        <v>99.1</v>
      </c>
      <c r="H737" s="2">
        <f>+F737-G737</f>
        <v>-6</v>
      </c>
      <c r="I737" s="1">
        <f>+(F737^14)/((F737^14+G737^14))</f>
        <v>0.29434506272936611</v>
      </c>
      <c r="J737" s="2">
        <v>101.8</v>
      </c>
      <c r="K737" s="2">
        <v>108.1</v>
      </c>
      <c r="L737" s="2">
        <f>+J737-K737</f>
        <v>-6.2999999999999972</v>
      </c>
      <c r="M737" s="1">
        <f>+E737-I737</f>
        <v>3.8988270603967201E-2</v>
      </c>
      <c r="N737" s="2">
        <v>102.3</v>
      </c>
      <c r="O737" s="2">
        <v>119.7</v>
      </c>
      <c r="P737" s="2">
        <f>+N737-O737</f>
        <v>-17.400000000000006</v>
      </c>
      <c r="Q737">
        <v>-1.4</v>
      </c>
    </row>
    <row r="738" spans="1:17">
      <c r="A738" t="s">
        <v>4</v>
      </c>
      <c r="B738" t="s">
        <v>5</v>
      </c>
      <c r="C738">
        <v>25</v>
      </c>
      <c r="D738">
        <v>57</v>
      </c>
      <c r="E738" s="1">
        <f>+C738/(C738+D738)</f>
        <v>0.3048780487804878</v>
      </c>
      <c r="F738" s="2">
        <v>91</v>
      </c>
      <c r="G738" s="2">
        <v>96.2</v>
      </c>
      <c r="H738" s="2">
        <f>+F738-G738</f>
        <v>-5.2000000000000028</v>
      </c>
      <c r="I738" s="1">
        <f>+(F738^14)/((F738^14+G738^14))</f>
        <v>0.31475585496453756</v>
      </c>
      <c r="J738" s="2">
        <v>96.9</v>
      </c>
      <c r="K738" s="2">
        <v>102.4</v>
      </c>
      <c r="L738" s="2">
        <f>+J738-K738</f>
        <v>-5.5</v>
      </c>
      <c r="M738" s="1">
        <f>+E738-I738</f>
        <v>-9.8778061840497644E-3</v>
      </c>
      <c r="N738" s="2">
        <v>87</v>
      </c>
      <c r="O738" s="2">
        <v>104.5</v>
      </c>
      <c r="P738" s="2">
        <f>+N738-O738</f>
        <v>-17.5</v>
      </c>
      <c r="Q738">
        <v>-0.9</v>
      </c>
    </row>
    <row r="739" spans="1:17">
      <c r="A739" t="s">
        <v>49</v>
      </c>
      <c r="B739" t="s">
        <v>13</v>
      </c>
      <c r="C739">
        <v>23</v>
      </c>
      <c r="D739">
        <v>43</v>
      </c>
      <c r="E739" s="1">
        <f>+C739/(C739+D739)</f>
        <v>0.34848484848484851</v>
      </c>
      <c r="F739" s="2">
        <v>97.8</v>
      </c>
      <c r="G739" s="2">
        <v>101.2</v>
      </c>
      <c r="H739" s="2">
        <f>+F739-G739</f>
        <v>-3.4000000000000057</v>
      </c>
      <c r="I739" s="1">
        <f>+(F739^14)/((F739^14+G739^14))</f>
        <v>0.38262091434510453</v>
      </c>
      <c r="J739" s="2">
        <v>103.9</v>
      </c>
      <c r="K739" s="2">
        <v>107.3</v>
      </c>
      <c r="L739" s="2">
        <f>+J739-K739</f>
        <v>-3.3999999999999915</v>
      </c>
      <c r="M739" s="1">
        <f>+E739-I739</f>
        <v>-3.4136065860256026E-2</v>
      </c>
      <c r="N739" s="2">
        <v>89</v>
      </c>
      <c r="O739" s="2">
        <v>106.6</v>
      </c>
      <c r="P739" s="2">
        <f>+N739-O739</f>
        <v>-17.599999999999994</v>
      </c>
      <c r="Q739">
        <v>-1</v>
      </c>
    </row>
    <row r="740" spans="1:17">
      <c r="A740" t="s">
        <v>65</v>
      </c>
      <c r="B740" t="s">
        <v>30</v>
      </c>
      <c r="C740">
        <v>30</v>
      </c>
      <c r="D740">
        <v>52</v>
      </c>
      <c r="E740" s="1">
        <f>+C740/(C740+D740)</f>
        <v>0.36585365853658536</v>
      </c>
      <c r="F740" s="2">
        <v>110.9</v>
      </c>
      <c r="G740" s="2">
        <v>115.2</v>
      </c>
      <c r="H740" s="2">
        <f>+F740-G740</f>
        <v>-4.2999999999999972</v>
      </c>
      <c r="I740" s="1">
        <f>+(F740^14)/((F740^14+G740^14))</f>
        <v>0.36991722047205011</v>
      </c>
      <c r="J740" s="2">
        <v>109.6</v>
      </c>
      <c r="K740" s="2">
        <v>113.6</v>
      </c>
      <c r="L740" s="2">
        <f>+J740-K740</f>
        <v>-4</v>
      </c>
      <c r="M740" s="1">
        <f>+E740-I740</f>
        <v>-4.0635619354647545E-3</v>
      </c>
      <c r="N740" s="2">
        <v>99.6</v>
      </c>
      <c r="O740" s="2">
        <v>117.6</v>
      </c>
      <c r="P740" s="2">
        <f>+N740-O740</f>
        <v>-18</v>
      </c>
      <c r="Q740">
        <v>-0.8</v>
      </c>
    </row>
    <row r="741" spans="1:17">
      <c r="A741" t="s">
        <v>66</v>
      </c>
      <c r="B741" t="s">
        <v>53</v>
      </c>
      <c r="C741">
        <v>20</v>
      </c>
      <c r="D741">
        <v>45</v>
      </c>
      <c r="E741" s="1">
        <f>+C741/(C741+D741)</f>
        <v>0.30769230769230771</v>
      </c>
      <c r="F741" s="2">
        <v>115.2</v>
      </c>
      <c r="G741" s="2">
        <v>120.2</v>
      </c>
      <c r="H741" s="2">
        <f>+F741-G741</f>
        <v>-5</v>
      </c>
      <c r="I741" s="1">
        <f>+(F741^14)/((F741^14+G741^14))</f>
        <v>0.35552926815627678</v>
      </c>
      <c r="J741" s="2">
        <v>112.8</v>
      </c>
      <c r="K741" s="2">
        <v>117.8</v>
      </c>
      <c r="L741" s="2">
        <f>+J741-K741</f>
        <v>-5</v>
      </c>
      <c r="M741" s="1">
        <f>+E741-I741</f>
        <v>-4.7836960463969069E-2</v>
      </c>
      <c r="N741" s="2">
        <v>105.7</v>
      </c>
      <c r="O741" s="2">
        <v>123.7</v>
      </c>
      <c r="P741" s="2">
        <f>+N741-O741</f>
        <v>-18</v>
      </c>
      <c r="Q741" s="2">
        <v>-1.1000000000000001</v>
      </c>
    </row>
    <row r="742" spans="1:17">
      <c r="A742" t="s">
        <v>63</v>
      </c>
      <c r="B742" t="s">
        <v>12</v>
      </c>
      <c r="C742">
        <v>17</v>
      </c>
      <c r="D742">
        <v>65</v>
      </c>
      <c r="E742" s="1">
        <f>+C742/(C742+D742)</f>
        <v>0.2073170731707317</v>
      </c>
      <c r="F742" s="2">
        <v>110.3</v>
      </c>
      <c r="G742" s="2">
        <v>118.5</v>
      </c>
      <c r="H742" s="2">
        <f>+F742-G742</f>
        <v>-8.2000000000000028</v>
      </c>
      <c r="I742" s="1">
        <f>+(F742^14)/((F742^14+G742^14))</f>
        <v>0.26817012920716587</v>
      </c>
      <c r="J742" s="2">
        <v>109.9</v>
      </c>
      <c r="K742" s="2">
        <v>117.8</v>
      </c>
      <c r="L742" s="2">
        <f>+J742-K742</f>
        <v>-7.8999999999999915</v>
      </c>
      <c r="M742" s="1">
        <f>+E742-I742</f>
        <v>-6.0853056036434178E-2</v>
      </c>
      <c r="N742" s="2">
        <v>104.7</v>
      </c>
      <c r="O742" s="2">
        <v>122.7</v>
      </c>
      <c r="P742" s="2">
        <f>+N742-O742</f>
        <v>-18</v>
      </c>
      <c r="Q742">
        <v>-2.1</v>
      </c>
    </row>
    <row r="743" spans="1:17">
      <c r="A743" t="s">
        <v>66</v>
      </c>
      <c r="B743" t="s">
        <v>35</v>
      </c>
      <c r="C743">
        <v>23</v>
      </c>
      <c r="D743">
        <v>39</v>
      </c>
      <c r="E743" s="1">
        <f>+C743/(C743+D743)</f>
        <v>0.37096774193548387</v>
      </c>
      <c r="F743" s="2">
        <v>115.7</v>
      </c>
      <c r="G743" s="2">
        <v>117.8</v>
      </c>
      <c r="H743" s="2">
        <f>+F743-G743</f>
        <v>-2.0999999999999943</v>
      </c>
      <c r="I743" s="1">
        <f>+(F743^14)/((F743^14+G743^14))</f>
        <v>0.43737388346402561</v>
      </c>
      <c r="J743" s="2">
        <v>113.5</v>
      </c>
      <c r="K743" s="2">
        <v>115.8</v>
      </c>
      <c r="L743" s="2">
        <f>+J743-K743</f>
        <v>-2.2999999999999972</v>
      </c>
      <c r="M743" s="1">
        <f>+E743-I743</f>
        <v>-6.640614152854174E-2</v>
      </c>
      <c r="N743" s="2">
        <v>100.4</v>
      </c>
      <c r="O743" s="2">
        <v>118.6</v>
      </c>
      <c r="P743" s="2">
        <f>+N743-O743</f>
        <v>-18.199999999999989</v>
      </c>
      <c r="Q743" s="2">
        <v>-1.1000000000000001</v>
      </c>
    </row>
    <row r="744" spans="1:17">
      <c r="A744" t="s">
        <v>48</v>
      </c>
      <c r="B744" t="s">
        <v>27</v>
      </c>
      <c r="C744">
        <v>24</v>
      </c>
      <c r="D744">
        <v>58</v>
      </c>
      <c r="E744" s="1">
        <f>+C744/(C744+D744)</f>
        <v>0.29268292682926828</v>
      </c>
      <c r="F744" s="2">
        <v>99.4</v>
      </c>
      <c r="G744" s="2">
        <v>104.7</v>
      </c>
      <c r="H744" s="2">
        <f>+F744-G744</f>
        <v>-5.2999999999999972</v>
      </c>
      <c r="I744" s="1">
        <f>+(F744^14)/((F744^14+G744^14))</f>
        <v>0.32579671565672774</v>
      </c>
      <c r="J744" s="2">
        <v>102.9</v>
      </c>
      <c r="K744" s="2">
        <v>108.4</v>
      </c>
      <c r="L744" s="2">
        <f>+J744-K744</f>
        <v>-5.5</v>
      </c>
      <c r="M744" s="1">
        <f>+E744-I744</f>
        <v>-3.3113788827459467E-2</v>
      </c>
      <c r="N744" s="2">
        <v>88.3</v>
      </c>
      <c r="O744" s="2">
        <v>107</v>
      </c>
      <c r="P744" s="2">
        <f>+N744-O744</f>
        <v>-18.700000000000003</v>
      </c>
      <c r="Q744">
        <v>-0.3</v>
      </c>
    </row>
    <row r="745" spans="1:17">
      <c r="A745" t="s">
        <v>45</v>
      </c>
      <c r="B745" t="s">
        <v>20</v>
      </c>
      <c r="C745">
        <v>24</v>
      </c>
      <c r="D745">
        <v>58</v>
      </c>
      <c r="E745" s="1">
        <f>+C745/(C745+D745)</f>
        <v>0.29268292682926828</v>
      </c>
      <c r="F745" s="2">
        <v>97.8</v>
      </c>
      <c r="G745" s="2">
        <v>102.7</v>
      </c>
      <c r="H745" s="2">
        <f>+F745-G745</f>
        <v>-4.9000000000000057</v>
      </c>
      <c r="I745" s="1">
        <f>+(F745^14)/((F745^14+G745^14))</f>
        <v>0.33527428063081338</v>
      </c>
      <c r="J745" s="2">
        <v>104.9</v>
      </c>
      <c r="K745" s="2">
        <v>109.9</v>
      </c>
      <c r="L745" s="2">
        <f>+J745-K745</f>
        <v>-5</v>
      </c>
      <c r="M745" s="1">
        <f>+E745-I745</f>
        <v>-4.2591353801545107E-2</v>
      </c>
      <c r="N745" s="2">
        <v>100.9</v>
      </c>
      <c r="O745" s="2">
        <v>119.7</v>
      </c>
      <c r="P745" s="2">
        <f>+N745-O745</f>
        <v>-18.799999999999997</v>
      </c>
      <c r="Q745">
        <v>-1</v>
      </c>
    </row>
    <row r="746" spans="1:17">
      <c r="A746" t="s">
        <v>47</v>
      </c>
      <c r="B746" t="s">
        <v>13</v>
      </c>
      <c r="C746">
        <v>26</v>
      </c>
      <c r="D746">
        <v>56</v>
      </c>
      <c r="E746" s="1">
        <f>+C746/(C746+D746)</f>
        <v>0.31707317073170732</v>
      </c>
      <c r="F746" s="2">
        <v>108.8</v>
      </c>
      <c r="G746" s="2">
        <v>112.4</v>
      </c>
      <c r="H746" s="2">
        <f>+F746-G746</f>
        <v>-3.6000000000000085</v>
      </c>
      <c r="I746" s="1">
        <f>+(F746^14)/((F746^14+G746^14))</f>
        <v>0.38799774425602013</v>
      </c>
      <c r="J746" s="2">
        <v>107</v>
      </c>
      <c r="K746" s="2">
        <v>110.3</v>
      </c>
      <c r="L746" s="2">
        <f>+J746-K746</f>
        <v>-3.2999999999999972</v>
      </c>
      <c r="M746" s="1">
        <f>+E746-I746</f>
        <v>-7.0924573524312806E-2</v>
      </c>
      <c r="N746" s="2">
        <v>94.4</v>
      </c>
      <c r="O746" s="2">
        <v>113.4</v>
      </c>
      <c r="P746" s="2">
        <f>+N746-O746</f>
        <v>-19</v>
      </c>
      <c r="Q746">
        <v>1.4</v>
      </c>
    </row>
    <row r="747" spans="1:17">
      <c r="A747" t="s">
        <v>55</v>
      </c>
      <c r="B747" t="s">
        <v>31</v>
      </c>
      <c r="C747">
        <v>40</v>
      </c>
      <c r="D747">
        <v>42</v>
      </c>
      <c r="E747" s="1">
        <f>+C747/(C747+D747)</f>
        <v>0.48780487804878048</v>
      </c>
      <c r="F747" s="2">
        <v>97.7</v>
      </c>
      <c r="G747" s="2">
        <v>95.9</v>
      </c>
      <c r="H747" s="2">
        <f>+F747-G747</f>
        <v>1.7999999999999972</v>
      </c>
      <c r="I747" s="1">
        <f>+(F747^14)/((F747^14+G747^14))</f>
        <v>0.56471939759532841</v>
      </c>
      <c r="J747" s="2">
        <v>105</v>
      </c>
      <c r="K747" s="2">
        <v>103.2</v>
      </c>
      <c r="L747" s="2">
        <f>+J747-K747</f>
        <v>1.7999999999999972</v>
      </c>
      <c r="M747" s="1">
        <f>+E747-I747</f>
        <v>-7.6914519546547933E-2</v>
      </c>
      <c r="N747" s="2">
        <v>99.5</v>
      </c>
      <c r="O747" s="2">
        <v>118.9</v>
      </c>
      <c r="P747" s="2">
        <f>+N747-O747</f>
        <v>-19.400000000000006</v>
      </c>
      <c r="Q747">
        <v>0.5</v>
      </c>
    </row>
    <row r="748" spans="1:17">
      <c r="A748" t="s">
        <v>39</v>
      </c>
      <c r="B748" t="s">
        <v>37</v>
      </c>
      <c r="C748">
        <v>18</v>
      </c>
      <c r="D748">
        <v>64</v>
      </c>
      <c r="E748" s="1">
        <f>+C748/(C748+D748)</f>
        <v>0.21951219512195122</v>
      </c>
      <c r="F748" s="2">
        <v>88.4</v>
      </c>
      <c r="G748" s="2">
        <v>95.5</v>
      </c>
      <c r="H748" s="2">
        <f>+F748-G748</f>
        <v>-7.0999999999999943</v>
      </c>
      <c r="I748" s="1">
        <f>+(F748^14)/((F748^14+G748^14))</f>
        <v>0.25321093551837054</v>
      </c>
      <c r="J748" s="2">
        <v>98.2</v>
      </c>
      <c r="K748" s="2">
        <v>105.9</v>
      </c>
      <c r="L748" s="2">
        <f>+J748-K748</f>
        <v>-7.7000000000000028</v>
      </c>
      <c r="M748" s="1">
        <f>+E748-I748</f>
        <v>-3.3698740396419319E-2</v>
      </c>
      <c r="N748" s="2">
        <v>88</v>
      </c>
      <c r="O748" s="2">
        <v>107.5</v>
      </c>
      <c r="P748" s="2">
        <f>+N748-O748</f>
        <v>-19.5</v>
      </c>
      <c r="Q748">
        <v>-0.1</v>
      </c>
    </row>
    <row r="749" spans="1:17">
      <c r="A749" t="s">
        <v>34</v>
      </c>
      <c r="B749" t="s">
        <v>13</v>
      </c>
      <c r="C749">
        <v>21</v>
      </c>
      <c r="D749">
        <v>61</v>
      </c>
      <c r="E749" s="1">
        <f>+C749/(C749+D749)</f>
        <v>0.25609756097560976</v>
      </c>
      <c r="F749" s="2">
        <v>97.7</v>
      </c>
      <c r="G749" s="2">
        <v>103.1</v>
      </c>
      <c r="H749" s="2">
        <f>+F749-G749</f>
        <v>-5.3999999999999915</v>
      </c>
      <c r="I749" s="1">
        <f>+(F749^14)/((F749^14+G749^14))</f>
        <v>0.32013104307048473</v>
      </c>
      <c r="J749" s="2">
        <v>101.5</v>
      </c>
      <c r="K749" s="2">
        <v>107.1</v>
      </c>
      <c r="L749" s="2">
        <f>+J749-K749</f>
        <v>-5.5999999999999943</v>
      </c>
      <c r="M749" s="1">
        <f>+E749-I749</f>
        <v>-6.4033482094874972E-2</v>
      </c>
      <c r="N749" s="2">
        <v>85.4</v>
      </c>
      <c r="O749" s="2">
        <v>105.3</v>
      </c>
      <c r="P749" s="2">
        <f>+N749-O749</f>
        <v>-19.899999999999991</v>
      </c>
      <c r="Q749">
        <v>0</v>
      </c>
    </row>
    <row r="750" spans="1:17">
      <c r="A750" t="s">
        <v>47</v>
      </c>
      <c r="B750" t="s">
        <v>15</v>
      </c>
      <c r="C750">
        <v>32</v>
      </c>
      <c r="D750">
        <v>50</v>
      </c>
      <c r="E750" s="1">
        <f>+C750/(C750+D750)</f>
        <v>0.3902439024390244</v>
      </c>
      <c r="F750" s="2">
        <v>100.8</v>
      </c>
      <c r="G750" s="2">
        <v>103.8</v>
      </c>
      <c r="H750" s="2">
        <f>+F750-G750</f>
        <v>-3</v>
      </c>
      <c r="I750" s="1">
        <f>+(F750^14)/((F750^14+G750^14))</f>
        <v>0.39877147110517808</v>
      </c>
      <c r="J750" s="2">
        <v>103</v>
      </c>
      <c r="K750" s="2">
        <v>106</v>
      </c>
      <c r="L750" s="2">
        <f>+J750-K750</f>
        <v>-3</v>
      </c>
      <c r="M750" s="1">
        <f>+E750-I750</f>
        <v>-8.5275686661536731E-3</v>
      </c>
      <c r="N750" s="2">
        <v>84</v>
      </c>
      <c r="O750" s="2">
        <v>103.9</v>
      </c>
      <c r="P750" s="2">
        <f>+N750-O750</f>
        <v>-19.900000000000006</v>
      </c>
      <c r="Q750">
        <v>0.2</v>
      </c>
    </row>
    <row r="751" spans="1:17">
      <c r="A751" t="s">
        <v>48</v>
      </c>
      <c r="B751" t="s">
        <v>30</v>
      </c>
      <c r="C751">
        <v>22</v>
      </c>
      <c r="D751">
        <v>60</v>
      </c>
      <c r="E751" s="1">
        <f>+C751/(C751+D751)</f>
        <v>0.26829268292682928</v>
      </c>
      <c r="F751" s="2">
        <v>99.1</v>
      </c>
      <c r="G751" s="2">
        <v>105.4</v>
      </c>
      <c r="H751" s="2">
        <f>+F751-G751</f>
        <v>-6.3000000000000114</v>
      </c>
      <c r="I751" s="1">
        <f>+(F751^14)/((F751^14+G751^14))</f>
        <v>0.29674116981682536</v>
      </c>
      <c r="J751" s="2">
        <v>105.2</v>
      </c>
      <c r="K751" s="2">
        <v>111.7</v>
      </c>
      <c r="L751" s="2">
        <f>+J751-K751</f>
        <v>-6.5</v>
      </c>
      <c r="M751" s="1">
        <f>+E751-I751</f>
        <v>-2.8448486889996072E-2</v>
      </c>
      <c r="N751" s="2">
        <v>93.3</v>
      </c>
      <c r="O751" s="2">
        <v>113.2</v>
      </c>
      <c r="P751" s="2">
        <f>+N751-O751</f>
        <v>-19.900000000000006</v>
      </c>
      <c r="Q751">
        <v>-1.7</v>
      </c>
    </row>
    <row r="752" spans="1:17">
      <c r="A752" t="s">
        <v>45</v>
      </c>
      <c r="B752" t="s">
        <v>33</v>
      </c>
      <c r="C752">
        <v>19</v>
      </c>
      <c r="D752">
        <v>63</v>
      </c>
      <c r="E752" s="1">
        <f>+C752/(C752+D752)</f>
        <v>0.23170731707317074</v>
      </c>
      <c r="F752" s="2">
        <v>96.1</v>
      </c>
      <c r="G752" s="2">
        <v>103.5</v>
      </c>
      <c r="H752" s="2">
        <f>+F752-G752</f>
        <v>-7.4000000000000057</v>
      </c>
      <c r="I752" s="1">
        <f>+(F752^14)/((F752^14+G752^14))</f>
        <v>0.26142945333120382</v>
      </c>
      <c r="J752" s="2">
        <v>104</v>
      </c>
      <c r="K752" s="2">
        <v>112.1</v>
      </c>
      <c r="L752" s="2">
        <f>+J752-K752</f>
        <v>-8.0999999999999943</v>
      </c>
      <c r="M752" s="1">
        <f>+E752-I752</f>
        <v>-2.9722136258033077E-2</v>
      </c>
      <c r="N752" s="2">
        <v>98.5</v>
      </c>
      <c r="O752" s="2">
        <v>118.7</v>
      </c>
      <c r="P752" s="2">
        <f>+N752-O752</f>
        <v>-20.200000000000003</v>
      </c>
      <c r="Q752">
        <v>-1.6</v>
      </c>
    </row>
    <row r="753" spans="1:17">
      <c r="A753" t="s">
        <v>50</v>
      </c>
      <c r="B753" t="s">
        <v>33</v>
      </c>
      <c r="C753">
        <v>29</v>
      </c>
      <c r="D753">
        <v>53</v>
      </c>
      <c r="E753" s="1">
        <f>+C753/(C753+D753)</f>
        <v>0.35365853658536583</v>
      </c>
      <c r="F753" s="2">
        <v>93.2</v>
      </c>
      <c r="G753" s="2">
        <v>95.8</v>
      </c>
      <c r="H753" s="2">
        <f>+F753-G753</f>
        <v>-2.5999999999999943</v>
      </c>
      <c r="I753" s="1">
        <f>+(F753^14)/((F753^14+G753^14))</f>
        <v>0.4048710493768114</v>
      </c>
      <c r="J753" s="2">
        <v>99.3</v>
      </c>
      <c r="K753" s="2">
        <v>101.6</v>
      </c>
      <c r="L753" s="2">
        <f>+J753-K753</f>
        <v>-2.2999999999999972</v>
      </c>
      <c r="M753" s="1">
        <f>+E753-I753</f>
        <v>-5.1212512791445564E-2</v>
      </c>
      <c r="N753" s="2">
        <v>80.5</v>
      </c>
      <c r="O753" s="2">
        <v>100.7</v>
      </c>
      <c r="P753" s="2">
        <f>+N753-O753</f>
        <v>-20.200000000000003</v>
      </c>
      <c r="Q753">
        <v>0.6</v>
      </c>
    </row>
    <row r="754" spans="1:17">
      <c r="A754" t="s">
        <v>49</v>
      </c>
      <c r="B754" t="s">
        <v>33</v>
      </c>
      <c r="C754">
        <v>20</v>
      </c>
      <c r="D754">
        <v>46</v>
      </c>
      <c r="E754" s="1">
        <f>+C754/(C754+D754)</f>
        <v>0.30303030303030304</v>
      </c>
      <c r="F754" s="2">
        <v>93.6</v>
      </c>
      <c r="G754" s="2">
        <v>98.4</v>
      </c>
      <c r="H754" s="2">
        <f>+F754-G754</f>
        <v>-4.8000000000000114</v>
      </c>
      <c r="I754" s="1">
        <f>+(F754^14)/((F754^14+G754^14))</f>
        <v>0.33177988336782011</v>
      </c>
      <c r="J754" s="2">
        <v>100</v>
      </c>
      <c r="K754" s="2">
        <v>104.9</v>
      </c>
      <c r="L754" s="2">
        <f>+J754-K754</f>
        <v>-4.9000000000000057</v>
      </c>
      <c r="M754" s="1">
        <f>+E754-I754</f>
        <v>-2.8749580337517067E-2</v>
      </c>
      <c r="N754" s="2">
        <v>90</v>
      </c>
      <c r="O754" s="2">
        <v>110.3</v>
      </c>
      <c r="P754" s="2">
        <f>+N754-O754</f>
        <v>-20.299999999999997</v>
      </c>
      <c r="Q754">
        <v>-0.3</v>
      </c>
    </row>
    <row r="755" spans="1:17">
      <c r="A755" t="s">
        <v>65</v>
      </c>
      <c r="B755" t="s">
        <v>31</v>
      </c>
      <c r="C755">
        <v>17</v>
      </c>
      <c r="D755">
        <v>65</v>
      </c>
      <c r="E755" s="1">
        <f>+C755/(C755+D755)</f>
        <v>0.2073170731707317</v>
      </c>
      <c r="F755" s="2">
        <v>111.9</v>
      </c>
      <c r="G755" s="2">
        <v>121.2</v>
      </c>
      <c r="H755" s="2">
        <f>+F755-G755</f>
        <v>-9.2999999999999972</v>
      </c>
      <c r="I755" s="1">
        <f>+(F755^14)/((F755^14+G755^14))</f>
        <v>0.24643622472101792</v>
      </c>
      <c r="J755" s="2">
        <v>110.2</v>
      </c>
      <c r="K755" s="2">
        <v>119.4</v>
      </c>
      <c r="L755" s="2">
        <f>+J755-K755</f>
        <v>-9.2000000000000028</v>
      </c>
      <c r="M755" s="1">
        <f>+E755-I755</f>
        <v>-3.9119151550286224E-2</v>
      </c>
      <c r="N755" s="2">
        <v>106.5</v>
      </c>
      <c r="O755" s="2">
        <v>127</v>
      </c>
      <c r="P755" s="2">
        <f>+N755-O755</f>
        <v>-20.5</v>
      </c>
      <c r="Q755">
        <v>-2</v>
      </c>
    </row>
    <row r="756" spans="1:17">
      <c r="A756" t="s">
        <v>61</v>
      </c>
      <c r="B756" t="s">
        <v>12</v>
      </c>
      <c r="C756">
        <v>20</v>
      </c>
      <c r="D756">
        <v>52</v>
      </c>
      <c r="E756" s="1">
        <f>+C756/(C756+D756)</f>
        <v>0.27777777777777779</v>
      </c>
      <c r="F756" s="2">
        <v>106.6</v>
      </c>
      <c r="G756" s="2">
        <v>111.1</v>
      </c>
      <c r="H756" s="2">
        <f>+F756-G756</f>
        <v>-4.5</v>
      </c>
      <c r="I756" s="1">
        <f>+(F756^14)/((F756^14+G756^14))</f>
        <v>0.35919481428812144</v>
      </c>
      <c r="J756" s="2">
        <v>107.6</v>
      </c>
      <c r="K756" s="2">
        <v>112.2</v>
      </c>
      <c r="L756" s="2">
        <f>+J756-K756</f>
        <v>-4.6000000000000085</v>
      </c>
      <c r="M756" s="1">
        <f>+E756-I756</f>
        <v>-8.1417036510343654E-2</v>
      </c>
      <c r="N756" s="2">
        <v>101.2</v>
      </c>
      <c r="O756" s="2">
        <v>121.7</v>
      </c>
      <c r="P756" s="2">
        <f>+N756-O756</f>
        <v>-20.5</v>
      </c>
      <c r="Q756">
        <v>-0.3</v>
      </c>
    </row>
    <row r="757" spans="1:17">
      <c r="A757" t="s">
        <v>45</v>
      </c>
      <c r="B757" t="s">
        <v>16</v>
      </c>
      <c r="C757">
        <v>19</v>
      </c>
      <c r="D757">
        <v>63</v>
      </c>
      <c r="E757" s="1">
        <f>+C757/(C757+D757)</f>
        <v>0.23170731707317074</v>
      </c>
      <c r="F757" s="2">
        <v>95.1</v>
      </c>
      <c r="G757" s="2">
        <v>103.9</v>
      </c>
      <c r="H757" s="2">
        <f>+F757-G757</f>
        <v>-8.8000000000000114</v>
      </c>
      <c r="I757" s="1">
        <f>+(F757^14)/((F757^14+G757^14))</f>
        <v>0.22461027237292155</v>
      </c>
      <c r="J757" s="2">
        <v>101</v>
      </c>
      <c r="K757" s="2">
        <v>110.1</v>
      </c>
      <c r="L757" s="2">
        <f>+J757-K757</f>
        <v>-9.0999999999999943</v>
      </c>
      <c r="M757" s="1">
        <f>+E757-I757</f>
        <v>7.0970447002491888E-3</v>
      </c>
      <c r="N757" s="2">
        <v>92.9</v>
      </c>
      <c r="O757" s="2">
        <v>113.7</v>
      </c>
      <c r="P757" s="2">
        <f>+N757-O757</f>
        <v>-20.799999999999997</v>
      </c>
      <c r="Q757">
        <v>-2.2000000000000002</v>
      </c>
    </row>
    <row r="758" spans="1:17">
      <c r="A758" t="s">
        <v>60</v>
      </c>
      <c r="B758" t="s">
        <v>8</v>
      </c>
      <c r="C758">
        <v>22</v>
      </c>
      <c r="D758">
        <v>43</v>
      </c>
      <c r="E758" s="1">
        <f>+C758/(C758+D758)</f>
        <v>0.33846153846153848</v>
      </c>
      <c r="F758" s="2">
        <v>106.8</v>
      </c>
      <c r="G758" s="2">
        <v>109.9</v>
      </c>
      <c r="H758" s="2">
        <f>+F758-G758</f>
        <v>-3.1000000000000085</v>
      </c>
      <c r="I758" s="1">
        <f>+(F758^14)/((F758^14+G758^14))</f>
        <v>0.40117273517246865</v>
      </c>
      <c r="J758" s="2">
        <v>105.8</v>
      </c>
      <c r="K758" s="2">
        <v>108.9</v>
      </c>
      <c r="L758" s="2">
        <f>+J758-K758</f>
        <v>-3.1000000000000085</v>
      </c>
      <c r="M758" s="1">
        <f>+E758-I758</f>
        <v>-6.2711196710930173E-2</v>
      </c>
      <c r="N758" s="2">
        <v>106.5</v>
      </c>
      <c r="O758" s="2">
        <v>127.3</v>
      </c>
      <c r="P758" s="2">
        <f>+N758-O758</f>
        <v>-20.799999999999997</v>
      </c>
      <c r="Q758">
        <v>-0.5</v>
      </c>
    </row>
    <row r="759" spans="1:17">
      <c r="A759" t="s">
        <v>36</v>
      </c>
      <c r="B759" t="s">
        <v>11</v>
      </c>
      <c r="C759">
        <v>17</v>
      </c>
      <c r="D759">
        <v>65</v>
      </c>
      <c r="E759" s="1">
        <f>+C759/(C759+D759)</f>
        <v>0.2073170731707317</v>
      </c>
      <c r="F759" s="2">
        <v>84.2</v>
      </c>
      <c r="G759" s="2">
        <v>92.4</v>
      </c>
      <c r="H759" s="2">
        <f>+F759-G759</f>
        <v>-8.2000000000000028</v>
      </c>
      <c r="I759" s="1">
        <f>+(F759^14)/((F759^14+G759^14))</f>
        <v>0.21398855794642072</v>
      </c>
      <c r="J759" s="2">
        <v>91.2</v>
      </c>
      <c r="K759" s="2">
        <v>100.1</v>
      </c>
      <c r="L759" s="2">
        <f>+J759-K759</f>
        <v>-8.8999999999999915</v>
      </c>
      <c r="M759" s="1">
        <f>+E759-I759</f>
        <v>-6.6714847756890183E-3</v>
      </c>
      <c r="N759" s="2">
        <v>89.6</v>
      </c>
      <c r="O759" s="2">
        <v>110.9</v>
      </c>
      <c r="P759" s="2">
        <f>+N759-O759</f>
        <v>-21.300000000000011</v>
      </c>
      <c r="Q759">
        <v>-0.5</v>
      </c>
    </row>
    <row r="760" spans="1:17">
      <c r="A760" t="s">
        <v>52</v>
      </c>
      <c r="B760" t="s">
        <v>19</v>
      </c>
      <c r="C760">
        <v>15</v>
      </c>
      <c r="D760">
        <v>67</v>
      </c>
      <c r="E760" s="1">
        <f>+C760/(C760+D760)</f>
        <v>0.18292682926829268</v>
      </c>
      <c r="F760" s="2">
        <v>95.5</v>
      </c>
      <c r="G760" s="2">
        <v>103.7</v>
      </c>
      <c r="H760" s="2">
        <f>+F760-G760</f>
        <v>-8.2000000000000028</v>
      </c>
      <c r="I760" s="1">
        <f>+(F760^14)/((F760^14+G760^14))</f>
        <v>0.23989374282891526</v>
      </c>
      <c r="J760" s="2">
        <v>101.9</v>
      </c>
      <c r="K760" s="2">
        <v>110.2</v>
      </c>
      <c r="L760" s="2">
        <f>+J760-K760</f>
        <v>-8.2999999999999972</v>
      </c>
      <c r="M760" s="1">
        <f>+E760-I760</f>
        <v>-5.6966913560622584E-2</v>
      </c>
      <c r="N760" s="2">
        <v>87.3</v>
      </c>
      <c r="O760" s="2">
        <v>108.7</v>
      </c>
      <c r="P760" s="2">
        <f>+N760-O760</f>
        <v>-21.400000000000006</v>
      </c>
      <c r="Q760">
        <v>0</v>
      </c>
    </row>
    <row r="761" spans="1:17">
      <c r="A761" t="s">
        <v>60</v>
      </c>
      <c r="B761" t="s">
        <v>13</v>
      </c>
      <c r="C761">
        <v>15</v>
      </c>
      <c r="D761">
        <v>50</v>
      </c>
      <c r="E761" s="1">
        <f>+C761/(C761+D761)</f>
        <v>0.23076923076923078</v>
      </c>
      <c r="F761" s="2">
        <v>106.3</v>
      </c>
      <c r="G761" s="2">
        <v>115</v>
      </c>
      <c r="H761" s="2">
        <f>+F761-G761</f>
        <v>-8.7000000000000028</v>
      </c>
      <c r="I761" s="1">
        <f>+(F761^14)/((F761^14+G761^14))</f>
        <v>0.24948968898515997</v>
      </c>
      <c r="J761" s="2">
        <v>104.4</v>
      </c>
      <c r="K761" s="2">
        <v>113</v>
      </c>
      <c r="L761" s="2">
        <f>+J761-K761</f>
        <v>-8.5999999999999943</v>
      </c>
      <c r="M761" s="1">
        <f>+E761-I761</f>
        <v>-1.8720458215929187E-2</v>
      </c>
      <c r="N761" s="2">
        <v>102.9</v>
      </c>
      <c r="O761" s="2">
        <v>124.9</v>
      </c>
      <c r="P761" s="2">
        <f>+N761-O761</f>
        <v>-22</v>
      </c>
      <c r="Q761">
        <v>-0.5</v>
      </c>
    </row>
    <row r="762" spans="1:17">
      <c r="A762" t="s">
        <v>36</v>
      </c>
      <c r="B762" t="s">
        <v>16</v>
      </c>
      <c r="C762">
        <v>27</v>
      </c>
      <c r="D762">
        <v>55</v>
      </c>
      <c r="E762" s="1">
        <f>+C762/(C762+D762)</f>
        <v>0.32926829268292684</v>
      </c>
      <c r="F762" s="2">
        <v>93.8</v>
      </c>
      <c r="G762" s="2">
        <v>97.9</v>
      </c>
      <c r="H762" s="2">
        <f>+F762-G762</f>
        <v>-4.1000000000000085</v>
      </c>
      <c r="I762" s="1">
        <f>+(F762^14)/((F762^14+G762^14))</f>
        <v>0.3545853935949021</v>
      </c>
      <c r="J762" s="2">
        <v>101.1</v>
      </c>
      <c r="K762" s="2">
        <v>105.1</v>
      </c>
      <c r="L762" s="2">
        <f>+J762-K762</f>
        <v>-4</v>
      </c>
      <c r="M762" s="1">
        <f>+E762-I762</f>
        <v>-2.5317100911975254E-2</v>
      </c>
      <c r="N762" s="2">
        <v>94</v>
      </c>
      <c r="O762" s="2">
        <v>116.5</v>
      </c>
      <c r="P762" s="2">
        <f>+N762-O762</f>
        <v>-22.5</v>
      </c>
      <c r="Q762">
        <v>-0.5</v>
      </c>
    </row>
    <row r="763" spans="1:17">
      <c r="A763" t="s">
        <v>62</v>
      </c>
      <c r="B763" t="s">
        <v>15</v>
      </c>
      <c r="C763">
        <v>25</v>
      </c>
      <c r="D763">
        <v>57</v>
      </c>
      <c r="E763" s="1">
        <f>+C763/(C763+D763)</f>
        <v>0.3048780487804878</v>
      </c>
      <c r="F763" s="2">
        <v>111.5</v>
      </c>
      <c r="G763" s="2">
        <v>114.9</v>
      </c>
      <c r="H763" s="2">
        <f>+F763-G763</f>
        <v>-3.4000000000000057</v>
      </c>
      <c r="I763" s="1">
        <f>+(F763^14)/((F763^14+G763^14))</f>
        <v>0.39639081435339146</v>
      </c>
      <c r="J763" s="2">
        <v>111.9</v>
      </c>
      <c r="K763" s="2">
        <v>115.5</v>
      </c>
      <c r="L763" s="2">
        <f>+J763-K763</f>
        <v>-3.5999999999999943</v>
      </c>
      <c r="M763" s="1">
        <f>+E763-I763</f>
        <v>-9.1512765572903665E-2</v>
      </c>
      <c r="N763" s="2">
        <v>92</v>
      </c>
      <c r="O763" s="2">
        <v>114.9</v>
      </c>
      <c r="P763" s="2">
        <f>+N763-O763</f>
        <v>-22.900000000000006</v>
      </c>
      <c r="Q763">
        <v>-0.4</v>
      </c>
    </row>
    <row r="764" spans="1:17">
      <c r="A764" t="s">
        <v>4</v>
      </c>
      <c r="B764" t="s">
        <v>13</v>
      </c>
      <c r="C764">
        <v>17</v>
      </c>
      <c r="D764">
        <v>65</v>
      </c>
      <c r="E764" s="1">
        <f>+C764/(C764+D764)</f>
        <v>0.2073170731707317</v>
      </c>
      <c r="F764" s="2">
        <v>92.5</v>
      </c>
      <c r="G764" s="2">
        <v>101.5</v>
      </c>
      <c r="H764" s="2">
        <f>+F764-G764</f>
        <v>-9</v>
      </c>
      <c r="I764" s="1">
        <f>+(F764^14)/((F764^14+G764^14))</f>
        <v>0.21418148448904825</v>
      </c>
      <c r="J764" s="2">
        <v>96.3</v>
      </c>
      <c r="K764" s="2">
        <v>105.5</v>
      </c>
      <c r="L764" s="2">
        <f>+J764-K764</f>
        <v>-9.2000000000000028</v>
      </c>
      <c r="M764" s="1">
        <f>+E764-I764</f>
        <v>-6.8644113183165545E-3</v>
      </c>
      <c r="N764" s="2">
        <v>84.6</v>
      </c>
      <c r="O764" s="2">
        <v>107.8</v>
      </c>
      <c r="P764" s="2">
        <f>+N764-O764</f>
        <v>-23.200000000000003</v>
      </c>
      <c r="Q764">
        <v>-1.1000000000000001</v>
      </c>
    </row>
    <row r="765" spans="1:17">
      <c r="A765" t="s">
        <v>62</v>
      </c>
      <c r="B765" t="s">
        <v>22</v>
      </c>
      <c r="C765">
        <v>37</v>
      </c>
      <c r="D765">
        <v>45</v>
      </c>
      <c r="E765" s="1">
        <f>+C765/(C765+D765)</f>
        <v>0.45121951219512196</v>
      </c>
      <c r="F765" s="2">
        <v>106.5</v>
      </c>
      <c r="G765" s="2">
        <v>106.6</v>
      </c>
      <c r="H765" s="2">
        <f>+F765-G765</f>
        <v>-9.9999999999994316E-2</v>
      </c>
      <c r="I765" s="1">
        <f>+(F765^14)/((F765^14+G765^14))</f>
        <v>0.49671520422004956</v>
      </c>
      <c r="J765" s="2">
        <v>109.7</v>
      </c>
      <c r="K765" s="2">
        <v>110.2</v>
      </c>
      <c r="L765" s="2">
        <f>+J765-K765</f>
        <v>-0.5</v>
      </c>
      <c r="M765" s="1">
        <f>+E765-I765</f>
        <v>-4.5495692024927592E-2</v>
      </c>
      <c r="N765" s="2">
        <v>93.2</v>
      </c>
      <c r="O765" s="2">
        <v>116.4</v>
      </c>
      <c r="P765" s="2">
        <f>+N765-O765</f>
        <v>-23.200000000000003</v>
      </c>
      <c r="Q765">
        <v>-0.3</v>
      </c>
    </row>
    <row r="766" spans="1:17">
      <c r="A766" t="s">
        <v>50</v>
      </c>
      <c r="B766" t="s">
        <v>37</v>
      </c>
      <c r="C766">
        <v>27</v>
      </c>
      <c r="D766">
        <v>55</v>
      </c>
      <c r="E766" s="1">
        <f>+C766/(C766+D766)</f>
        <v>0.32926829268292684</v>
      </c>
      <c r="F766" s="2">
        <v>94.1</v>
      </c>
      <c r="G766" s="2">
        <v>97.9</v>
      </c>
      <c r="H766" s="2">
        <f>+F766-G766</f>
        <v>-3.8000000000000114</v>
      </c>
      <c r="I766" s="1">
        <f>+(F766^14)/((F766^14+G766^14))</f>
        <v>0.3648814793953255</v>
      </c>
      <c r="J766" s="2">
        <v>104.5</v>
      </c>
      <c r="K766" s="2">
        <v>108.9</v>
      </c>
      <c r="L766" s="2">
        <f>+J766-K766</f>
        <v>-4.4000000000000057</v>
      </c>
      <c r="M766" s="1">
        <f>+E766-I766</f>
        <v>-3.5613186712398659E-2</v>
      </c>
      <c r="N766" s="2">
        <v>93.6</v>
      </c>
      <c r="O766" s="2">
        <v>116.9</v>
      </c>
      <c r="P766" s="2">
        <f>+N766-O766</f>
        <v>-23.300000000000011</v>
      </c>
      <c r="Q766">
        <v>-0.7</v>
      </c>
    </row>
    <row r="767" spans="1:17">
      <c r="A767" t="s">
        <v>45</v>
      </c>
      <c r="B767" t="s">
        <v>35</v>
      </c>
      <c r="C767">
        <v>24</v>
      </c>
      <c r="D767">
        <v>58</v>
      </c>
      <c r="E767" s="1">
        <f>+C767/(C767+D767)</f>
        <v>0.29268292682926828</v>
      </c>
      <c r="F767" s="2">
        <v>93.9</v>
      </c>
      <c r="G767" s="2">
        <v>99.3</v>
      </c>
      <c r="H767" s="2">
        <f>+F767-G767</f>
        <v>-5.3999999999999915</v>
      </c>
      <c r="I767" s="1">
        <f>+(F767^14)/((F767^14+G767^14))</f>
        <v>0.31371402581860747</v>
      </c>
      <c r="J767" s="2">
        <v>102.3</v>
      </c>
      <c r="K767" s="2">
        <v>108.2</v>
      </c>
      <c r="L767" s="2">
        <f>+J767-K767</f>
        <v>-5.9000000000000057</v>
      </c>
      <c r="M767" s="1">
        <f>+E767-I767</f>
        <v>-2.1031098989339192E-2</v>
      </c>
      <c r="N767" s="2">
        <v>90.2</v>
      </c>
      <c r="O767" s="2">
        <v>113.7</v>
      </c>
      <c r="P767" s="2">
        <f>+N767-O767</f>
        <v>-23.5</v>
      </c>
      <c r="Q767">
        <v>-1.6</v>
      </c>
    </row>
    <row r="768" spans="1:17">
      <c r="A768" t="s">
        <v>52</v>
      </c>
      <c r="B768" t="s">
        <v>6</v>
      </c>
      <c r="C768">
        <v>25</v>
      </c>
      <c r="D768">
        <v>57</v>
      </c>
      <c r="E768" s="1">
        <f>+C768/(C768+D768)</f>
        <v>0.3048780487804878</v>
      </c>
      <c r="F768" s="2">
        <v>96.2</v>
      </c>
      <c r="G768" s="2">
        <v>100.7</v>
      </c>
      <c r="H768" s="2">
        <f>+F768-G768</f>
        <v>-4.5</v>
      </c>
      <c r="I768" s="1">
        <f>+(F768^14)/((F768^14+G768^14))</f>
        <v>0.34523971521963903</v>
      </c>
      <c r="J768" s="2">
        <v>101.9</v>
      </c>
      <c r="K768" s="2">
        <v>106.5</v>
      </c>
      <c r="L768" s="2">
        <f>+J768-K768</f>
        <v>-4.5999999999999943</v>
      </c>
      <c r="M768" s="1">
        <f>+E768-I768</f>
        <v>-4.0361666439151234E-2</v>
      </c>
      <c r="N768" s="2">
        <v>88.5</v>
      </c>
      <c r="O768" s="2">
        <v>112.9</v>
      </c>
      <c r="P768" s="2">
        <f>+N768-O768</f>
        <v>-24.400000000000006</v>
      </c>
      <c r="Q768">
        <v>-2</v>
      </c>
    </row>
    <row r="769" spans="1:17">
      <c r="A769" t="s">
        <v>52</v>
      </c>
      <c r="B769" t="s">
        <v>12</v>
      </c>
      <c r="C769">
        <v>29</v>
      </c>
      <c r="D769">
        <v>53</v>
      </c>
      <c r="E769" s="1">
        <f>+C769/(C769+D769)</f>
        <v>0.35365853658536583</v>
      </c>
      <c r="F769" s="2">
        <v>101</v>
      </c>
      <c r="G769" s="2">
        <v>104.7</v>
      </c>
      <c r="H769" s="2">
        <f>+F769-G769</f>
        <v>-3.7000000000000028</v>
      </c>
      <c r="I769" s="1">
        <f>+(F769^14)/((F769^14+G769^14))</f>
        <v>0.37667145253299883</v>
      </c>
      <c r="J769" s="2">
        <v>105.2</v>
      </c>
      <c r="K769" s="2">
        <v>109</v>
      </c>
      <c r="L769" s="2">
        <f>+J769-K769</f>
        <v>-3.7999999999999972</v>
      </c>
      <c r="M769" s="1">
        <f>+E769-I769</f>
        <v>-2.3012915947632995E-2</v>
      </c>
      <c r="N769" s="2">
        <v>85.5</v>
      </c>
      <c r="O769" s="2">
        <v>110</v>
      </c>
      <c r="P769" s="2">
        <f>+N769-O769</f>
        <v>-24.5</v>
      </c>
      <c r="Q769">
        <v>-2.4</v>
      </c>
    </row>
    <row r="770" spans="1:17">
      <c r="A770" t="s">
        <v>60</v>
      </c>
      <c r="B770" t="s">
        <v>12</v>
      </c>
      <c r="C770">
        <v>20</v>
      </c>
      <c r="D770">
        <v>46</v>
      </c>
      <c r="E770" s="1">
        <f>+C770/(C770+D770)</f>
        <v>0.30303030303030304</v>
      </c>
      <c r="F770" s="2">
        <v>107.2</v>
      </c>
      <c r="G770" s="2">
        <v>110.8</v>
      </c>
      <c r="H770" s="2">
        <f>+F770-G770</f>
        <v>-3.5999999999999943</v>
      </c>
      <c r="I770" s="1">
        <f>+(F770^14)/((F770^14+G770^14))</f>
        <v>0.38641014492971848</v>
      </c>
      <c r="J770" s="2">
        <v>108.8</v>
      </c>
      <c r="K770" s="2">
        <v>112.3</v>
      </c>
      <c r="L770" s="2">
        <f>+J770-K770</f>
        <v>-3.5</v>
      </c>
      <c r="M770" s="1">
        <f>+E770-I770</f>
        <v>-8.3379841899415441E-2</v>
      </c>
      <c r="N770" s="2">
        <v>91</v>
      </c>
      <c r="O770" s="2">
        <v>115.5</v>
      </c>
      <c r="P770" s="2">
        <f>+N770-O770</f>
        <v>-24.5</v>
      </c>
      <c r="Q770">
        <v>0</v>
      </c>
    </row>
    <row r="771" spans="1:17">
      <c r="A771" t="s">
        <v>50</v>
      </c>
      <c r="B771" t="s">
        <v>30</v>
      </c>
      <c r="C771">
        <v>34</v>
      </c>
      <c r="D771">
        <v>48</v>
      </c>
      <c r="E771" s="1">
        <f>+C771/(C771+D771)</f>
        <v>0.41463414634146339</v>
      </c>
      <c r="F771" s="2">
        <v>97.2</v>
      </c>
      <c r="G771" s="2">
        <v>98.7</v>
      </c>
      <c r="H771" s="2">
        <f>+F771-G771</f>
        <v>-1.5</v>
      </c>
      <c r="I771" s="1">
        <f>+(F771^14)/((F771^14+G771^14))</f>
        <v>0.4466045570075422</v>
      </c>
      <c r="J771" s="2">
        <v>105</v>
      </c>
      <c r="K771" s="2">
        <v>106.4</v>
      </c>
      <c r="L771" s="2">
        <f>+J771-K771</f>
        <v>-1.4000000000000057</v>
      </c>
      <c r="M771" s="1">
        <f>+E771-I771</f>
        <v>-3.1970410666078808E-2</v>
      </c>
      <c r="N771" s="2">
        <v>87.8</v>
      </c>
      <c r="O771" s="2">
        <v>112.9</v>
      </c>
      <c r="P771" s="2">
        <f>+N771-O771</f>
        <v>-25.100000000000009</v>
      </c>
      <c r="Q771">
        <v>-1.5</v>
      </c>
    </row>
    <row r="772" spans="1:17">
      <c r="A772" t="s">
        <v>47</v>
      </c>
      <c r="B772" t="s">
        <v>21</v>
      </c>
      <c r="C772">
        <v>12</v>
      </c>
      <c r="D772">
        <v>70</v>
      </c>
      <c r="E772" s="1">
        <f>+C772/(C772+D772)</f>
        <v>0.14634146341463414</v>
      </c>
      <c r="F772" s="2">
        <v>92.4</v>
      </c>
      <c r="G772" s="2">
        <v>101.5</v>
      </c>
      <c r="H772" s="2">
        <f>+F772-G772</f>
        <v>-9.0999999999999943</v>
      </c>
      <c r="I772" s="1">
        <f>+(F772^14)/((F772^14+G772^14))</f>
        <v>0.21164377791033548</v>
      </c>
      <c r="J772" s="2">
        <v>99.3</v>
      </c>
      <c r="K772" s="2">
        <v>108.9</v>
      </c>
      <c r="L772" s="2">
        <f>+J772-K772</f>
        <v>-9.6000000000000085</v>
      </c>
      <c r="M772" s="1">
        <f>+E772-I772</f>
        <v>-6.5302314495701341E-2</v>
      </c>
      <c r="N772" s="2">
        <v>84.5</v>
      </c>
      <c r="O772" s="2">
        <v>109.7</v>
      </c>
      <c r="P772" s="2">
        <f>+N772-O772</f>
        <v>-25.200000000000003</v>
      </c>
      <c r="Q772">
        <v>-1.1000000000000001</v>
      </c>
    </row>
    <row r="773" spans="1:17">
      <c r="A773" t="s">
        <v>44</v>
      </c>
      <c r="B773" t="s">
        <v>8</v>
      </c>
      <c r="C773">
        <v>33</v>
      </c>
      <c r="D773">
        <v>49</v>
      </c>
      <c r="E773" s="1">
        <f>+C773/(C773+D773)</f>
        <v>0.40243902439024393</v>
      </c>
      <c r="F773" s="2">
        <v>97.3</v>
      </c>
      <c r="G773" s="2">
        <v>100.4</v>
      </c>
      <c r="H773" s="2">
        <f>+F773-G773</f>
        <v>-3.1000000000000085</v>
      </c>
      <c r="I773" s="1">
        <f>+(F773^14)/((F773^14+G773^14))</f>
        <v>0.39195900440907944</v>
      </c>
      <c r="J773" s="2">
        <v>102.9</v>
      </c>
      <c r="K773" s="2">
        <v>106</v>
      </c>
      <c r="L773" s="2">
        <f>+J773-K773</f>
        <v>-3.0999999999999943</v>
      </c>
      <c r="M773" s="1">
        <f>+E773-I773</f>
        <v>1.048001998116449E-2</v>
      </c>
      <c r="N773" s="2">
        <v>90</v>
      </c>
      <c r="O773" s="2">
        <v>116</v>
      </c>
      <c r="P773" s="2">
        <f>+N773-O773</f>
        <v>-26</v>
      </c>
      <c r="Q773">
        <v>-1.5</v>
      </c>
    </row>
    <row r="774" spans="1:17">
      <c r="A774" t="s">
        <v>49</v>
      </c>
      <c r="B774" t="s">
        <v>30</v>
      </c>
      <c r="C774">
        <v>23</v>
      </c>
      <c r="D774">
        <v>43</v>
      </c>
      <c r="E774" s="1">
        <f>+C774/(C774+D774)</f>
        <v>0.34848484848484851</v>
      </c>
      <c r="F774" s="2">
        <v>90.7</v>
      </c>
      <c r="G774" s="2">
        <v>94</v>
      </c>
      <c r="H774" s="2">
        <f>+F774-G774</f>
        <v>-3.2999999999999972</v>
      </c>
      <c r="I774" s="1">
        <f>+(F774^14)/((F774^14+G774^14))</f>
        <v>0.37746454187633971</v>
      </c>
      <c r="J774" s="2">
        <v>99.6</v>
      </c>
      <c r="K774" s="2">
        <v>103.6</v>
      </c>
      <c r="L774" s="2">
        <f>+J774-K774</f>
        <v>-4</v>
      </c>
      <c r="M774" s="1">
        <f>+E774-I774</f>
        <v>-2.8979693391491201E-2</v>
      </c>
      <c r="N774" s="2">
        <v>88.6</v>
      </c>
      <c r="O774" s="2">
        <v>114.7</v>
      </c>
      <c r="P774" s="2">
        <f>+N774-O774</f>
        <v>-26.100000000000009</v>
      </c>
      <c r="Q774">
        <v>-1.4</v>
      </c>
    </row>
    <row r="775" spans="1:17">
      <c r="A775" t="s">
        <v>44</v>
      </c>
      <c r="B775" t="s">
        <v>18</v>
      </c>
      <c r="C775">
        <v>15</v>
      </c>
      <c r="D775">
        <v>67</v>
      </c>
      <c r="E775" s="1">
        <f>+C775/(C775+D775)</f>
        <v>0.18292682926829268</v>
      </c>
      <c r="F775" s="2">
        <v>91.4</v>
      </c>
      <c r="G775" s="2">
        <v>100</v>
      </c>
      <c r="H775" s="2">
        <f>+F775-G775</f>
        <v>-8.5999999999999943</v>
      </c>
      <c r="I775" s="1">
        <f>+(F775^14)/((F775^14+G775^14))</f>
        <v>0.2211554021057861</v>
      </c>
      <c r="J775" s="2">
        <v>99.4</v>
      </c>
      <c r="K775" s="2">
        <v>108.8</v>
      </c>
      <c r="L775" s="2">
        <f>+J775-K775</f>
        <v>-9.3999999999999915</v>
      </c>
      <c r="M775" s="1">
        <f>+E775-I775</f>
        <v>-3.8228572837493424E-2</v>
      </c>
      <c r="N775" s="2">
        <v>85.2</v>
      </c>
      <c r="O775" s="2">
        <v>111.4</v>
      </c>
      <c r="P775" s="2">
        <f>+N775-O775</f>
        <v>-26.200000000000003</v>
      </c>
      <c r="Q775">
        <v>-2</v>
      </c>
    </row>
    <row r="776" spans="1:17">
      <c r="A776" t="s">
        <v>60</v>
      </c>
      <c r="B776" t="s">
        <v>53</v>
      </c>
      <c r="C776">
        <v>30</v>
      </c>
      <c r="D776">
        <v>42</v>
      </c>
      <c r="E776" s="1">
        <f>+C776/(C776+D776)</f>
        <v>0.41666666666666669</v>
      </c>
      <c r="F776" s="2">
        <v>115.8</v>
      </c>
      <c r="G776" s="2">
        <v>117.1</v>
      </c>
      <c r="H776" s="2">
        <f>+F776-G776</f>
        <v>-1.2999999999999972</v>
      </c>
      <c r="I776" s="1">
        <f>+(F776^14)/((F776^14+G776^14))</f>
        <v>0.46100637384195686</v>
      </c>
      <c r="J776" s="2">
        <v>110.5</v>
      </c>
      <c r="K776" s="2">
        <v>111.8</v>
      </c>
      <c r="L776" s="2">
        <f>+J776-K776</f>
        <v>-1.2999999999999972</v>
      </c>
      <c r="M776" s="1">
        <f>+E776-I776</f>
        <v>-4.4339707175290177E-2</v>
      </c>
      <c r="N776" s="2">
        <v>93.4</v>
      </c>
      <c r="O776" s="2">
        <v>119.8</v>
      </c>
      <c r="P776" s="2">
        <f>+N776-O776</f>
        <v>-26.399999999999991</v>
      </c>
      <c r="Q776">
        <v>0.1</v>
      </c>
    </row>
    <row r="777" spans="1:17">
      <c r="A777" t="s">
        <v>55</v>
      </c>
      <c r="B777" t="s">
        <v>25</v>
      </c>
      <c r="C777">
        <v>23</v>
      </c>
      <c r="D777">
        <v>59</v>
      </c>
      <c r="E777" s="1">
        <f>+C777/(C777+D777)</f>
        <v>0.28048780487804881</v>
      </c>
      <c r="F777" s="2">
        <v>100.9</v>
      </c>
      <c r="G777" s="2">
        <v>107.5</v>
      </c>
      <c r="H777" s="2">
        <f>+F777-G777</f>
        <v>-6.5999999999999943</v>
      </c>
      <c r="I777" s="1">
        <f>+(F777^14)/((F777^14+G777^14))</f>
        <v>0.29171838314513582</v>
      </c>
      <c r="J777" s="2">
        <v>101.5</v>
      </c>
      <c r="K777" s="2">
        <v>107.9</v>
      </c>
      <c r="L777" s="2">
        <f>+J777-K777</f>
        <v>-6.4000000000000057</v>
      </c>
      <c r="M777" s="1">
        <f>+E777-I777</f>
        <v>-1.123057826708701E-2</v>
      </c>
      <c r="N777" s="2">
        <v>88.7</v>
      </c>
      <c r="O777" s="2">
        <v>116.2</v>
      </c>
      <c r="P777" s="2">
        <f>+N777-O777</f>
        <v>-27.5</v>
      </c>
      <c r="Q777">
        <v>-1.7</v>
      </c>
    </row>
    <row r="778" spans="1:17">
      <c r="A778" t="s">
        <v>58</v>
      </c>
      <c r="B778" t="s">
        <v>10</v>
      </c>
      <c r="C778">
        <v>24</v>
      </c>
      <c r="D778">
        <v>58</v>
      </c>
      <c r="E778" s="1">
        <f>+C778/(C778+D778)</f>
        <v>0.29268292682926828</v>
      </c>
      <c r="F778" s="2">
        <v>102.3</v>
      </c>
      <c r="G778" s="2">
        <v>105.4</v>
      </c>
      <c r="H778" s="2">
        <f>+F778-G778</f>
        <v>-3.1000000000000085</v>
      </c>
      <c r="I778" s="1">
        <f>+(F778^14)/((F778^14+G778^14))</f>
        <v>0.39700943969095354</v>
      </c>
      <c r="J778" s="2">
        <v>105.4</v>
      </c>
      <c r="K778" s="2">
        <v>108.4</v>
      </c>
      <c r="L778" s="2">
        <f>+J778-K778</f>
        <v>-3</v>
      </c>
      <c r="M778" s="1">
        <f>+E778-I778</f>
        <v>-0.10432651286168526</v>
      </c>
      <c r="N778" s="2">
        <v>88.3</v>
      </c>
      <c r="O778" s="2">
        <v>116.7</v>
      </c>
      <c r="P778" s="2">
        <f>+N778-O778</f>
        <v>-28.400000000000006</v>
      </c>
      <c r="Q778">
        <v>-1</v>
      </c>
    </row>
    <row r="779" spans="1:17">
      <c r="A779" t="s">
        <v>66</v>
      </c>
      <c r="B779" t="s">
        <v>51</v>
      </c>
      <c r="C779">
        <v>16</v>
      </c>
      <c r="D779">
        <v>47</v>
      </c>
      <c r="E779" s="1">
        <f>+C779/(C779+D779)</f>
        <v>0.25396825396825395</v>
      </c>
      <c r="F779" s="2">
        <v>106.9</v>
      </c>
      <c r="G779" s="2">
        <v>115.6</v>
      </c>
      <c r="H779" s="2">
        <f>+F779-G779</f>
        <v>-8.6999999999999886</v>
      </c>
      <c r="I779" s="1">
        <f>+(F779^14)/((F779^14+G779^14))</f>
        <v>0.25060467792949209</v>
      </c>
      <c r="J779" s="2">
        <v>109.6</v>
      </c>
      <c r="K779" s="2">
        <v>118.3</v>
      </c>
      <c r="L779" s="2">
        <f>+J779-K779</f>
        <v>-8.7000000000000028</v>
      </c>
      <c r="M779" s="1">
        <f>+E779-I779</f>
        <v>3.3635760387618618E-3</v>
      </c>
      <c r="N779" s="2">
        <v>99.4</v>
      </c>
      <c r="O779" s="2">
        <v>132.1</v>
      </c>
      <c r="P779" s="2">
        <f>+N779-O779</f>
        <v>-32.699999999999989</v>
      </c>
      <c r="Q779">
        <v>-1.3</v>
      </c>
    </row>
    <row r="780" spans="1:17">
      <c r="A780" t="s">
        <v>49</v>
      </c>
      <c r="B780" t="s">
        <v>40</v>
      </c>
      <c r="C780">
        <v>7</v>
      </c>
      <c r="D780">
        <v>59</v>
      </c>
      <c r="E780" s="1">
        <f>+C780/(C780+D780)</f>
        <v>0.10606060606060606</v>
      </c>
      <c r="F780" s="2">
        <v>87</v>
      </c>
      <c r="G780" s="2">
        <v>100.9</v>
      </c>
      <c r="H780" s="2">
        <f>+F780-G780</f>
        <v>-13.900000000000006</v>
      </c>
      <c r="I780" s="1">
        <f>+(F780^14)/((F780^14+G780^14))</f>
        <v>0.11154010247358601</v>
      </c>
      <c r="J780" s="2">
        <v>94.4</v>
      </c>
      <c r="K780" s="2">
        <v>109.4</v>
      </c>
      <c r="L780" s="2">
        <f>+J780-K780</f>
        <v>-15</v>
      </c>
      <c r="M780" s="1">
        <f>+E780-I780</f>
        <v>-5.4794964129799423E-3</v>
      </c>
      <c r="N780" s="2">
        <v>82.8</v>
      </c>
      <c r="O780" s="2">
        <v>116.2</v>
      </c>
      <c r="P780" s="2">
        <f>+N780-O780</f>
        <v>-33.400000000000006</v>
      </c>
      <c r="Q780">
        <v>-2.8</v>
      </c>
    </row>
    <row r="781" spans="1:17">
      <c r="A781" t="s">
        <v>64</v>
      </c>
      <c r="B781" t="s">
        <v>12</v>
      </c>
      <c r="C781">
        <v>14</v>
      </c>
      <c r="D781">
        <v>68</v>
      </c>
      <c r="E781" s="1">
        <f>+C781/(C781+D781)</f>
        <v>0.17073170731707318</v>
      </c>
      <c r="F781" s="2">
        <v>109.9</v>
      </c>
      <c r="G781" s="2">
        <v>119</v>
      </c>
      <c r="H781" s="2">
        <f>+F781-G781</f>
        <v>-9.0999999999999943</v>
      </c>
      <c r="I781" s="1">
        <f>+(F781^14)/((F781^14+G781^14))</f>
        <v>0.24717488192529891</v>
      </c>
      <c r="J781" s="2">
        <v>109</v>
      </c>
      <c r="K781" s="2">
        <v>118</v>
      </c>
      <c r="L781" s="2">
        <f>+J781-K781</f>
        <v>-9</v>
      </c>
      <c r="M781" s="1">
        <f>+E781-I781</f>
        <v>-7.6443174608225722E-2</v>
      </c>
      <c r="N781" s="2">
        <v>93.7</v>
      </c>
      <c r="O781" s="2">
        <v>128.1</v>
      </c>
      <c r="P781" s="2">
        <f>+N781-O781</f>
        <v>-34.399999999999991</v>
      </c>
      <c r="Q781">
        <v>-0.9</v>
      </c>
    </row>
    <row r="782" spans="1:17">
      <c r="A782" t="s">
        <v>64</v>
      </c>
      <c r="B782" t="s">
        <v>33</v>
      </c>
      <c r="C782">
        <v>15</v>
      </c>
      <c r="D782">
        <v>67</v>
      </c>
      <c r="E782" s="1">
        <f>+C782/(C782+D782)</f>
        <v>0.18292682926829268</v>
      </c>
      <c r="F782" s="2">
        <v>113.7</v>
      </c>
      <c r="G782" s="2">
        <v>123</v>
      </c>
      <c r="H782" s="2">
        <f>+F782-G782</f>
        <v>-9.2999999999999972</v>
      </c>
      <c r="I782" s="1">
        <f>+(F782^14)/((F782^14+G782^14))</f>
        <v>0.24961000130344238</v>
      </c>
      <c r="J782" s="2">
        <v>110.2</v>
      </c>
      <c r="K782" s="2">
        <v>118.9</v>
      </c>
      <c r="L782" s="2">
        <f>+J782-K782</f>
        <v>-8.7000000000000028</v>
      </c>
      <c r="M782" s="1">
        <f>+E782-I782</f>
        <v>-6.6683172035149701E-2</v>
      </c>
      <c r="N782" s="2">
        <v>85.1</v>
      </c>
      <c r="O782" s="2">
        <v>123</v>
      </c>
      <c r="P782" s="2">
        <f>+N782-O782</f>
        <v>-37.900000000000006</v>
      </c>
      <c r="Q782">
        <v>-0.3</v>
      </c>
    </row>
    <row r="783" spans="1:17">
      <c r="A783" t="s">
        <v>48</v>
      </c>
      <c r="B783" t="s">
        <v>20</v>
      </c>
      <c r="C783">
        <v>17</v>
      </c>
      <c r="D783">
        <v>65</v>
      </c>
      <c r="E783" s="1">
        <f>+C783/(C783+D783)</f>
        <v>0.2073170731707317</v>
      </c>
      <c r="F783" s="2">
        <v>101.1</v>
      </c>
      <c r="G783" s="2">
        <v>107.7</v>
      </c>
      <c r="H783" s="2">
        <f>+F783-G783</f>
        <v>-6.6000000000000085</v>
      </c>
      <c r="I783" s="1">
        <f>+(F783^14)/((F783^14+G783^14))</f>
        <v>0.2920698563562486</v>
      </c>
      <c r="J783" s="2">
        <v>103.2</v>
      </c>
      <c r="K783" s="2">
        <v>109.9</v>
      </c>
      <c r="L783" s="2">
        <f>+J783-K783</f>
        <v>-6.7000000000000028</v>
      </c>
      <c r="M783" s="1">
        <f>+E783-I783</f>
        <v>-8.4752783185516906E-2</v>
      </c>
      <c r="N783" s="2">
        <v>91.1</v>
      </c>
      <c r="O783" s="2">
        <v>129.80000000000001</v>
      </c>
      <c r="P783" s="2">
        <f>+N783-O783</f>
        <v>-38.700000000000017</v>
      </c>
      <c r="Q783">
        <v>-1.7</v>
      </c>
    </row>
    <row r="784" spans="1:17">
      <c r="A784" t="s">
        <v>55</v>
      </c>
      <c r="B784" t="s">
        <v>24</v>
      </c>
      <c r="C784">
        <v>10</v>
      </c>
      <c r="D784">
        <v>72</v>
      </c>
      <c r="E784" s="1">
        <f>+C784/(C784+D784)</f>
        <v>0.12195121951219512</v>
      </c>
      <c r="F784" s="2">
        <v>97.4</v>
      </c>
      <c r="G784" s="2">
        <v>107.6</v>
      </c>
      <c r="H784" s="2">
        <f>+F784-G784</f>
        <v>-10.199999999999989</v>
      </c>
      <c r="I784" s="1">
        <f>+(F784^14)/((F784^14+G784^14))</f>
        <v>0.1987186515098173</v>
      </c>
      <c r="J784" s="2">
        <v>98.4</v>
      </c>
      <c r="K784" s="2">
        <v>108.6</v>
      </c>
      <c r="L784" s="2">
        <f>+J784-K784</f>
        <v>-10.199999999999989</v>
      </c>
      <c r="M784" s="1">
        <f>+E784-I784</f>
        <v>-7.6767431997622176E-2</v>
      </c>
      <c r="N784" s="2">
        <v>78.599999999999994</v>
      </c>
      <c r="O784" s="2">
        <v>123.5</v>
      </c>
      <c r="P784" s="2">
        <f>+N784-O784</f>
        <v>-44.900000000000006</v>
      </c>
      <c r="Q784">
        <v>-2</v>
      </c>
    </row>
  </sheetData>
  <sortState xmlns:xlrd2="http://schemas.microsoft.com/office/spreadsheetml/2017/richdata2" ref="A9:Q784">
    <sortCondition descending="1" ref="P9:P78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C47F6-E177-9342-B053-5384EB8DFAA6}">
  <dimension ref="A2:U784"/>
  <sheetViews>
    <sheetView workbookViewId="0">
      <pane xSplit="3" ySplit="8" topLeftCell="D9" activePane="bottomRight" state="frozen"/>
      <selection pane="topRight" activeCell="C1" sqref="C1"/>
      <selection pane="bottomLeft" activeCell="A9" sqref="A9"/>
      <selection pane="bottomRight" activeCell="C9" sqref="C9"/>
    </sheetView>
  </sheetViews>
  <sheetFormatPr baseColWidth="10" defaultRowHeight="18"/>
  <cols>
    <col min="1" max="1" width="10.625" style="6"/>
    <col min="3" max="3" width="20.625" customWidth="1"/>
    <col min="4" max="23" width="12.625" customWidth="1"/>
  </cols>
  <sheetData>
    <row r="2" spans="1:20">
      <c r="F2">
        <v>776</v>
      </c>
      <c r="N2" s="1">
        <v>8.2002597305889102E-2</v>
      </c>
    </row>
    <row r="3" spans="1:20">
      <c r="F3" s="4">
        <f>(F9-MIN(F$9:F$784))/(MAX(F$9:F$784)-MIN(F$9:F$784))</f>
        <v>0.60862393967954764</v>
      </c>
      <c r="J3" s="1">
        <f>+CORREL(J9:J784,F9:F784)</f>
        <v>0.96984726551156575</v>
      </c>
      <c r="N3" s="4">
        <f>(N2-MIN(N$9:N$784))/(MAX(N$9:N$784)-MIN(N$9:N$784))</f>
        <v>0.92185952012573269</v>
      </c>
    </row>
    <row r="4" spans="1:20">
      <c r="N4">
        <f>(RANK(N9,N$9:N$784,1)-1)/(COUNT($N$9:$N$784)-1)</f>
        <v>0.79096774193548391</v>
      </c>
    </row>
    <row r="8" spans="1:20">
      <c r="A8" s="6" t="s">
        <v>82</v>
      </c>
      <c r="B8" t="s">
        <v>0</v>
      </c>
      <c r="C8" t="s">
        <v>1</v>
      </c>
      <c r="D8" s="3" t="s">
        <v>2</v>
      </c>
      <c r="E8" s="3" t="s">
        <v>3</v>
      </c>
      <c r="F8" s="3" t="s">
        <v>74</v>
      </c>
      <c r="G8" s="3" t="s">
        <v>70</v>
      </c>
      <c r="H8" s="3" t="s">
        <v>71</v>
      </c>
      <c r="I8" s="3" t="s">
        <v>72</v>
      </c>
      <c r="J8" s="3" t="s">
        <v>73</v>
      </c>
      <c r="K8" s="3" t="s">
        <v>67</v>
      </c>
      <c r="L8" s="3" t="s">
        <v>68</v>
      </c>
      <c r="M8" s="3" t="s">
        <v>69</v>
      </c>
      <c r="N8" s="3" t="s">
        <v>75</v>
      </c>
      <c r="O8" s="3" t="s">
        <v>76</v>
      </c>
      <c r="P8" s="3" t="s">
        <v>77</v>
      </c>
      <c r="Q8" s="3" t="s">
        <v>79</v>
      </c>
      <c r="R8" s="3" t="s">
        <v>78</v>
      </c>
      <c r="S8" s="3" t="s">
        <v>80</v>
      </c>
      <c r="T8" s="3" t="s">
        <v>81</v>
      </c>
    </row>
    <row r="9" spans="1:20">
      <c r="A9" s="6">
        <v>621</v>
      </c>
      <c r="B9" t="s">
        <v>61</v>
      </c>
      <c r="C9" t="s">
        <v>26</v>
      </c>
      <c r="D9">
        <v>42</v>
      </c>
      <c r="E9">
        <v>30</v>
      </c>
      <c r="F9" s="1">
        <f>+D9/(D9+E9)</f>
        <v>0.58333333333333337</v>
      </c>
      <c r="G9" s="2">
        <v>116.1</v>
      </c>
      <c r="H9" s="2">
        <v>114.3</v>
      </c>
      <c r="I9" s="2">
        <f>+G9-H9</f>
        <v>1.7999999999999972</v>
      </c>
      <c r="J9" s="1">
        <f>+(G9^14)/((G9^14+H9^14))</f>
        <v>0.55447156441574497</v>
      </c>
      <c r="K9" s="2">
        <v>117.1</v>
      </c>
      <c r="L9" s="2">
        <v>115.3</v>
      </c>
      <c r="M9" s="2">
        <f>+K9-L9</f>
        <v>1.7999999999999972</v>
      </c>
      <c r="N9" s="1">
        <f>+F9-J9</f>
        <v>2.8861768917588404E-2</v>
      </c>
      <c r="O9" s="2">
        <v>127.7</v>
      </c>
      <c r="P9" s="2">
        <v>98.6</v>
      </c>
      <c r="Q9" s="2">
        <f>+O9-P9</f>
        <v>29.100000000000009</v>
      </c>
      <c r="R9" s="2">
        <v>0.7</v>
      </c>
      <c r="S9" s="2">
        <v>2.2999999999999998</v>
      </c>
      <c r="T9" s="2">
        <f>+Q9-M9</f>
        <v>27.300000000000011</v>
      </c>
    </row>
    <row r="10" spans="1:20">
      <c r="A10" s="7">
        <v>760</v>
      </c>
      <c r="B10" s="8" t="s">
        <v>66</v>
      </c>
      <c r="C10" s="8" t="s">
        <v>17</v>
      </c>
      <c r="D10" s="8">
        <v>38</v>
      </c>
      <c r="E10" s="8">
        <v>25</v>
      </c>
      <c r="F10" s="9">
        <f>+D10/(D10+E10)</f>
        <v>0.60317460317460314</v>
      </c>
      <c r="G10" s="10">
        <v>116</v>
      </c>
      <c r="H10" s="10">
        <v>115.3</v>
      </c>
      <c r="I10" s="10">
        <f>+G10-H10</f>
        <v>0.70000000000000284</v>
      </c>
      <c r="J10" s="9">
        <f>+(G10^14)/((G10^14+H10^14))</f>
        <v>0.52117200586871404</v>
      </c>
      <c r="K10" s="10">
        <v>116.5</v>
      </c>
      <c r="L10" s="10">
        <v>116.1</v>
      </c>
      <c r="M10" s="10">
        <f>+K10-L10</f>
        <v>0.40000000000000568</v>
      </c>
      <c r="N10" s="9">
        <f>+F10-J10</f>
        <v>8.2002597305889102E-2</v>
      </c>
      <c r="O10" s="10">
        <v>135.9</v>
      </c>
      <c r="P10" s="10">
        <v>109.1</v>
      </c>
      <c r="Q10" s="10">
        <f>+O10-P10</f>
        <v>26.800000000000011</v>
      </c>
      <c r="R10" s="10">
        <v>1.6</v>
      </c>
      <c r="S10" s="10">
        <v>7.1</v>
      </c>
      <c r="T10" s="10">
        <f>+Q10-M10</f>
        <v>26.400000000000006</v>
      </c>
    </row>
    <row r="11" spans="1:20">
      <c r="A11" s="6">
        <v>650</v>
      </c>
      <c r="B11" t="s">
        <v>62</v>
      </c>
      <c r="C11" t="s">
        <v>25</v>
      </c>
      <c r="D11">
        <v>64</v>
      </c>
      <c r="E11">
        <v>18</v>
      </c>
      <c r="F11" s="1">
        <f>+D11/(D11+E11)</f>
        <v>0.78048780487804881</v>
      </c>
      <c r="G11" s="2">
        <v>114.8</v>
      </c>
      <c r="H11" s="2">
        <v>107.3</v>
      </c>
      <c r="I11" s="2">
        <f>+G11-H11</f>
        <v>7.5</v>
      </c>
      <c r="J11" s="1">
        <f>+(G11^14)/((G11^14+H11^14))</f>
        <v>0.72028579383295666</v>
      </c>
      <c r="K11" s="2">
        <v>114.2</v>
      </c>
      <c r="L11" s="2">
        <v>106.8</v>
      </c>
      <c r="M11" s="2">
        <f>+K11-L11</f>
        <v>7.4000000000000057</v>
      </c>
      <c r="N11" s="1">
        <f>+F11-J11</f>
        <v>6.0202011045092152E-2</v>
      </c>
      <c r="O11" s="2">
        <v>131.5</v>
      </c>
      <c r="P11" s="2">
        <v>98.1</v>
      </c>
      <c r="Q11" s="2">
        <f>+O11-P11</f>
        <v>33.400000000000006</v>
      </c>
      <c r="R11" s="2">
        <v>2.7</v>
      </c>
      <c r="S11" s="2">
        <v>9.6999999999999993</v>
      </c>
      <c r="T11" s="2">
        <f>+Q11-M11</f>
        <v>26</v>
      </c>
    </row>
    <row r="12" spans="1:20">
      <c r="A12" s="6">
        <v>691</v>
      </c>
      <c r="B12" t="s">
        <v>64</v>
      </c>
      <c r="C12" t="s">
        <v>8</v>
      </c>
      <c r="D12">
        <v>39</v>
      </c>
      <c r="E12">
        <v>43</v>
      </c>
      <c r="F12" s="1">
        <f>+D12/(D12+E12)</f>
        <v>0.47560975609756095</v>
      </c>
      <c r="G12" s="2">
        <v>112.3</v>
      </c>
      <c r="H12" s="2">
        <v>113.7</v>
      </c>
      <c r="I12" s="2">
        <f>+G12-H12</f>
        <v>-1.4000000000000057</v>
      </c>
      <c r="J12" s="1">
        <f>+(G12^14)/((G12^14+H12^14))</f>
        <v>0.45674500707162874</v>
      </c>
      <c r="K12" s="2">
        <v>114</v>
      </c>
      <c r="L12" s="2">
        <v>115.7</v>
      </c>
      <c r="M12" s="2">
        <f>+K12-L12</f>
        <v>-1.7000000000000028</v>
      </c>
      <c r="N12" s="1">
        <f>+F12-J12</f>
        <v>1.8864749025932215E-2</v>
      </c>
      <c r="O12" s="2">
        <v>119.5</v>
      </c>
      <c r="P12" s="2">
        <v>95.5</v>
      </c>
      <c r="Q12" s="2">
        <f>+O12-P12</f>
        <v>24</v>
      </c>
      <c r="R12" s="2">
        <v>0</v>
      </c>
      <c r="S12" s="2">
        <v>2</v>
      </c>
      <c r="T12" s="2">
        <f>+Q12-M12</f>
        <v>25.700000000000003</v>
      </c>
    </row>
    <row r="13" spans="1:20">
      <c r="A13" s="6">
        <v>456</v>
      </c>
      <c r="B13" t="s">
        <v>55</v>
      </c>
      <c r="C13" t="s">
        <v>13</v>
      </c>
      <c r="D13">
        <v>73</v>
      </c>
      <c r="E13">
        <v>9</v>
      </c>
      <c r="F13" s="1">
        <f>+D13/(D13+E13)</f>
        <v>0.8902439024390244</v>
      </c>
      <c r="G13" s="2">
        <v>114.9</v>
      </c>
      <c r="H13" s="2">
        <v>104.1</v>
      </c>
      <c r="I13" s="2">
        <f>+G13-H13</f>
        <v>10.800000000000011</v>
      </c>
      <c r="J13" s="1">
        <f>+(G13^14)/((G13^14+H13^14))</f>
        <v>0.7993028619398963</v>
      </c>
      <c r="K13" s="2">
        <v>113.5</v>
      </c>
      <c r="L13" s="2">
        <v>102.8</v>
      </c>
      <c r="M13" s="2">
        <f>+K13-L13</f>
        <v>10.700000000000003</v>
      </c>
      <c r="N13" s="1">
        <f>+F13-J13</f>
        <v>9.0941040499128101E-2</v>
      </c>
      <c r="O13" s="2">
        <v>117</v>
      </c>
      <c r="P13" s="2">
        <v>81.099999999999994</v>
      </c>
      <c r="Q13" s="2">
        <f>+O13-P13</f>
        <v>35.900000000000006</v>
      </c>
      <c r="R13" s="2">
        <v>0.4</v>
      </c>
      <c r="S13" s="2">
        <v>3.5</v>
      </c>
      <c r="T13" s="2">
        <f>+Q13-M13</f>
        <v>25.200000000000003</v>
      </c>
    </row>
    <row r="14" spans="1:20">
      <c r="A14" s="6">
        <v>302</v>
      </c>
      <c r="B14" t="s">
        <v>48</v>
      </c>
      <c r="C14" t="s">
        <v>10</v>
      </c>
      <c r="D14">
        <v>57</v>
      </c>
      <c r="E14">
        <v>25</v>
      </c>
      <c r="F14" s="1">
        <f>+D14/(D14+E14)</f>
        <v>0.69512195121951215</v>
      </c>
      <c r="G14" s="2">
        <v>100.2</v>
      </c>
      <c r="H14" s="2">
        <v>96</v>
      </c>
      <c r="I14" s="2">
        <f>+G14-H14</f>
        <v>4.2000000000000028</v>
      </c>
      <c r="J14" s="1">
        <f>+(G14^14)/((G14^14+H14^14))</f>
        <v>0.64553732038759359</v>
      </c>
      <c r="K14" s="2">
        <v>108.4</v>
      </c>
      <c r="L14" s="2">
        <v>104.1</v>
      </c>
      <c r="M14" s="2">
        <f>+K14-L14</f>
        <v>4.3000000000000114</v>
      </c>
      <c r="N14" s="1">
        <f>+F14-J14</f>
        <v>4.9584630831918552E-2</v>
      </c>
      <c r="O14" s="2">
        <v>118.3</v>
      </c>
      <c r="P14" s="2">
        <v>88.8</v>
      </c>
      <c r="Q14" s="2">
        <f>+O14-P14</f>
        <v>29.5</v>
      </c>
      <c r="R14" s="2">
        <v>1.5</v>
      </c>
      <c r="S14" s="2">
        <v>8.1999999999999993</v>
      </c>
      <c r="T14" s="2">
        <f>+Q14-M14</f>
        <v>25.199999999999989</v>
      </c>
    </row>
    <row r="15" spans="1:20">
      <c r="A15" s="6">
        <v>401</v>
      </c>
      <c r="B15" t="s">
        <v>52</v>
      </c>
      <c r="C15" t="s">
        <v>35</v>
      </c>
      <c r="D15">
        <v>50</v>
      </c>
      <c r="E15">
        <v>32</v>
      </c>
      <c r="F15" s="1">
        <f>+D15/(D15+E15)</f>
        <v>0.6097560975609756</v>
      </c>
      <c r="G15" s="2">
        <v>96.1</v>
      </c>
      <c r="H15" s="2">
        <v>94.6</v>
      </c>
      <c r="I15" s="2">
        <f>+G15-H15</f>
        <v>1.5</v>
      </c>
      <c r="J15" s="1">
        <f>+(G15^14)/((G15^14+H15^14))</f>
        <v>0.554839936539687</v>
      </c>
      <c r="K15" s="2">
        <v>105.5</v>
      </c>
      <c r="L15" s="2">
        <v>103.8</v>
      </c>
      <c r="M15" s="2">
        <f>+K15-L15</f>
        <v>1.7000000000000028</v>
      </c>
      <c r="N15" s="1">
        <f>+F15-J15</f>
        <v>5.4916161021288601E-2</v>
      </c>
      <c r="O15" s="2">
        <v>108.7</v>
      </c>
      <c r="P15" s="2">
        <v>82</v>
      </c>
      <c r="Q15" s="2">
        <f>+O15-P15</f>
        <v>26.700000000000003</v>
      </c>
      <c r="R15" s="2">
        <v>1.1000000000000001</v>
      </c>
      <c r="S15" s="2">
        <v>4.3</v>
      </c>
      <c r="T15" s="2">
        <f>+Q15-M15</f>
        <v>25</v>
      </c>
    </row>
    <row r="16" spans="1:20" s="8" customFormat="1">
      <c r="A16" s="6">
        <v>372</v>
      </c>
      <c r="B16" t="s">
        <v>50</v>
      </c>
      <c r="C16" t="s">
        <v>18</v>
      </c>
      <c r="D16">
        <v>66</v>
      </c>
      <c r="E16">
        <v>16</v>
      </c>
      <c r="F16" s="1">
        <f>+D16/(D16+E16)</f>
        <v>0.80487804878048785</v>
      </c>
      <c r="G16" s="2">
        <v>102.9</v>
      </c>
      <c r="H16" s="2">
        <v>95</v>
      </c>
      <c r="I16" s="2">
        <f>+G16-H16</f>
        <v>7.9000000000000057</v>
      </c>
      <c r="J16" s="1">
        <f>+(G16^14)/((G16^14+H16^14))</f>
        <v>0.75367891326640968</v>
      </c>
      <c r="K16" s="2">
        <v>111.4</v>
      </c>
      <c r="L16" s="2">
        <v>103.2</v>
      </c>
      <c r="M16" s="2">
        <f>+K16-L16</f>
        <v>8.2000000000000028</v>
      </c>
      <c r="N16" s="1">
        <f>+F16-J16</f>
        <v>5.1199135514078176E-2</v>
      </c>
      <c r="O16" s="2">
        <v>117.7</v>
      </c>
      <c r="P16" s="2">
        <v>84.5</v>
      </c>
      <c r="Q16" s="2">
        <f>+O16-P16</f>
        <v>33.200000000000003</v>
      </c>
      <c r="R16" s="2">
        <v>2.1</v>
      </c>
      <c r="S16" s="2">
        <v>12.2</v>
      </c>
      <c r="T16" s="2">
        <f>+Q16-M16</f>
        <v>25</v>
      </c>
    </row>
    <row r="17" spans="1:20">
      <c r="A17" s="6">
        <v>587</v>
      </c>
      <c r="B17" t="s">
        <v>60</v>
      </c>
      <c r="C17" t="s">
        <v>46</v>
      </c>
      <c r="D17">
        <v>44</v>
      </c>
      <c r="E17">
        <v>28</v>
      </c>
      <c r="F17" s="1">
        <f>+D17/(D17+E17)</f>
        <v>0.61111111111111116</v>
      </c>
      <c r="G17" s="2">
        <v>110.4</v>
      </c>
      <c r="H17" s="2">
        <v>108.4</v>
      </c>
      <c r="I17" s="2">
        <f>+G17-H17</f>
        <v>2</v>
      </c>
      <c r="J17" s="1">
        <f>+(G17^14)/((G17^14+H17^14))</f>
        <v>0.56364011525876911</v>
      </c>
      <c r="K17" s="2">
        <v>110.1</v>
      </c>
      <c r="L17" s="2">
        <v>108.1</v>
      </c>
      <c r="M17" s="2">
        <f>+K17-L17</f>
        <v>2</v>
      </c>
      <c r="N17" s="1">
        <f>+F17-J17</f>
        <v>4.7470995852342046E-2</v>
      </c>
      <c r="O17" s="2">
        <v>120.9</v>
      </c>
      <c r="P17" s="2">
        <v>94.4</v>
      </c>
      <c r="Q17" s="2">
        <f>+O17-P17</f>
        <v>26.5</v>
      </c>
      <c r="R17" s="2">
        <v>2.2000000000000002</v>
      </c>
      <c r="S17" s="2">
        <v>8.8000000000000007</v>
      </c>
      <c r="T17" s="2">
        <f>+Q17-M17</f>
        <v>24.5</v>
      </c>
    </row>
    <row r="18" spans="1:20">
      <c r="A18" s="6">
        <v>241</v>
      </c>
      <c r="B18" t="s">
        <v>45</v>
      </c>
      <c r="C18" t="s">
        <v>9</v>
      </c>
      <c r="D18">
        <v>66</v>
      </c>
      <c r="E18">
        <v>16</v>
      </c>
      <c r="F18" s="1">
        <f>+D18/(D18+E18)</f>
        <v>0.80487804878048785</v>
      </c>
      <c r="G18" s="2">
        <v>100.3</v>
      </c>
      <c r="H18" s="2">
        <v>91.4</v>
      </c>
      <c r="I18" s="2">
        <f>+G18-H18</f>
        <v>8.8999999999999915</v>
      </c>
      <c r="J18" s="1">
        <f>+(G18^14)/((G18^14+H18^14))</f>
        <v>0.78598355822200683</v>
      </c>
      <c r="K18" s="2">
        <v>111.2</v>
      </c>
      <c r="L18" s="2">
        <v>101.6</v>
      </c>
      <c r="M18" s="2">
        <f>+K18-L18</f>
        <v>9.6000000000000085</v>
      </c>
      <c r="N18" s="1">
        <f>+F18-J18</f>
        <v>1.8894490558481025E-2</v>
      </c>
      <c r="O18" s="2">
        <v>127.1</v>
      </c>
      <c r="P18" s="2">
        <v>93.9</v>
      </c>
      <c r="Q18" s="2">
        <f>+O18-P18</f>
        <v>33.199999999999989</v>
      </c>
      <c r="R18" s="2">
        <v>2</v>
      </c>
      <c r="S18" s="2">
        <v>11.6</v>
      </c>
      <c r="T18" s="2">
        <f>+Q18-M18</f>
        <v>23.59999999999998</v>
      </c>
    </row>
    <row r="19" spans="1:20">
      <c r="A19" s="6">
        <v>211</v>
      </c>
      <c r="B19" t="s">
        <v>44</v>
      </c>
      <c r="C19" t="s">
        <v>9</v>
      </c>
      <c r="D19">
        <v>45</v>
      </c>
      <c r="E19">
        <v>37</v>
      </c>
      <c r="F19" s="1">
        <f>+D19/(D19+E19)</f>
        <v>0.54878048780487809</v>
      </c>
      <c r="G19" s="2">
        <v>96.4</v>
      </c>
      <c r="H19" s="2">
        <v>96.7</v>
      </c>
      <c r="I19" s="2">
        <f>+G19-H19</f>
        <v>-0.29999999999999716</v>
      </c>
      <c r="J19" s="1">
        <f>+(G19^14)/((G19^14+H19^14))</f>
        <v>0.48912651167349064</v>
      </c>
      <c r="K19" s="2">
        <v>104.8</v>
      </c>
      <c r="L19" s="2">
        <v>105.4</v>
      </c>
      <c r="M19" s="2">
        <f>+K19-L19</f>
        <v>-0.60000000000000853</v>
      </c>
      <c r="N19" s="1">
        <f>+F19-J19</f>
        <v>5.9653976131387454E-2</v>
      </c>
      <c r="O19" s="2">
        <v>112.8</v>
      </c>
      <c r="P19" s="2">
        <v>90.9</v>
      </c>
      <c r="Q19" s="2">
        <f>+O19-P19</f>
        <v>21.899999999999991</v>
      </c>
      <c r="R19" s="2">
        <v>1.9</v>
      </c>
      <c r="S19" s="2">
        <v>6.1</v>
      </c>
      <c r="T19" s="2">
        <f>+Q19-M19</f>
        <v>22.5</v>
      </c>
    </row>
    <row r="20" spans="1:20">
      <c r="A20" s="6">
        <v>497</v>
      </c>
      <c r="B20" t="s">
        <v>57</v>
      </c>
      <c r="C20" t="s">
        <v>46</v>
      </c>
      <c r="D20">
        <v>47</v>
      </c>
      <c r="E20">
        <v>35</v>
      </c>
      <c r="F20" s="1">
        <f>+D20/(D20+E20)</f>
        <v>0.57317073170731703</v>
      </c>
      <c r="G20" s="2">
        <v>106.6</v>
      </c>
      <c r="H20" s="2">
        <v>105.8</v>
      </c>
      <c r="I20" s="2">
        <f>+G20-H20</f>
        <v>0.79999999999999716</v>
      </c>
      <c r="J20" s="1">
        <f>+(G20^14)/((G20^14+H20^14))</f>
        <v>0.52634106336275344</v>
      </c>
      <c r="K20" s="2">
        <v>107.9</v>
      </c>
      <c r="L20" s="2">
        <v>107.1</v>
      </c>
      <c r="M20" s="2">
        <f>+K20-L20</f>
        <v>0.80000000000001137</v>
      </c>
      <c r="N20" s="1">
        <f>+F20-J20</f>
        <v>4.6829668344563591E-2</v>
      </c>
      <c r="O20" s="2">
        <v>115.5</v>
      </c>
      <c r="P20" s="2">
        <v>92.6</v>
      </c>
      <c r="Q20" s="2">
        <f>+O20-P20</f>
        <v>22.900000000000006</v>
      </c>
      <c r="R20" s="2">
        <v>0.9</v>
      </c>
      <c r="S20" s="2">
        <v>2.2000000000000002</v>
      </c>
      <c r="T20" s="2">
        <f>+Q20-M20</f>
        <v>22.099999999999994</v>
      </c>
    </row>
    <row r="21" spans="1:20">
      <c r="A21" s="6">
        <v>600</v>
      </c>
      <c r="B21" t="s">
        <v>61</v>
      </c>
      <c r="C21" t="s">
        <v>7</v>
      </c>
      <c r="D21">
        <v>33</v>
      </c>
      <c r="E21">
        <v>39</v>
      </c>
      <c r="F21" s="1">
        <f>+D21/(D21+E21)</f>
        <v>0.45833333333333331</v>
      </c>
      <c r="G21" s="2">
        <v>109.5</v>
      </c>
      <c r="H21" s="2">
        <v>111.4</v>
      </c>
      <c r="I21" s="2">
        <f>+G21-H21</f>
        <v>-1.9000000000000057</v>
      </c>
      <c r="J21" s="1">
        <f>+(G21^14)/((G21^14+H21^14))</f>
        <v>0.4400796285378884</v>
      </c>
      <c r="K21" s="2">
        <v>110.1</v>
      </c>
      <c r="L21" s="2">
        <v>112</v>
      </c>
      <c r="M21" s="2">
        <f>+K21-L21</f>
        <v>-1.9000000000000057</v>
      </c>
      <c r="N21" s="1">
        <f>+F21-J21</f>
        <v>1.8253704795444914E-2</v>
      </c>
      <c r="O21" s="2">
        <v>122.2</v>
      </c>
      <c r="P21" s="2">
        <v>102.4</v>
      </c>
      <c r="Q21" s="2">
        <f>+O21-P21</f>
        <v>19.799999999999997</v>
      </c>
      <c r="R21" s="2">
        <v>0</v>
      </c>
      <c r="S21" s="2">
        <v>0.5</v>
      </c>
      <c r="T21" s="2">
        <f>+Q21-M21</f>
        <v>21.700000000000003</v>
      </c>
    </row>
    <row r="22" spans="1:20">
      <c r="A22" s="6">
        <v>278</v>
      </c>
      <c r="B22" t="s">
        <v>47</v>
      </c>
      <c r="C22" t="s">
        <v>16</v>
      </c>
      <c r="D22">
        <v>29</v>
      </c>
      <c r="E22">
        <v>53</v>
      </c>
      <c r="F22" s="1">
        <f>+D22/(D22+E22)</f>
        <v>0.35365853658536583</v>
      </c>
      <c r="G22" s="2">
        <v>95.7</v>
      </c>
      <c r="H22" s="2">
        <v>102.1</v>
      </c>
      <c r="I22" s="2">
        <f>+G22-H22</f>
        <v>-6.3999999999999915</v>
      </c>
      <c r="J22" s="1">
        <f>+(G22^14)/((G22^14+H22^14))</f>
        <v>0.28776126250180661</v>
      </c>
      <c r="K22" s="2">
        <v>102.3</v>
      </c>
      <c r="L22" s="2">
        <v>109.1</v>
      </c>
      <c r="M22" s="2">
        <f>+K22-L22</f>
        <v>-6.7999999999999972</v>
      </c>
      <c r="N22" s="1">
        <f>+F22-J22</f>
        <v>6.5897274083559221E-2</v>
      </c>
      <c r="O22" s="2">
        <v>106</v>
      </c>
      <c r="P22" s="2">
        <v>91.3</v>
      </c>
      <c r="Q22" s="2">
        <f>+O22-P22</f>
        <v>14.700000000000003</v>
      </c>
      <c r="R22" s="2">
        <v>-2.1</v>
      </c>
      <c r="S22" s="2">
        <v>-10.4</v>
      </c>
      <c r="T22" s="2">
        <f>+Q22-M22</f>
        <v>21.5</v>
      </c>
    </row>
    <row r="23" spans="1:20">
      <c r="A23" s="6">
        <v>769</v>
      </c>
      <c r="B23" t="s">
        <v>66</v>
      </c>
      <c r="C23" t="s">
        <v>24</v>
      </c>
      <c r="D23">
        <v>34</v>
      </c>
      <c r="E23">
        <v>29</v>
      </c>
      <c r="F23" s="1">
        <f>+D23/(D23+E23)</f>
        <v>0.53968253968253965</v>
      </c>
      <c r="G23" s="2">
        <v>115.8</v>
      </c>
      <c r="H23" s="2">
        <v>116.1</v>
      </c>
      <c r="I23" s="2">
        <f>+G23-H23</f>
        <v>-0.29999999999999716</v>
      </c>
      <c r="J23" s="1">
        <f>+(G23^14)/((G23^14+H23^14))</f>
        <v>0.49094535752934715</v>
      </c>
      <c r="K23" s="2">
        <v>114.3</v>
      </c>
      <c r="L23" s="2">
        <v>114.6</v>
      </c>
      <c r="M23" s="2">
        <f>+K23-L23</f>
        <v>-0.29999999999999716</v>
      </c>
      <c r="N23" s="1">
        <f>+F23-J23</f>
        <v>4.8737182153192504E-2</v>
      </c>
      <c r="O23" s="2">
        <v>120.5</v>
      </c>
      <c r="P23" s="2">
        <v>99.7</v>
      </c>
      <c r="Q23" s="2">
        <f>+O23-P23</f>
        <v>20.799999999999997</v>
      </c>
      <c r="R23" s="2">
        <v>1.3</v>
      </c>
      <c r="S23" s="2">
        <v>5.0999999999999996</v>
      </c>
      <c r="T23" s="2">
        <f>+Q23-M23</f>
        <v>21.099999999999994</v>
      </c>
    </row>
    <row r="24" spans="1:20">
      <c r="A24" s="6">
        <v>694</v>
      </c>
      <c r="B24" t="s">
        <v>64</v>
      </c>
      <c r="C24" t="s">
        <v>11</v>
      </c>
      <c r="D24">
        <v>57</v>
      </c>
      <c r="E24">
        <v>25</v>
      </c>
      <c r="F24" s="1">
        <f>+D24/(D24+E24)</f>
        <v>0.69512195121951215</v>
      </c>
      <c r="G24" s="2">
        <v>114.9</v>
      </c>
      <c r="H24" s="2">
        <v>109.6</v>
      </c>
      <c r="I24" s="2">
        <f>+G24-H24</f>
        <v>5.3000000000000114</v>
      </c>
      <c r="J24" s="1">
        <f>+(G24^14)/((G24^14+H24^14))</f>
        <v>0.65951807642431337</v>
      </c>
      <c r="K24" s="2">
        <v>117.8</v>
      </c>
      <c r="L24" s="2">
        <v>112.3</v>
      </c>
      <c r="M24" s="2">
        <f>+K24-L24</f>
        <v>5.5</v>
      </c>
      <c r="N24" s="1">
        <f>+F24-J24</f>
        <v>3.5603874795198776E-2</v>
      </c>
      <c r="O24" s="2">
        <v>121.1</v>
      </c>
      <c r="P24" s="2">
        <v>95.6</v>
      </c>
      <c r="Q24" s="2">
        <f>+O24-P24</f>
        <v>25.5</v>
      </c>
      <c r="R24" s="2">
        <v>1.2</v>
      </c>
      <c r="S24" s="2">
        <v>3.3</v>
      </c>
      <c r="T24" s="2">
        <f>+Q24-M24</f>
        <v>20</v>
      </c>
    </row>
    <row r="25" spans="1:20">
      <c r="A25" s="6">
        <v>512</v>
      </c>
      <c r="B25" t="s">
        <v>58</v>
      </c>
      <c r="C25" t="s">
        <v>9</v>
      </c>
      <c r="D25">
        <v>50</v>
      </c>
      <c r="E25">
        <v>32</v>
      </c>
      <c r="F25" s="1">
        <f>+D25/(D25+E25)</f>
        <v>0.6097560975609756</v>
      </c>
      <c r="G25" s="2">
        <v>110.9</v>
      </c>
      <c r="H25" s="2">
        <v>109.9</v>
      </c>
      <c r="I25" s="2">
        <f>+G25-H25</f>
        <v>1</v>
      </c>
      <c r="J25" s="1">
        <f>+(G25^14)/((G25^14+H25^14))</f>
        <v>0.53166069765175683</v>
      </c>
      <c r="K25" s="2">
        <v>112</v>
      </c>
      <c r="L25" s="2">
        <v>111.1</v>
      </c>
      <c r="M25" s="2">
        <f>+K25-L25</f>
        <v>0.90000000000000568</v>
      </c>
      <c r="N25" s="1">
        <f>+F25-J25</f>
        <v>7.8095399909218766E-2</v>
      </c>
      <c r="O25" s="2">
        <v>116.9</v>
      </c>
      <c r="P25" s="2">
        <v>96.1</v>
      </c>
      <c r="Q25" s="2">
        <f>+O25-P25</f>
        <v>20.800000000000011</v>
      </c>
      <c r="R25" s="2">
        <v>0.6</v>
      </c>
      <c r="S25" s="2">
        <v>4.2</v>
      </c>
      <c r="T25" s="2">
        <f>+Q25-M25</f>
        <v>19.900000000000006</v>
      </c>
    </row>
    <row r="26" spans="1:20">
      <c r="A26" s="6">
        <v>693</v>
      </c>
      <c r="B26" t="s">
        <v>64</v>
      </c>
      <c r="C26" t="s">
        <v>10</v>
      </c>
      <c r="D26">
        <v>50</v>
      </c>
      <c r="E26">
        <v>32</v>
      </c>
      <c r="F26" s="1">
        <f>+D26/(D26+E26)</f>
        <v>0.6097560975609756</v>
      </c>
      <c r="G26" s="2">
        <v>117.9</v>
      </c>
      <c r="H26" s="2">
        <v>115.6</v>
      </c>
      <c r="I26" s="2">
        <f>+G26-H26</f>
        <v>2.3000000000000114</v>
      </c>
      <c r="J26" s="1">
        <f>+(G26^14)/((G26^14+H26^14))</f>
        <v>0.56851916226040555</v>
      </c>
      <c r="K26" s="2">
        <v>117</v>
      </c>
      <c r="L26" s="2">
        <v>114.9</v>
      </c>
      <c r="M26" s="2">
        <f>+K26-L26</f>
        <v>2.0999999999999943</v>
      </c>
      <c r="N26" s="1">
        <f>+F26-J26</f>
        <v>4.1236935300570043E-2</v>
      </c>
      <c r="O26" s="2">
        <v>128.19999999999999</v>
      </c>
      <c r="P26" s="2">
        <v>106.4</v>
      </c>
      <c r="Q26" s="2">
        <f>+O26-P26</f>
        <v>21.799999999999983</v>
      </c>
      <c r="R26" s="2">
        <v>0.5</v>
      </c>
      <c r="S26" s="2">
        <v>3.6</v>
      </c>
      <c r="T26" s="2">
        <f>+Q26-M26</f>
        <v>19.699999999999989</v>
      </c>
    </row>
    <row r="27" spans="1:20">
      <c r="A27" s="6">
        <v>80</v>
      </c>
      <c r="B27" t="s">
        <v>36</v>
      </c>
      <c r="C27" t="s">
        <v>25</v>
      </c>
      <c r="D27">
        <v>44</v>
      </c>
      <c r="E27">
        <v>38</v>
      </c>
      <c r="F27" s="1">
        <f>+D27/(D27+E27)</f>
        <v>0.53658536585365857</v>
      </c>
      <c r="G27" s="2">
        <v>95.5</v>
      </c>
      <c r="H27" s="2">
        <v>94.4</v>
      </c>
      <c r="I27" s="2">
        <f>+G27-H27</f>
        <v>1.0999999999999943</v>
      </c>
      <c r="J27" s="1">
        <f>+(G27^14)/((G27^14+H27^14))</f>
        <v>0.5404594538627715</v>
      </c>
      <c r="K27" s="2">
        <v>102.6</v>
      </c>
      <c r="L27" s="2">
        <v>101.3</v>
      </c>
      <c r="M27" s="2">
        <f>+K27-L27</f>
        <v>1.2999999999999972</v>
      </c>
      <c r="N27" s="1">
        <f>+F27-J27</f>
        <v>-3.8740880091129304E-3</v>
      </c>
      <c r="O27" s="2">
        <v>109</v>
      </c>
      <c r="P27" s="2">
        <v>88.1</v>
      </c>
      <c r="Q27" s="2">
        <f>+O27-P27</f>
        <v>20.900000000000006</v>
      </c>
      <c r="R27" s="2">
        <v>2.7</v>
      </c>
      <c r="S27" s="2">
        <v>14</v>
      </c>
      <c r="T27" s="2">
        <f>+Q27-M27</f>
        <v>19.600000000000009</v>
      </c>
    </row>
    <row r="28" spans="1:20">
      <c r="A28" s="6">
        <v>517</v>
      </c>
      <c r="B28" t="s">
        <v>58</v>
      </c>
      <c r="C28" t="s">
        <v>14</v>
      </c>
      <c r="D28">
        <v>65</v>
      </c>
      <c r="E28">
        <v>17</v>
      </c>
      <c r="F28" s="1">
        <f>+D28/(D28+E28)</f>
        <v>0.79268292682926833</v>
      </c>
      <c r="G28" s="2">
        <v>112.4</v>
      </c>
      <c r="H28" s="2">
        <v>103.9</v>
      </c>
      <c r="I28" s="2">
        <f>+G28-H28</f>
        <v>8.5</v>
      </c>
      <c r="J28" s="1">
        <f>+(G28^14)/((G28^14+H28^14))</f>
        <v>0.75042693083028544</v>
      </c>
      <c r="K28" s="2">
        <v>114.1</v>
      </c>
      <c r="L28" s="2">
        <v>105.7</v>
      </c>
      <c r="M28" s="2">
        <f>+K28-L28</f>
        <v>8.3999999999999915</v>
      </c>
      <c r="N28" s="1">
        <f>+F28-J28</f>
        <v>4.2255995998982887E-2</v>
      </c>
      <c r="O28" s="2">
        <v>122.9</v>
      </c>
      <c r="P28" s="2">
        <v>95.9</v>
      </c>
      <c r="Q28" s="2">
        <f>+O28-P28</f>
        <v>27</v>
      </c>
      <c r="R28" s="2">
        <v>-0.2</v>
      </c>
      <c r="S28" s="2">
        <v>1.3</v>
      </c>
      <c r="T28" s="2">
        <f>+Q28-M28</f>
        <v>18.600000000000009</v>
      </c>
    </row>
    <row r="29" spans="1:20">
      <c r="A29" s="6">
        <v>158</v>
      </c>
      <c r="B29" t="s">
        <v>41</v>
      </c>
      <c r="C29" t="s">
        <v>16</v>
      </c>
      <c r="D29">
        <v>47</v>
      </c>
      <c r="E29">
        <v>35</v>
      </c>
      <c r="F29" s="1">
        <f>+D29/(D29+E29)</f>
        <v>0.57317073170731703</v>
      </c>
      <c r="G29" s="2">
        <v>97.2</v>
      </c>
      <c r="H29" s="2">
        <v>95.6</v>
      </c>
      <c r="I29" s="2">
        <f>+G29-H29</f>
        <v>1.6000000000000085</v>
      </c>
      <c r="J29" s="1">
        <f>+(G29^14)/((G29^14+H29^14))</f>
        <v>0.55783262608685169</v>
      </c>
      <c r="K29" s="2">
        <v>103.8</v>
      </c>
      <c r="L29" s="2">
        <v>102.2</v>
      </c>
      <c r="M29" s="2">
        <f>+K29-L29</f>
        <v>1.5999999999999943</v>
      </c>
      <c r="N29" s="1">
        <f>+F29-J29</f>
        <v>1.5338105620465337E-2</v>
      </c>
      <c r="O29" s="2">
        <v>112</v>
      </c>
      <c r="P29" s="2">
        <v>92.3</v>
      </c>
      <c r="Q29" s="2">
        <f>+O29-P29</f>
        <v>19.700000000000003</v>
      </c>
      <c r="R29" s="2">
        <v>0.7</v>
      </c>
      <c r="S29" s="2">
        <v>4</v>
      </c>
      <c r="T29" s="2">
        <f>+Q29-M29</f>
        <v>18.100000000000009</v>
      </c>
    </row>
    <row r="30" spans="1:20">
      <c r="A30" s="6">
        <v>301</v>
      </c>
      <c r="B30" t="s">
        <v>48</v>
      </c>
      <c r="C30" t="s">
        <v>9</v>
      </c>
      <c r="D30">
        <v>19</v>
      </c>
      <c r="E30">
        <v>63</v>
      </c>
      <c r="F30" s="1">
        <f>+D30/(D30+E30)</f>
        <v>0.23170731707317074</v>
      </c>
      <c r="G30" s="2">
        <v>95.5</v>
      </c>
      <c r="H30" s="2">
        <v>104.5</v>
      </c>
      <c r="I30" s="2">
        <f>+G30-H30</f>
        <v>-9</v>
      </c>
      <c r="J30" s="1">
        <f>+(G30^14)/((G30^14+H30^14))</f>
        <v>0.22082734006674018</v>
      </c>
      <c r="K30" s="2">
        <v>101.5</v>
      </c>
      <c r="L30" s="2">
        <v>110.9</v>
      </c>
      <c r="M30" s="2">
        <f>+K30-L30</f>
        <v>-9.4000000000000057</v>
      </c>
      <c r="N30" s="1">
        <f>+F30-J30</f>
        <v>1.0879977006430563E-2</v>
      </c>
      <c r="O30" s="2">
        <v>110.9</v>
      </c>
      <c r="P30" s="2">
        <v>102.2</v>
      </c>
      <c r="Q30" s="2">
        <f>+O30-P30</f>
        <v>8.7000000000000028</v>
      </c>
      <c r="R30" s="2">
        <v>-0.8</v>
      </c>
      <c r="S30" s="2">
        <v>-3.9</v>
      </c>
      <c r="T30" s="2">
        <f>+Q30-M30</f>
        <v>18.100000000000009</v>
      </c>
    </row>
    <row r="31" spans="1:20">
      <c r="A31" s="6">
        <v>337</v>
      </c>
      <c r="B31" t="s">
        <v>49</v>
      </c>
      <c r="C31" t="s">
        <v>15</v>
      </c>
      <c r="D31">
        <v>42</v>
      </c>
      <c r="E31">
        <v>24</v>
      </c>
      <c r="F31" s="1">
        <f>+D31/(D31+E31)</f>
        <v>0.63636363636363635</v>
      </c>
      <c r="G31" s="2">
        <v>97.7</v>
      </c>
      <c r="H31" s="2">
        <v>94.4</v>
      </c>
      <c r="I31" s="2">
        <f>+G31-H31</f>
        <v>3.2999999999999972</v>
      </c>
      <c r="J31" s="1">
        <f>+(G31^14)/((G31^14+H31^14))</f>
        <v>0.61799503146389967</v>
      </c>
      <c r="K31" s="2">
        <v>105.5</v>
      </c>
      <c r="L31" s="2">
        <v>102.1</v>
      </c>
      <c r="M31" s="2">
        <f>+K31-L31</f>
        <v>3.4000000000000057</v>
      </c>
      <c r="N31" s="1">
        <f>+F31-J31</f>
        <v>1.8368604899736685E-2</v>
      </c>
      <c r="O31" s="2">
        <v>106.5</v>
      </c>
      <c r="P31" s="2">
        <v>85.1</v>
      </c>
      <c r="Q31" s="2">
        <f>+O31-P31</f>
        <v>21.400000000000006</v>
      </c>
      <c r="R31" s="2">
        <v>0.7</v>
      </c>
      <c r="S31" s="2">
        <v>2.5</v>
      </c>
      <c r="T31" s="2">
        <f>+Q31-M31</f>
        <v>18</v>
      </c>
    </row>
    <row r="32" spans="1:20">
      <c r="A32" s="6">
        <v>549</v>
      </c>
      <c r="B32" t="s">
        <v>59</v>
      </c>
      <c r="C32" t="s">
        <v>56</v>
      </c>
      <c r="D32">
        <v>48</v>
      </c>
      <c r="E32">
        <v>34</v>
      </c>
      <c r="F32" s="1">
        <f>+D32/(D32+E32)</f>
        <v>0.58536585365853655</v>
      </c>
      <c r="G32" s="2">
        <v>115.1</v>
      </c>
      <c r="H32" s="2">
        <v>114.3</v>
      </c>
      <c r="I32" s="2">
        <f>+G32-H32</f>
        <v>0.79999999999999716</v>
      </c>
      <c r="J32" s="1">
        <f>+(G32^14)/((G32^14+H32^14))</f>
        <v>0.52439222902089777</v>
      </c>
      <c r="K32" s="2">
        <v>111.4</v>
      </c>
      <c r="L32" s="2">
        <v>110.4</v>
      </c>
      <c r="M32" s="2">
        <f>+K32-L32</f>
        <v>1</v>
      </c>
      <c r="N32" s="1">
        <f>+F32-J32</f>
        <v>6.0973624637638779E-2</v>
      </c>
      <c r="O32" s="2">
        <v>117.2</v>
      </c>
      <c r="P32" s="2">
        <v>98.5</v>
      </c>
      <c r="Q32" s="2">
        <f>+O32-P32</f>
        <v>18.700000000000003</v>
      </c>
      <c r="R32" s="2">
        <v>1.2</v>
      </c>
      <c r="S32" s="2">
        <v>4.5</v>
      </c>
      <c r="T32" s="2">
        <f>+Q32-M32</f>
        <v>17.700000000000003</v>
      </c>
    </row>
    <row r="33" spans="1:20">
      <c r="A33" s="6">
        <v>182</v>
      </c>
      <c r="B33" t="s">
        <v>43</v>
      </c>
      <c r="C33" t="s">
        <v>10</v>
      </c>
      <c r="D33">
        <v>67</v>
      </c>
      <c r="E33">
        <v>15</v>
      </c>
      <c r="F33" s="1">
        <f>+D33/(D33+E33)</f>
        <v>0.81707317073170727</v>
      </c>
      <c r="G33" s="2">
        <v>100</v>
      </c>
      <c r="H33" s="2">
        <v>92.8</v>
      </c>
      <c r="I33" s="2">
        <f>+G33-H33</f>
        <v>7.2000000000000028</v>
      </c>
      <c r="J33" s="1">
        <f>+(G33^14)/((G33^14+H33^14))</f>
        <v>0.74003099281791473</v>
      </c>
      <c r="K33" s="2">
        <v>109.7</v>
      </c>
      <c r="L33" s="2">
        <v>102.1</v>
      </c>
      <c r="M33" s="2">
        <f>+K33-L33</f>
        <v>7.6000000000000085</v>
      </c>
      <c r="N33" s="1">
        <f>+F33-J33</f>
        <v>7.7042177913792531E-2</v>
      </c>
      <c r="O33" s="2">
        <v>109.8</v>
      </c>
      <c r="P33" s="2">
        <v>84.5</v>
      </c>
      <c r="Q33" s="2">
        <f>+O33-P33</f>
        <v>25.299999999999997</v>
      </c>
      <c r="R33" s="2">
        <v>1.1000000000000001</v>
      </c>
      <c r="S33" s="2">
        <v>6</v>
      </c>
      <c r="T33" s="2">
        <f>+Q33-M33</f>
        <v>17.699999999999989</v>
      </c>
    </row>
    <row r="34" spans="1:20">
      <c r="A34" s="6">
        <v>339</v>
      </c>
      <c r="B34" t="s">
        <v>49</v>
      </c>
      <c r="C34" t="s">
        <v>17</v>
      </c>
      <c r="D34">
        <v>41</v>
      </c>
      <c r="E34">
        <v>25</v>
      </c>
      <c r="F34" s="1">
        <f>+D34/(D34+E34)</f>
        <v>0.62121212121212122</v>
      </c>
      <c r="G34" s="2">
        <v>97.3</v>
      </c>
      <c r="H34" s="2">
        <v>95.9</v>
      </c>
      <c r="I34" s="2">
        <f>+G34-H34</f>
        <v>1.3999999999999915</v>
      </c>
      <c r="J34" s="1">
        <f>+(G34^14)/((G34^14+H34^14))</f>
        <v>0.55055221133697552</v>
      </c>
      <c r="K34" s="2">
        <v>104.5</v>
      </c>
      <c r="L34" s="2">
        <v>103.2</v>
      </c>
      <c r="M34" s="2">
        <f>+K34-L34</f>
        <v>1.2999999999999972</v>
      </c>
      <c r="N34" s="1">
        <f>+F34-J34</f>
        <v>7.0659909875145699E-2</v>
      </c>
      <c r="O34" s="2">
        <v>111.2</v>
      </c>
      <c r="P34" s="2">
        <v>92.3</v>
      </c>
      <c r="Q34" s="2">
        <f>+O34-P34</f>
        <v>18.900000000000006</v>
      </c>
      <c r="R34" s="2">
        <v>-0.1</v>
      </c>
      <c r="S34" s="2">
        <v>1.3</v>
      </c>
      <c r="T34" s="2">
        <f>+Q34-M34</f>
        <v>17.600000000000009</v>
      </c>
    </row>
    <row r="35" spans="1:20">
      <c r="A35" s="6">
        <v>672</v>
      </c>
      <c r="B35" t="s">
        <v>63</v>
      </c>
      <c r="C35" t="s">
        <v>18</v>
      </c>
      <c r="D35">
        <v>44</v>
      </c>
      <c r="E35">
        <v>38</v>
      </c>
      <c r="F35" s="1">
        <f>+D35/(D35+E35)</f>
        <v>0.53658536585365857</v>
      </c>
      <c r="G35" s="2">
        <v>109.5</v>
      </c>
      <c r="H35" s="2">
        <v>109.8</v>
      </c>
      <c r="I35" s="2">
        <f>+G35-H35</f>
        <v>-0.29999999999999716</v>
      </c>
      <c r="J35" s="1">
        <f>+(G35^14)/((G35^14+H35^14))</f>
        <v>0.49042524125901932</v>
      </c>
      <c r="K35" s="2">
        <v>112.3</v>
      </c>
      <c r="L35" s="2">
        <v>112.8</v>
      </c>
      <c r="M35" s="2">
        <f>+K35-L35</f>
        <v>-0.5</v>
      </c>
      <c r="N35" s="1">
        <f>+F35-J35</f>
        <v>4.6160124594639251E-2</v>
      </c>
      <c r="O35" s="2">
        <v>112.3</v>
      </c>
      <c r="P35" s="2">
        <v>95.4</v>
      </c>
      <c r="Q35" s="2">
        <f>+O35-P35</f>
        <v>16.899999999999991</v>
      </c>
      <c r="R35" s="2">
        <v>1.3</v>
      </c>
      <c r="S35" s="2">
        <v>6.5</v>
      </c>
      <c r="T35" s="2">
        <f>+Q35-M35</f>
        <v>17.399999999999991</v>
      </c>
    </row>
    <row r="36" spans="1:20">
      <c r="A36" s="6">
        <v>715</v>
      </c>
      <c r="B36" t="s">
        <v>64</v>
      </c>
      <c r="C36" t="s">
        <v>31</v>
      </c>
      <c r="D36">
        <v>31</v>
      </c>
      <c r="E36">
        <v>51</v>
      </c>
      <c r="F36" s="1">
        <f>+D36/(D36+E36)</f>
        <v>0.37804878048780488</v>
      </c>
      <c r="G36" s="2">
        <v>115.7</v>
      </c>
      <c r="H36" s="2">
        <v>120.5</v>
      </c>
      <c r="I36" s="2">
        <f>+G36-H36</f>
        <v>-4.7999999999999972</v>
      </c>
      <c r="J36" s="1">
        <f>+(G36^14)/((G36^14+H36^14))</f>
        <v>0.36144736866912885</v>
      </c>
      <c r="K36" s="2">
        <v>114.5</v>
      </c>
      <c r="L36" s="2">
        <v>119.6</v>
      </c>
      <c r="M36" s="2">
        <f>+K36-L36</f>
        <v>-5.0999999999999943</v>
      </c>
      <c r="N36" s="1">
        <f>+F36-J36</f>
        <v>1.6601411818676026E-2</v>
      </c>
      <c r="O36" s="2">
        <v>116.1</v>
      </c>
      <c r="P36" s="2">
        <v>104.3</v>
      </c>
      <c r="Q36" s="2">
        <f>+O36-P36</f>
        <v>11.799999999999997</v>
      </c>
      <c r="R36" s="2">
        <v>0.2</v>
      </c>
      <c r="S36" s="2">
        <v>1</v>
      </c>
      <c r="T36" s="2">
        <f>+Q36-M36</f>
        <v>16.899999999999991</v>
      </c>
    </row>
    <row r="37" spans="1:20">
      <c r="A37" s="6">
        <v>631</v>
      </c>
      <c r="B37" t="s">
        <v>62</v>
      </c>
      <c r="C37" t="s">
        <v>8</v>
      </c>
      <c r="D37">
        <v>46</v>
      </c>
      <c r="E37">
        <v>36</v>
      </c>
      <c r="F37" s="1">
        <f>+D37/(D37+E37)</f>
        <v>0.56097560975609762</v>
      </c>
      <c r="G37" s="2">
        <v>111.6</v>
      </c>
      <c r="H37" s="2">
        <v>112</v>
      </c>
      <c r="I37" s="2">
        <f>+G37-H37</f>
        <v>-0.40000000000000568</v>
      </c>
      <c r="J37" s="1">
        <f>+(G37^14)/((G37^14+H37^14))</f>
        <v>0.48748024280159491</v>
      </c>
      <c r="K37" s="2">
        <v>112.7</v>
      </c>
      <c r="L37" s="2">
        <v>113.2</v>
      </c>
      <c r="M37" s="2">
        <f>+K37-L37</f>
        <v>-0.5</v>
      </c>
      <c r="N37" s="1">
        <f>+F37-J37</f>
        <v>7.3495366954502706E-2</v>
      </c>
      <c r="O37" s="2">
        <v>121</v>
      </c>
      <c r="P37" s="2">
        <v>104.9</v>
      </c>
      <c r="Q37" s="2">
        <f>+O37-P37</f>
        <v>16.099999999999994</v>
      </c>
      <c r="R37" s="2">
        <v>0.9</v>
      </c>
      <c r="S37" s="2">
        <v>3.7</v>
      </c>
      <c r="T37" s="2">
        <f>+Q37-M37</f>
        <v>16.599999999999994</v>
      </c>
    </row>
    <row r="38" spans="1:20">
      <c r="A38" s="6">
        <v>570</v>
      </c>
      <c r="B38" t="s">
        <v>60</v>
      </c>
      <c r="C38" t="s">
        <v>7</v>
      </c>
      <c r="D38">
        <v>23</v>
      </c>
      <c r="E38">
        <v>42</v>
      </c>
      <c r="F38" s="1">
        <f>+D38/(D38+E38)</f>
        <v>0.35384615384615387</v>
      </c>
      <c r="G38" s="2">
        <v>102.9</v>
      </c>
      <c r="H38" s="2">
        <v>109.6</v>
      </c>
      <c r="I38" s="2">
        <f>+G38-H38</f>
        <v>-6.6999999999999886</v>
      </c>
      <c r="J38" s="1">
        <f>+(G38^14)/((G38^14+H38^14))</f>
        <v>0.29253243315718996</v>
      </c>
      <c r="K38" s="2">
        <v>105.9</v>
      </c>
      <c r="L38" s="2">
        <v>112.8</v>
      </c>
      <c r="M38" s="2">
        <f>+K38-L38</f>
        <v>-6.8999999999999915</v>
      </c>
      <c r="N38" s="1">
        <f>+F38-J38</f>
        <v>6.1313720688963902E-2</v>
      </c>
      <c r="O38" s="2">
        <v>120.3</v>
      </c>
      <c r="P38" s="2">
        <v>110.6</v>
      </c>
      <c r="Q38" s="2">
        <f>+O38-P38</f>
        <v>9.7000000000000028</v>
      </c>
      <c r="R38" s="2">
        <v>-2.1</v>
      </c>
      <c r="S38" s="2">
        <v>-8</v>
      </c>
      <c r="T38" s="2">
        <f>+Q38-M38</f>
        <v>16.599999999999994</v>
      </c>
    </row>
    <row r="39" spans="1:20">
      <c r="A39" s="6">
        <v>721</v>
      </c>
      <c r="B39" t="s">
        <v>65</v>
      </c>
      <c r="C39" t="s">
        <v>8</v>
      </c>
      <c r="D39">
        <v>39</v>
      </c>
      <c r="E39">
        <v>43</v>
      </c>
      <c r="F39" s="1">
        <f>+D39/(D39+E39)</f>
        <v>0.47560975609756095</v>
      </c>
      <c r="G39" s="2">
        <v>117.8</v>
      </c>
      <c r="H39" s="2">
        <v>119.4</v>
      </c>
      <c r="I39" s="2">
        <f>+G39-H39</f>
        <v>-1.6000000000000085</v>
      </c>
      <c r="J39" s="1">
        <f>+(G39^14)/((G39^14+H39^14))</f>
        <v>0.45292161510107215</v>
      </c>
      <c r="K39" s="2">
        <v>113.2</v>
      </c>
      <c r="L39" s="2">
        <v>114.8</v>
      </c>
      <c r="M39" s="2">
        <f>+K39-L39</f>
        <v>-1.5999999999999943</v>
      </c>
      <c r="N39" s="1">
        <f>+F39-J39</f>
        <v>2.2688140996488804E-2</v>
      </c>
      <c r="O39" s="2">
        <v>115.4</v>
      </c>
      <c r="P39" s="2">
        <v>100.4</v>
      </c>
      <c r="Q39" s="2">
        <f>+O39-P39</f>
        <v>15</v>
      </c>
      <c r="R39" s="2">
        <v>0</v>
      </c>
      <c r="S39" s="2">
        <v>1.9</v>
      </c>
      <c r="T39" s="2">
        <f>+Q39-M39</f>
        <v>16.599999999999994</v>
      </c>
    </row>
    <row r="40" spans="1:20">
      <c r="A40" s="6">
        <v>27</v>
      </c>
      <c r="B40" t="s">
        <v>4</v>
      </c>
      <c r="C40" t="s">
        <v>31</v>
      </c>
      <c r="D40">
        <v>53</v>
      </c>
      <c r="E40">
        <v>29</v>
      </c>
      <c r="F40" s="1">
        <f>+D40/(D40+E40)</f>
        <v>0.64634146341463417</v>
      </c>
      <c r="G40" s="2">
        <v>97.1</v>
      </c>
      <c r="H40" s="2">
        <v>92.4</v>
      </c>
      <c r="I40" s="2">
        <f>+G40-H40</f>
        <v>4.6999999999999886</v>
      </c>
      <c r="J40" s="1">
        <f>+(G40^14)/((G40^14+H40^14))</f>
        <v>0.66698978218466165</v>
      </c>
      <c r="K40" s="2">
        <v>106.1</v>
      </c>
      <c r="L40" s="2">
        <v>100.9</v>
      </c>
      <c r="M40" s="2">
        <f>+K40-L40</f>
        <v>5.1999999999999886</v>
      </c>
      <c r="N40" s="1">
        <f>+F40-J40</f>
        <v>-2.0648318770027485E-2</v>
      </c>
      <c r="O40" s="2">
        <v>118.4</v>
      </c>
      <c r="P40" s="2">
        <v>96.8</v>
      </c>
      <c r="Q40" s="2">
        <f>+O40-P40</f>
        <v>21.600000000000009</v>
      </c>
      <c r="R40" s="2">
        <v>2.5</v>
      </c>
      <c r="S40" s="2">
        <v>11.2</v>
      </c>
      <c r="T40" s="2">
        <f>+Q40-M40</f>
        <v>16.40000000000002</v>
      </c>
    </row>
    <row r="41" spans="1:20">
      <c r="A41" s="6">
        <v>656</v>
      </c>
      <c r="B41" t="s">
        <v>62</v>
      </c>
      <c r="C41" t="s">
        <v>33</v>
      </c>
      <c r="D41">
        <v>35</v>
      </c>
      <c r="E41">
        <v>47</v>
      </c>
      <c r="F41" s="1">
        <f>+D41/(D41+E41)</f>
        <v>0.42682926829268292</v>
      </c>
      <c r="G41" s="2">
        <v>108.6</v>
      </c>
      <c r="H41" s="2">
        <v>112</v>
      </c>
      <c r="I41" s="2">
        <f>+G41-H41</f>
        <v>-3.4000000000000057</v>
      </c>
      <c r="J41" s="1">
        <f>+(G41^14)/((G41^14+H41^14))</f>
        <v>0.39374803277968673</v>
      </c>
      <c r="K41" s="2">
        <v>110.2</v>
      </c>
      <c r="L41" s="2">
        <v>113.6</v>
      </c>
      <c r="M41" s="2">
        <f>+K41-L41</f>
        <v>-3.3999999999999915</v>
      </c>
      <c r="N41" s="1">
        <f>+F41-J41</f>
        <v>3.3081235512996188E-2</v>
      </c>
      <c r="O41" s="2">
        <v>111.5</v>
      </c>
      <c r="P41" s="2">
        <v>98.8</v>
      </c>
      <c r="Q41" s="2">
        <f>+O41-P41</f>
        <v>12.700000000000003</v>
      </c>
      <c r="R41" s="2">
        <v>0.5</v>
      </c>
      <c r="S41" s="2">
        <v>4.9000000000000004</v>
      </c>
      <c r="T41" s="2">
        <f>+Q41-M41</f>
        <v>16.099999999999994</v>
      </c>
    </row>
    <row r="42" spans="1:20">
      <c r="A42" s="6">
        <v>272</v>
      </c>
      <c r="B42" t="s">
        <v>47</v>
      </c>
      <c r="C42" t="s">
        <v>10</v>
      </c>
      <c r="D42">
        <v>55</v>
      </c>
      <c r="E42">
        <v>27</v>
      </c>
      <c r="F42" s="1">
        <f>+D42/(D42+E42)</f>
        <v>0.67073170731707321</v>
      </c>
      <c r="G42" s="2">
        <v>102</v>
      </c>
      <c r="H42" s="2">
        <v>99.3</v>
      </c>
      <c r="I42" s="2">
        <f>+G42-H42</f>
        <v>2.7000000000000028</v>
      </c>
      <c r="J42" s="1">
        <f>+(G42^14)/((G42^14+H42^14))</f>
        <v>0.59280694774061193</v>
      </c>
      <c r="K42" s="2">
        <v>107.8</v>
      </c>
      <c r="L42" s="2">
        <v>105</v>
      </c>
      <c r="M42" s="2">
        <f>+K42-L42</f>
        <v>2.7999999999999972</v>
      </c>
      <c r="N42" s="1">
        <f>+F42-J42</f>
        <v>7.7924759576461278E-2</v>
      </c>
      <c r="O42" s="2">
        <v>114.1</v>
      </c>
      <c r="P42" s="2">
        <v>95.3</v>
      </c>
      <c r="Q42" s="2">
        <f>+O42-P42</f>
        <v>18.799999999999997</v>
      </c>
      <c r="R42" s="2">
        <v>0.6</v>
      </c>
      <c r="S42" s="2">
        <v>4</v>
      </c>
      <c r="T42" s="2">
        <f>+Q42-M42</f>
        <v>16</v>
      </c>
    </row>
    <row r="43" spans="1:20">
      <c r="A43" s="6">
        <v>409</v>
      </c>
      <c r="B43" t="s">
        <v>52</v>
      </c>
      <c r="C43" t="s">
        <v>24</v>
      </c>
      <c r="D43">
        <v>19</v>
      </c>
      <c r="E43">
        <v>63</v>
      </c>
      <c r="F43" s="1">
        <f>+D43/(D43+E43)</f>
        <v>0.23170731707317074</v>
      </c>
      <c r="G43" s="2">
        <v>99.5</v>
      </c>
      <c r="H43" s="2">
        <v>109.9</v>
      </c>
      <c r="I43" s="2">
        <f>+G43-H43</f>
        <v>-10.400000000000006</v>
      </c>
      <c r="J43" s="1">
        <f>+(G43^14)/((G43^14+H43^14))</f>
        <v>0.19912293805378545</v>
      </c>
      <c r="K43" s="2">
        <v>99</v>
      </c>
      <c r="L43" s="2">
        <v>109</v>
      </c>
      <c r="M43" s="2">
        <f>+K43-L43</f>
        <v>-10</v>
      </c>
      <c r="N43" s="1">
        <f>+F43-J43</f>
        <v>3.2584379019385296E-2</v>
      </c>
      <c r="O43" s="2">
        <v>105</v>
      </c>
      <c r="P43" s="2">
        <v>99</v>
      </c>
      <c r="Q43" s="2">
        <f>+O43-P43</f>
        <v>6</v>
      </c>
      <c r="R43" s="2">
        <v>-0.8</v>
      </c>
      <c r="S43" s="2">
        <v>-3.4</v>
      </c>
      <c r="T43" s="2">
        <f>+Q43-M43</f>
        <v>16</v>
      </c>
    </row>
    <row r="44" spans="1:20">
      <c r="A44" s="6">
        <v>577</v>
      </c>
      <c r="B44" t="s">
        <v>60</v>
      </c>
      <c r="C44" t="s">
        <v>14</v>
      </c>
      <c r="D44">
        <v>44</v>
      </c>
      <c r="E44">
        <v>28</v>
      </c>
      <c r="F44" s="1">
        <f>+D44/(D44+E44)</f>
        <v>0.61111111111111116</v>
      </c>
      <c r="G44" s="2">
        <v>117.8</v>
      </c>
      <c r="H44" s="2">
        <v>114.8</v>
      </c>
      <c r="I44" s="2">
        <f>+G44-H44</f>
        <v>3</v>
      </c>
      <c r="J44" s="1">
        <f>+(G44^14)/((G44^14+H44^14))</f>
        <v>0.58932000368838899</v>
      </c>
      <c r="K44" s="2">
        <v>112.5</v>
      </c>
      <c r="L44" s="2">
        <v>109.8</v>
      </c>
      <c r="M44" s="2">
        <f>+K44-L44</f>
        <v>2.7000000000000028</v>
      </c>
      <c r="N44" s="1">
        <f>+F44-J44</f>
        <v>2.1791107422722167E-2</v>
      </c>
      <c r="O44" s="2">
        <v>115.7</v>
      </c>
      <c r="P44" s="2">
        <v>97</v>
      </c>
      <c r="Q44" s="2">
        <f>+O44-P44</f>
        <v>18.700000000000003</v>
      </c>
      <c r="R44" s="2">
        <v>-0.5</v>
      </c>
      <c r="S44" s="2">
        <v>-1.3</v>
      </c>
      <c r="T44" s="2">
        <f>+Q44-M44</f>
        <v>16</v>
      </c>
    </row>
    <row r="45" spans="1:20">
      <c r="A45" s="6">
        <v>271</v>
      </c>
      <c r="B45" t="s">
        <v>47</v>
      </c>
      <c r="C45" t="s">
        <v>9</v>
      </c>
      <c r="D45">
        <v>61</v>
      </c>
      <c r="E45">
        <v>21</v>
      </c>
      <c r="F45" s="1">
        <f>+D45/(D45+E45)</f>
        <v>0.74390243902439024</v>
      </c>
      <c r="G45" s="2">
        <v>102.1</v>
      </c>
      <c r="H45" s="2">
        <v>95.6</v>
      </c>
      <c r="I45" s="2">
        <f>+G45-H45</f>
        <v>6.5</v>
      </c>
      <c r="J45" s="1">
        <f>+(G45^14)/((G45^14+H45^14))</f>
        <v>0.71522925438381391</v>
      </c>
      <c r="K45" s="2">
        <v>110.6</v>
      </c>
      <c r="L45" s="2">
        <v>103.8</v>
      </c>
      <c r="M45" s="2">
        <f>+K45-L45</f>
        <v>6.7999999999999972</v>
      </c>
      <c r="N45" s="1">
        <f>+F45-J45</f>
        <v>2.8673184640576332E-2</v>
      </c>
      <c r="O45" s="2">
        <v>115.9</v>
      </c>
      <c r="P45" s="2">
        <v>93.2</v>
      </c>
      <c r="Q45" s="2">
        <f>+O45-P45</f>
        <v>22.700000000000003</v>
      </c>
      <c r="R45" s="2">
        <v>1</v>
      </c>
      <c r="S45" s="2">
        <v>5.7</v>
      </c>
      <c r="T45" s="2">
        <f>+Q45-M45</f>
        <v>15.900000000000006</v>
      </c>
    </row>
    <row r="46" spans="1:20">
      <c r="A46" s="6">
        <v>728</v>
      </c>
      <c r="B46" t="s">
        <v>65</v>
      </c>
      <c r="C46" t="s">
        <v>15</v>
      </c>
      <c r="D46">
        <v>50</v>
      </c>
      <c r="E46">
        <v>32</v>
      </c>
      <c r="F46" s="1">
        <f>+D46/(D46+E46)</f>
        <v>0.6097560975609756</v>
      </c>
      <c r="G46" s="2">
        <v>117.4</v>
      </c>
      <c r="H46" s="2">
        <v>115.1</v>
      </c>
      <c r="I46" s="2">
        <f>+G46-H46</f>
        <v>2.3000000000000114</v>
      </c>
      <c r="J46" s="1">
        <f>+(G46^14)/((G46^14+H46^14))</f>
        <v>0.56881015999897555</v>
      </c>
      <c r="K46" s="2">
        <v>115.4</v>
      </c>
      <c r="L46" s="2">
        <v>113.3</v>
      </c>
      <c r="M46" s="2">
        <f>+K46-L46</f>
        <v>2.1000000000000085</v>
      </c>
      <c r="N46" s="1">
        <f>+F46-J46</f>
        <v>4.0945937562000045E-2</v>
      </c>
      <c r="O46" s="2">
        <v>118.3</v>
      </c>
      <c r="P46" s="2">
        <v>100.6</v>
      </c>
      <c r="Q46" s="2">
        <f>+O46-P46</f>
        <v>17.700000000000003</v>
      </c>
      <c r="R46" s="2">
        <v>2.1</v>
      </c>
      <c r="S46" s="2">
        <v>9.9</v>
      </c>
      <c r="T46" s="2">
        <f>+Q46-M46</f>
        <v>15.599999999999994</v>
      </c>
    </row>
    <row r="47" spans="1:20">
      <c r="A47" s="6">
        <v>518</v>
      </c>
      <c r="B47" t="s">
        <v>58</v>
      </c>
      <c r="C47" t="s">
        <v>15</v>
      </c>
      <c r="D47">
        <v>48</v>
      </c>
      <c r="E47">
        <v>34</v>
      </c>
      <c r="F47" s="1">
        <f>+D47/(D47+E47)</f>
        <v>0.58536585365853655</v>
      </c>
      <c r="G47" s="2">
        <v>105.6</v>
      </c>
      <c r="H47" s="2">
        <v>104.2</v>
      </c>
      <c r="I47" s="2">
        <f>+G47-H47</f>
        <v>1.3999999999999915</v>
      </c>
      <c r="J47" s="1">
        <f>+(G47^14)/((G47^14+H47^14))</f>
        <v>0.54657641949522462</v>
      </c>
      <c r="K47" s="2">
        <v>108.5</v>
      </c>
      <c r="L47" s="2">
        <v>107.3</v>
      </c>
      <c r="M47" s="2">
        <f>+K47-L47</f>
        <v>1.2000000000000028</v>
      </c>
      <c r="N47" s="1">
        <f>+F47-J47</f>
        <v>3.8789434163311931E-2</v>
      </c>
      <c r="O47" s="2">
        <v>112.2</v>
      </c>
      <c r="P47" s="2">
        <v>95.5</v>
      </c>
      <c r="Q47" s="2">
        <f>+O47-P47</f>
        <v>16.700000000000003</v>
      </c>
      <c r="R47" s="2">
        <v>-0.4</v>
      </c>
      <c r="S47" s="2">
        <v>0.3</v>
      </c>
      <c r="T47" s="2">
        <f>+Q47-M47</f>
        <v>15.5</v>
      </c>
    </row>
    <row r="48" spans="1:20">
      <c r="A48" s="6">
        <v>31</v>
      </c>
      <c r="B48" t="s">
        <v>34</v>
      </c>
      <c r="C48" t="s">
        <v>6</v>
      </c>
      <c r="D48">
        <v>49</v>
      </c>
      <c r="E48">
        <v>33</v>
      </c>
      <c r="F48" s="1">
        <f>+D48/(D48+E48)</f>
        <v>0.59756097560975607</v>
      </c>
      <c r="G48" s="2">
        <v>96.4</v>
      </c>
      <c r="H48" s="2">
        <v>94.1</v>
      </c>
      <c r="I48" s="2">
        <f>+G48-H48</f>
        <v>2.3000000000000114</v>
      </c>
      <c r="J48" s="1">
        <f>+(G48^14)/((G48^14+H48^14))</f>
        <v>0.58372264017274567</v>
      </c>
      <c r="K48" s="2">
        <v>102.1</v>
      </c>
      <c r="L48" s="2">
        <v>99.9</v>
      </c>
      <c r="M48" s="2">
        <f>+K48-L48</f>
        <v>2.1999999999999886</v>
      </c>
      <c r="N48" s="1">
        <f>+F48-J48</f>
        <v>1.3838335437010407E-2</v>
      </c>
      <c r="O48" s="2">
        <v>107.8</v>
      </c>
      <c r="P48" s="2">
        <v>90.2</v>
      </c>
      <c r="Q48" s="2">
        <f>+O48-P48</f>
        <v>17.599999999999994</v>
      </c>
      <c r="R48" s="2">
        <v>1</v>
      </c>
      <c r="S48" s="2">
        <v>5.7</v>
      </c>
      <c r="T48" s="2">
        <f>+Q48-M48</f>
        <v>15.400000000000006</v>
      </c>
    </row>
    <row r="49" spans="1:21">
      <c r="A49" s="6">
        <v>724</v>
      </c>
      <c r="B49" t="s">
        <v>65</v>
      </c>
      <c r="C49" t="s">
        <v>11</v>
      </c>
      <c r="D49">
        <v>50</v>
      </c>
      <c r="E49">
        <v>32</v>
      </c>
      <c r="F49" s="1">
        <f>+D49/(D49+E49)</f>
        <v>0.6097560975609756</v>
      </c>
      <c r="G49" s="2">
        <v>120.8</v>
      </c>
      <c r="H49" s="2">
        <v>116.9</v>
      </c>
      <c r="I49" s="2">
        <f>+G49-H49</f>
        <v>3.8999999999999915</v>
      </c>
      <c r="J49" s="1">
        <f>+(G49^14)/((G49^14+H49^14))</f>
        <v>0.61288223083931581</v>
      </c>
      <c r="K49" s="2">
        <v>118.9</v>
      </c>
      <c r="L49" s="2">
        <v>115.1</v>
      </c>
      <c r="M49" s="2">
        <f>+K49-L49</f>
        <v>3.8000000000000114</v>
      </c>
      <c r="N49" s="1">
        <f>+F49-J49</f>
        <v>-3.1261332783402151E-3</v>
      </c>
      <c r="O49" s="2">
        <v>126.8</v>
      </c>
      <c r="P49" s="2">
        <v>108</v>
      </c>
      <c r="Q49" s="2">
        <f>+O49-P49</f>
        <v>18.799999999999997</v>
      </c>
      <c r="R49" s="2">
        <v>0.2</v>
      </c>
      <c r="S49" s="2">
        <v>1.3</v>
      </c>
      <c r="T49" s="2">
        <f>+Q49-M49</f>
        <v>14.999999999999986</v>
      </c>
    </row>
    <row r="50" spans="1:21">
      <c r="A50" s="6">
        <v>417</v>
      </c>
      <c r="B50" t="s">
        <v>54</v>
      </c>
      <c r="C50" t="s">
        <v>5</v>
      </c>
      <c r="D50">
        <v>60</v>
      </c>
      <c r="E50">
        <v>22</v>
      </c>
      <c r="F50" s="1">
        <f>+D50/(D50+E50)</f>
        <v>0.73170731707317072</v>
      </c>
      <c r="G50" s="2">
        <v>102.5</v>
      </c>
      <c r="H50" s="2">
        <v>97.1</v>
      </c>
      <c r="I50" s="2">
        <f>+G50-H50</f>
        <v>5.4000000000000057</v>
      </c>
      <c r="J50" s="1">
        <f>+(G50^14)/((G50^14+H50^14))</f>
        <v>0.68085415464788723</v>
      </c>
      <c r="K50" s="2">
        <v>108.2</v>
      </c>
      <c r="L50" s="2">
        <v>102.3</v>
      </c>
      <c r="M50" s="2">
        <f>+K50-L50</f>
        <v>5.9000000000000057</v>
      </c>
      <c r="N50" s="1">
        <f>+F50-J50</f>
        <v>5.0853162425283482E-2</v>
      </c>
      <c r="O50" s="2">
        <v>112.1</v>
      </c>
      <c r="P50" s="2">
        <v>91.3</v>
      </c>
      <c r="Q50" s="2">
        <f>+O50-P50</f>
        <v>20.799999999999997</v>
      </c>
      <c r="R50" s="2">
        <v>1.2</v>
      </c>
      <c r="S50" s="2">
        <v>7.4</v>
      </c>
      <c r="T50" s="2">
        <f>+Q50-M50</f>
        <v>14.899999999999991</v>
      </c>
    </row>
    <row r="51" spans="1:21">
      <c r="A51" s="6">
        <v>453</v>
      </c>
      <c r="B51" t="s">
        <v>55</v>
      </c>
      <c r="C51" t="s">
        <v>10</v>
      </c>
      <c r="D51">
        <v>42</v>
      </c>
      <c r="E51">
        <v>40</v>
      </c>
      <c r="F51" s="1">
        <f>+D51/(D51+E51)</f>
        <v>0.51219512195121952</v>
      </c>
      <c r="G51" s="2">
        <v>102.3</v>
      </c>
      <c r="H51" s="2">
        <v>102.6</v>
      </c>
      <c r="I51" s="2">
        <f>+G51-H51</f>
        <v>-0.29999999999999716</v>
      </c>
      <c r="J51" s="1">
        <f>+(G51^14)/((G51^14+H51^14))</f>
        <v>0.4897525259278111</v>
      </c>
      <c r="K51" s="2">
        <v>105.5</v>
      </c>
      <c r="L51" s="2">
        <v>105.9</v>
      </c>
      <c r="M51" s="2">
        <f>+K51-L51</f>
        <v>-0.40000000000000568</v>
      </c>
      <c r="N51" s="1">
        <f>+F51-J51</f>
        <v>2.2442596023408423E-2</v>
      </c>
      <c r="O51" s="2">
        <v>113.5</v>
      </c>
      <c r="P51" s="2">
        <v>99.1</v>
      </c>
      <c r="Q51" s="2">
        <f>+O51-P51</f>
        <v>14.400000000000006</v>
      </c>
      <c r="R51" s="2">
        <v>0.3</v>
      </c>
      <c r="S51" s="2">
        <v>3</v>
      </c>
      <c r="T51" s="2">
        <f>+Q51-M51</f>
        <v>14.800000000000011</v>
      </c>
    </row>
    <row r="52" spans="1:21">
      <c r="A52" s="6">
        <v>477</v>
      </c>
      <c r="B52" t="s">
        <v>57</v>
      </c>
      <c r="C52" t="s">
        <v>5</v>
      </c>
      <c r="D52">
        <v>43</v>
      </c>
      <c r="E52">
        <v>39</v>
      </c>
      <c r="F52" s="1">
        <f>+D52/(D52+E52)</f>
        <v>0.52439024390243905</v>
      </c>
      <c r="G52" s="2">
        <v>103.2</v>
      </c>
      <c r="H52" s="2">
        <v>104</v>
      </c>
      <c r="I52" s="2">
        <f>+G52-H52</f>
        <v>-0.79999999999999716</v>
      </c>
      <c r="J52" s="1">
        <f>+(G52^14)/((G52^14+H52^14))</f>
        <v>0.47299913122451137</v>
      </c>
      <c r="K52" s="2">
        <v>104.5</v>
      </c>
      <c r="L52" s="2">
        <v>105.2</v>
      </c>
      <c r="M52" s="2">
        <f>+K52-L52</f>
        <v>-0.70000000000000284</v>
      </c>
      <c r="N52" s="1">
        <f>+F52-J52</f>
        <v>5.1391112677927675E-2</v>
      </c>
      <c r="O52" s="2">
        <v>109.8</v>
      </c>
      <c r="P52" s="2">
        <v>95.7</v>
      </c>
      <c r="Q52" s="2">
        <f>+O52-P52</f>
        <v>14.099999999999994</v>
      </c>
      <c r="R52" s="2">
        <v>0.6</v>
      </c>
      <c r="S52" s="2">
        <v>3</v>
      </c>
      <c r="T52" s="2">
        <f>+Q52-M52</f>
        <v>14.799999999999997</v>
      </c>
    </row>
    <row r="53" spans="1:21">
      <c r="A53" s="6">
        <v>775</v>
      </c>
      <c r="B53" t="s">
        <v>66</v>
      </c>
      <c r="C53" t="s">
        <v>31</v>
      </c>
      <c r="D53">
        <v>19</v>
      </c>
      <c r="E53">
        <v>45</v>
      </c>
      <c r="F53" s="1">
        <f>+D53/(D53+E53)</f>
        <v>0.296875</v>
      </c>
      <c r="G53" s="2">
        <v>117.4</v>
      </c>
      <c r="H53" s="2">
        <v>125</v>
      </c>
      <c r="I53" s="2">
        <f>+G53-H53</f>
        <v>-7.5999999999999943</v>
      </c>
      <c r="J53" s="1">
        <f>+(G53^14)/((G53^14+H53^14))</f>
        <v>0.29355597812960449</v>
      </c>
      <c r="K53" s="2">
        <v>113.2</v>
      </c>
      <c r="L53" s="2">
        <v>120.5</v>
      </c>
      <c r="M53" s="2">
        <f>+K53-L53</f>
        <v>-7.2999999999999972</v>
      </c>
      <c r="N53" s="1">
        <f>+F53-J53</f>
        <v>3.319021870395511E-3</v>
      </c>
      <c r="O53" s="2">
        <v>113.6</v>
      </c>
      <c r="P53" s="2">
        <v>106.1</v>
      </c>
      <c r="Q53" s="2">
        <f>+O53-P53</f>
        <v>7.5</v>
      </c>
      <c r="R53" s="2">
        <v>-0.7</v>
      </c>
      <c r="S53" s="2">
        <v>-4.9000000000000004</v>
      </c>
      <c r="T53" s="2">
        <f>+Q53-M53</f>
        <v>14.799999999999997</v>
      </c>
    </row>
    <row r="54" spans="1:21">
      <c r="A54" s="6">
        <v>398</v>
      </c>
      <c r="B54" t="s">
        <v>52</v>
      </c>
      <c r="C54" t="s">
        <v>15</v>
      </c>
      <c r="D54">
        <v>56</v>
      </c>
      <c r="E54">
        <v>26</v>
      </c>
      <c r="F54" s="1">
        <f>+D54/(D54+E54)</f>
        <v>0.68292682926829273</v>
      </c>
      <c r="G54" s="2">
        <v>96.7</v>
      </c>
      <c r="H54" s="2">
        <v>92.3</v>
      </c>
      <c r="I54" s="2">
        <f>+G54-H54</f>
        <v>4.4000000000000057</v>
      </c>
      <c r="J54" s="1">
        <f>+(G54^14)/((G54^14+H54^14))</f>
        <v>0.65745418217817553</v>
      </c>
      <c r="K54" s="2">
        <v>103.6</v>
      </c>
      <c r="L54" s="2">
        <v>98.9</v>
      </c>
      <c r="M54" s="2">
        <f>+K54-L54</f>
        <v>4.6999999999999886</v>
      </c>
      <c r="N54" s="1">
        <f>+F54-J54</f>
        <v>2.5472647090117206E-2</v>
      </c>
      <c r="O54" s="2">
        <v>113.9</v>
      </c>
      <c r="P54" s="2">
        <v>94.6</v>
      </c>
      <c r="Q54" s="2">
        <f>+O54-P54</f>
        <v>19.300000000000011</v>
      </c>
      <c r="R54" s="2">
        <v>1.4</v>
      </c>
      <c r="S54" s="2">
        <v>6.3</v>
      </c>
      <c r="T54" s="2">
        <f>+Q54-M54</f>
        <v>14.600000000000023</v>
      </c>
    </row>
    <row r="55" spans="1:21">
      <c r="A55" s="6">
        <v>294</v>
      </c>
      <c r="B55" t="s">
        <v>47</v>
      </c>
      <c r="C55" t="s">
        <v>30</v>
      </c>
      <c r="D55">
        <v>40</v>
      </c>
      <c r="E55">
        <v>42</v>
      </c>
      <c r="F55" s="1">
        <f>+D55/(D55+E55)</f>
        <v>0.48780487804878048</v>
      </c>
      <c r="G55" s="2">
        <v>104.1</v>
      </c>
      <c r="H55" s="2">
        <v>105.9</v>
      </c>
      <c r="I55" s="2">
        <f>+G55-H55</f>
        <v>-1.8000000000000114</v>
      </c>
      <c r="J55" s="1">
        <f>+(G55^14)/((G55^14+H55^14))</f>
        <v>0.44028490223940814</v>
      </c>
      <c r="K55" s="2">
        <v>110.2</v>
      </c>
      <c r="L55" s="2">
        <v>112.2</v>
      </c>
      <c r="M55" s="2">
        <f>+K55-L55</f>
        <v>-2</v>
      </c>
      <c r="N55" s="1">
        <f>+F55-J55</f>
        <v>4.7519975809372339E-2</v>
      </c>
      <c r="O55" s="2">
        <v>114.5</v>
      </c>
      <c r="P55" s="2">
        <v>101.9</v>
      </c>
      <c r="Q55" s="2">
        <f>+O55-P55</f>
        <v>12.599999999999994</v>
      </c>
      <c r="R55" s="2">
        <v>-0.5</v>
      </c>
      <c r="S55" s="2">
        <v>-1.9</v>
      </c>
      <c r="T55" s="2">
        <f>+Q55-M55</f>
        <v>14.599999999999994</v>
      </c>
    </row>
    <row r="56" spans="1:21">
      <c r="A56" s="6">
        <v>594</v>
      </c>
      <c r="B56" t="s">
        <v>60</v>
      </c>
      <c r="C56" t="s">
        <v>30</v>
      </c>
      <c r="D56">
        <v>53</v>
      </c>
      <c r="E56">
        <v>19</v>
      </c>
      <c r="F56" s="1">
        <f>+D56/(D56+E56)</f>
        <v>0.73611111111111116</v>
      </c>
      <c r="G56" s="2">
        <v>112.8</v>
      </c>
      <c r="H56" s="2">
        <v>106.5</v>
      </c>
      <c r="I56" s="2">
        <f>+G56-H56</f>
        <v>6.2999999999999972</v>
      </c>
      <c r="J56" s="1">
        <f>+(G56^14)/((G56^14+H56^14))</f>
        <v>0.69095738167684095</v>
      </c>
      <c r="K56" s="2">
        <v>110.8</v>
      </c>
      <c r="L56" s="2">
        <v>104.7</v>
      </c>
      <c r="M56" s="2">
        <f>+K56-L56</f>
        <v>6.0999999999999943</v>
      </c>
      <c r="N56" s="1">
        <f>+F56-J56</f>
        <v>4.5153729434270207E-2</v>
      </c>
      <c r="O56" s="2">
        <v>118.1</v>
      </c>
      <c r="P56" s="2">
        <v>97.4</v>
      </c>
      <c r="Q56" s="2">
        <f>+O56-P56</f>
        <v>20.699999999999989</v>
      </c>
      <c r="R56" s="2">
        <v>1.2</v>
      </c>
      <c r="S56" s="2">
        <v>6.5</v>
      </c>
      <c r="T56" s="2">
        <f>+Q56-M56</f>
        <v>14.599999999999994</v>
      </c>
    </row>
    <row r="57" spans="1:21">
      <c r="A57" s="6">
        <v>432</v>
      </c>
      <c r="B57" t="s">
        <v>54</v>
      </c>
      <c r="C57" t="s">
        <v>18</v>
      </c>
      <c r="D57">
        <v>37</v>
      </c>
      <c r="E57">
        <v>45</v>
      </c>
      <c r="F57" s="1">
        <f>+D57/(D57+E57)</f>
        <v>0.45121951219512196</v>
      </c>
      <c r="G57" s="2">
        <v>94.7</v>
      </c>
      <c r="H57" s="2">
        <v>97.3</v>
      </c>
      <c r="I57" s="2">
        <f>+G57-H57</f>
        <v>-2.5999999999999943</v>
      </c>
      <c r="J57" s="1">
        <f>+(G57^14)/((G57^14+H57^14))</f>
        <v>0.40632231121075763</v>
      </c>
      <c r="K57" s="2">
        <v>103.2</v>
      </c>
      <c r="L57" s="2">
        <v>106.1</v>
      </c>
      <c r="M57" s="2">
        <f>+K57-L57</f>
        <v>-2.8999999999999915</v>
      </c>
      <c r="N57" s="1">
        <f>+F57-J57</f>
        <v>4.4897200984364338E-2</v>
      </c>
      <c r="O57" s="2">
        <v>102.9</v>
      </c>
      <c r="P57" s="2">
        <v>91.3</v>
      </c>
      <c r="Q57" s="2">
        <f>+O57-P57</f>
        <v>11.600000000000009</v>
      </c>
      <c r="R57" s="2">
        <v>-1.1000000000000001</v>
      </c>
      <c r="S57" s="2">
        <v>-4.7</v>
      </c>
      <c r="T57" s="2">
        <f>+Q57-M57</f>
        <v>14.5</v>
      </c>
    </row>
    <row r="58" spans="1:21">
      <c r="A58" s="6">
        <v>423</v>
      </c>
      <c r="B58" t="s">
        <v>54</v>
      </c>
      <c r="C58" t="s">
        <v>10</v>
      </c>
      <c r="D58">
        <v>50</v>
      </c>
      <c r="E58">
        <v>32</v>
      </c>
      <c r="F58" s="1">
        <f>+D58/(D58+E58)</f>
        <v>0.6097560975609756</v>
      </c>
      <c r="G58" s="2">
        <v>105.2</v>
      </c>
      <c r="H58" s="2">
        <v>102.3</v>
      </c>
      <c r="I58" s="2">
        <f>+G58-H58</f>
        <v>2.9000000000000057</v>
      </c>
      <c r="J58" s="1">
        <f>+(G58^14)/((G58^14+H58^14))</f>
        <v>0.59660783043206966</v>
      </c>
      <c r="K58" s="2">
        <v>108.2</v>
      </c>
      <c r="L58" s="2">
        <v>104.9</v>
      </c>
      <c r="M58" s="2">
        <f>+K58-L58</f>
        <v>3.2999999999999972</v>
      </c>
      <c r="N58" s="1">
        <f>+F58-J58</f>
        <v>1.3148267128905933E-2</v>
      </c>
      <c r="O58" s="2">
        <v>113.1</v>
      </c>
      <c r="P58" s="2">
        <v>95.3</v>
      </c>
      <c r="Q58" s="2">
        <f>+O58-P58</f>
        <v>17.799999999999997</v>
      </c>
      <c r="R58" s="2">
        <v>0.8</v>
      </c>
      <c r="S58" s="2">
        <v>4.3</v>
      </c>
      <c r="T58" s="2">
        <f>+Q58-M58</f>
        <v>14.5</v>
      </c>
      <c r="U58" s="2">
        <v>1</v>
      </c>
    </row>
    <row r="59" spans="1:21">
      <c r="A59" s="6">
        <v>503</v>
      </c>
      <c r="B59" t="s">
        <v>57</v>
      </c>
      <c r="C59" t="s">
        <v>28</v>
      </c>
      <c r="D59">
        <v>61</v>
      </c>
      <c r="E59">
        <v>21</v>
      </c>
      <c r="F59" s="1">
        <f>+D59/(D59+E59)</f>
        <v>0.74390243902439024</v>
      </c>
      <c r="G59" s="2">
        <v>105.3</v>
      </c>
      <c r="H59" s="2">
        <v>98.1</v>
      </c>
      <c r="I59" s="2">
        <f>+G59-H59</f>
        <v>7.2000000000000028</v>
      </c>
      <c r="J59" s="1">
        <f>+(G59^14)/((G59^14+H59^14))</f>
        <v>0.72939687618809401</v>
      </c>
      <c r="K59" s="2">
        <v>110.3</v>
      </c>
      <c r="L59" s="2">
        <v>102.9</v>
      </c>
      <c r="M59" s="2">
        <f>+K59-L59</f>
        <v>7.3999999999999915</v>
      </c>
      <c r="N59" s="1">
        <f>+F59-J59</f>
        <v>1.4505562836296226E-2</v>
      </c>
      <c r="O59" s="2">
        <v>111.4</v>
      </c>
      <c r="P59" s="2">
        <v>89.6</v>
      </c>
      <c r="Q59" s="2">
        <f>+O59-P59</f>
        <v>21.800000000000011</v>
      </c>
      <c r="R59" s="2">
        <v>1.2</v>
      </c>
      <c r="S59" s="2">
        <v>4.8</v>
      </c>
      <c r="T59" s="2">
        <f>+Q59-M59</f>
        <v>14.40000000000002</v>
      </c>
    </row>
    <row r="60" spans="1:21">
      <c r="A60" s="6">
        <v>357</v>
      </c>
      <c r="B60" t="s">
        <v>50</v>
      </c>
      <c r="C60" t="s">
        <v>5</v>
      </c>
      <c r="D60">
        <v>44</v>
      </c>
      <c r="E60">
        <v>38</v>
      </c>
      <c r="F60" s="1">
        <f>+D60/(D60+E60)</f>
        <v>0.53658536585365857</v>
      </c>
      <c r="G60" s="2">
        <v>98</v>
      </c>
      <c r="H60" s="2">
        <v>97.5</v>
      </c>
      <c r="I60" s="2">
        <f>+G60-H60</f>
        <v>0.5</v>
      </c>
      <c r="J60" s="1">
        <f>+(G60^14)/((G60^14+H60^14))</f>
        <v>0.51789520548021317</v>
      </c>
      <c r="K60" s="2">
        <v>103.7</v>
      </c>
      <c r="L60" s="2">
        <v>103.4</v>
      </c>
      <c r="M60" s="2">
        <f>+K60-L60</f>
        <v>0.29999999999999716</v>
      </c>
      <c r="N60" s="1">
        <f>+F60-J60</f>
        <v>1.8690160373445397E-2</v>
      </c>
      <c r="O60" s="2">
        <v>102.2</v>
      </c>
      <c r="P60" s="2">
        <v>87.5</v>
      </c>
      <c r="Q60" s="2">
        <f>+O60-P60</f>
        <v>14.700000000000003</v>
      </c>
      <c r="R60" s="2">
        <v>-0.2</v>
      </c>
      <c r="S60" s="2">
        <v>-1.2</v>
      </c>
      <c r="T60" s="2">
        <f>+Q60-M60</f>
        <v>14.400000000000006</v>
      </c>
    </row>
    <row r="61" spans="1:21">
      <c r="A61" s="6">
        <v>348</v>
      </c>
      <c r="B61" t="s">
        <v>49</v>
      </c>
      <c r="C61" t="s">
        <v>23</v>
      </c>
      <c r="D61">
        <v>37</v>
      </c>
      <c r="E61">
        <v>29</v>
      </c>
      <c r="F61" s="1">
        <f>+D61/(D61+E61)</f>
        <v>0.56060606060606055</v>
      </c>
      <c r="G61" s="2">
        <v>94.2</v>
      </c>
      <c r="H61" s="2">
        <v>93.4</v>
      </c>
      <c r="I61" s="2">
        <f>+G61-H61</f>
        <v>0.79999999999999716</v>
      </c>
      <c r="J61" s="1">
        <f>+(G61^14)/((G61^14+H61^14))</f>
        <v>0.52981551170793983</v>
      </c>
      <c r="K61" s="2">
        <v>104</v>
      </c>
      <c r="L61" s="2">
        <v>103.4</v>
      </c>
      <c r="M61" s="2">
        <f>+K61-L61</f>
        <v>0.59999999999999432</v>
      </c>
      <c r="N61" s="1">
        <f>+F61-J61</f>
        <v>3.0790548898120718E-2</v>
      </c>
      <c r="O61" s="2">
        <v>110</v>
      </c>
      <c r="P61" s="2">
        <v>95.1</v>
      </c>
      <c r="Q61" s="2">
        <f>+O61-P61</f>
        <v>14.900000000000006</v>
      </c>
      <c r="R61" s="2">
        <v>-0.5</v>
      </c>
      <c r="S61" s="2">
        <v>-1</v>
      </c>
      <c r="T61" s="2">
        <f>+Q61-M61</f>
        <v>14.300000000000011</v>
      </c>
    </row>
    <row r="62" spans="1:21">
      <c r="A62" s="6">
        <v>327</v>
      </c>
      <c r="B62" t="s">
        <v>49</v>
      </c>
      <c r="C62" t="s">
        <v>5</v>
      </c>
      <c r="D62">
        <v>40</v>
      </c>
      <c r="E62">
        <v>26</v>
      </c>
      <c r="F62" s="1">
        <f>+D62/(D62+E62)</f>
        <v>0.60606060606060608</v>
      </c>
      <c r="G62" s="2">
        <v>96.6</v>
      </c>
      <c r="H62" s="2">
        <v>93.2</v>
      </c>
      <c r="I62" s="2">
        <f>+G62-H62</f>
        <v>3.3999999999999915</v>
      </c>
      <c r="J62" s="1">
        <f>+(G62^14)/((G62^14+H62^14))</f>
        <v>0.62284331457936171</v>
      </c>
      <c r="K62" s="2">
        <v>104.2</v>
      </c>
      <c r="L62" s="2">
        <v>100.4</v>
      </c>
      <c r="M62" s="2">
        <f>+K62-L62</f>
        <v>3.7999999999999972</v>
      </c>
      <c r="N62" s="1">
        <f>+F62-J62</f>
        <v>-1.6782708518755629E-2</v>
      </c>
      <c r="O62" s="2">
        <v>107.2</v>
      </c>
      <c r="P62" s="2">
        <v>89.1</v>
      </c>
      <c r="Q62" s="2">
        <f>+O62-P62</f>
        <v>18.100000000000009</v>
      </c>
      <c r="R62" s="2">
        <v>1.4</v>
      </c>
      <c r="S62" s="2">
        <v>7</v>
      </c>
      <c r="T62" s="2">
        <f>+Q62-M62</f>
        <v>14.300000000000011</v>
      </c>
    </row>
    <row r="63" spans="1:21">
      <c r="A63" s="6">
        <v>462</v>
      </c>
      <c r="B63" t="s">
        <v>55</v>
      </c>
      <c r="C63" t="s">
        <v>18</v>
      </c>
      <c r="D63">
        <v>48</v>
      </c>
      <c r="E63">
        <v>34</v>
      </c>
      <c r="F63" s="1">
        <f>+D63/(D63+E63)</f>
        <v>0.58536585365853655</v>
      </c>
      <c r="G63" s="2">
        <v>100</v>
      </c>
      <c r="H63" s="2">
        <v>98.4</v>
      </c>
      <c r="I63" s="2">
        <f>+G63-H63</f>
        <v>1.5999999999999943</v>
      </c>
      <c r="J63" s="1">
        <f>+(G63^14)/((G63^14+H63^14))</f>
        <v>0.55621417253941718</v>
      </c>
      <c r="K63" s="2">
        <v>105.5</v>
      </c>
      <c r="L63" s="2">
        <v>103.7</v>
      </c>
      <c r="M63" s="2">
        <f>+K63-L63</f>
        <v>1.7999999999999972</v>
      </c>
      <c r="N63" s="1">
        <f>+F63-J63</f>
        <v>2.9151681119119366E-2</v>
      </c>
      <c r="O63" s="2">
        <v>111.1</v>
      </c>
      <c r="P63" s="2">
        <v>95.2</v>
      </c>
      <c r="Q63" s="2">
        <f>+O63-P63</f>
        <v>15.899999999999991</v>
      </c>
      <c r="R63" s="2">
        <v>0.8</v>
      </c>
      <c r="S63" s="2">
        <v>4.3</v>
      </c>
      <c r="T63" s="2">
        <f>+Q63-M63</f>
        <v>14.099999999999994</v>
      </c>
    </row>
    <row r="64" spans="1:21">
      <c r="A64" s="6">
        <v>10</v>
      </c>
      <c r="B64" t="s">
        <v>4</v>
      </c>
      <c r="C64" t="s">
        <v>14</v>
      </c>
      <c r="D64">
        <v>45</v>
      </c>
      <c r="E64">
        <v>37</v>
      </c>
      <c r="F64" s="1">
        <f>+D64/(D64+E64)</f>
        <v>0.54878048780487809</v>
      </c>
      <c r="G64" s="2">
        <v>97.2</v>
      </c>
      <c r="H64" s="2">
        <v>94.9</v>
      </c>
      <c r="I64" s="2">
        <f>+G64-H64</f>
        <v>2.2999999999999972</v>
      </c>
      <c r="J64" s="1">
        <f>+(G64^14)/((G64^14+H64^14))</f>
        <v>0.58303819645921595</v>
      </c>
      <c r="K64" s="2">
        <v>105.2</v>
      </c>
      <c r="L64" s="2">
        <v>102.8</v>
      </c>
      <c r="M64" s="2">
        <f>+K64-L64</f>
        <v>2.4000000000000057</v>
      </c>
      <c r="N64" s="1">
        <f>+F64-J64</f>
        <v>-3.4257708654337859E-2</v>
      </c>
      <c r="O64" s="2">
        <v>104.5</v>
      </c>
      <c r="P64" s="2">
        <v>88.1</v>
      </c>
      <c r="Q64" s="2">
        <f>+O64-P64</f>
        <v>16.400000000000006</v>
      </c>
      <c r="R64" s="2">
        <v>1.4</v>
      </c>
      <c r="S64" s="2">
        <v>6.1</v>
      </c>
      <c r="T64" s="2">
        <f>+Q64-M64</f>
        <v>14</v>
      </c>
    </row>
    <row r="65" spans="1:20">
      <c r="A65" s="6">
        <v>766</v>
      </c>
      <c r="B65" t="s">
        <v>66</v>
      </c>
      <c r="C65" t="s">
        <v>22</v>
      </c>
      <c r="D65">
        <v>40</v>
      </c>
      <c r="E65">
        <v>23</v>
      </c>
      <c r="F65" s="1">
        <f>+D65/(D65+E65)</f>
        <v>0.63492063492063489</v>
      </c>
      <c r="G65" s="2">
        <v>117</v>
      </c>
      <c r="H65" s="2">
        <v>110.5</v>
      </c>
      <c r="I65" s="2">
        <f>+G65-H65</f>
        <v>6.5</v>
      </c>
      <c r="J65" s="1">
        <f>+(G65^14)/((G65^14+H65^14))</f>
        <v>0.6900210673968612</v>
      </c>
      <c r="K65" s="2">
        <v>118.3</v>
      </c>
      <c r="L65" s="2">
        <v>111.7</v>
      </c>
      <c r="M65" s="2">
        <f>+K65-L65</f>
        <v>6.5999999999999943</v>
      </c>
      <c r="N65" s="1">
        <f>+F65-J65</f>
        <v>-5.5100432476226313E-2</v>
      </c>
      <c r="O65" s="2">
        <v>120.9</v>
      </c>
      <c r="P65" s="2">
        <v>100.5</v>
      </c>
      <c r="Q65" s="2">
        <f>+O65-P65</f>
        <v>20.400000000000006</v>
      </c>
      <c r="R65" s="2">
        <v>2.7</v>
      </c>
      <c r="S65" s="2">
        <v>10.199999999999999</v>
      </c>
      <c r="T65" s="2">
        <f>+Q65-M65</f>
        <v>13.800000000000011</v>
      </c>
    </row>
    <row r="66" spans="1:20" s="5" customFormat="1">
      <c r="A66" s="6">
        <v>461</v>
      </c>
      <c r="B66" t="s">
        <v>55</v>
      </c>
      <c r="C66" t="s">
        <v>35</v>
      </c>
      <c r="D66">
        <v>42</v>
      </c>
      <c r="E66">
        <v>40</v>
      </c>
      <c r="F66" s="1">
        <f>+D66/(D66+E66)</f>
        <v>0.51219512195121952</v>
      </c>
      <c r="G66" s="2">
        <v>99.1</v>
      </c>
      <c r="H66" s="2">
        <v>101.3</v>
      </c>
      <c r="I66" s="2">
        <f>+G66-H66</f>
        <v>-2.2000000000000028</v>
      </c>
      <c r="J66" s="1">
        <f>+(G66^14)/((G66^14+H66^14))</f>
        <v>0.42375008711442541</v>
      </c>
      <c r="K66" s="2">
        <v>104.7</v>
      </c>
      <c r="L66" s="2">
        <v>107.1</v>
      </c>
      <c r="M66" s="2">
        <f>+K66-L66</f>
        <v>-2.3999999999999915</v>
      </c>
      <c r="N66" s="1">
        <f>+F66-J66</f>
        <v>8.8445034836794112E-2</v>
      </c>
      <c r="O66" s="2">
        <v>105.9</v>
      </c>
      <c r="P66" s="2">
        <v>94.5</v>
      </c>
      <c r="Q66" s="2">
        <f>+O66-P66</f>
        <v>11.400000000000006</v>
      </c>
      <c r="R66" s="2">
        <v>-0.1</v>
      </c>
      <c r="S66" s="2">
        <v>-0.7</v>
      </c>
      <c r="T66" s="2">
        <f>+Q66-M66</f>
        <v>13.799999999999997</v>
      </c>
    </row>
    <row r="67" spans="1:20">
      <c r="A67" s="6">
        <v>99</v>
      </c>
      <c r="B67" t="s">
        <v>38</v>
      </c>
      <c r="C67" t="s">
        <v>17</v>
      </c>
      <c r="D67">
        <v>56</v>
      </c>
      <c r="E67">
        <v>26</v>
      </c>
      <c r="F67" s="1">
        <f>+D67/(D67+E67)</f>
        <v>0.68292682926829273</v>
      </c>
      <c r="G67" s="2">
        <v>98.2</v>
      </c>
      <c r="H67" s="2">
        <v>94.3</v>
      </c>
      <c r="I67" s="2">
        <f>+G67-H67</f>
        <v>3.9000000000000057</v>
      </c>
      <c r="J67" s="1">
        <f>+(G67^14)/((G67^14+H67^14))</f>
        <v>0.63815156005224649</v>
      </c>
      <c r="K67" s="2">
        <v>104.2</v>
      </c>
      <c r="L67" s="2">
        <v>100.1</v>
      </c>
      <c r="M67" s="2">
        <f>+K67-L67</f>
        <v>4.1000000000000085</v>
      </c>
      <c r="N67" s="1">
        <f>+F67-J67</f>
        <v>4.4775269216046243E-2</v>
      </c>
      <c r="O67" s="2">
        <v>102.8</v>
      </c>
      <c r="P67" s="2">
        <v>85.1</v>
      </c>
      <c r="Q67" s="2">
        <f>+O67-P67</f>
        <v>17.700000000000003</v>
      </c>
      <c r="R67" s="2">
        <v>1.5</v>
      </c>
      <c r="S67" s="2">
        <v>7.5</v>
      </c>
      <c r="T67" s="2">
        <f>+Q67-M67</f>
        <v>13.599999999999994</v>
      </c>
    </row>
    <row r="68" spans="1:20">
      <c r="A68" s="6">
        <v>699</v>
      </c>
      <c r="B68" t="s">
        <v>64</v>
      </c>
      <c r="C68" t="s">
        <v>56</v>
      </c>
      <c r="D68">
        <v>51</v>
      </c>
      <c r="E68">
        <v>31</v>
      </c>
      <c r="F68" s="1">
        <f>+D68/(D68+E68)</f>
        <v>0.62195121951219512</v>
      </c>
      <c r="G68" s="2">
        <v>115.6</v>
      </c>
      <c r="H68" s="2">
        <v>112.3</v>
      </c>
      <c r="I68" s="2">
        <f>+G68-H68</f>
        <v>3.2999999999999972</v>
      </c>
      <c r="J68" s="1">
        <f>+(G68^14)/((G68^14+H68^14))</f>
        <v>0.60000101155304963</v>
      </c>
      <c r="K68" s="2">
        <v>117.9</v>
      </c>
      <c r="L68" s="2">
        <v>114.6</v>
      </c>
      <c r="M68" s="2">
        <f>+K68-L68</f>
        <v>3.3000000000000114</v>
      </c>
      <c r="N68" s="1">
        <f>+F68-J68</f>
        <v>2.1950207959145485E-2</v>
      </c>
      <c r="O68" s="2">
        <v>124.6</v>
      </c>
      <c r="P68" s="2">
        <v>107.8</v>
      </c>
      <c r="Q68" s="2">
        <f>+O68-P68</f>
        <v>16.799999999999997</v>
      </c>
      <c r="R68" s="2">
        <v>-0.5</v>
      </c>
      <c r="S68" s="2">
        <v>0.7</v>
      </c>
      <c r="T68" s="2">
        <f>+Q68-M68</f>
        <v>13.499999999999986</v>
      </c>
    </row>
    <row r="69" spans="1:20">
      <c r="A69" s="6">
        <v>574</v>
      </c>
      <c r="B69" t="s">
        <v>60</v>
      </c>
      <c r="C69" t="s">
        <v>11</v>
      </c>
      <c r="D69">
        <v>46</v>
      </c>
      <c r="E69">
        <v>27</v>
      </c>
      <c r="F69" s="1">
        <f>+D69/(D69+E69)</f>
        <v>0.63013698630136983</v>
      </c>
      <c r="G69" s="2">
        <v>111.3</v>
      </c>
      <c r="H69" s="2">
        <v>109.2</v>
      </c>
      <c r="I69" s="2">
        <f>+G69-H69</f>
        <v>2.0999999999999943</v>
      </c>
      <c r="J69" s="1">
        <f>+(G69^14)/((G69^14+H69^14))</f>
        <v>0.56627637451040547</v>
      </c>
      <c r="K69" s="2">
        <v>112.6</v>
      </c>
      <c r="L69" s="2">
        <v>110.4</v>
      </c>
      <c r="M69" s="2">
        <f>+K69-L69</f>
        <v>2.1999999999999886</v>
      </c>
      <c r="N69" s="1">
        <f>+F69-J69</f>
        <v>6.3860611790964361E-2</v>
      </c>
      <c r="O69" s="2">
        <v>118.5</v>
      </c>
      <c r="P69" s="2">
        <v>102.9</v>
      </c>
      <c r="Q69" s="2">
        <f>+O69-P69</f>
        <v>15.599999999999994</v>
      </c>
      <c r="R69" s="2">
        <v>0.3</v>
      </c>
      <c r="S69" s="2">
        <v>0.6</v>
      </c>
      <c r="T69" s="2">
        <f>+Q69-M69</f>
        <v>13.400000000000006</v>
      </c>
    </row>
    <row r="70" spans="1:20">
      <c r="A70" s="6">
        <v>352</v>
      </c>
      <c r="B70" t="s">
        <v>49</v>
      </c>
      <c r="C70" t="s">
        <v>27</v>
      </c>
      <c r="D70">
        <v>22</v>
      </c>
      <c r="E70">
        <v>44</v>
      </c>
      <c r="F70" s="1">
        <f>+D70/(D70+E70)</f>
        <v>0.33333333333333331</v>
      </c>
      <c r="G70" s="2">
        <v>98.8</v>
      </c>
      <c r="H70" s="2">
        <v>104.4</v>
      </c>
      <c r="I70" s="2">
        <f>+G70-H70</f>
        <v>-5.6000000000000085</v>
      </c>
      <c r="J70" s="1">
        <f>+(G70^14)/((G70^14+H70^14))</f>
        <v>0.31607926844552064</v>
      </c>
      <c r="K70" s="2">
        <v>102.9</v>
      </c>
      <c r="L70" s="2">
        <v>108.7</v>
      </c>
      <c r="M70" s="2">
        <f>+K70-L70</f>
        <v>-5.7999999999999972</v>
      </c>
      <c r="N70" s="1">
        <f>+F70-J70</f>
        <v>1.725406488781267E-2</v>
      </c>
      <c r="O70" s="2">
        <v>100</v>
      </c>
      <c r="P70" s="2">
        <v>92.5</v>
      </c>
      <c r="Q70" s="2">
        <f>+O70-P70</f>
        <v>7.5</v>
      </c>
      <c r="R70" s="2">
        <v>0</v>
      </c>
      <c r="S70" s="2">
        <v>-0.9</v>
      </c>
      <c r="T70" s="2">
        <f>+Q70-M70</f>
        <v>13.299999999999997</v>
      </c>
    </row>
    <row r="71" spans="1:20">
      <c r="A71" s="6">
        <v>767</v>
      </c>
      <c r="B71" t="s">
        <v>66</v>
      </c>
      <c r="C71" t="s">
        <v>46</v>
      </c>
      <c r="D71">
        <v>50</v>
      </c>
      <c r="E71">
        <v>14</v>
      </c>
      <c r="F71" s="1">
        <f>+D71/(D71+E71)</f>
        <v>0.78125</v>
      </c>
      <c r="G71" s="2">
        <v>118.8</v>
      </c>
      <c r="H71" s="2">
        <v>107.5</v>
      </c>
      <c r="I71" s="2">
        <f>+G71-H71</f>
        <v>11.299999999999997</v>
      </c>
      <c r="J71" s="1">
        <f>+(G71^14)/((G71^14+H71^14))</f>
        <v>0.80207402882582313</v>
      </c>
      <c r="K71" s="2">
        <v>117.2</v>
      </c>
      <c r="L71" s="2">
        <v>106</v>
      </c>
      <c r="M71" s="2">
        <f>+K71-L71</f>
        <v>11.200000000000003</v>
      </c>
      <c r="N71" s="1">
        <f>+F71-J71</f>
        <v>-2.0824028825823127E-2</v>
      </c>
      <c r="O71" s="2">
        <v>123.7</v>
      </c>
      <c r="P71" s="2">
        <v>99.2</v>
      </c>
      <c r="Q71" s="2">
        <f>+O71-P71</f>
        <v>24.5</v>
      </c>
      <c r="R71" s="2">
        <v>1.8</v>
      </c>
      <c r="S71" s="2">
        <v>8.8000000000000007</v>
      </c>
      <c r="T71" s="2">
        <f>+Q71-M71</f>
        <v>13.299999999999997</v>
      </c>
    </row>
    <row r="72" spans="1:20">
      <c r="A72" s="6">
        <v>703</v>
      </c>
      <c r="B72" t="s">
        <v>64</v>
      </c>
      <c r="C72" t="s">
        <v>19</v>
      </c>
      <c r="D72">
        <v>49</v>
      </c>
      <c r="E72">
        <v>32</v>
      </c>
      <c r="F72" s="1">
        <f>+D72/(D72+E72)</f>
        <v>0.60493827160493829</v>
      </c>
      <c r="G72" s="2">
        <v>119</v>
      </c>
      <c r="H72" s="2">
        <v>116.2</v>
      </c>
      <c r="I72" s="2">
        <f>+G72-H72</f>
        <v>2.7999999999999972</v>
      </c>
      <c r="J72" s="1">
        <f>+(G72^14)/((G72^14+H72^14))</f>
        <v>0.58257403618210546</v>
      </c>
      <c r="K72" s="2">
        <v>117.7</v>
      </c>
      <c r="L72" s="2">
        <v>114.9</v>
      </c>
      <c r="M72" s="2">
        <f>+K72-L72</f>
        <v>2.7999999999999972</v>
      </c>
      <c r="N72" s="1">
        <f>+F72-J72</f>
        <v>2.2364235422832834E-2</v>
      </c>
      <c r="O72" s="2">
        <v>122</v>
      </c>
      <c r="P72" s="2">
        <v>106.2</v>
      </c>
      <c r="Q72" s="2">
        <f>+O72-P72</f>
        <v>15.799999999999997</v>
      </c>
      <c r="R72" s="2">
        <v>0.1</v>
      </c>
      <c r="S72" s="2">
        <v>0.8</v>
      </c>
      <c r="T72" s="2">
        <f>+Q72-M72</f>
        <v>13</v>
      </c>
    </row>
    <row r="73" spans="1:20">
      <c r="A73" s="6">
        <v>529</v>
      </c>
      <c r="B73" t="s">
        <v>58</v>
      </c>
      <c r="C73" t="s">
        <v>24</v>
      </c>
      <c r="D73">
        <v>52</v>
      </c>
      <c r="E73">
        <v>30</v>
      </c>
      <c r="F73" s="1">
        <f>+D73/(D73+E73)</f>
        <v>0.63414634146341464</v>
      </c>
      <c r="G73" s="2">
        <v>109.8</v>
      </c>
      <c r="H73" s="2">
        <v>105.3</v>
      </c>
      <c r="I73" s="2">
        <f>+G73-H73</f>
        <v>4.5</v>
      </c>
      <c r="J73" s="1">
        <f>+(G73^14)/((G73^14+H73^14))</f>
        <v>0.64241456879862791</v>
      </c>
      <c r="K73" s="2">
        <v>108.5</v>
      </c>
      <c r="L73" s="2">
        <v>103.9</v>
      </c>
      <c r="M73" s="2">
        <f>+K73-L73</f>
        <v>4.5999999999999943</v>
      </c>
      <c r="N73" s="1">
        <f>+F73-J73</f>
        <v>-8.2682273352132629E-3</v>
      </c>
      <c r="O73" s="2">
        <v>114.5</v>
      </c>
      <c r="P73" s="2">
        <v>97.1</v>
      </c>
      <c r="Q73" s="2">
        <f>+O73-P73</f>
        <v>17.400000000000006</v>
      </c>
      <c r="R73" s="2">
        <v>-1.1000000000000001</v>
      </c>
      <c r="S73" s="2">
        <v>-4.7</v>
      </c>
      <c r="T73" s="2">
        <f>+Q73-M73</f>
        <v>12.800000000000011</v>
      </c>
    </row>
    <row r="74" spans="1:20">
      <c r="A74" s="6">
        <v>255</v>
      </c>
      <c r="B74" t="s">
        <v>45</v>
      </c>
      <c r="C74" t="s">
        <v>37</v>
      </c>
      <c r="D74">
        <v>49</v>
      </c>
      <c r="E74">
        <v>33</v>
      </c>
      <c r="F74" s="1">
        <f>+D74/(D74+E74)</f>
        <v>0.59756097560975607</v>
      </c>
      <c r="G74" s="2">
        <v>95.8</v>
      </c>
      <c r="H74" s="2">
        <v>94.3</v>
      </c>
      <c r="I74" s="2">
        <f>+G74-H74</f>
        <v>1.5</v>
      </c>
      <c r="J74" s="1">
        <f>+(G74^14)/((G74^14+H74^14))</f>
        <v>0.55501163326871295</v>
      </c>
      <c r="K74" s="2">
        <v>107.6</v>
      </c>
      <c r="L74" s="2">
        <v>105.8</v>
      </c>
      <c r="M74" s="2">
        <f>+K74-L74</f>
        <v>1.7999999999999972</v>
      </c>
      <c r="N74" s="1">
        <f>+F74-J74</f>
        <v>4.2549342341043128E-2</v>
      </c>
      <c r="O74" s="2">
        <v>124.8</v>
      </c>
      <c r="P74" s="2">
        <v>110.2</v>
      </c>
      <c r="Q74" s="2">
        <f>+O74-P74</f>
        <v>14.599999999999994</v>
      </c>
      <c r="R74" s="2">
        <v>0.9</v>
      </c>
      <c r="S74" s="2">
        <v>4.5</v>
      </c>
      <c r="T74" s="2">
        <f>+Q74-M74</f>
        <v>12.799999999999997</v>
      </c>
    </row>
    <row r="75" spans="1:20">
      <c r="A75" s="6">
        <v>93</v>
      </c>
      <c r="B75" t="s">
        <v>38</v>
      </c>
      <c r="C75" t="s">
        <v>11</v>
      </c>
      <c r="D75">
        <v>43</v>
      </c>
      <c r="E75">
        <v>39</v>
      </c>
      <c r="F75" s="1">
        <f>+D75/(D75+E75)</f>
        <v>0.52439024390243905</v>
      </c>
      <c r="G75" s="2">
        <v>97.2</v>
      </c>
      <c r="H75" s="2">
        <v>96.1</v>
      </c>
      <c r="I75" s="2">
        <f>+G75-H75</f>
        <v>1.1000000000000085</v>
      </c>
      <c r="J75" s="1">
        <f>+(G75^14)/((G75^14+H75^14))</f>
        <v>0.53975081670039182</v>
      </c>
      <c r="K75" s="2">
        <v>102.4</v>
      </c>
      <c r="L75" s="2">
        <v>101.4</v>
      </c>
      <c r="M75" s="2">
        <f>+K75-L75</f>
        <v>1</v>
      </c>
      <c r="N75" s="1">
        <f>+F75-J75</f>
        <v>-1.5360572797952776E-2</v>
      </c>
      <c r="O75" s="2">
        <v>103.3</v>
      </c>
      <c r="P75" s="2">
        <v>89.6</v>
      </c>
      <c r="Q75" s="2">
        <f>+O75-P75</f>
        <v>13.700000000000003</v>
      </c>
      <c r="R75" s="2">
        <v>0.1</v>
      </c>
      <c r="S75" s="2">
        <v>-1.1000000000000001</v>
      </c>
      <c r="T75" s="2">
        <f>+Q75-M75</f>
        <v>12.700000000000003</v>
      </c>
    </row>
    <row r="76" spans="1:20">
      <c r="A76" s="6">
        <v>679</v>
      </c>
      <c r="B76" t="s">
        <v>63</v>
      </c>
      <c r="C76" t="s">
        <v>24</v>
      </c>
      <c r="D76">
        <v>54</v>
      </c>
      <c r="E76">
        <v>28</v>
      </c>
      <c r="F76" s="1">
        <f>+D76/(D76+E76)</f>
        <v>0.65853658536585369</v>
      </c>
      <c r="G76" s="2">
        <v>115.2</v>
      </c>
      <c r="H76" s="2">
        <v>110.9</v>
      </c>
      <c r="I76" s="2">
        <f>+G76-H76</f>
        <v>4.2999999999999972</v>
      </c>
      <c r="J76" s="1">
        <f>+(G76^14)/((G76^14+H76^14))</f>
        <v>0.63008277952794978</v>
      </c>
      <c r="K76" s="2">
        <v>117</v>
      </c>
      <c r="L76" s="2">
        <v>112.7</v>
      </c>
      <c r="M76" s="2">
        <f>+K76-L76</f>
        <v>4.2999999999999972</v>
      </c>
      <c r="N76" s="1">
        <f>+F76-J76</f>
        <v>2.8453805837903912E-2</v>
      </c>
      <c r="O76" s="2">
        <v>110.2</v>
      </c>
      <c r="P76" s="2">
        <v>93.3</v>
      </c>
      <c r="Q76" s="2">
        <f>+O76-P76</f>
        <v>16.900000000000006</v>
      </c>
      <c r="R76" s="2">
        <v>2</v>
      </c>
      <c r="S76" s="2">
        <v>10.1</v>
      </c>
      <c r="T76" s="2">
        <f>+Q76-M76</f>
        <v>12.600000000000009</v>
      </c>
    </row>
    <row r="77" spans="1:20">
      <c r="A77" s="6">
        <v>115</v>
      </c>
      <c r="B77" t="s">
        <v>38</v>
      </c>
      <c r="C77" t="s">
        <v>31</v>
      </c>
      <c r="D77">
        <v>42</v>
      </c>
      <c r="E77">
        <v>40</v>
      </c>
      <c r="F77" s="1">
        <f>+D77/(D77+E77)</f>
        <v>0.51219512195121952</v>
      </c>
      <c r="G77" s="2">
        <v>88.7</v>
      </c>
      <c r="H77" s="2">
        <v>89.9</v>
      </c>
      <c r="I77" s="2">
        <f>+G77-H77</f>
        <v>-1.2000000000000028</v>
      </c>
      <c r="J77" s="1">
        <f>+(G77^14)/((G77^14+H77^14))</f>
        <v>0.45310505226104381</v>
      </c>
      <c r="K77" s="2">
        <v>100</v>
      </c>
      <c r="L77" s="2">
        <v>101.3</v>
      </c>
      <c r="M77" s="2">
        <f>+K77-L77</f>
        <v>-1.2999999999999972</v>
      </c>
      <c r="N77" s="1">
        <f>+F77-J77</f>
        <v>5.9090069690175717E-2</v>
      </c>
      <c r="O77" s="2">
        <v>108.6</v>
      </c>
      <c r="P77" s="2">
        <v>97.3</v>
      </c>
      <c r="Q77" s="2">
        <f>+O77-P77</f>
        <v>11.299999999999997</v>
      </c>
      <c r="R77" s="2">
        <v>0.3</v>
      </c>
      <c r="S77" s="2">
        <v>-0.6</v>
      </c>
      <c r="T77" s="2">
        <f>+Q77-M77</f>
        <v>12.599999999999994</v>
      </c>
    </row>
    <row r="78" spans="1:20">
      <c r="A78" s="6">
        <v>165</v>
      </c>
      <c r="B78" t="s">
        <v>41</v>
      </c>
      <c r="C78" t="s">
        <v>42</v>
      </c>
      <c r="D78">
        <v>38</v>
      </c>
      <c r="E78">
        <v>44</v>
      </c>
      <c r="F78" s="1">
        <f>+D78/(D78+E78)</f>
        <v>0.46341463414634149</v>
      </c>
      <c r="G78" s="2">
        <v>92.8</v>
      </c>
      <c r="H78" s="2">
        <v>95.6</v>
      </c>
      <c r="I78" s="2">
        <f>+G78-H78</f>
        <v>-2.7999999999999972</v>
      </c>
      <c r="J78" s="1">
        <f>+(G78^14)/((G78^14+H78^14))</f>
        <v>0.3974344302617922</v>
      </c>
      <c r="K78" s="2">
        <v>102.3</v>
      </c>
      <c r="L78" s="2">
        <v>105.1</v>
      </c>
      <c r="M78" s="2">
        <f>+K78-L78</f>
        <v>-2.7999999999999972</v>
      </c>
      <c r="N78" s="1">
        <f>+F78-J78</f>
        <v>6.5980203884549282E-2</v>
      </c>
      <c r="O78" s="2">
        <v>111.7</v>
      </c>
      <c r="P78" s="2">
        <v>102</v>
      </c>
      <c r="Q78" s="2">
        <f>+O78-P78</f>
        <v>9.7000000000000028</v>
      </c>
      <c r="R78" s="2">
        <v>-0.3</v>
      </c>
      <c r="S78" s="2">
        <v>-2.8</v>
      </c>
      <c r="T78" s="2">
        <f>+Q78-M78</f>
        <v>12.5</v>
      </c>
    </row>
    <row r="79" spans="1:20">
      <c r="A79" s="6">
        <v>106</v>
      </c>
      <c r="B79" t="s">
        <v>38</v>
      </c>
      <c r="C79" t="s">
        <v>22</v>
      </c>
      <c r="D79">
        <v>39</v>
      </c>
      <c r="E79">
        <v>43</v>
      </c>
      <c r="F79" s="1">
        <f>+D79/(D79+E79)</f>
        <v>0.47560975609756095</v>
      </c>
      <c r="G79" s="2">
        <v>92</v>
      </c>
      <c r="H79" s="2">
        <v>93.5</v>
      </c>
      <c r="I79" s="2">
        <f>+G79-H79</f>
        <v>-1.5</v>
      </c>
      <c r="J79" s="1">
        <f>+(G79^14)/((G79^14+H79^14))</f>
        <v>0.44363558545762971</v>
      </c>
      <c r="K79" s="2">
        <v>99.7</v>
      </c>
      <c r="L79" s="2">
        <v>101.3</v>
      </c>
      <c r="M79" s="2">
        <f>+K79-L79</f>
        <v>-1.5999999999999943</v>
      </c>
      <c r="N79" s="1">
        <f>+F79-J79</f>
        <v>3.1974170639931243E-2</v>
      </c>
      <c r="O79" s="2">
        <v>103.3</v>
      </c>
      <c r="P79" s="2">
        <v>92.4</v>
      </c>
      <c r="Q79" s="2">
        <f>+O79-P79</f>
        <v>10.899999999999991</v>
      </c>
      <c r="R79" s="2">
        <v>0.1</v>
      </c>
      <c r="S79" s="2">
        <v>-0.7</v>
      </c>
      <c r="T79" s="2">
        <f>+Q79-M79</f>
        <v>12.499999999999986</v>
      </c>
    </row>
    <row r="80" spans="1:20">
      <c r="A80" s="6">
        <v>150</v>
      </c>
      <c r="B80" t="s">
        <v>41</v>
      </c>
      <c r="C80" t="s">
        <v>8</v>
      </c>
      <c r="D80">
        <v>41</v>
      </c>
      <c r="E80">
        <v>41</v>
      </c>
      <c r="F80" s="1">
        <f>+D80/(D80+E80)</f>
        <v>0.5</v>
      </c>
      <c r="G80" s="2">
        <v>97.8</v>
      </c>
      <c r="H80" s="2">
        <v>97.2</v>
      </c>
      <c r="I80" s="2">
        <f>+G80-H80</f>
        <v>0.59999999999999432</v>
      </c>
      <c r="J80" s="1">
        <f>+(G80^14)/((G80^14+H80^14))</f>
        <v>0.52152521685612041</v>
      </c>
      <c r="K80" s="2">
        <v>103.3</v>
      </c>
      <c r="L80" s="2">
        <v>102.7</v>
      </c>
      <c r="M80" s="2">
        <f>+K80-L80</f>
        <v>0.59999999999999432</v>
      </c>
      <c r="N80" s="1">
        <f>+F80-J80</f>
        <v>-2.152521685612041E-2</v>
      </c>
      <c r="O80" s="2">
        <v>107.7</v>
      </c>
      <c r="P80" s="2">
        <v>94.8</v>
      </c>
      <c r="Q80" s="2">
        <f>+O80-P80</f>
        <v>12.900000000000006</v>
      </c>
      <c r="R80" s="2">
        <v>0.7</v>
      </c>
      <c r="S80" s="2">
        <v>3.1</v>
      </c>
      <c r="T80" s="2">
        <f>+Q80-M80</f>
        <v>12.300000000000011</v>
      </c>
    </row>
    <row r="81" spans="1:20">
      <c r="A81" s="6">
        <v>242</v>
      </c>
      <c r="B81" t="s">
        <v>45</v>
      </c>
      <c r="C81" t="s">
        <v>10</v>
      </c>
      <c r="D81">
        <v>50</v>
      </c>
      <c r="E81">
        <v>32</v>
      </c>
      <c r="F81" s="1">
        <f>+D81/(D81+E81)</f>
        <v>0.6097560975609756</v>
      </c>
      <c r="G81" s="2">
        <v>101.7</v>
      </c>
      <c r="H81" s="2">
        <v>99.8</v>
      </c>
      <c r="I81" s="2">
        <f>+G81-H81</f>
        <v>1.9000000000000057</v>
      </c>
      <c r="J81" s="1">
        <f>+(G81^14)/((G81^14+H81^14))</f>
        <v>0.56562612482912078</v>
      </c>
      <c r="K81" s="2">
        <v>109</v>
      </c>
      <c r="L81" s="2">
        <v>107</v>
      </c>
      <c r="M81" s="2">
        <f>+K81-L81</f>
        <v>2</v>
      </c>
      <c r="N81" s="1">
        <f>+F81-J81</f>
        <v>4.4129972731854816E-2</v>
      </c>
      <c r="O81" s="2">
        <v>113</v>
      </c>
      <c r="P81" s="2">
        <v>98.7</v>
      </c>
      <c r="Q81" s="2">
        <f>+O81-P81</f>
        <v>14.299999999999997</v>
      </c>
      <c r="R81" s="2">
        <v>-0.2</v>
      </c>
      <c r="S81" s="2">
        <v>-1.8</v>
      </c>
      <c r="T81" s="2">
        <f>+Q81-M81</f>
        <v>12.299999999999997</v>
      </c>
    </row>
    <row r="82" spans="1:20">
      <c r="A82" s="6">
        <v>97</v>
      </c>
      <c r="B82" t="s">
        <v>38</v>
      </c>
      <c r="C82" t="s">
        <v>15</v>
      </c>
      <c r="D82">
        <v>61</v>
      </c>
      <c r="E82">
        <v>21</v>
      </c>
      <c r="F82" s="1">
        <f>+D82/(D82+E82)</f>
        <v>0.74390243902439024</v>
      </c>
      <c r="G82" s="2">
        <v>91.4</v>
      </c>
      <c r="H82" s="2">
        <v>85.6</v>
      </c>
      <c r="I82" s="2">
        <f>+G82-H82</f>
        <v>5.8000000000000114</v>
      </c>
      <c r="J82" s="1">
        <f>+(G82^14)/((G82^14+H82^14))</f>
        <v>0.71460234412394263</v>
      </c>
      <c r="K82" s="2">
        <v>102.5</v>
      </c>
      <c r="L82" s="2">
        <v>96.2</v>
      </c>
      <c r="M82" s="2">
        <f>+K82-L82</f>
        <v>6.2999999999999972</v>
      </c>
      <c r="N82" s="1">
        <f>+F82-J82</f>
        <v>2.9300094900447604E-2</v>
      </c>
      <c r="O82" s="2">
        <v>103.6</v>
      </c>
      <c r="P82" s="2">
        <v>85</v>
      </c>
      <c r="Q82" s="2">
        <f>+O82-P82</f>
        <v>18.599999999999994</v>
      </c>
      <c r="R82" s="2">
        <v>1.5</v>
      </c>
      <c r="S82" s="2">
        <v>7.7</v>
      </c>
      <c r="T82" s="2">
        <f>+Q82-M82</f>
        <v>12.299999999999997</v>
      </c>
    </row>
    <row r="83" spans="1:20">
      <c r="A83" s="6">
        <v>259</v>
      </c>
      <c r="B83" t="s">
        <v>45</v>
      </c>
      <c r="C83" t="s">
        <v>24</v>
      </c>
      <c r="D83">
        <v>41</v>
      </c>
      <c r="E83">
        <v>41</v>
      </c>
      <c r="F83" s="1">
        <f>+D83/(D83+E83)</f>
        <v>0.5</v>
      </c>
      <c r="G83" s="2">
        <v>97.4</v>
      </c>
      <c r="H83" s="2">
        <v>97.3</v>
      </c>
      <c r="I83" s="2">
        <f>+G83-H83</f>
        <v>0.10000000000000853</v>
      </c>
      <c r="J83" s="1">
        <f>+(G83^14)/((G83^14+H83^14))</f>
        <v>0.50359521313575439</v>
      </c>
      <c r="K83" s="2">
        <v>106.3</v>
      </c>
      <c r="L83" s="2">
        <v>106.1</v>
      </c>
      <c r="M83" s="2">
        <f>+K83-L83</f>
        <v>0.20000000000000284</v>
      </c>
      <c r="N83" s="1">
        <f>+F83-J83</f>
        <v>-3.5952131357543937E-3</v>
      </c>
      <c r="O83" s="2">
        <v>109.6</v>
      </c>
      <c r="P83" s="2">
        <v>97.1</v>
      </c>
      <c r="Q83" s="2">
        <f>+O83-P83</f>
        <v>12.5</v>
      </c>
      <c r="R83" s="2">
        <v>0</v>
      </c>
      <c r="S83" s="2">
        <v>0.2</v>
      </c>
      <c r="T83" s="2">
        <f>+Q83-M83</f>
        <v>12.299999999999997</v>
      </c>
    </row>
    <row r="84" spans="1:20">
      <c r="A84" s="6">
        <v>285</v>
      </c>
      <c r="B84" t="s">
        <v>47</v>
      </c>
      <c r="C84" t="s">
        <v>37</v>
      </c>
      <c r="D84">
        <v>37</v>
      </c>
      <c r="E84">
        <v>45</v>
      </c>
      <c r="F84" s="1">
        <f>+D84/(D84+E84)</f>
        <v>0.45121951219512196</v>
      </c>
      <c r="G84" s="2">
        <v>100.2</v>
      </c>
      <c r="H84" s="2">
        <v>102.7</v>
      </c>
      <c r="I84" s="2">
        <f>+G84-H84</f>
        <v>-2.5</v>
      </c>
      <c r="J84" s="1">
        <f>+(G84^14)/((G84^14+H84^14))</f>
        <v>0.41459179126180778</v>
      </c>
      <c r="K84" s="2">
        <v>106.5</v>
      </c>
      <c r="L84" s="2">
        <v>108.9</v>
      </c>
      <c r="M84" s="2">
        <f>+K84-L84</f>
        <v>-2.4000000000000057</v>
      </c>
      <c r="N84" s="1">
        <f>+F84-J84</f>
        <v>3.6627720933314178E-2</v>
      </c>
      <c r="O84" s="2">
        <v>109</v>
      </c>
      <c r="P84" s="2">
        <v>99.2</v>
      </c>
      <c r="Q84" s="2">
        <f>+O84-P84</f>
        <v>9.7999999999999972</v>
      </c>
      <c r="R84" s="2">
        <v>0.3</v>
      </c>
      <c r="S84" s="2">
        <v>1</v>
      </c>
      <c r="T84" s="2">
        <f>+Q84-M84</f>
        <v>12.200000000000003</v>
      </c>
    </row>
    <row r="85" spans="1:20">
      <c r="A85" s="6">
        <v>763</v>
      </c>
      <c r="B85" t="s">
        <v>66</v>
      </c>
      <c r="C85" t="s">
        <v>19</v>
      </c>
      <c r="D85">
        <v>27</v>
      </c>
      <c r="E85">
        <v>35</v>
      </c>
      <c r="F85" s="1">
        <f>+D85/(D85+E85)</f>
        <v>0.43548387096774194</v>
      </c>
      <c r="G85" s="2">
        <v>111.4</v>
      </c>
      <c r="H85" s="2">
        <v>115.5</v>
      </c>
      <c r="I85" s="2">
        <f>+G85-H85</f>
        <v>-4.0999999999999943</v>
      </c>
      <c r="J85" s="1">
        <f>+(G85^14)/((G85^14+H85^14))</f>
        <v>0.37613055154918495</v>
      </c>
      <c r="K85" s="2">
        <v>112.7</v>
      </c>
      <c r="L85" s="2">
        <v>116.7</v>
      </c>
      <c r="M85" s="2">
        <f>+K85-L85</f>
        <v>-4</v>
      </c>
      <c r="N85" s="1">
        <f>+F85-J85</f>
        <v>5.9353319418556982E-2</v>
      </c>
      <c r="O85" s="2">
        <v>119.7</v>
      </c>
      <c r="P85" s="2">
        <v>111.6</v>
      </c>
      <c r="Q85" s="2">
        <f>+O85-P85</f>
        <v>8.1000000000000085</v>
      </c>
      <c r="R85" s="2">
        <v>-0.3</v>
      </c>
      <c r="S85" s="2">
        <v>-0.7</v>
      </c>
      <c r="T85" s="2">
        <f>+Q85-M85</f>
        <v>12.100000000000009</v>
      </c>
    </row>
    <row r="86" spans="1:20">
      <c r="A86" s="6">
        <v>143</v>
      </c>
      <c r="B86" t="s">
        <v>39</v>
      </c>
      <c r="C86" t="s">
        <v>29</v>
      </c>
      <c r="D86">
        <v>52</v>
      </c>
      <c r="E86">
        <v>30</v>
      </c>
      <c r="F86" s="1">
        <f>+D86/(D86+E86)</f>
        <v>0.63414634146341464</v>
      </c>
      <c r="G86" s="2">
        <v>98.9</v>
      </c>
      <c r="H86" s="2">
        <v>96.6</v>
      </c>
      <c r="I86" s="2">
        <f>+G86-H86</f>
        <v>2.3000000000000114</v>
      </c>
      <c r="J86" s="1">
        <f>+(G86^14)/((G86^14+H86^14))</f>
        <v>0.58161994176434872</v>
      </c>
      <c r="K86" s="2">
        <v>110.3</v>
      </c>
      <c r="L86" s="2">
        <v>108</v>
      </c>
      <c r="M86" s="2">
        <f>+K86-L86</f>
        <v>2.2999999999999972</v>
      </c>
      <c r="N86" s="1">
        <f>+F86-J86</f>
        <v>5.2526399699065918E-2</v>
      </c>
      <c r="O86" s="2">
        <v>119.7</v>
      </c>
      <c r="P86" s="2">
        <v>105.3</v>
      </c>
      <c r="Q86" s="2">
        <f>+O86-P86</f>
        <v>14.400000000000006</v>
      </c>
      <c r="R86" s="2">
        <v>1.5</v>
      </c>
      <c r="S86" s="2">
        <v>7.3</v>
      </c>
      <c r="T86" s="2">
        <f>+Q86-M86</f>
        <v>12.100000000000009</v>
      </c>
    </row>
    <row r="87" spans="1:20">
      <c r="A87" s="6">
        <v>643</v>
      </c>
      <c r="B87" t="s">
        <v>62</v>
      </c>
      <c r="C87" t="s">
        <v>19</v>
      </c>
      <c r="D87">
        <v>51</v>
      </c>
      <c r="E87">
        <v>31</v>
      </c>
      <c r="F87" s="1">
        <f>+D87/(D87+E87)</f>
        <v>0.62195121951219512</v>
      </c>
      <c r="G87" s="2">
        <v>115.5</v>
      </c>
      <c r="H87" s="2">
        <v>112.1</v>
      </c>
      <c r="I87" s="2">
        <f>+G87-H87</f>
        <v>3.4000000000000057</v>
      </c>
      <c r="J87" s="1">
        <f>+(G87^14)/((G87^14+H87^14))</f>
        <v>0.60307848942796871</v>
      </c>
      <c r="K87" s="2">
        <v>114.3</v>
      </c>
      <c r="L87" s="2">
        <v>111.1</v>
      </c>
      <c r="M87" s="2">
        <f>+K87-L87</f>
        <v>3.2000000000000028</v>
      </c>
      <c r="N87" s="1">
        <f>+F87-J87</f>
        <v>1.8872730084226408E-2</v>
      </c>
      <c r="O87" s="2">
        <v>118.1</v>
      </c>
      <c r="P87" s="2">
        <v>102.8</v>
      </c>
      <c r="Q87" s="2">
        <f>+O87-P87</f>
        <v>15.299999999999997</v>
      </c>
      <c r="R87" s="2">
        <v>1</v>
      </c>
      <c r="S87" s="2">
        <v>5</v>
      </c>
      <c r="T87" s="2">
        <f>+Q87-M87</f>
        <v>12.099999999999994</v>
      </c>
    </row>
    <row r="88" spans="1:20">
      <c r="A88" s="6">
        <v>299</v>
      </c>
      <c r="B88" t="s">
        <v>48</v>
      </c>
      <c r="C88" t="s">
        <v>40</v>
      </c>
      <c r="D88">
        <v>34</v>
      </c>
      <c r="E88">
        <v>48</v>
      </c>
      <c r="F88" s="1">
        <f>+D88/(D88+E88)</f>
        <v>0.41463414634146339</v>
      </c>
      <c r="G88" s="2">
        <v>93.3</v>
      </c>
      <c r="H88" s="2">
        <v>97.3</v>
      </c>
      <c r="I88" s="2">
        <f>+G88-H88</f>
        <v>-4</v>
      </c>
      <c r="J88" s="1">
        <f>+(G88^14)/((G88^14+H88^14))</f>
        <v>0.35716175877963002</v>
      </c>
      <c r="K88" s="2">
        <v>102.8</v>
      </c>
      <c r="L88" s="2">
        <v>107</v>
      </c>
      <c r="M88" s="2">
        <f>+K88-L88</f>
        <v>-4.2000000000000028</v>
      </c>
      <c r="N88" s="1">
        <f>+F88-J88</f>
        <v>5.7472387561833371E-2</v>
      </c>
      <c r="O88" s="2">
        <v>105.8</v>
      </c>
      <c r="P88" s="2">
        <v>98</v>
      </c>
      <c r="Q88" s="2">
        <f>+O88-P88</f>
        <v>7.7999999999999972</v>
      </c>
      <c r="R88" s="2">
        <v>0</v>
      </c>
      <c r="S88" s="2">
        <v>1.2</v>
      </c>
      <c r="T88" s="2">
        <f>+Q88-M88</f>
        <v>12</v>
      </c>
    </row>
    <row r="89" spans="1:20">
      <c r="A89" s="6">
        <v>74</v>
      </c>
      <c r="B89" t="s">
        <v>36</v>
      </c>
      <c r="C89" t="s">
        <v>20</v>
      </c>
      <c r="D89">
        <v>51</v>
      </c>
      <c r="E89">
        <v>31</v>
      </c>
      <c r="F89" s="1">
        <f>+D89/(D89+E89)</f>
        <v>0.62195121951219512</v>
      </c>
      <c r="G89" s="2">
        <v>98.1</v>
      </c>
      <c r="H89" s="2">
        <v>96</v>
      </c>
      <c r="I89" s="2">
        <f>+G89-H89</f>
        <v>2.0999999999999943</v>
      </c>
      <c r="J89" s="1">
        <f>+(G89^14)/((G89^14+H89^14))</f>
        <v>0.57516313158502963</v>
      </c>
      <c r="K89" s="2">
        <v>104.8</v>
      </c>
      <c r="L89" s="2">
        <v>102.5</v>
      </c>
      <c r="M89" s="2">
        <f>+K89-L89</f>
        <v>2.2999999999999972</v>
      </c>
      <c r="N89" s="1">
        <f>+F89-J89</f>
        <v>4.6788087927165489E-2</v>
      </c>
      <c r="O89" s="2">
        <v>107.7</v>
      </c>
      <c r="P89" s="2">
        <v>93.4</v>
      </c>
      <c r="Q89" s="2">
        <f>+O89-P89</f>
        <v>14.299999999999997</v>
      </c>
      <c r="R89" s="2">
        <v>0.1</v>
      </c>
      <c r="S89" s="2">
        <v>1.6</v>
      </c>
      <c r="T89" s="2">
        <f>+Q89-M89</f>
        <v>12</v>
      </c>
    </row>
    <row r="90" spans="1:20">
      <c r="A90" s="6">
        <v>67</v>
      </c>
      <c r="B90" t="s">
        <v>36</v>
      </c>
      <c r="C90" t="s">
        <v>14</v>
      </c>
      <c r="D90">
        <v>43</v>
      </c>
      <c r="E90">
        <v>39</v>
      </c>
      <c r="F90" s="1">
        <f>+D90/(D90+E90)</f>
        <v>0.52439024390243905</v>
      </c>
      <c r="G90" s="2">
        <v>93.8</v>
      </c>
      <c r="H90" s="2">
        <v>92.3</v>
      </c>
      <c r="I90" s="2">
        <f>+G90-H90</f>
        <v>1.5</v>
      </c>
      <c r="J90" s="1">
        <f>+(G90^14)/((G90^14+H90^14))</f>
        <v>0.55618421979332688</v>
      </c>
      <c r="K90" s="2">
        <v>102.4</v>
      </c>
      <c r="L90" s="2">
        <v>100.9</v>
      </c>
      <c r="M90" s="2">
        <f>+K90-L90</f>
        <v>1.5</v>
      </c>
      <c r="N90" s="1">
        <f>+F90-J90</f>
        <v>-3.1793975890887838E-2</v>
      </c>
      <c r="O90" s="2">
        <v>114.4</v>
      </c>
      <c r="P90" s="2">
        <v>100.9</v>
      </c>
      <c r="Q90" s="2">
        <f>+O90-P90</f>
        <v>13.5</v>
      </c>
      <c r="R90" s="2">
        <v>0.4</v>
      </c>
      <c r="S90" s="2">
        <v>2.1</v>
      </c>
      <c r="T90" s="2">
        <f>+Q90-M90</f>
        <v>12</v>
      </c>
    </row>
    <row r="91" spans="1:20">
      <c r="A91" s="6">
        <v>537</v>
      </c>
      <c r="B91" t="s">
        <v>59</v>
      </c>
      <c r="C91" t="s">
        <v>5</v>
      </c>
      <c r="D91">
        <v>29</v>
      </c>
      <c r="E91">
        <v>53</v>
      </c>
      <c r="F91" s="1">
        <f>+D91/(D91+E91)</f>
        <v>0.35365853658536583</v>
      </c>
      <c r="G91" s="2">
        <v>113.3</v>
      </c>
      <c r="H91" s="2">
        <v>119.4</v>
      </c>
      <c r="I91" s="2">
        <f>+G91-H91</f>
        <v>-6.1000000000000085</v>
      </c>
      <c r="J91" s="1">
        <f>+(G91^14)/((G91^14+H91^14))</f>
        <v>0.32428240772060213</v>
      </c>
      <c r="K91" s="2">
        <v>107.5</v>
      </c>
      <c r="L91" s="2">
        <v>113.1</v>
      </c>
      <c r="M91" s="2">
        <f>+K91-L91</f>
        <v>-5.5999999999999943</v>
      </c>
      <c r="N91" s="1">
        <f>+F91-J91</f>
        <v>2.9376128864763706E-2</v>
      </c>
      <c r="O91" s="2">
        <v>104</v>
      </c>
      <c r="P91" s="2">
        <v>97.8</v>
      </c>
      <c r="Q91" s="2">
        <f>+O91-P91</f>
        <v>6.2000000000000028</v>
      </c>
      <c r="R91" s="2">
        <v>-0.1</v>
      </c>
      <c r="S91" s="2">
        <v>-1.1000000000000001</v>
      </c>
      <c r="T91" s="2">
        <f>+Q91-M91</f>
        <v>11.799999999999997</v>
      </c>
    </row>
    <row r="92" spans="1:20">
      <c r="A92" s="6">
        <v>198</v>
      </c>
      <c r="B92" t="s">
        <v>43</v>
      </c>
      <c r="C92" t="s">
        <v>24</v>
      </c>
      <c r="D92">
        <v>35</v>
      </c>
      <c r="E92">
        <v>47</v>
      </c>
      <c r="F92" s="1">
        <f>+D92/(D92+E92)</f>
        <v>0.42682926829268292</v>
      </c>
      <c r="G92" s="2">
        <v>94.9</v>
      </c>
      <c r="H92" s="2">
        <v>98</v>
      </c>
      <c r="I92" s="2">
        <f>+G92-H92</f>
        <v>-3.0999999999999943</v>
      </c>
      <c r="J92" s="1">
        <f>+(G92^14)/((G92^14+H92^14))</f>
        <v>0.38935771732767777</v>
      </c>
      <c r="K92" s="2">
        <v>102.4</v>
      </c>
      <c r="L92" s="2">
        <v>105.6</v>
      </c>
      <c r="M92" s="2">
        <f>+K92-L92</f>
        <v>-3.1999999999999886</v>
      </c>
      <c r="N92" s="1">
        <f>+F92-J92</f>
        <v>3.7471550965005151E-2</v>
      </c>
      <c r="O92" s="2">
        <v>106.5</v>
      </c>
      <c r="P92" s="2">
        <v>97.9</v>
      </c>
      <c r="Q92" s="2">
        <f>+O92-P92</f>
        <v>8.5999999999999943</v>
      </c>
      <c r="R92" s="2">
        <v>-0.1</v>
      </c>
      <c r="S92" s="2">
        <v>-1.4</v>
      </c>
      <c r="T92" s="2">
        <f>+Q92-M92</f>
        <v>11.799999999999983</v>
      </c>
    </row>
    <row r="93" spans="1:20">
      <c r="A93" s="6">
        <v>370</v>
      </c>
      <c r="B93" t="s">
        <v>50</v>
      </c>
      <c r="C93" t="s">
        <v>17</v>
      </c>
      <c r="D93">
        <v>45</v>
      </c>
      <c r="E93">
        <v>37</v>
      </c>
      <c r="F93" s="1">
        <f>+D93/(D93+E93)</f>
        <v>0.54878048780487809</v>
      </c>
      <c r="G93" s="2">
        <v>102.2</v>
      </c>
      <c r="H93" s="2">
        <v>101</v>
      </c>
      <c r="I93" s="2">
        <f>+G93-H93</f>
        <v>1.2000000000000028</v>
      </c>
      <c r="J93" s="1">
        <f>+(G93^14)/((G93^14+H93^14))</f>
        <v>0.54124512665476499</v>
      </c>
      <c r="K93" s="2">
        <v>107</v>
      </c>
      <c r="L93" s="2">
        <v>105.9</v>
      </c>
      <c r="M93" s="2">
        <f>+K93-L93</f>
        <v>1.0999999999999943</v>
      </c>
      <c r="N93" s="1">
        <f>+F93-J93</f>
        <v>7.5353611501131068E-3</v>
      </c>
      <c r="O93" s="2">
        <v>104.3</v>
      </c>
      <c r="P93" s="2">
        <v>91.6</v>
      </c>
      <c r="Q93" s="2">
        <f>+O93-P93</f>
        <v>12.700000000000003</v>
      </c>
      <c r="R93" s="2">
        <v>1.4</v>
      </c>
      <c r="S93" s="2">
        <v>7.4</v>
      </c>
      <c r="T93" s="2">
        <f>+Q93-M93</f>
        <v>11.600000000000009</v>
      </c>
    </row>
    <row r="94" spans="1:20">
      <c r="A94" s="6">
        <v>617</v>
      </c>
      <c r="B94" t="s">
        <v>61</v>
      </c>
      <c r="C94" t="s">
        <v>46</v>
      </c>
      <c r="D94">
        <v>22</v>
      </c>
      <c r="E94">
        <v>50</v>
      </c>
      <c r="F94" s="1">
        <f>+D94/(D94+E94)</f>
        <v>0.30555555555555558</v>
      </c>
      <c r="G94" s="2">
        <v>105</v>
      </c>
      <c r="H94" s="2">
        <v>115.6</v>
      </c>
      <c r="I94" s="2">
        <f>+G94-H94</f>
        <v>-10.599999999999994</v>
      </c>
      <c r="J94" s="1">
        <f>+(G94^14)/((G94^14+H94^14))</f>
        <v>0.20644996928068904</v>
      </c>
      <c r="K94" s="2">
        <v>102.8</v>
      </c>
      <c r="L94" s="2">
        <v>113.4</v>
      </c>
      <c r="M94" s="2">
        <f>+K94-L94</f>
        <v>-10.600000000000009</v>
      </c>
      <c r="N94" s="1">
        <f>+F94-J94</f>
        <v>9.9105586274866542E-2</v>
      </c>
      <c r="O94" s="2">
        <v>102.7</v>
      </c>
      <c r="P94" s="2">
        <v>101.8</v>
      </c>
      <c r="Q94" s="2">
        <f>+O94-P94</f>
        <v>0.90000000000000568</v>
      </c>
      <c r="R94" s="2">
        <v>-1.1000000000000001</v>
      </c>
      <c r="S94" s="2">
        <v>-4.9000000000000004</v>
      </c>
      <c r="T94" s="2">
        <f>+Q94-M94</f>
        <v>11.500000000000014</v>
      </c>
    </row>
    <row r="95" spans="1:20">
      <c r="A95" s="6">
        <v>321</v>
      </c>
      <c r="B95" t="s">
        <v>48</v>
      </c>
      <c r="C95" t="s">
        <v>26</v>
      </c>
      <c r="D95">
        <v>48</v>
      </c>
      <c r="E95">
        <v>34</v>
      </c>
      <c r="F95" s="1">
        <f>+D95/(D95+E95)</f>
        <v>0.58536585365853655</v>
      </c>
      <c r="G95" s="2">
        <v>96.3</v>
      </c>
      <c r="H95" s="2">
        <v>94.8</v>
      </c>
      <c r="I95" s="2">
        <f>+G95-H95</f>
        <v>1.5</v>
      </c>
      <c r="J95" s="1">
        <f>+(G95^14)/((G95^14+H95^14))</f>
        <v>0.55472606384506307</v>
      </c>
      <c r="K95" s="2">
        <v>107.3</v>
      </c>
      <c r="L95" s="2">
        <v>105.7</v>
      </c>
      <c r="M95" s="2">
        <f>+K95-L95</f>
        <v>1.5999999999999943</v>
      </c>
      <c r="N95" s="1">
        <f>+F95-J95</f>
        <v>3.0639789813473484E-2</v>
      </c>
      <c r="O95" s="2">
        <v>108.5</v>
      </c>
      <c r="P95" s="2">
        <v>95.4</v>
      </c>
      <c r="Q95" s="2">
        <f>+O95-P95</f>
        <v>13.099999999999994</v>
      </c>
      <c r="R95" s="2">
        <v>-0.1</v>
      </c>
      <c r="S95" s="2">
        <v>-0.9</v>
      </c>
      <c r="T95" s="2">
        <f>+Q95-M95</f>
        <v>11.5</v>
      </c>
    </row>
    <row r="96" spans="1:20">
      <c r="A96" s="6">
        <v>505</v>
      </c>
      <c r="B96" t="s">
        <v>57</v>
      </c>
      <c r="C96" t="s">
        <v>31</v>
      </c>
      <c r="D96">
        <v>51</v>
      </c>
      <c r="E96">
        <v>31</v>
      </c>
      <c r="F96" s="1">
        <f>+D96/(D96+E96)</f>
        <v>0.62195121951219512</v>
      </c>
      <c r="G96" s="2">
        <v>100.7</v>
      </c>
      <c r="H96" s="2">
        <v>96.8</v>
      </c>
      <c r="I96" s="2">
        <f>+G96-H96</f>
        <v>3.9000000000000057</v>
      </c>
      <c r="J96" s="1">
        <f>+(G96^14)/((G96^14+H96^14))</f>
        <v>0.63482745651575567</v>
      </c>
      <c r="K96" s="2">
        <v>109</v>
      </c>
      <c r="L96" s="2">
        <v>104.7</v>
      </c>
      <c r="M96" s="2">
        <f>+K96-L96</f>
        <v>4.2999999999999972</v>
      </c>
      <c r="N96" s="1">
        <f>+F96-J96</f>
        <v>-1.2876237003560553E-2</v>
      </c>
      <c r="O96" s="2">
        <v>115</v>
      </c>
      <c r="P96" s="2">
        <v>99.3</v>
      </c>
      <c r="Q96" s="2">
        <f>+O96-P96</f>
        <v>15.700000000000003</v>
      </c>
      <c r="R96" s="2">
        <v>2.2000000000000002</v>
      </c>
      <c r="S96" s="2">
        <v>11.6</v>
      </c>
      <c r="T96" s="2">
        <f>+Q96-M96</f>
        <v>11.400000000000006</v>
      </c>
    </row>
    <row r="97" spans="1:20">
      <c r="A97" s="6">
        <v>506</v>
      </c>
      <c r="B97" t="s">
        <v>57</v>
      </c>
      <c r="C97" t="s">
        <v>33</v>
      </c>
      <c r="D97">
        <v>49</v>
      </c>
      <c r="E97">
        <v>33</v>
      </c>
      <c r="F97" s="1">
        <f>+D97/(D97+E97)</f>
        <v>0.59756097560975607</v>
      </c>
      <c r="G97" s="2">
        <v>109.2</v>
      </c>
      <c r="H97" s="2">
        <v>107.4</v>
      </c>
      <c r="I97" s="2">
        <f>+G97-H97</f>
        <v>1.7999999999999972</v>
      </c>
      <c r="J97" s="1">
        <f>+(G97^14)/((G97^14+H97^14))</f>
        <v>0.55791201251406242</v>
      </c>
      <c r="K97" s="2">
        <v>110.4</v>
      </c>
      <c r="L97" s="2">
        <v>108.8</v>
      </c>
      <c r="M97" s="2">
        <f>+K97-L97</f>
        <v>1.6000000000000085</v>
      </c>
      <c r="N97" s="1">
        <f>+F97-J97</f>
        <v>3.9648963095693657E-2</v>
      </c>
      <c r="O97" s="2">
        <v>116.8</v>
      </c>
      <c r="P97" s="2">
        <v>103.8</v>
      </c>
      <c r="Q97" s="2">
        <f>+O97-P97</f>
        <v>13</v>
      </c>
      <c r="R97" s="2">
        <v>0.8</v>
      </c>
      <c r="S97" s="2">
        <v>4.2</v>
      </c>
      <c r="T97" s="2">
        <f>+Q97-M97</f>
        <v>11.399999999999991</v>
      </c>
    </row>
    <row r="98" spans="1:20">
      <c r="A98" s="6">
        <v>215</v>
      </c>
      <c r="B98" t="s">
        <v>44</v>
      </c>
      <c r="C98" t="s">
        <v>13</v>
      </c>
      <c r="D98">
        <v>48</v>
      </c>
      <c r="E98">
        <v>34</v>
      </c>
      <c r="F98" s="1">
        <f>+D98/(D98+E98)</f>
        <v>0.58536585365853655</v>
      </c>
      <c r="G98" s="2">
        <v>111</v>
      </c>
      <c r="H98" s="2">
        <v>108.8</v>
      </c>
      <c r="I98" s="2">
        <f>+G98-H98</f>
        <v>2.2000000000000028</v>
      </c>
      <c r="J98" s="1">
        <f>+(G98^14)/((G98^14+H98^14))</f>
        <v>0.56961097932319371</v>
      </c>
      <c r="K98" s="2">
        <v>110.4</v>
      </c>
      <c r="L98" s="2">
        <v>108.5</v>
      </c>
      <c r="M98" s="2">
        <f>+K98-L98</f>
        <v>1.9000000000000057</v>
      </c>
      <c r="N98" s="1">
        <f>+F98-J98</f>
        <v>1.5754874335342839E-2</v>
      </c>
      <c r="O98" s="2">
        <v>117.2</v>
      </c>
      <c r="P98" s="2">
        <v>103.9</v>
      </c>
      <c r="Q98" s="2">
        <f>+O98-P98</f>
        <v>13.299999999999997</v>
      </c>
      <c r="R98" s="2">
        <v>0.5</v>
      </c>
      <c r="S98" s="2">
        <v>3.4</v>
      </c>
      <c r="T98" s="2">
        <f>+Q98-M98</f>
        <v>11.399999999999991</v>
      </c>
    </row>
    <row r="99" spans="1:20">
      <c r="A99" s="6">
        <v>457</v>
      </c>
      <c r="B99" t="s">
        <v>55</v>
      </c>
      <c r="C99" t="s">
        <v>14</v>
      </c>
      <c r="D99">
        <v>41</v>
      </c>
      <c r="E99">
        <v>41</v>
      </c>
      <c r="F99" s="1">
        <f>+D99/(D99+E99)</f>
        <v>0.5</v>
      </c>
      <c r="G99" s="2">
        <v>106.5</v>
      </c>
      <c r="H99" s="2">
        <v>106.4</v>
      </c>
      <c r="I99" s="2">
        <f>+G99-H99</f>
        <v>9.9999999999994316E-2</v>
      </c>
      <c r="J99" s="1">
        <f>+(G99^14)/((G99^14+H99^14))</f>
        <v>0.50328788145549319</v>
      </c>
      <c r="K99" s="2">
        <v>107.3</v>
      </c>
      <c r="L99" s="2">
        <v>107.3</v>
      </c>
      <c r="M99" s="2">
        <f>+K99-L99</f>
        <v>0</v>
      </c>
      <c r="N99" s="1">
        <f>+F99-J99</f>
        <v>-3.2878814554931912E-3</v>
      </c>
      <c r="O99" s="2">
        <v>107.3</v>
      </c>
      <c r="P99" s="2">
        <v>96</v>
      </c>
      <c r="Q99" s="2">
        <f>+O99-P99</f>
        <v>11.299999999999997</v>
      </c>
      <c r="R99" s="2">
        <v>1</v>
      </c>
      <c r="S99" s="2">
        <v>3.4</v>
      </c>
      <c r="T99" s="2">
        <f>+Q99-M99</f>
        <v>11.299999999999997</v>
      </c>
    </row>
    <row r="100" spans="1:20">
      <c r="A100" s="6">
        <v>237</v>
      </c>
      <c r="B100" t="s">
        <v>45</v>
      </c>
      <c r="C100" t="s">
        <v>5</v>
      </c>
      <c r="D100">
        <v>47</v>
      </c>
      <c r="E100">
        <v>35</v>
      </c>
      <c r="F100" s="1">
        <f>+D100/(D100+E100)</f>
        <v>0.57317073170731703</v>
      </c>
      <c r="G100" s="2">
        <v>98.1</v>
      </c>
      <c r="H100" s="2">
        <v>96.5</v>
      </c>
      <c r="I100" s="2">
        <f>+G100-H100</f>
        <v>1.5999999999999943</v>
      </c>
      <c r="J100" s="1">
        <f>+(G100^14)/((G100^14+H100^14))</f>
        <v>0.55730238336398075</v>
      </c>
      <c r="K100" s="2">
        <v>108.3</v>
      </c>
      <c r="L100" s="2">
        <v>106.7</v>
      </c>
      <c r="M100" s="2">
        <f>+K100-L100</f>
        <v>1.5999999999999943</v>
      </c>
      <c r="N100" s="1">
        <f>+F100-J100</f>
        <v>1.586834834333628E-2</v>
      </c>
      <c r="O100" s="2">
        <v>106.7</v>
      </c>
      <c r="P100" s="2">
        <v>93.9</v>
      </c>
      <c r="Q100" s="2">
        <f>+O100-P100</f>
        <v>12.799999999999997</v>
      </c>
      <c r="R100" s="2">
        <v>2.1</v>
      </c>
      <c r="S100" s="2">
        <v>10.3</v>
      </c>
      <c r="T100" s="2">
        <f>+Q100-M100</f>
        <v>11.200000000000003</v>
      </c>
    </row>
    <row r="101" spans="1:20">
      <c r="A101" s="6">
        <v>711</v>
      </c>
      <c r="B101" t="s">
        <v>64</v>
      </c>
      <c r="C101" t="s">
        <v>26</v>
      </c>
      <c r="D101">
        <v>21</v>
      </c>
      <c r="E101">
        <v>61</v>
      </c>
      <c r="F101" s="1">
        <f>+D101/(D101+E101)</f>
        <v>0.25609756097560976</v>
      </c>
      <c r="G101" s="2">
        <v>106.4</v>
      </c>
      <c r="H101" s="2">
        <v>115.4</v>
      </c>
      <c r="I101" s="2">
        <f>+G101-H101</f>
        <v>-9</v>
      </c>
      <c r="J101" s="1">
        <f>+(G101^14)/((G101^14+H101^14))</f>
        <v>0.24291151759071603</v>
      </c>
      <c r="K101" s="2">
        <v>107.6</v>
      </c>
      <c r="L101" s="2">
        <v>116.6</v>
      </c>
      <c r="M101" s="2">
        <f>+K101-L101</f>
        <v>-9</v>
      </c>
      <c r="N101" s="1">
        <f>+F101-J101</f>
        <v>1.3186043384893736E-2</v>
      </c>
      <c r="O101" s="2">
        <v>104.8</v>
      </c>
      <c r="P101" s="2">
        <v>102.6</v>
      </c>
      <c r="Q101" s="2">
        <f>+O101-P101</f>
        <v>2.2000000000000028</v>
      </c>
      <c r="R101" s="2">
        <v>-0.6</v>
      </c>
      <c r="S101" s="2">
        <v>-3.2</v>
      </c>
      <c r="T101" s="2">
        <f>+Q101-M101</f>
        <v>11.200000000000003</v>
      </c>
    </row>
    <row r="102" spans="1:20">
      <c r="A102" s="6">
        <v>224</v>
      </c>
      <c r="B102" t="s">
        <v>44</v>
      </c>
      <c r="C102" t="s">
        <v>21</v>
      </c>
      <c r="D102">
        <v>34</v>
      </c>
      <c r="E102">
        <v>48</v>
      </c>
      <c r="F102" s="1">
        <f>+D102/(D102+E102)</f>
        <v>0.41463414634146339</v>
      </c>
      <c r="G102" s="2">
        <v>95.8</v>
      </c>
      <c r="H102" s="2">
        <v>100.9</v>
      </c>
      <c r="I102" s="2">
        <f>+G102-H102</f>
        <v>-5.1000000000000085</v>
      </c>
      <c r="J102" s="1">
        <f>+(G102^14)/((G102^14+H102^14))</f>
        <v>0.32604204255195213</v>
      </c>
      <c r="K102" s="2">
        <v>102.3</v>
      </c>
      <c r="L102" s="2">
        <v>107.7</v>
      </c>
      <c r="M102" s="2">
        <f>+K102-L102</f>
        <v>-5.4000000000000057</v>
      </c>
      <c r="N102" s="1">
        <f>+F102-J102</f>
        <v>8.8592103789511267E-2</v>
      </c>
      <c r="O102" s="2">
        <v>112.8</v>
      </c>
      <c r="P102" s="2">
        <v>107.1</v>
      </c>
      <c r="Q102" s="2">
        <f>+O102-P102</f>
        <v>5.7000000000000028</v>
      </c>
      <c r="R102" s="2">
        <v>-1.8</v>
      </c>
      <c r="S102" s="2">
        <v>-7.5</v>
      </c>
      <c r="T102" s="2">
        <f>+Q102-M102</f>
        <v>11.100000000000009</v>
      </c>
    </row>
    <row r="103" spans="1:20">
      <c r="A103" s="6">
        <v>33</v>
      </c>
      <c r="B103" t="s">
        <v>34</v>
      </c>
      <c r="C103" t="s">
        <v>8</v>
      </c>
      <c r="D103">
        <v>21</v>
      </c>
      <c r="E103">
        <v>61</v>
      </c>
      <c r="F103" s="1">
        <f>+D103/(D103+E103)</f>
        <v>0.25609756097560976</v>
      </c>
      <c r="G103" s="2">
        <v>89.5</v>
      </c>
      <c r="H103" s="2">
        <v>98</v>
      </c>
      <c r="I103" s="2">
        <f>+G103-H103</f>
        <v>-8.5</v>
      </c>
      <c r="J103" s="1">
        <f>+(G103^14)/((G103^14+H103^14))</f>
        <v>0.21922234164546633</v>
      </c>
      <c r="K103" s="2">
        <v>97.2</v>
      </c>
      <c r="L103" s="2">
        <v>106.2</v>
      </c>
      <c r="M103" s="2">
        <f>+K103-L103</f>
        <v>-9</v>
      </c>
      <c r="N103" s="1">
        <f>+F103-J103</f>
        <v>3.6875219330143427E-2</v>
      </c>
      <c r="O103" s="2">
        <v>99.7</v>
      </c>
      <c r="P103" s="2">
        <v>97.6</v>
      </c>
      <c r="Q103" s="2">
        <f>+O103-P103</f>
        <v>2.1000000000000085</v>
      </c>
      <c r="R103" s="2">
        <v>0</v>
      </c>
      <c r="S103" s="2">
        <v>-0.5</v>
      </c>
      <c r="T103" s="2">
        <f>+Q103-M103</f>
        <v>11.100000000000009</v>
      </c>
    </row>
    <row r="104" spans="1:20">
      <c r="A104" s="6">
        <v>34</v>
      </c>
      <c r="B104" t="s">
        <v>34</v>
      </c>
      <c r="C104" t="s">
        <v>9</v>
      </c>
      <c r="D104">
        <v>29</v>
      </c>
      <c r="E104">
        <v>53</v>
      </c>
      <c r="F104" s="1">
        <f>+D104/(D104+E104)</f>
        <v>0.35365853658536583</v>
      </c>
      <c r="G104" s="2">
        <v>95.3</v>
      </c>
      <c r="H104" s="2">
        <v>98.6</v>
      </c>
      <c r="I104" s="2">
        <f>+G104-H104</f>
        <v>-3.2999999999999972</v>
      </c>
      <c r="J104" s="1">
        <f>+(G104^14)/((G104^14+H104^14))</f>
        <v>0.38305995894836997</v>
      </c>
      <c r="K104" s="2">
        <v>103.4</v>
      </c>
      <c r="L104" s="2">
        <v>107</v>
      </c>
      <c r="M104" s="2">
        <f>+K104-L104</f>
        <v>-3.5999999999999943</v>
      </c>
      <c r="N104" s="1">
        <f>+F104-J104</f>
        <v>-2.9401422363004137E-2</v>
      </c>
      <c r="O104" s="2">
        <v>107.2</v>
      </c>
      <c r="P104" s="2">
        <v>99.7</v>
      </c>
      <c r="Q104" s="2">
        <f>+O104-P104</f>
        <v>7.5</v>
      </c>
      <c r="R104" s="2">
        <v>-0.7</v>
      </c>
      <c r="S104" s="2">
        <v>-3.8</v>
      </c>
      <c r="T104" s="2">
        <f>+Q104-M104</f>
        <v>11.099999999999994</v>
      </c>
    </row>
    <row r="105" spans="1:20">
      <c r="A105" s="6">
        <v>717</v>
      </c>
      <c r="B105" t="s">
        <v>65</v>
      </c>
      <c r="C105" t="s">
        <v>5</v>
      </c>
      <c r="D105">
        <v>40</v>
      </c>
      <c r="E105">
        <v>41</v>
      </c>
      <c r="F105" s="1">
        <f>+D105/(D105+E105)</f>
        <v>0.49382716049382713</v>
      </c>
      <c r="G105" s="2">
        <v>118.4</v>
      </c>
      <c r="H105" s="2">
        <v>119.4</v>
      </c>
      <c r="I105" s="2">
        <f>+G105-H105</f>
        <v>-1</v>
      </c>
      <c r="J105" s="1">
        <f>+(G105^14)/((G105^14+H105^14))</f>
        <v>0.47059728800481032</v>
      </c>
      <c r="K105" s="2">
        <v>113.9</v>
      </c>
      <c r="L105" s="2">
        <v>114.9</v>
      </c>
      <c r="M105" s="2">
        <f>+K105-L105</f>
        <v>-1</v>
      </c>
      <c r="N105" s="1">
        <f>+F105-J105</f>
        <v>2.3229872489016812E-2</v>
      </c>
      <c r="O105" s="2">
        <v>119.4</v>
      </c>
      <c r="P105" s="2">
        <v>109.6</v>
      </c>
      <c r="Q105" s="2">
        <f>+O105-P105</f>
        <v>9.8000000000000114</v>
      </c>
      <c r="R105" s="2">
        <v>1.1000000000000001</v>
      </c>
      <c r="S105" s="2">
        <v>5.3</v>
      </c>
      <c r="T105" s="2">
        <f>+Q105-M105</f>
        <v>10.800000000000011</v>
      </c>
    </row>
    <row r="106" spans="1:20">
      <c r="A106" s="6">
        <v>340</v>
      </c>
      <c r="B106" t="s">
        <v>49</v>
      </c>
      <c r="C106" t="s">
        <v>35</v>
      </c>
      <c r="D106">
        <v>41</v>
      </c>
      <c r="E106">
        <v>25</v>
      </c>
      <c r="F106" s="1">
        <f>+D106/(D106+E106)</f>
        <v>0.62121212121212122</v>
      </c>
      <c r="G106" s="2">
        <v>95</v>
      </c>
      <c r="H106" s="2">
        <v>93</v>
      </c>
      <c r="I106" s="2">
        <f>+G106-H106</f>
        <v>2</v>
      </c>
      <c r="J106" s="1">
        <f>+(G106^14)/((G106^14+H106^14))</f>
        <v>0.57392505859345744</v>
      </c>
      <c r="K106" s="2">
        <v>102.8</v>
      </c>
      <c r="L106" s="2">
        <v>100.6</v>
      </c>
      <c r="M106" s="2">
        <f>+K106-L106</f>
        <v>2.2000000000000028</v>
      </c>
      <c r="N106" s="1">
        <f>+F106-J106</f>
        <v>4.7287062618663778E-2</v>
      </c>
      <c r="O106" s="2">
        <v>106.8</v>
      </c>
      <c r="P106" s="2">
        <v>93.8</v>
      </c>
      <c r="Q106" s="2">
        <f>+O106-P106</f>
        <v>13</v>
      </c>
      <c r="R106" s="2">
        <v>0.3</v>
      </c>
      <c r="S106" s="2">
        <v>-1.3</v>
      </c>
      <c r="T106" s="2">
        <f>+Q106-M106</f>
        <v>10.799999999999997</v>
      </c>
    </row>
    <row r="107" spans="1:20">
      <c r="A107" s="6">
        <v>258</v>
      </c>
      <c r="B107" t="s">
        <v>45</v>
      </c>
      <c r="C107" t="s">
        <v>23</v>
      </c>
      <c r="D107">
        <v>59</v>
      </c>
      <c r="E107">
        <v>23</v>
      </c>
      <c r="F107" s="1">
        <f>+D107/(D107+E107)</f>
        <v>0.71951219512195119</v>
      </c>
      <c r="G107" s="2">
        <v>101</v>
      </c>
      <c r="H107" s="2">
        <v>94.4</v>
      </c>
      <c r="I107" s="2">
        <f>+G107-H107</f>
        <v>6.5999999999999943</v>
      </c>
      <c r="J107" s="1">
        <f>+(G107^14)/((G107^14+H107^14))</f>
        <v>0.72033264065959124</v>
      </c>
      <c r="K107" s="2">
        <v>108.3</v>
      </c>
      <c r="L107" s="2">
        <v>101.3</v>
      </c>
      <c r="M107" s="2">
        <f>+K107-L107</f>
        <v>7</v>
      </c>
      <c r="N107" s="1">
        <f>+F107-J107</f>
        <v>-8.2044553764004657E-4</v>
      </c>
      <c r="O107" s="2">
        <v>106.3</v>
      </c>
      <c r="P107" s="2">
        <v>88.6</v>
      </c>
      <c r="Q107" s="2">
        <f>+O107-P107</f>
        <v>17.700000000000003</v>
      </c>
      <c r="R107" s="2">
        <v>1.3</v>
      </c>
      <c r="S107" s="2">
        <v>7.7</v>
      </c>
      <c r="T107" s="2">
        <f>+Q107-M107</f>
        <v>10.700000000000003</v>
      </c>
    </row>
    <row r="108" spans="1:20">
      <c r="A108" s="6">
        <v>101</v>
      </c>
      <c r="B108" t="s">
        <v>38</v>
      </c>
      <c r="C108" t="s">
        <v>18</v>
      </c>
      <c r="D108">
        <v>42</v>
      </c>
      <c r="E108">
        <v>40</v>
      </c>
      <c r="F108" s="1">
        <f>+D108/(D108+E108)</f>
        <v>0.51219512195121952</v>
      </c>
      <c r="G108" s="2">
        <v>90.3</v>
      </c>
      <c r="H108" s="2">
        <v>89.7</v>
      </c>
      <c r="I108" s="2">
        <f>+G108-H108</f>
        <v>0.59999999999999432</v>
      </c>
      <c r="J108" s="1">
        <f>+(G108^14)/((G108^14+H108^14))</f>
        <v>0.52331649603624697</v>
      </c>
      <c r="K108" s="2">
        <v>100.6</v>
      </c>
      <c r="L108" s="2">
        <v>100.3</v>
      </c>
      <c r="M108" s="2">
        <f>+K108-L108</f>
        <v>0.29999999999999716</v>
      </c>
      <c r="N108" s="1">
        <f>+F108-J108</f>
        <v>-1.1121374085027447E-2</v>
      </c>
      <c r="O108" s="2">
        <v>100</v>
      </c>
      <c r="P108" s="2">
        <v>89.1</v>
      </c>
      <c r="Q108" s="2">
        <f>+O108-P108</f>
        <v>10.900000000000006</v>
      </c>
      <c r="R108" s="2">
        <v>0.5</v>
      </c>
      <c r="S108" s="2">
        <v>2.9</v>
      </c>
      <c r="T108" s="2">
        <f>+Q108-M108</f>
        <v>10.600000000000009</v>
      </c>
    </row>
    <row r="109" spans="1:20">
      <c r="A109" s="6">
        <v>133</v>
      </c>
      <c r="B109" t="s">
        <v>39</v>
      </c>
      <c r="C109" t="s">
        <v>20</v>
      </c>
      <c r="D109">
        <v>44</v>
      </c>
      <c r="E109">
        <v>38</v>
      </c>
      <c r="F109" s="1">
        <f>+D109/(D109+E109)</f>
        <v>0.53658536585365857</v>
      </c>
      <c r="G109" s="2">
        <v>96.8</v>
      </c>
      <c r="H109" s="2">
        <v>95.3</v>
      </c>
      <c r="I109" s="2">
        <f>+G109-H109</f>
        <v>1.5</v>
      </c>
      <c r="J109" s="1">
        <f>+(G109^14)/((G109^14+H109^14))</f>
        <v>0.55444343215777947</v>
      </c>
      <c r="K109" s="2">
        <v>106.6</v>
      </c>
      <c r="L109" s="2">
        <v>105</v>
      </c>
      <c r="M109" s="2">
        <f>+K109-L109</f>
        <v>1.5999999999999943</v>
      </c>
      <c r="N109" s="1">
        <f>+F109-J109</f>
        <v>-1.7858066304120901E-2</v>
      </c>
      <c r="O109" s="2">
        <v>111.9</v>
      </c>
      <c r="P109" s="2">
        <v>99.7</v>
      </c>
      <c r="Q109" s="2">
        <f>+O109-P109</f>
        <v>12.200000000000003</v>
      </c>
      <c r="R109" s="2">
        <v>0.5</v>
      </c>
      <c r="S109" s="2">
        <v>3.2</v>
      </c>
      <c r="T109" s="2">
        <f>+Q109-M109</f>
        <v>10.600000000000009</v>
      </c>
    </row>
    <row r="110" spans="1:20">
      <c r="A110" s="6">
        <v>463</v>
      </c>
      <c r="B110" t="s">
        <v>55</v>
      </c>
      <c r="C110" t="s">
        <v>19</v>
      </c>
      <c r="D110">
        <v>33</v>
      </c>
      <c r="E110">
        <v>49</v>
      </c>
      <c r="F110" s="1">
        <f>+D110/(D110+E110)</f>
        <v>0.40243902439024393</v>
      </c>
      <c r="G110" s="2">
        <v>99</v>
      </c>
      <c r="H110" s="2">
        <v>103.2</v>
      </c>
      <c r="I110" s="2">
        <f>+G110-H110</f>
        <v>-4.2000000000000028</v>
      </c>
      <c r="J110" s="1">
        <f>+(G110^14)/((G110^14+H110^14))</f>
        <v>0.35854472804772958</v>
      </c>
      <c r="K110" s="2">
        <v>103.4</v>
      </c>
      <c r="L110" s="2">
        <v>107.8</v>
      </c>
      <c r="M110" s="2">
        <f>+K110-L110</f>
        <v>-4.3999999999999915</v>
      </c>
      <c r="N110" s="1">
        <f>+F110-J110</f>
        <v>4.389429634251435E-2</v>
      </c>
      <c r="O110" s="2">
        <v>101.2</v>
      </c>
      <c r="P110" s="2">
        <v>95</v>
      </c>
      <c r="Q110" s="2">
        <f>+O110-P110</f>
        <v>6.2000000000000028</v>
      </c>
      <c r="R110" s="2">
        <v>-1.5</v>
      </c>
      <c r="S110" s="2">
        <v>-7.1</v>
      </c>
      <c r="T110" s="2">
        <f>+Q110-M110</f>
        <v>10.599999999999994</v>
      </c>
    </row>
    <row r="111" spans="1:20">
      <c r="A111" s="6">
        <v>735</v>
      </c>
      <c r="B111" t="s">
        <v>65</v>
      </c>
      <c r="C111" t="s">
        <v>53</v>
      </c>
      <c r="D111">
        <v>21</v>
      </c>
      <c r="E111">
        <v>61</v>
      </c>
      <c r="F111" s="1">
        <f>+D111/(D111+E111)</f>
        <v>0.25609756097560976</v>
      </c>
      <c r="G111" s="2">
        <v>109.8</v>
      </c>
      <c r="H111" s="2">
        <v>119.3</v>
      </c>
      <c r="I111" s="2">
        <f>+G111-H111</f>
        <v>-9.5</v>
      </c>
      <c r="J111" s="1">
        <f>+(G111^14)/((G111^14+H111^14))</f>
        <v>0.23835285935229417</v>
      </c>
      <c r="K111" s="2">
        <v>109.7</v>
      </c>
      <c r="L111" s="2">
        <v>119.1</v>
      </c>
      <c r="M111" s="2">
        <f>+K111-L111</f>
        <v>-9.3999999999999915</v>
      </c>
      <c r="N111" s="1">
        <f>+F111-J111</f>
        <v>1.7744701623315595E-2</v>
      </c>
      <c r="O111" s="2">
        <v>104.5</v>
      </c>
      <c r="P111" s="2">
        <v>103.3</v>
      </c>
      <c r="Q111" s="2">
        <f>+O111-P111</f>
        <v>1.2000000000000028</v>
      </c>
      <c r="R111" s="2">
        <v>-1</v>
      </c>
      <c r="S111" s="2">
        <v>-4</v>
      </c>
      <c r="T111" s="2">
        <f>+Q111-M111</f>
        <v>10.599999999999994</v>
      </c>
    </row>
    <row r="112" spans="1:20">
      <c r="A112" s="6">
        <v>122</v>
      </c>
      <c r="B112" t="s">
        <v>39</v>
      </c>
      <c r="C112" t="s">
        <v>10</v>
      </c>
      <c r="D112">
        <v>58</v>
      </c>
      <c r="E112">
        <v>24</v>
      </c>
      <c r="F112" s="1">
        <f>+D112/(D112+E112)</f>
        <v>0.70731707317073167</v>
      </c>
      <c r="G112" s="2">
        <v>102.5</v>
      </c>
      <c r="H112" s="2">
        <v>96.8</v>
      </c>
      <c r="I112" s="2">
        <f>+G112-H112</f>
        <v>5.7000000000000028</v>
      </c>
      <c r="J112" s="1">
        <f>+(G112^14)/((G112^14+H112^14))</f>
        <v>0.69019289618045576</v>
      </c>
      <c r="K112" s="2">
        <v>108.5</v>
      </c>
      <c r="L112" s="2">
        <v>102.6</v>
      </c>
      <c r="M112" s="2">
        <f>+K112-L112</f>
        <v>5.9000000000000057</v>
      </c>
      <c r="N112" s="1">
        <f>+F112-J112</f>
        <v>1.7124176990275908E-2</v>
      </c>
      <c r="O112" s="2">
        <v>113.3</v>
      </c>
      <c r="P112" s="2">
        <v>96.8</v>
      </c>
      <c r="Q112" s="2">
        <f>+O112-P112</f>
        <v>16.5</v>
      </c>
      <c r="R112" s="2">
        <v>0.8</v>
      </c>
      <c r="S112" s="2">
        <v>5.2</v>
      </c>
      <c r="T112" s="2">
        <f>+Q112-M112</f>
        <v>10.599999999999994</v>
      </c>
    </row>
    <row r="113" spans="1:20">
      <c r="A113" s="6">
        <v>397</v>
      </c>
      <c r="B113" t="s">
        <v>52</v>
      </c>
      <c r="C113" t="s">
        <v>14</v>
      </c>
      <c r="D113">
        <v>54</v>
      </c>
      <c r="E113">
        <v>28</v>
      </c>
      <c r="F113" s="1">
        <f>+D113/(D113+E113)</f>
        <v>0.65853658536585369</v>
      </c>
      <c r="G113" s="2">
        <v>107.7</v>
      </c>
      <c r="H113" s="2">
        <v>103.1</v>
      </c>
      <c r="I113" s="2">
        <f>+G113-H113</f>
        <v>4.6000000000000085</v>
      </c>
      <c r="J113" s="1">
        <f>+(G113^14)/((G113^14+H113^14))</f>
        <v>0.648192302705629</v>
      </c>
      <c r="K113" s="2">
        <v>109.8</v>
      </c>
      <c r="L113" s="2">
        <v>105.2</v>
      </c>
      <c r="M113" s="2">
        <f>+K113-L113</f>
        <v>4.5999999999999943</v>
      </c>
      <c r="N113" s="1">
        <f>+F113-J113</f>
        <v>1.0344282660224691E-2</v>
      </c>
      <c r="O113" s="2">
        <v>111.2</v>
      </c>
      <c r="P113" s="2">
        <v>96.1</v>
      </c>
      <c r="Q113" s="2">
        <f>+O113-P113</f>
        <v>15.100000000000009</v>
      </c>
      <c r="R113" s="2">
        <v>-0.2</v>
      </c>
      <c r="S113" s="2">
        <v>1.5</v>
      </c>
      <c r="T113" s="2">
        <f>+Q113-M113</f>
        <v>10.500000000000014</v>
      </c>
    </row>
    <row r="114" spans="1:20">
      <c r="A114" s="6">
        <v>191</v>
      </c>
      <c r="B114" t="s">
        <v>43</v>
      </c>
      <c r="C114" t="s">
        <v>18</v>
      </c>
      <c r="D114">
        <v>44</v>
      </c>
      <c r="E114">
        <v>38</v>
      </c>
      <c r="F114" s="1">
        <f>+D114/(D114+E114)</f>
        <v>0.53658536585365857</v>
      </c>
      <c r="G114" s="2">
        <v>94.6</v>
      </c>
      <c r="H114" s="2">
        <v>95.5</v>
      </c>
      <c r="I114" s="2">
        <f>+G114-H114</f>
        <v>-0.90000000000000568</v>
      </c>
      <c r="J114" s="1">
        <f>+(G114^14)/((G114^14+H114^14))</f>
        <v>0.46690774637254517</v>
      </c>
      <c r="K114" s="2">
        <v>103.4</v>
      </c>
      <c r="L114" s="2">
        <v>104.6</v>
      </c>
      <c r="M114" s="2">
        <f>+K114-L114</f>
        <v>-1.1999999999999886</v>
      </c>
      <c r="N114" s="1">
        <f>+F114-J114</f>
        <v>6.9677619481113395E-2</v>
      </c>
      <c r="O114" s="2">
        <v>106.9</v>
      </c>
      <c r="P114" s="2">
        <v>97.6</v>
      </c>
      <c r="Q114" s="2">
        <f>+O114-P114</f>
        <v>9.3000000000000114</v>
      </c>
      <c r="R114" s="2">
        <v>0.5</v>
      </c>
      <c r="S114" s="2">
        <v>3.1</v>
      </c>
      <c r="T114" s="2">
        <f>+Q114-M114</f>
        <v>10.5</v>
      </c>
    </row>
    <row r="115" spans="1:20">
      <c r="A115" s="6">
        <v>482</v>
      </c>
      <c r="B115" t="s">
        <v>57</v>
      </c>
      <c r="C115" t="s">
        <v>9</v>
      </c>
      <c r="D115">
        <v>51</v>
      </c>
      <c r="E115">
        <v>31</v>
      </c>
      <c r="F115" s="1">
        <f>+D115/(D115+E115)</f>
        <v>0.62195121951219512</v>
      </c>
      <c r="G115" s="2">
        <v>110.3</v>
      </c>
      <c r="H115" s="2">
        <v>107.2</v>
      </c>
      <c r="I115" s="2">
        <f>+G115-H115</f>
        <v>3.0999999999999943</v>
      </c>
      <c r="J115" s="1">
        <f>+(G115^14)/((G115^14+H115^14))</f>
        <v>0.59847320533092052</v>
      </c>
      <c r="K115" s="2">
        <v>112.8</v>
      </c>
      <c r="L115" s="2">
        <v>109.7</v>
      </c>
      <c r="M115" s="2">
        <f>+K115-L115</f>
        <v>3.0999999999999943</v>
      </c>
      <c r="N115" s="1">
        <f>+F115-J115</f>
        <v>2.3478014181274598E-2</v>
      </c>
      <c r="O115" s="2">
        <v>117.1</v>
      </c>
      <c r="P115" s="2">
        <v>103.5</v>
      </c>
      <c r="Q115" s="2">
        <f>+O115-P115</f>
        <v>13.599999999999994</v>
      </c>
      <c r="R115" s="2">
        <v>-1.2</v>
      </c>
      <c r="S115" s="2">
        <v>-2.9</v>
      </c>
      <c r="T115" s="2">
        <f>+Q115-M115</f>
        <v>10.5</v>
      </c>
    </row>
    <row r="116" spans="1:20">
      <c r="A116" s="6">
        <v>249</v>
      </c>
      <c r="B116" t="s">
        <v>45</v>
      </c>
      <c r="C116" t="s">
        <v>17</v>
      </c>
      <c r="D116">
        <v>65</v>
      </c>
      <c r="E116">
        <v>17</v>
      </c>
      <c r="F116" s="1">
        <f>+D116/(D116+E116)</f>
        <v>0.79268292682926833</v>
      </c>
      <c r="G116" s="2">
        <v>106.9</v>
      </c>
      <c r="H116" s="2">
        <v>99.3</v>
      </c>
      <c r="I116" s="2">
        <f>+G116-H116</f>
        <v>7.6000000000000085</v>
      </c>
      <c r="J116" s="1">
        <f>+(G116^14)/((G116^14+H116^14))</f>
        <v>0.73739553340542874</v>
      </c>
      <c r="K116" s="2">
        <v>111.4</v>
      </c>
      <c r="L116" s="2">
        <v>103.5</v>
      </c>
      <c r="M116" s="2">
        <f>+K116-L116</f>
        <v>7.9000000000000057</v>
      </c>
      <c r="N116" s="1">
        <f>+F116-J116</f>
        <v>5.5287393423839593E-2</v>
      </c>
      <c r="O116" s="2">
        <v>122.7</v>
      </c>
      <c r="P116" s="2">
        <v>104.4</v>
      </c>
      <c r="Q116" s="2">
        <f>+O116-P116</f>
        <v>18.299999999999997</v>
      </c>
      <c r="R116" s="2">
        <v>1.2</v>
      </c>
      <c r="S116" s="2">
        <v>5.0999999999999996</v>
      </c>
      <c r="T116" s="2">
        <f>+Q116-M116</f>
        <v>10.399999999999991</v>
      </c>
    </row>
    <row r="117" spans="1:20">
      <c r="A117" s="6">
        <v>325</v>
      </c>
      <c r="B117" t="s">
        <v>48</v>
      </c>
      <c r="C117" t="s">
        <v>31</v>
      </c>
      <c r="D117">
        <v>39</v>
      </c>
      <c r="E117">
        <v>43</v>
      </c>
      <c r="F117" s="1">
        <f>+D117/(D117+E117)</f>
        <v>0.47560975609756095</v>
      </c>
      <c r="G117" s="2">
        <v>99.4</v>
      </c>
      <c r="H117" s="2">
        <v>101.3</v>
      </c>
      <c r="I117" s="2">
        <f>+G117-H117</f>
        <v>-1.8999999999999915</v>
      </c>
      <c r="J117" s="1">
        <f>+(G117^14)/((G117^14+H117^14))</f>
        <v>0.4341153034134177</v>
      </c>
      <c r="K117" s="2">
        <v>107</v>
      </c>
      <c r="L117" s="2">
        <v>108.8</v>
      </c>
      <c r="M117" s="2">
        <f>+K117-L117</f>
        <v>-1.7999999999999972</v>
      </c>
      <c r="N117" s="1">
        <f>+F117-J117</f>
        <v>4.1494452684143257E-2</v>
      </c>
      <c r="O117" s="2">
        <v>111.8</v>
      </c>
      <c r="P117" s="2">
        <v>103.3</v>
      </c>
      <c r="Q117" s="2">
        <f>+O117-P117</f>
        <v>8.5</v>
      </c>
      <c r="R117" s="2">
        <v>1.3</v>
      </c>
      <c r="S117" s="2">
        <v>4.9000000000000004</v>
      </c>
      <c r="T117" s="2">
        <f>+Q117-M117</f>
        <v>10.299999999999997</v>
      </c>
    </row>
    <row r="118" spans="1:20">
      <c r="A118" s="6">
        <v>586</v>
      </c>
      <c r="B118" t="s">
        <v>60</v>
      </c>
      <c r="C118" t="s">
        <v>22</v>
      </c>
      <c r="D118">
        <v>21</v>
      </c>
      <c r="E118">
        <v>45</v>
      </c>
      <c r="F118" s="1">
        <f>+D118/(D118+E118)</f>
        <v>0.31818181818181818</v>
      </c>
      <c r="G118" s="2">
        <v>105.8</v>
      </c>
      <c r="H118" s="2">
        <v>112.3</v>
      </c>
      <c r="I118" s="2">
        <f>+G118-H118</f>
        <v>-6.5</v>
      </c>
      <c r="J118" s="1">
        <f>+(G118^14)/((G118^14+H118^14))</f>
        <v>0.30264654338217839</v>
      </c>
      <c r="K118" s="2">
        <v>105.9</v>
      </c>
      <c r="L118" s="2">
        <v>112.4</v>
      </c>
      <c r="M118" s="2">
        <f>+K118-L118</f>
        <v>-6.5</v>
      </c>
      <c r="N118" s="1">
        <f>+F118-J118</f>
        <v>1.5535274799639787E-2</v>
      </c>
      <c r="O118" s="2">
        <v>106.3</v>
      </c>
      <c r="P118" s="2">
        <v>102.5</v>
      </c>
      <c r="Q118" s="2">
        <f>+O118-P118</f>
        <v>3.7999999999999972</v>
      </c>
      <c r="R118" s="2">
        <v>-0.8</v>
      </c>
      <c r="S118" s="2">
        <v>-3.3</v>
      </c>
      <c r="T118" s="2">
        <f>+Q118-M118</f>
        <v>10.299999999999997</v>
      </c>
    </row>
    <row r="119" spans="1:20">
      <c r="A119" s="6">
        <v>651</v>
      </c>
      <c r="B119" t="s">
        <v>62</v>
      </c>
      <c r="C119" t="s">
        <v>26</v>
      </c>
      <c r="D119">
        <v>27</v>
      </c>
      <c r="E119">
        <v>55</v>
      </c>
      <c r="F119" s="1">
        <f>+D119/(D119+E119)</f>
        <v>0.32926829268292684</v>
      </c>
      <c r="G119" s="2">
        <v>106.2</v>
      </c>
      <c r="H119" s="2">
        <v>115.1</v>
      </c>
      <c r="I119" s="2">
        <f>+G119-H119</f>
        <v>-8.8999999999999915</v>
      </c>
      <c r="J119" s="1">
        <f>+(G119^14)/((G119^14+H119^14))</f>
        <v>0.24477414963979585</v>
      </c>
      <c r="K119" s="2">
        <v>107.3</v>
      </c>
      <c r="L119" s="2">
        <v>116.3</v>
      </c>
      <c r="M119" s="2">
        <f>+K119-L119</f>
        <v>-9</v>
      </c>
      <c r="N119" s="1">
        <f>+F119-J119</f>
        <v>8.4494143043130993E-2</v>
      </c>
      <c r="O119" s="2">
        <v>107</v>
      </c>
      <c r="P119" s="2">
        <v>105.8</v>
      </c>
      <c r="Q119" s="2">
        <f>+O119-P119</f>
        <v>1.2000000000000028</v>
      </c>
      <c r="R119" s="2">
        <v>-3.6</v>
      </c>
      <c r="S119" s="2">
        <v>-14.9</v>
      </c>
      <c r="T119" s="2">
        <f>+Q119-M119</f>
        <v>10.200000000000003</v>
      </c>
    </row>
    <row r="120" spans="1:20">
      <c r="A120" s="6">
        <v>393</v>
      </c>
      <c r="B120" t="s">
        <v>52</v>
      </c>
      <c r="C120" t="s">
        <v>10</v>
      </c>
      <c r="D120">
        <v>49</v>
      </c>
      <c r="E120">
        <v>33</v>
      </c>
      <c r="F120" s="1">
        <f>+D120/(D120+E120)</f>
        <v>0.59756097560975607</v>
      </c>
      <c r="G120" s="2">
        <v>104.8</v>
      </c>
      <c r="H120" s="2">
        <v>102.4</v>
      </c>
      <c r="I120" s="2">
        <f>+G120-H120</f>
        <v>2.3999999999999915</v>
      </c>
      <c r="J120" s="1">
        <f>+(G120^14)/((G120^14+H120^14))</f>
        <v>0.58038129278939099</v>
      </c>
      <c r="K120" s="2">
        <v>109.5</v>
      </c>
      <c r="L120" s="2">
        <v>107.2</v>
      </c>
      <c r="M120" s="2">
        <f>+K120-L120</f>
        <v>2.2999999999999972</v>
      </c>
      <c r="N120" s="1">
        <f>+F120-J120</f>
        <v>1.7179682820365083E-2</v>
      </c>
      <c r="O120" s="2">
        <v>110.6</v>
      </c>
      <c r="P120" s="2">
        <v>98.1</v>
      </c>
      <c r="Q120" s="2">
        <f>+O120-P120</f>
        <v>12.5</v>
      </c>
      <c r="R120" s="2">
        <v>0.7</v>
      </c>
      <c r="S120" s="2">
        <v>1.3</v>
      </c>
      <c r="T120" s="2">
        <f>+Q120-M120</f>
        <v>10.200000000000003</v>
      </c>
    </row>
    <row r="121" spans="1:20">
      <c r="A121" s="6">
        <v>504</v>
      </c>
      <c r="B121" t="s">
        <v>57</v>
      </c>
      <c r="C121" t="s">
        <v>30</v>
      </c>
      <c r="D121">
        <v>51</v>
      </c>
      <c r="E121">
        <v>31</v>
      </c>
      <c r="F121" s="1">
        <f>+D121/(D121+E121)</f>
        <v>0.62195121951219512</v>
      </c>
      <c r="G121" s="2">
        <v>106.9</v>
      </c>
      <c r="H121" s="2">
        <v>102.6</v>
      </c>
      <c r="I121" s="2">
        <f>+G121-H121</f>
        <v>4.3000000000000114</v>
      </c>
      <c r="J121" s="1">
        <f>+(G121^14)/((G121^14+H121^14))</f>
        <v>0.6398659537059771</v>
      </c>
      <c r="K121" s="2">
        <v>111.4</v>
      </c>
      <c r="L121" s="2">
        <v>107.1</v>
      </c>
      <c r="M121" s="2">
        <f>+K121-L121</f>
        <v>4.3000000000000114</v>
      </c>
      <c r="N121" s="1">
        <f>+F121-J121</f>
        <v>-1.7914734193781978E-2</v>
      </c>
      <c r="O121" s="2">
        <v>109.9</v>
      </c>
      <c r="P121" s="2">
        <v>95.4</v>
      </c>
      <c r="Q121" s="2">
        <f>+O121-P121</f>
        <v>14.5</v>
      </c>
      <c r="R121" s="2">
        <v>2.8</v>
      </c>
      <c r="S121" s="2">
        <v>13.4</v>
      </c>
      <c r="T121" s="2">
        <f>+Q121-M121</f>
        <v>10.199999999999989</v>
      </c>
    </row>
    <row r="122" spans="1:20">
      <c r="A122" s="6">
        <v>618</v>
      </c>
      <c r="B122" t="s">
        <v>61</v>
      </c>
      <c r="C122" t="s">
        <v>23</v>
      </c>
      <c r="D122">
        <v>21</v>
      </c>
      <c r="E122">
        <v>51</v>
      </c>
      <c r="F122" s="1">
        <f>+D122/(D122+E122)</f>
        <v>0.29166666666666669</v>
      </c>
      <c r="G122" s="2">
        <v>104</v>
      </c>
      <c r="H122" s="2">
        <v>113.3</v>
      </c>
      <c r="I122" s="2">
        <f>+G122-H122</f>
        <v>-9.2999999999999972</v>
      </c>
      <c r="J122" s="1">
        <f>+(G122^14)/((G122^14+H122^14))</f>
        <v>0.23163967366224553</v>
      </c>
      <c r="K122" s="2">
        <v>104.6</v>
      </c>
      <c r="L122" s="2">
        <v>113.9</v>
      </c>
      <c r="M122" s="2">
        <f>+K122-L122</f>
        <v>-9.3000000000000114</v>
      </c>
      <c r="N122" s="1">
        <f>+F122-J122</f>
        <v>6.0026993004421159E-2</v>
      </c>
      <c r="O122" s="2">
        <v>106.5</v>
      </c>
      <c r="P122" s="2">
        <v>105.7</v>
      </c>
      <c r="Q122" s="2">
        <f>+O122-P122</f>
        <v>0.79999999999999716</v>
      </c>
      <c r="R122" s="2">
        <v>-1.8</v>
      </c>
      <c r="S122" s="2">
        <v>-7.2</v>
      </c>
      <c r="T122" s="2">
        <f>+Q122-M122</f>
        <v>10.100000000000009</v>
      </c>
    </row>
    <row r="123" spans="1:20">
      <c r="A123" s="6">
        <v>455</v>
      </c>
      <c r="B123" t="s">
        <v>55</v>
      </c>
      <c r="C123" t="s">
        <v>12</v>
      </c>
      <c r="D123">
        <v>44</v>
      </c>
      <c r="E123">
        <v>38</v>
      </c>
      <c r="F123" s="1">
        <f>+D123/(D123+E123)</f>
        <v>0.53658536585365857</v>
      </c>
      <c r="G123" s="2">
        <v>102</v>
      </c>
      <c r="H123" s="2">
        <v>101.4</v>
      </c>
      <c r="I123" s="2">
        <f>+G123-H123</f>
        <v>0.59999999999999432</v>
      </c>
      <c r="J123" s="1">
        <f>+(G123^14)/((G123^14+H123^14))</f>
        <v>0.52063729627420186</v>
      </c>
      <c r="K123" s="2">
        <v>105.3</v>
      </c>
      <c r="L123" s="2">
        <v>104.9</v>
      </c>
      <c r="M123" s="2">
        <f>+K123-L123</f>
        <v>0.39999999999999147</v>
      </c>
      <c r="N123" s="1">
        <f>+F123-J123</f>
        <v>1.5948069579456714E-2</v>
      </c>
      <c r="O123" s="2">
        <v>104.4</v>
      </c>
      <c r="P123" s="2">
        <v>93.9</v>
      </c>
      <c r="Q123" s="2">
        <f>+O123-P123</f>
        <v>10.5</v>
      </c>
      <c r="R123" s="2">
        <v>1.5</v>
      </c>
      <c r="S123" s="2">
        <v>5.0999999999999996</v>
      </c>
      <c r="T123" s="2">
        <f>+Q123-M123</f>
        <v>10.100000000000009</v>
      </c>
    </row>
    <row r="124" spans="1:20">
      <c r="A124" s="6">
        <v>228</v>
      </c>
      <c r="B124" t="s">
        <v>44</v>
      </c>
      <c r="C124" t="s">
        <v>24</v>
      </c>
      <c r="D124">
        <v>40</v>
      </c>
      <c r="E124">
        <v>42</v>
      </c>
      <c r="F124" s="1">
        <f>+D124/(D124+E124)</f>
        <v>0.48780487804878048</v>
      </c>
      <c r="G124" s="2">
        <v>96.6</v>
      </c>
      <c r="H124" s="2">
        <v>96.2</v>
      </c>
      <c r="I124" s="2">
        <f>+G124-H124</f>
        <v>0.39999999999999147</v>
      </c>
      <c r="J124" s="1">
        <f>+(G124^14)/((G124^14+H124^14))</f>
        <v>0.51451875971750194</v>
      </c>
      <c r="K124" s="2">
        <v>105.1</v>
      </c>
      <c r="L124" s="2">
        <v>104.7</v>
      </c>
      <c r="M124" s="2">
        <f>+K124-L124</f>
        <v>0.39999999999999147</v>
      </c>
      <c r="N124" s="1">
        <f>+F124-J124</f>
        <v>-2.6713881668721462E-2</v>
      </c>
      <c r="O124" s="2">
        <v>102.2</v>
      </c>
      <c r="P124" s="2">
        <v>91.7</v>
      </c>
      <c r="Q124" s="2">
        <f>+O124-P124</f>
        <v>10.5</v>
      </c>
      <c r="R124" s="2">
        <v>1.4</v>
      </c>
      <c r="S124" s="2">
        <v>7.3</v>
      </c>
      <c r="T124" s="2">
        <f>+Q124-M124</f>
        <v>10.100000000000009</v>
      </c>
    </row>
    <row r="125" spans="1:20">
      <c r="A125" s="6">
        <v>300</v>
      </c>
      <c r="B125" t="s">
        <v>48</v>
      </c>
      <c r="C125" t="s">
        <v>8</v>
      </c>
      <c r="D125">
        <v>62</v>
      </c>
      <c r="E125">
        <v>20</v>
      </c>
      <c r="F125" s="1">
        <f>+D125/(D125+E125)</f>
        <v>0.75609756097560976</v>
      </c>
      <c r="G125" s="2">
        <v>98.6</v>
      </c>
      <c r="H125" s="2">
        <v>91.3</v>
      </c>
      <c r="I125" s="2">
        <f>+G125-H125</f>
        <v>7.2999999999999972</v>
      </c>
      <c r="J125" s="1">
        <f>+(G125^14)/((G125^14+H125^14))</f>
        <v>0.7459043561062102</v>
      </c>
      <c r="K125" s="2">
        <v>107.2</v>
      </c>
      <c r="L125" s="2">
        <v>99.5</v>
      </c>
      <c r="M125" s="2">
        <f>+K125-L125</f>
        <v>7.7000000000000028</v>
      </c>
      <c r="N125" s="1">
        <f>+F125-J125</f>
        <v>1.0193204869399564E-2</v>
      </c>
      <c r="O125" s="2">
        <v>106.7</v>
      </c>
      <c r="P125" s="2">
        <v>88.9</v>
      </c>
      <c r="Q125" s="2">
        <f>+O125-P125</f>
        <v>17.799999999999997</v>
      </c>
      <c r="R125" s="2">
        <v>2.2999999999999998</v>
      </c>
      <c r="S125" s="2">
        <v>13</v>
      </c>
      <c r="T125" s="2">
        <f>+Q125-M125</f>
        <v>10.099999999999994</v>
      </c>
    </row>
    <row r="126" spans="1:20">
      <c r="A126" s="6">
        <v>595</v>
      </c>
      <c r="B126" t="s">
        <v>60</v>
      </c>
      <c r="C126" t="s">
        <v>31</v>
      </c>
      <c r="D126">
        <v>44</v>
      </c>
      <c r="E126">
        <v>28</v>
      </c>
      <c r="F126" s="1">
        <f>+D126/(D126+E126)</f>
        <v>0.61111111111111116</v>
      </c>
      <c r="G126" s="2">
        <v>111.3</v>
      </c>
      <c r="H126" s="2">
        <v>108.8</v>
      </c>
      <c r="I126" s="2">
        <f>+G126-H126</f>
        <v>2.5</v>
      </c>
      <c r="J126" s="1">
        <f>+(G126^14)/((G126^14+H126^14))</f>
        <v>0.57884917653720358</v>
      </c>
      <c r="K126" s="2">
        <v>111.8</v>
      </c>
      <c r="L126" s="2">
        <v>109.3</v>
      </c>
      <c r="M126" s="2">
        <f>+K126-L126</f>
        <v>2.5</v>
      </c>
      <c r="N126" s="1">
        <f>+F126-J126</f>
        <v>3.226193457390758E-2</v>
      </c>
      <c r="O126" s="2">
        <v>112.8</v>
      </c>
      <c r="P126" s="2">
        <v>100.3</v>
      </c>
      <c r="Q126" s="2">
        <f>+O126-P126</f>
        <v>12.5</v>
      </c>
      <c r="R126" s="2">
        <v>0.1</v>
      </c>
      <c r="S126" s="2">
        <v>-0.4</v>
      </c>
      <c r="T126" s="2">
        <f>+Q126-M126</f>
        <v>10</v>
      </c>
    </row>
    <row r="127" spans="1:20">
      <c r="A127" s="6">
        <v>431</v>
      </c>
      <c r="B127" t="s">
        <v>54</v>
      </c>
      <c r="C127" t="s">
        <v>35</v>
      </c>
      <c r="D127">
        <v>55</v>
      </c>
      <c r="E127">
        <v>27</v>
      </c>
      <c r="F127" s="1">
        <f>+D127/(D127+E127)</f>
        <v>0.67073170731707321</v>
      </c>
      <c r="G127" s="2">
        <v>98.3</v>
      </c>
      <c r="H127" s="2">
        <v>95.1</v>
      </c>
      <c r="I127" s="2">
        <f>+G127-H127</f>
        <v>3.2000000000000028</v>
      </c>
      <c r="J127" s="1">
        <f>+(G127^14)/((G127^14+H127^14))</f>
        <v>0.61380403794976324</v>
      </c>
      <c r="K127" s="2">
        <v>104.8</v>
      </c>
      <c r="L127" s="2">
        <v>101.2</v>
      </c>
      <c r="M127" s="2">
        <f>+K127-L127</f>
        <v>3.5999999999999943</v>
      </c>
      <c r="N127" s="1">
        <f>+F127-J127</f>
        <v>5.6927669367309974E-2</v>
      </c>
      <c r="O127" s="2">
        <v>108.7</v>
      </c>
      <c r="P127" s="2">
        <v>95.2</v>
      </c>
      <c r="Q127" s="2">
        <f>+O127-P127</f>
        <v>13.5</v>
      </c>
      <c r="R127" s="2">
        <v>0.3</v>
      </c>
      <c r="S127" s="2">
        <v>0.6</v>
      </c>
      <c r="T127" s="2">
        <f>+Q127-M127</f>
        <v>9.9000000000000057</v>
      </c>
    </row>
    <row r="128" spans="1:20">
      <c r="A128" s="6">
        <v>532</v>
      </c>
      <c r="B128" t="s">
        <v>58</v>
      </c>
      <c r="C128" t="s">
        <v>27</v>
      </c>
      <c r="D128">
        <v>27</v>
      </c>
      <c r="E128">
        <v>55</v>
      </c>
      <c r="F128" s="1">
        <f>+D128/(D128+E128)</f>
        <v>0.32926829268292684</v>
      </c>
      <c r="G128" s="2">
        <v>98.8</v>
      </c>
      <c r="H128" s="2">
        <v>105.8</v>
      </c>
      <c r="I128" s="2">
        <f>+G128-H128</f>
        <v>-7</v>
      </c>
      <c r="J128" s="1">
        <f>+(G128^14)/((G128^14+H128^14))</f>
        <v>0.27721051622974674</v>
      </c>
      <c r="K128" s="2">
        <v>103.1</v>
      </c>
      <c r="L128" s="2">
        <v>110.4</v>
      </c>
      <c r="M128" s="2">
        <f>+K128-L128</f>
        <v>-7.3000000000000114</v>
      </c>
      <c r="N128" s="1">
        <f>+F128-J128</f>
        <v>5.2057776453180105E-2</v>
      </c>
      <c r="O128" s="2">
        <v>105.8</v>
      </c>
      <c r="P128" s="2">
        <v>103.2</v>
      </c>
      <c r="Q128" s="2">
        <f>+O128-P128</f>
        <v>2.5999999999999943</v>
      </c>
      <c r="R128" s="2">
        <v>-0.9</v>
      </c>
      <c r="S128" s="2">
        <v>-4.5999999999999996</v>
      </c>
      <c r="T128" s="2">
        <f>+Q128-M128</f>
        <v>9.9000000000000057</v>
      </c>
    </row>
    <row r="129" spans="1:20">
      <c r="A129" s="6">
        <v>441</v>
      </c>
      <c r="B129" t="s">
        <v>54</v>
      </c>
      <c r="C129" t="s">
        <v>26</v>
      </c>
      <c r="D129">
        <v>51</v>
      </c>
      <c r="E129">
        <v>31</v>
      </c>
      <c r="F129" s="1">
        <f>+D129/(D129+E129)</f>
        <v>0.62195121951219512</v>
      </c>
      <c r="G129" s="2">
        <v>102.8</v>
      </c>
      <c r="H129" s="2">
        <v>98.6</v>
      </c>
      <c r="I129" s="2">
        <f>+G129-H129</f>
        <v>4.2000000000000028</v>
      </c>
      <c r="J129" s="1">
        <f>+(G129^14)/((G129^14+H129^14))</f>
        <v>0.64198666077986288</v>
      </c>
      <c r="K129" s="2">
        <v>107.1</v>
      </c>
      <c r="L129" s="2">
        <v>102.8</v>
      </c>
      <c r="M129" s="2">
        <f>+K129-L129</f>
        <v>4.2999999999999972</v>
      </c>
      <c r="N129" s="1">
        <f>+F129-J129</f>
        <v>-2.0035441267667764E-2</v>
      </c>
      <c r="O129" s="2">
        <v>114.2</v>
      </c>
      <c r="P129" s="2">
        <v>100</v>
      </c>
      <c r="Q129" s="2">
        <f>+O129-P129</f>
        <v>14.200000000000003</v>
      </c>
      <c r="R129" s="2">
        <v>1.7</v>
      </c>
      <c r="S129" s="2">
        <v>6.9</v>
      </c>
      <c r="T129" s="2">
        <f>+Q129-M129</f>
        <v>9.9000000000000057</v>
      </c>
    </row>
    <row r="130" spans="1:20">
      <c r="A130" s="6">
        <v>297</v>
      </c>
      <c r="B130" t="s">
        <v>48</v>
      </c>
      <c r="C130" t="s">
        <v>5</v>
      </c>
      <c r="D130">
        <v>44</v>
      </c>
      <c r="E130">
        <v>38</v>
      </c>
      <c r="F130" s="1">
        <f>+D130/(D130+E130)</f>
        <v>0.53658536585365857</v>
      </c>
      <c r="G130" s="2">
        <v>95</v>
      </c>
      <c r="H130" s="2">
        <v>95.8</v>
      </c>
      <c r="I130" s="2">
        <f>+G130-H130</f>
        <v>-0.79999999999999716</v>
      </c>
      <c r="J130" s="1">
        <f>+(G130^14)/((G130^14+H130^14))</f>
        <v>0.47068338807108751</v>
      </c>
      <c r="K130" s="2">
        <v>105.1</v>
      </c>
      <c r="L130" s="2">
        <v>105.8</v>
      </c>
      <c r="M130" s="2">
        <f>+K130-L130</f>
        <v>-0.70000000000000284</v>
      </c>
      <c r="N130" s="1">
        <f>+F130-J130</f>
        <v>6.5901977782571064E-2</v>
      </c>
      <c r="O130" s="2">
        <v>112.6</v>
      </c>
      <c r="P130" s="2">
        <v>103.5</v>
      </c>
      <c r="Q130" s="2">
        <f>+O130-P130</f>
        <v>9.0999999999999943</v>
      </c>
      <c r="R130" s="2">
        <v>-1.5</v>
      </c>
      <c r="S130" s="2">
        <v>-8.1999999999999993</v>
      </c>
      <c r="T130" s="2">
        <f>+Q130-M130</f>
        <v>9.7999999999999972</v>
      </c>
    </row>
    <row r="131" spans="1:20">
      <c r="A131" s="6">
        <v>317</v>
      </c>
      <c r="B131" t="s">
        <v>48</v>
      </c>
      <c r="C131" t="s">
        <v>46</v>
      </c>
      <c r="D131">
        <v>55</v>
      </c>
      <c r="E131">
        <v>27</v>
      </c>
      <c r="F131" s="1">
        <f>+D131/(D131+E131)</f>
        <v>0.67073170731707321</v>
      </c>
      <c r="G131" s="2">
        <v>104.8</v>
      </c>
      <c r="H131" s="2">
        <v>101</v>
      </c>
      <c r="I131" s="2">
        <f>+G131-H131</f>
        <v>3.7999999999999972</v>
      </c>
      <c r="J131" s="1">
        <f>+(G131^14)/((G131^14+H131^14))</f>
        <v>0.62646134296899791</v>
      </c>
      <c r="K131" s="2">
        <v>109.9</v>
      </c>
      <c r="L131" s="2">
        <v>105.9</v>
      </c>
      <c r="M131" s="2">
        <f>+K131-L131</f>
        <v>4</v>
      </c>
      <c r="N131" s="1">
        <f>+F131-J131</f>
        <v>4.4270364348075297E-2</v>
      </c>
      <c r="O131" s="2">
        <v>105.8</v>
      </c>
      <c r="P131" s="2">
        <v>92</v>
      </c>
      <c r="Q131" s="2">
        <f>+O131-P131</f>
        <v>13.799999999999997</v>
      </c>
      <c r="R131" s="2">
        <v>0.9</v>
      </c>
      <c r="S131" s="2">
        <v>4</v>
      </c>
      <c r="T131" s="2">
        <f>+Q131-M131</f>
        <v>9.7999999999999972</v>
      </c>
    </row>
    <row r="132" spans="1:20">
      <c r="A132" s="6">
        <v>682</v>
      </c>
      <c r="B132" t="s">
        <v>63</v>
      </c>
      <c r="C132" t="s">
        <v>27</v>
      </c>
      <c r="D132">
        <v>48</v>
      </c>
      <c r="E132">
        <v>34</v>
      </c>
      <c r="F132" s="1">
        <f>+D132/(D132+E132)</f>
        <v>0.58536585365853655</v>
      </c>
      <c r="G132" s="2">
        <v>120.7</v>
      </c>
      <c r="H132" s="2">
        <v>118.1</v>
      </c>
      <c r="I132" s="2">
        <f>+G132-H132</f>
        <v>2.6000000000000085</v>
      </c>
      <c r="J132" s="1">
        <f>+(G132^14)/((G132^14+H132^14))</f>
        <v>0.57563251403873306</v>
      </c>
      <c r="K132" s="2">
        <v>118.6</v>
      </c>
      <c r="L132" s="2">
        <v>116</v>
      </c>
      <c r="M132" s="2">
        <f>+K132-L132</f>
        <v>2.5999999999999943</v>
      </c>
      <c r="N132" s="1">
        <f>+F132-J132</f>
        <v>9.7333396198034938E-3</v>
      </c>
      <c r="O132" s="2">
        <v>129.19999999999999</v>
      </c>
      <c r="P132" s="2">
        <v>116.8</v>
      </c>
      <c r="Q132" s="2">
        <f>+O132-P132</f>
        <v>12.399999999999991</v>
      </c>
      <c r="R132" s="2">
        <v>0.9</v>
      </c>
      <c r="S132" s="2">
        <v>7</v>
      </c>
      <c r="T132" s="2">
        <f>+Q132-M132</f>
        <v>9.7999999999999972</v>
      </c>
    </row>
    <row r="133" spans="1:20">
      <c r="A133" s="6">
        <v>722</v>
      </c>
      <c r="B133" t="s">
        <v>65</v>
      </c>
      <c r="C133" t="s">
        <v>9</v>
      </c>
      <c r="D133">
        <v>64</v>
      </c>
      <c r="E133">
        <v>18</v>
      </c>
      <c r="F133" s="1">
        <f>+D133/(D133+E133)</f>
        <v>0.78048780487804881</v>
      </c>
      <c r="G133" s="2">
        <v>121.9</v>
      </c>
      <c r="H133" s="2">
        <v>112.4</v>
      </c>
      <c r="I133" s="2">
        <f>+G133-H133</f>
        <v>9.5</v>
      </c>
      <c r="J133" s="1">
        <f>+(G133^14)/((G133^14+H133^14))</f>
        <v>0.75692964586236922</v>
      </c>
      <c r="K133" s="2">
        <v>121</v>
      </c>
      <c r="L133" s="2">
        <v>111.8</v>
      </c>
      <c r="M133" s="2">
        <f>+K133-L133</f>
        <v>9.2000000000000028</v>
      </c>
      <c r="N133" s="1">
        <f>+F133-J133</f>
        <v>2.3558159015679592E-2</v>
      </c>
      <c r="O133" s="2">
        <v>123.8</v>
      </c>
      <c r="P133" s="2">
        <v>104.9</v>
      </c>
      <c r="Q133" s="2">
        <f>+O133-P133</f>
        <v>18.899999999999991</v>
      </c>
      <c r="R133" s="2">
        <v>2.9</v>
      </c>
      <c r="S133" s="2">
        <v>11.6</v>
      </c>
      <c r="T133" s="2">
        <f>+Q133-M133</f>
        <v>9.6999999999999886</v>
      </c>
    </row>
    <row r="134" spans="1:20">
      <c r="A134" s="6">
        <v>315</v>
      </c>
      <c r="B134" t="s">
        <v>48</v>
      </c>
      <c r="C134" t="s">
        <v>37</v>
      </c>
      <c r="D134">
        <v>46</v>
      </c>
      <c r="E134">
        <v>36</v>
      </c>
      <c r="F134" s="1">
        <f>+D134/(D134+E134)</f>
        <v>0.56097560975609762</v>
      </c>
      <c r="G134" s="2">
        <v>94.9</v>
      </c>
      <c r="H134" s="2">
        <v>94</v>
      </c>
      <c r="I134" s="2">
        <f>+G134-H134</f>
        <v>0.90000000000000568</v>
      </c>
      <c r="J134" s="1">
        <f>+(G134^14)/((G134^14+H134^14))</f>
        <v>0.53330185727266632</v>
      </c>
      <c r="K134" s="2">
        <v>105.4</v>
      </c>
      <c r="L134" s="2">
        <v>104.4</v>
      </c>
      <c r="M134" s="2">
        <f>+K134-L134</f>
        <v>1</v>
      </c>
      <c r="N134" s="1">
        <f>+F134-J134</f>
        <v>2.7673752483431291E-2</v>
      </c>
      <c r="O134" s="2">
        <v>101</v>
      </c>
      <c r="P134" s="2">
        <v>90.4</v>
      </c>
      <c r="Q134" s="2">
        <f>+O134-P134</f>
        <v>10.599999999999994</v>
      </c>
      <c r="R134" s="2">
        <v>-0.4</v>
      </c>
      <c r="S134" s="2">
        <v>0.2</v>
      </c>
      <c r="T134" s="2">
        <f>+Q134-M134</f>
        <v>9.5999999999999943</v>
      </c>
    </row>
    <row r="135" spans="1:20">
      <c r="A135" s="6">
        <v>619</v>
      </c>
      <c r="B135" t="s">
        <v>61</v>
      </c>
      <c r="C135" t="s">
        <v>24</v>
      </c>
      <c r="D135">
        <v>49</v>
      </c>
      <c r="E135">
        <v>23</v>
      </c>
      <c r="F135" s="1">
        <f>+D135/(D135+E135)</f>
        <v>0.68055555555555558</v>
      </c>
      <c r="G135" s="2">
        <v>113.6</v>
      </c>
      <c r="H135" s="2">
        <v>108.1</v>
      </c>
      <c r="I135" s="2">
        <f>+G135-H135</f>
        <v>5.5</v>
      </c>
      <c r="J135" s="1">
        <f>+(G135^14)/((G135^14+H135^14))</f>
        <v>0.66702829346339876</v>
      </c>
      <c r="K135" s="2">
        <v>112.5</v>
      </c>
      <c r="L135" s="2">
        <v>107</v>
      </c>
      <c r="M135" s="2">
        <f>+K135-L135</f>
        <v>5.5</v>
      </c>
      <c r="N135" s="1">
        <f>+F135-J135</f>
        <v>1.3527262092156822E-2</v>
      </c>
      <c r="O135" s="2">
        <v>112.5</v>
      </c>
      <c r="P135" s="2">
        <v>97.4</v>
      </c>
      <c r="Q135" s="2">
        <f>+O135-P135</f>
        <v>15.099999999999994</v>
      </c>
      <c r="R135" s="2">
        <v>1.3</v>
      </c>
      <c r="S135" s="2">
        <v>6.8</v>
      </c>
      <c r="T135" s="2">
        <f>+Q135-M135</f>
        <v>9.5999999999999943</v>
      </c>
    </row>
    <row r="136" spans="1:20">
      <c r="A136" s="6">
        <v>639</v>
      </c>
      <c r="B136" t="s">
        <v>62</v>
      </c>
      <c r="C136" t="s">
        <v>56</v>
      </c>
      <c r="D136">
        <v>42</v>
      </c>
      <c r="E136">
        <v>40</v>
      </c>
      <c r="F136" s="1">
        <f>+D136/(D136+E136)</f>
        <v>0.51219512195121952</v>
      </c>
      <c r="G136" s="2">
        <v>108.4</v>
      </c>
      <c r="H136" s="2">
        <v>108.4</v>
      </c>
      <c r="I136" s="2">
        <f>+G136-H136</f>
        <v>0</v>
      </c>
      <c r="J136" s="1">
        <f>+(G136^14)/((G136^14+H136^14))</f>
        <v>0.5</v>
      </c>
      <c r="K136" s="2">
        <v>109.5</v>
      </c>
      <c r="L136" s="2">
        <v>109.5</v>
      </c>
      <c r="M136" s="2">
        <f>+K136-L136</f>
        <v>0</v>
      </c>
      <c r="N136" s="1">
        <f>+F136-J136</f>
        <v>1.2195121951219523E-2</v>
      </c>
      <c r="O136" s="2">
        <v>123.8</v>
      </c>
      <c r="P136" s="2">
        <v>114.3</v>
      </c>
      <c r="Q136" s="2">
        <f>+O136-P136</f>
        <v>9.5</v>
      </c>
      <c r="R136" s="2">
        <v>1.1000000000000001</v>
      </c>
      <c r="S136" s="2">
        <v>5.8</v>
      </c>
      <c r="T136" s="2">
        <f>+Q136-M136</f>
        <v>9.5</v>
      </c>
    </row>
    <row r="137" spans="1:20">
      <c r="A137" s="6">
        <v>664</v>
      </c>
      <c r="B137" t="s">
        <v>63</v>
      </c>
      <c r="C137" t="s">
        <v>11</v>
      </c>
      <c r="D137">
        <v>53</v>
      </c>
      <c r="E137">
        <v>29</v>
      </c>
      <c r="F137" s="1">
        <f>+D137/(D137+E137)</f>
        <v>0.64634146341463417</v>
      </c>
      <c r="G137" s="2">
        <v>115.8</v>
      </c>
      <c r="H137" s="2">
        <v>112.5</v>
      </c>
      <c r="I137" s="2">
        <f>+G137-H137</f>
        <v>3.2999999999999972</v>
      </c>
      <c r="J137" s="1">
        <f>+(G137^14)/((G137^14+H137^14))</f>
        <v>0.59983047622888896</v>
      </c>
      <c r="K137" s="2">
        <v>116.8</v>
      </c>
      <c r="L137" s="2">
        <v>113.5</v>
      </c>
      <c r="M137" s="2">
        <f>+K137-L137</f>
        <v>3.2999999999999972</v>
      </c>
      <c r="N137" s="1">
        <f>+F137-J137</f>
        <v>4.6510987185745201E-2</v>
      </c>
      <c r="O137" s="2">
        <v>109.2</v>
      </c>
      <c r="P137" s="2">
        <v>96.5</v>
      </c>
      <c r="Q137" s="2">
        <f>+O137-P137</f>
        <v>12.700000000000003</v>
      </c>
      <c r="R137" s="2">
        <v>-0.5</v>
      </c>
      <c r="S137" s="2">
        <v>-2.6</v>
      </c>
      <c r="T137" s="2">
        <f>+Q137-M137</f>
        <v>9.4000000000000057</v>
      </c>
    </row>
    <row r="138" spans="1:20">
      <c r="A138" s="6">
        <v>162</v>
      </c>
      <c r="B138" t="s">
        <v>41</v>
      </c>
      <c r="C138" t="s">
        <v>19</v>
      </c>
      <c r="D138">
        <v>40</v>
      </c>
      <c r="E138">
        <v>42</v>
      </c>
      <c r="F138" s="1">
        <f>+D138/(D138+E138)</f>
        <v>0.48780487804878048</v>
      </c>
      <c r="G138" s="2">
        <v>97.8</v>
      </c>
      <c r="H138" s="2">
        <v>98.8</v>
      </c>
      <c r="I138" s="2">
        <f>+G138-H138</f>
        <v>-1</v>
      </c>
      <c r="J138" s="1">
        <f>+(G138^14)/((G138^14+H138^14))</f>
        <v>0.46445446690558873</v>
      </c>
      <c r="K138" s="2">
        <v>104.9</v>
      </c>
      <c r="L138" s="2">
        <v>105.9</v>
      </c>
      <c r="M138" s="2">
        <f>+K138-L138</f>
        <v>-1</v>
      </c>
      <c r="N138" s="1">
        <f>+F138-J138</f>
        <v>2.3350411143191752E-2</v>
      </c>
      <c r="O138" s="2">
        <v>103.7</v>
      </c>
      <c r="P138" s="2">
        <v>95.3</v>
      </c>
      <c r="Q138" s="2">
        <f>+O138-P138</f>
        <v>8.4000000000000057</v>
      </c>
      <c r="R138" s="2">
        <v>-1.1000000000000001</v>
      </c>
      <c r="S138" s="2">
        <v>-5.7</v>
      </c>
      <c r="T138" s="2">
        <f>+Q138-M138</f>
        <v>9.4000000000000057</v>
      </c>
    </row>
    <row r="139" spans="1:20">
      <c r="A139" s="6">
        <v>229</v>
      </c>
      <c r="B139" t="s">
        <v>44</v>
      </c>
      <c r="C139" t="s">
        <v>25</v>
      </c>
      <c r="D139">
        <v>55</v>
      </c>
      <c r="E139">
        <v>27</v>
      </c>
      <c r="F139" s="1">
        <f>+D139/(D139+E139)</f>
        <v>0.67073170731707321</v>
      </c>
      <c r="G139" s="2">
        <v>110.1</v>
      </c>
      <c r="H139" s="2">
        <v>105</v>
      </c>
      <c r="I139" s="2">
        <f>+G139-H139</f>
        <v>5.0999999999999943</v>
      </c>
      <c r="J139" s="1">
        <f>+(G139^14)/((G139^14+H139^14))</f>
        <v>0.66015874335995706</v>
      </c>
      <c r="K139" s="2">
        <v>112</v>
      </c>
      <c r="L139" s="2">
        <v>107</v>
      </c>
      <c r="M139" s="2">
        <f>+K139-L139</f>
        <v>5</v>
      </c>
      <c r="N139" s="1">
        <f>+F139-J139</f>
        <v>1.0572963957116155E-2</v>
      </c>
      <c r="O139" s="2">
        <v>110.9</v>
      </c>
      <c r="P139" s="2">
        <v>96.8</v>
      </c>
      <c r="Q139" s="2">
        <f>+O139-P139</f>
        <v>14.100000000000009</v>
      </c>
      <c r="R139" s="2">
        <v>0.6</v>
      </c>
      <c r="S139" s="2">
        <v>4.4000000000000004</v>
      </c>
      <c r="T139" s="2">
        <f>+Q139-M139</f>
        <v>9.1000000000000085</v>
      </c>
    </row>
    <row r="140" spans="1:20">
      <c r="A140" s="6">
        <v>706</v>
      </c>
      <c r="B140" t="s">
        <v>64</v>
      </c>
      <c r="C140" t="s">
        <v>22</v>
      </c>
      <c r="D140">
        <v>50</v>
      </c>
      <c r="E140">
        <v>32</v>
      </c>
      <c r="F140" s="1">
        <f>+D140/(D140+E140)</f>
        <v>0.6097560975609756</v>
      </c>
      <c r="G140" s="2">
        <v>112.8</v>
      </c>
      <c r="H140" s="2">
        <v>108.2</v>
      </c>
      <c r="I140" s="2">
        <f>+G140-H140</f>
        <v>4.5999999999999943</v>
      </c>
      <c r="J140" s="1">
        <f>+(G140^14)/((G140^14+H140^14))</f>
        <v>0.64173203581076255</v>
      </c>
      <c r="K140" s="2">
        <v>117.3</v>
      </c>
      <c r="L140" s="2">
        <v>112.4</v>
      </c>
      <c r="M140" s="2">
        <f>+K140-L140</f>
        <v>4.8999999999999915</v>
      </c>
      <c r="N140" s="1">
        <f>+F140-J140</f>
        <v>-3.197593824978695E-2</v>
      </c>
      <c r="O140" s="2">
        <v>114.4</v>
      </c>
      <c r="P140" s="2">
        <v>100.4</v>
      </c>
      <c r="Q140" s="2">
        <f>+O140-P140</f>
        <v>14</v>
      </c>
      <c r="R140" s="2">
        <v>1</v>
      </c>
      <c r="S140" s="2">
        <v>4.0999999999999996</v>
      </c>
      <c r="T140" s="2">
        <f>+Q140-M140</f>
        <v>9.1000000000000085</v>
      </c>
    </row>
    <row r="141" spans="1:20">
      <c r="A141" s="6">
        <v>700</v>
      </c>
      <c r="B141" t="s">
        <v>64</v>
      </c>
      <c r="C141" t="s">
        <v>17</v>
      </c>
      <c r="D141">
        <v>46</v>
      </c>
      <c r="E141">
        <v>35</v>
      </c>
      <c r="F141" s="1">
        <f>+D141/(D141+E141)</f>
        <v>0.5679012345679012</v>
      </c>
      <c r="G141" s="2">
        <v>117.9</v>
      </c>
      <c r="H141" s="2">
        <v>117.8</v>
      </c>
      <c r="I141" s="2">
        <f>+G141-H141</f>
        <v>0.10000000000000853</v>
      </c>
      <c r="J141" s="1">
        <f>+(G141^14)/((G141^14+H141^14))</f>
        <v>0.50296984221450003</v>
      </c>
      <c r="K141" s="2">
        <v>115.2</v>
      </c>
      <c r="L141" s="2">
        <v>115.2</v>
      </c>
      <c r="M141" s="2">
        <f>+K141-L141</f>
        <v>0</v>
      </c>
      <c r="N141" s="1">
        <f>+F141-J141</f>
        <v>6.4931392353401174E-2</v>
      </c>
      <c r="O141" s="2">
        <v>117.6</v>
      </c>
      <c r="P141" s="2">
        <v>108.5</v>
      </c>
      <c r="Q141" s="2">
        <f>+O141-P141</f>
        <v>9.0999999999999943</v>
      </c>
      <c r="R141" s="2">
        <v>0.1</v>
      </c>
      <c r="S141" s="2">
        <v>1.9</v>
      </c>
      <c r="T141" s="2">
        <f>+Q141-M141</f>
        <v>9.0999999999999943</v>
      </c>
    </row>
    <row r="142" spans="1:20">
      <c r="A142" s="6">
        <v>776</v>
      </c>
      <c r="B142" t="s">
        <v>66</v>
      </c>
      <c r="C142" t="s">
        <v>33</v>
      </c>
      <c r="D142">
        <v>16</v>
      </c>
      <c r="E142">
        <v>46</v>
      </c>
      <c r="F142" s="1">
        <f>+D142/(D142+E142)</f>
        <v>0.25806451612903225</v>
      </c>
      <c r="G142" s="2">
        <v>112.2</v>
      </c>
      <c r="H142" s="2">
        <v>123</v>
      </c>
      <c r="I142" s="2">
        <f>+G142-H142</f>
        <v>-10.799999999999997</v>
      </c>
      <c r="J142" s="1">
        <f>+(G142^14)/((G142^14+H142^14))</f>
        <v>0.21642561770690236</v>
      </c>
      <c r="K142" s="2">
        <v>109.5</v>
      </c>
      <c r="L142" s="2">
        <v>120.3</v>
      </c>
      <c r="M142" s="2">
        <f>+K142-L142</f>
        <v>-10.799999999999997</v>
      </c>
      <c r="N142" s="1">
        <f>+F142-J142</f>
        <v>4.1638898422129894E-2</v>
      </c>
      <c r="O142" s="2">
        <v>112.8</v>
      </c>
      <c r="P142" s="2">
        <v>114.5</v>
      </c>
      <c r="Q142" s="2">
        <f>+O142-P142</f>
        <v>-1.7000000000000028</v>
      </c>
      <c r="R142" s="2">
        <v>-2.9</v>
      </c>
      <c r="S142" s="2">
        <v>-10.7</v>
      </c>
      <c r="T142" s="2">
        <f>+Q142-M142</f>
        <v>9.0999999999999943</v>
      </c>
    </row>
    <row r="143" spans="1:20">
      <c r="A143" s="6">
        <v>616</v>
      </c>
      <c r="B143" t="s">
        <v>61</v>
      </c>
      <c r="C143" t="s">
        <v>22</v>
      </c>
      <c r="D143">
        <v>41</v>
      </c>
      <c r="E143">
        <v>31</v>
      </c>
      <c r="F143" s="1">
        <f>+D143/(D143+E143)</f>
        <v>0.56944444444444442</v>
      </c>
      <c r="G143" s="2">
        <v>107</v>
      </c>
      <c r="H143" s="2">
        <v>104.7</v>
      </c>
      <c r="I143" s="2">
        <f>+G143-H143</f>
        <v>2.2999999999999972</v>
      </c>
      <c r="J143" s="1">
        <f>+(G143^14)/((G143^14+H143^14))</f>
        <v>0.57547283603033039</v>
      </c>
      <c r="K143" s="2">
        <v>110.2</v>
      </c>
      <c r="L143" s="2">
        <v>107.8</v>
      </c>
      <c r="M143" s="2">
        <f>+K143-L143</f>
        <v>2.4000000000000057</v>
      </c>
      <c r="N143" s="1">
        <f>+F143-J143</f>
        <v>-6.0283915858859727E-3</v>
      </c>
      <c r="O143" s="2">
        <v>106.3</v>
      </c>
      <c r="P143" s="2">
        <v>94.8</v>
      </c>
      <c r="Q143" s="2">
        <f>+O143-P143</f>
        <v>11.5</v>
      </c>
      <c r="R143" s="2">
        <v>-0.4</v>
      </c>
      <c r="S143" s="2">
        <v>-1.2</v>
      </c>
      <c r="T143" s="2">
        <f>+Q143-M143</f>
        <v>9.0999999999999943</v>
      </c>
    </row>
    <row r="144" spans="1:20">
      <c r="A144" s="6">
        <v>690</v>
      </c>
      <c r="B144" t="s">
        <v>64</v>
      </c>
      <c r="C144" t="s">
        <v>7</v>
      </c>
      <c r="D144">
        <v>21</v>
      </c>
      <c r="E144">
        <v>61</v>
      </c>
      <c r="F144" s="1">
        <f>+D144/(D144+E144)</f>
        <v>0.25609756097560976</v>
      </c>
      <c r="G144" s="2">
        <v>106.6</v>
      </c>
      <c r="H144" s="2">
        <v>116.8</v>
      </c>
      <c r="I144" s="2">
        <f>+G144-H144</f>
        <v>-10.200000000000003</v>
      </c>
      <c r="J144" s="1">
        <f>+(G144^14)/((G144^14+H144^14))</f>
        <v>0.21766704901451664</v>
      </c>
      <c r="K144" s="2">
        <v>108.6</v>
      </c>
      <c r="L144" s="2">
        <v>119.2</v>
      </c>
      <c r="M144" s="2">
        <f>+K144-L144</f>
        <v>-10.600000000000009</v>
      </c>
      <c r="N144" s="1">
        <f>+F144-J144</f>
        <v>3.8430511961093122E-2</v>
      </c>
      <c r="O144" s="2">
        <v>112</v>
      </c>
      <c r="P144" s="2">
        <v>113.6</v>
      </c>
      <c r="Q144" s="2">
        <f>+O144-P144</f>
        <v>-1.5999999999999943</v>
      </c>
      <c r="R144" s="2">
        <v>-0.3</v>
      </c>
      <c r="S144" s="2">
        <v>-2.7</v>
      </c>
      <c r="T144" s="2">
        <f>+Q144-M144</f>
        <v>9.0000000000000142</v>
      </c>
    </row>
    <row r="145" spans="1:20">
      <c r="A145" s="6">
        <v>125</v>
      </c>
      <c r="B145" t="s">
        <v>39</v>
      </c>
      <c r="C145" t="s">
        <v>13</v>
      </c>
      <c r="D145">
        <v>34</v>
      </c>
      <c r="E145">
        <v>48</v>
      </c>
      <c r="F145" s="1">
        <f>+D145/(D145+E145)</f>
        <v>0.41463414634146339</v>
      </c>
      <c r="G145" s="2">
        <v>98.7</v>
      </c>
      <c r="H145" s="2">
        <v>100.9</v>
      </c>
      <c r="I145" s="2">
        <f>+G145-H145</f>
        <v>-2.2000000000000028</v>
      </c>
      <c r="J145" s="1">
        <f>+(G145^14)/((G145^14+H145^14))</f>
        <v>0.42344924071660006</v>
      </c>
      <c r="K145" s="2">
        <v>103.4</v>
      </c>
      <c r="L145" s="2">
        <v>105.5</v>
      </c>
      <c r="M145" s="2">
        <f>+K145-L145</f>
        <v>-2.0999999999999943</v>
      </c>
      <c r="N145" s="1">
        <f>+F145-J145</f>
        <v>-8.8150943751366673E-3</v>
      </c>
      <c r="O145" s="2">
        <v>99.8</v>
      </c>
      <c r="P145" s="2">
        <v>92.9</v>
      </c>
      <c r="Q145" s="2">
        <f>+O145-P145</f>
        <v>6.8999999999999915</v>
      </c>
      <c r="R145" s="2">
        <v>-0.8</v>
      </c>
      <c r="S145" s="2">
        <v>-5</v>
      </c>
      <c r="T145" s="2">
        <f>+Q145-M145</f>
        <v>8.9999999999999858</v>
      </c>
    </row>
    <row r="146" spans="1:20">
      <c r="A146" s="6">
        <v>426</v>
      </c>
      <c r="B146" t="s">
        <v>54</v>
      </c>
      <c r="C146" t="s">
        <v>13</v>
      </c>
      <c r="D146">
        <v>67</v>
      </c>
      <c r="E146">
        <v>15</v>
      </c>
      <c r="F146" s="1">
        <f>+D146/(D146+E146)</f>
        <v>0.81707317073170727</v>
      </c>
      <c r="G146" s="2">
        <v>110</v>
      </c>
      <c r="H146" s="2">
        <v>99.9</v>
      </c>
      <c r="I146" s="2">
        <f>+G146-H146</f>
        <v>10.099999999999994</v>
      </c>
      <c r="J146" s="1">
        <f>+(G146^14)/((G146^14+H146^14))</f>
        <v>0.79385966423964438</v>
      </c>
      <c r="K146" s="2">
        <v>110.4</v>
      </c>
      <c r="L146" s="2">
        <v>100.4</v>
      </c>
      <c r="M146" s="2">
        <f>+K146-L146</f>
        <v>10</v>
      </c>
      <c r="N146" s="1">
        <f>+F146-J146</f>
        <v>2.3213506492062885E-2</v>
      </c>
      <c r="O146" s="2">
        <v>111</v>
      </c>
      <c r="P146" s="2">
        <v>92.1</v>
      </c>
      <c r="Q146" s="2">
        <f>+O146-P146</f>
        <v>18.900000000000006</v>
      </c>
      <c r="R146" s="2">
        <v>0.4</v>
      </c>
      <c r="S146" s="2">
        <v>3.9</v>
      </c>
      <c r="T146" s="2">
        <f>+Q146-M146</f>
        <v>8.9000000000000057</v>
      </c>
    </row>
    <row r="147" spans="1:20">
      <c r="A147" s="6">
        <v>481</v>
      </c>
      <c r="B147" t="s">
        <v>57</v>
      </c>
      <c r="C147" t="s">
        <v>8</v>
      </c>
      <c r="D147">
        <v>41</v>
      </c>
      <c r="E147">
        <v>41</v>
      </c>
      <c r="F147" s="1">
        <f>+D147/(D147+E147)</f>
        <v>0.5</v>
      </c>
      <c r="G147" s="2">
        <v>102.9</v>
      </c>
      <c r="H147" s="2">
        <v>102.4</v>
      </c>
      <c r="I147" s="2">
        <f>+G147-H147</f>
        <v>0.5</v>
      </c>
      <c r="J147" s="1">
        <f>+(G147^14)/((G147^14+H147^14))</f>
        <v>0.51704165228301435</v>
      </c>
      <c r="K147" s="2">
        <v>106.5</v>
      </c>
      <c r="L147" s="2">
        <v>106.2</v>
      </c>
      <c r="M147" s="2">
        <f>+K147-L147</f>
        <v>0.29999999999999716</v>
      </c>
      <c r="N147" s="1">
        <f>+F147-J147</f>
        <v>-1.7041652283014352E-2</v>
      </c>
      <c r="O147" s="2">
        <v>107.3</v>
      </c>
      <c r="P147" s="2">
        <v>98.1</v>
      </c>
      <c r="Q147" s="2">
        <f>+O147-P147</f>
        <v>9.2000000000000028</v>
      </c>
      <c r="R147" s="2">
        <v>-0.5</v>
      </c>
      <c r="S147" s="2">
        <v>-2.2999999999999998</v>
      </c>
      <c r="T147" s="2">
        <f>+Q147-M147</f>
        <v>8.9000000000000057</v>
      </c>
    </row>
    <row r="148" spans="1:20">
      <c r="A148" s="6">
        <v>583</v>
      </c>
      <c r="B148" t="s">
        <v>60</v>
      </c>
      <c r="C148" t="s">
        <v>19</v>
      </c>
      <c r="D148">
        <v>56</v>
      </c>
      <c r="E148">
        <v>17</v>
      </c>
      <c r="F148" s="1">
        <f>+D148/(D148+E148)</f>
        <v>0.76712328767123283</v>
      </c>
      <c r="G148" s="2">
        <v>118.7</v>
      </c>
      <c r="H148" s="2">
        <v>108.6</v>
      </c>
      <c r="I148" s="2">
        <f>+G148-H148</f>
        <v>10.100000000000009</v>
      </c>
      <c r="J148" s="1">
        <f>+(G148^14)/((G148^14+H148^14))</f>
        <v>0.77643149133297851</v>
      </c>
      <c r="K148" s="2">
        <v>111.9</v>
      </c>
      <c r="L148" s="2">
        <v>102.5</v>
      </c>
      <c r="M148" s="2">
        <f>+K148-L148</f>
        <v>9.4000000000000057</v>
      </c>
      <c r="N148" s="1">
        <f>+F148-J148</f>
        <v>-9.3082036617456732E-3</v>
      </c>
      <c r="O148" s="2">
        <v>110.1</v>
      </c>
      <c r="P148" s="2">
        <v>91.9</v>
      </c>
      <c r="Q148" s="2">
        <f>+O148-P148</f>
        <v>18.199999999999989</v>
      </c>
      <c r="R148" s="2">
        <v>2.5</v>
      </c>
      <c r="S148" s="2">
        <v>9.4</v>
      </c>
      <c r="T148" s="2">
        <f>+Q148-M148</f>
        <v>8.7999999999999829</v>
      </c>
    </row>
    <row r="149" spans="1:20">
      <c r="A149" s="6">
        <v>59</v>
      </c>
      <c r="B149" t="s">
        <v>36</v>
      </c>
      <c r="C149" t="s">
        <v>5</v>
      </c>
      <c r="D149">
        <v>35</v>
      </c>
      <c r="E149">
        <v>47</v>
      </c>
      <c r="F149" s="1">
        <f>+D149/(D149+E149)</f>
        <v>0.42682926829268292</v>
      </c>
      <c r="G149" s="2">
        <v>94.1</v>
      </c>
      <c r="H149" s="2">
        <v>97.6</v>
      </c>
      <c r="I149" s="2">
        <f>+G149-H149</f>
        <v>-3.5</v>
      </c>
      <c r="J149" s="1">
        <f>+(G149^14)/((G149^14+H149^14))</f>
        <v>0.37489532651227531</v>
      </c>
      <c r="K149" s="2">
        <v>100.4</v>
      </c>
      <c r="L149" s="2">
        <v>104.2</v>
      </c>
      <c r="M149" s="2">
        <f>+K149-L149</f>
        <v>-3.7999999999999972</v>
      </c>
      <c r="N149" s="1">
        <f>+F149-J149</f>
        <v>5.1933941780407611E-2</v>
      </c>
      <c r="O149" s="2">
        <v>102</v>
      </c>
      <c r="P149" s="2">
        <v>97.1</v>
      </c>
      <c r="Q149" s="2">
        <f>+O149-P149</f>
        <v>4.9000000000000057</v>
      </c>
      <c r="R149" s="2">
        <v>-2</v>
      </c>
      <c r="S149" s="2">
        <v>-9.6</v>
      </c>
      <c r="T149" s="2">
        <f>+Q149-M149</f>
        <v>8.7000000000000028</v>
      </c>
    </row>
    <row r="150" spans="1:20">
      <c r="A150" s="6">
        <v>164</v>
      </c>
      <c r="B150" t="s">
        <v>41</v>
      </c>
      <c r="C150" t="s">
        <v>21</v>
      </c>
      <c r="D150">
        <v>49</v>
      </c>
      <c r="E150">
        <v>33</v>
      </c>
      <c r="F150" s="1">
        <f>+D150/(D150+E150)</f>
        <v>0.59756097560975607</v>
      </c>
      <c r="G150" s="2">
        <v>93.8</v>
      </c>
      <c r="H150" s="2">
        <v>92.4</v>
      </c>
      <c r="I150" s="2">
        <f>+G150-H150</f>
        <v>1.3999999999999915</v>
      </c>
      <c r="J150" s="1">
        <f>+(G150^14)/((G150^14+H150^14))</f>
        <v>0.55243902579341386</v>
      </c>
      <c r="K150" s="2">
        <v>102.4</v>
      </c>
      <c r="L150" s="2">
        <v>100.9</v>
      </c>
      <c r="M150" s="2">
        <f>+K150-L150</f>
        <v>1.5</v>
      </c>
      <c r="N150" s="1">
        <f>+F150-J150</f>
        <v>4.5121949816342211E-2</v>
      </c>
      <c r="O150" s="2">
        <v>109.2</v>
      </c>
      <c r="P150" s="2">
        <v>99</v>
      </c>
      <c r="Q150" s="2">
        <f>+O150-P150</f>
        <v>10.200000000000003</v>
      </c>
      <c r="R150" s="2">
        <v>-0.7</v>
      </c>
      <c r="S150" s="2">
        <v>-3.1</v>
      </c>
      <c r="T150" s="2">
        <f>+Q150-M150</f>
        <v>8.7000000000000028</v>
      </c>
    </row>
    <row r="151" spans="1:20">
      <c r="A151" s="6">
        <v>5</v>
      </c>
      <c r="B151" t="s">
        <v>4</v>
      </c>
      <c r="C151" t="s">
        <v>9</v>
      </c>
      <c r="D151">
        <v>30</v>
      </c>
      <c r="E151">
        <v>52</v>
      </c>
      <c r="F151" s="1">
        <f>+D151/(D151+E151)</f>
        <v>0.36585365853658536</v>
      </c>
      <c r="G151" s="2">
        <v>92.2</v>
      </c>
      <c r="H151" s="2">
        <v>96.5</v>
      </c>
      <c r="I151" s="2">
        <f>+G151-H151</f>
        <v>-4.2999999999999972</v>
      </c>
      <c r="J151" s="1">
        <f>+(G151^14)/((G151^14+H151^14))</f>
        <v>0.34566252690458571</v>
      </c>
      <c r="K151" s="2">
        <v>99.3</v>
      </c>
      <c r="L151" s="2">
        <v>103.5</v>
      </c>
      <c r="M151" s="2">
        <f>+K151-L151</f>
        <v>-4.2000000000000028</v>
      </c>
      <c r="N151" s="1">
        <f>+F151-J151</f>
        <v>2.0191131631999648E-2</v>
      </c>
      <c r="O151" s="2">
        <v>91.3</v>
      </c>
      <c r="P151" s="2">
        <v>86.8</v>
      </c>
      <c r="Q151" s="2">
        <f>+O151-P151</f>
        <v>4.5</v>
      </c>
      <c r="R151" s="2">
        <v>1</v>
      </c>
      <c r="S151" s="2">
        <v>2.9</v>
      </c>
      <c r="T151" s="2">
        <f>+Q151-M151</f>
        <v>8.7000000000000028</v>
      </c>
    </row>
    <row r="152" spans="1:20">
      <c r="A152" s="6">
        <v>550</v>
      </c>
      <c r="B152" t="s">
        <v>59</v>
      </c>
      <c r="C152" t="s">
        <v>17</v>
      </c>
      <c r="D152">
        <v>37</v>
      </c>
      <c r="E152">
        <v>45</v>
      </c>
      <c r="F152" s="1">
        <f>+D152/(D152+E152)</f>
        <v>0.45121951219512196</v>
      </c>
      <c r="G152" s="2">
        <v>111.8</v>
      </c>
      <c r="H152" s="2">
        <v>113.5</v>
      </c>
      <c r="I152" s="2">
        <f>+G152-H152</f>
        <v>-1.7000000000000028</v>
      </c>
      <c r="J152" s="1">
        <f>+(G152^14)/((G152^14+H152^14))</f>
        <v>0.44737614127951658</v>
      </c>
      <c r="K152" s="2">
        <v>107.4</v>
      </c>
      <c r="L152" s="2">
        <v>108.9</v>
      </c>
      <c r="M152" s="2">
        <f>+K152-L152</f>
        <v>-1.5</v>
      </c>
      <c r="N152" s="1">
        <f>+F152-J152</f>
        <v>3.8433709156053819E-3</v>
      </c>
      <c r="O152" s="2">
        <v>114.7</v>
      </c>
      <c r="P152" s="2">
        <v>107.5</v>
      </c>
      <c r="Q152" s="2">
        <f>+O152-P152</f>
        <v>7.2000000000000028</v>
      </c>
      <c r="R152" s="2">
        <v>-0.8</v>
      </c>
      <c r="S152" s="2">
        <v>-4.5999999999999996</v>
      </c>
      <c r="T152" s="2">
        <f>+Q152-M152</f>
        <v>8.7000000000000028</v>
      </c>
    </row>
    <row r="153" spans="1:20">
      <c r="A153" s="6">
        <v>629</v>
      </c>
      <c r="B153" t="s">
        <v>62</v>
      </c>
      <c r="C153" t="s">
        <v>51</v>
      </c>
      <c r="D153">
        <v>44</v>
      </c>
      <c r="E153">
        <v>38</v>
      </c>
      <c r="F153" s="1">
        <f>+D153/(D153+E153)</f>
        <v>0.53658536585365857</v>
      </c>
      <c r="G153" s="2">
        <v>112.9</v>
      </c>
      <c r="H153" s="2">
        <v>112.1</v>
      </c>
      <c r="I153" s="2">
        <f>+G153-H153</f>
        <v>0.80000000000001137</v>
      </c>
      <c r="J153" s="1">
        <f>+(G153^14)/((G153^14+H153^14))</f>
        <v>0.52486845707756435</v>
      </c>
      <c r="K153" s="2">
        <v>113.2</v>
      </c>
      <c r="L153" s="2">
        <v>112.3</v>
      </c>
      <c r="M153" s="2">
        <f>+K153-L153</f>
        <v>0.90000000000000568</v>
      </c>
      <c r="N153" s="1">
        <f>+F153-J153</f>
        <v>1.1716908776094215E-2</v>
      </c>
      <c r="O153" s="2">
        <v>112.6</v>
      </c>
      <c r="P153" s="2">
        <v>103</v>
      </c>
      <c r="Q153" s="2">
        <f>+O153-P153</f>
        <v>9.5999999999999943</v>
      </c>
      <c r="R153" s="2">
        <v>-0.1</v>
      </c>
      <c r="S153" s="2">
        <v>0.3</v>
      </c>
      <c r="T153" s="2">
        <f>+Q153-M153</f>
        <v>8.6999999999999886</v>
      </c>
    </row>
    <row r="154" spans="1:20">
      <c r="A154" s="6">
        <v>52</v>
      </c>
      <c r="B154" t="s">
        <v>34</v>
      </c>
      <c r="C154" t="s">
        <v>26</v>
      </c>
      <c r="D154">
        <v>49</v>
      </c>
      <c r="E154">
        <v>33</v>
      </c>
      <c r="F154" s="1">
        <f>+D154/(D154+E154)</f>
        <v>0.59756097560975607</v>
      </c>
      <c r="G154" s="2">
        <v>96.6</v>
      </c>
      <c r="H154" s="2">
        <v>93.7</v>
      </c>
      <c r="I154" s="2">
        <f>+G154-H154</f>
        <v>2.8999999999999915</v>
      </c>
      <c r="J154" s="1">
        <f>+(G154^14)/((G154^14+H154^14))</f>
        <v>0.60509200990048839</v>
      </c>
      <c r="K154" s="2">
        <v>105.9</v>
      </c>
      <c r="L154" s="2">
        <v>102.6</v>
      </c>
      <c r="M154" s="2">
        <f>+K154-L154</f>
        <v>3.3000000000000114</v>
      </c>
      <c r="N154" s="1">
        <f>+F154-J154</f>
        <v>-7.5310342907323191E-3</v>
      </c>
      <c r="O154" s="2">
        <v>111.7</v>
      </c>
      <c r="P154" s="2">
        <v>99.7</v>
      </c>
      <c r="Q154" s="2">
        <f>+O154-P154</f>
        <v>12</v>
      </c>
      <c r="R154" s="2">
        <v>-0.2</v>
      </c>
      <c r="S154" s="2">
        <v>0.3</v>
      </c>
      <c r="T154" s="2">
        <f>+Q154-M154</f>
        <v>8.6999999999999886</v>
      </c>
    </row>
    <row r="155" spans="1:20">
      <c r="A155" s="6">
        <v>123</v>
      </c>
      <c r="B155" t="s">
        <v>39</v>
      </c>
      <c r="C155" t="s">
        <v>11</v>
      </c>
      <c r="D155">
        <v>49</v>
      </c>
      <c r="E155">
        <v>33</v>
      </c>
      <c r="F155" s="1">
        <f>+D155/(D155+E155)</f>
        <v>0.59756097560975607</v>
      </c>
      <c r="G155" s="2">
        <v>99.5</v>
      </c>
      <c r="H155" s="2">
        <v>97.5</v>
      </c>
      <c r="I155" s="2">
        <f>+G155-H155</f>
        <v>2</v>
      </c>
      <c r="J155" s="1">
        <f>+(G155^14)/((G155^14+H155^14))</f>
        <v>0.57059367194887745</v>
      </c>
      <c r="K155" s="2">
        <v>104.7</v>
      </c>
      <c r="L155" s="2">
        <v>102.6</v>
      </c>
      <c r="M155" s="2">
        <f>+K155-L155</f>
        <v>2.1000000000000085</v>
      </c>
      <c r="N155" s="1">
        <f>+F155-J155</f>
        <v>2.6967303660878628E-2</v>
      </c>
      <c r="O155" s="2">
        <v>107.4</v>
      </c>
      <c r="P155" s="2">
        <v>96.7</v>
      </c>
      <c r="Q155" s="2">
        <f>+O155-P155</f>
        <v>10.700000000000003</v>
      </c>
      <c r="R155" s="2">
        <v>1.1000000000000001</v>
      </c>
      <c r="S155" s="2">
        <v>5.7</v>
      </c>
      <c r="T155" s="2">
        <f>+Q155-M155</f>
        <v>8.5999999999999943</v>
      </c>
    </row>
    <row r="156" spans="1:20">
      <c r="A156" s="6">
        <v>411</v>
      </c>
      <c r="B156" t="s">
        <v>52</v>
      </c>
      <c r="C156" t="s">
        <v>26</v>
      </c>
      <c r="D156">
        <v>54</v>
      </c>
      <c r="E156">
        <v>28</v>
      </c>
      <c r="F156" s="1">
        <f>+D156/(D156+E156)</f>
        <v>0.65853658536585369</v>
      </c>
      <c r="G156" s="2">
        <v>106.7</v>
      </c>
      <c r="H156" s="2">
        <v>102.8</v>
      </c>
      <c r="I156" s="2">
        <f>+G156-H156</f>
        <v>3.9000000000000057</v>
      </c>
      <c r="J156" s="1">
        <f>+(G156^14)/((G156^14+H156^14))</f>
        <v>0.62745199732003099</v>
      </c>
      <c r="K156" s="2">
        <v>110.4</v>
      </c>
      <c r="L156" s="2">
        <v>106.2</v>
      </c>
      <c r="M156" s="2">
        <f>+K156-L156</f>
        <v>4.2000000000000028</v>
      </c>
      <c r="N156" s="1">
        <f>+F156-J156</f>
        <v>3.1084588045822703E-2</v>
      </c>
      <c r="O156" s="2">
        <v>113.7</v>
      </c>
      <c r="P156" s="2">
        <v>101</v>
      </c>
      <c r="Q156" s="2">
        <f>+O156-P156</f>
        <v>12.700000000000003</v>
      </c>
      <c r="R156" s="2">
        <v>0.6</v>
      </c>
      <c r="S156" s="2">
        <v>4.7</v>
      </c>
      <c r="T156" s="2">
        <f>+Q156-M156</f>
        <v>8.5</v>
      </c>
    </row>
    <row r="157" spans="1:20">
      <c r="A157" s="6">
        <v>233</v>
      </c>
      <c r="B157" t="s">
        <v>44</v>
      </c>
      <c r="C157" t="s">
        <v>29</v>
      </c>
      <c r="D157">
        <v>20</v>
      </c>
      <c r="E157">
        <v>62</v>
      </c>
      <c r="F157" s="1">
        <f>+D157/(D157+E157)</f>
        <v>0.24390243902439024</v>
      </c>
      <c r="G157" s="2">
        <v>97.5</v>
      </c>
      <c r="H157" s="2">
        <v>106.3</v>
      </c>
      <c r="I157" s="2">
        <f>+G157-H157</f>
        <v>-8.7999999999999972</v>
      </c>
      <c r="J157" s="1">
        <f>+(G157^14)/((G157^14+H157^14))</f>
        <v>0.22973985536315381</v>
      </c>
      <c r="K157" s="2">
        <v>99.6</v>
      </c>
      <c r="L157" s="2">
        <v>108.3</v>
      </c>
      <c r="M157" s="2">
        <f>+K157-L157</f>
        <v>-8.7000000000000028</v>
      </c>
      <c r="N157" s="1">
        <f>+F157-J157</f>
        <v>1.4162583661236433E-2</v>
      </c>
      <c r="O157" s="2">
        <v>105.6</v>
      </c>
      <c r="P157" s="2">
        <v>105.8</v>
      </c>
      <c r="Q157" s="2">
        <f>+O157-P157</f>
        <v>-0.20000000000000284</v>
      </c>
      <c r="R157" s="2">
        <v>-2.6</v>
      </c>
      <c r="S157" s="2">
        <v>-12.8</v>
      </c>
      <c r="T157" s="2">
        <f>+Q157-M157</f>
        <v>8.5</v>
      </c>
    </row>
    <row r="158" spans="1:20">
      <c r="A158" s="6">
        <v>21</v>
      </c>
      <c r="B158" t="s">
        <v>4</v>
      </c>
      <c r="C158" t="s">
        <v>25</v>
      </c>
      <c r="D158">
        <v>51</v>
      </c>
      <c r="E158">
        <v>31</v>
      </c>
      <c r="F158" s="1">
        <f>+D158/(D158+E158)</f>
        <v>0.62195121951219512</v>
      </c>
      <c r="G158" s="2">
        <v>94</v>
      </c>
      <c r="H158" s="2">
        <v>91.8</v>
      </c>
      <c r="I158" s="2">
        <f>+G158-H158</f>
        <v>2.2000000000000028</v>
      </c>
      <c r="J158" s="1">
        <f>+(G158^14)/((G158^14+H158^14))</f>
        <v>0.58213763182578848</v>
      </c>
      <c r="K158" s="2">
        <v>98.9</v>
      </c>
      <c r="L158" s="2">
        <v>96.7</v>
      </c>
      <c r="M158" s="2">
        <f>+K158-L158</f>
        <v>2.2000000000000028</v>
      </c>
      <c r="N158" s="1">
        <f>+F158-J158</f>
        <v>3.9813587686406637E-2</v>
      </c>
      <c r="O158" s="2">
        <v>97.7</v>
      </c>
      <c r="P158" s="2">
        <v>87.1</v>
      </c>
      <c r="Q158" s="2">
        <f>+O158-P158</f>
        <v>10.600000000000009</v>
      </c>
      <c r="R158" s="2">
        <v>1.7</v>
      </c>
      <c r="S158" s="2">
        <v>8.1999999999999993</v>
      </c>
      <c r="T158" s="2">
        <f>+Q158-M158</f>
        <v>8.4000000000000057</v>
      </c>
    </row>
    <row r="159" spans="1:20">
      <c r="A159" s="6">
        <v>70</v>
      </c>
      <c r="B159" t="s">
        <v>36</v>
      </c>
      <c r="C159" t="s">
        <v>17</v>
      </c>
      <c r="D159">
        <v>50</v>
      </c>
      <c r="E159">
        <v>32</v>
      </c>
      <c r="F159" s="1">
        <f>+D159/(D159+E159)</f>
        <v>0.6097560975609756</v>
      </c>
      <c r="G159" s="2">
        <v>100.4</v>
      </c>
      <c r="H159" s="2">
        <v>98</v>
      </c>
      <c r="I159" s="2">
        <f>+G159-H159</f>
        <v>2.4000000000000057</v>
      </c>
      <c r="J159" s="1">
        <f>+(G159^14)/((G159^14+H159^14))</f>
        <v>0.58388106859457733</v>
      </c>
      <c r="K159" s="2">
        <v>105.6</v>
      </c>
      <c r="L159" s="2">
        <v>103.4</v>
      </c>
      <c r="M159" s="2">
        <f>+K159-L159</f>
        <v>2.1999999999999886</v>
      </c>
      <c r="N159" s="1">
        <f>+F159-J159</f>
        <v>2.5875028966398261E-2</v>
      </c>
      <c r="O159" s="2">
        <v>111.5</v>
      </c>
      <c r="P159" s="2">
        <v>100.9</v>
      </c>
      <c r="Q159" s="2">
        <f>+O159-P159</f>
        <v>10.599999999999994</v>
      </c>
      <c r="R159" s="2">
        <v>0.5</v>
      </c>
      <c r="S159" s="2">
        <v>1.5</v>
      </c>
      <c r="T159" s="2">
        <f>+Q159-M159</f>
        <v>8.4000000000000057</v>
      </c>
    </row>
    <row r="160" spans="1:20">
      <c r="A160" s="6">
        <v>685</v>
      </c>
      <c r="B160" t="s">
        <v>63</v>
      </c>
      <c r="C160" t="s">
        <v>31</v>
      </c>
      <c r="D160">
        <v>37</v>
      </c>
      <c r="E160">
        <v>45</v>
      </c>
      <c r="F160" s="1">
        <f>+D160/(D160+E160)</f>
        <v>0.45121951219512196</v>
      </c>
      <c r="G160" s="2">
        <v>117.1</v>
      </c>
      <c r="H160" s="2">
        <v>118</v>
      </c>
      <c r="I160" s="2">
        <f>+G160-H160</f>
        <v>-0.90000000000000568</v>
      </c>
      <c r="J160" s="1">
        <f>+(G160^14)/((G160^14+H160^14))</f>
        <v>0.47322838921503652</v>
      </c>
      <c r="K160" s="2">
        <v>115.3</v>
      </c>
      <c r="L160" s="2">
        <v>116</v>
      </c>
      <c r="M160" s="2">
        <f>+K160-L160</f>
        <v>-0.70000000000000284</v>
      </c>
      <c r="N160" s="1">
        <f>+F160-J160</f>
        <v>-2.2008877019914552E-2</v>
      </c>
      <c r="O160" s="2">
        <v>117.2</v>
      </c>
      <c r="P160" s="2">
        <v>109.5</v>
      </c>
      <c r="Q160" s="2">
        <f>+O160-P160</f>
        <v>7.7000000000000028</v>
      </c>
      <c r="R160" s="2">
        <v>-0.1</v>
      </c>
      <c r="S160" s="2">
        <v>-0.9</v>
      </c>
      <c r="T160" s="2">
        <f>+Q160-M160</f>
        <v>8.4000000000000057</v>
      </c>
    </row>
    <row r="161" spans="1:20">
      <c r="A161" s="6">
        <v>654</v>
      </c>
      <c r="B161" t="s">
        <v>62</v>
      </c>
      <c r="C161" t="s">
        <v>30</v>
      </c>
      <c r="D161">
        <v>48</v>
      </c>
      <c r="E161">
        <v>34</v>
      </c>
      <c r="F161" s="1">
        <f>+D161/(D161+E161)</f>
        <v>0.58536585365853655</v>
      </c>
      <c r="G161" s="2">
        <v>109.4</v>
      </c>
      <c r="H161" s="2">
        <v>107.1</v>
      </c>
      <c r="I161" s="2">
        <f>+G161-H161</f>
        <v>2.3000000000000114</v>
      </c>
      <c r="J161" s="1">
        <f>+(G161^14)/((G161^14+H161^14))</f>
        <v>0.57382411075027417</v>
      </c>
      <c r="K161" s="2">
        <v>112.1</v>
      </c>
      <c r="L161" s="2">
        <v>109.9</v>
      </c>
      <c r="M161" s="2">
        <f>+K161-L161</f>
        <v>2.1999999999999886</v>
      </c>
      <c r="N161" s="1">
        <f>+F161-J161</f>
        <v>1.1541742908262376E-2</v>
      </c>
      <c r="O161" s="2">
        <v>112.5</v>
      </c>
      <c r="P161" s="2">
        <v>102</v>
      </c>
      <c r="Q161" s="2">
        <f>+O161-P161</f>
        <v>10.5</v>
      </c>
      <c r="R161" s="2">
        <v>1</v>
      </c>
      <c r="S161" s="2">
        <v>4.5999999999999996</v>
      </c>
      <c r="T161" s="2">
        <f>+Q161-M161</f>
        <v>8.3000000000000114</v>
      </c>
    </row>
    <row r="162" spans="1:20">
      <c r="A162" s="6">
        <v>120</v>
      </c>
      <c r="B162" t="s">
        <v>39</v>
      </c>
      <c r="C162" t="s">
        <v>8</v>
      </c>
      <c r="D162">
        <v>47</v>
      </c>
      <c r="E162">
        <v>35</v>
      </c>
      <c r="F162" s="1">
        <f>+D162/(D162+E162)</f>
        <v>0.57317073170731703</v>
      </c>
      <c r="G162" s="2">
        <v>94.5</v>
      </c>
      <c r="H162" s="2">
        <v>93.4</v>
      </c>
      <c r="I162" s="2">
        <f>+G162-H162</f>
        <v>1.0999999999999943</v>
      </c>
      <c r="J162" s="1">
        <f>+(G162^14)/((G162^14+H162^14))</f>
        <v>0.54088819998710902</v>
      </c>
      <c r="K162" s="2">
        <v>100.5</v>
      </c>
      <c r="L162" s="2">
        <v>99.1</v>
      </c>
      <c r="M162" s="2">
        <f>+K162-L162</f>
        <v>1.4000000000000057</v>
      </c>
      <c r="N162" s="1">
        <f>+F162-J162</f>
        <v>3.2282531720208008E-2</v>
      </c>
      <c r="O162" s="2">
        <v>96.7</v>
      </c>
      <c r="P162" s="2">
        <v>87</v>
      </c>
      <c r="Q162" s="2">
        <f>+O162-P162</f>
        <v>9.7000000000000028</v>
      </c>
      <c r="R162" s="2">
        <v>0.8</v>
      </c>
      <c r="S162" s="2">
        <v>2.9</v>
      </c>
      <c r="T162" s="2">
        <f>+Q162-M162</f>
        <v>8.2999999999999972</v>
      </c>
    </row>
    <row r="163" spans="1:20">
      <c r="A163" s="6">
        <v>29</v>
      </c>
      <c r="B163" t="s">
        <v>4</v>
      </c>
      <c r="C163" t="s">
        <v>33</v>
      </c>
      <c r="D163">
        <v>19</v>
      </c>
      <c r="E163">
        <v>63</v>
      </c>
      <c r="F163" s="1">
        <f>+D163/(D163+E163)</f>
        <v>0.23170731707317074</v>
      </c>
      <c r="G163" s="2">
        <v>93.2</v>
      </c>
      <c r="H163" s="2">
        <v>99.9</v>
      </c>
      <c r="I163" s="2">
        <f>+G163-H163</f>
        <v>-6.7000000000000028</v>
      </c>
      <c r="J163" s="1">
        <f>+(G163^14)/((G163^14+H163^14))</f>
        <v>0.27450046120978927</v>
      </c>
      <c r="K163" s="2">
        <v>99.4</v>
      </c>
      <c r="L163" s="2">
        <v>106.2</v>
      </c>
      <c r="M163" s="2">
        <f>+K163-L163</f>
        <v>-6.7999999999999972</v>
      </c>
      <c r="N163" s="1">
        <f>+F163-J163</f>
        <v>-4.2793144136618527E-2</v>
      </c>
      <c r="O163" s="2">
        <v>101.4</v>
      </c>
      <c r="P163" s="2">
        <v>100</v>
      </c>
      <c r="Q163" s="2">
        <f>+O163-P163</f>
        <v>1.4000000000000057</v>
      </c>
      <c r="R163" s="2">
        <v>-1.1000000000000001</v>
      </c>
      <c r="S163" s="2">
        <v>-5.4</v>
      </c>
      <c r="T163" s="2">
        <f>+Q163-M163</f>
        <v>8.2000000000000028</v>
      </c>
    </row>
    <row r="164" spans="1:20">
      <c r="A164" s="6">
        <v>127</v>
      </c>
      <c r="B164" t="s">
        <v>39</v>
      </c>
      <c r="C164" t="s">
        <v>15</v>
      </c>
      <c r="D164">
        <v>44</v>
      </c>
      <c r="E164">
        <v>38</v>
      </c>
      <c r="F164" s="1">
        <f>+D164/(D164+E164)</f>
        <v>0.53658536585365857</v>
      </c>
      <c r="G164" s="2">
        <v>93</v>
      </c>
      <c r="H164" s="2">
        <v>92.2</v>
      </c>
      <c r="I164" s="2">
        <f>+G164-H164</f>
        <v>0.79999999999999716</v>
      </c>
      <c r="J164" s="1">
        <f>+(G164^14)/((G164^14+H164^14))</f>
        <v>0.53020096014425155</v>
      </c>
      <c r="K164" s="2">
        <v>103.7</v>
      </c>
      <c r="L164" s="2">
        <v>102.7</v>
      </c>
      <c r="M164" s="2">
        <f>+K164-L164</f>
        <v>1</v>
      </c>
      <c r="N164" s="1">
        <f>+F164-J164</f>
        <v>6.384405709407015E-3</v>
      </c>
      <c r="O164" s="2">
        <v>102.5</v>
      </c>
      <c r="P164" s="2">
        <v>93.4</v>
      </c>
      <c r="Q164" s="2">
        <f>+O164-P164</f>
        <v>9.0999999999999943</v>
      </c>
      <c r="R164" s="2">
        <v>0</v>
      </c>
      <c r="S164" s="2">
        <v>0.3</v>
      </c>
      <c r="T164" s="2">
        <f>+Q164-M164</f>
        <v>8.0999999999999943</v>
      </c>
    </row>
    <row r="165" spans="1:20">
      <c r="A165" s="6">
        <v>353</v>
      </c>
      <c r="B165" t="s">
        <v>49</v>
      </c>
      <c r="C165" t="s">
        <v>28</v>
      </c>
      <c r="D165">
        <v>50</v>
      </c>
      <c r="E165">
        <v>16</v>
      </c>
      <c r="F165" s="1">
        <f>+D165/(D165+E165)</f>
        <v>0.75757575757575757</v>
      </c>
      <c r="G165" s="2">
        <v>103.7</v>
      </c>
      <c r="H165" s="2">
        <v>96.5</v>
      </c>
      <c r="I165" s="2">
        <f>+G165-H165</f>
        <v>7.2000000000000028</v>
      </c>
      <c r="J165" s="1">
        <f>+(G165^14)/((G165^14+H165^14))</f>
        <v>0.7325164044661483</v>
      </c>
      <c r="K165" s="2">
        <v>110</v>
      </c>
      <c r="L165" s="2">
        <v>102.3</v>
      </c>
      <c r="M165" s="2">
        <f>+K165-L165</f>
        <v>7.7000000000000028</v>
      </c>
      <c r="N165" s="1">
        <f>+F165-J165</f>
        <v>2.5059353109609273E-2</v>
      </c>
      <c r="O165" s="2">
        <v>104.3</v>
      </c>
      <c r="P165" s="2">
        <v>88.6</v>
      </c>
      <c r="Q165" s="2">
        <f>+O165-P165</f>
        <v>15.700000000000003</v>
      </c>
      <c r="R165" s="2">
        <v>1.1000000000000001</v>
      </c>
      <c r="S165" s="2">
        <v>6</v>
      </c>
      <c r="T165" s="2">
        <f>+Q165-M165</f>
        <v>8</v>
      </c>
    </row>
    <row r="166" spans="1:20">
      <c r="A166" s="6">
        <v>450</v>
      </c>
      <c r="B166" t="s">
        <v>55</v>
      </c>
      <c r="C166" t="s">
        <v>7</v>
      </c>
      <c r="D166">
        <v>48</v>
      </c>
      <c r="E166">
        <v>34</v>
      </c>
      <c r="F166" s="1">
        <f>+D166/(D166+E166)</f>
        <v>0.58536585365853655</v>
      </c>
      <c r="G166" s="2">
        <v>103.4</v>
      </c>
      <c r="H166" s="2">
        <v>100.7</v>
      </c>
      <c r="I166" s="2">
        <f>+G166-H166</f>
        <v>2.7000000000000028</v>
      </c>
      <c r="J166" s="1">
        <f>+(G166^14)/((G166^14+H166^14))</f>
        <v>0.59156246020875802</v>
      </c>
      <c r="K166" s="2">
        <v>106.4</v>
      </c>
      <c r="L166" s="2">
        <v>103.7</v>
      </c>
      <c r="M166" s="2">
        <f>+K166-L166</f>
        <v>2.7000000000000028</v>
      </c>
      <c r="N166" s="1">
        <f>+F166-J166</f>
        <v>-6.1966065502214729E-3</v>
      </c>
      <c r="O166" s="2">
        <v>106</v>
      </c>
      <c r="P166" s="2">
        <v>95.3</v>
      </c>
      <c r="Q166" s="2">
        <f>+O166-P166</f>
        <v>10.700000000000003</v>
      </c>
      <c r="R166" s="2">
        <v>0.6</v>
      </c>
      <c r="S166" s="2">
        <v>5.5</v>
      </c>
      <c r="T166" s="2">
        <f>+Q166-M166</f>
        <v>8</v>
      </c>
    </row>
    <row r="167" spans="1:20">
      <c r="A167" s="6">
        <v>610</v>
      </c>
      <c r="B167" t="s">
        <v>61</v>
      </c>
      <c r="C167" t="s">
        <v>17</v>
      </c>
      <c r="D167">
        <v>42</v>
      </c>
      <c r="E167">
        <v>30</v>
      </c>
      <c r="F167" s="1">
        <f>+D167/(D167+E167)</f>
        <v>0.58333333333333337</v>
      </c>
      <c r="G167" s="2">
        <v>109.5</v>
      </c>
      <c r="H167" s="2">
        <v>106.8</v>
      </c>
      <c r="I167" s="2">
        <f>+G167-H167</f>
        <v>2.7000000000000028</v>
      </c>
      <c r="J167" s="1">
        <f>+(G167^14)/((G167^14+H167^14))</f>
        <v>0.58650425971999209</v>
      </c>
      <c r="K167" s="2">
        <v>109.8</v>
      </c>
      <c r="L167" s="2">
        <v>106.8</v>
      </c>
      <c r="M167" s="2">
        <f>+K167-L167</f>
        <v>3</v>
      </c>
      <c r="N167" s="1">
        <f>+F167-J167</f>
        <v>-3.1709263866587234E-3</v>
      </c>
      <c r="O167" s="2">
        <v>110.5</v>
      </c>
      <c r="P167" s="2">
        <v>99.6</v>
      </c>
      <c r="Q167" s="2">
        <f>+O167-P167</f>
        <v>10.900000000000006</v>
      </c>
      <c r="R167" s="2">
        <v>1.3</v>
      </c>
      <c r="S167" s="2">
        <v>4.7</v>
      </c>
      <c r="T167" s="2">
        <f>+Q167-M167</f>
        <v>7.9000000000000057</v>
      </c>
    </row>
    <row r="168" spans="1:20">
      <c r="A168" s="6">
        <v>130</v>
      </c>
      <c r="B168" t="s">
        <v>39</v>
      </c>
      <c r="C168" t="s">
        <v>35</v>
      </c>
      <c r="D168">
        <v>45</v>
      </c>
      <c r="E168">
        <v>37</v>
      </c>
      <c r="F168" s="1">
        <f>+D168/(D168+E168)</f>
        <v>0.54878048780487809</v>
      </c>
      <c r="G168" s="2">
        <v>93.4</v>
      </c>
      <c r="H168" s="2">
        <v>91.1</v>
      </c>
      <c r="I168" s="2">
        <f>+G168-H168</f>
        <v>2.3000000000000114</v>
      </c>
      <c r="J168" s="1">
        <f>+(G168^14)/((G168^14+H168^14))</f>
        <v>0.58639193476175844</v>
      </c>
      <c r="K168" s="2">
        <v>104.2</v>
      </c>
      <c r="L168" s="2">
        <v>101.5</v>
      </c>
      <c r="M168" s="2">
        <f>+K168-L168</f>
        <v>2.7000000000000028</v>
      </c>
      <c r="N168" s="1">
        <f>+F168-J168</f>
        <v>-3.7611446956880346E-2</v>
      </c>
      <c r="O168" s="2">
        <v>103.9</v>
      </c>
      <c r="P168" s="2">
        <v>93.3</v>
      </c>
      <c r="Q168" s="2">
        <f>+O168-P168</f>
        <v>10.600000000000009</v>
      </c>
      <c r="R168" s="2">
        <v>0</v>
      </c>
      <c r="S168" s="2">
        <v>0.2</v>
      </c>
      <c r="T168" s="2">
        <f>+Q168-M168</f>
        <v>7.9000000000000057</v>
      </c>
    </row>
    <row r="169" spans="1:20">
      <c r="A169" s="6">
        <v>144</v>
      </c>
      <c r="B169" t="s">
        <v>39</v>
      </c>
      <c r="C169" t="s">
        <v>30</v>
      </c>
      <c r="D169">
        <v>33</v>
      </c>
      <c r="E169">
        <v>49</v>
      </c>
      <c r="F169" s="1">
        <f>+D169/(D169+E169)</f>
        <v>0.40243902439024393</v>
      </c>
      <c r="G169" s="2">
        <v>99.7</v>
      </c>
      <c r="H169" s="2">
        <v>101.4</v>
      </c>
      <c r="I169" s="2">
        <f>+G169-H169</f>
        <v>-1.7000000000000028</v>
      </c>
      <c r="J169" s="1">
        <f>+(G169^14)/((G169^14+H169^14))</f>
        <v>0.44109880691820486</v>
      </c>
      <c r="K169" s="2">
        <v>105.4</v>
      </c>
      <c r="L169" s="2">
        <v>107.2</v>
      </c>
      <c r="M169" s="2">
        <f>+K169-L169</f>
        <v>-1.7999999999999972</v>
      </c>
      <c r="N169" s="1">
        <f>+F169-J169</f>
        <v>-3.8659782527960929E-2</v>
      </c>
      <c r="O169" s="2">
        <v>110.7</v>
      </c>
      <c r="P169" s="2">
        <v>104.6</v>
      </c>
      <c r="Q169" s="2">
        <f>+O169-P169</f>
        <v>6.1000000000000085</v>
      </c>
      <c r="R169" s="2">
        <v>2</v>
      </c>
      <c r="S169" s="2">
        <v>9.6999999999999993</v>
      </c>
      <c r="T169" s="2">
        <f>+Q169-M169</f>
        <v>7.9000000000000057</v>
      </c>
    </row>
    <row r="170" spans="1:20">
      <c r="A170" s="6">
        <v>522</v>
      </c>
      <c r="B170" t="s">
        <v>58</v>
      </c>
      <c r="C170" t="s">
        <v>18</v>
      </c>
      <c r="D170">
        <v>44</v>
      </c>
      <c r="E170">
        <v>38</v>
      </c>
      <c r="F170" s="1">
        <f>+D170/(D170+E170)</f>
        <v>0.53658536585365857</v>
      </c>
      <c r="G170" s="2">
        <v>103.4</v>
      </c>
      <c r="H170" s="2">
        <v>102.9</v>
      </c>
      <c r="I170" s="2">
        <f>+G170-H170</f>
        <v>0.5</v>
      </c>
      <c r="J170" s="1">
        <f>+(G170^14)/((G170^14+H170^14))</f>
        <v>0.5169591093166388</v>
      </c>
      <c r="K170" s="2">
        <v>106.2</v>
      </c>
      <c r="L170" s="2">
        <v>105.8</v>
      </c>
      <c r="M170" s="2">
        <f>+K170-L170</f>
        <v>0.40000000000000568</v>
      </c>
      <c r="N170" s="1">
        <f>+F170-J170</f>
        <v>1.9626256537019771E-2</v>
      </c>
      <c r="O170" s="2">
        <v>108.7</v>
      </c>
      <c r="P170" s="2">
        <v>100.4</v>
      </c>
      <c r="Q170" s="2">
        <f>+O170-P170</f>
        <v>8.2999999999999972</v>
      </c>
      <c r="R170" s="2">
        <v>0.7</v>
      </c>
      <c r="S170" s="2">
        <v>2.6</v>
      </c>
      <c r="T170" s="2">
        <f>+Q170-M170</f>
        <v>7.8999999999999915</v>
      </c>
    </row>
    <row r="171" spans="1:20">
      <c r="A171" s="6">
        <v>184</v>
      </c>
      <c r="B171" t="s">
        <v>43</v>
      </c>
      <c r="C171" t="s">
        <v>12</v>
      </c>
      <c r="D171">
        <v>53</v>
      </c>
      <c r="E171">
        <v>29</v>
      </c>
      <c r="F171" s="1">
        <f>+D171/(D171+E171)</f>
        <v>0.64634146341463417</v>
      </c>
      <c r="G171" s="2">
        <v>96</v>
      </c>
      <c r="H171" s="2">
        <v>91.8</v>
      </c>
      <c r="I171" s="2">
        <f>+G171-H171</f>
        <v>4.2000000000000028</v>
      </c>
      <c r="J171" s="1">
        <f>+(G171^14)/((G171^14+H171^14))</f>
        <v>0.65165059639805156</v>
      </c>
      <c r="K171" s="2">
        <v>107.4</v>
      </c>
      <c r="L171" s="2">
        <v>102.6</v>
      </c>
      <c r="M171" s="2">
        <f>+K171-L171</f>
        <v>4.8000000000000114</v>
      </c>
      <c r="N171" s="1">
        <f>+F171-J171</f>
        <v>-5.3091329834173973E-3</v>
      </c>
      <c r="O171" s="2">
        <v>113.9</v>
      </c>
      <c r="P171" s="2">
        <v>101.2</v>
      </c>
      <c r="Q171" s="2">
        <f>+O171-P171</f>
        <v>12.700000000000003</v>
      </c>
      <c r="R171" s="2">
        <v>1.5</v>
      </c>
      <c r="S171" s="2">
        <v>8</v>
      </c>
      <c r="T171" s="2">
        <f>+Q171-M171</f>
        <v>7.8999999999999915</v>
      </c>
    </row>
    <row r="172" spans="1:20">
      <c r="A172" s="6">
        <v>578</v>
      </c>
      <c r="B172" t="s">
        <v>60</v>
      </c>
      <c r="C172" t="s">
        <v>15</v>
      </c>
      <c r="D172">
        <v>45</v>
      </c>
      <c r="E172">
        <v>28</v>
      </c>
      <c r="F172" s="1">
        <f>+D172/(D172+E172)</f>
        <v>0.61643835616438358</v>
      </c>
      <c r="G172" s="2">
        <v>109.4</v>
      </c>
      <c r="H172" s="2">
        <v>107.5</v>
      </c>
      <c r="I172" s="2">
        <f>+G172-H172</f>
        <v>1.9000000000000057</v>
      </c>
      <c r="J172" s="1">
        <f>+(G172^14)/((G172^14+H172^14))</f>
        <v>0.56101455538977274</v>
      </c>
      <c r="K172" s="2">
        <v>109.5</v>
      </c>
      <c r="L172" s="2">
        <v>107.5</v>
      </c>
      <c r="M172" s="2">
        <f>+K172-L172</f>
        <v>2</v>
      </c>
      <c r="N172" s="1">
        <f>+F172-J172</f>
        <v>5.5423800774610843E-2</v>
      </c>
      <c r="O172" s="2">
        <v>107</v>
      </c>
      <c r="P172" s="2">
        <v>97.2</v>
      </c>
      <c r="Q172" s="2">
        <f>+O172-P172</f>
        <v>9.7999999999999972</v>
      </c>
      <c r="R172" s="2">
        <v>-0.8</v>
      </c>
      <c r="S172" s="2">
        <v>-1.4</v>
      </c>
      <c r="T172" s="2">
        <f>+Q172-M172</f>
        <v>7.7999999999999972</v>
      </c>
    </row>
    <row r="173" spans="1:20">
      <c r="A173" s="6">
        <v>544</v>
      </c>
      <c r="B173" t="s">
        <v>59</v>
      </c>
      <c r="C173" t="s">
        <v>11</v>
      </c>
      <c r="D173">
        <v>54</v>
      </c>
      <c r="E173">
        <v>28</v>
      </c>
      <c r="F173" s="1">
        <f>+D173/(D173+E173)</f>
        <v>0.65853658536585369</v>
      </c>
      <c r="G173" s="2">
        <v>110.7</v>
      </c>
      <c r="H173" s="2">
        <v>106.7</v>
      </c>
      <c r="I173" s="2">
        <f>+G173-H173</f>
        <v>4</v>
      </c>
      <c r="J173" s="1">
        <f>+(G173^14)/((G173^14+H173^14))</f>
        <v>0.62603347117131569</v>
      </c>
      <c r="K173" s="2">
        <v>112.1</v>
      </c>
      <c r="L173" s="2">
        <v>108.1</v>
      </c>
      <c r="M173" s="2">
        <f>+K173-L173</f>
        <v>4</v>
      </c>
      <c r="N173" s="1">
        <f>+F173-J173</f>
        <v>3.2503114194537996E-2</v>
      </c>
      <c r="O173" s="2">
        <v>106.7</v>
      </c>
      <c r="P173" s="2">
        <v>94.9</v>
      </c>
      <c r="Q173" s="2">
        <f>+O173-P173</f>
        <v>11.799999999999997</v>
      </c>
      <c r="R173" s="2">
        <v>1.6</v>
      </c>
      <c r="S173" s="2">
        <v>5.0999999999999996</v>
      </c>
      <c r="T173" s="2">
        <f>+Q173-M173</f>
        <v>7.7999999999999972</v>
      </c>
    </row>
    <row r="174" spans="1:20">
      <c r="A174" s="6">
        <v>615</v>
      </c>
      <c r="B174" t="s">
        <v>61</v>
      </c>
      <c r="C174" t="s">
        <v>53</v>
      </c>
      <c r="D174">
        <v>31</v>
      </c>
      <c r="E174">
        <v>41</v>
      </c>
      <c r="F174" s="1">
        <f>+D174/(D174+E174)</f>
        <v>0.43055555555555558</v>
      </c>
      <c r="G174" s="2">
        <v>114.6</v>
      </c>
      <c r="H174" s="2">
        <v>114.9</v>
      </c>
      <c r="I174" s="2">
        <f>+G174-H174</f>
        <v>-0.30000000000001137</v>
      </c>
      <c r="J174" s="1">
        <f>+(G174^14)/((G174^14+H174^14))</f>
        <v>0.49085068937961135</v>
      </c>
      <c r="K174" s="2">
        <v>113</v>
      </c>
      <c r="L174" s="2">
        <v>113.3</v>
      </c>
      <c r="M174" s="2">
        <f>+K174-L174</f>
        <v>-0.29999999999999716</v>
      </c>
      <c r="N174" s="1">
        <f>+F174-J174</f>
        <v>-6.0295133824055769E-2</v>
      </c>
      <c r="O174" s="2">
        <v>109</v>
      </c>
      <c r="P174" s="2">
        <v>101.5</v>
      </c>
      <c r="Q174" s="2">
        <f>+O174-P174</f>
        <v>7.5</v>
      </c>
      <c r="R174" s="2">
        <v>0.5</v>
      </c>
      <c r="S174" s="2">
        <v>2.1</v>
      </c>
      <c r="T174" s="2">
        <f>+Q174-M174</f>
        <v>7.7999999999999972</v>
      </c>
    </row>
    <row r="175" spans="1:20">
      <c r="A175" s="6">
        <v>7</v>
      </c>
      <c r="B175" t="s">
        <v>4</v>
      </c>
      <c r="C175" t="s">
        <v>11</v>
      </c>
      <c r="D175">
        <v>40</v>
      </c>
      <c r="E175">
        <v>42</v>
      </c>
      <c r="F175" s="1">
        <f>+D175/(D175+E175)</f>
        <v>0.48780487804878048</v>
      </c>
      <c r="G175" s="2">
        <v>96.6</v>
      </c>
      <c r="H175" s="2">
        <v>99</v>
      </c>
      <c r="I175" s="2">
        <f>+G175-H175</f>
        <v>-2.4000000000000057</v>
      </c>
      <c r="J175" s="1">
        <f>+(G175^14)/((G175^14+H175^14))</f>
        <v>0.41494120163391823</v>
      </c>
      <c r="K175" s="2">
        <v>102.2</v>
      </c>
      <c r="L175" s="2">
        <v>104.9</v>
      </c>
      <c r="M175" s="2">
        <f>+K175-L175</f>
        <v>-2.7000000000000028</v>
      </c>
      <c r="N175" s="1">
        <f>+F175-J175</f>
        <v>7.2863676414862244E-2</v>
      </c>
      <c r="O175" s="2">
        <v>100.5</v>
      </c>
      <c r="P175" s="2">
        <v>95.5</v>
      </c>
      <c r="Q175" s="2">
        <f>+O175-P175</f>
        <v>5</v>
      </c>
      <c r="R175" s="2">
        <v>0.1</v>
      </c>
      <c r="S175" s="2">
        <v>0.3</v>
      </c>
      <c r="T175" s="2">
        <f>+Q175-M175</f>
        <v>7.7000000000000028</v>
      </c>
    </row>
    <row r="176" spans="1:20">
      <c r="A176" s="6">
        <v>196</v>
      </c>
      <c r="B176" t="s">
        <v>43</v>
      </c>
      <c r="C176" t="s">
        <v>22</v>
      </c>
      <c r="D176">
        <v>33</v>
      </c>
      <c r="E176">
        <v>49</v>
      </c>
      <c r="F176" s="1">
        <f>+D176/(D176+E176)</f>
        <v>0.40243902439024393</v>
      </c>
      <c r="G176" s="2">
        <v>97.5</v>
      </c>
      <c r="H176" s="2">
        <v>100.3</v>
      </c>
      <c r="I176" s="2">
        <f>+G176-H176</f>
        <v>-2.7999999999999972</v>
      </c>
      <c r="J176" s="1">
        <f>+(G176^14)/((G176^14+H176^14))</f>
        <v>0.40218084588560077</v>
      </c>
      <c r="K176" s="2">
        <v>104.3</v>
      </c>
      <c r="L176" s="2">
        <v>107.4</v>
      </c>
      <c r="M176" s="2">
        <f>+K176-L176</f>
        <v>-3.1000000000000085</v>
      </c>
      <c r="N176" s="1">
        <f>+F176-J176</f>
        <v>2.5817850464315839E-4</v>
      </c>
      <c r="O176" s="2">
        <v>107.4</v>
      </c>
      <c r="P176" s="2">
        <v>102.9</v>
      </c>
      <c r="Q176" s="2">
        <f>+O176-P176</f>
        <v>4.5</v>
      </c>
      <c r="R176" s="2">
        <v>-0.2</v>
      </c>
      <c r="S176" s="2">
        <v>-1.3</v>
      </c>
      <c r="T176" s="2">
        <f>+Q176-M176</f>
        <v>7.6000000000000085</v>
      </c>
    </row>
    <row r="177" spans="1:20">
      <c r="A177" s="6">
        <v>45</v>
      </c>
      <c r="B177" t="s">
        <v>34</v>
      </c>
      <c r="C177" t="s">
        <v>19</v>
      </c>
      <c r="D177">
        <v>41</v>
      </c>
      <c r="E177">
        <v>41</v>
      </c>
      <c r="F177" s="1">
        <f>+D177/(D177+E177)</f>
        <v>0.5</v>
      </c>
      <c r="G177" s="2">
        <v>97.5</v>
      </c>
      <c r="H177" s="2">
        <v>97.7</v>
      </c>
      <c r="I177" s="2">
        <f>+G177-H177</f>
        <v>-0.20000000000000284</v>
      </c>
      <c r="J177" s="1">
        <f>+(G177^14)/((G177^14+H177^14))</f>
        <v>0.49282835821021359</v>
      </c>
      <c r="K177" s="2">
        <v>105.3</v>
      </c>
      <c r="L177" s="2">
        <v>105.6</v>
      </c>
      <c r="M177" s="2">
        <f>+K177-L177</f>
        <v>-0.29999999999999716</v>
      </c>
      <c r="N177" s="1">
        <f>+F177-J177</f>
        <v>7.1716417897864093E-3</v>
      </c>
      <c r="O177" s="2">
        <v>107.5</v>
      </c>
      <c r="P177" s="2">
        <v>100.2</v>
      </c>
      <c r="Q177" s="2">
        <f>+O177-P177</f>
        <v>7.2999999999999972</v>
      </c>
      <c r="R177" s="2">
        <v>0.4</v>
      </c>
      <c r="S177" s="2">
        <v>3.5</v>
      </c>
      <c r="T177" s="2">
        <f>+Q177-M177</f>
        <v>7.5999999999999943</v>
      </c>
    </row>
    <row r="178" spans="1:20">
      <c r="A178" s="6">
        <v>473</v>
      </c>
      <c r="B178" t="s">
        <v>55</v>
      </c>
      <c r="C178" t="s">
        <v>28</v>
      </c>
      <c r="D178">
        <v>67</v>
      </c>
      <c r="E178">
        <v>15</v>
      </c>
      <c r="F178" s="1">
        <f>+D178/(D178+E178)</f>
        <v>0.81707317073170727</v>
      </c>
      <c r="G178" s="2">
        <v>103.5</v>
      </c>
      <c r="H178" s="2">
        <v>92.9</v>
      </c>
      <c r="I178" s="2">
        <f>+G178-H178</f>
        <v>10.599999999999994</v>
      </c>
      <c r="J178" s="1">
        <f>+(G178^14)/((G178^14+H178^14))</f>
        <v>0.81945679097395319</v>
      </c>
      <c r="K178" s="2">
        <v>109.3</v>
      </c>
      <c r="L178" s="2">
        <v>98.2</v>
      </c>
      <c r="M178" s="2">
        <f>+K178-L178</f>
        <v>11.099999999999994</v>
      </c>
      <c r="N178" s="1">
        <f>+F178-J178</f>
        <v>-2.3836202422459207E-3</v>
      </c>
      <c r="O178" s="2">
        <v>111.1</v>
      </c>
      <c r="P178" s="2">
        <v>92.4</v>
      </c>
      <c r="Q178" s="2">
        <f>+O178-P178</f>
        <v>18.699999999999989</v>
      </c>
      <c r="R178" s="2">
        <v>2</v>
      </c>
      <c r="S178" s="2">
        <v>10.7</v>
      </c>
      <c r="T178" s="2">
        <f>+Q178-M178</f>
        <v>7.5999999999999943</v>
      </c>
    </row>
    <row r="179" spans="1:20">
      <c r="A179" s="6">
        <v>478</v>
      </c>
      <c r="B179" t="s">
        <v>57</v>
      </c>
      <c r="C179" t="s">
        <v>6</v>
      </c>
      <c r="D179">
        <v>53</v>
      </c>
      <c r="E179">
        <v>29</v>
      </c>
      <c r="F179" s="1">
        <f>+D179/(D179+E179)</f>
        <v>0.64634146341463417</v>
      </c>
      <c r="G179" s="2">
        <v>108</v>
      </c>
      <c r="H179" s="2">
        <v>105.4</v>
      </c>
      <c r="I179" s="2">
        <f>+G179-H179</f>
        <v>2.5999999999999943</v>
      </c>
      <c r="J179" s="1">
        <f>+(G179^14)/((G179^14+H179^14))</f>
        <v>0.58447233985908875</v>
      </c>
      <c r="K179" s="2">
        <v>110.6</v>
      </c>
      <c r="L179" s="2">
        <v>108</v>
      </c>
      <c r="M179" s="2">
        <f>+K179-L179</f>
        <v>2.5999999999999943</v>
      </c>
      <c r="N179" s="1">
        <f>+F179-J179</f>
        <v>6.1869123555545413E-2</v>
      </c>
      <c r="O179" s="2">
        <v>117.9</v>
      </c>
      <c r="P179" s="2">
        <v>107.8</v>
      </c>
      <c r="Q179" s="2">
        <f>+O179-P179</f>
        <v>10.100000000000009</v>
      </c>
      <c r="R179" s="2">
        <v>0.7</v>
      </c>
      <c r="S179" s="2">
        <v>3.9</v>
      </c>
      <c r="T179" s="2">
        <f>+Q179-M179</f>
        <v>7.5000000000000142</v>
      </c>
    </row>
    <row r="180" spans="1:20">
      <c r="A180" s="6">
        <v>100</v>
      </c>
      <c r="B180" t="s">
        <v>38</v>
      </c>
      <c r="C180" t="s">
        <v>35</v>
      </c>
      <c r="D180">
        <v>50</v>
      </c>
      <c r="E180">
        <v>32</v>
      </c>
      <c r="F180" s="1">
        <f>+D180/(D180+E180)</f>
        <v>0.6097560975609756</v>
      </c>
      <c r="G180" s="2">
        <v>96.7</v>
      </c>
      <c r="H180" s="2">
        <v>94.3</v>
      </c>
      <c r="I180" s="2">
        <f>+G180-H180</f>
        <v>2.4000000000000057</v>
      </c>
      <c r="J180" s="1">
        <f>+(G180^14)/((G180^14+H180^14))</f>
        <v>0.58706636453816929</v>
      </c>
      <c r="K180" s="2">
        <v>103.4</v>
      </c>
      <c r="L180" s="2">
        <v>100.8</v>
      </c>
      <c r="M180" s="2">
        <f>+K180-L180</f>
        <v>2.6000000000000085</v>
      </c>
      <c r="N180" s="1">
        <f>+F180-J180</f>
        <v>2.2689733022806302E-2</v>
      </c>
      <c r="O180" s="2">
        <v>105.6</v>
      </c>
      <c r="P180" s="2">
        <v>95.5</v>
      </c>
      <c r="Q180" s="2">
        <f>+O180-P180</f>
        <v>10.099999999999994</v>
      </c>
      <c r="R180" s="2">
        <v>2</v>
      </c>
      <c r="S180" s="2">
        <v>10.8</v>
      </c>
      <c r="T180" s="2">
        <f>+Q180-M180</f>
        <v>7.4999999999999858</v>
      </c>
    </row>
    <row r="181" spans="1:20">
      <c r="A181" s="6">
        <v>675</v>
      </c>
      <c r="B181" t="s">
        <v>63</v>
      </c>
      <c r="C181" t="s">
        <v>53</v>
      </c>
      <c r="D181">
        <v>42</v>
      </c>
      <c r="E181">
        <v>40</v>
      </c>
      <c r="F181" s="1">
        <f>+D181/(D181+E181)</f>
        <v>0.51219512195121952</v>
      </c>
      <c r="G181" s="2">
        <v>114.4</v>
      </c>
      <c r="H181" s="2">
        <v>112.5</v>
      </c>
      <c r="I181" s="2">
        <f>+G181-H181</f>
        <v>1.9000000000000057</v>
      </c>
      <c r="J181" s="1">
        <f>+(G181^14)/((G181^14+H181^14))</f>
        <v>0.55835042155864323</v>
      </c>
      <c r="K181" s="2">
        <v>113.8</v>
      </c>
      <c r="L181" s="2">
        <v>112</v>
      </c>
      <c r="M181" s="2">
        <f>+K181-L181</f>
        <v>1.7999999999999972</v>
      </c>
      <c r="N181" s="1">
        <f>+F181-J181</f>
        <v>-4.6155299607423705E-2</v>
      </c>
      <c r="O181" s="2">
        <v>113.1</v>
      </c>
      <c r="P181" s="2">
        <v>104</v>
      </c>
      <c r="Q181" s="2">
        <f>+O181-P181</f>
        <v>9.0999999999999943</v>
      </c>
      <c r="R181" s="2">
        <v>0.4</v>
      </c>
      <c r="S181" s="2">
        <v>2.6</v>
      </c>
      <c r="T181" s="2">
        <f>+Q181-M181</f>
        <v>7.2999999999999972</v>
      </c>
    </row>
    <row r="182" spans="1:20">
      <c r="A182" s="6">
        <v>53</v>
      </c>
      <c r="B182" t="s">
        <v>34</v>
      </c>
      <c r="C182" t="s">
        <v>27</v>
      </c>
      <c r="D182">
        <v>61</v>
      </c>
      <c r="E182">
        <v>21</v>
      </c>
      <c r="F182" s="1">
        <f>+D182/(D182+E182)</f>
        <v>0.74390243902439024</v>
      </c>
      <c r="G182" s="2">
        <v>104.6</v>
      </c>
      <c r="H182" s="2">
        <v>97</v>
      </c>
      <c r="I182" s="2">
        <f>+G182-H182</f>
        <v>7.5999999999999943</v>
      </c>
      <c r="J182" s="1">
        <f>+(G182^14)/((G182^14+H182^14))</f>
        <v>0.74193612519657792</v>
      </c>
      <c r="K182" s="2">
        <v>107.9</v>
      </c>
      <c r="L182" s="2">
        <v>99.7</v>
      </c>
      <c r="M182" s="2">
        <f>+K182-L182</f>
        <v>8.2000000000000028</v>
      </c>
      <c r="N182" s="1">
        <f>+F182-J182</f>
        <v>1.966313827812316E-3</v>
      </c>
      <c r="O182" s="2">
        <v>105</v>
      </c>
      <c r="P182" s="2">
        <v>89.6</v>
      </c>
      <c r="Q182" s="2">
        <f>+O182-P182</f>
        <v>15.400000000000006</v>
      </c>
      <c r="R182" s="2">
        <v>0.8</v>
      </c>
      <c r="S182" s="2">
        <v>3.7</v>
      </c>
      <c r="T182" s="2">
        <f>+Q182-M182</f>
        <v>7.2000000000000028</v>
      </c>
    </row>
    <row r="183" spans="1:20">
      <c r="A183" s="6">
        <v>738</v>
      </c>
      <c r="B183" t="s">
        <v>65</v>
      </c>
      <c r="C183" t="s">
        <v>23</v>
      </c>
      <c r="D183">
        <v>41</v>
      </c>
      <c r="E183">
        <v>41</v>
      </c>
      <c r="F183" s="1">
        <f>+D183/(D183+E183)</f>
        <v>0.5</v>
      </c>
      <c r="G183" s="2">
        <v>105.4</v>
      </c>
      <c r="H183" s="2">
        <v>105.5</v>
      </c>
      <c r="I183" s="2">
        <f>+G183-H183</f>
        <v>-9.9999999999994316E-2</v>
      </c>
      <c r="J183" s="1">
        <f>+(G183^14)/((G183^14+H183^14))</f>
        <v>0.4966809399213436</v>
      </c>
      <c r="K183" s="2">
        <v>108.9</v>
      </c>
      <c r="L183" s="2">
        <v>109.1</v>
      </c>
      <c r="M183" s="2">
        <f>+K183-L183</f>
        <v>-0.19999999999998863</v>
      </c>
      <c r="N183" s="1">
        <f>+F183-J183</f>
        <v>3.3190600786563995E-3</v>
      </c>
      <c r="O183" s="2">
        <v>104.5</v>
      </c>
      <c r="P183" s="2">
        <v>97.5</v>
      </c>
      <c r="Q183" s="2">
        <f>+O183-P183</f>
        <v>7</v>
      </c>
      <c r="R183" s="2">
        <v>0.8</v>
      </c>
      <c r="S183" s="2">
        <v>3.3</v>
      </c>
      <c r="T183" s="2">
        <f>+Q183-M183</f>
        <v>7.1999999999999886</v>
      </c>
    </row>
    <row r="184" spans="1:20">
      <c r="A184" s="6">
        <v>368</v>
      </c>
      <c r="B184" t="s">
        <v>50</v>
      </c>
      <c r="C184" t="s">
        <v>15</v>
      </c>
      <c r="D184">
        <v>49</v>
      </c>
      <c r="E184">
        <v>32</v>
      </c>
      <c r="F184" s="1">
        <f>+D184/(D184+E184)</f>
        <v>0.60493827160493829</v>
      </c>
      <c r="G184" s="2">
        <v>94.7</v>
      </c>
      <c r="H184" s="2">
        <v>90.7</v>
      </c>
      <c r="I184" s="2">
        <f>+G184-H184</f>
        <v>4</v>
      </c>
      <c r="J184" s="1">
        <f>+(G184^14)/((G184^14+H184^14))</f>
        <v>0.64661501230862617</v>
      </c>
      <c r="K184" s="2">
        <v>103.4</v>
      </c>
      <c r="L184" s="2">
        <v>99</v>
      </c>
      <c r="M184" s="2">
        <f>+K184-L184</f>
        <v>4.4000000000000057</v>
      </c>
      <c r="N184" s="1">
        <f>+F184-J184</f>
        <v>-4.1676740703687876E-2</v>
      </c>
      <c r="O184" s="2">
        <v>97.6</v>
      </c>
      <c r="P184" s="2">
        <v>86</v>
      </c>
      <c r="Q184" s="2">
        <f>+O184-P184</f>
        <v>11.599999999999994</v>
      </c>
      <c r="R184" s="2">
        <v>0.2</v>
      </c>
      <c r="S184" s="2">
        <v>3.1</v>
      </c>
      <c r="T184" s="2">
        <f>+Q184-M184</f>
        <v>7.1999999999999886</v>
      </c>
    </row>
    <row r="185" spans="1:20">
      <c r="A185" s="6">
        <v>366</v>
      </c>
      <c r="B185" t="s">
        <v>50</v>
      </c>
      <c r="C185" t="s">
        <v>13</v>
      </c>
      <c r="D185">
        <v>47</v>
      </c>
      <c r="E185">
        <v>35</v>
      </c>
      <c r="F185" s="1">
        <f>+D185/(D185+E185)</f>
        <v>0.57317073170731703</v>
      </c>
      <c r="G185" s="2">
        <v>101.2</v>
      </c>
      <c r="H185" s="2">
        <v>100.3</v>
      </c>
      <c r="I185" s="2">
        <f>+G185-H185</f>
        <v>0.90000000000000568</v>
      </c>
      <c r="J185" s="1">
        <f>+(G185^14)/((G185^14+H185^14))</f>
        <v>0.53122502870875743</v>
      </c>
      <c r="K185" s="2">
        <v>105.1</v>
      </c>
      <c r="L185" s="2">
        <v>104.2</v>
      </c>
      <c r="M185" s="2">
        <f>+K185-L185</f>
        <v>0.89999999999999147</v>
      </c>
      <c r="N185" s="1">
        <f>+F185-J185</f>
        <v>4.1945702998559597E-2</v>
      </c>
      <c r="O185" s="2">
        <v>101.8</v>
      </c>
      <c r="P185" s="2">
        <v>93.8</v>
      </c>
      <c r="Q185" s="2">
        <f>+O185-P185</f>
        <v>8</v>
      </c>
      <c r="R185" s="2">
        <v>0.8</v>
      </c>
      <c r="S185" s="2">
        <v>4.4000000000000004</v>
      </c>
      <c r="T185" s="2">
        <f>+Q185-M185</f>
        <v>7.1000000000000085</v>
      </c>
    </row>
    <row r="186" spans="1:20">
      <c r="A186" s="6">
        <v>591</v>
      </c>
      <c r="B186" t="s">
        <v>60</v>
      </c>
      <c r="C186" t="s">
        <v>26</v>
      </c>
      <c r="D186">
        <v>35</v>
      </c>
      <c r="E186">
        <v>39</v>
      </c>
      <c r="F186" s="1">
        <f>+D186/(D186+E186)</f>
        <v>0.47297297297297297</v>
      </c>
      <c r="G186" s="2">
        <v>115</v>
      </c>
      <c r="H186" s="2">
        <v>116.1</v>
      </c>
      <c r="I186" s="2">
        <f>+G186-H186</f>
        <v>-1.0999999999999943</v>
      </c>
      <c r="J186" s="1">
        <f>+(G186^14)/((G186^14+H186^14))</f>
        <v>0.46673007111560078</v>
      </c>
      <c r="K186" s="2">
        <v>113.2</v>
      </c>
      <c r="L186" s="2">
        <v>114.3</v>
      </c>
      <c r="M186" s="2">
        <f>+K186-L186</f>
        <v>-1.0999999999999943</v>
      </c>
      <c r="N186" s="1">
        <f>+F186-J186</f>
        <v>6.2429018573721962E-3</v>
      </c>
      <c r="O186" s="2">
        <v>117.2</v>
      </c>
      <c r="P186" s="2">
        <v>111.2</v>
      </c>
      <c r="Q186" s="2">
        <f>+O186-P186</f>
        <v>6</v>
      </c>
      <c r="R186" s="2">
        <v>1</v>
      </c>
      <c r="S186" s="2">
        <v>3.6</v>
      </c>
      <c r="T186" s="2">
        <f>+Q186-M186</f>
        <v>7.0999999999999943</v>
      </c>
    </row>
    <row r="187" spans="1:20">
      <c r="A187" s="6">
        <v>400</v>
      </c>
      <c r="B187" t="s">
        <v>52</v>
      </c>
      <c r="C187" t="s">
        <v>17</v>
      </c>
      <c r="D187">
        <v>27</v>
      </c>
      <c r="E187">
        <v>55</v>
      </c>
      <c r="F187" s="1">
        <f>+D187/(D187+E187)</f>
        <v>0.32926829268292684</v>
      </c>
      <c r="G187" s="2">
        <v>103</v>
      </c>
      <c r="H187" s="2">
        <v>109.2</v>
      </c>
      <c r="I187" s="2">
        <f>+G187-H187</f>
        <v>-6.2000000000000028</v>
      </c>
      <c r="J187" s="1">
        <f>+(G187^14)/((G187^14+H187^14))</f>
        <v>0.30611847103175666</v>
      </c>
      <c r="K187" s="2">
        <v>103.2</v>
      </c>
      <c r="L187" s="2">
        <v>109.3</v>
      </c>
      <c r="M187" s="2">
        <f>+K187-L187</f>
        <v>-6.0999999999999943</v>
      </c>
      <c r="N187" s="1">
        <f>+F187-J187</f>
        <v>2.3149821651170188E-2</v>
      </c>
      <c r="O187" s="2">
        <v>100.8</v>
      </c>
      <c r="P187" s="2">
        <v>100</v>
      </c>
      <c r="Q187" s="2">
        <f>+O187-P187</f>
        <v>0.79999999999999716</v>
      </c>
      <c r="R187" s="2">
        <v>0.5</v>
      </c>
      <c r="S187" s="2">
        <v>2.1</v>
      </c>
      <c r="T187" s="2">
        <f>+Q187-M187</f>
        <v>6.8999999999999915</v>
      </c>
    </row>
    <row r="188" spans="1:20">
      <c r="A188" s="6">
        <v>65</v>
      </c>
      <c r="B188" t="s">
        <v>36</v>
      </c>
      <c r="C188" t="s">
        <v>12</v>
      </c>
      <c r="D188">
        <v>50</v>
      </c>
      <c r="E188">
        <v>32</v>
      </c>
      <c r="F188" s="1">
        <f>+D188/(D188+E188)</f>
        <v>0.6097560975609756</v>
      </c>
      <c r="G188" s="2">
        <v>91.4</v>
      </c>
      <c r="H188" s="2">
        <v>87.7</v>
      </c>
      <c r="I188" s="2">
        <f>+G188-H188</f>
        <v>3.7000000000000028</v>
      </c>
      <c r="J188" s="1">
        <f>+(G188^14)/((G188^14+H188^14))</f>
        <v>0.64072911392339904</v>
      </c>
      <c r="K188" s="2">
        <v>102.4</v>
      </c>
      <c r="L188" s="2">
        <v>98.2</v>
      </c>
      <c r="M188" s="2">
        <f>+K188-L188</f>
        <v>4.2000000000000028</v>
      </c>
      <c r="N188" s="1">
        <f>+F188-J188</f>
        <v>-3.0973016362423444E-2</v>
      </c>
      <c r="O188" s="2">
        <v>103.1</v>
      </c>
      <c r="P188" s="2">
        <v>92</v>
      </c>
      <c r="Q188" s="2">
        <f>+O188-P188</f>
        <v>11.099999999999994</v>
      </c>
      <c r="R188" s="2">
        <v>1.6</v>
      </c>
      <c r="S188" s="2">
        <v>6.6</v>
      </c>
      <c r="T188" s="2">
        <f>+Q188-M188</f>
        <v>6.8999999999999915</v>
      </c>
    </row>
    <row r="189" spans="1:20">
      <c r="A189" s="6">
        <v>652</v>
      </c>
      <c r="B189" t="s">
        <v>62</v>
      </c>
      <c r="C189" t="s">
        <v>27</v>
      </c>
      <c r="D189">
        <v>30</v>
      </c>
      <c r="E189">
        <v>52</v>
      </c>
      <c r="F189" s="1">
        <f>+D189/(D189+E189)</f>
        <v>0.36585365853658536</v>
      </c>
      <c r="G189" s="2">
        <v>110.3</v>
      </c>
      <c r="H189" s="2">
        <v>115.8</v>
      </c>
      <c r="I189" s="2">
        <f>+G189-H189</f>
        <v>-5.5</v>
      </c>
      <c r="J189" s="1">
        <f>+(G189^14)/((G189^14+H189^14))</f>
        <v>0.33598260819490139</v>
      </c>
      <c r="K189" s="2">
        <v>109.6</v>
      </c>
      <c r="L189" s="2">
        <v>114.8</v>
      </c>
      <c r="M189" s="2">
        <f>+K189-L189</f>
        <v>-5.2000000000000028</v>
      </c>
      <c r="N189" s="1">
        <f>+F189-J189</f>
        <v>2.9871050341683969E-2</v>
      </c>
      <c r="O189" s="2">
        <v>110.6</v>
      </c>
      <c r="P189" s="2">
        <v>109.2</v>
      </c>
      <c r="Q189" s="2">
        <f>+O189-P189</f>
        <v>1.3999999999999915</v>
      </c>
      <c r="R189" s="2">
        <v>-1.3</v>
      </c>
      <c r="S189" s="2">
        <v>-5.6</v>
      </c>
      <c r="T189" s="2">
        <f>+Q189-M189</f>
        <v>6.5999999999999943</v>
      </c>
    </row>
    <row r="190" spans="1:20">
      <c r="A190" s="6">
        <v>181</v>
      </c>
      <c r="B190" t="s">
        <v>43</v>
      </c>
      <c r="C190" t="s">
        <v>9</v>
      </c>
      <c r="D190">
        <v>50</v>
      </c>
      <c r="E190">
        <v>32</v>
      </c>
      <c r="F190" s="1">
        <f>+D190/(D190+E190)</f>
        <v>0.6097560975609756</v>
      </c>
      <c r="G190" s="2">
        <v>96.8</v>
      </c>
      <c r="H190" s="2">
        <v>92.9</v>
      </c>
      <c r="I190" s="2">
        <f>+G190-H190</f>
        <v>3.8999999999999915</v>
      </c>
      <c r="J190" s="1">
        <f>+(G190^14)/((G190^14+H190^14))</f>
        <v>0.64008356957082357</v>
      </c>
      <c r="K190" s="2">
        <v>104.4</v>
      </c>
      <c r="L190" s="2">
        <v>100.6</v>
      </c>
      <c r="M190" s="2">
        <f>+K190-L190</f>
        <v>3.8000000000000114</v>
      </c>
      <c r="N190" s="1">
        <f>+F190-J190</f>
        <v>-3.0327472009847978E-2</v>
      </c>
      <c r="O190" s="2">
        <v>105.4</v>
      </c>
      <c r="P190" s="2">
        <v>95.1</v>
      </c>
      <c r="Q190" s="2">
        <f>+O190-P190</f>
        <v>10.300000000000011</v>
      </c>
      <c r="R190" s="2">
        <v>1.4</v>
      </c>
      <c r="S190" s="2">
        <v>5.8</v>
      </c>
      <c r="T190" s="2">
        <f>+Q190-M190</f>
        <v>6.5</v>
      </c>
    </row>
    <row r="191" spans="1:20">
      <c r="A191" s="6">
        <v>160</v>
      </c>
      <c r="B191" t="s">
        <v>41</v>
      </c>
      <c r="C191" t="s">
        <v>35</v>
      </c>
      <c r="D191">
        <v>49</v>
      </c>
      <c r="E191">
        <v>33</v>
      </c>
      <c r="F191" s="1">
        <f>+D191/(D191+E191)</f>
        <v>0.59756097560975607</v>
      </c>
      <c r="G191" s="2">
        <v>92.2</v>
      </c>
      <c r="H191" s="2">
        <v>88.5</v>
      </c>
      <c r="I191" s="2">
        <f>+G191-H191</f>
        <v>3.7000000000000028</v>
      </c>
      <c r="J191" s="1">
        <f>+(G191^14)/((G191^14+H191^14))</f>
        <v>0.63954874282349128</v>
      </c>
      <c r="K191" s="2">
        <v>104.5</v>
      </c>
      <c r="L191" s="2">
        <v>100.4</v>
      </c>
      <c r="M191" s="2">
        <f>+K191-L191</f>
        <v>4.0999999999999943</v>
      </c>
      <c r="N191" s="1">
        <f>+F191-J191</f>
        <v>-4.1987767213735205E-2</v>
      </c>
      <c r="O191" s="2">
        <v>106.3</v>
      </c>
      <c r="P191" s="2">
        <v>95.7</v>
      </c>
      <c r="Q191" s="2">
        <f>+O191-P191</f>
        <v>10.599999999999994</v>
      </c>
      <c r="R191" s="2">
        <v>-0.3</v>
      </c>
      <c r="S191" s="2">
        <v>-3</v>
      </c>
      <c r="T191" s="2">
        <f>+Q191-M191</f>
        <v>6.5</v>
      </c>
    </row>
    <row r="192" spans="1:20">
      <c r="A192" s="6">
        <v>364</v>
      </c>
      <c r="B192" t="s">
        <v>50</v>
      </c>
      <c r="C192" t="s">
        <v>11</v>
      </c>
      <c r="D192">
        <v>57</v>
      </c>
      <c r="E192">
        <v>25</v>
      </c>
      <c r="F192" s="1">
        <f>+D192/(D192+E192)</f>
        <v>0.69512195121951215</v>
      </c>
      <c r="G192" s="2">
        <v>106.1</v>
      </c>
      <c r="H192" s="2">
        <v>101.1</v>
      </c>
      <c r="I192" s="2">
        <f>+G192-H192</f>
        <v>5</v>
      </c>
      <c r="J192" s="1">
        <f>+(G192^14)/((G192^14+H192^14))</f>
        <v>0.66280219358548198</v>
      </c>
      <c r="K192" s="2">
        <v>109.3</v>
      </c>
      <c r="L192" s="2">
        <v>104.2</v>
      </c>
      <c r="M192" s="2">
        <f>+K192-L192</f>
        <v>5.0999999999999943</v>
      </c>
      <c r="N192" s="1">
        <f>+F192-J192</f>
        <v>3.2319757634030166E-2</v>
      </c>
      <c r="O192" s="2">
        <v>107.2</v>
      </c>
      <c r="P192" s="2">
        <v>95.7</v>
      </c>
      <c r="Q192" s="2">
        <f>+O192-P192</f>
        <v>11.5</v>
      </c>
      <c r="R192" s="2">
        <v>1.4</v>
      </c>
      <c r="S192" s="2">
        <v>7.6</v>
      </c>
      <c r="T192" s="2">
        <f>+Q192-M192</f>
        <v>6.4000000000000057</v>
      </c>
    </row>
    <row r="193" spans="1:20">
      <c r="A193" s="6">
        <v>336</v>
      </c>
      <c r="B193" t="s">
        <v>49</v>
      </c>
      <c r="C193" t="s">
        <v>14</v>
      </c>
      <c r="D193">
        <v>34</v>
      </c>
      <c r="E193">
        <v>32</v>
      </c>
      <c r="F193" s="1">
        <f>+D193/(D193+E193)</f>
        <v>0.51515151515151514</v>
      </c>
      <c r="G193" s="2">
        <v>98.1</v>
      </c>
      <c r="H193" s="2">
        <v>97.9</v>
      </c>
      <c r="I193" s="2">
        <f>+G193-H193</f>
        <v>0.19999999999998863</v>
      </c>
      <c r="J193" s="1">
        <f>+(G193^14)/((G193^14+H193^14))</f>
        <v>0.5071423737524916</v>
      </c>
      <c r="K193" s="2">
        <v>104.2</v>
      </c>
      <c r="L193" s="2">
        <v>104</v>
      </c>
      <c r="M193" s="2">
        <f>+K193-L193</f>
        <v>0.20000000000000284</v>
      </c>
      <c r="N193" s="1">
        <f>+F193-J193</f>
        <v>8.0091413990235338E-3</v>
      </c>
      <c r="O193" s="2">
        <v>104.5</v>
      </c>
      <c r="P193" s="2">
        <v>97.9</v>
      </c>
      <c r="Q193" s="2">
        <f>+O193-P193</f>
        <v>6.5999999999999943</v>
      </c>
      <c r="R193" s="2">
        <v>-0.5</v>
      </c>
      <c r="S193" s="2">
        <v>-2.7</v>
      </c>
      <c r="T193" s="2">
        <f>+Q193-M193</f>
        <v>6.3999999999999915</v>
      </c>
    </row>
    <row r="194" spans="1:20">
      <c r="A194" s="6">
        <v>195</v>
      </c>
      <c r="B194" t="s">
        <v>43</v>
      </c>
      <c r="C194" t="s">
        <v>42</v>
      </c>
      <c r="D194">
        <v>39</v>
      </c>
      <c r="E194">
        <v>43</v>
      </c>
      <c r="F194" s="1">
        <f>+D194/(D194+E194)</f>
        <v>0.47560975609756095</v>
      </c>
      <c r="G194" s="2">
        <v>95.5</v>
      </c>
      <c r="H194" s="2">
        <v>97.1</v>
      </c>
      <c r="I194" s="2">
        <f>+G194-H194</f>
        <v>-1.5999999999999943</v>
      </c>
      <c r="J194" s="1">
        <f>+(G194^14)/((G194^14+H194^14))</f>
        <v>0.44210785442582834</v>
      </c>
      <c r="K194" s="2">
        <v>103.7</v>
      </c>
      <c r="L194" s="2">
        <v>105.4</v>
      </c>
      <c r="M194" s="2">
        <f>+K194-L194</f>
        <v>-1.7000000000000028</v>
      </c>
      <c r="N194" s="1">
        <f>+F194-J194</f>
        <v>3.3501901671732615E-2</v>
      </c>
      <c r="O194" s="2">
        <v>101.2</v>
      </c>
      <c r="P194" s="2">
        <v>96.6</v>
      </c>
      <c r="Q194" s="2">
        <f>+O194-P194</f>
        <v>4.6000000000000085</v>
      </c>
      <c r="R194" s="2">
        <v>-0.2</v>
      </c>
      <c r="S194" s="2">
        <v>-2.7</v>
      </c>
      <c r="T194" s="2">
        <f>+Q194-M194</f>
        <v>6.3000000000000114</v>
      </c>
    </row>
    <row r="195" spans="1:20">
      <c r="A195" s="6">
        <v>276</v>
      </c>
      <c r="B195" t="s">
        <v>47</v>
      </c>
      <c r="C195" t="s">
        <v>14</v>
      </c>
      <c r="D195">
        <v>42</v>
      </c>
      <c r="E195">
        <v>40</v>
      </c>
      <c r="F195" s="1">
        <f>+D195/(D195+E195)</f>
        <v>0.51219512195121952</v>
      </c>
      <c r="G195" s="2">
        <v>102.4</v>
      </c>
      <c r="H195" s="2">
        <v>102.7</v>
      </c>
      <c r="I195" s="2">
        <f>+G195-H195</f>
        <v>-0.29999999999999716</v>
      </c>
      <c r="J195" s="1">
        <f>+(G195^14)/((G195^14+H195^14))</f>
        <v>0.48976251580890345</v>
      </c>
      <c r="K195" s="2">
        <v>106.8</v>
      </c>
      <c r="L195" s="2">
        <v>106.8</v>
      </c>
      <c r="M195" s="2">
        <f>+K195-L195</f>
        <v>0</v>
      </c>
      <c r="N195" s="1">
        <f>+F195-J195</f>
        <v>2.2432606142316069E-2</v>
      </c>
      <c r="O195" s="2">
        <v>103.5</v>
      </c>
      <c r="P195" s="2">
        <v>97.2</v>
      </c>
      <c r="Q195" s="2">
        <f>+O195-P195</f>
        <v>6.2999999999999972</v>
      </c>
      <c r="R195" s="2">
        <v>-0.8</v>
      </c>
      <c r="S195" s="2">
        <v>-1.4</v>
      </c>
      <c r="T195" s="2">
        <f>+Q195-M195</f>
        <v>6.2999999999999972</v>
      </c>
    </row>
    <row r="196" spans="1:20">
      <c r="A196" s="6">
        <v>391</v>
      </c>
      <c r="B196" t="s">
        <v>52</v>
      </c>
      <c r="C196" t="s">
        <v>8</v>
      </c>
      <c r="D196">
        <v>48</v>
      </c>
      <c r="E196">
        <v>34</v>
      </c>
      <c r="F196" s="1">
        <f>+D196/(D196+E196)</f>
        <v>0.58536585365853655</v>
      </c>
      <c r="G196" s="2">
        <v>93.7</v>
      </c>
      <c r="H196" s="2">
        <v>91.8</v>
      </c>
      <c r="I196" s="2">
        <f>+G196-H196</f>
        <v>1.9000000000000057</v>
      </c>
      <c r="J196" s="1">
        <f>+(G196^14)/((G196^14+H196^14))</f>
        <v>0.57121314816076207</v>
      </c>
      <c r="K196" s="2">
        <v>101.7</v>
      </c>
      <c r="L196" s="2">
        <v>99.9</v>
      </c>
      <c r="M196" s="2">
        <f>+K196-L196</f>
        <v>1.7999999999999972</v>
      </c>
      <c r="N196" s="1">
        <f>+F196-J196</f>
        <v>1.4152705497774476E-2</v>
      </c>
      <c r="O196" s="2">
        <v>91.5</v>
      </c>
      <c r="P196" s="2">
        <v>83.4</v>
      </c>
      <c r="Q196" s="2">
        <f>+O196-P196</f>
        <v>8.0999999999999943</v>
      </c>
      <c r="R196" s="2">
        <v>1</v>
      </c>
      <c r="S196" s="2">
        <v>4.8</v>
      </c>
      <c r="T196" s="2">
        <f>+Q196-M196</f>
        <v>6.2999999999999972</v>
      </c>
    </row>
    <row r="197" spans="1:20">
      <c r="A197" s="6">
        <v>361</v>
      </c>
      <c r="B197" t="s">
        <v>50</v>
      </c>
      <c r="C197" t="s">
        <v>8</v>
      </c>
      <c r="D197">
        <v>45</v>
      </c>
      <c r="E197">
        <v>37</v>
      </c>
      <c r="F197" s="1">
        <f>+D197/(D197+E197)</f>
        <v>0.54878048780487809</v>
      </c>
      <c r="G197" s="2">
        <v>93.2</v>
      </c>
      <c r="H197" s="2">
        <v>92.9</v>
      </c>
      <c r="I197" s="2">
        <f>+G197-H197</f>
        <v>0.29999999999999716</v>
      </c>
      <c r="J197" s="1">
        <f>+(G197^14)/((G197^14+H197^14))</f>
        <v>0.51128235010405287</v>
      </c>
      <c r="K197" s="2">
        <v>102.4</v>
      </c>
      <c r="L197" s="2">
        <v>101.9</v>
      </c>
      <c r="M197" s="2">
        <f>+K197-L197</f>
        <v>0.5</v>
      </c>
      <c r="N197" s="1">
        <f>+F197-J197</f>
        <v>3.7498137700825218E-2</v>
      </c>
      <c r="O197" s="2">
        <v>101.4</v>
      </c>
      <c r="P197" s="2">
        <v>94.7</v>
      </c>
      <c r="Q197" s="2">
        <f>+O197-P197</f>
        <v>6.7000000000000028</v>
      </c>
      <c r="R197" s="2">
        <v>-0.5</v>
      </c>
      <c r="S197" s="2">
        <v>-3.5</v>
      </c>
      <c r="T197" s="2">
        <f>+Q197-M197</f>
        <v>6.2000000000000028</v>
      </c>
    </row>
    <row r="198" spans="1:20">
      <c r="A198" s="6">
        <v>421</v>
      </c>
      <c r="B198" t="s">
        <v>54</v>
      </c>
      <c r="C198" t="s">
        <v>8</v>
      </c>
      <c r="D198">
        <v>50</v>
      </c>
      <c r="E198">
        <v>32</v>
      </c>
      <c r="F198" s="1">
        <f>+D198/(D198+E198)</f>
        <v>0.6097560975609756</v>
      </c>
      <c r="G198" s="2">
        <v>100.8</v>
      </c>
      <c r="H198" s="2">
        <v>97.8</v>
      </c>
      <c r="I198" s="2">
        <f>+G198-H198</f>
        <v>3</v>
      </c>
      <c r="J198" s="1">
        <f>+(G198^14)/((G198^14+H198^14))</f>
        <v>0.60419920235636659</v>
      </c>
      <c r="K198" s="2">
        <v>106.3</v>
      </c>
      <c r="L198" s="2">
        <v>103.3</v>
      </c>
      <c r="M198" s="2">
        <f>+K198-L198</f>
        <v>3</v>
      </c>
      <c r="N198" s="1">
        <f>+F198-J198</f>
        <v>5.5568952046090025E-3</v>
      </c>
      <c r="O198" s="2">
        <v>99.7</v>
      </c>
      <c r="P198" s="2">
        <v>90.5</v>
      </c>
      <c r="Q198" s="2">
        <f>+O198-P198</f>
        <v>9.2000000000000028</v>
      </c>
      <c r="R198" s="2">
        <v>1.5</v>
      </c>
      <c r="S198" s="2">
        <v>7.8</v>
      </c>
      <c r="T198" s="2">
        <f>+Q198-M198</f>
        <v>6.2000000000000028</v>
      </c>
    </row>
    <row r="199" spans="1:20">
      <c r="A199" s="6">
        <v>387</v>
      </c>
      <c r="B199" t="s">
        <v>52</v>
      </c>
      <c r="C199" t="s">
        <v>5</v>
      </c>
      <c r="D199">
        <v>38</v>
      </c>
      <c r="E199">
        <v>44</v>
      </c>
      <c r="F199" s="1">
        <f>+D199/(D199+E199)</f>
        <v>0.46341463414634149</v>
      </c>
      <c r="G199" s="2">
        <v>101</v>
      </c>
      <c r="H199" s="2">
        <v>101.5</v>
      </c>
      <c r="I199" s="2">
        <f>+G199-H199</f>
        <v>-0.5</v>
      </c>
      <c r="J199" s="1">
        <f>+(G199^14)/((G199^14+H199^14))</f>
        <v>0.48272289543770702</v>
      </c>
      <c r="K199" s="2">
        <v>104.9</v>
      </c>
      <c r="L199" s="2">
        <v>105.7</v>
      </c>
      <c r="M199" s="2">
        <f>+K199-L199</f>
        <v>-0.79999999999999716</v>
      </c>
      <c r="N199" s="1">
        <f>+F199-J199</f>
        <v>-1.9308261291365536E-2</v>
      </c>
      <c r="O199" s="2">
        <v>105.6</v>
      </c>
      <c r="P199" s="2">
        <v>100.2</v>
      </c>
      <c r="Q199" s="2">
        <f>+O199-P199</f>
        <v>5.3999999999999915</v>
      </c>
      <c r="R199" s="2">
        <v>-0.9</v>
      </c>
      <c r="S199" s="2">
        <v>-3.3</v>
      </c>
      <c r="T199" s="2">
        <f>+Q199-M199</f>
        <v>6.1999999999999886</v>
      </c>
    </row>
    <row r="200" spans="1:20">
      <c r="A200" s="6">
        <v>286</v>
      </c>
      <c r="B200" t="s">
        <v>47</v>
      </c>
      <c r="C200" t="s">
        <v>22</v>
      </c>
      <c r="D200">
        <v>29</v>
      </c>
      <c r="E200">
        <v>53</v>
      </c>
      <c r="F200" s="1">
        <f>+D200/(D200+E200)</f>
        <v>0.35365853658536583</v>
      </c>
      <c r="G200" s="2">
        <v>102.1</v>
      </c>
      <c r="H200" s="2">
        <v>105.9</v>
      </c>
      <c r="I200" s="2">
        <f>+G200-H200</f>
        <v>-3.8000000000000114</v>
      </c>
      <c r="J200" s="1">
        <f>+(G200^14)/((G200^14+H200^14))</f>
        <v>0.3748196047848904</v>
      </c>
      <c r="K200" s="2">
        <v>106.4</v>
      </c>
      <c r="L200" s="2">
        <v>110.3</v>
      </c>
      <c r="M200" s="2">
        <f>+K200-L200</f>
        <v>-3.8999999999999915</v>
      </c>
      <c r="N200" s="1">
        <f>+F200-J200</f>
        <v>-2.1161068199524569E-2</v>
      </c>
      <c r="O200" s="2">
        <v>99.7</v>
      </c>
      <c r="P200" s="2">
        <v>97.4</v>
      </c>
      <c r="Q200" s="2">
        <f>+O200-P200</f>
        <v>2.2999999999999972</v>
      </c>
      <c r="R200" s="2">
        <v>1</v>
      </c>
      <c r="S200" s="2">
        <v>5.7</v>
      </c>
      <c r="T200" s="2">
        <f>+Q200-M200</f>
        <v>6.1999999999999886</v>
      </c>
    </row>
    <row r="201" spans="1:20">
      <c r="A201" s="6">
        <v>548</v>
      </c>
      <c r="B201" t="s">
        <v>59</v>
      </c>
      <c r="C201" t="s">
        <v>15</v>
      </c>
      <c r="D201">
        <v>48</v>
      </c>
      <c r="E201">
        <v>34</v>
      </c>
      <c r="F201" s="1">
        <f>+D201/(D201+E201)</f>
        <v>0.58536585365853655</v>
      </c>
      <c r="G201" s="2">
        <v>108</v>
      </c>
      <c r="H201" s="2">
        <v>104.7</v>
      </c>
      <c r="I201" s="2">
        <f>+G201-H201</f>
        <v>3.2999999999999972</v>
      </c>
      <c r="J201" s="1">
        <f>+(G201^14)/((G201^14+H201^14))</f>
        <v>0.60693567293355</v>
      </c>
      <c r="K201" s="2">
        <v>109.4</v>
      </c>
      <c r="L201" s="2">
        <v>106</v>
      </c>
      <c r="M201" s="2">
        <f>+K201-L201</f>
        <v>3.4000000000000057</v>
      </c>
      <c r="N201" s="1">
        <f>+F201-J201</f>
        <v>-2.1569819275013447E-2</v>
      </c>
      <c r="O201" s="2">
        <v>113.9</v>
      </c>
      <c r="P201" s="2">
        <v>104.5</v>
      </c>
      <c r="Q201" s="2">
        <f>+O201-P201</f>
        <v>9.4000000000000057</v>
      </c>
      <c r="R201" s="2">
        <v>0.8</v>
      </c>
      <c r="S201" s="2">
        <v>2.2000000000000002</v>
      </c>
      <c r="T201" s="2">
        <f>+Q201-M201</f>
        <v>6</v>
      </c>
    </row>
    <row r="202" spans="1:20">
      <c r="A202" s="6">
        <v>175</v>
      </c>
      <c r="B202" t="s">
        <v>41</v>
      </c>
      <c r="C202" t="s">
        <v>31</v>
      </c>
      <c r="D202">
        <v>41</v>
      </c>
      <c r="E202">
        <v>41</v>
      </c>
      <c r="F202" s="1">
        <f>+D202/(D202+E202)</f>
        <v>0.5</v>
      </c>
      <c r="G202" s="2">
        <v>92.4</v>
      </c>
      <c r="H202" s="2">
        <v>95</v>
      </c>
      <c r="I202" s="2">
        <f>+G202-H202</f>
        <v>-2.5999999999999943</v>
      </c>
      <c r="J202" s="1">
        <f>+(G202^14)/((G202^14+H202^14))</f>
        <v>0.40407874070852795</v>
      </c>
      <c r="K202" s="2">
        <v>102.4</v>
      </c>
      <c r="L202" s="2">
        <v>105.1</v>
      </c>
      <c r="M202" s="2">
        <f>+K202-L202</f>
        <v>-2.6999999999999886</v>
      </c>
      <c r="N202" s="1">
        <f>+F202-J202</f>
        <v>9.592125929147205E-2</v>
      </c>
      <c r="O202" s="2">
        <v>107.2</v>
      </c>
      <c r="P202" s="2">
        <v>103.9</v>
      </c>
      <c r="Q202" s="2">
        <f>+O202-P202</f>
        <v>3.2999999999999972</v>
      </c>
      <c r="R202" s="2">
        <v>0.7</v>
      </c>
      <c r="S202" s="2">
        <v>3.5</v>
      </c>
      <c r="T202" s="2">
        <f>+Q202-M202</f>
        <v>5.9999999999999858</v>
      </c>
    </row>
    <row r="203" spans="1:20">
      <c r="A203" s="6">
        <v>129</v>
      </c>
      <c r="B203" t="s">
        <v>39</v>
      </c>
      <c r="C203" t="s">
        <v>17</v>
      </c>
      <c r="D203">
        <v>34</v>
      </c>
      <c r="E203">
        <v>48</v>
      </c>
      <c r="F203" s="1">
        <f>+D203/(D203+E203)</f>
        <v>0.41463414634146339</v>
      </c>
      <c r="G203" s="2">
        <v>98.7</v>
      </c>
      <c r="H203" s="2">
        <v>101.7</v>
      </c>
      <c r="I203" s="2">
        <f>+G203-H203</f>
        <v>-3</v>
      </c>
      <c r="J203" s="1">
        <f>+(G203^14)/((G203^14+H203^14))</f>
        <v>0.39670987603328994</v>
      </c>
      <c r="K203" s="2">
        <v>106.4</v>
      </c>
      <c r="L203" s="2">
        <v>109.6</v>
      </c>
      <c r="M203" s="2">
        <f>+K203-L203</f>
        <v>-3.1999999999999886</v>
      </c>
      <c r="N203" s="1">
        <f>+F203-J203</f>
        <v>1.7924270308173451E-2</v>
      </c>
      <c r="O203" s="2">
        <v>104.3</v>
      </c>
      <c r="P203" s="2">
        <v>101.5</v>
      </c>
      <c r="Q203" s="2">
        <f>+O203-P203</f>
        <v>2.7999999999999972</v>
      </c>
      <c r="R203" s="2">
        <v>0.7</v>
      </c>
      <c r="S203" s="2">
        <v>3.5</v>
      </c>
      <c r="T203" s="2">
        <f>+Q203-M203</f>
        <v>5.9999999999999858</v>
      </c>
    </row>
    <row r="204" spans="1:20">
      <c r="A204" s="6">
        <v>742</v>
      </c>
      <c r="B204" t="s">
        <v>65</v>
      </c>
      <c r="C204" t="s">
        <v>27</v>
      </c>
      <c r="D204">
        <v>40</v>
      </c>
      <c r="E204">
        <v>42</v>
      </c>
      <c r="F204" s="1">
        <f>+D204/(D204+E204)</f>
        <v>0.48780487804878048</v>
      </c>
      <c r="G204" s="2">
        <v>115.7</v>
      </c>
      <c r="H204" s="2">
        <v>115.3</v>
      </c>
      <c r="I204" s="2">
        <f>+G204-H204</f>
        <v>0.40000000000000568</v>
      </c>
      <c r="J204" s="1">
        <f>+(G204^14)/((G204^14+H204^14))</f>
        <v>0.51211885026131998</v>
      </c>
      <c r="K204" s="2">
        <v>115.9</v>
      </c>
      <c r="L204" s="2">
        <v>115.3</v>
      </c>
      <c r="M204" s="2">
        <f>+K204-L204</f>
        <v>0.60000000000000853</v>
      </c>
      <c r="N204" s="1">
        <f>+F204-J204</f>
        <v>-2.4313972212539503E-2</v>
      </c>
      <c r="O204" s="2">
        <v>114.8</v>
      </c>
      <c r="P204" s="2">
        <v>108.2</v>
      </c>
      <c r="Q204" s="2">
        <f>+O204-P204</f>
        <v>6.5999999999999943</v>
      </c>
      <c r="R204" s="2">
        <v>0.2</v>
      </c>
      <c r="S204" s="2">
        <v>0.2</v>
      </c>
      <c r="T204" s="2">
        <f>+Q204-M204</f>
        <v>5.9999999999999858</v>
      </c>
    </row>
    <row r="205" spans="1:20">
      <c r="A205" s="6">
        <v>209</v>
      </c>
      <c r="B205" t="s">
        <v>44</v>
      </c>
      <c r="C205" t="s">
        <v>40</v>
      </c>
      <c r="D205">
        <v>32</v>
      </c>
      <c r="E205">
        <v>50</v>
      </c>
      <c r="F205" s="1">
        <f>+D205/(D205+E205)</f>
        <v>0.3902439024390244</v>
      </c>
      <c r="G205" s="2">
        <v>97.1</v>
      </c>
      <c r="H205" s="2">
        <v>101.4</v>
      </c>
      <c r="I205" s="2">
        <f>+G205-H205</f>
        <v>-4.3000000000000114</v>
      </c>
      <c r="J205" s="1">
        <f>+(G205^14)/((G205^14+H205^14))</f>
        <v>0.35282512141387656</v>
      </c>
      <c r="K205" s="2">
        <v>103.7</v>
      </c>
      <c r="L205" s="2">
        <v>108.2</v>
      </c>
      <c r="M205" s="2">
        <f>+K205-L205</f>
        <v>-4.5</v>
      </c>
      <c r="N205" s="1">
        <f>+F205-J205</f>
        <v>3.741878102514784E-2</v>
      </c>
      <c r="O205" s="2">
        <v>101.9</v>
      </c>
      <c r="P205" s="2">
        <v>100.5</v>
      </c>
      <c r="Q205" s="2">
        <f>+O205-P205</f>
        <v>1.4000000000000057</v>
      </c>
      <c r="R205" s="2">
        <v>-0.5</v>
      </c>
      <c r="S205" s="2">
        <v>-1.6</v>
      </c>
      <c r="T205" s="2">
        <f>+Q205-M205</f>
        <v>5.9000000000000057</v>
      </c>
    </row>
    <row r="206" spans="1:20">
      <c r="A206" s="6">
        <v>567</v>
      </c>
      <c r="B206" t="s">
        <v>60</v>
      </c>
      <c r="C206" t="s">
        <v>5</v>
      </c>
      <c r="D206">
        <v>20</v>
      </c>
      <c r="E206">
        <v>47</v>
      </c>
      <c r="F206" s="1">
        <f>+D206/(D206+E206)</f>
        <v>0.29850746268656714</v>
      </c>
      <c r="G206" s="2">
        <v>111.8</v>
      </c>
      <c r="H206" s="2">
        <v>119.7</v>
      </c>
      <c r="I206" s="2">
        <f>+G206-H206</f>
        <v>-7.9000000000000057</v>
      </c>
      <c r="J206" s="1">
        <f>+(G206^14)/((G206^14+H206^14))</f>
        <v>0.27770410092072012</v>
      </c>
      <c r="K206" s="2">
        <v>107</v>
      </c>
      <c r="L206" s="2">
        <v>114.4</v>
      </c>
      <c r="M206" s="2">
        <f>+K206-L206</f>
        <v>-7.4000000000000057</v>
      </c>
      <c r="N206" s="1">
        <f>+F206-J206</f>
        <v>2.0803361765847017E-2</v>
      </c>
      <c r="O206" s="2">
        <v>97.4</v>
      </c>
      <c r="P206" s="2">
        <v>98.9</v>
      </c>
      <c r="Q206" s="2">
        <f>+O206-P206</f>
        <v>-1.5</v>
      </c>
      <c r="R206" s="2">
        <v>-1</v>
      </c>
      <c r="S206" s="2">
        <v>-6.2</v>
      </c>
      <c r="T206" s="2">
        <f>+Q206-M206</f>
        <v>5.9000000000000057</v>
      </c>
    </row>
    <row r="207" spans="1:20">
      <c r="A207" s="6">
        <v>139</v>
      </c>
      <c r="B207" t="s">
        <v>39</v>
      </c>
      <c r="C207" t="s">
        <v>25</v>
      </c>
      <c r="D207">
        <v>62</v>
      </c>
      <c r="E207">
        <v>20</v>
      </c>
      <c r="F207" s="1">
        <f>+D207/(D207+E207)</f>
        <v>0.75609756097560976</v>
      </c>
      <c r="G207" s="2">
        <v>110.4</v>
      </c>
      <c r="H207" s="2">
        <v>103.3</v>
      </c>
      <c r="I207" s="2">
        <f>+G207-H207</f>
        <v>7.1000000000000085</v>
      </c>
      <c r="J207" s="1">
        <f>+(G207^14)/((G207^14+H207^14))</f>
        <v>0.71720077079913214</v>
      </c>
      <c r="K207" s="2">
        <v>112.7</v>
      </c>
      <c r="L207" s="2">
        <v>105.7</v>
      </c>
      <c r="M207" s="2">
        <f>+K207-L207</f>
        <v>7</v>
      </c>
      <c r="N207" s="1">
        <f>+F207-J207</f>
        <v>3.8896790176477625E-2</v>
      </c>
      <c r="O207" s="2">
        <v>111.8</v>
      </c>
      <c r="P207" s="2">
        <v>98.9</v>
      </c>
      <c r="Q207" s="2">
        <f>+O207-P207</f>
        <v>12.899999999999991</v>
      </c>
      <c r="R207" s="2">
        <v>0.3</v>
      </c>
      <c r="S207" s="2">
        <v>4.7</v>
      </c>
      <c r="T207" s="2">
        <f>+Q207-M207</f>
        <v>5.8999999999999915</v>
      </c>
    </row>
    <row r="208" spans="1:20">
      <c r="A208" s="6">
        <v>755</v>
      </c>
      <c r="B208" t="s">
        <v>66</v>
      </c>
      <c r="C208" t="s">
        <v>12</v>
      </c>
      <c r="D208">
        <v>45</v>
      </c>
      <c r="E208">
        <v>17</v>
      </c>
      <c r="F208" s="1">
        <f>+D208/(D208+E208)</f>
        <v>0.72580645161290325</v>
      </c>
      <c r="G208" s="2">
        <v>116.8</v>
      </c>
      <c r="H208" s="2">
        <v>109.6</v>
      </c>
      <c r="I208" s="2">
        <f>+G208-H208</f>
        <v>7.2000000000000028</v>
      </c>
      <c r="J208" s="1">
        <f>+(G208^14)/((G208^14+H208^14))</f>
        <v>0.70904693182577805</v>
      </c>
      <c r="K208" s="2">
        <v>116.1</v>
      </c>
      <c r="L208" s="2">
        <v>108.7</v>
      </c>
      <c r="M208" s="2">
        <f>+K208-L208</f>
        <v>7.3999999999999915</v>
      </c>
      <c r="N208" s="1">
        <f>+F208-J208</f>
        <v>1.6759519787125199E-2</v>
      </c>
      <c r="O208" s="2">
        <v>116.3</v>
      </c>
      <c r="P208" s="2">
        <v>103.1</v>
      </c>
      <c r="Q208" s="2">
        <f>+O208-P208</f>
        <v>13.200000000000003</v>
      </c>
      <c r="R208" s="2">
        <v>1.1000000000000001</v>
      </c>
      <c r="S208" s="2">
        <v>5.2</v>
      </c>
      <c r="T208" s="2">
        <f>+Q208-M208</f>
        <v>5.8000000000000114</v>
      </c>
    </row>
    <row r="209" spans="1:20">
      <c r="A209" s="6">
        <v>511</v>
      </c>
      <c r="B209" t="s">
        <v>58</v>
      </c>
      <c r="C209" t="s">
        <v>8</v>
      </c>
      <c r="D209">
        <v>27</v>
      </c>
      <c r="E209">
        <v>55</v>
      </c>
      <c r="F209" s="1">
        <f>+D209/(D209+E209)</f>
        <v>0.32926829268292684</v>
      </c>
      <c r="G209" s="2">
        <v>102.9</v>
      </c>
      <c r="H209" s="2">
        <v>110</v>
      </c>
      <c r="I209" s="2">
        <f>+G209-H209</f>
        <v>-7.0999999999999943</v>
      </c>
      <c r="J209" s="1">
        <f>+(G209^14)/((G209^14+H209^14))</f>
        <v>0.28208998434784138</v>
      </c>
      <c r="K209" s="2">
        <v>103.4</v>
      </c>
      <c r="L209" s="2">
        <v>110.5</v>
      </c>
      <c r="M209" s="2">
        <f>+K209-L209</f>
        <v>-7.0999999999999943</v>
      </c>
      <c r="N209" s="1">
        <f>+F209-J209</f>
        <v>4.7178308335085462E-2</v>
      </c>
      <c r="O209" s="2">
        <v>98.4</v>
      </c>
      <c r="P209" s="2">
        <v>99.7</v>
      </c>
      <c r="Q209" s="2">
        <f>+O209-P209</f>
        <v>-1.2999999999999972</v>
      </c>
      <c r="R209" s="2">
        <v>-0.5</v>
      </c>
      <c r="S209" s="2">
        <v>-4.5</v>
      </c>
      <c r="T209" s="2">
        <f>+Q209-M209</f>
        <v>5.7999999999999972</v>
      </c>
    </row>
    <row r="210" spans="1:20">
      <c r="A210" s="6">
        <v>438</v>
      </c>
      <c r="B210" t="s">
        <v>54</v>
      </c>
      <c r="C210" t="s">
        <v>23</v>
      </c>
      <c r="D210">
        <v>25</v>
      </c>
      <c r="E210">
        <v>57</v>
      </c>
      <c r="F210" s="1">
        <f>+D210/(D210+E210)</f>
        <v>0.3048780487804878</v>
      </c>
      <c r="G210" s="2">
        <v>95.7</v>
      </c>
      <c r="H210" s="2">
        <v>101.4</v>
      </c>
      <c r="I210" s="2">
        <f>+G210-H210</f>
        <v>-5.7000000000000028</v>
      </c>
      <c r="J210" s="1">
        <f>+(G210^14)/((G210^14+H210^14))</f>
        <v>0.3078975070073538</v>
      </c>
      <c r="K210" s="2">
        <v>101</v>
      </c>
      <c r="L210" s="2">
        <v>106.8</v>
      </c>
      <c r="M210" s="2">
        <f>+K210-L210</f>
        <v>-5.7999999999999972</v>
      </c>
      <c r="N210" s="1">
        <f>+F210-J210</f>
        <v>-3.0194582268660008E-3</v>
      </c>
      <c r="O210" s="2">
        <v>100</v>
      </c>
      <c r="P210" s="2">
        <v>100</v>
      </c>
      <c r="Q210" s="2">
        <f>+O210-P210</f>
        <v>0</v>
      </c>
      <c r="R210" s="2">
        <v>-0.5</v>
      </c>
      <c r="S210" s="2">
        <v>-2.6</v>
      </c>
      <c r="T210" s="2">
        <f>+Q210-M210</f>
        <v>5.7999999999999972</v>
      </c>
    </row>
    <row r="211" spans="1:20">
      <c r="A211" s="6">
        <v>134</v>
      </c>
      <c r="B211" t="s">
        <v>39</v>
      </c>
      <c r="C211" t="s">
        <v>21</v>
      </c>
      <c r="D211">
        <v>42</v>
      </c>
      <c r="E211">
        <v>40</v>
      </c>
      <c r="F211" s="1">
        <f>+D211/(D211+E211)</f>
        <v>0.51219512195121952</v>
      </c>
      <c r="G211" s="2">
        <v>91.4</v>
      </c>
      <c r="H211" s="2">
        <v>92.9</v>
      </c>
      <c r="I211" s="2">
        <f>+G211-H211</f>
        <v>-1.5</v>
      </c>
      <c r="J211" s="1">
        <f>+(G211^14)/((G211^14+H211^14))</f>
        <v>0.44327172117741881</v>
      </c>
      <c r="K211" s="2">
        <v>99.9</v>
      </c>
      <c r="L211" s="2">
        <v>101.6</v>
      </c>
      <c r="M211" s="2">
        <f>+K211-L211</f>
        <v>-1.6999999999999886</v>
      </c>
      <c r="N211" s="1">
        <f>+F211-J211</f>
        <v>6.8923400773800714E-2</v>
      </c>
      <c r="O211" s="2">
        <v>100</v>
      </c>
      <c r="P211" s="2">
        <v>95.9</v>
      </c>
      <c r="Q211" s="2">
        <f>+O211-P211</f>
        <v>4.0999999999999943</v>
      </c>
      <c r="R211" s="2">
        <v>-2.2000000000000002</v>
      </c>
      <c r="S211" s="2">
        <v>-11</v>
      </c>
      <c r="T211" s="2">
        <f>+Q211-M211</f>
        <v>5.7999999999999829</v>
      </c>
    </row>
    <row r="212" spans="1:20">
      <c r="A212" s="6">
        <v>648</v>
      </c>
      <c r="B212" t="s">
        <v>62</v>
      </c>
      <c r="C212" t="s">
        <v>23</v>
      </c>
      <c r="D212">
        <v>22</v>
      </c>
      <c r="E212">
        <v>60</v>
      </c>
      <c r="F212" s="1">
        <f>+D212/(D212+E212)</f>
        <v>0.26829268292682928</v>
      </c>
      <c r="G212" s="2">
        <v>104.2</v>
      </c>
      <c r="H212" s="2">
        <v>112.2</v>
      </c>
      <c r="I212" s="2">
        <f>+G212-H212</f>
        <v>-8</v>
      </c>
      <c r="J212" s="1">
        <f>+(G212^14)/((G212^14+H212^14))</f>
        <v>0.26200139759286833</v>
      </c>
      <c r="K212" s="2">
        <v>103.9</v>
      </c>
      <c r="L212" s="2">
        <v>112.1</v>
      </c>
      <c r="M212" s="2">
        <f>+K212-L212</f>
        <v>-8.1999999999999886</v>
      </c>
      <c r="N212" s="1">
        <f>+F212-J212</f>
        <v>6.2912853339609498E-3</v>
      </c>
      <c r="O212" s="2">
        <v>98.8</v>
      </c>
      <c r="P212" s="2">
        <v>101.2</v>
      </c>
      <c r="Q212" s="2">
        <f>+O212-P212</f>
        <v>-2.4000000000000057</v>
      </c>
      <c r="R212" s="2">
        <v>-0.2</v>
      </c>
      <c r="S212" s="2">
        <v>-1.6</v>
      </c>
      <c r="T212" s="2">
        <f>+Q212-M212</f>
        <v>5.7999999999999829</v>
      </c>
    </row>
    <row r="213" spans="1:20">
      <c r="A213" s="6">
        <v>200</v>
      </c>
      <c r="B213" t="s">
        <v>43</v>
      </c>
      <c r="C213" t="s">
        <v>26</v>
      </c>
      <c r="D213">
        <v>32</v>
      </c>
      <c r="E213">
        <v>50</v>
      </c>
      <c r="F213" s="1">
        <f>+D213/(D213+E213)</f>
        <v>0.3902439024390244</v>
      </c>
      <c r="G213" s="2">
        <v>94.1</v>
      </c>
      <c r="H213" s="2">
        <v>98.4</v>
      </c>
      <c r="I213" s="2">
        <f>+G213-H213</f>
        <v>-4.3000000000000114</v>
      </c>
      <c r="J213" s="1">
        <f>+(G213^14)/((G213^14+H213^14))</f>
        <v>0.34851829160504433</v>
      </c>
      <c r="K213" s="2">
        <v>103.8</v>
      </c>
      <c r="L213" s="2">
        <v>108.6</v>
      </c>
      <c r="M213" s="2">
        <f>+K213-L213</f>
        <v>-4.7999999999999972</v>
      </c>
      <c r="N213" s="1">
        <f>+F213-J213</f>
        <v>4.1725610833980076E-2</v>
      </c>
      <c r="O213" s="2">
        <v>113.4</v>
      </c>
      <c r="P213" s="2">
        <v>112.5</v>
      </c>
      <c r="Q213" s="2">
        <f>+O213-P213</f>
        <v>0.90000000000000568</v>
      </c>
      <c r="R213" s="2">
        <v>-0.5</v>
      </c>
      <c r="S213" s="2">
        <v>-2.1</v>
      </c>
      <c r="T213" s="2">
        <f>+Q213-M213</f>
        <v>5.7000000000000028</v>
      </c>
    </row>
    <row r="214" spans="1:20">
      <c r="A214" s="6">
        <v>525</v>
      </c>
      <c r="B214" t="s">
        <v>58</v>
      </c>
      <c r="C214" t="s">
        <v>53</v>
      </c>
      <c r="D214">
        <v>48</v>
      </c>
      <c r="E214">
        <v>34</v>
      </c>
      <c r="F214" s="1">
        <f>+D214/(D214+E214)</f>
        <v>0.58536585365853655</v>
      </c>
      <c r="G214" s="2">
        <v>111.7</v>
      </c>
      <c r="H214" s="2">
        <v>110.4</v>
      </c>
      <c r="I214" s="2">
        <f>+G214-H214</f>
        <v>1.2999999999999972</v>
      </c>
      <c r="J214" s="1">
        <f>+(G214^14)/((G214^14+H214^14))</f>
        <v>0.54088153523494542</v>
      </c>
      <c r="K214" s="2">
        <v>108.5</v>
      </c>
      <c r="L214" s="2">
        <v>107.4</v>
      </c>
      <c r="M214" s="2">
        <f>+K214-L214</f>
        <v>1.0999999999999943</v>
      </c>
      <c r="N214" s="1">
        <f>+F214-J214</f>
        <v>4.4484318423591129E-2</v>
      </c>
      <c r="O214" s="2">
        <v>106</v>
      </c>
      <c r="P214" s="2">
        <v>99.3</v>
      </c>
      <c r="Q214" s="2">
        <f>+O214-P214</f>
        <v>6.7000000000000028</v>
      </c>
      <c r="R214" s="2">
        <v>0.2</v>
      </c>
      <c r="S214" s="2">
        <v>1.8</v>
      </c>
      <c r="T214" s="2">
        <f>+Q214-M214</f>
        <v>5.6000000000000085</v>
      </c>
    </row>
    <row r="215" spans="1:20">
      <c r="A215" s="6">
        <v>204</v>
      </c>
      <c r="B215" t="s">
        <v>43</v>
      </c>
      <c r="C215" t="s">
        <v>30</v>
      </c>
      <c r="D215">
        <v>47</v>
      </c>
      <c r="E215">
        <v>35</v>
      </c>
      <c r="F215" s="1">
        <f>+D215/(D215+E215)</f>
        <v>0.57317073170731703</v>
      </c>
      <c r="G215" s="2">
        <v>99.5</v>
      </c>
      <c r="H215" s="2">
        <v>98.5</v>
      </c>
      <c r="I215" s="2">
        <f>+G215-H215</f>
        <v>1</v>
      </c>
      <c r="J215" s="1">
        <f>+(G215^14)/((G215^14+H215^14))</f>
        <v>0.53529503549100332</v>
      </c>
      <c r="K215" s="2">
        <v>105.7</v>
      </c>
      <c r="L215" s="2">
        <v>104.4</v>
      </c>
      <c r="M215" s="2">
        <f>+K215-L215</f>
        <v>1.2999999999999972</v>
      </c>
      <c r="N215" s="1">
        <f>+F215-J215</f>
        <v>3.7875696216313703E-2</v>
      </c>
      <c r="O215" s="2">
        <v>106.6</v>
      </c>
      <c r="P215" s="2">
        <v>99.7</v>
      </c>
      <c r="Q215" s="2">
        <f>+O215-P215</f>
        <v>6.8999999999999915</v>
      </c>
      <c r="R215" s="2">
        <v>0.3</v>
      </c>
      <c r="S215" s="2">
        <v>2.7</v>
      </c>
      <c r="T215" s="2">
        <f>+Q215-M215</f>
        <v>5.5999999999999943</v>
      </c>
    </row>
    <row r="216" spans="1:20">
      <c r="A216" s="6">
        <v>491</v>
      </c>
      <c r="B216" t="s">
        <v>57</v>
      </c>
      <c r="C216" t="s">
        <v>35</v>
      </c>
      <c r="D216">
        <v>43</v>
      </c>
      <c r="E216">
        <v>39</v>
      </c>
      <c r="F216" s="1">
        <f>+D216/(D216+E216)</f>
        <v>0.52439024390243905</v>
      </c>
      <c r="G216" s="2">
        <v>100.5</v>
      </c>
      <c r="H216" s="2">
        <v>100</v>
      </c>
      <c r="I216" s="2">
        <f>+G216-H216</f>
        <v>0.5</v>
      </c>
      <c r="J216" s="1">
        <f>+(G216^14)/((G216^14+H216^14))</f>
        <v>0.51744930619443652</v>
      </c>
      <c r="K216" s="2">
        <v>107</v>
      </c>
      <c r="L216" s="2">
        <v>106.5</v>
      </c>
      <c r="M216" s="2">
        <f>+K216-L216</f>
        <v>0.5</v>
      </c>
      <c r="N216" s="1">
        <f>+F216-J216</f>
        <v>6.9409377080025259E-3</v>
      </c>
      <c r="O216" s="2">
        <v>101.1</v>
      </c>
      <c r="P216" s="2">
        <v>95</v>
      </c>
      <c r="Q216" s="2">
        <f>+O216-P216</f>
        <v>6.0999999999999943</v>
      </c>
      <c r="R216" s="2">
        <v>1.2</v>
      </c>
      <c r="S216" s="2">
        <v>2.6</v>
      </c>
      <c r="T216" s="2">
        <f>+Q216-M216</f>
        <v>5.5999999999999943</v>
      </c>
    </row>
    <row r="217" spans="1:20">
      <c r="A217" s="6">
        <v>599</v>
      </c>
      <c r="B217" t="s">
        <v>61</v>
      </c>
      <c r="C217" t="s">
        <v>51</v>
      </c>
      <c r="D217">
        <v>48</v>
      </c>
      <c r="E217">
        <v>24</v>
      </c>
      <c r="F217" s="1">
        <f>+D217/(D217+E217)</f>
        <v>0.66666666666666663</v>
      </c>
      <c r="G217" s="2">
        <v>118.6</v>
      </c>
      <c r="H217" s="2">
        <v>114.1</v>
      </c>
      <c r="I217" s="2">
        <f>+G217-H217</f>
        <v>4.5</v>
      </c>
      <c r="J217" s="1">
        <f>+(G217^14)/((G217^14+H217^14))</f>
        <v>0.63216994078193656</v>
      </c>
      <c r="K217" s="2">
        <v>117.3</v>
      </c>
      <c r="L217" s="2">
        <v>113.1</v>
      </c>
      <c r="M217" s="2">
        <f>+K217-L217</f>
        <v>4.2000000000000028</v>
      </c>
      <c r="N217" s="1">
        <f>+F217-J217</f>
        <v>3.4496725884730073E-2</v>
      </c>
      <c r="O217" s="2">
        <v>113.2</v>
      </c>
      <c r="P217" s="2">
        <v>103.5</v>
      </c>
      <c r="Q217" s="2">
        <f>+O217-P217</f>
        <v>9.7000000000000028</v>
      </c>
      <c r="R217" s="2">
        <v>0.9</v>
      </c>
      <c r="S217" s="2">
        <v>6.2</v>
      </c>
      <c r="T217" s="2">
        <f>+Q217-M217</f>
        <v>5.5</v>
      </c>
    </row>
    <row r="218" spans="1:20">
      <c r="A218" s="6">
        <v>22</v>
      </c>
      <c r="B218" t="s">
        <v>4</v>
      </c>
      <c r="C218" t="s">
        <v>26</v>
      </c>
      <c r="D218">
        <v>50</v>
      </c>
      <c r="E218">
        <v>32</v>
      </c>
      <c r="F218" s="1">
        <f>+D218/(D218+E218)</f>
        <v>0.6097560975609756</v>
      </c>
      <c r="G218" s="2">
        <v>95.4</v>
      </c>
      <c r="H218" s="2">
        <v>91.2</v>
      </c>
      <c r="I218" s="2">
        <f>+G218-H218</f>
        <v>4.2000000000000028</v>
      </c>
      <c r="J218" s="1">
        <f>+(G218^14)/((G218^14+H218^14))</f>
        <v>0.65256463390669783</v>
      </c>
      <c r="K218" s="2">
        <v>104.7</v>
      </c>
      <c r="L218" s="2">
        <v>100.5</v>
      </c>
      <c r="M218" s="2">
        <f>+K218-L218</f>
        <v>4.2000000000000028</v>
      </c>
      <c r="N218" s="1">
        <f>+F218-J218</f>
        <v>-4.2808536345722237E-2</v>
      </c>
      <c r="O218" s="2">
        <v>109.3</v>
      </c>
      <c r="P218" s="2">
        <v>99.6</v>
      </c>
      <c r="Q218" s="2">
        <f>+O218-P218</f>
        <v>9.7000000000000028</v>
      </c>
      <c r="R218" s="2">
        <v>0.3</v>
      </c>
      <c r="S218" s="2">
        <v>1</v>
      </c>
      <c r="T218" s="2">
        <f>+Q218-M218</f>
        <v>5.5</v>
      </c>
    </row>
    <row r="219" spans="1:20">
      <c r="A219" s="6">
        <v>161</v>
      </c>
      <c r="B219" t="s">
        <v>41</v>
      </c>
      <c r="C219" t="s">
        <v>18</v>
      </c>
      <c r="D219">
        <v>52</v>
      </c>
      <c r="E219">
        <v>30</v>
      </c>
      <c r="F219" s="1">
        <f>+D219/(D219+E219)</f>
        <v>0.63414634146341464</v>
      </c>
      <c r="G219" s="2">
        <v>99.9</v>
      </c>
      <c r="H219" s="2">
        <v>96</v>
      </c>
      <c r="I219" s="2">
        <f>+G219-H219</f>
        <v>3.9000000000000057</v>
      </c>
      <c r="J219" s="1">
        <f>+(G219^14)/((G219^14+H219^14))</f>
        <v>0.63587410412119993</v>
      </c>
      <c r="K219" s="2">
        <v>107.5</v>
      </c>
      <c r="L219" s="2">
        <v>103.4</v>
      </c>
      <c r="M219" s="2">
        <f>+K219-L219</f>
        <v>4.0999999999999943</v>
      </c>
      <c r="N219" s="1">
        <f>+F219-J219</f>
        <v>-1.7277626577852923E-3</v>
      </c>
      <c r="O219" s="2">
        <v>115.1</v>
      </c>
      <c r="P219" s="2">
        <v>105.6</v>
      </c>
      <c r="Q219" s="2">
        <f>+O219-P219</f>
        <v>9.5</v>
      </c>
      <c r="R219" s="2">
        <v>1.5</v>
      </c>
      <c r="S219" s="2">
        <v>5.7</v>
      </c>
      <c r="T219" s="2">
        <f>+Q219-M219</f>
        <v>5.4000000000000057</v>
      </c>
    </row>
    <row r="220" spans="1:20">
      <c r="A220" s="6">
        <v>50</v>
      </c>
      <c r="B220" t="s">
        <v>34</v>
      </c>
      <c r="C220" t="s">
        <v>24</v>
      </c>
      <c r="D220">
        <v>43</v>
      </c>
      <c r="E220">
        <v>39</v>
      </c>
      <c r="F220" s="1">
        <f>+D220/(D220+E220)</f>
        <v>0.52439024390243905</v>
      </c>
      <c r="G220" s="2">
        <v>91</v>
      </c>
      <c r="H220" s="2">
        <v>89.4</v>
      </c>
      <c r="I220" s="2">
        <f>+G220-H220</f>
        <v>1.5999999999999943</v>
      </c>
      <c r="J220" s="1">
        <f>+(G220^14)/((G220^14+H220^14))</f>
        <v>0.56176874789874143</v>
      </c>
      <c r="K220" s="2">
        <v>100.5</v>
      </c>
      <c r="L220" s="2">
        <v>98.7</v>
      </c>
      <c r="M220" s="2">
        <f>+K220-L220</f>
        <v>1.7999999999999972</v>
      </c>
      <c r="N220" s="1">
        <f>+F220-J220</f>
        <v>-3.7378503996302381E-2</v>
      </c>
      <c r="O220" s="2">
        <v>90.2</v>
      </c>
      <c r="P220" s="2">
        <v>83</v>
      </c>
      <c r="Q220" s="2">
        <f>+O220-P220</f>
        <v>7.2000000000000028</v>
      </c>
      <c r="R220" s="2">
        <v>0</v>
      </c>
      <c r="S220" s="2">
        <v>0.1</v>
      </c>
      <c r="T220" s="2">
        <f>+Q220-M220</f>
        <v>5.4000000000000057</v>
      </c>
    </row>
    <row r="221" spans="1:20">
      <c r="A221" s="6">
        <v>385</v>
      </c>
      <c r="B221" t="s">
        <v>50</v>
      </c>
      <c r="C221" t="s">
        <v>31</v>
      </c>
      <c r="D221">
        <v>43</v>
      </c>
      <c r="E221">
        <v>39</v>
      </c>
      <c r="F221" s="1">
        <f>+D221/(D221+E221)</f>
        <v>0.52439024390243905</v>
      </c>
      <c r="G221" s="2">
        <v>98</v>
      </c>
      <c r="H221" s="2">
        <v>98.1</v>
      </c>
      <c r="I221" s="2">
        <f>+G221-H221</f>
        <v>-9.9999999999994316E-2</v>
      </c>
      <c r="J221" s="1">
        <f>+(G221^14)/((G221^14+H221^14))</f>
        <v>0.49643045299187905</v>
      </c>
      <c r="K221" s="2">
        <v>105.4</v>
      </c>
      <c r="L221" s="2">
        <v>105.6</v>
      </c>
      <c r="M221" s="2">
        <f>+K221-L221</f>
        <v>-0.19999999999998863</v>
      </c>
      <c r="N221" s="1">
        <f>+F221-J221</f>
        <v>2.7959790910560001E-2</v>
      </c>
      <c r="O221" s="2">
        <v>106.4</v>
      </c>
      <c r="P221" s="2">
        <v>101.2</v>
      </c>
      <c r="Q221" s="2">
        <f>+O221-P221</f>
        <v>5.2000000000000028</v>
      </c>
      <c r="R221" s="2">
        <v>-0.1</v>
      </c>
      <c r="S221" s="2">
        <v>-0.7</v>
      </c>
      <c r="T221" s="2">
        <f>+Q221-M221</f>
        <v>5.3999999999999915</v>
      </c>
    </row>
    <row r="222" spans="1:20">
      <c r="A222" s="6">
        <v>773</v>
      </c>
      <c r="B222" t="s">
        <v>66</v>
      </c>
      <c r="C222" t="s">
        <v>28</v>
      </c>
      <c r="D222">
        <v>45</v>
      </c>
      <c r="E222">
        <v>17</v>
      </c>
      <c r="F222" s="1">
        <f>+D222/(D222+E222)</f>
        <v>0.72580645161290325</v>
      </c>
      <c r="G222" s="2">
        <v>118.3</v>
      </c>
      <c r="H222" s="2">
        <v>111.4</v>
      </c>
      <c r="I222" s="2">
        <f>+G222-H222</f>
        <v>6.8999999999999915</v>
      </c>
      <c r="J222" s="1">
        <f>+(G222^14)/((G222^14+H222^14))</f>
        <v>0.69874950937248992</v>
      </c>
      <c r="K222" s="2">
        <v>117.3</v>
      </c>
      <c r="L222" s="2">
        <v>110.2</v>
      </c>
      <c r="M222" s="2">
        <f>+K222-L222</f>
        <v>7.0999999999999943</v>
      </c>
      <c r="N222" s="1">
        <f>+F222-J222</f>
        <v>2.7056942240413329E-2</v>
      </c>
      <c r="O222" s="2">
        <v>128.19999999999999</v>
      </c>
      <c r="P222" s="2">
        <v>115.8</v>
      </c>
      <c r="Q222" s="2">
        <f>+O222-P222</f>
        <v>12.399999999999991</v>
      </c>
      <c r="R222" s="2">
        <v>1.3</v>
      </c>
      <c r="S222" s="2">
        <v>4.3</v>
      </c>
      <c r="T222" s="2">
        <f>+Q222-M222</f>
        <v>5.2999999999999972</v>
      </c>
    </row>
    <row r="223" spans="1:20">
      <c r="A223" s="6">
        <v>103</v>
      </c>
      <c r="B223" t="s">
        <v>38</v>
      </c>
      <c r="C223" t="s">
        <v>20</v>
      </c>
      <c r="D223">
        <v>58</v>
      </c>
      <c r="E223">
        <v>24</v>
      </c>
      <c r="F223" s="1">
        <f>+D223/(D223+E223)</f>
        <v>0.70731707317073167</v>
      </c>
      <c r="G223" s="2">
        <v>94.5</v>
      </c>
      <c r="H223" s="2">
        <v>89.1</v>
      </c>
      <c r="I223" s="2">
        <f>+G223-H223</f>
        <v>5.4000000000000057</v>
      </c>
      <c r="J223" s="1">
        <f>+(G223^14)/((G223^14+H223^14))</f>
        <v>0.6950353841239254</v>
      </c>
      <c r="K223" s="2">
        <v>104.2</v>
      </c>
      <c r="L223" s="2">
        <v>98.5</v>
      </c>
      <c r="M223" s="2">
        <f>+K223-L223</f>
        <v>5.7000000000000028</v>
      </c>
      <c r="N223" s="1">
        <f>+F223-J223</f>
        <v>1.2281689046806266E-2</v>
      </c>
      <c r="O223" s="2">
        <v>110.4</v>
      </c>
      <c r="P223" s="2">
        <v>99.4</v>
      </c>
      <c r="Q223" s="2">
        <f>+O223-P223</f>
        <v>11</v>
      </c>
      <c r="R223" s="2">
        <v>1.3</v>
      </c>
      <c r="S223" s="2">
        <v>6.8</v>
      </c>
      <c r="T223" s="2">
        <f>+Q223-M223</f>
        <v>5.2999999999999972</v>
      </c>
    </row>
    <row r="224" spans="1:20">
      <c r="A224" s="6">
        <v>434</v>
      </c>
      <c r="B224" t="s">
        <v>54</v>
      </c>
      <c r="C224" t="s">
        <v>20</v>
      </c>
      <c r="D224">
        <v>16</v>
      </c>
      <c r="E224">
        <v>66</v>
      </c>
      <c r="F224" s="1">
        <f>+D224/(D224+E224)</f>
        <v>0.1951219512195122</v>
      </c>
      <c r="G224" s="2">
        <v>97.8</v>
      </c>
      <c r="H224" s="2">
        <v>106.5</v>
      </c>
      <c r="I224" s="2">
        <f>+G224-H224</f>
        <v>-8.7000000000000028</v>
      </c>
      <c r="J224" s="1">
        <f>+(G224^14)/((G224^14+H224^14))</f>
        <v>0.23270751266872564</v>
      </c>
      <c r="K224" s="2">
        <v>101.8</v>
      </c>
      <c r="L224" s="2">
        <v>110.9</v>
      </c>
      <c r="M224" s="2">
        <f>+K224-L224</f>
        <v>-9.1000000000000085</v>
      </c>
      <c r="N224" s="1">
        <f>+F224-J224</f>
        <v>-3.7585561449213434E-2</v>
      </c>
      <c r="O224" s="2">
        <v>103.7</v>
      </c>
      <c r="P224" s="2">
        <v>107.6</v>
      </c>
      <c r="Q224" s="2">
        <f>+O224-P224</f>
        <v>-3.8999999999999915</v>
      </c>
      <c r="R224" s="2">
        <v>-0.1</v>
      </c>
      <c r="S224" s="2">
        <v>-0.5</v>
      </c>
      <c r="T224" s="2">
        <f>+Q224-M224</f>
        <v>5.2000000000000171</v>
      </c>
    </row>
    <row r="225" spans="1:20">
      <c r="A225" s="6">
        <v>360</v>
      </c>
      <c r="B225" t="s">
        <v>50</v>
      </c>
      <c r="C225" t="s">
        <v>40</v>
      </c>
      <c r="D225">
        <v>21</v>
      </c>
      <c r="E225">
        <v>61</v>
      </c>
      <c r="F225" s="1">
        <f>+D225/(D225+E225)</f>
        <v>0.25609756097560976</v>
      </c>
      <c r="G225" s="2">
        <v>93.4</v>
      </c>
      <c r="H225" s="2">
        <v>102.7</v>
      </c>
      <c r="I225" s="2">
        <f>+G225-H225</f>
        <v>-9.2999999999999972</v>
      </c>
      <c r="J225" s="1">
        <f>+(G225^14)/((G225^14+H225^14))</f>
        <v>0.20934289845958631</v>
      </c>
      <c r="K225" s="2">
        <v>100.4</v>
      </c>
      <c r="L225" s="2">
        <v>110.3</v>
      </c>
      <c r="M225" s="2">
        <f>+K225-L225</f>
        <v>-9.8999999999999915</v>
      </c>
      <c r="N225" s="1">
        <f>+F225-J225</f>
        <v>4.6754662516023449E-2</v>
      </c>
      <c r="O225" s="2">
        <v>95.9</v>
      </c>
      <c r="P225" s="2">
        <v>100.6</v>
      </c>
      <c r="Q225" s="2">
        <f>+O225-P225</f>
        <v>-4.6999999999999886</v>
      </c>
      <c r="R225" s="2">
        <v>-1.8</v>
      </c>
      <c r="S225" s="2">
        <v>-9.1999999999999993</v>
      </c>
      <c r="T225" s="2">
        <f>+Q225-M225</f>
        <v>5.2000000000000028</v>
      </c>
    </row>
    <row r="226" spans="1:20">
      <c r="A226" s="6">
        <v>231</v>
      </c>
      <c r="B226" t="s">
        <v>44</v>
      </c>
      <c r="C226" t="s">
        <v>27</v>
      </c>
      <c r="D226">
        <v>38</v>
      </c>
      <c r="E226">
        <v>44</v>
      </c>
      <c r="F226" s="1">
        <f>+D226/(D226+E226)</f>
        <v>0.46341463414634149</v>
      </c>
      <c r="G226" s="2">
        <v>102.5</v>
      </c>
      <c r="H226" s="2">
        <v>104.8</v>
      </c>
      <c r="I226" s="2">
        <f>+G226-H226</f>
        <v>-2.2999999999999972</v>
      </c>
      <c r="J226" s="1">
        <f>+(G226^14)/((G226^14+H226^14))</f>
        <v>0.42295032284639811</v>
      </c>
      <c r="K226" s="2">
        <v>106.2</v>
      </c>
      <c r="L226" s="2">
        <v>108.6</v>
      </c>
      <c r="M226" s="2">
        <f>+K226-L226</f>
        <v>-2.3999999999999915</v>
      </c>
      <c r="N226" s="1">
        <f>+F226-J226</f>
        <v>4.0464311299943378E-2</v>
      </c>
      <c r="O226" s="2">
        <v>109.5</v>
      </c>
      <c r="P226" s="2">
        <v>106.7</v>
      </c>
      <c r="Q226" s="2">
        <f>+O226-P226</f>
        <v>2.7999999999999972</v>
      </c>
      <c r="R226" s="2">
        <v>-0.6</v>
      </c>
      <c r="S226" s="2">
        <v>-3.2</v>
      </c>
      <c r="T226" s="2">
        <f>+Q226-M226</f>
        <v>5.1999999999999886</v>
      </c>
    </row>
    <row r="227" spans="1:20">
      <c r="A227" s="6">
        <v>107</v>
      </c>
      <c r="B227" t="s">
        <v>38</v>
      </c>
      <c r="C227" t="s">
        <v>23</v>
      </c>
      <c r="D227">
        <v>21</v>
      </c>
      <c r="E227">
        <v>61</v>
      </c>
      <c r="F227" s="1">
        <f>+D227/(D227+E227)</f>
        <v>0.25609756097560976</v>
      </c>
      <c r="G227" s="2">
        <v>94</v>
      </c>
      <c r="H227" s="2">
        <v>101.1</v>
      </c>
      <c r="I227" s="2">
        <f>+G227-H227</f>
        <v>-7.0999999999999943</v>
      </c>
      <c r="J227" s="1">
        <f>+(G227^14)/((G227^14+H227^14))</f>
        <v>0.26514140361954713</v>
      </c>
      <c r="K227" s="2">
        <v>101.4</v>
      </c>
      <c r="L227" s="2">
        <v>108.8</v>
      </c>
      <c r="M227" s="2">
        <f>+K227-L227</f>
        <v>-7.3999999999999915</v>
      </c>
      <c r="N227" s="1">
        <f>+F227-J227</f>
        <v>-9.043842643937372E-3</v>
      </c>
      <c r="O227" s="2">
        <v>97.2</v>
      </c>
      <c r="P227" s="2">
        <v>99.4</v>
      </c>
      <c r="Q227" s="2">
        <f>+O227-P227</f>
        <v>-2.2000000000000028</v>
      </c>
      <c r="R227" s="2">
        <v>-2.4</v>
      </c>
      <c r="S227" s="2">
        <v>-12.2</v>
      </c>
      <c r="T227" s="2">
        <f>+Q227-M227</f>
        <v>5.1999999999999886</v>
      </c>
    </row>
    <row r="228" spans="1:20">
      <c r="A228" s="6">
        <v>149</v>
      </c>
      <c r="B228" t="s">
        <v>41</v>
      </c>
      <c r="C228" t="s">
        <v>40</v>
      </c>
      <c r="D228">
        <v>26</v>
      </c>
      <c r="E228">
        <v>56</v>
      </c>
      <c r="F228" s="1">
        <f>+D228/(D228+E228)</f>
        <v>0.31707317073170732</v>
      </c>
      <c r="G228" s="2">
        <v>96.9</v>
      </c>
      <c r="H228" s="2">
        <v>100.9</v>
      </c>
      <c r="I228" s="2">
        <f>+G228-H228</f>
        <v>-4</v>
      </c>
      <c r="J228" s="1">
        <f>+(G228^14)/((G228^14+H228^14))</f>
        <v>0.36208969727051943</v>
      </c>
      <c r="K228" s="2">
        <v>101.2</v>
      </c>
      <c r="L228" s="2">
        <v>105.6</v>
      </c>
      <c r="M228" s="2">
        <f>+K228-L228</f>
        <v>-4.3999999999999915</v>
      </c>
      <c r="N228" s="1">
        <f>+F228-J228</f>
        <v>-4.5016526538812107E-2</v>
      </c>
      <c r="O228" s="2">
        <v>101.7</v>
      </c>
      <c r="P228" s="2">
        <v>100.9</v>
      </c>
      <c r="Q228" s="2">
        <f>+O228-P228</f>
        <v>0.79999999999999716</v>
      </c>
      <c r="R228" s="2">
        <v>0.4</v>
      </c>
      <c r="S228" s="2">
        <v>1</v>
      </c>
      <c r="T228" s="2">
        <f>+Q228-M228</f>
        <v>5.1999999999999886</v>
      </c>
    </row>
    <row r="229" spans="1:20">
      <c r="A229" s="6">
        <v>413</v>
      </c>
      <c r="B229" t="s">
        <v>52</v>
      </c>
      <c r="C229" t="s">
        <v>28</v>
      </c>
      <c r="D229">
        <v>62</v>
      </c>
      <c r="E229">
        <v>20</v>
      </c>
      <c r="F229" s="1">
        <f>+D229/(D229+E229)</f>
        <v>0.75609756097560976</v>
      </c>
      <c r="G229" s="2">
        <v>105.4</v>
      </c>
      <c r="H229" s="2">
        <v>97.6</v>
      </c>
      <c r="I229" s="2">
        <f>+G229-H229</f>
        <v>7.8000000000000114</v>
      </c>
      <c r="J229" s="1">
        <f>+(G229^14)/((G229^14+H229^14))</f>
        <v>0.74581059535578331</v>
      </c>
      <c r="K229" s="2">
        <v>109.5</v>
      </c>
      <c r="L229" s="2">
        <v>101.4</v>
      </c>
      <c r="M229" s="2">
        <f>+K229-L229</f>
        <v>8.0999999999999943</v>
      </c>
      <c r="N229" s="1">
        <f>+F229-J229</f>
        <v>1.0286965619826449E-2</v>
      </c>
      <c r="O229" s="2">
        <v>116.2</v>
      </c>
      <c r="P229" s="2">
        <v>103</v>
      </c>
      <c r="Q229" s="2">
        <f>+O229-P229</f>
        <v>13.200000000000003</v>
      </c>
      <c r="R229" s="2">
        <v>2</v>
      </c>
      <c r="S229" s="2">
        <v>9.1999999999999993</v>
      </c>
      <c r="T229" s="2">
        <f>+Q229-M229</f>
        <v>5.1000000000000085</v>
      </c>
    </row>
    <row r="230" spans="1:20">
      <c r="A230" s="6">
        <v>733</v>
      </c>
      <c r="B230" t="s">
        <v>65</v>
      </c>
      <c r="C230" t="s">
        <v>19</v>
      </c>
      <c r="D230">
        <v>47</v>
      </c>
      <c r="E230">
        <v>34</v>
      </c>
      <c r="F230" s="1">
        <f>+D230/(D230+E230)</f>
        <v>0.58024691358024694</v>
      </c>
      <c r="G230" s="2">
        <v>115.6</v>
      </c>
      <c r="H230" s="2">
        <v>113.2</v>
      </c>
      <c r="I230" s="2">
        <f>+G230-H230</f>
        <v>2.3999999999999915</v>
      </c>
      <c r="J230" s="1">
        <f>+(G230^14)/((G230^14+H230^14))</f>
        <v>0.57290588785941787</v>
      </c>
      <c r="K230" s="2">
        <v>115.3</v>
      </c>
      <c r="L230" s="2">
        <v>112.9</v>
      </c>
      <c r="M230" s="2">
        <f>+K230-L230</f>
        <v>2.3999999999999915</v>
      </c>
      <c r="N230" s="1">
        <f>+F230-J230</f>
        <v>7.3410257208290641E-3</v>
      </c>
      <c r="O230" s="2">
        <v>102.5</v>
      </c>
      <c r="P230" s="2">
        <v>95</v>
      </c>
      <c r="Q230" s="2">
        <f>+O230-P230</f>
        <v>7.5</v>
      </c>
      <c r="R230" s="2">
        <v>0.2</v>
      </c>
      <c r="S230" s="2">
        <v>1.6</v>
      </c>
      <c r="T230" s="2">
        <f>+Q230-M230</f>
        <v>5.1000000000000085</v>
      </c>
    </row>
    <row r="231" spans="1:20">
      <c r="A231" s="6">
        <v>561</v>
      </c>
      <c r="B231" t="s">
        <v>59</v>
      </c>
      <c r="C231" t="s">
        <v>26</v>
      </c>
      <c r="D231">
        <v>53</v>
      </c>
      <c r="E231">
        <v>29</v>
      </c>
      <c r="F231" s="1">
        <f>+D231/(D231+E231)</f>
        <v>0.64634146341463417</v>
      </c>
      <c r="G231" s="2">
        <v>114.7</v>
      </c>
      <c r="H231" s="2">
        <v>110.5</v>
      </c>
      <c r="I231" s="2">
        <f>+G231-H231</f>
        <v>4.2000000000000028</v>
      </c>
      <c r="J231" s="1">
        <f>+(G231^14)/((G231^14+H231^14))</f>
        <v>0.62767678935512594</v>
      </c>
      <c r="K231" s="2">
        <v>113.7</v>
      </c>
      <c r="L231" s="2">
        <v>109.5</v>
      </c>
      <c r="M231" s="2">
        <f>+K231-L231</f>
        <v>4.2000000000000028</v>
      </c>
      <c r="N231" s="1">
        <f>+F231-J231</f>
        <v>1.8664674059508224E-2</v>
      </c>
      <c r="O231" s="2">
        <v>117.2</v>
      </c>
      <c r="P231" s="2">
        <v>108</v>
      </c>
      <c r="Q231" s="2">
        <f>+O231-P231</f>
        <v>9.2000000000000028</v>
      </c>
      <c r="R231" s="2">
        <v>0.1</v>
      </c>
      <c r="S231" s="2">
        <v>-1.7</v>
      </c>
      <c r="T231" s="2">
        <f>+Q231-M231</f>
        <v>5</v>
      </c>
    </row>
    <row r="232" spans="1:20">
      <c r="A232" s="6">
        <v>222</v>
      </c>
      <c r="B232" t="s">
        <v>44</v>
      </c>
      <c r="C232" t="s">
        <v>19</v>
      </c>
      <c r="D232">
        <v>26</v>
      </c>
      <c r="E232">
        <v>56</v>
      </c>
      <c r="F232" s="1">
        <f>+D232/(D232+E232)</f>
        <v>0.31707317073170732</v>
      </c>
      <c r="G232" s="2">
        <v>97</v>
      </c>
      <c r="H232" s="2">
        <v>103.9</v>
      </c>
      <c r="I232" s="2">
        <f>+G232-H232</f>
        <v>-6.9000000000000057</v>
      </c>
      <c r="J232" s="1">
        <f>+(G232^14)/((G232^14+H232^14))</f>
        <v>0.27646776360303693</v>
      </c>
      <c r="K232" s="2">
        <v>103.9</v>
      </c>
      <c r="L232" s="2">
        <v>111.1</v>
      </c>
      <c r="M232" s="2">
        <f>+K232-L232</f>
        <v>-7.1999999999999886</v>
      </c>
      <c r="N232" s="1">
        <f>+F232-J232</f>
        <v>4.060540712867039E-2</v>
      </c>
      <c r="O232" s="2">
        <v>109.3</v>
      </c>
      <c r="P232" s="2">
        <v>111.5</v>
      </c>
      <c r="Q232" s="2">
        <f>+O232-P232</f>
        <v>-2.2000000000000028</v>
      </c>
      <c r="R232" s="2">
        <v>-1.7</v>
      </c>
      <c r="S232" s="2">
        <v>-9</v>
      </c>
      <c r="T232" s="2">
        <f>+Q232-M232</f>
        <v>4.9999999999999858</v>
      </c>
    </row>
    <row r="233" spans="1:20">
      <c r="A233" s="6">
        <v>422</v>
      </c>
      <c r="B233" t="s">
        <v>54</v>
      </c>
      <c r="C233" t="s">
        <v>9</v>
      </c>
      <c r="D233">
        <v>53</v>
      </c>
      <c r="E233">
        <v>29</v>
      </c>
      <c r="F233" s="1">
        <f>+D233/(D233+E233)</f>
        <v>0.64634146341463417</v>
      </c>
      <c r="G233" s="2">
        <v>103.1</v>
      </c>
      <c r="H233" s="2">
        <v>98.7</v>
      </c>
      <c r="I233" s="2">
        <f>+G233-H233</f>
        <v>4.3999999999999915</v>
      </c>
      <c r="J233" s="1">
        <f>+(G233^14)/((G233^14+H233^14))</f>
        <v>0.64807816531272</v>
      </c>
      <c r="K233" s="2">
        <v>110.1</v>
      </c>
      <c r="L233" s="2">
        <v>105.3</v>
      </c>
      <c r="M233" s="2">
        <f>+K233-L233</f>
        <v>4.7999999999999972</v>
      </c>
      <c r="N233" s="1">
        <f>+F233-J233</f>
        <v>-1.7367018980858351E-3</v>
      </c>
      <c r="O233" s="2">
        <v>112.7</v>
      </c>
      <c r="P233" s="2">
        <v>103</v>
      </c>
      <c r="Q233" s="2">
        <f>+O233-P233</f>
        <v>9.7000000000000028</v>
      </c>
      <c r="R233" s="2">
        <v>0</v>
      </c>
      <c r="S233" s="2">
        <v>-0.5</v>
      </c>
      <c r="T233" s="2">
        <f>+Q233-M233</f>
        <v>4.9000000000000057</v>
      </c>
    </row>
    <row r="234" spans="1:20">
      <c r="A234" s="6">
        <v>232</v>
      </c>
      <c r="B234" t="s">
        <v>44</v>
      </c>
      <c r="C234" t="s">
        <v>28</v>
      </c>
      <c r="D234">
        <v>56</v>
      </c>
      <c r="E234">
        <v>26</v>
      </c>
      <c r="F234" s="1">
        <f>+D234/(D234+E234)</f>
        <v>0.68292682926829273</v>
      </c>
      <c r="G234" s="2">
        <v>95.4</v>
      </c>
      <c r="H234" s="2">
        <v>90.6</v>
      </c>
      <c r="I234" s="2">
        <f>+G234-H234</f>
        <v>4.8000000000000114</v>
      </c>
      <c r="J234" s="1">
        <f>+(G234^14)/((G234^14+H234^14))</f>
        <v>0.6732103435940866</v>
      </c>
      <c r="K234" s="2">
        <v>106</v>
      </c>
      <c r="L234" s="2">
        <v>100.7</v>
      </c>
      <c r="M234" s="2">
        <f>+K234-L234</f>
        <v>5.2999999999999972</v>
      </c>
      <c r="N234" s="1">
        <f>+F234-J234</f>
        <v>9.7164856742061323E-3</v>
      </c>
      <c r="O234" s="2">
        <v>110.6</v>
      </c>
      <c r="P234" s="2">
        <v>100.4</v>
      </c>
      <c r="Q234" s="2">
        <f>+O234-P234</f>
        <v>10.199999999999989</v>
      </c>
      <c r="R234" s="2">
        <v>1</v>
      </c>
      <c r="S234" s="2">
        <v>6</v>
      </c>
      <c r="T234" s="2">
        <f>+Q234-M234</f>
        <v>4.8999999999999915</v>
      </c>
    </row>
    <row r="235" spans="1:20">
      <c r="A235" s="6">
        <v>172</v>
      </c>
      <c r="B235" t="s">
        <v>41</v>
      </c>
      <c r="C235" t="s">
        <v>28</v>
      </c>
      <c r="D235">
        <v>63</v>
      </c>
      <c r="E235">
        <v>19</v>
      </c>
      <c r="F235" s="1">
        <f>+D235/(D235+E235)</f>
        <v>0.76829268292682928</v>
      </c>
      <c r="G235" s="2">
        <v>95.6</v>
      </c>
      <c r="H235" s="2">
        <v>88.8</v>
      </c>
      <c r="I235" s="2">
        <f>+G235-H235</f>
        <v>6.7999999999999972</v>
      </c>
      <c r="J235" s="1">
        <f>+(G235^14)/((G235^14+H235^14))</f>
        <v>0.7374983301821354</v>
      </c>
      <c r="K235" s="2">
        <v>106.2</v>
      </c>
      <c r="L235" s="2">
        <v>98.7</v>
      </c>
      <c r="M235" s="2">
        <f>+K235-L235</f>
        <v>7.5</v>
      </c>
      <c r="N235" s="1">
        <f>+F235-J235</f>
        <v>3.0794352744693887E-2</v>
      </c>
      <c r="O235" s="2">
        <v>102.1</v>
      </c>
      <c r="P235" s="2">
        <v>89.8</v>
      </c>
      <c r="Q235" s="2">
        <f>+O235-P235</f>
        <v>12.299999999999997</v>
      </c>
      <c r="R235" s="2">
        <v>0.2</v>
      </c>
      <c r="S235" s="2">
        <v>2.6</v>
      </c>
      <c r="T235" s="2">
        <f>+Q235-M235</f>
        <v>4.7999999999999972</v>
      </c>
    </row>
    <row r="236" spans="1:20">
      <c r="A236" s="6">
        <v>538</v>
      </c>
      <c r="B236" t="s">
        <v>59</v>
      </c>
      <c r="C236" t="s">
        <v>6</v>
      </c>
      <c r="D236">
        <v>49</v>
      </c>
      <c r="E236">
        <v>33</v>
      </c>
      <c r="F236" s="1">
        <f>+D236/(D236+E236)</f>
        <v>0.59756097560975607</v>
      </c>
      <c r="G236" s="2">
        <v>112.4</v>
      </c>
      <c r="H236" s="2">
        <v>108</v>
      </c>
      <c r="I236" s="2">
        <f>+G236-H236</f>
        <v>4.4000000000000057</v>
      </c>
      <c r="J236" s="1">
        <f>+(G236^14)/((G236^14+H236^14))</f>
        <v>0.63623453885464354</v>
      </c>
      <c r="K236" s="2">
        <v>111.3</v>
      </c>
      <c r="L236" s="2">
        <v>107</v>
      </c>
      <c r="M236" s="2">
        <f>+K236-L236</f>
        <v>4.2999999999999972</v>
      </c>
      <c r="N236" s="1">
        <f>+F236-J236</f>
        <v>-3.8673563244887466E-2</v>
      </c>
      <c r="O236" s="2">
        <v>123.8</v>
      </c>
      <c r="P236" s="2">
        <v>114.7</v>
      </c>
      <c r="Q236" s="2">
        <f>+O236-P236</f>
        <v>9.0999999999999943</v>
      </c>
      <c r="R236" s="2">
        <v>1.4</v>
      </c>
      <c r="S236" s="2">
        <v>6.9</v>
      </c>
      <c r="T236" s="2">
        <f>+Q236-M236</f>
        <v>4.7999999999999972</v>
      </c>
    </row>
    <row r="237" spans="1:20">
      <c r="A237" s="6">
        <v>151</v>
      </c>
      <c r="B237" t="s">
        <v>41</v>
      </c>
      <c r="C237" t="s">
        <v>9</v>
      </c>
      <c r="D237">
        <v>50</v>
      </c>
      <c r="E237">
        <v>32</v>
      </c>
      <c r="F237" s="1">
        <f>+D237/(D237+E237)</f>
        <v>0.6097560975609756</v>
      </c>
      <c r="G237" s="2">
        <v>97.6</v>
      </c>
      <c r="H237" s="2">
        <v>95.4</v>
      </c>
      <c r="I237" s="2">
        <f>+G237-H237</f>
        <v>2.1999999999999886</v>
      </c>
      <c r="J237" s="1">
        <f>+(G237^14)/((G237^14+H237^14))</f>
        <v>0.57912557114227126</v>
      </c>
      <c r="K237" s="2">
        <v>106.6</v>
      </c>
      <c r="L237" s="2">
        <v>104.4</v>
      </c>
      <c r="M237" s="2">
        <f>+K237-L237</f>
        <v>2.1999999999999886</v>
      </c>
      <c r="N237" s="1">
        <f>+F237-J237</f>
        <v>3.063052641870434E-2</v>
      </c>
      <c r="O237" s="2">
        <v>113.8</v>
      </c>
      <c r="P237" s="2">
        <v>106.9</v>
      </c>
      <c r="Q237" s="2">
        <f>+O237-P237</f>
        <v>6.8999999999999915</v>
      </c>
      <c r="R237" s="2">
        <v>0.6</v>
      </c>
      <c r="S237" s="2">
        <v>3</v>
      </c>
      <c r="T237" s="2">
        <f>+Q237-M237</f>
        <v>4.7000000000000028</v>
      </c>
    </row>
    <row r="238" spans="1:20">
      <c r="A238" s="6">
        <v>203</v>
      </c>
      <c r="B238" t="s">
        <v>43</v>
      </c>
      <c r="C238" t="s">
        <v>29</v>
      </c>
      <c r="D238">
        <v>31</v>
      </c>
      <c r="E238">
        <v>51</v>
      </c>
      <c r="F238" s="1">
        <f>+D238/(D238+E238)</f>
        <v>0.37804878048780488</v>
      </c>
      <c r="G238" s="2">
        <v>99.1</v>
      </c>
      <c r="H238" s="2">
        <v>102</v>
      </c>
      <c r="I238" s="2">
        <f>+G238-H238</f>
        <v>-2.9000000000000057</v>
      </c>
      <c r="J238" s="1">
        <f>+(G238^14)/((G238^14+H238^14))</f>
        <v>0.40039796208658779</v>
      </c>
      <c r="K238" s="2">
        <v>105.9</v>
      </c>
      <c r="L238" s="2">
        <v>108.9</v>
      </c>
      <c r="M238" s="2">
        <f>+K238-L238</f>
        <v>-3</v>
      </c>
      <c r="N238" s="1">
        <f>+F238-J238</f>
        <v>-2.2349181598782908E-2</v>
      </c>
      <c r="O238" s="2">
        <v>105.5</v>
      </c>
      <c r="P238" s="2">
        <v>103.8</v>
      </c>
      <c r="Q238" s="2">
        <f>+O238-P238</f>
        <v>1.7000000000000028</v>
      </c>
      <c r="R238" s="2">
        <v>-0.4</v>
      </c>
      <c r="S238" s="2">
        <v>-2.2999999999999998</v>
      </c>
      <c r="T238" s="2">
        <f>+Q238-M238</f>
        <v>4.7000000000000028</v>
      </c>
    </row>
    <row r="239" spans="1:20">
      <c r="A239" s="6">
        <v>14</v>
      </c>
      <c r="B239" t="s">
        <v>4</v>
      </c>
      <c r="C239" t="s">
        <v>18</v>
      </c>
      <c r="D239">
        <v>50</v>
      </c>
      <c r="E239">
        <v>32</v>
      </c>
      <c r="F239" s="1">
        <f>+D239/(D239+E239)</f>
        <v>0.6097560975609756</v>
      </c>
      <c r="G239" s="2">
        <v>88.9</v>
      </c>
      <c r="H239" s="2">
        <v>86.6</v>
      </c>
      <c r="I239" s="2">
        <f>+G239-H239</f>
        <v>2.3000000000000114</v>
      </c>
      <c r="J239" s="1">
        <f>+(G239^14)/((G239^14+H239^14))</f>
        <v>0.59072724433353874</v>
      </c>
      <c r="K239" s="2">
        <v>99.4</v>
      </c>
      <c r="L239" s="2">
        <v>97.1</v>
      </c>
      <c r="M239" s="2">
        <f>+K239-L239</f>
        <v>2.3000000000000114</v>
      </c>
      <c r="N239" s="1">
        <f>+F239-J239</f>
        <v>1.9028853227436859E-2</v>
      </c>
      <c r="O239" s="2">
        <v>99.1</v>
      </c>
      <c r="P239" s="2">
        <v>92.1</v>
      </c>
      <c r="Q239" s="2">
        <f>+O239-P239</f>
        <v>7</v>
      </c>
      <c r="R239" s="2">
        <v>-0.3</v>
      </c>
      <c r="S239" s="2">
        <v>1.6</v>
      </c>
      <c r="T239" s="2">
        <f>+Q239-M239</f>
        <v>4.6999999999999886</v>
      </c>
    </row>
    <row r="240" spans="1:20">
      <c r="A240" s="6">
        <v>659</v>
      </c>
      <c r="B240" t="s">
        <v>63</v>
      </c>
      <c r="C240" t="s">
        <v>51</v>
      </c>
      <c r="D240">
        <v>45</v>
      </c>
      <c r="E240">
        <v>37</v>
      </c>
      <c r="F240" s="1">
        <f>+D240/(D240+E240)</f>
        <v>0.54878048780487809</v>
      </c>
      <c r="G240" s="2">
        <v>113.4</v>
      </c>
      <c r="H240" s="2">
        <v>112.5</v>
      </c>
      <c r="I240" s="2">
        <f>+G240-H240</f>
        <v>0.90000000000000568</v>
      </c>
      <c r="J240" s="1">
        <f>+(G240^14)/((G240^14+H240^14))</f>
        <v>0.52785970836604967</v>
      </c>
      <c r="K240" s="2">
        <v>114.6</v>
      </c>
      <c r="L240" s="2">
        <v>113.5</v>
      </c>
      <c r="M240" s="2">
        <f>+K240-L240</f>
        <v>1.0999999999999943</v>
      </c>
      <c r="N240" s="1">
        <f>+F240-J240</f>
        <v>2.0920779438828419E-2</v>
      </c>
      <c r="O240" s="2">
        <v>115.9</v>
      </c>
      <c r="P240" s="2">
        <v>110.2</v>
      </c>
      <c r="Q240" s="2">
        <f>+O240-P240</f>
        <v>5.7000000000000028</v>
      </c>
      <c r="R240" s="2">
        <v>0.3</v>
      </c>
      <c r="S240" s="2">
        <v>3.4</v>
      </c>
      <c r="T240" s="2">
        <f>+Q240-M240</f>
        <v>4.6000000000000085</v>
      </c>
    </row>
    <row r="241" spans="1:20">
      <c r="A241" s="6">
        <v>330</v>
      </c>
      <c r="B241" t="s">
        <v>49</v>
      </c>
      <c r="C241" t="s">
        <v>8</v>
      </c>
      <c r="D241">
        <v>50</v>
      </c>
      <c r="E241">
        <v>16</v>
      </c>
      <c r="F241" s="1">
        <f>+D241/(D241+E241)</f>
        <v>0.75757575757575757</v>
      </c>
      <c r="G241" s="2">
        <v>96.3</v>
      </c>
      <c r="H241" s="2">
        <v>88.2</v>
      </c>
      <c r="I241" s="2">
        <f>+G241-H241</f>
        <v>8.0999999999999943</v>
      </c>
      <c r="J241" s="1">
        <f>+(G241^14)/((G241^14+H241^14))</f>
        <v>0.77382889717097558</v>
      </c>
      <c r="K241" s="2">
        <v>106.3</v>
      </c>
      <c r="L241" s="2">
        <v>97.5</v>
      </c>
      <c r="M241" s="2">
        <f>+K241-L241</f>
        <v>8.7999999999999972</v>
      </c>
      <c r="N241" s="1">
        <f>+F241-J241</f>
        <v>-1.6253139595218014E-2</v>
      </c>
      <c r="O241" s="2">
        <v>107.5</v>
      </c>
      <c r="P241" s="2">
        <v>94.1</v>
      </c>
      <c r="Q241" s="2">
        <f>+O241-P241</f>
        <v>13.400000000000006</v>
      </c>
      <c r="R241" s="2">
        <v>2.5</v>
      </c>
      <c r="S241" s="2">
        <v>13.5</v>
      </c>
      <c r="T241" s="2">
        <f>+Q241-M241</f>
        <v>4.6000000000000085</v>
      </c>
    </row>
    <row r="242" spans="1:20">
      <c r="A242" s="6">
        <v>331</v>
      </c>
      <c r="B242" t="s">
        <v>49</v>
      </c>
      <c r="C242" t="s">
        <v>9</v>
      </c>
      <c r="D242">
        <v>21</v>
      </c>
      <c r="E242">
        <v>45</v>
      </c>
      <c r="F242" s="1">
        <f>+D242/(D242+E242)</f>
        <v>0.31818181818181818</v>
      </c>
      <c r="G242" s="2">
        <v>93</v>
      </c>
      <c r="H242" s="2">
        <v>100.2</v>
      </c>
      <c r="I242" s="2">
        <f>+G242-H242</f>
        <v>-7.2000000000000028</v>
      </c>
      <c r="J242" s="1">
        <f>+(G242^14)/((G242^14+H242^14))</f>
        <v>0.2603862977504619</v>
      </c>
      <c r="K242" s="2">
        <v>100</v>
      </c>
      <c r="L242" s="2">
        <v>107.6</v>
      </c>
      <c r="M242" s="2">
        <f>+K242-L242</f>
        <v>-7.5999999999999943</v>
      </c>
      <c r="N242" s="1">
        <f>+F242-J242</f>
        <v>5.7795520431356273E-2</v>
      </c>
      <c r="O242" s="2">
        <v>103</v>
      </c>
      <c r="P242" s="2">
        <v>106</v>
      </c>
      <c r="Q242" s="2">
        <f>+O242-P242</f>
        <v>-3</v>
      </c>
      <c r="R242" s="2">
        <v>0.3</v>
      </c>
      <c r="S242" s="2">
        <v>0.8</v>
      </c>
      <c r="T242" s="2">
        <f>+Q242-M242</f>
        <v>4.5999999999999943</v>
      </c>
    </row>
    <row r="243" spans="1:20">
      <c r="A243" s="6">
        <v>173</v>
      </c>
      <c r="B243" t="s">
        <v>41</v>
      </c>
      <c r="C243" t="s">
        <v>29</v>
      </c>
      <c r="D243">
        <v>35</v>
      </c>
      <c r="E243">
        <v>47</v>
      </c>
      <c r="F243" s="1">
        <f>+D243/(D243+E243)</f>
        <v>0.42682926829268292</v>
      </c>
      <c r="G243" s="2">
        <v>102.6</v>
      </c>
      <c r="H243" s="2">
        <v>105.6</v>
      </c>
      <c r="I243" s="2">
        <f>+G243-H243</f>
        <v>-3</v>
      </c>
      <c r="J243" s="1">
        <f>+(G243^14)/((G243^14+H243^14))</f>
        <v>0.40047504632184655</v>
      </c>
      <c r="K243" s="2">
        <v>109.4</v>
      </c>
      <c r="L243" s="2">
        <v>112.7</v>
      </c>
      <c r="M243" s="2">
        <f>+K243-L243</f>
        <v>-3.2999999999999972</v>
      </c>
      <c r="N243" s="1">
        <f>+F243-J243</f>
        <v>2.6354221970836367E-2</v>
      </c>
      <c r="O243" s="2">
        <v>112.8</v>
      </c>
      <c r="P243" s="2">
        <v>111.5</v>
      </c>
      <c r="Q243" s="2">
        <f>+O243-P243</f>
        <v>1.2999999999999972</v>
      </c>
      <c r="R243" s="2">
        <v>-1.2</v>
      </c>
      <c r="S243" s="2">
        <v>-5.5</v>
      </c>
      <c r="T243" s="2">
        <f>+Q243-M243</f>
        <v>4.5999999999999943</v>
      </c>
    </row>
    <row r="244" spans="1:20">
      <c r="A244" s="6">
        <v>257</v>
      </c>
      <c r="B244" t="s">
        <v>45</v>
      </c>
      <c r="C244" t="s">
        <v>46</v>
      </c>
      <c r="D244">
        <v>23</v>
      </c>
      <c r="E244">
        <v>59</v>
      </c>
      <c r="F244" s="1">
        <f>+D244/(D244+E244)</f>
        <v>0.28048780487804881</v>
      </c>
      <c r="G244" s="2">
        <v>97</v>
      </c>
      <c r="H244" s="2">
        <v>103.1</v>
      </c>
      <c r="I244" s="2">
        <f>+G244-H244</f>
        <v>-6.0999999999999943</v>
      </c>
      <c r="J244" s="1">
        <f>+(G244^14)/((G244^14+H244^14))</f>
        <v>0.29862841677001067</v>
      </c>
      <c r="K244" s="2">
        <v>101.4</v>
      </c>
      <c r="L244" s="2">
        <v>107.6</v>
      </c>
      <c r="M244" s="2">
        <f>+K244-L244</f>
        <v>-6.1999999999999886</v>
      </c>
      <c r="N244" s="1">
        <f>+F244-J244</f>
        <v>-1.8140611891961866E-2</v>
      </c>
      <c r="O244" s="2">
        <v>100</v>
      </c>
      <c r="P244" s="2">
        <v>101.6</v>
      </c>
      <c r="Q244" s="2">
        <f>+O244-P244</f>
        <v>-1.5999999999999943</v>
      </c>
      <c r="R244" s="2">
        <v>-2.2000000000000002</v>
      </c>
      <c r="S244" s="2">
        <v>-10.199999999999999</v>
      </c>
      <c r="T244" s="2">
        <f>+Q244-M244</f>
        <v>4.5999999999999943</v>
      </c>
    </row>
    <row r="245" spans="1:20">
      <c r="A245" s="6">
        <v>414</v>
      </c>
      <c r="B245" t="s">
        <v>52</v>
      </c>
      <c r="C245" t="s">
        <v>30</v>
      </c>
      <c r="D245">
        <v>48</v>
      </c>
      <c r="E245">
        <v>34</v>
      </c>
      <c r="F245" s="1">
        <f>+D245/(D245+E245)</f>
        <v>0.58536585365853655</v>
      </c>
      <c r="G245" s="2">
        <v>101.3</v>
      </c>
      <c r="H245" s="2">
        <v>98</v>
      </c>
      <c r="I245" s="2">
        <f>+G245-H245</f>
        <v>3.2999999999999972</v>
      </c>
      <c r="J245" s="1">
        <f>+(G245^14)/((G245^14+H245^14))</f>
        <v>0.6138832683846418</v>
      </c>
      <c r="K245" s="2">
        <v>107.9</v>
      </c>
      <c r="L245" s="2">
        <v>104.6</v>
      </c>
      <c r="M245" s="2">
        <f>+K245-L245</f>
        <v>3.3000000000000114</v>
      </c>
      <c r="N245" s="1">
        <f>+F245-J245</f>
        <v>-2.851741472610525E-2</v>
      </c>
      <c r="O245" s="2">
        <v>102.9</v>
      </c>
      <c r="P245" s="2">
        <v>95</v>
      </c>
      <c r="Q245" s="2">
        <f>+O245-P245</f>
        <v>7.9000000000000057</v>
      </c>
      <c r="R245" s="2">
        <v>2.4</v>
      </c>
      <c r="S245" s="2">
        <v>12.8</v>
      </c>
      <c r="T245" s="2">
        <f>+Q245-M245</f>
        <v>4.5999999999999943</v>
      </c>
    </row>
    <row r="246" spans="1:20">
      <c r="A246" s="6">
        <v>731</v>
      </c>
      <c r="B246" t="s">
        <v>65</v>
      </c>
      <c r="C246" t="s">
        <v>35</v>
      </c>
      <c r="D246">
        <v>48</v>
      </c>
      <c r="E246">
        <v>34</v>
      </c>
      <c r="F246" s="1">
        <f>+D246/(D246+E246)</f>
        <v>0.58536585365853655</v>
      </c>
      <c r="G246" s="2">
        <v>121.7</v>
      </c>
      <c r="H246" s="2">
        <v>116.9</v>
      </c>
      <c r="I246" s="2">
        <f>+G246-H246</f>
        <v>4.7999999999999972</v>
      </c>
      <c r="J246" s="1">
        <f>+(G246^14)/((G246^14+H246^14))</f>
        <v>0.63723004806999306</v>
      </c>
      <c r="K246" s="2">
        <v>117.2</v>
      </c>
      <c r="L246" s="2">
        <v>112.6</v>
      </c>
      <c r="M246" s="2">
        <f>+K246-L246</f>
        <v>4.6000000000000085</v>
      </c>
      <c r="N246" s="1">
        <f>+F246-J246</f>
        <v>-5.186419441145651E-2</v>
      </c>
      <c r="O246" s="2">
        <v>109.2</v>
      </c>
      <c r="P246" s="2">
        <v>100</v>
      </c>
      <c r="Q246" s="2">
        <f>+O246-P246</f>
        <v>9.2000000000000028</v>
      </c>
      <c r="R246" s="2">
        <v>0.2</v>
      </c>
      <c r="S246" s="2">
        <v>0.2</v>
      </c>
      <c r="T246" s="2">
        <f>+Q246-M246</f>
        <v>4.5999999999999943</v>
      </c>
    </row>
    <row r="247" spans="1:20">
      <c r="A247" s="6">
        <v>399</v>
      </c>
      <c r="B247" t="s">
        <v>52</v>
      </c>
      <c r="C247" t="s">
        <v>16</v>
      </c>
      <c r="D247">
        <v>57</v>
      </c>
      <c r="E247">
        <v>25</v>
      </c>
      <c r="F247" s="1">
        <f>+D247/(D247+E247)</f>
        <v>0.69512195121951215</v>
      </c>
      <c r="G247" s="2">
        <v>107.9</v>
      </c>
      <c r="H247" s="2">
        <v>101</v>
      </c>
      <c r="I247" s="2">
        <f>+G247-H247</f>
        <v>6.9000000000000057</v>
      </c>
      <c r="J247" s="1">
        <f>+(G247^14)/((G247^14+H247^14))</f>
        <v>0.71609658806886933</v>
      </c>
      <c r="K247" s="2">
        <v>111.3</v>
      </c>
      <c r="L247" s="2">
        <v>104</v>
      </c>
      <c r="M247" s="2">
        <f>+K247-L247</f>
        <v>7.2999999999999972</v>
      </c>
      <c r="N247" s="1">
        <f>+F247-J247</f>
        <v>-2.0974636849357187E-2</v>
      </c>
      <c r="O247" s="2">
        <v>111.8</v>
      </c>
      <c r="P247" s="2">
        <v>100</v>
      </c>
      <c r="Q247" s="2">
        <f>+O247-P247</f>
        <v>11.799999999999997</v>
      </c>
      <c r="R247" s="2">
        <v>1.6</v>
      </c>
      <c r="S247" s="2">
        <v>6.8</v>
      </c>
      <c r="T247" s="2">
        <f>+Q247-M247</f>
        <v>4.5</v>
      </c>
    </row>
    <row r="248" spans="1:20">
      <c r="A248" s="6">
        <v>626</v>
      </c>
      <c r="B248" t="s">
        <v>61</v>
      </c>
      <c r="C248" t="s">
        <v>33</v>
      </c>
      <c r="D248">
        <v>34</v>
      </c>
      <c r="E248">
        <v>38</v>
      </c>
      <c r="F248" s="1">
        <f>+D248/(D248+E248)</f>
        <v>0.47222222222222221</v>
      </c>
      <c r="G248" s="2">
        <v>116.6</v>
      </c>
      <c r="H248" s="2">
        <v>118.5</v>
      </c>
      <c r="I248" s="2">
        <f>+G248-H248</f>
        <v>-1.9000000000000057</v>
      </c>
      <c r="J248" s="1">
        <f>+(G248^14)/((G248^14+H248^14))</f>
        <v>0.44366728176929326</v>
      </c>
      <c r="K248" s="2">
        <v>110.7</v>
      </c>
      <c r="L248" s="2">
        <v>112.3</v>
      </c>
      <c r="M248" s="2">
        <f>+K248-L248</f>
        <v>-1.5999999999999943</v>
      </c>
      <c r="N248" s="1">
        <f>+F248-J248</f>
        <v>2.8554940452928945E-2</v>
      </c>
      <c r="O248" s="2">
        <v>110.5</v>
      </c>
      <c r="P248" s="2">
        <v>107.7</v>
      </c>
      <c r="Q248" s="2">
        <f>+O248-P248</f>
        <v>2.7999999999999972</v>
      </c>
      <c r="R248" s="2">
        <v>-0.3</v>
      </c>
      <c r="S248" s="2">
        <v>-0.7</v>
      </c>
      <c r="T248" s="2">
        <f>+Q248-M248</f>
        <v>4.3999999999999915</v>
      </c>
    </row>
    <row r="249" spans="1:20">
      <c r="A249" s="6">
        <v>238</v>
      </c>
      <c r="B249" t="s">
        <v>45</v>
      </c>
      <c r="C249" t="s">
        <v>6</v>
      </c>
      <c r="D249">
        <v>62</v>
      </c>
      <c r="E249">
        <v>20</v>
      </c>
      <c r="F249" s="1">
        <f>+D249/(D249+E249)</f>
        <v>0.75609756097560976</v>
      </c>
      <c r="G249" s="2">
        <v>100.9</v>
      </c>
      <c r="H249" s="2">
        <v>93.4</v>
      </c>
      <c r="I249" s="2">
        <f>+G249-H249</f>
        <v>7.5</v>
      </c>
      <c r="J249" s="1">
        <f>+(G249^14)/((G249^14+H249^14))</f>
        <v>0.74674751044772081</v>
      </c>
      <c r="K249" s="2">
        <v>109.5</v>
      </c>
      <c r="L249" s="2">
        <v>101.6</v>
      </c>
      <c r="M249" s="2">
        <f>+K249-L249</f>
        <v>7.9000000000000057</v>
      </c>
      <c r="N249" s="1">
        <f>+F249-J249</f>
        <v>9.3500505278889534E-3</v>
      </c>
      <c r="O249" s="2">
        <v>113.7</v>
      </c>
      <c r="P249" s="2">
        <v>101.4</v>
      </c>
      <c r="Q249" s="2">
        <f>+O249-P249</f>
        <v>12.299999999999997</v>
      </c>
      <c r="R249" s="2">
        <v>0.5</v>
      </c>
      <c r="S249" s="2">
        <v>3</v>
      </c>
      <c r="T249" s="2">
        <f>+Q249-M249</f>
        <v>4.3999999999999915</v>
      </c>
    </row>
    <row r="250" spans="1:20">
      <c r="A250" s="6">
        <v>131</v>
      </c>
      <c r="B250" t="s">
        <v>39</v>
      </c>
      <c r="C250" t="s">
        <v>18</v>
      </c>
      <c r="D250">
        <v>59</v>
      </c>
      <c r="E250">
        <v>23</v>
      </c>
      <c r="F250" s="1">
        <f>+D250/(D250+E250)</f>
        <v>0.71951219512195119</v>
      </c>
      <c r="G250" s="2">
        <v>101.5</v>
      </c>
      <c r="H250" s="2">
        <v>95</v>
      </c>
      <c r="I250" s="2">
        <f>+G250-H250</f>
        <v>6.5</v>
      </c>
      <c r="J250" s="1">
        <f>+(G250^14)/((G250^14+H250^14))</f>
        <v>0.71637416016050837</v>
      </c>
      <c r="K250" s="2">
        <v>108.9</v>
      </c>
      <c r="L250" s="2">
        <v>102.2</v>
      </c>
      <c r="M250" s="2">
        <f>+K250-L250</f>
        <v>6.7000000000000028</v>
      </c>
      <c r="N250" s="1">
        <f>+F250-J250</f>
        <v>3.138034961442826E-3</v>
      </c>
      <c r="O250" s="2">
        <v>108.8</v>
      </c>
      <c r="P250" s="2">
        <v>97.7</v>
      </c>
      <c r="Q250" s="2">
        <f>+O250-P250</f>
        <v>11.099999999999994</v>
      </c>
      <c r="R250" s="2">
        <v>2.4</v>
      </c>
      <c r="S250" s="2">
        <v>15.6</v>
      </c>
      <c r="T250" s="2">
        <f>+Q250-M250</f>
        <v>4.3999999999999915</v>
      </c>
    </row>
    <row r="251" spans="1:20">
      <c r="A251" s="6">
        <v>647</v>
      </c>
      <c r="B251" t="s">
        <v>62</v>
      </c>
      <c r="C251" t="s">
        <v>46</v>
      </c>
      <c r="D251">
        <v>24</v>
      </c>
      <c r="E251">
        <v>58</v>
      </c>
      <c r="F251" s="1">
        <f>+D251/(D251+E251)</f>
        <v>0.29268292682926828</v>
      </c>
      <c r="G251" s="2">
        <v>103.7</v>
      </c>
      <c r="H251" s="2">
        <v>111.8</v>
      </c>
      <c r="I251" s="2">
        <f>+G251-H251</f>
        <v>-8.0999999999999943</v>
      </c>
      <c r="J251" s="1">
        <f>+(G251^14)/((G251^14+H251^14))</f>
        <v>0.25866242852383342</v>
      </c>
      <c r="K251" s="2">
        <v>103.8</v>
      </c>
      <c r="L251" s="2">
        <v>111.7</v>
      </c>
      <c r="M251" s="2">
        <f>+K251-L251</f>
        <v>-7.9000000000000057</v>
      </c>
      <c r="N251" s="1">
        <f>+F251-J251</f>
        <v>3.4020498305434854E-2</v>
      </c>
      <c r="O251" s="2">
        <v>105.1</v>
      </c>
      <c r="P251" s="2">
        <v>108.7</v>
      </c>
      <c r="Q251" s="2">
        <f>+O251-P251</f>
        <v>-3.6000000000000085</v>
      </c>
      <c r="R251" s="2">
        <v>-0.7</v>
      </c>
      <c r="S251" s="2">
        <v>-2.5</v>
      </c>
      <c r="T251" s="2">
        <f>+Q251-M251</f>
        <v>4.2999999999999972</v>
      </c>
    </row>
    <row r="252" spans="1:20">
      <c r="A252" s="6">
        <v>263</v>
      </c>
      <c r="B252" t="s">
        <v>45</v>
      </c>
      <c r="C252" t="s">
        <v>28</v>
      </c>
      <c r="D252">
        <v>54</v>
      </c>
      <c r="E252">
        <v>28</v>
      </c>
      <c r="F252" s="1">
        <f>+D252/(D252+E252)</f>
        <v>0.65853658536585369</v>
      </c>
      <c r="G252" s="2">
        <v>97</v>
      </c>
      <c r="H252" s="2">
        <v>93.3</v>
      </c>
      <c r="I252" s="2">
        <f>+G252-H252</f>
        <v>3.7000000000000028</v>
      </c>
      <c r="J252" s="1">
        <f>+(G252^14)/((G252^14+H252^14))</f>
        <v>0.63285214825789127</v>
      </c>
      <c r="K252" s="2">
        <v>107.6</v>
      </c>
      <c r="L252" s="2">
        <v>103.4</v>
      </c>
      <c r="M252" s="2">
        <f>+K252-L252</f>
        <v>4.1999999999999886</v>
      </c>
      <c r="N252" s="1">
        <f>+F252-J252</f>
        <v>2.5684437107962421E-2</v>
      </c>
      <c r="O252" s="2">
        <v>104.3</v>
      </c>
      <c r="P252" s="2">
        <v>95.9</v>
      </c>
      <c r="Q252" s="2">
        <f>+O252-P252</f>
        <v>8.3999999999999915</v>
      </c>
      <c r="R252" s="2">
        <v>0.7</v>
      </c>
      <c r="S252" s="2">
        <v>4.4000000000000004</v>
      </c>
      <c r="T252" s="2">
        <f>+Q252-M252</f>
        <v>4.2000000000000028</v>
      </c>
    </row>
    <row r="253" spans="1:20">
      <c r="A253" s="6">
        <v>373</v>
      </c>
      <c r="B253" t="s">
        <v>50</v>
      </c>
      <c r="C253" t="s">
        <v>19</v>
      </c>
      <c r="D253">
        <v>38</v>
      </c>
      <c r="E253">
        <v>44</v>
      </c>
      <c r="F253" s="1">
        <f>+D253/(D253+E253)</f>
        <v>0.46341463414634149</v>
      </c>
      <c r="G253" s="2">
        <v>98.9</v>
      </c>
      <c r="H253" s="2">
        <v>100.4</v>
      </c>
      <c r="I253" s="2">
        <f>+G253-H253</f>
        <v>-1.5</v>
      </c>
      <c r="J253" s="1">
        <f>+(G253^14)/((G253^14+H253^14))</f>
        <v>0.44750873634234695</v>
      </c>
      <c r="K253" s="2">
        <v>102.5</v>
      </c>
      <c r="L253" s="2">
        <v>104.2</v>
      </c>
      <c r="M253" s="2">
        <f>+K253-L253</f>
        <v>-1.7000000000000028</v>
      </c>
      <c r="N253" s="1">
        <f>+F253-J253</f>
        <v>1.590589780399454E-2</v>
      </c>
      <c r="O253" s="2">
        <v>101.6</v>
      </c>
      <c r="P253" s="2">
        <v>99.1</v>
      </c>
      <c r="Q253" s="2">
        <f>+O253-P253</f>
        <v>2.5</v>
      </c>
      <c r="R253" s="2">
        <v>-1.2</v>
      </c>
      <c r="S253" s="2">
        <v>-6.5</v>
      </c>
      <c r="T253" s="2">
        <f>+Q253-M253</f>
        <v>4.2000000000000028</v>
      </c>
    </row>
    <row r="254" spans="1:20">
      <c r="A254" s="6">
        <v>187</v>
      </c>
      <c r="B254" t="s">
        <v>43</v>
      </c>
      <c r="C254" t="s">
        <v>15</v>
      </c>
      <c r="D254">
        <v>35</v>
      </c>
      <c r="E254">
        <v>47</v>
      </c>
      <c r="F254" s="1">
        <f>+D254/(D254+E254)</f>
        <v>0.42682926829268292</v>
      </c>
      <c r="G254" s="2">
        <v>95.6</v>
      </c>
      <c r="H254" s="2">
        <v>98</v>
      </c>
      <c r="I254" s="2">
        <f>+G254-H254</f>
        <v>-2.4000000000000057</v>
      </c>
      <c r="J254" s="1">
        <f>+(G254^14)/((G254^14+H254^14))</f>
        <v>0.41407972075394056</v>
      </c>
      <c r="K254" s="2">
        <v>101.9</v>
      </c>
      <c r="L254" s="2">
        <v>104.4</v>
      </c>
      <c r="M254" s="2">
        <f>+K254-L254</f>
        <v>-2.5</v>
      </c>
      <c r="N254" s="1">
        <f>+F254-J254</f>
        <v>1.2749547538742356E-2</v>
      </c>
      <c r="O254" s="2">
        <v>102.9</v>
      </c>
      <c r="P254" s="2">
        <v>101.2</v>
      </c>
      <c r="Q254" s="2">
        <f>+O254-P254</f>
        <v>1.7000000000000028</v>
      </c>
      <c r="R254" s="2">
        <v>-0.4</v>
      </c>
      <c r="S254" s="2">
        <v>-2.9</v>
      </c>
      <c r="T254" s="2">
        <f>+Q254-M254</f>
        <v>4.2000000000000028</v>
      </c>
    </row>
    <row r="255" spans="1:20">
      <c r="A255" s="6">
        <v>459</v>
      </c>
      <c r="B255" t="s">
        <v>55</v>
      </c>
      <c r="C255" t="s">
        <v>56</v>
      </c>
      <c r="D255">
        <v>53</v>
      </c>
      <c r="E255">
        <v>29</v>
      </c>
      <c r="F255" s="1">
        <f>+D255/(D255+E255)</f>
        <v>0.64634146341463417</v>
      </c>
      <c r="G255" s="2">
        <v>104.5</v>
      </c>
      <c r="H255" s="2">
        <v>100.2</v>
      </c>
      <c r="I255" s="2">
        <f>+G255-H255</f>
        <v>4.2999999999999972</v>
      </c>
      <c r="J255" s="1">
        <f>+(G255^14)/((G255^14+H255^14))</f>
        <v>0.64296680993487854</v>
      </c>
      <c r="K255" s="2">
        <v>107.2</v>
      </c>
      <c r="L255" s="2">
        <v>102.7</v>
      </c>
      <c r="M255" s="2">
        <f>+K255-L255</f>
        <v>4.5</v>
      </c>
      <c r="N255" s="1">
        <f>+F255-J255</f>
        <v>3.3746534797556293E-3</v>
      </c>
      <c r="O255" s="2">
        <v>111.5</v>
      </c>
      <c r="P255" s="2">
        <v>102.8</v>
      </c>
      <c r="Q255" s="2">
        <f>+O255-P255</f>
        <v>8.7000000000000028</v>
      </c>
      <c r="R255" s="2">
        <v>-0.2</v>
      </c>
      <c r="S255" s="2">
        <v>0</v>
      </c>
      <c r="T255" s="2">
        <f>+Q255-M255</f>
        <v>4.2000000000000028</v>
      </c>
    </row>
    <row r="256" spans="1:20">
      <c r="A256" s="6">
        <v>15</v>
      </c>
      <c r="B256" t="s">
        <v>4</v>
      </c>
      <c r="C256" t="s">
        <v>19</v>
      </c>
      <c r="D256">
        <v>52</v>
      </c>
      <c r="E256">
        <v>30</v>
      </c>
      <c r="F256" s="1">
        <f>+D256/(D256+E256)</f>
        <v>0.63414634146341464</v>
      </c>
      <c r="G256" s="2">
        <v>100.7</v>
      </c>
      <c r="H256" s="2">
        <v>96.9</v>
      </c>
      <c r="I256" s="2">
        <f>+G256-H256</f>
        <v>3.7999999999999972</v>
      </c>
      <c r="J256" s="1">
        <f>+(G256^14)/((G256^14+H256^14))</f>
        <v>0.63146991070867009</v>
      </c>
      <c r="K256" s="2">
        <v>106.8</v>
      </c>
      <c r="L256" s="2">
        <v>102.6</v>
      </c>
      <c r="M256" s="2">
        <f>+K256-L256</f>
        <v>4.2000000000000028</v>
      </c>
      <c r="N256" s="1">
        <f>+F256-J256</f>
        <v>2.6764307547445521E-3</v>
      </c>
      <c r="O256" s="2">
        <v>112.2</v>
      </c>
      <c r="P256" s="2">
        <v>103.8</v>
      </c>
      <c r="Q256" s="2">
        <f>+O256-P256</f>
        <v>8.4000000000000057</v>
      </c>
      <c r="R256" s="2">
        <v>0.2</v>
      </c>
      <c r="S256" s="2">
        <v>3.7</v>
      </c>
      <c r="T256" s="2">
        <f>+Q256-M256</f>
        <v>4.2000000000000028</v>
      </c>
    </row>
    <row r="257" spans="1:20">
      <c r="A257" s="6">
        <v>707</v>
      </c>
      <c r="B257" t="s">
        <v>64</v>
      </c>
      <c r="C257" t="s">
        <v>46</v>
      </c>
      <c r="D257">
        <v>57</v>
      </c>
      <c r="E257">
        <v>25</v>
      </c>
      <c r="F257" s="1">
        <f>+D257/(D257+E257)</f>
        <v>0.69512195121951215</v>
      </c>
      <c r="G257" s="2">
        <v>120.1</v>
      </c>
      <c r="H257" s="2">
        <v>112.7</v>
      </c>
      <c r="I257" s="2">
        <f>+G257-H257</f>
        <v>7.3999999999999915</v>
      </c>
      <c r="J257" s="1">
        <f>+(G257^14)/((G257^14+H257^14))</f>
        <v>0.70895915812510701</v>
      </c>
      <c r="K257" s="2">
        <v>118.3</v>
      </c>
      <c r="L257" s="2">
        <v>111</v>
      </c>
      <c r="M257" s="2">
        <f>+K257-L257</f>
        <v>7.2999999999999972</v>
      </c>
      <c r="N257" s="1">
        <f>+F257-J257</f>
        <v>-1.3837206905594868E-2</v>
      </c>
      <c r="O257" s="2">
        <v>125.5</v>
      </c>
      <c r="P257" s="2">
        <v>114</v>
      </c>
      <c r="Q257" s="2">
        <f>+O257-P257</f>
        <v>11.5</v>
      </c>
      <c r="R257" s="2">
        <v>0.8</v>
      </c>
      <c r="S257" s="2">
        <v>3.3</v>
      </c>
      <c r="T257" s="2">
        <f>+Q257-M257</f>
        <v>4.2000000000000028</v>
      </c>
    </row>
    <row r="258" spans="1:20">
      <c r="A258" s="6">
        <v>305</v>
      </c>
      <c r="B258" t="s">
        <v>48</v>
      </c>
      <c r="C258" t="s">
        <v>13</v>
      </c>
      <c r="D258">
        <v>36</v>
      </c>
      <c r="E258">
        <v>46</v>
      </c>
      <c r="F258" s="1">
        <f>+D258/(D258+E258)</f>
        <v>0.43902439024390244</v>
      </c>
      <c r="G258" s="2">
        <v>103.4</v>
      </c>
      <c r="H258" s="2">
        <v>105.7</v>
      </c>
      <c r="I258" s="2">
        <f>+G258-H258</f>
        <v>-2.2999999999999972</v>
      </c>
      <c r="J258" s="1">
        <f>+(G258^14)/((G258^14+H258^14))</f>
        <v>0.42360322763648928</v>
      </c>
      <c r="K258" s="2">
        <v>107.1</v>
      </c>
      <c r="L258" s="2">
        <v>109.4</v>
      </c>
      <c r="M258" s="2">
        <f>+K258-L258</f>
        <v>-2.3000000000000114</v>
      </c>
      <c r="N258" s="1">
        <f>+F258-J258</f>
        <v>1.5421162607413164E-2</v>
      </c>
      <c r="O258" s="2">
        <v>113</v>
      </c>
      <c r="P258" s="2">
        <v>111.2</v>
      </c>
      <c r="Q258" s="2">
        <f>+O258-P258</f>
        <v>1.7999999999999972</v>
      </c>
      <c r="R258" s="2">
        <v>-0.1</v>
      </c>
      <c r="S258" s="2">
        <v>-1</v>
      </c>
      <c r="T258" s="2">
        <f>+Q258-M258</f>
        <v>4.1000000000000085</v>
      </c>
    </row>
    <row r="259" spans="1:20">
      <c r="A259" s="6">
        <v>110</v>
      </c>
      <c r="B259" t="s">
        <v>38</v>
      </c>
      <c r="C259" t="s">
        <v>26</v>
      </c>
      <c r="D259">
        <v>41</v>
      </c>
      <c r="E259">
        <v>41</v>
      </c>
      <c r="F259" s="1">
        <f>+D259/(D259+E259)</f>
        <v>0.5</v>
      </c>
      <c r="G259" s="2">
        <v>90.7</v>
      </c>
      <c r="H259" s="2">
        <v>92</v>
      </c>
      <c r="I259" s="2">
        <f>+G259-H259</f>
        <v>-1.2999999999999972</v>
      </c>
      <c r="J259" s="1">
        <f>+(G259^14)/((G259^14+H259^14))</f>
        <v>0.45035484545137711</v>
      </c>
      <c r="K259" s="2">
        <v>102.1</v>
      </c>
      <c r="L259" s="2">
        <v>103.5</v>
      </c>
      <c r="M259" s="2">
        <f>+K259-L259</f>
        <v>-1.4000000000000057</v>
      </c>
      <c r="N259" s="1">
        <f>+F259-J259</f>
        <v>4.9645154548622894E-2</v>
      </c>
      <c r="O259" s="2">
        <v>101.4</v>
      </c>
      <c r="P259" s="2">
        <v>98.8</v>
      </c>
      <c r="Q259" s="2">
        <f>+O259-P259</f>
        <v>2.6000000000000085</v>
      </c>
      <c r="R259" s="2">
        <v>-1.1000000000000001</v>
      </c>
      <c r="S259" s="2">
        <v>-5.4</v>
      </c>
      <c r="T259" s="2">
        <f>+Q259-M259</f>
        <v>4.0000000000000142</v>
      </c>
    </row>
    <row r="260" spans="1:20">
      <c r="A260" s="6">
        <v>35</v>
      </c>
      <c r="B260" t="s">
        <v>34</v>
      </c>
      <c r="C260" t="s">
        <v>10</v>
      </c>
      <c r="D260">
        <v>57</v>
      </c>
      <c r="E260">
        <v>25</v>
      </c>
      <c r="F260" s="1">
        <f>+D260/(D260+E260)</f>
        <v>0.69512195121951215</v>
      </c>
      <c r="G260" s="2">
        <v>105.2</v>
      </c>
      <c r="H260" s="2">
        <v>101</v>
      </c>
      <c r="I260" s="2">
        <f>+G260-H260</f>
        <v>4.2000000000000028</v>
      </c>
      <c r="J260" s="1">
        <f>+(G260^14)/((G260^14+H260^14))</f>
        <v>0.63885522994426547</v>
      </c>
      <c r="K260" s="2">
        <v>110.3</v>
      </c>
      <c r="L260" s="2">
        <v>106</v>
      </c>
      <c r="M260" s="2">
        <f>+K260-L260</f>
        <v>4.2999999999999972</v>
      </c>
      <c r="N260" s="1">
        <f>+F260-J260</f>
        <v>5.6266721275246678E-2</v>
      </c>
      <c r="O260" s="2">
        <v>115.5</v>
      </c>
      <c r="P260" s="2">
        <v>107.2</v>
      </c>
      <c r="Q260" s="2">
        <f>+O260-P260</f>
        <v>8.2999999999999972</v>
      </c>
      <c r="R260" s="2">
        <v>1.5</v>
      </c>
      <c r="S260" s="2">
        <v>8.1999999999999993</v>
      </c>
      <c r="T260" s="2">
        <f>+Q260-M260</f>
        <v>4</v>
      </c>
    </row>
    <row r="261" spans="1:20">
      <c r="A261" s="6">
        <v>341</v>
      </c>
      <c r="B261" t="s">
        <v>49</v>
      </c>
      <c r="C261" t="s">
        <v>18</v>
      </c>
      <c r="D261">
        <v>46</v>
      </c>
      <c r="E261">
        <v>20</v>
      </c>
      <c r="F261" s="1">
        <f>+D261/(D261+E261)</f>
        <v>0.69696969696969702</v>
      </c>
      <c r="G261" s="2">
        <v>98.5</v>
      </c>
      <c r="H261" s="2">
        <v>92.5</v>
      </c>
      <c r="I261" s="2">
        <f>+G261-H261</f>
        <v>6</v>
      </c>
      <c r="J261" s="1">
        <f>+(G261^14)/((G261^14+H261^14))</f>
        <v>0.70679541613451391</v>
      </c>
      <c r="K261" s="2">
        <v>105.6</v>
      </c>
      <c r="L261" s="2">
        <v>99.2</v>
      </c>
      <c r="M261" s="2">
        <f>+K261-L261</f>
        <v>6.3999999999999915</v>
      </c>
      <c r="N261" s="1">
        <f>+F261-J261</f>
        <v>-9.8257191648168929E-3</v>
      </c>
      <c r="O261" s="2">
        <v>100.8</v>
      </c>
      <c r="P261" s="2">
        <v>90.4</v>
      </c>
      <c r="Q261" s="2">
        <f>+O261-P261</f>
        <v>10.399999999999991</v>
      </c>
      <c r="R261" s="2">
        <v>0.6</v>
      </c>
      <c r="S261" s="2">
        <v>4.0999999999999996</v>
      </c>
      <c r="T261" s="2">
        <f>+Q261-M261</f>
        <v>4</v>
      </c>
    </row>
    <row r="262" spans="1:20">
      <c r="A262" s="6">
        <v>85</v>
      </c>
      <c r="B262" t="s">
        <v>36</v>
      </c>
      <c r="C262" t="s">
        <v>30</v>
      </c>
      <c r="D262">
        <v>24</v>
      </c>
      <c r="E262">
        <v>58</v>
      </c>
      <c r="F262" s="1">
        <f>+D262/(D262+E262)</f>
        <v>0.29268292682926828</v>
      </c>
      <c r="G262" s="2">
        <v>90.9</v>
      </c>
      <c r="H262" s="2">
        <v>96.8</v>
      </c>
      <c r="I262" s="2">
        <f>+G262-H262</f>
        <v>-5.8999999999999915</v>
      </c>
      <c r="J262" s="1">
        <f>+(G262^14)/((G262^14+H262^14))</f>
        <v>0.29309118654274396</v>
      </c>
      <c r="K262" s="2">
        <v>99.3</v>
      </c>
      <c r="L262" s="2">
        <v>105.6</v>
      </c>
      <c r="M262" s="2">
        <f>+K262-L262</f>
        <v>-6.2999999999999972</v>
      </c>
      <c r="N262" s="1">
        <f>+F262-J262</f>
        <v>-4.0825971347568935E-4</v>
      </c>
      <c r="O262" s="2">
        <v>101.2</v>
      </c>
      <c r="P262" s="2">
        <v>103.7</v>
      </c>
      <c r="Q262" s="2">
        <f>+O262-P262</f>
        <v>-2.5</v>
      </c>
      <c r="R262" s="2">
        <v>-1</v>
      </c>
      <c r="S262" s="2">
        <v>-6.2</v>
      </c>
      <c r="T262" s="2">
        <f>+Q262-M262</f>
        <v>3.7999999999999972</v>
      </c>
    </row>
    <row r="263" spans="1:20">
      <c r="A263" s="6">
        <v>230</v>
      </c>
      <c r="B263" t="s">
        <v>44</v>
      </c>
      <c r="C263" t="s">
        <v>26</v>
      </c>
      <c r="D263">
        <v>41</v>
      </c>
      <c r="E263">
        <v>41</v>
      </c>
      <c r="F263" s="1">
        <f>+D263/(D263+E263)</f>
        <v>0.5</v>
      </c>
      <c r="G263" s="2">
        <v>95.4</v>
      </c>
      <c r="H263" s="2">
        <v>96.3</v>
      </c>
      <c r="I263" s="2">
        <f>+G263-H263</f>
        <v>-0.89999999999999147</v>
      </c>
      <c r="J263" s="1">
        <f>+(G263^14)/((G263^14+H263^14))</f>
        <v>0.46718315355083007</v>
      </c>
      <c r="K263" s="2">
        <v>105.9</v>
      </c>
      <c r="L263" s="2">
        <v>106.8</v>
      </c>
      <c r="M263" s="2">
        <f>+K263-L263</f>
        <v>-0.89999999999999147</v>
      </c>
      <c r="N263" s="1">
        <f>+F263-J263</f>
        <v>3.2816846449169934E-2</v>
      </c>
      <c r="O263" s="2">
        <v>110.6</v>
      </c>
      <c r="P263" s="2">
        <v>107.7</v>
      </c>
      <c r="Q263" s="2">
        <f>+O263-P263</f>
        <v>2.8999999999999915</v>
      </c>
      <c r="R263" s="2">
        <v>0.1</v>
      </c>
      <c r="S263" s="2">
        <v>0.9</v>
      </c>
      <c r="T263" s="2">
        <f>+Q263-M263</f>
        <v>3.7999999999999829</v>
      </c>
    </row>
    <row r="264" spans="1:20">
      <c r="A264" s="6">
        <v>666</v>
      </c>
      <c r="B264" t="s">
        <v>63</v>
      </c>
      <c r="C264" t="s">
        <v>13</v>
      </c>
      <c r="D264">
        <v>44</v>
      </c>
      <c r="E264">
        <v>38</v>
      </c>
      <c r="F264" s="1">
        <f>+D264/(D264+E264)</f>
        <v>0.53658536585365857</v>
      </c>
      <c r="G264" s="2">
        <v>118.9</v>
      </c>
      <c r="H264" s="2">
        <v>117.1</v>
      </c>
      <c r="I264" s="2">
        <f>+G264-H264</f>
        <v>1.8000000000000114</v>
      </c>
      <c r="J264" s="1">
        <f>+(G264^14)/((G264^14+H264^14))</f>
        <v>0.55318886020704383</v>
      </c>
      <c r="K264" s="2">
        <v>115.1</v>
      </c>
      <c r="L264" s="2">
        <v>113.4</v>
      </c>
      <c r="M264" s="2">
        <f>+K264-L264</f>
        <v>1.6999999999999886</v>
      </c>
      <c r="N264" s="1">
        <f>+F264-J264</f>
        <v>-1.6603494353385262E-2</v>
      </c>
      <c r="O264" s="2">
        <v>104</v>
      </c>
      <c r="P264" s="2">
        <v>98.6</v>
      </c>
      <c r="Q264" s="2">
        <f>+O264-P264</f>
        <v>5.4000000000000057</v>
      </c>
      <c r="R264" s="2">
        <v>0.8</v>
      </c>
      <c r="S264" s="2">
        <v>2.2999999999999998</v>
      </c>
      <c r="T264" s="2">
        <f>+Q264-M264</f>
        <v>3.7000000000000171</v>
      </c>
    </row>
    <row r="265" spans="1:20">
      <c r="A265" s="6">
        <v>474</v>
      </c>
      <c r="B265" t="s">
        <v>55</v>
      </c>
      <c r="C265" t="s">
        <v>30</v>
      </c>
      <c r="D265">
        <v>56</v>
      </c>
      <c r="E265">
        <v>26</v>
      </c>
      <c r="F265" s="1">
        <f>+D265/(D265+E265)</f>
        <v>0.68292682926829273</v>
      </c>
      <c r="G265" s="2">
        <v>102.7</v>
      </c>
      <c r="H265" s="2">
        <v>98.2</v>
      </c>
      <c r="I265" s="2">
        <f>+G265-H265</f>
        <v>4.5</v>
      </c>
      <c r="J265" s="1">
        <f>+(G265^14)/((G265^14+H265^14))</f>
        <v>0.65187304994551343</v>
      </c>
      <c r="K265" s="2">
        <v>109.3</v>
      </c>
      <c r="L265" s="2">
        <v>104.8</v>
      </c>
      <c r="M265" s="2">
        <f>+K265-L265</f>
        <v>4.5</v>
      </c>
      <c r="N265" s="1">
        <f>+F265-J265</f>
        <v>3.1053779322779307E-2</v>
      </c>
      <c r="O265" s="2">
        <v>108.5</v>
      </c>
      <c r="P265" s="2">
        <v>100.3</v>
      </c>
      <c r="Q265" s="2">
        <f>+O265-P265</f>
        <v>8.2000000000000028</v>
      </c>
      <c r="R265" s="2">
        <v>1.5</v>
      </c>
      <c r="S265" s="2">
        <v>7.7</v>
      </c>
      <c r="T265" s="2">
        <f>+Q265-M265</f>
        <v>3.7000000000000028</v>
      </c>
    </row>
    <row r="266" spans="1:20">
      <c r="A266" s="6">
        <v>670</v>
      </c>
      <c r="B266" t="s">
        <v>63</v>
      </c>
      <c r="C266" t="s">
        <v>17</v>
      </c>
      <c r="D266">
        <v>43</v>
      </c>
      <c r="E266">
        <v>39</v>
      </c>
      <c r="F266" s="1">
        <f>+D266/(D266+E266)</f>
        <v>0.52439024390243905</v>
      </c>
      <c r="G266" s="2">
        <v>117.2</v>
      </c>
      <c r="H266" s="2">
        <v>116.6</v>
      </c>
      <c r="I266" s="2">
        <f>+G266-H266</f>
        <v>0.60000000000000853</v>
      </c>
      <c r="J266" s="1">
        <f>+(G266^14)/((G266^14+H266^14))</f>
        <v>0.5179563857008791</v>
      </c>
      <c r="K266" s="2">
        <v>113.9</v>
      </c>
      <c r="L266" s="2">
        <v>113.2</v>
      </c>
      <c r="M266" s="2">
        <f>+K266-L266</f>
        <v>0.70000000000000284</v>
      </c>
      <c r="N266" s="1">
        <f>+F266-J266</f>
        <v>6.4338582015599499E-3</v>
      </c>
      <c r="O266" s="2">
        <v>115.9</v>
      </c>
      <c r="P266" s="2">
        <v>111.5</v>
      </c>
      <c r="Q266" s="2">
        <f>+O266-P266</f>
        <v>4.4000000000000057</v>
      </c>
      <c r="R266" s="2">
        <v>1.9</v>
      </c>
      <c r="S266" s="2">
        <v>8.6999999999999993</v>
      </c>
      <c r="T266" s="2">
        <f>+Q266-M266</f>
        <v>3.7000000000000028</v>
      </c>
    </row>
    <row r="267" spans="1:20">
      <c r="A267" s="6">
        <v>569</v>
      </c>
      <c r="B267" t="s">
        <v>60</v>
      </c>
      <c r="C267" t="s">
        <v>51</v>
      </c>
      <c r="D267">
        <v>35</v>
      </c>
      <c r="E267">
        <v>37</v>
      </c>
      <c r="F267" s="1">
        <f>+D267/(D267+E267)</f>
        <v>0.4861111111111111</v>
      </c>
      <c r="G267" s="2">
        <v>111.8</v>
      </c>
      <c r="H267" s="2">
        <v>112.3</v>
      </c>
      <c r="I267" s="2">
        <f>+G267-H267</f>
        <v>-0.5</v>
      </c>
      <c r="J267" s="1">
        <f>+(G267^14)/((G267^14+H267^14))</f>
        <v>0.48438702391890293</v>
      </c>
      <c r="K267" s="2">
        <v>108.7</v>
      </c>
      <c r="L267" s="2">
        <v>109.2</v>
      </c>
      <c r="M267" s="2">
        <f>+K267-L267</f>
        <v>-0.5</v>
      </c>
      <c r="N267" s="1">
        <f>+F267-J267</f>
        <v>1.7240871922081791E-3</v>
      </c>
      <c r="O267" s="2">
        <v>110.4</v>
      </c>
      <c r="P267" s="2">
        <v>107.2</v>
      </c>
      <c r="Q267" s="2">
        <f>+O267-P267</f>
        <v>3.2000000000000028</v>
      </c>
      <c r="R267" s="2">
        <v>-1.3</v>
      </c>
      <c r="S267" s="2">
        <v>-5.7</v>
      </c>
      <c r="T267" s="2">
        <f>+Q267-M267</f>
        <v>3.7000000000000028</v>
      </c>
    </row>
    <row r="268" spans="1:20">
      <c r="A268" s="6">
        <v>113</v>
      </c>
      <c r="B268" t="s">
        <v>38</v>
      </c>
      <c r="C268" t="s">
        <v>29</v>
      </c>
      <c r="D268">
        <v>37</v>
      </c>
      <c r="E268">
        <v>45</v>
      </c>
      <c r="F268" s="1">
        <f>+D268/(D268+E268)</f>
        <v>0.45121951219512196</v>
      </c>
      <c r="G268" s="2">
        <v>97.1</v>
      </c>
      <c r="H268" s="2">
        <v>97.8</v>
      </c>
      <c r="I268" s="2">
        <f>+G268-H268</f>
        <v>-0.70000000000000284</v>
      </c>
      <c r="J268" s="1">
        <f>+(G268^14)/((G268^14+H268^14))</f>
        <v>0.4748799608375659</v>
      </c>
      <c r="K268" s="2">
        <v>105.6</v>
      </c>
      <c r="L268" s="2">
        <v>106.4</v>
      </c>
      <c r="M268" s="2">
        <f>+K268-L268</f>
        <v>-0.80000000000001137</v>
      </c>
      <c r="N268" s="1">
        <f>+F268-J268</f>
        <v>-2.3660448642443932E-2</v>
      </c>
      <c r="O268" s="2">
        <v>111.3</v>
      </c>
      <c r="P268" s="2">
        <v>108.4</v>
      </c>
      <c r="Q268" s="2">
        <f>+O268-P268</f>
        <v>2.8999999999999915</v>
      </c>
      <c r="R268" s="2">
        <v>0.3</v>
      </c>
      <c r="S268" s="2">
        <v>-0.3</v>
      </c>
      <c r="T268" s="2">
        <f>+Q268-M268</f>
        <v>3.7000000000000028</v>
      </c>
    </row>
    <row r="269" spans="1:20">
      <c r="A269" s="6">
        <v>23</v>
      </c>
      <c r="B269" t="s">
        <v>4</v>
      </c>
      <c r="C269" t="s">
        <v>27</v>
      </c>
      <c r="D269">
        <v>55</v>
      </c>
      <c r="E269">
        <v>27</v>
      </c>
      <c r="F269" s="1">
        <f>+D269/(D269+E269)</f>
        <v>0.67073170731707321</v>
      </c>
      <c r="G269" s="2">
        <v>101.7</v>
      </c>
      <c r="H269" s="2">
        <v>95.9</v>
      </c>
      <c r="I269" s="2">
        <f>+G269-H269</f>
        <v>5.7999999999999972</v>
      </c>
      <c r="J269" s="1">
        <f>+(G269^14)/((G269^14+H269^14))</f>
        <v>0.69468161097182612</v>
      </c>
      <c r="K269" s="2">
        <v>104.2</v>
      </c>
      <c r="L269" s="2">
        <v>98.5</v>
      </c>
      <c r="M269" s="2">
        <f>+K269-L269</f>
        <v>5.7000000000000028</v>
      </c>
      <c r="N269" s="1">
        <f>+F269-J269</f>
        <v>-2.3949903654752913E-2</v>
      </c>
      <c r="O269" s="2">
        <v>94</v>
      </c>
      <c r="P269" s="2">
        <v>84.6</v>
      </c>
      <c r="Q269" s="2">
        <f>+O269-P269</f>
        <v>9.4000000000000057</v>
      </c>
      <c r="R269" s="2">
        <v>1.4</v>
      </c>
      <c r="S269" s="2">
        <v>6.4</v>
      </c>
      <c r="T269" s="2">
        <f>+Q269-M269</f>
        <v>3.7000000000000028</v>
      </c>
    </row>
    <row r="270" spans="1:20">
      <c r="A270" s="6">
        <v>124</v>
      </c>
      <c r="B270" t="s">
        <v>39</v>
      </c>
      <c r="C270" t="s">
        <v>12</v>
      </c>
      <c r="D270">
        <v>54</v>
      </c>
      <c r="E270">
        <v>28</v>
      </c>
      <c r="F270" s="1">
        <f>+D270/(D270+E270)</f>
        <v>0.65853658536585369</v>
      </c>
      <c r="G270" s="2">
        <v>93.3</v>
      </c>
      <c r="H270" s="2">
        <v>89.5</v>
      </c>
      <c r="I270" s="2">
        <f>+G270-H270</f>
        <v>3.7999999999999972</v>
      </c>
      <c r="J270" s="1">
        <f>+(G270^14)/((G270^14+H270^14))</f>
        <v>0.64155984536555377</v>
      </c>
      <c r="K270" s="2">
        <v>103.9</v>
      </c>
      <c r="L270" s="2">
        <v>99.6</v>
      </c>
      <c r="M270" s="2">
        <f>+K270-L270</f>
        <v>4.3000000000000114</v>
      </c>
      <c r="N270" s="1">
        <f>+F270-J270</f>
        <v>1.6976740000299917E-2</v>
      </c>
      <c r="O270" s="2">
        <v>100</v>
      </c>
      <c r="P270" s="2">
        <v>92</v>
      </c>
      <c r="Q270" s="2">
        <f>+O270-P270</f>
        <v>8</v>
      </c>
      <c r="R270" s="2">
        <v>0.1</v>
      </c>
      <c r="S270" s="2">
        <v>0.3</v>
      </c>
      <c r="T270" s="2">
        <f>+Q270-M270</f>
        <v>3.6999999999999886</v>
      </c>
    </row>
    <row r="271" spans="1:20">
      <c r="A271" s="6">
        <v>154</v>
      </c>
      <c r="B271" t="s">
        <v>41</v>
      </c>
      <c r="C271" t="s">
        <v>12</v>
      </c>
      <c r="D271">
        <v>64</v>
      </c>
      <c r="E271">
        <v>18</v>
      </c>
      <c r="F271" s="1">
        <f>+D271/(D271+E271)</f>
        <v>0.78048780487804881</v>
      </c>
      <c r="G271" s="2">
        <v>96.8</v>
      </c>
      <c r="H271" s="2">
        <v>90.2</v>
      </c>
      <c r="I271" s="2">
        <f>+G271-H271</f>
        <v>6.5999999999999943</v>
      </c>
      <c r="J271" s="1">
        <f>+(G271^14)/((G271^14+H271^14))</f>
        <v>0.72882038739462951</v>
      </c>
      <c r="K271" s="2">
        <v>109.3</v>
      </c>
      <c r="L271" s="2">
        <v>101.7</v>
      </c>
      <c r="M271" s="2">
        <f>+K271-L271</f>
        <v>7.5999999999999943</v>
      </c>
      <c r="N271" s="1">
        <f>+F271-J271</f>
        <v>5.1667417483419298E-2</v>
      </c>
      <c r="O271" s="2">
        <v>111.5</v>
      </c>
      <c r="P271" s="2">
        <v>100.3</v>
      </c>
      <c r="Q271" s="2">
        <f>+O271-P271</f>
        <v>11.200000000000003</v>
      </c>
      <c r="R271" s="2">
        <v>0.2</v>
      </c>
      <c r="S271" s="2">
        <v>1.3</v>
      </c>
      <c r="T271" s="2">
        <f>+Q271-M271</f>
        <v>3.6000000000000085</v>
      </c>
    </row>
    <row r="272" spans="1:20">
      <c r="A272" s="6">
        <v>283</v>
      </c>
      <c r="B272" t="s">
        <v>47</v>
      </c>
      <c r="C272" t="s">
        <v>20</v>
      </c>
      <c r="D272">
        <v>15</v>
      </c>
      <c r="E272">
        <v>67</v>
      </c>
      <c r="F272" s="1">
        <f>+D272/(D272+E272)</f>
        <v>0.18292682926829268</v>
      </c>
      <c r="G272" s="2">
        <v>98.2</v>
      </c>
      <c r="H272" s="2">
        <v>107.8</v>
      </c>
      <c r="I272" s="2">
        <f>+G272-H272</f>
        <v>-9.5999999999999943</v>
      </c>
      <c r="J272" s="1">
        <f>+(G272^14)/((G272^14+H272^14))</f>
        <v>0.21319047062273172</v>
      </c>
      <c r="K272" s="2">
        <v>100.6</v>
      </c>
      <c r="L272" s="2">
        <v>110.4</v>
      </c>
      <c r="M272" s="2">
        <f>+K272-L272</f>
        <v>-9.8000000000000114</v>
      </c>
      <c r="N272" s="1">
        <f>+F272-J272</f>
        <v>-3.0263641354439041E-2</v>
      </c>
      <c r="O272" s="2">
        <v>102.7</v>
      </c>
      <c r="P272" s="2">
        <v>108.9</v>
      </c>
      <c r="Q272" s="2">
        <f>+O272-P272</f>
        <v>-6.2000000000000028</v>
      </c>
      <c r="R272" s="2">
        <v>0.3</v>
      </c>
      <c r="S272" s="2">
        <v>-1.3</v>
      </c>
      <c r="T272" s="2">
        <f>+Q272-M272</f>
        <v>3.6000000000000085</v>
      </c>
    </row>
    <row r="273" spans="1:20">
      <c r="A273" s="6">
        <v>531</v>
      </c>
      <c r="B273" t="s">
        <v>58</v>
      </c>
      <c r="C273" t="s">
        <v>26</v>
      </c>
      <c r="D273">
        <v>49</v>
      </c>
      <c r="E273">
        <v>33</v>
      </c>
      <c r="F273" s="1">
        <f>+D273/(D273+E273)</f>
        <v>0.59756097560975607</v>
      </c>
      <c r="G273" s="2">
        <v>105.6</v>
      </c>
      <c r="H273" s="2">
        <v>103</v>
      </c>
      <c r="I273" s="2">
        <f>+G273-H273</f>
        <v>2.5999999999999943</v>
      </c>
      <c r="J273" s="1">
        <f>+(G273^14)/((G273^14+H273^14))</f>
        <v>0.5863778164099368</v>
      </c>
      <c r="K273" s="2">
        <v>108.4</v>
      </c>
      <c r="L273" s="2">
        <v>105.7</v>
      </c>
      <c r="M273" s="2">
        <f>+K273-L273</f>
        <v>2.7000000000000028</v>
      </c>
      <c r="N273" s="1">
        <f>+F273-J273</f>
        <v>1.118315919981927E-2</v>
      </c>
      <c r="O273" s="2">
        <v>103</v>
      </c>
      <c r="P273" s="2">
        <v>96.7</v>
      </c>
      <c r="Q273" s="2">
        <f>+O273-P273</f>
        <v>6.2999999999999972</v>
      </c>
      <c r="R273" s="2">
        <v>-0.4</v>
      </c>
      <c r="S273" s="2">
        <v>-2.9</v>
      </c>
      <c r="T273" s="2">
        <f>+Q273-M273</f>
        <v>3.5999999999999943</v>
      </c>
    </row>
    <row r="274" spans="1:20">
      <c r="A274" s="6">
        <v>49</v>
      </c>
      <c r="B274" t="s">
        <v>34</v>
      </c>
      <c r="C274" t="s">
        <v>23</v>
      </c>
      <c r="D274">
        <v>44</v>
      </c>
      <c r="E274">
        <v>38</v>
      </c>
      <c r="F274" s="1">
        <f>+D274/(D274+E274)</f>
        <v>0.53658536585365857</v>
      </c>
      <c r="G274" s="2">
        <v>100.5</v>
      </c>
      <c r="H274" s="2">
        <v>98.9</v>
      </c>
      <c r="I274" s="2">
        <f>+G274-H274</f>
        <v>1.5999999999999943</v>
      </c>
      <c r="J274" s="1">
        <f>+(G274^14)/((G274^14+H274^14))</f>
        <v>0.5559346078100218</v>
      </c>
      <c r="K274" s="2">
        <v>105.6</v>
      </c>
      <c r="L274" s="2">
        <v>104.1</v>
      </c>
      <c r="M274" s="2">
        <f>+K274-L274</f>
        <v>1.5</v>
      </c>
      <c r="N274" s="1">
        <f>+F274-J274</f>
        <v>-1.9349241956363228E-2</v>
      </c>
      <c r="O274" s="2">
        <v>105.5</v>
      </c>
      <c r="P274" s="2">
        <v>100.4</v>
      </c>
      <c r="Q274" s="2">
        <f>+O274-P274</f>
        <v>5.0999999999999943</v>
      </c>
      <c r="R274" s="2">
        <v>-1</v>
      </c>
      <c r="S274" s="2">
        <v>-4.7</v>
      </c>
      <c r="T274" s="2">
        <f>+Q274-M274</f>
        <v>3.5999999999999943</v>
      </c>
    </row>
    <row r="275" spans="1:20">
      <c r="A275" s="6">
        <v>673</v>
      </c>
      <c r="B275" t="s">
        <v>63</v>
      </c>
      <c r="C275" t="s">
        <v>19</v>
      </c>
      <c r="D275">
        <v>58</v>
      </c>
      <c r="E275">
        <v>24</v>
      </c>
      <c r="F275" s="1">
        <f>+D275/(D275+E275)</f>
        <v>0.70731707317073167</v>
      </c>
      <c r="G275" s="2">
        <v>116.9</v>
      </c>
      <c r="H275" s="2">
        <v>113.3</v>
      </c>
      <c r="I275" s="2">
        <f>+G275-H275</f>
        <v>3.6000000000000085</v>
      </c>
      <c r="J275" s="1">
        <f>+(G275^14)/((G275^14+H275^14))</f>
        <v>0.607762297189269</v>
      </c>
      <c r="K275" s="2">
        <v>114.3</v>
      </c>
      <c r="L275" s="2">
        <v>110.9</v>
      </c>
      <c r="M275" s="2">
        <f>+K275-L275</f>
        <v>3.3999999999999915</v>
      </c>
      <c r="N275" s="1">
        <f>+F275-J275</f>
        <v>9.9554775981462673E-2</v>
      </c>
      <c r="O275" s="2">
        <v>109.7</v>
      </c>
      <c r="P275" s="2">
        <v>102.8</v>
      </c>
      <c r="Q275" s="2">
        <f>+O275-P275</f>
        <v>6.9000000000000057</v>
      </c>
      <c r="R275" s="2">
        <v>0.7</v>
      </c>
      <c r="S275" s="2">
        <v>3.4</v>
      </c>
      <c r="T275" s="2">
        <f>+Q275-M275</f>
        <v>3.5000000000000142</v>
      </c>
    </row>
    <row r="276" spans="1:20">
      <c r="A276" s="6">
        <v>60</v>
      </c>
      <c r="B276" t="s">
        <v>36</v>
      </c>
      <c r="C276" t="s">
        <v>6</v>
      </c>
      <c r="D276">
        <v>44</v>
      </c>
      <c r="E276">
        <v>38</v>
      </c>
      <c r="F276" s="1">
        <f>+D276/(D276+E276)</f>
        <v>0.53658536585365857</v>
      </c>
      <c r="G276" s="2">
        <v>92.7</v>
      </c>
      <c r="H276" s="2">
        <v>93.1</v>
      </c>
      <c r="I276" s="2">
        <f>+G276-H276</f>
        <v>-0.39999999999999147</v>
      </c>
      <c r="J276" s="1">
        <f>+(G276^14)/((G276^14+H276^14))</f>
        <v>0.48493457063949058</v>
      </c>
      <c r="K276" s="2">
        <v>100</v>
      </c>
      <c r="L276" s="2">
        <v>100.5</v>
      </c>
      <c r="M276" s="2">
        <f>+K276-L276</f>
        <v>-0.5</v>
      </c>
      <c r="N276" s="1">
        <f>+F276-J276</f>
        <v>5.1650795214167988E-2</v>
      </c>
      <c r="O276" s="2">
        <v>93.4</v>
      </c>
      <c r="P276" s="2">
        <v>90.4</v>
      </c>
      <c r="Q276" s="2">
        <f>+O276-P276</f>
        <v>3</v>
      </c>
      <c r="R276" s="2">
        <v>0</v>
      </c>
      <c r="S276" s="2">
        <v>-0.2</v>
      </c>
      <c r="T276" s="2">
        <f>+Q276-M276</f>
        <v>3.5</v>
      </c>
    </row>
    <row r="277" spans="1:20">
      <c r="A277" s="6">
        <v>632</v>
      </c>
      <c r="B277" t="s">
        <v>62</v>
      </c>
      <c r="C277" t="s">
        <v>9</v>
      </c>
      <c r="D277">
        <v>44</v>
      </c>
      <c r="E277">
        <v>38</v>
      </c>
      <c r="F277" s="1">
        <f>+D277/(D277+E277)</f>
        <v>0.53658536585365857</v>
      </c>
      <c r="G277" s="2">
        <v>107.8</v>
      </c>
      <c r="H277" s="2">
        <v>105.7</v>
      </c>
      <c r="I277" s="2">
        <f>+G277-H277</f>
        <v>2.0999999999999943</v>
      </c>
      <c r="J277" s="1">
        <f>+(G277^14)/((G277^14+H277^14))</f>
        <v>0.56842270571530307</v>
      </c>
      <c r="K277" s="2">
        <v>111</v>
      </c>
      <c r="L277" s="2">
        <v>108.9</v>
      </c>
      <c r="M277" s="2">
        <f>+K277-L277</f>
        <v>2.0999999999999943</v>
      </c>
      <c r="N277" s="1">
        <f>+F277-J277</f>
        <v>-3.1837339861644498E-2</v>
      </c>
      <c r="O277" s="2">
        <v>110</v>
      </c>
      <c r="P277" s="2">
        <v>104.4</v>
      </c>
      <c r="Q277" s="2">
        <f>+O277-P277</f>
        <v>5.5999999999999943</v>
      </c>
      <c r="R277" s="2">
        <v>-0.7</v>
      </c>
      <c r="S277" s="2">
        <v>-2.6</v>
      </c>
      <c r="T277" s="2">
        <f>+Q277-M277</f>
        <v>3.5</v>
      </c>
    </row>
    <row r="278" spans="1:20">
      <c r="A278" s="6">
        <v>752</v>
      </c>
      <c r="B278" t="s">
        <v>66</v>
      </c>
      <c r="C278" t="s">
        <v>9</v>
      </c>
      <c r="D278">
        <v>39</v>
      </c>
      <c r="E278">
        <v>24</v>
      </c>
      <c r="F278" s="1">
        <f>+D278/(D278+E278)</f>
        <v>0.61904761904761907</v>
      </c>
      <c r="G278" s="2">
        <v>119.1</v>
      </c>
      <c r="H278" s="2">
        <v>114.9</v>
      </c>
      <c r="I278" s="2">
        <f>+G278-H278</f>
        <v>4.1999999999999886</v>
      </c>
      <c r="J278" s="1">
        <f>+(G278^14)/((G278^14+H278^14))</f>
        <v>0.62307439243207641</v>
      </c>
      <c r="K278" s="2">
        <v>117.4</v>
      </c>
      <c r="L278" s="2">
        <v>113.1</v>
      </c>
      <c r="M278" s="2">
        <f>+K278-L278</f>
        <v>4.3000000000000114</v>
      </c>
      <c r="N278" s="1">
        <f>+F278-J278</f>
        <v>-4.0267733844573383E-3</v>
      </c>
      <c r="O278" s="2">
        <v>114.8</v>
      </c>
      <c r="P278" s="2">
        <v>107</v>
      </c>
      <c r="Q278" s="2">
        <f>+O278-P278</f>
        <v>7.7999999999999972</v>
      </c>
      <c r="R278" s="2">
        <v>1.9</v>
      </c>
      <c r="S278" s="2">
        <v>5.8</v>
      </c>
      <c r="T278" s="2">
        <f>+Q278-M278</f>
        <v>3.4999999999999858</v>
      </c>
    </row>
    <row r="279" spans="1:20">
      <c r="A279" s="6">
        <v>265</v>
      </c>
      <c r="B279" t="s">
        <v>45</v>
      </c>
      <c r="C279" t="s">
        <v>31</v>
      </c>
      <c r="D279">
        <v>48</v>
      </c>
      <c r="E279">
        <v>34</v>
      </c>
      <c r="F279" s="1">
        <f>+D279/(D279+E279)</f>
        <v>0.58536585365853655</v>
      </c>
      <c r="G279" s="2">
        <v>103.6</v>
      </c>
      <c r="H279" s="2">
        <v>100.9</v>
      </c>
      <c r="I279" s="2">
        <f>+G279-H279</f>
        <v>2.6999999999999886</v>
      </c>
      <c r="J279" s="1">
        <f>+(G279^14)/((G279^14+H279^14))</f>
        <v>0.59138736414412263</v>
      </c>
      <c r="K279" s="2">
        <v>108.5</v>
      </c>
      <c r="L279" s="2">
        <v>105.8</v>
      </c>
      <c r="M279" s="2">
        <f>+K279-L279</f>
        <v>2.7000000000000028</v>
      </c>
      <c r="N279" s="1">
        <f>+F279-J279</f>
        <v>-6.021510485586079E-3</v>
      </c>
      <c r="O279" s="2">
        <v>109.6</v>
      </c>
      <c r="P279" s="2">
        <v>103.4</v>
      </c>
      <c r="Q279" s="2">
        <f>+O279-P279</f>
        <v>6.1999999999999886</v>
      </c>
      <c r="R279" s="2">
        <v>1.2</v>
      </c>
      <c r="S279" s="2">
        <v>6.6</v>
      </c>
      <c r="T279" s="2">
        <f>+Q279-M279</f>
        <v>3.4999999999999858</v>
      </c>
    </row>
    <row r="280" spans="1:20">
      <c r="A280" s="6">
        <v>382</v>
      </c>
      <c r="B280" t="s">
        <v>50</v>
      </c>
      <c r="C280" t="s">
        <v>27</v>
      </c>
      <c r="D280">
        <v>28</v>
      </c>
      <c r="E280">
        <v>54</v>
      </c>
      <c r="F280" s="1">
        <f>+D280/(D280+E280)</f>
        <v>0.34146341463414637</v>
      </c>
      <c r="G280" s="2">
        <v>100.2</v>
      </c>
      <c r="H280" s="2">
        <v>105.1</v>
      </c>
      <c r="I280" s="2">
        <f>+G280-H280</f>
        <v>-4.8999999999999915</v>
      </c>
      <c r="J280" s="1">
        <f>+(G280^14)/((G280^14+H280^14))</f>
        <v>0.33885133571043297</v>
      </c>
      <c r="K280" s="2">
        <v>105.3</v>
      </c>
      <c r="L280" s="2">
        <v>110</v>
      </c>
      <c r="M280" s="2">
        <f>+K280-L280</f>
        <v>-4.7000000000000028</v>
      </c>
      <c r="N280" s="1">
        <f>+F280-J280</f>
        <v>2.6120789237134012E-3</v>
      </c>
      <c r="O280" s="2">
        <v>101</v>
      </c>
      <c r="P280" s="2">
        <v>102.3</v>
      </c>
      <c r="Q280" s="2">
        <f>+O280-P280</f>
        <v>-1.2999999999999972</v>
      </c>
      <c r="R280" s="2">
        <v>-0.2</v>
      </c>
      <c r="S280" s="2">
        <v>-2.4</v>
      </c>
      <c r="T280" s="2">
        <f>+Q280-M280</f>
        <v>3.4000000000000057</v>
      </c>
    </row>
    <row r="281" spans="1:20">
      <c r="A281" s="6">
        <v>205</v>
      </c>
      <c r="B281" t="s">
        <v>43</v>
      </c>
      <c r="C281" t="s">
        <v>31</v>
      </c>
      <c r="D281">
        <v>51</v>
      </c>
      <c r="E281">
        <v>31</v>
      </c>
      <c r="F281" s="1">
        <f>+D281/(D281+E281)</f>
        <v>0.62195121951219512</v>
      </c>
      <c r="G281" s="2">
        <v>101.5</v>
      </c>
      <c r="H281" s="2">
        <v>98.6</v>
      </c>
      <c r="I281" s="2">
        <f>+G281-H281</f>
        <v>2.9000000000000057</v>
      </c>
      <c r="J281" s="1">
        <f>+(G281^14)/((G281^14+H281^14))</f>
        <v>0.60008649482988841</v>
      </c>
      <c r="K281" s="2">
        <v>108.6</v>
      </c>
      <c r="L281" s="2">
        <v>105.6</v>
      </c>
      <c r="M281" s="2">
        <f>+K281-L281</f>
        <v>3</v>
      </c>
      <c r="N281" s="1">
        <f>+F281-J281</f>
        <v>2.1864724682306713E-2</v>
      </c>
      <c r="O281" s="2">
        <v>116.1</v>
      </c>
      <c r="P281" s="2">
        <v>109.7</v>
      </c>
      <c r="Q281" s="2">
        <f>+O281-P281</f>
        <v>6.3999999999999915</v>
      </c>
      <c r="R281" s="2">
        <v>1.9</v>
      </c>
      <c r="S281" s="2">
        <v>6.8</v>
      </c>
      <c r="T281" s="2">
        <f>+Q281-M281</f>
        <v>3.3999999999999915</v>
      </c>
    </row>
    <row r="282" spans="1:20">
      <c r="A282" s="6">
        <v>76</v>
      </c>
      <c r="B282" t="s">
        <v>36</v>
      </c>
      <c r="C282" t="s">
        <v>37</v>
      </c>
      <c r="D282">
        <v>47</v>
      </c>
      <c r="E282">
        <v>35</v>
      </c>
      <c r="F282" s="1">
        <f>+D282/(D282+E282)</f>
        <v>0.57317073170731703</v>
      </c>
      <c r="G282" s="2">
        <v>93.9</v>
      </c>
      <c r="H282" s="2">
        <v>91.8</v>
      </c>
      <c r="I282" s="2">
        <f>+G282-H282</f>
        <v>2.1000000000000085</v>
      </c>
      <c r="J282" s="1">
        <f>+(G282^14)/((G282^14+H282^14))</f>
        <v>0.57850840531735526</v>
      </c>
      <c r="K282" s="2">
        <v>102.4</v>
      </c>
      <c r="L282" s="2">
        <v>100</v>
      </c>
      <c r="M282" s="2">
        <f>+K282-L282</f>
        <v>2.4000000000000057</v>
      </c>
      <c r="N282" s="1">
        <f>+F282-J282</f>
        <v>-5.3376736100382294E-3</v>
      </c>
      <c r="O282" s="2">
        <v>101.5</v>
      </c>
      <c r="P282" s="2">
        <v>95.7</v>
      </c>
      <c r="Q282" s="2">
        <f>+O282-P282</f>
        <v>5.7999999999999972</v>
      </c>
      <c r="R282" s="2">
        <v>0.3</v>
      </c>
      <c r="S282" s="2">
        <v>0.9</v>
      </c>
      <c r="T282" s="2">
        <f>+Q282-M282</f>
        <v>3.3999999999999915</v>
      </c>
    </row>
    <row r="283" spans="1:20">
      <c r="A283" s="6">
        <v>56</v>
      </c>
      <c r="B283" t="s">
        <v>34</v>
      </c>
      <c r="C283" t="s">
        <v>30</v>
      </c>
      <c r="D283">
        <v>42</v>
      </c>
      <c r="E283">
        <v>40</v>
      </c>
      <c r="F283" s="1">
        <f>+D283/(D283+E283)</f>
        <v>0.51219512195121952</v>
      </c>
      <c r="G283" s="2">
        <v>91.4</v>
      </c>
      <c r="H283" s="2">
        <v>91.8</v>
      </c>
      <c r="I283" s="2">
        <f>+G283-H283</f>
        <v>-0.39999999999999147</v>
      </c>
      <c r="J283" s="1">
        <f>+(G283^14)/((G283^14+H283^14))</f>
        <v>0.48472089148498448</v>
      </c>
      <c r="K283" s="2">
        <v>101.1</v>
      </c>
      <c r="L283" s="2">
        <v>101.7</v>
      </c>
      <c r="M283" s="2">
        <f>+K283-L283</f>
        <v>-0.60000000000000853</v>
      </c>
      <c r="N283" s="1">
        <f>+F283-J283</f>
        <v>2.7474230466235039E-2</v>
      </c>
      <c r="O283" s="2">
        <v>93</v>
      </c>
      <c r="P283" s="2">
        <v>90.4</v>
      </c>
      <c r="Q283" s="2">
        <f>+O283-P283</f>
        <v>2.5999999999999943</v>
      </c>
      <c r="R283" s="2">
        <v>-0.8</v>
      </c>
      <c r="S283" s="2">
        <v>-3.8</v>
      </c>
      <c r="T283" s="2">
        <f>+Q283-M283</f>
        <v>3.2000000000000028</v>
      </c>
    </row>
    <row r="284" spans="1:20">
      <c r="A284" s="6">
        <v>273</v>
      </c>
      <c r="B284" t="s">
        <v>47</v>
      </c>
      <c r="C284" t="s">
        <v>11</v>
      </c>
      <c r="D284">
        <v>53</v>
      </c>
      <c r="E284">
        <v>29</v>
      </c>
      <c r="F284" s="1">
        <f>+D284/(D284+E284)</f>
        <v>0.64634146341463417</v>
      </c>
      <c r="G284" s="2">
        <v>106.5</v>
      </c>
      <c r="H284" s="2">
        <v>102.4</v>
      </c>
      <c r="I284" s="2">
        <f>+G284-H284</f>
        <v>4.0999999999999943</v>
      </c>
      <c r="J284" s="1">
        <f>+(G284^14)/((G284^14+H284^14))</f>
        <v>0.63404645270509008</v>
      </c>
      <c r="K284" s="2">
        <v>110.8</v>
      </c>
      <c r="L284" s="2">
        <v>106.5</v>
      </c>
      <c r="M284" s="2">
        <f>+K284-L284</f>
        <v>4.2999999999999972</v>
      </c>
      <c r="N284" s="1">
        <f>+F284-J284</f>
        <v>1.2295010709544085E-2</v>
      </c>
      <c r="O284" s="2">
        <v>117.7</v>
      </c>
      <c r="P284" s="2">
        <v>110.2</v>
      </c>
      <c r="Q284" s="2">
        <f>+O284-P284</f>
        <v>7.5</v>
      </c>
      <c r="R284" s="2">
        <v>1.6</v>
      </c>
      <c r="S284" s="2">
        <v>7.6</v>
      </c>
      <c r="T284" s="2">
        <f>+Q284-M284</f>
        <v>3.2000000000000028</v>
      </c>
    </row>
    <row r="285" spans="1:20">
      <c r="A285" s="6">
        <v>180</v>
      </c>
      <c r="B285" t="s">
        <v>43</v>
      </c>
      <c r="C285" t="s">
        <v>8</v>
      </c>
      <c r="D285">
        <v>49</v>
      </c>
      <c r="E285">
        <v>33</v>
      </c>
      <c r="F285" s="1">
        <f>+D285/(D285+E285)</f>
        <v>0.59756097560975607</v>
      </c>
      <c r="G285" s="2">
        <v>98.8</v>
      </c>
      <c r="H285" s="2">
        <v>93.8</v>
      </c>
      <c r="I285" s="2">
        <f>+G285-H285</f>
        <v>5</v>
      </c>
      <c r="J285" s="1">
        <f>+(G285^14)/((G285^14+H285^14))</f>
        <v>0.67415944517455229</v>
      </c>
      <c r="K285" s="2">
        <v>104</v>
      </c>
      <c r="L285" s="2">
        <v>98.8</v>
      </c>
      <c r="M285" s="2">
        <f>+K285-L285</f>
        <v>5.2000000000000028</v>
      </c>
      <c r="N285" s="1">
        <f>+F285-J285</f>
        <v>-7.6598469564796212E-2</v>
      </c>
      <c r="O285" s="2">
        <v>98</v>
      </c>
      <c r="P285" s="2">
        <v>89.6</v>
      </c>
      <c r="Q285" s="2">
        <f>+O285-P285</f>
        <v>8.4000000000000057</v>
      </c>
      <c r="R285" s="2">
        <v>0.6</v>
      </c>
      <c r="S285" s="2">
        <v>2.2999999999999998</v>
      </c>
      <c r="T285" s="2">
        <f>+Q285-M285</f>
        <v>3.2000000000000028</v>
      </c>
    </row>
    <row r="286" spans="1:20">
      <c r="A286" s="6">
        <v>178</v>
      </c>
      <c r="B286" t="s">
        <v>43</v>
      </c>
      <c r="C286" t="s">
        <v>6</v>
      </c>
      <c r="D286">
        <v>24</v>
      </c>
      <c r="E286">
        <v>58</v>
      </c>
      <c r="F286" s="1">
        <f>+D286/(D286+E286)</f>
        <v>0.29268292682926828</v>
      </c>
      <c r="G286" s="2">
        <v>95.8</v>
      </c>
      <c r="H286" s="2">
        <v>99.2</v>
      </c>
      <c r="I286" s="2">
        <f>+G286-H286</f>
        <v>-3.4000000000000057</v>
      </c>
      <c r="J286" s="1">
        <f>+(G286^14)/((G286^14+H286^14))</f>
        <v>0.38030482295206253</v>
      </c>
      <c r="K286" s="2">
        <v>102.3</v>
      </c>
      <c r="L286" s="2">
        <v>105.8</v>
      </c>
      <c r="M286" s="2">
        <f>+K286-L286</f>
        <v>-3.5</v>
      </c>
      <c r="N286" s="1">
        <f>+F286-J286</f>
        <v>-8.7621896122794252E-2</v>
      </c>
      <c r="O286" s="2">
        <v>98.7</v>
      </c>
      <c r="P286" s="2">
        <v>99</v>
      </c>
      <c r="Q286" s="2">
        <f>+O286-P286</f>
        <v>-0.29999999999999716</v>
      </c>
      <c r="R286" s="2">
        <v>0.1</v>
      </c>
      <c r="S286" s="2">
        <v>-0.8</v>
      </c>
      <c r="T286" s="2">
        <f>+Q286-M286</f>
        <v>3.2000000000000028</v>
      </c>
    </row>
    <row r="287" spans="1:20">
      <c r="A287" s="6">
        <v>501</v>
      </c>
      <c r="B287" t="s">
        <v>57</v>
      </c>
      <c r="C287" t="s">
        <v>26</v>
      </c>
      <c r="D287">
        <v>41</v>
      </c>
      <c r="E287">
        <v>41</v>
      </c>
      <c r="F287" s="1">
        <f>+D287/(D287+E287)</f>
        <v>0.5</v>
      </c>
      <c r="G287" s="2">
        <v>107.9</v>
      </c>
      <c r="H287" s="2">
        <v>108.5</v>
      </c>
      <c r="I287" s="2">
        <f>+G287-H287</f>
        <v>-0.59999999999999432</v>
      </c>
      <c r="J287" s="1">
        <f>+(G287^14)/((G287^14+H287^14))</f>
        <v>0.48060118968049892</v>
      </c>
      <c r="K287" s="2">
        <v>109.4</v>
      </c>
      <c r="L287" s="2">
        <v>110</v>
      </c>
      <c r="M287" s="2">
        <f>+K287-L287</f>
        <v>-0.59999999999999432</v>
      </c>
      <c r="N287" s="1">
        <f>+F287-J287</f>
        <v>1.9398810319501081E-2</v>
      </c>
      <c r="O287" s="2">
        <v>104.9</v>
      </c>
      <c r="P287" s="2">
        <v>102.4</v>
      </c>
      <c r="Q287" s="2">
        <f>+O287-P287</f>
        <v>2.5</v>
      </c>
      <c r="R287" s="2">
        <v>-0.1</v>
      </c>
      <c r="S287" s="2">
        <v>2</v>
      </c>
      <c r="T287" s="2">
        <f>+Q287-M287</f>
        <v>3.0999999999999943</v>
      </c>
    </row>
    <row r="288" spans="1:20">
      <c r="A288" s="6">
        <v>589</v>
      </c>
      <c r="B288" t="s">
        <v>60</v>
      </c>
      <c r="C288" t="s">
        <v>24</v>
      </c>
      <c r="D288">
        <v>43</v>
      </c>
      <c r="E288">
        <v>30</v>
      </c>
      <c r="F288" s="1">
        <f>+D288/(D288+E288)</f>
        <v>0.58904109589041098</v>
      </c>
      <c r="G288" s="2">
        <v>110.7</v>
      </c>
      <c r="H288" s="2">
        <v>108.4</v>
      </c>
      <c r="I288" s="2">
        <f>+G288-H288</f>
        <v>2.2999999999999972</v>
      </c>
      <c r="J288" s="1">
        <f>+(G288^14)/((G288^14+H288^14))</f>
        <v>0.57296056014659968</v>
      </c>
      <c r="K288" s="2">
        <v>110.7</v>
      </c>
      <c r="L288" s="2">
        <v>108.4</v>
      </c>
      <c r="M288" s="2">
        <f>+K288-L288</f>
        <v>2.2999999999999972</v>
      </c>
      <c r="N288" s="1">
        <f>+F288-J288</f>
        <v>1.6080535743811297E-2</v>
      </c>
      <c r="O288" s="2">
        <v>108.9</v>
      </c>
      <c r="P288" s="2">
        <v>103.6</v>
      </c>
      <c r="Q288" s="2">
        <f>+O288-P288</f>
        <v>5.3000000000000114</v>
      </c>
      <c r="R288" s="2">
        <v>0</v>
      </c>
      <c r="S288" s="2">
        <v>0</v>
      </c>
      <c r="T288" s="2">
        <f>+Q288-M288</f>
        <v>3.0000000000000142</v>
      </c>
    </row>
    <row r="289" spans="1:20">
      <c r="A289" s="6">
        <v>311</v>
      </c>
      <c r="B289" t="s">
        <v>48</v>
      </c>
      <c r="C289" t="s">
        <v>18</v>
      </c>
      <c r="D289">
        <v>58</v>
      </c>
      <c r="E289">
        <v>24</v>
      </c>
      <c r="F289" s="1">
        <f>+D289/(D289+E289)</f>
        <v>0.70731707317073167</v>
      </c>
      <c r="G289" s="2">
        <v>102.1</v>
      </c>
      <c r="H289" s="2">
        <v>94.6</v>
      </c>
      <c r="I289" s="2">
        <f>+G289-H289</f>
        <v>7.5</v>
      </c>
      <c r="J289" s="1">
        <f>+(G289^14)/((G289^14+H289^14))</f>
        <v>0.7442417947513682</v>
      </c>
      <c r="K289" s="2">
        <v>110.6</v>
      </c>
      <c r="L289" s="2">
        <v>102.9</v>
      </c>
      <c r="M289" s="2">
        <f>+K289-L289</f>
        <v>7.6999999999999886</v>
      </c>
      <c r="N289" s="1">
        <f>+F289-J289</f>
        <v>-3.6924721580636533E-2</v>
      </c>
      <c r="O289" s="2">
        <v>113.5</v>
      </c>
      <c r="P289" s="2">
        <v>102.8</v>
      </c>
      <c r="Q289" s="2">
        <f>+O289-P289</f>
        <v>10.700000000000003</v>
      </c>
      <c r="R289" s="2">
        <v>1.4</v>
      </c>
      <c r="S289" s="2">
        <v>8.9</v>
      </c>
      <c r="T289" s="2">
        <f>+Q289-M289</f>
        <v>3.0000000000000142</v>
      </c>
    </row>
    <row r="290" spans="1:20">
      <c r="A290" s="6">
        <v>371</v>
      </c>
      <c r="B290" t="s">
        <v>50</v>
      </c>
      <c r="C290" t="s">
        <v>35</v>
      </c>
      <c r="D290">
        <v>56</v>
      </c>
      <c r="E290">
        <v>26</v>
      </c>
      <c r="F290" s="1">
        <f>+D290/(D290+E290)</f>
        <v>0.68292682926829273</v>
      </c>
      <c r="G290" s="2">
        <v>93.4</v>
      </c>
      <c r="H290" s="2">
        <v>89.3</v>
      </c>
      <c r="I290" s="2">
        <f>+G290-H290</f>
        <v>4.1000000000000085</v>
      </c>
      <c r="J290" s="1">
        <f>+(G290^14)/((G290^14+H290^14))</f>
        <v>0.65213973687486437</v>
      </c>
      <c r="K290" s="2">
        <v>103.6</v>
      </c>
      <c r="L290" s="2">
        <v>99.1</v>
      </c>
      <c r="M290" s="2">
        <f>+K290-L290</f>
        <v>4.5</v>
      </c>
      <c r="N290" s="1">
        <f>+F290-J290</f>
        <v>3.0787092393428361E-2</v>
      </c>
      <c r="O290" s="2">
        <v>97.9</v>
      </c>
      <c r="P290" s="2">
        <v>90.4</v>
      </c>
      <c r="Q290" s="2">
        <f>+O290-P290</f>
        <v>7.5</v>
      </c>
      <c r="R290" s="2">
        <v>-0.7</v>
      </c>
      <c r="S290" s="2">
        <v>-3.6</v>
      </c>
      <c r="T290" s="2">
        <f>+Q290-M290</f>
        <v>3</v>
      </c>
    </row>
    <row r="291" spans="1:20">
      <c r="A291" s="6">
        <v>240</v>
      </c>
      <c r="B291" t="s">
        <v>45</v>
      </c>
      <c r="C291" t="s">
        <v>8</v>
      </c>
      <c r="D291">
        <v>41</v>
      </c>
      <c r="E291">
        <v>41</v>
      </c>
      <c r="F291" s="1">
        <f>+D291/(D291+E291)</f>
        <v>0.5</v>
      </c>
      <c r="G291" s="2">
        <v>102.2</v>
      </c>
      <c r="H291" s="2">
        <v>102.5</v>
      </c>
      <c r="I291" s="2">
        <f>+G291-H291</f>
        <v>-0.29999999999999716</v>
      </c>
      <c r="J291" s="1">
        <f>+(G291^14)/((G291^14+H291^14))</f>
        <v>0.48974251653386769</v>
      </c>
      <c r="K291" s="2">
        <v>107.2</v>
      </c>
      <c r="L291" s="2">
        <v>107.5</v>
      </c>
      <c r="M291" s="2">
        <f>+K291-L291</f>
        <v>-0.29999999999999716</v>
      </c>
      <c r="N291" s="1">
        <f>+F291-J291</f>
        <v>1.0257483466132311E-2</v>
      </c>
      <c r="O291" s="2">
        <v>107.2</v>
      </c>
      <c r="P291" s="2">
        <v>104.5</v>
      </c>
      <c r="Q291" s="2">
        <f>+O291-P291</f>
        <v>2.7000000000000028</v>
      </c>
      <c r="R291" s="2">
        <v>1.6</v>
      </c>
      <c r="S291" s="2">
        <v>8.3000000000000007</v>
      </c>
      <c r="T291" s="2">
        <f>+Q291-M291</f>
        <v>3</v>
      </c>
    </row>
    <row r="292" spans="1:20">
      <c r="A292" s="6">
        <v>111</v>
      </c>
      <c r="B292" t="s">
        <v>38</v>
      </c>
      <c r="C292" t="s">
        <v>27</v>
      </c>
      <c r="D292">
        <v>55</v>
      </c>
      <c r="E292">
        <v>27</v>
      </c>
      <c r="F292" s="1">
        <f>+D292/(D292+E292)</f>
        <v>0.67073170731707321</v>
      </c>
      <c r="G292" s="2">
        <v>102.8</v>
      </c>
      <c r="H292" s="2">
        <v>97.8</v>
      </c>
      <c r="I292" s="2">
        <f>+G292-H292</f>
        <v>5</v>
      </c>
      <c r="J292" s="1">
        <f>+(G292^14)/((G292^14+H292^14))</f>
        <v>0.66775548198710677</v>
      </c>
      <c r="K292" s="2">
        <v>108.6</v>
      </c>
      <c r="L292" s="2">
        <v>103.2</v>
      </c>
      <c r="M292" s="2">
        <f>+K292-L292</f>
        <v>5.3999999999999915</v>
      </c>
      <c r="N292" s="1">
        <f>+F292-J292</f>
        <v>2.9762253299664421E-3</v>
      </c>
      <c r="O292" s="2">
        <v>105.1</v>
      </c>
      <c r="P292" s="2">
        <v>96.7</v>
      </c>
      <c r="Q292" s="2">
        <f>+O292-P292</f>
        <v>8.3999999999999915</v>
      </c>
      <c r="R292" s="2">
        <v>1.5</v>
      </c>
      <c r="S292" s="2">
        <v>7.3</v>
      </c>
      <c r="T292" s="2">
        <f>+Q292-M292</f>
        <v>3</v>
      </c>
    </row>
    <row r="293" spans="1:20">
      <c r="A293" s="6">
        <v>720</v>
      </c>
      <c r="B293" t="s">
        <v>65</v>
      </c>
      <c r="C293" t="s">
        <v>7</v>
      </c>
      <c r="D293">
        <v>19</v>
      </c>
      <c r="E293">
        <v>63</v>
      </c>
      <c r="F293" s="1">
        <f>+D293/(D293+E293)</f>
        <v>0.23170731707317074</v>
      </c>
      <c r="G293" s="2">
        <v>105.1</v>
      </c>
      <c r="H293" s="2">
        <v>114.2</v>
      </c>
      <c r="I293" s="2">
        <f>+G293-H293</f>
        <v>-9.1000000000000085</v>
      </c>
      <c r="J293" s="1">
        <f>+(G293^14)/((G293^14+H293^14))</f>
        <v>0.23820492240798724</v>
      </c>
      <c r="K293" s="2">
        <v>106.7</v>
      </c>
      <c r="L293" s="2">
        <v>115.7</v>
      </c>
      <c r="M293" s="2">
        <f>+K293-L293</f>
        <v>-9</v>
      </c>
      <c r="N293" s="1">
        <f>+F293-J293</f>
        <v>-6.4976053348164975E-3</v>
      </c>
      <c r="O293" s="2">
        <v>105.4</v>
      </c>
      <c r="P293" s="2">
        <v>111.4</v>
      </c>
      <c r="Q293" s="2">
        <f>+O293-P293</f>
        <v>-6</v>
      </c>
      <c r="R293" s="2">
        <v>-0.5</v>
      </c>
      <c r="S293" s="2">
        <v>-5.8</v>
      </c>
      <c r="T293" s="2">
        <f>+Q293-M293</f>
        <v>3</v>
      </c>
    </row>
    <row r="294" spans="1:20">
      <c r="A294" s="6">
        <v>309</v>
      </c>
      <c r="B294" t="s">
        <v>48</v>
      </c>
      <c r="C294" t="s">
        <v>17</v>
      </c>
      <c r="D294">
        <v>57</v>
      </c>
      <c r="E294">
        <v>25</v>
      </c>
      <c r="F294" s="1">
        <f>+D294/(D294+E294)</f>
        <v>0.69512195121951215</v>
      </c>
      <c r="G294" s="2">
        <v>101.5</v>
      </c>
      <c r="H294" s="2">
        <v>95.4</v>
      </c>
      <c r="I294" s="2">
        <f>+G294-H294</f>
        <v>6.0999999999999943</v>
      </c>
      <c r="J294" s="1">
        <f>+(G294^14)/((G294^14+H294^14))</f>
        <v>0.70427169761914954</v>
      </c>
      <c r="K294" s="2">
        <v>109.6</v>
      </c>
      <c r="L294" s="2">
        <v>103.3</v>
      </c>
      <c r="M294" s="2">
        <f>+K294-L294</f>
        <v>6.2999999999999972</v>
      </c>
      <c r="N294" s="1">
        <f>+F294-J294</f>
        <v>-9.1497463996373929E-3</v>
      </c>
      <c r="O294" s="2">
        <v>108</v>
      </c>
      <c r="P294" s="2">
        <v>98.7</v>
      </c>
      <c r="Q294" s="2">
        <f>+O294-P294</f>
        <v>9.2999999999999972</v>
      </c>
      <c r="R294" s="2">
        <v>0</v>
      </c>
      <c r="S294" s="2">
        <v>0.9</v>
      </c>
      <c r="T294" s="2">
        <f>+Q294-M294</f>
        <v>3</v>
      </c>
    </row>
    <row r="295" spans="1:20">
      <c r="A295" s="6">
        <v>448</v>
      </c>
      <c r="B295" t="s">
        <v>55</v>
      </c>
      <c r="C295" t="s">
        <v>6</v>
      </c>
      <c r="D295">
        <v>48</v>
      </c>
      <c r="E295">
        <v>34</v>
      </c>
      <c r="F295" s="1">
        <f>+D295/(D295+E295)</f>
        <v>0.58536585365853655</v>
      </c>
      <c r="G295" s="2">
        <v>105.7</v>
      </c>
      <c r="H295" s="2">
        <v>102.5</v>
      </c>
      <c r="I295" s="2">
        <f>+G295-H295</f>
        <v>3.2000000000000028</v>
      </c>
      <c r="J295" s="1">
        <f>+(G295^14)/((G295^14+H295^14))</f>
        <v>0.60596663066011414</v>
      </c>
      <c r="K295" s="2">
        <v>105.8</v>
      </c>
      <c r="L295" s="2">
        <v>102.5</v>
      </c>
      <c r="M295" s="2">
        <f>+K295-L295</f>
        <v>3.2999999999999972</v>
      </c>
      <c r="N295" s="1">
        <f>+F295-J295</f>
        <v>-2.0600777001577586E-2</v>
      </c>
      <c r="O295" s="2">
        <v>112</v>
      </c>
      <c r="P295" s="2">
        <v>105.7</v>
      </c>
      <c r="Q295" s="2">
        <f>+O295-P295</f>
        <v>6.2999999999999972</v>
      </c>
      <c r="R295" s="2">
        <v>0.2</v>
      </c>
      <c r="S295" s="2">
        <v>0.2</v>
      </c>
      <c r="T295" s="2">
        <f>+Q295-M295</f>
        <v>3</v>
      </c>
    </row>
    <row r="296" spans="1:20">
      <c r="A296" s="6">
        <v>51</v>
      </c>
      <c r="B296" t="s">
        <v>34</v>
      </c>
      <c r="C296" t="s">
        <v>25</v>
      </c>
      <c r="D296">
        <v>36</v>
      </c>
      <c r="E296">
        <v>46</v>
      </c>
      <c r="F296" s="1">
        <f>+D296/(D296+E296)</f>
        <v>0.43902439024390244</v>
      </c>
      <c r="G296" s="2">
        <v>95.1</v>
      </c>
      <c r="H296" s="2">
        <v>95.8</v>
      </c>
      <c r="I296" s="2">
        <f>+G296-H296</f>
        <v>-0.70000000000000284</v>
      </c>
      <c r="J296" s="1">
        <f>+(G296^14)/((G296^14+H296^14))</f>
        <v>0.47435452063041067</v>
      </c>
      <c r="K296" s="2">
        <v>101.8</v>
      </c>
      <c r="L296" s="2">
        <v>102.6</v>
      </c>
      <c r="M296" s="2">
        <f>+K296-L296</f>
        <v>-0.79999999999999716</v>
      </c>
      <c r="N296" s="1">
        <f>+F296-J296</f>
        <v>-3.5330130386508229E-2</v>
      </c>
      <c r="O296" s="2">
        <v>104</v>
      </c>
      <c r="P296" s="2">
        <v>101.8</v>
      </c>
      <c r="Q296" s="2">
        <f>+O296-P296</f>
        <v>2.2000000000000028</v>
      </c>
      <c r="R296" s="2">
        <v>0.1</v>
      </c>
      <c r="S296" s="2">
        <v>-0.4</v>
      </c>
      <c r="T296" s="2">
        <f>+Q296-M296</f>
        <v>3</v>
      </c>
    </row>
    <row r="297" spans="1:20">
      <c r="A297" s="6">
        <v>747</v>
      </c>
      <c r="B297" t="s">
        <v>66</v>
      </c>
      <c r="C297" t="s">
        <v>5</v>
      </c>
      <c r="D297">
        <v>33</v>
      </c>
      <c r="E297">
        <v>31</v>
      </c>
      <c r="F297" s="1">
        <f>+D297/(D297+E297)</f>
        <v>0.515625</v>
      </c>
      <c r="G297" s="2">
        <v>117.7</v>
      </c>
      <c r="H297" s="2">
        <v>117.3</v>
      </c>
      <c r="I297" s="2">
        <f>+G297-H297</f>
        <v>0.40000000000000568</v>
      </c>
      <c r="J297" s="1">
        <f>+(G297^14)/((G297^14+H297^14))</f>
        <v>0.51191265030386746</v>
      </c>
      <c r="K297" s="2">
        <v>114.1</v>
      </c>
      <c r="L297" s="2">
        <v>113.7</v>
      </c>
      <c r="M297" s="2">
        <f>+K297-L297</f>
        <v>0.39999999999999147</v>
      </c>
      <c r="N297" s="1">
        <f>+F297-J297</f>
        <v>3.7123496961325442E-3</v>
      </c>
      <c r="O297" s="2">
        <v>116</v>
      </c>
      <c r="P297" s="2">
        <v>112.7</v>
      </c>
      <c r="Q297" s="2">
        <f>+O297-P297</f>
        <v>3.2999999999999972</v>
      </c>
      <c r="R297" s="2">
        <v>0.7</v>
      </c>
      <c r="S297" s="2">
        <v>4.5999999999999996</v>
      </c>
      <c r="T297" s="2">
        <f>+Q297-M297</f>
        <v>2.9000000000000057</v>
      </c>
    </row>
    <row r="298" spans="1:20">
      <c r="A298" s="6">
        <v>63</v>
      </c>
      <c r="B298" t="s">
        <v>36</v>
      </c>
      <c r="C298" t="s">
        <v>10</v>
      </c>
      <c r="D298">
        <v>60</v>
      </c>
      <c r="E298">
        <v>22</v>
      </c>
      <c r="F298" s="1">
        <f>+D298/(D298+E298)</f>
        <v>0.73170731707317072</v>
      </c>
      <c r="G298" s="2">
        <v>103</v>
      </c>
      <c r="H298" s="2">
        <v>95.2</v>
      </c>
      <c r="I298" s="2">
        <f>+G298-H298</f>
        <v>7.7999999999999972</v>
      </c>
      <c r="J298" s="1">
        <f>+(G298^14)/((G298^14+H298^14))</f>
        <v>0.75072573890804006</v>
      </c>
      <c r="K298" s="2">
        <v>109.3</v>
      </c>
      <c r="L298" s="2">
        <v>101</v>
      </c>
      <c r="M298" s="2">
        <f>+K298-L298</f>
        <v>8.2999999999999972</v>
      </c>
      <c r="N298" s="1">
        <f>+F298-J298</f>
        <v>-1.9018421834869348E-2</v>
      </c>
      <c r="O298" s="2">
        <v>112.2</v>
      </c>
      <c r="P298" s="2">
        <v>101</v>
      </c>
      <c r="Q298" s="2">
        <f>+O298-P298</f>
        <v>11.200000000000003</v>
      </c>
      <c r="R298" s="2">
        <v>0.5</v>
      </c>
      <c r="S298" s="2">
        <v>1.6</v>
      </c>
      <c r="T298" s="2">
        <f>+Q298-M298</f>
        <v>2.9000000000000057</v>
      </c>
    </row>
    <row r="299" spans="1:20">
      <c r="A299" s="6">
        <v>94</v>
      </c>
      <c r="B299" t="s">
        <v>38</v>
      </c>
      <c r="C299" t="s">
        <v>12</v>
      </c>
      <c r="D299">
        <v>54</v>
      </c>
      <c r="E299">
        <v>28</v>
      </c>
      <c r="F299" s="1">
        <f>+D299/(D299+E299)</f>
        <v>0.65853658536585369</v>
      </c>
      <c r="G299" s="2">
        <v>90.1</v>
      </c>
      <c r="H299" s="2">
        <v>84.3</v>
      </c>
      <c r="I299" s="2">
        <f>+G299-H299</f>
        <v>5.7999999999999972</v>
      </c>
      <c r="J299" s="1">
        <f>+(G299^14)/((G299^14+H299^14))</f>
        <v>0.71738684209510184</v>
      </c>
      <c r="K299" s="2">
        <v>100.3</v>
      </c>
      <c r="L299" s="2">
        <v>93.9</v>
      </c>
      <c r="M299" s="2">
        <f>+K299-L299</f>
        <v>6.3999999999999915</v>
      </c>
      <c r="N299" s="1">
        <f>+F299-J299</f>
        <v>-5.8850256729248152E-2</v>
      </c>
      <c r="O299" s="2">
        <v>103.8</v>
      </c>
      <c r="P299" s="2">
        <v>94.5</v>
      </c>
      <c r="Q299" s="2">
        <f>+O299-P299</f>
        <v>9.2999999999999972</v>
      </c>
      <c r="R299" s="2">
        <v>1.3</v>
      </c>
      <c r="S299" s="2">
        <v>5.7</v>
      </c>
      <c r="T299" s="2">
        <f>+Q299-M299</f>
        <v>2.9000000000000057</v>
      </c>
    </row>
    <row r="300" spans="1:20">
      <c r="A300" s="6">
        <v>346</v>
      </c>
      <c r="B300" t="s">
        <v>49</v>
      </c>
      <c r="C300" t="s">
        <v>22</v>
      </c>
      <c r="D300">
        <v>36</v>
      </c>
      <c r="E300">
        <v>30</v>
      </c>
      <c r="F300" s="1">
        <f>+D300/(D300+E300)</f>
        <v>0.54545454545454541</v>
      </c>
      <c r="G300" s="2">
        <v>97.8</v>
      </c>
      <c r="H300" s="2">
        <v>94.7</v>
      </c>
      <c r="I300" s="2">
        <f>+G300-H300</f>
        <v>3.0999999999999943</v>
      </c>
      <c r="J300" s="1">
        <f>+(G300^14)/((G300^14+H300^14))</f>
        <v>0.61086462382590978</v>
      </c>
      <c r="K300" s="2">
        <v>103.5</v>
      </c>
      <c r="L300" s="2">
        <v>100.2</v>
      </c>
      <c r="M300" s="2">
        <f>+K300-L300</f>
        <v>3.2999999999999972</v>
      </c>
      <c r="N300" s="1">
        <f>+F300-J300</f>
        <v>-6.5410078371364366E-2</v>
      </c>
      <c r="O300" s="2">
        <v>104.9</v>
      </c>
      <c r="P300" s="2">
        <v>98.8</v>
      </c>
      <c r="Q300" s="2">
        <f>+O300-P300</f>
        <v>6.1000000000000085</v>
      </c>
      <c r="R300" s="2">
        <v>2</v>
      </c>
      <c r="S300" s="2">
        <v>7.8</v>
      </c>
      <c r="T300" s="2">
        <f>+Q300-M300</f>
        <v>2.8000000000000114</v>
      </c>
    </row>
    <row r="301" spans="1:20">
      <c r="A301" s="6">
        <v>730</v>
      </c>
      <c r="B301" t="s">
        <v>65</v>
      </c>
      <c r="C301" t="s">
        <v>17</v>
      </c>
      <c r="D301">
        <v>50</v>
      </c>
      <c r="E301">
        <v>32</v>
      </c>
      <c r="F301" s="1">
        <f>+D301/(D301+E301)</f>
        <v>0.6097560975609756</v>
      </c>
      <c r="G301" s="2">
        <v>113.4</v>
      </c>
      <c r="H301" s="2">
        <v>112.2</v>
      </c>
      <c r="I301" s="2">
        <f>+G301-H301</f>
        <v>1.2000000000000028</v>
      </c>
      <c r="J301" s="1">
        <f>+(G301^14)/((G301^14+H301^14))</f>
        <v>0.5371657170333668</v>
      </c>
      <c r="K301" s="2">
        <v>115</v>
      </c>
      <c r="L301" s="2">
        <v>113.8</v>
      </c>
      <c r="M301" s="2">
        <f>+K301-L301</f>
        <v>1.2000000000000028</v>
      </c>
      <c r="N301" s="1">
        <f>+F301-J301</f>
        <v>7.25903805276088E-2</v>
      </c>
      <c r="O301" s="2">
        <v>114.6</v>
      </c>
      <c r="P301" s="2">
        <v>110.6</v>
      </c>
      <c r="Q301" s="2">
        <f>+O301-P301</f>
        <v>4</v>
      </c>
      <c r="R301" s="2">
        <v>-0.7</v>
      </c>
      <c r="S301" s="2">
        <v>-2.2000000000000002</v>
      </c>
      <c r="T301" s="2">
        <f>+Q301-M301</f>
        <v>2.7999999999999972</v>
      </c>
    </row>
    <row r="302" spans="1:20">
      <c r="A302" s="6">
        <v>20</v>
      </c>
      <c r="B302" t="s">
        <v>4</v>
      </c>
      <c r="C302" t="s">
        <v>24</v>
      </c>
      <c r="D302">
        <v>56</v>
      </c>
      <c r="E302">
        <v>26</v>
      </c>
      <c r="F302" s="1">
        <f>+D302/(D302+E302)</f>
        <v>0.68292682926829273</v>
      </c>
      <c r="G302" s="2">
        <v>94.7</v>
      </c>
      <c r="H302" s="2">
        <v>90.4</v>
      </c>
      <c r="I302" s="2">
        <f>+G302-H302</f>
        <v>4.2999999999999972</v>
      </c>
      <c r="J302" s="1">
        <f>+(G302^14)/((G302^14+H302^14))</f>
        <v>0.65714030959602765</v>
      </c>
      <c r="K302" s="2">
        <v>101.9</v>
      </c>
      <c r="L302" s="2">
        <v>97.3</v>
      </c>
      <c r="M302" s="2">
        <f>+K302-L302</f>
        <v>4.6000000000000085</v>
      </c>
      <c r="N302" s="1">
        <f>+F302-J302</f>
        <v>2.5786519672265085E-2</v>
      </c>
      <c r="O302" s="2">
        <v>101.9</v>
      </c>
      <c r="P302" s="2">
        <v>94.6</v>
      </c>
      <c r="Q302" s="2">
        <f>+O302-P302</f>
        <v>7.3000000000000114</v>
      </c>
      <c r="R302" s="2">
        <v>0.4</v>
      </c>
      <c r="S302" s="2">
        <v>3.3</v>
      </c>
      <c r="T302" s="2">
        <f>+Q302-M302</f>
        <v>2.7000000000000028</v>
      </c>
    </row>
    <row r="303" spans="1:20">
      <c r="A303" s="6">
        <v>447</v>
      </c>
      <c r="B303" t="s">
        <v>55</v>
      </c>
      <c r="C303" t="s">
        <v>5</v>
      </c>
      <c r="D303">
        <v>48</v>
      </c>
      <c r="E303">
        <v>34</v>
      </c>
      <c r="F303" s="1">
        <f>+D303/(D303+E303)</f>
        <v>0.58536585365853655</v>
      </c>
      <c r="G303" s="2">
        <v>102.8</v>
      </c>
      <c r="H303" s="2">
        <v>99.2</v>
      </c>
      <c r="I303" s="2">
        <f>+G303-H303</f>
        <v>3.5999999999999943</v>
      </c>
      <c r="J303" s="1">
        <f>+(G303^14)/((G303^14+H303^14))</f>
        <v>0.62223904687782716</v>
      </c>
      <c r="K303" s="2">
        <v>104.6</v>
      </c>
      <c r="L303" s="2">
        <v>100.8</v>
      </c>
      <c r="M303" s="2">
        <f>+K303-L303</f>
        <v>3.7999999999999972</v>
      </c>
      <c r="N303" s="1">
        <f>+F303-J303</f>
        <v>-3.6873193219290612E-2</v>
      </c>
      <c r="O303" s="2">
        <v>104.5</v>
      </c>
      <c r="P303" s="2">
        <v>98</v>
      </c>
      <c r="Q303" s="2">
        <f>+O303-P303</f>
        <v>6.5</v>
      </c>
      <c r="R303" s="2">
        <v>2.4</v>
      </c>
      <c r="S303" s="2">
        <v>10.8</v>
      </c>
      <c r="T303" s="2">
        <f>+Q303-M303</f>
        <v>2.7000000000000028</v>
      </c>
    </row>
    <row r="304" spans="1:20">
      <c r="A304" s="6">
        <v>514</v>
      </c>
      <c r="B304" t="s">
        <v>58</v>
      </c>
      <c r="C304" t="s">
        <v>11</v>
      </c>
      <c r="D304">
        <v>46</v>
      </c>
      <c r="E304">
        <v>36</v>
      </c>
      <c r="F304" s="1">
        <f>+D304/(D304+E304)</f>
        <v>0.56097560975609762</v>
      </c>
      <c r="G304" s="2">
        <v>110</v>
      </c>
      <c r="H304" s="2">
        <v>108.5</v>
      </c>
      <c r="I304" s="2">
        <f>+G304-H304</f>
        <v>1.5</v>
      </c>
      <c r="J304" s="1">
        <f>+(G304^14)/((G304^14+H304^14))</f>
        <v>0.54790824985193565</v>
      </c>
      <c r="K304" s="2">
        <v>111.4</v>
      </c>
      <c r="L304" s="2">
        <v>110</v>
      </c>
      <c r="M304" s="2">
        <f>+K304-L304</f>
        <v>1.4000000000000057</v>
      </c>
      <c r="N304" s="1">
        <f>+F304-J304</f>
        <v>1.3067359904161968E-2</v>
      </c>
      <c r="O304" s="2">
        <v>103.6</v>
      </c>
      <c r="P304" s="2">
        <v>99.5</v>
      </c>
      <c r="Q304" s="2">
        <f>+O304-P304</f>
        <v>4.0999999999999943</v>
      </c>
      <c r="R304" s="2">
        <v>-0.6</v>
      </c>
      <c r="S304" s="2">
        <v>-2.6</v>
      </c>
      <c r="T304" s="2">
        <f>+Q304-M304</f>
        <v>2.6999999999999886</v>
      </c>
    </row>
    <row r="305" spans="1:20">
      <c r="A305" s="6">
        <v>668</v>
      </c>
      <c r="B305" t="s">
        <v>63</v>
      </c>
      <c r="C305" t="s">
        <v>15</v>
      </c>
      <c r="D305">
        <v>35</v>
      </c>
      <c r="E305">
        <v>47</v>
      </c>
      <c r="F305" s="1">
        <f>+D305/(D305+E305)</f>
        <v>0.42682926829268292</v>
      </c>
      <c r="G305" s="2">
        <v>116.3</v>
      </c>
      <c r="H305" s="2">
        <v>119.5</v>
      </c>
      <c r="I305" s="2">
        <f>+G305-H305</f>
        <v>-3.2000000000000028</v>
      </c>
      <c r="J305" s="1">
        <f>+(G305^14)/((G305^14+H305^14))</f>
        <v>0.40612536169941066</v>
      </c>
      <c r="K305" s="2">
        <v>113.8</v>
      </c>
      <c r="L305" s="2">
        <v>117.1</v>
      </c>
      <c r="M305" s="2">
        <f>+K305-L305</f>
        <v>-3.2999999999999972</v>
      </c>
      <c r="N305" s="1">
        <f>+F305-J305</f>
        <v>2.0703906593272259E-2</v>
      </c>
      <c r="O305" s="2">
        <v>110</v>
      </c>
      <c r="P305" s="2">
        <v>110.7</v>
      </c>
      <c r="Q305" s="2">
        <f>+O305-P305</f>
        <v>-0.70000000000000284</v>
      </c>
      <c r="R305" s="2">
        <v>0.7</v>
      </c>
      <c r="S305" s="2">
        <v>0.2</v>
      </c>
      <c r="T305" s="2">
        <f>+Q305-M305</f>
        <v>2.5999999999999943</v>
      </c>
    </row>
    <row r="306" spans="1:20">
      <c r="A306" s="6">
        <v>723</v>
      </c>
      <c r="B306" t="s">
        <v>65</v>
      </c>
      <c r="C306" t="s">
        <v>10</v>
      </c>
      <c r="D306">
        <v>39</v>
      </c>
      <c r="E306">
        <v>43</v>
      </c>
      <c r="F306" s="1">
        <f>+D306/(D306+E306)</f>
        <v>0.47560975609756095</v>
      </c>
      <c r="G306" s="2">
        <v>114.2</v>
      </c>
      <c r="H306" s="2">
        <v>115.4</v>
      </c>
      <c r="I306" s="2">
        <f>+G306-H306</f>
        <v>-1.2000000000000028</v>
      </c>
      <c r="J306" s="1">
        <f>+(G306^14)/((G306^14+H306^14))</f>
        <v>0.46347945541484592</v>
      </c>
      <c r="K306" s="2">
        <v>113.7</v>
      </c>
      <c r="L306" s="2">
        <v>115</v>
      </c>
      <c r="M306" s="2">
        <f>+K306-L306</f>
        <v>-1.2999999999999972</v>
      </c>
      <c r="N306" s="1">
        <f>+F306-J306</f>
        <v>1.2130300682715034E-2</v>
      </c>
      <c r="O306" s="2">
        <v>113</v>
      </c>
      <c r="P306" s="2">
        <v>111.7</v>
      </c>
      <c r="Q306" s="2">
        <f>+O306-P306</f>
        <v>1.2999999999999972</v>
      </c>
      <c r="R306" s="2">
        <v>0.1</v>
      </c>
      <c r="S306" s="2">
        <v>1.5</v>
      </c>
      <c r="T306" s="2">
        <f>+Q306-M306</f>
        <v>2.5999999999999943</v>
      </c>
    </row>
    <row r="307" spans="1:20">
      <c r="A307" s="6">
        <v>440</v>
      </c>
      <c r="B307" t="s">
        <v>54</v>
      </c>
      <c r="C307" t="s">
        <v>25</v>
      </c>
      <c r="D307">
        <v>39</v>
      </c>
      <c r="E307">
        <v>43</v>
      </c>
      <c r="F307" s="1">
        <f>+D307/(D307+E307)</f>
        <v>0.47560975609756095</v>
      </c>
      <c r="G307" s="2">
        <v>102.4</v>
      </c>
      <c r="H307" s="2">
        <v>103.3</v>
      </c>
      <c r="I307" s="2">
        <f>+G307-H307</f>
        <v>-0.89999999999999147</v>
      </c>
      <c r="J307" s="1">
        <f>+(G307^14)/((G307^14+H307^14))</f>
        <v>0.4694109261885151</v>
      </c>
      <c r="K307" s="2">
        <v>104.2</v>
      </c>
      <c r="L307" s="2">
        <v>105.3</v>
      </c>
      <c r="M307" s="2">
        <f>+K307-L307</f>
        <v>-1.0999999999999943</v>
      </c>
      <c r="N307" s="1">
        <f>+F307-J307</f>
        <v>6.1988299090458554E-3</v>
      </c>
      <c r="O307" s="2">
        <v>98</v>
      </c>
      <c r="P307" s="2">
        <v>96.5</v>
      </c>
      <c r="Q307" s="2">
        <f>+O307-P307</f>
        <v>1.5</v>
      </c>
      <c r="R307" s="2">
        <v>0.9</v>
      </c>
      <c r="S307" s="2">
        <v>5</v>
      </c>
      <c r="T307" s="2">
        <f>+Q307-M307</f>
        <v>2.5999999999999943</v>
      </c>
    </row>
    <row r="308" spans="1:20">
      <c r="A308" s="6">
        <v>428</v>
      </c>
      <c r="B308" t="s">
        <v>54</v>
      </c>
      <c r="C308" t="s">
        <v>15</v>
      </c>
      <c r="D308">
        <v>38</v>
      </c>
      <c r="E308">
        <v>44</v>
      </c>
      <c r="F308" s="1">
        <f>+D308/(D308+E308)</f>
        <v>0.46341463414634149</v>
      </c>
      <c r="G308" s="2">
        <v>97.3</v>
      </c>
      <c r="H308" s="2">
        <v>97</v>
      </c>
      <c r="I308" s="2">
        <f>+G308-H308</f>
        <v>0.29999999999999716</v>
      </c>
      <c r="J308" s="1">
        <f>+(G308^14)/((G308^14+H308^14))</f>
        <v>0.51080635435585753</v>
      </c>
      <c r="K308" s="2">
        <v>102.9</v>
      </c>
      <c r="L308" s="2">
        <v>102.7</v>
      </c>
      <c r="M308" s="2">
        <f>+K308-L308</f>
        <v>0.20000000000000284</v>
      </c>
      <c r="N308" s="1">
        <f>+F308-J308</f>
        <v>-4.7391720209516042E-2</v>
      </c>
      <c r="O308" s="2">
        <v>97.5</v>
      </c>
      <c r="P308" s="2">
        <v>94.7</v>
      </c>
      <c r="Q308" s="2">
        <f>+O308-P308</f>
        <v>2.7999999999999972</v>
      </c>
      <c r="R308" s="2">
        <v>0.7</v>
      </c>
      <c r="S308" s="2">
        <v>3.3</v>
      </c>
      <c r="T308" s="2">
        <f>+Q308-M308</f>
        <v>2.5999999999999943</v>
      </c>
    </row>
    <row r="309" spans="1:20">
      <c r="A309" s="6">
        <v>118</v>
      </c>
      <c r="B309" t="s">
        <v>39</v>
      </c>
      <c r="C309" t="s">
        <v>6</v>
      </c>
      <c r="D309">
        <v>45</v>
      </c>
      <c r="E309">
        <v>37</v>
      </c>
      <c r="F309" s="1">
        <f>+D309/(D309+E309)</f>
        <v>0.54878048780487809</v>
      </c>
      <c r="G309" s="2">
        <v>101.3</v>
      </c>
      <c r="H309" s="2">
        <v>100.4</v>
      </c>
      <c r="I309" s="2">
        <f>+G309-H309</f>
        <v>0.89999999999999147</v>
      </c>
      <c r="J309" s="1">
        <f>+(G309^14)/((G309^14+H309^14))</f>
        <v>0.53119414689005995</v>
      </c>
      <c r="K309" s="2">
        <v>105.9</v>
      </c>
      <c r="L309" s="2">
        <v>105.1</v>
      </c>
      <c r="M309" s="2">
        <f>+K309-L309</f>
        <v>0.80000000000001137</v>
      </c>
      <c r="N309" s="1">
        <f>+F309-J309</f>
        <v>1.7586340914818144E-2</v>
      </c>
      <c r="O309" s="2">
        <v>98.3</v>
      </c>
      <c r="P309" s="2">
        <v>94.9</v>
      </c>
      <c r="Q309" s="2">
        <f>+O309-P309</f>
        <v>3.3999999999999915</v>
      </c>
      <c r="R309" s="2">
        <v>0.2</v>
      </c>
      <c r="S309" s="2">
        <v>1</v>
      </c>
      <c r="T309" s="2">
        <f>+Q309-M309</f>
        <v>2.5999999999999801</v>
      </c>
    </row>
    <row r="310" spans="1:20">
      <c r="A310" s="6">
        <v>641</v>
      </c>
      <c r="B310" t="s">
        <v>62</v>
      </c>
      <c r="C310" t="s">
        <v>35</v>
      </c>
      <c r="D310">
        <v>56</v>
      </c>
      <c r="E310">
        <v>26</v>
      </c>
      <c r="F310" s="1">
        <f>+D310/(D310+E310)</f>
        <v>0.68292682926829273</v>
      </c>
      <c r="G310" s="2">
        <v>115.6</v>
      </c>
      <c r="H310" s="2">
        <v>109.9</v>
      </c>
      <c r="I310" s="2">
        <f>+G310-H310</f>
        <v>5.6999999999999886</v>
      </c>
      <c r="J310" s="1">
        <f>+(G310^14)/((G310^14+H310^14))</f>
        <v>0.66993947540957544</v>
      </c>
      <c r="K310" s="2">
        <v>114.3</v>
      </c>
      <c r="L310" s="2">
        <v>108.9</v>
      </c>
      <c r="M310" s="2">
        <f>+K310-L310</f>
        <v>5.3999999999999915</v>
      </c>
      <c r="N310" s="1">
        <f>+F310-J310</f>
        <v>1.2987353858717299E-2</v>
      </c>
      <c r="O310" s="2">
        <v>111.6</v>
      </c>
      <c r="P310" s="2">
        <v>103.7</v>
      </c>
      <c r="Q310" s="2">
        <f>+O310-P310</f>
        <v>7.8999999999999915</v>
      </c>
      <c r="R310" s="2">
        <v>0.1</v>
      </c>
      <c r="S310" s="2">
        <v>0.2</v>
      </c>
      <c r="T310" s="2">
        <f>+Q310-M310</f>
        <v>2.5</v>
      </c>
    </row>
    <row r="311" spans="1:20">
      <c r="A311" s="6">
        <v>268</v>
      </c>
      <c r="B311" t="s">
        <v>47</v>
      </c>
      <c r="C311" t="s">
        <v>6</v>
      </c>
      <c r="D311">
        <v>50</v>
      </c>
      <c r="E311">
        <v>32</v>
      </c>
      <c r="F311" s="1">
        <f>+D311/(D311+E311)</f>
        <v>0.6097560975609756</v>
      </c>
      <c r="G311" s="2">
        <v>99.2</v>
      </c>
      <c r="H311" s="2">
        <v>95.6</v>
      </c>
      <c r="I311" s="2">
        <f>+G311-H311</f>
        <v>3.6000000000000085</v>
      </c>
      <c r="J311" s="1">
        <f>+(G311^14)/((G311^14+H311^14))</f>
        <v>0.62656597319638863</v>
      </c>
      <c r="K311" s="2">
        <v>106.9</v>
      </c>
      <c r="L311" s="2">
        <v>103.2</v>
      </c>
      <c r="M311" s="2">
        <f>+K311-L311</f>
        <v>3.7000000000000028</v>
      </c>
      <c r="N311" s="1">
        <f>+F311-J311</f>
        <v>-1.680987563541303E-2</v>
      </c>
      <c r="O311" s="2">
        <v>101.2</v>
      </c>
      <c r="P311" s="2">
        <v>95</v>
      </c>
      <c r="Q311" s="2">
        <f>+O311-P311</f>
        <v>6.2000000000000028</v>
      </c>
      <c r="R311" s="2">
        <v>0</v>
      </c>
      <c r="S311" s="2">
        <v>0.8</v>
      </c>
      <c r="T311" s="2">
        <f>+Q311-M311</f>
        <v>2.5</v>
      </c>
    </row>
    <row r="312" spans="1:20">
      <c r="A312" s="6">
        <v>282</v>
      </c>
      <c r="B312" t="s">
        <v>47</v>
      </c>
      <c r="C312" t="s">
        <v>19</v>
      </c>
      <c r="D312">
        <v>46</v>
      </c>
      <c r="E312">
        <v>36</v>
      </c>
      <c r="F312" s="1">
        <f>+D312/(D312+E312)</f>
        <v>0.56097560975609762</v>
      </c>
      <c r="G312" s="2">
        <v>97.7</v>
      </c>
      <c r="H312" s="2">
        <v>96</v>
      </c>
      <c r="I312" s="2">
        <f>+G312-H312</f>
        <v>1.7000000000000028</v>
      </c>
      <c r="J312" s="1">
        <f>+(G312^14)/((G312^14+H312^14))</f>
        <v>0.56112945331002462</v>
      </c>
      <c r="K312" s="2">
        <v>104</v>
      </c>
      <c r="L312" s="2">
        <v>101.9</v>
      </c>
      <c r="M312" s="2">
        <f>+K312-L312</f>
        <v>2.0999999999999943</v>
      </c>
      <c r="N312" s="1">
        <f>+F312-J312</f>
        <v>-1.5384355392700222E-4</v>
      </c>
      <c r="O312" s="2">
        <v>99.6</v>
      </c>
      <c r="P312" s="2">
        <v>95.1</v>
      </c>
      <c r="Q312" s="2">
        <f>+O312-P312</f>
        <v>4.5</v>
      </c>
      <c r="R312" s="2">
        <v>0.2</v>
      </c>
      <c r="S312" s="2">
        <v>-1.2</v>
      </c>
      <c r="T312" s="2">
        <f>+Q312-M312</f>
        <v>2.4000000000000057</v>
      </c>
    </row>
    <row r="313" spans="1:20">
      <c r="A313" s="6">
        <v>171</v>
      </c>
      <c r="B313" t="s">
        <v>41</v>
      </c>
      <c r="C313" t="s">
        <v>27</v>
      </c>
      <c r="D313">
        <v>44</v>
      </c>
      <c r="E313">
        <v>38</v>
      </c>
      <c r="F313" s="1">
        <f>+D313/(D313+E313)</f>
        <v>0.53658536585365857</v>
      </c>
      <c r="G313" s="2">
        <v>98.9</v>
      </c>
      <c r="H313" s="2">
        <v>97.3</v>
      </c>
      <c r="I313" s="2">
        <f>+G313-H313</f>
        <v>1.6000000000000085</v>
      </c>
      <c r="J313" s="1">
        <f>+(G313^14)/((G313^14+H313^14))</f>
        <v>0.55683911786058593</v>
      </c>
      <c r="K313" s="2">
        <v>105.3</v>
      </c>
      <c r="L313" s="2">
        <v>103.5</v>
      </c>
      <c r="M313" s="2">
        <f>+K313-L313</f>
        <v>1.7999999999999972</v>
      </c>
      <c r="N313" s="1">
        <f>+F313-J313</f>
        <v>-2.0253752006927361E-2</v>
      </c>
      <c r="O313" s="2">
        <v>101.9</v>
      </c>
      <c r="P313" s="2">
        <v>97.8</v>
      </c>
      <c r="Q313" s="2">
        <f>+O313-P313</f>
        <v>4.1000000000000085</v>
      </c>
      <c r="R313" s="2">
        <v>-0.7</v>
      </c>
      <c r="S313" s="2">
        <v>-1.7</v>
      </c>
      <c r="T313" s="2">
        <f>+Q313-M313</f>
        <v>2.3000000000000114</v>
      </c>
    </row>
    <row r="314" spans="1:20">
      <c r="A314" s="6">
        <v>390</v>
      </c>
      <c r="B314" t="s">
        <v>52</v>
      </c>
      <c r="C314" t="s">
        <v>40</v>
      </c>
      <c r="D314">
        <v>43</v>
      </c>
      <c r="E314">
        <v>39</v>
      </c>
      <c r="F314" s="1">
        <f>+D314/(D314+E314)</f>
        <v>0.52439024390243905</v>
      </c>
      <c r="G314" s="2">
        <v>96.9</v>
      </c>
      <c r="H314" s="2">
        <v>97.1</v>
      </c>
      <c r="I314" s="2">
        <f>+G314-H314</f>
        <v>-0.19999999999998863</v>
      </c>
      <c r="J314" s="1">
        <f>+(G314^14)/((G314^14+H314^14))</f>
        <v>0.49278400364904085</v>
      </c>
      <c r="K314" s="2">
        <v>103</v>
      </c>
      <c r="L314" s="2">
        <v>103.3</v>
      </c>
      <c r="M314" s="2">
        <f>+K314-L314</f>
        <v>-0.29999999999999716</v>
      </c>
      <c r="N314" s="1">
        <f>+F314-J314</f>
        <v>3.1606240253398199E-2</v>
      </c>
      <c r="O314" s="2">
        <v>94.6</v>
      </c>
      <c r="P314" s="2">
        <v>92.6</v>
      </c>
      <c r="Q314" s="2">
        <f>+O314-P314</f>
        <v>2</v>
      </c>
      <c r="R314" s="2">
        <v>-0.4</v>
      </c>
      <c r="S314" s="2">
        <v>-0.3</v>
      </c>
      <c r="T314" s="2">
        <f>+Q314-M314</f>
        <v>2.2999999999999972</v>
      </c>
    </row>
    <row r="315" spans="1:20">
      <c r="A315" s="6">
        <v>26</v>
      </c>
      <c r="B315" t="s">
        <v>4</v>
      </c>
      <c r="C315" t="s">
        <v>30</v>
      </c>
      <c r="D315">
        <v>47</v>
      </c>
      <c r="E315">
        <v>35</v>
      </c>
      <c r="F315" s="1">
        <f>+D315/(D315+E315)</f>
        <v>0.57317073170731703</v>
      </c>
      <c r="G315" s="2">
        <v>97.6</v>
      </c>
      <c r="H315" s="2">
        <v>95.4</v>
      </c>
      <c r="I315" s="2">
        <f>+G315-H315</f>
        <v>2.1999999999999886</v>
      </c>
      <c r="J315" s="1">
        <f>+(G315^14)/((G315^14+H315^14))</f>
        <v>0.57912557114227126</v>
      </c>
      <c r="K315" s="2">
        <v>104.4</v>
      </c>
      <c r="L315" s="2">
        <v>102</v>
      </c>
      <c r="M315" s="2">
        <f>+K315-L315</f>
        <v>2.4000000000000057</v>
      </c>
      <c r="N315" s="1">
        <f>+F315-J315</f>
        <v>-5.9548394349542288E-3</v>
      </c>
      <c r="O315" s="2">
        <v>96.8</v>
      </c>
      <c r="P315" s="2">
        <v>92.1</v>
      </c>
      <c r="Q315" s="2">
        <f>+O315-P315</f>
        <v>4.7000000000000028</v>
      </c>
      <c r="R315" s="2">
        <v>0.7</v>
      </c>
      <c r="S315" s="2">
        <v>2.9</v>
      </c>
      <c r="T315" s="2">
        <f>+Q315-M315</f>
        <v>2.2999999999999972</v>
      </c>
    </row>
    <row r="316" spans="1:20">
      <c r="A316" s="6">
        <v>236</v>
      </c>
      <c r="B316" t="s">
        <v>44</v>
      </c>
      <c r="C316" t="s">
        <v>33</v>
      </c>
      <c r="D316">
        <v>43</v>
      </c>
      <c r="E316">
        <v>39</v>
      </c>
      <c r="F316" s="1">
        <f>+D316/(D316+E316)</f>
        <v>0.52439024390243905</v>
      </c>
      <c r="G316" s="2">
        <v>98.8</v>
      </c>
      <c r="H316" s="2">
        <v>99.2</v>
      </c>
      <c r="I316" s="2">
        <f>+G316-H316</f>
        <v>-0.40000000000000568</v>
      </c>
      <c r="J316" s="1">
        <f>+(G316^14)/((G316^14+H316^14))</f>
        <v>0.48586233608877544</v>
      </c>
      <c r="K316" s="2">
        <v>107.6</v>
      </c>
      <c r="L316" s="2">
        <v>107.9</v>
      </c>
      <c r="M316" s="2">
        <f>+K316-L316</f>
        <v>-0.30000000000001137</v>
      </c>
      <c r="N316" s="1">
        <f>+F316-J316</f>
        <v>3.8527907813663609E-2</v>
      </c>
      <c r="O316" s="2">
        <v>110.5</v>
      </c>
      <c r="P316" s="2">
        <v>108.6</v>
      </c>
      <c r="Q316" s="2">
        <f>+O316-P316</f>
        <v>1.9000000000000057</v>
      </c>
      <c r="R316" s="2">
        <v>-0.1</v>
      </c>
      <c r="S316" s="2">
        <v>-1.7</v>
      </c>
      <c r="T316" s="2">
        <f>+Q316-M316</f>
        <v>2.2000000000000171</v>
      </c>
    </row>
    <row r="317" spans="1:20">
      <c r="A317" s="6">
        <v>239</v>
      </c>
      <c r="B317" t="s">
        <v>45</v>
      </c>
      <c r="C317" t="s">
        <v>40</v>
      </c>
      <c r="D317">
        <v>35</v>
      </c>
      <c r="E317">
        <v>47</v>
      </c>
      <c r="F317" s="1">
        <f>+D317/(D317+E317)</f>
        <v>0.42682926829268292</v>
      </c>
      <c r="G317" s="2">
        <v>93.6</v>
      </c>
      <c r="H317" s="2">
        <v>94.9</v>
      </c>
      <c r="I317" s="2">
        <f>+G317-H317</f>
        <v>-1.3000000000000114</v>
      </c>
      <c r="J317" s="1">
        <f>+(G317^14)/((G317^14+H317^14))</f>
        <v>0.4518728353322306</v>
      </c>
      <c r="K317" s="2">
        <v>103.7</v>
      </c>
      <c r="L317" s="2">
        <v>105</v>
      </c>
      <c r="M317" s="2">
        <f>+K317-L317</f>
        <v>-1.2999999999999972</v>
      </c>
      <c r="N317" s="1">
        <f>+F317-J317</f>
        <v>-2.5043567039547687E-2</v>
      </c>
      <c r="O317" s="2">
        <v>97.8</v>
      </c>
      <c r="P317" s="2">
        <v>96.9</v>
      </c>
      <c r="Q317" s="2">
        <f>+O317-P317</f>
        <v>0.89999999999999147</v>
      </c>
      <c r="R317" s="2">
        <v>-0.3</v>
      </c>
      <c r="S317" s="2">
        <v>-2.4</v>
      </c>
      <c r="T317" s="2">
        <f>+Q317-M317</f>
        <v>2.1999999999999886</v>
      </c>
    </row>
    <row r="318" spans="1:20">
      <c r="A318" s="6">
        <v>669</v>
      </c>
      <c r="B318" t="s">
        <v>63</v>
      </c>
      <c r="C318" t="s">
        <v>56</v>
      </c>
      <c r="D318">
        <v>44</v>
      </c>
      <c r="E318">
        <v>38</v>
      </c>
      <c r="F318" s="1">
        <f>+D318/(D318+E318)</f>
        <v>0.53658536585365857</v>
      </c>
      <c r="G318" s="2">
        <v>113.6</v>
      </c>
      <c r="H318" s="2">
        <v>113.1</v>
      </c>
      <c r="I318" s="2">
        <f>+G318-H318</f>
        <v>0.5</v>
      </c>
      <c r="J318" s="1">
        <f>+(G318^14)/((G318^14+H318^14))</f>
        <v>0.515434026237649</v>
      </c>
      <c r="K318" s="2">
        <v>114</v>
      </c>
      <c r="L318" s="2">
        <v>113.6</v>
      </c>
      <c r="M318" s="2">
        <f>+K318-L318</f>
        <v>0.40000000000000568</v>
      </c>
      <c r="N318" s="1">
        <f>+F318-J318</f>
        <v>2.1151339616009568E-2</v>
      </c>
      <c r="O318" s="2">
        <v>112.3</v>
      </c>
      <c r="P318" s="2">
        <v>109.8</v>
      </c>
      <c r="Q318" s="2">
        <f>+O318-P318</f>
        <v>2.5</v>
      </c>
      <c r="R318" s="2">
        <v>0.7</v>
      </c>
      <c r="S318" s="2">
        <v>2.9</v>
      </c>
      <c r="T318" s="2">
        <f>+Q318-M318</f>
        <v>2.0999999999999943</v>
      </c>
    </row>
    <row r="319" spans="1:20">
      <c r="A319" s="6">
        <v>308</v>
      </c>
      <c r="B319" t="s">
        <v>48</v>
      </c>
      <c r="C319" t="s">
        <v>16</v>
      </c>
      <c r="D319">
        <v>32</v>
      </c>
      <c r="E319">
        <v>50</v>
      </c>
      <c r="F319" s="1">
        <f>+D319/(D319+E319)</f>
        <v>0.3902439024390244</v>
      </c>
      <c r="G319" s="2">
        <v>98.6</v>
      </c>
      <c r="H319" s="2">
        <v>101.8</v>
      </c>
      <c r="I319" s="2">
        <f>+G319-H319</f>
        <v>-3.2000000000000028</v>
      </c>
      <c r="J319" s="1">
        <f>+(G319^14)/((G319^14+H319^14))</f>
        <v>0.39004006855823664</v>
      </c>
      <c r="K319" s="2">
        <v>104.8</v>
      </c>
      <c r="L319" s="2">
        <v>108</v>
      </c>
      <c r="M319" s="2">
        <f>+K319-L319</f>
        <v>-3.2000000000000028</v>
      </c>
      <c r="N319" s="1">
        <f>+F319-J319</f>
        <v>2.0383388078776266E-4</v>
      </c>
      <c r="O319" s="2">
        <v>107.1</v>
      </c>
      <c r="P319" s="2">
        <v>108.2</v>
      </c>
      <c r="Q319" s="2">
        <f>+O319-P319</f>
        <v>-1.1000000000000085</v>
      </c>
      <c r="R319" s="2">
        <v>-1.1000000000000001</v>
      </c>
      <c r="S319" s="2">
        <v>-6.9</v>
      </c>
      <c r="T319" s="2">
        <f>+Q319-M319</f>
        <v>2.0999999999999943</v>
      </c>
    </row>
    <row r="320" spans="1:20">
      <c r="A320" s="6">
        <v>32</v>
      </c>
      <c r="B320" t="s">
        <v>34</v>
      </c>
      <c r="C320" t="s">
        <v>7</v>
      </c>
      <c r="D320">
        <v>44</v>
      </c>
      <c r="E320">
        <v>38</v>
      </c>
      <c r="F320" s="1">
        <f>+D320/(D320+E320)</f>
        <v>0.53658536585365857</v>
      </c>
      <c r="G320" s="2">
        <v>93.9</v>
      </c>
      <c r="H320" s="2">
        <v>92.9</v>
      </c>
      <c r="I320" s="2">
        <f>+G320-H320</f>
        <v>1</v>
      </c>
      <c r="J320" s="1">
        <f>+(G320^14)/((G320^14+H320^14))</f>
        <v>0.5374035846136257</v>
      </c>
      <c r="K320" s="2">
        <v>102.9</v>
      </c>
      <c r="L320" s="2">
        <v>101.8</v>
      </c>
      <c r="M320" s="2">
        <f>+K320-L320</f>
        <v>1.1000000000000085</v>
      </c>
      <c r="N320" s="1">
        <f>+F320-J320</f>
        <v>-8.1821875996712645E-4</v>
      </c>
      <c r="O320" s="2">
        <v>101.1</v>
      </c>
      <c r="P320" s="2">
        <v>97.9</v>
      </c>
      <c r="Q320" s="2">
        <f>+O320-P320</f>
        <v>3.1999999999999886</v>
      </c>
      <c r="R320" s="2">
        <v>-0.5</v>
      </c>
      <c r="S320" s="2">
        <v>-0.9</v>
      </c>
      <c r="T320" s="2">
        <f>+Q320-M320</f>
        <v>2.0999999999999801</v>
      </c>
    </row>
    <row r="321" spans="1:20">
      <c r="A321" s="6">
        <v>84</v>
      </c>
      <c r="B321" t="s">
        <v>36</v>
      </c>
      <c r="C321" t="s">
        <v>29</v>
      </c>
      <c r="D321">
        <v>40</v>
      </c>
      <c r="E321">
        <v>42</v>
      </c>
      <c r="F321" s="1">
        <f>+D321/(D321+E321)</f>
        <v>0.48780487804878048</v>
      </c>
      <c r="G321" s="2">
        <v>92.1</v>
      </c>
      <c r="H321" s="2">
        <v>92.3</v>
      </c>
      <c r="I321" s="2">
        <f>+G321-H321</f>
        <v>-0.20000000000000284</v>
      </c>
      <c r="J321" s="1">
        <f>+(G321^14)/((G321^14+H321^14))</f>
        <v>0.49240838957943855</v>
      </c>
      <c r="K321" s="2">
        <v>102.4</v>
      </c>
      <c r="L321" s="2">
        <v>102.6</v>
      </c>
      <c r="M321" s="2">
        <f>+K321-L321</f>
        <v>-0.19999999999998863</v>
      </c>
      <c r="N321" s="1">
        <f>+F321-J321</f>
        <v>-4.6035115306580776E-3</v>
      </c>
      <c r="O321" s="2">
        <v>101.6</v>
      </c>
      <c r="P321" s="2">
        <v>99.7</v>
      </c>
      <c r="Q321" s="2">
        <f>+O321-P321</f>
        <v>1.8999999999999915</v>
      </c>
      <c r="R321" s="2">
        <v>-0.5</v>
      </c>
      <c r="S321" s="2">
        <v>-1.8</v>
      </c>
      <c r="T321" s="2">
        <f>+Q321-M321</f>
        <v>2.0999999999999801</v>
      </c>
    </row>
    <row r="322" spans="1:20">
      <c r="A322" s="6">
        <v>42</v>
      </c>
      <c r="B322" t="s">
        <v>34</v>
      </c>
      <c r="C322" t="s">
        <v>17</v>
      </c>
      <c r="D322">
        <v>58</v>
      </c>
      <c r="E322">
        <v>24</v>
      </c>
      <c r="F322" s="1">
        <f>+D322/(D322+E322)</f>
        <v>0.70731707317073167</v>
      </c>
      <c r="G322" s="2">
        <v>101.3</v>
      </c>
      <c r="H322" s="2">
        <v>94.1</v>
      </c>
      <c r="I322" s="2">
        <f>+G322-H322</f>
        <v>7.2000000000000028</v>
      </c>
      <c r="J322" s="1">
        <f>+(G322^14)/((G322^14+H322^14))</f>
        <v>0.73734162874338682</v>
      </c>
      <c r="K322" s="2">
        <v>108</v>
      </c>
      <c r="L322" s="2">
        <v>100.4</v>
      </c>
      <c r="M322" s="2">
        <f>+K322-L322</f>
        <v>7.5999999999999943</v>
      </c>
      <c r="N322" s="1">
        <f>+F322-J322</f>
        <v>-3.0024555572655154E-2</v>
      </c>
      <c r="O322" s="2">
        <v>104.2</v>
      </c>
      <c r="P322" s="2">
        <v>94.6</v>
      </c>
      <c r="Q322" s="2">
        <f>+O322-P322</f>
        <v>9.6000000000000085</v>
      </c>
      <c r="R322" s="2">
        <v>2.5</v>
      </c>
      <c r="S322" s="2">
        <v>12.5</v>
      </c>
      <c r="T322" s="2">
        <f>+Q322-M322</f>
        <v>2.0000000000000142</v>
      </c>
    </row>
    <row r="323" spans="1:20">
      <c r="A323" s="6">
        <v>564</v>
      </c>
      <c r="B323" t="s">
        <v>59</v>
      </c>
      <c r="C323" t="s">
        <v>30</v>
      </c>
      <c r="D323">
        <v>58</v>
      </c>
      <c r="E323">
        <v>24</v>
      </c>
      <c r="F323" s="1">
        <f>+D323/(D323+E323)</f>
        <v>0.70731707317073167</v>
      </c>
      <c r="G323" s="2">
        <v>114.4</v>
      </c>
      <c r="H323" s="2">
        <v>108.4</v>
      </c>
      <c r="I323" s="2">
        <f>+G323-H323</f>
        <v>6</v>
      </c>
      <c r="J323" s="1">
        <f>+(G323^14)/((G323^14+H323^14))</f>
        <v>0.68009792442204564</v>
      </c>
      <c r="K323" s="2">
        <v>112.6</v>
      </c>
      <c r="L323" s="2">
        <v>106.8</v>
      </c>
      <c r="M323" s="2">
        <f>+K323-L323</f>
        <v>5.7999999999999972</v>
      </c>
      <c r="N323" s="1">
        <f>+F323-J323</f>
        <v>2.7219148748686028E-2</v>
      </c>
      <c r="O323" s="2">
        <v>108.1</v>
      </c>
      <c r="P323" s="2">
        <v>100.3</v>
      </c>
      <c r="Q323" s="2">
        <f>+O323-P323</f>
        <v>7.7999999999999972</v>
      </c>
      <c r="R323" s="2">
        <v>-0.5</v>
      </c>
      <c r="S323" s="2">
        <v>-1.3</v>
      </c>
      <c r="T323" s="2">
        <f>+Q323-M323</f>
        <v>2</v>
      </c>
    </row>
    <row r="324" spans="1:20">
      <c r="A324" s="6">
        <v>61</v>
      </c>
      <c r="B324" t="s">
        <v>36</v>
      </c>
      <c r="C324" t="s">
        <v>8</v>
      </c>
      <c r="D324">
        <v>30</v>
      </c>
      <c r="E324">
        <v>52</v>
      </c>
      <c r="F324" s="1">
        <f>+D324/(D324+E324)</f>
        <v>0.36585365853658536</v>
      </c>
      <c r="G324" s="2">
        <v>95</v>
      </c>
      <c r="H324" s="2">
        <v>100.1</v>
      </c>
      <c r="I324" s="2">
        <f>+G324-H324</f>
        <v>-5.0999999999999943</v>
      </c>
      <c r="J324" s="1">
        <f>+(G324^14)/((G324^14+H324^14))</f>
        <v>0.32473425777947651</v>
      </c>
      <c r="K324" s="2">
        <v>99.1</v>
      </c>
      <c r="L324" s="2">
        <v>104.2</v>
      </c>
      <c r="M324" s="2">
        <f>+K324-L324</f>
        <v>-5.1000000000000085</v>
      </c>
      <c r="N324" s="1">
        <f>+F324-J324</f>
        <v>4.1119400757108848E-2</v>
      </c>
      <c r="O324" s="2">
        <v>100.6</v>
      </c>
      <c r="P324" s="2">
        <v>103.8</v>
      </c>
      <c r="Q324" s="2">
        <f>+O324-P324</f>
        <v>-3.2000000000000028</v>
      </c>
      <c r="R324" s="2">
        <v>1.6</v>
      </c>
      <c r="S324" s="2">
        <v>4.8</v>
      </c>
      <c r="T324" s="2">
        <f>+Q324-M324</f>
        <v>1.9000000000000057</v>
      </c>
    </row>
    <row r="325" spans="1:20">
      <c r="A325" s="6">
        <v>73</v>
      </c>
      <c r="B325" t="s">
        <v>36</v>
      </c>
      <c r="C325" t="s">
        <v>19</v>
      </c>
      <c r="D325">
        <v>42</v>
      </c>
      <c r="E325">
        <v>40</v>
      </c>
      <c r="F325" s="1">
        <f>+D325/(D325+E325)</f>
        <v>0.51219512195121952</v>
      </c>
      <c r="G325" s="2">
        <v>99.5</v>
      </c>
      <c r="H325" s="2">
        <v>99.3</v>
      </c>
      <c r="I325" s="2">
        <f>+G325-H325</f>
        <v>0.20000000000000284</v>
      </c>
      <c r="J325" s="1">
        <f>+(G325^14)/((G325^14+H325^14))</f>
        <v>0.50704179026833252</v>
      </c>
      <c r="K325" s="2">
        <v>107.2</v>
      </c>
      <c r="L325" s="2">
        <v>106.9</v>
      </c>
      <c r="M325" s="2">
        <f>+K325-L325</f>
        <v>0.29999999999999716</v>
      </c>
      <c r="N325" s="1">
        <f>+F325-J325</f>
        <v>5.1533316828870079E-3</v>
      </c>
      <c r="O325" s="2">
        <v>104.2</v>
      </c>
      <c r="P325" s="2">
        <v>102</v>
      </c>
      <c r="Q325" s="2">
        <f>+O325-P325</f>
        <v>2.2000000000000028</v>
      </c>
      <c r="R325" s="2">
        <v>1.8</v>
      </c>
      <c r="S325" s="2">
        <v>8.8000000000000007</v>
      </c>
      <c r="T325" s="2">
        <f>+Q325-M325</f>
        <v>1.9000000000000057</v>
      </c>
    </row>
    <row r="326" spans="1:20">
      <c r="A326" s="6">
        <v>402</v>
      </c>
      <c r="B326" t="s">
        <v>52</v>
      </c>
      <c r="C326" t="s">
        <v>18</v>
      </c>
      <c r="D326">
        <v>54</v>
      </c>
      <c r="E326">
        <v>28</v>
      </c>
      <c r="F326" s="1">
        <f>+D326/(D326+E326)</f>
        <v>0.65853658536585369</v>
      </c>
      <c r="G326" s="2">
        <v>102.2</v>
      </c>
      <c r="H326" s="2">
        <v>97.4</v>
      </c>
      <c r="I326" s="2">
        <f>+G326-H326</f>
        <v>4.7999999999999972</v>
      </c>
      <c r="J326" s="1">
        <f>+(G326^14)/((G326^14+H326^14))</f>
        <v>0.66228117698287825</v>
      </c>
      <c r="K326" s="2">
        <v>110</v>
      </c>
      <c r="L326" s="2">
        <v>105</v>
      </c>
      <c r="M326" s="2">
        <f>+K326-L326</f>
        <v>5</v>
      </c>
      <c r="N326" s="1">
        <f>+F326-J326</f>
        <v>-3.7445916170245619E-3</v>
      </c>
      <c r="O326" s="2">
        <v>104.5</v>
      </c>
      <c r="P326" s="2">
        <v>97.6</v>
      </c>
      <c r="Q326" s="2">
        <f>+O326-P326</f>
        <v>6.9000000000000057</v>
      </c>
      <c r="R326" s="2">
        <v>1.6</v>
      </c>
      <c r="S326" s="2">
        <v>7.3</v>
      </c>
      <c r="T326" s="2">
        <f>+Q326-M326</f>
        <v>1.9000000000000057</v>
      </c>
    </row>
    <row r="327" spans="1:20">
      <c r="A327" s="6">
        <v>523</v>
      </c>
      <c r="B327" t="s">
        <v>58</v>
      </c>
      <c r="C327" t="s">
        <v>19</v>
      </c>
      <c r="D327">
        <v>44</v>
      </c>
      <c r="E327">
        <v>38</v>
      </c>
      <c r="F327" s="1">
        <f>+D327/(D327+E327)</f>
        <v>0.53658536585365857</v>
      </c>
      <c r="G327" s="2">
        <v>106.5</v>
      </c>
      <c r="H327" s="2">
        <v>106.8</v>
      </c>
      <c r="I327" s="2">
        <f>+G327-H327</f>
        <v>-0.29999999999999716</v>
      </c>
      <c r="J327" s="1">
        <f>+(G327^14)/((G327^14+H327^14))</f>
        <v>0.49015597738821681</v>
      </c>
      <c r="K327" s="2">
        <v>109</v>
      </c>
      <c r="L327" s="2">
        <v>109.1</v>
      </c>
      <c r="M327" s="2">
        <f>+K327-L327</f>
        <v>-9.9999999999994316E-2</v>
      </c>
      <c r="N327" s="1">
        <f>+F327-J327</f>
        <v>4.6429388465441757E-2</v>
      </c>
      <c r="O327" s="2">
        <v>102.1</v>
      </c>
      <c r="P327" s="2">
        <v>100.3</v>
      </c>
      <c r="Q327" s="2">
        <f>+O327-P327</f>
        <v>1.7999999999999972</v>
      </c>
      <c r="R327" s="2">
        <v>-1.2</v>
      </c>
      <c r="S327" s="2">
        <v>-4.5999999999999996</v>
      </c>
      <c r="T327" s="2">
        <f>+Q327-M327</f>
        <v>1.8999999999999915</v>
      </c>
    </row>
    <row r="328" spans="1:20">
      <c r="A328" s="6">
        <v>535</v>
      </c>
      <c r="B328" t="s">
        <v>58</v>
      </c>
      <c r="C328" t="s">
        <v>31</v>
      </c>
      <c r="D328">
        <v>48</v>
      </c>
      <c r="E328">
        <v>34</v>
      </c>
      <c r="F328" s="1">
        <f>+D328/(D328+E328)</f>
        <v>0.58536585365853655</v>
      </c>
      <c r="G328" s="2">
        <v>104.1</v>
      </c>
      <c r="H328" s="2">
        <v>99.8</v>
      </c>
      <c r="I328" s="2">
        <f>+G328-H328</f>
        <v>4.2999999999999972</v>
      </c>
      <c r="J328" s="1">
        <f>+(G328^14)/((G328^14+H328^14))</f>
        <v>0.64349662886143</v>
      </c>
      <c r="K328" s="2">
        <v>107.4</v>
      </c>
      <c r="L328" s="2">
        <v>103</v>
      </c>
      <c r="M328" s="2">
        <f>+K328-L328</f>
        <v>4.4000000000000057</v>
      </c>
      <c r="N328" s="1">
        <f>+F328-J328</f>
        <v>-5.8130775202893448E-2</v>
      </c>
      <c r="O328" s="2">
        <v>107.6</v>
      </c>
      <c r="P328" s="2">
        <v>101.3</v>
      </c>
      <c r="Q328" s="2">
        <f>+O328-P328</f>
        <v>6.2999999999999972</v>
      </c>
      <c r="R328" s="2">
        <v>1.8</v>
      </c>
      <c r="S328" s="2">
        <v>8.4</v>
      </c>
      <c r="T328" s="2">
        <f>+Q328-M328</f>
        <v>1.8999999999999915</v>
      </c>
    </row>
    <row r="329" spans="1:20">
      <c r="A329" s="6">
        <v>521</v>
      </c>
      <c r="B329" t="s">
        <v>58</v>
      </c>
      <c r="C329" t="s">
        <v>35</v>
      </c>
      <c r="D329">
        <v>22</v>
      </c>
      <c r="E329">
        <v>60</v>
      </c>
      <c r="F329" s="1">
        <f>+D329/(D329+E329)</f>
        <v>0.26829268292682928</v>
      </c>
      <c r="G329" s="2">
        <v>99.3</v>
      </c>
      <c r="H329" s="2">
        <v>105.5</v>
      </c>
      <c r="I329" s="2">
        <f>+G329-H329</f>
        <v>-6.2000000000000028</v>
      </c>
      <c r="J329" s="1">
        <f>+(G329^14)/((G329^14+H329^14))</f>
        <v>0.2998703440144932</v>
      </c>
      <c r="K329" s="2">
        <v>103.6</v>
      </c>
      <c r="L329" s="2">
        <v>110.4</v>
      </c>
      <c r="M329" s="2">
        <f>+K329-L329</f>
        <v>-6.8000000000000114</v>
      </c>
      <c r="N329" s="1">
        <f>+F329-J329</f>
        <v>-3.1577661087663911E-2</v>
      </c>
      <c r="O329" s="2">
        <v>92.4</v>
      </c>
      <c r="P329" s="2">
        <v>97.4</v>
      </c>
      <c r="Q329" s="2">
        <f>+O329-P329</f>
        <v>-5</v>
      </c>
      <c r="R329" s="2">
        <v>-1</v>
      </c>
      <c r="S329" s="2">
        <v>-6.6</v>
      </c>
      <c r="T329" s="2">
        <f>+Q329-M329</f>
        <v>1.8000000000000114</v>
      </c>
    </row>
    <row r="330" spans="1:20">
      <c r="A330" s="6">
        <v>396</v>
      </c>
      <c r="B330" t="s">
        <v>52</v>
      </c>
      <c r="C330" t="s">
        <v>13</v>
      </c>
      <c r="D330">
        <v>51</v>
      </c>
      <c r="E330">
        <v>31</v>
      </c>
      <c r="F330" s="1">
        <f>+D330/(D330+E330)</f>
        <v>0.62195121951219512</v>
      </c>
      <c r="G330" s="2">
        <v>104.3</v>
      </c>
      <c r="H330" s="2">
        <v>99.5</v>
      </c>
      <c r="I330" s="2">
        <f>+G330-H330</f>
        <v>4.7999999999999972</v>
      </c>
      <c r="J330" s="1">
        <f>+(G330^14)/((G330^14+H330^14))</f>
        <v>0.65916874214261856</v>
      </c>
      <c r="K330" s="2">
        <v>106.3</v>
      </c>
      <c r="L330" s="2">
        <v>101.4</v>
      </c>
      <c r="M330" s="2">
        <f>+K330-L330</f>
        <v>4.8999999999999915</v>
      </c>
      <c r="N330" s="1">
        <f>+F330-J330</f>
        <v>-3.7217522630423439E-2</v>
      </c>
      <c r="O330" s="2">
        <v>101.2</v>
      </c>
      <c r="P330" s="2">
        <v>94.5</v>
      </c>
      <c r="Q330" s="2">
        <f>+O330-P330</f>
        <v>6.7000000000000028</v>
      </c>
      <c r="R330" s="2">
        <v>0.5</v>
      </c>
      <c r="S330" s="2">
        <v>3.6</v>
      </c>
      <c r="T330" s="2">
        <f>+Q330-M330</f>
        <v>1.8000000000000114</v>
      </c>
    </row>
    <row r="331" spans="1:20">
      <c r="A331" s="6">
        <v>516</v>
      </c>
      <c r="B331" t="s">
        <v>58</v>
      </c>
      <c r="C331" t="s">
        <v>13</v>
      </c>
      <c r="D331">
        <v>58</v>
      </c>
      <c r="E331">
        <v>24</v>
      </c>
      <c r="F331" s="1">
        <f>+D331/(D331+E331)</f>
        <v>0.70731707317073167</v>
      </c>
      <c r="G331" s="2">
        <v>113.5</v>
      </c>
      <c r="H331" s="2">
        <v>107.5</v>
      </c>
      <c r="I331" s="2">
        <f>+G331-H331</f>
        <v>6</v>
      </c>
      <c r="J331" s="1">
        <f>+(G331^14)/((G331^14+H331^14))</f>
        <v>0.68143359288372995</v>
      </c>
      <c r="K331" s="2">
        <v>112.8</v>
      </c>
      <c r="L331" s="2">
        <v>106.8</v>
      </c>
      <c r="M331" s="2">
        <f>+K331-L331</f>
        <v>6</v>
      </c>
      <c r="N331" s="1">
        <f>+F331-J331</f>
        <v>2.5883480287001714E-2</v>
      </c>
      <c r="O331" s="2">
        <v>113.1</v>
      </c>
      <c r="P331" s="2">
        <v>105.3</v>
      </c>
      <c r="Q331" s="2">
        <f>+O331-P331</f>
        <v>7.7999999999999972</v>
      </c>
      <c r="R331" s="2">
        <v>0</v>
      </c>
      <c r="S331" s="2">
        <v>2.8</v>
      </c>
      <c r="T331" s="2">
        <f>+Q331-M331</f>
        <v>1.7999999999999972</v>
      </c>
    </row>
    <row r="332" spans="1:20">
      <c r="A332" s="6">
        <v>381</v>
      </c>
      <c r="B332" t="s">
        <v>50</v>
      </c>
      <c r="C332" t="s">
        <v>26</v>
      </c>
      <c r="D332">
        <v>33</v>
      </c>
      <c r="E332">
        <v>49</v>
      </c>
      <c r="F332" s="1">
        <f>+D332/(D332+E332)</f>
        <v>0.40243902439024393</v>
      </c>
      <c r="G332" s="2">
        <v>97.5</v>
      </c>
      <c r="H332" s="2">
        <v>100.7</v>
      </c>
      <c r="I332" s="2">
        <f>+G332-H332</f>
        <v>-3.2000000000000028</v>
      </c>
      <c r="J332" s="1">
        <f>+(G332^14)/((G332^14+H332^14))</f>
        <v>0.38885971000700537</v>
      </c>
      <c r="K332" s="2">
        <v>104.5</v>
      </c>
      <c r="L332" s="2">
        <v>107.9</v>
      </c>
      <c r="M332" s="2">
        <f>+K332-L332</f>
        <v>-3.4000000000000057</v>
      </c>
      <c r="N332" s="1">
        <f>+F332-J332</f>
        <v>1.3579314383238561E-2</v>
      </c>
      <c r="O332" s="2">
        <v>105.1</v>
      </c>
      <c r="P332" s="2">
        <v>106.7</v>
      </c>
      <c r="Q332" s="2">
        <f>+O332-P332</f>
        <v>-1.6000000000000085</v>
      </c>
      <c r="R332" s="2">
        <v>-0.2</v>
      </c>
      <c r="S332" s="2">
        <v>-1.2</v>
      </c>
      <c r="T332" s="2">
        <f>+Q332-M332</f>
        <v>1.7999999999999972</v>
      </c>
    </row>
    <row r="333" spans="1:20">
      <c r="A333" s="6">
        <v>439</v>
      </c>
      <c r="B333" t="s">
        <v>54</v>
      </c>
      <c r="C333" t="s">
        <v>24</v>
      </c>
      <c r="D333">
        <v>18</v>
      </c>
      <c r="E333">
        <v>64</v>
      </c>
      <c r="F333" s="1">
        <f>+D333/(D333+E333)</f>
        <v>0.21951219512195122</v>
      </c>
      <c r="G333" s="2">
        <v>92</v>
      </c>
      <c r="H333" s="2">
        <v>101</v>
      </c>
      <c r="I333" s="2">
        <f>+G333-H333</f>
        <v>-9</v>
      </c>
      <c r="J333" s="1">
        <f>+(G333^14)/((G333^14+H333^14))</f>
        <v>0.21304843690621958</v>
      </c>
      <c r="K333" s="2">
        <v>94.9</v>
      </c>
      <c r="L333" s="2">
        <v>103.9</v>
      </c>
      <c r="M333" s="2">
        <f>+K333-L333</f>
        <v>-9</v>
      </c>
      <c r="N333" s="1">
        <f>+F333-J333</f>
        <v>6.4637582157316409E-3</v>
      </c>
      <c r="O333" s="2">
        <v>84.7</v>
      </c>
      <c r="P333" s="2">
        <v>91.9</v>
      </c>
      <c r="Q333" s="2">
        <f>+O333-P333</f>
        <v>-7.2000000000000028</v>
      </c>
      <c r="R333" s="2">
        <v>-1</v>
      </c>
      <c r="S333" s="2">
        <v>-4.5</v>
      </c>
      <c r="T333" s="2">
        <f>+Q333-M333</f>
        <v>1.7999999999999972</v>
      </c>
    </row>
    <row r="334" spans="1:20">
      <c r="A334" s="6">
        <v>460</v>
      </c>
      <c r="B334" t="s">
        <v>55</v>
      </c>
      <c r="C334" t="s">
        <v>17</v>
      </c>
      <c r="D334">
        <v>17</v>
      </c>
      <c r="E334">
        <v>65</v>
      </c>
      <c r="F334" s="1">
        <f>+D334/(D334+E334)</f>
        <v>0.2073170731707317</v>
      </c>
      <c r="G334" s="2">
        <v>97.3</v>
      </c>
      <c r="H334" s="2">
        <v>106.9</v>
      </c>
      <c r="I334" s="2">
        <f>+G334-H334</f>
        <v>-9.6000000000000085</v>
      </c>
      <c r="J334" s="1">
        <f>+(G334^14)/((G334^14+H334^14))</f>
        <v>0.21126325417773295</v>
      </c>
      <c r="K334" s="2">
        <v>100.7</v>
      </c>
      <c r="L334" s="2">
        <v>110.3</v>
      </c>
      <c r="M334" s="2">
        <f>+K334-L334</f>
        <v>-9.5999999999999943</v>
      </c>
      <c r="N334" s="1">
        <f>+F334-J334</f>
        <v>-3.9461810070012537E-3</v>
      </c>
      <c r="O334" s="2">
        <v>108.9</v>
      </c>
      <c r="P334" s="2">
        <v>116.7</v>
      </c>
      <c r="Q334" s="2">
        <f>+O334-P334</f>
        <v>-7.7999999999999972</v>
      </c>
      <c r="R334" s="2">
        <v>-0.1</v>
      </c>
      <c r="S334" s="2">
        <v>-1.8</v>
      </c>
      <c r="T334" s="2">
        <f>+Q334-M334</f>
        <v>1.7999999999999972</v>
      </c>
    </row>
    <row r="335" spans="1:20">
      <c r="A335" s="6">
        <v>105</v>
      </c>
      <c r="B335" t="s">
        <v>38</v>
      </c>
      <c r="C335" t="s">
        <v>37</v>
      </c>
      <c r="D335">
        <v>41</v>
      </c>
      <c r="E335">
        <v>41</v>
      </c>
      <c r="F335" s="1">
        <f>+D335/(D335+E335)</f>
        <v>0.5</v>
      </c>
      <c r="G335" s="2">
        <v>91.8</v>
      </c>
      <c r="H335" s="2">
        <v>91.9</v>
      </c>
      <c r="I335" s="2">
        <f>+G335-H335</f>
        <v>-0.10000000000000853</v>
      </c>
      <c r="J335" s="1">
        <f>+(G335^14)/((G335^14+H335^14))</f>
        <v>0.49618951269946909</v>
      </c>
      <c r="K335" s="2">
        <v>100.7</v>
      </c>
      <c r="L335" s="2">
        <v>100.6</v>
      </c>
      <c r="M335" s="2">
        <f>+K335-L335</f>
        <v>0.10000000000000853</v>
      </c>
      <c r="N335" s="1">
        <f>+F335-J335</f>
        <v>3.810487300530907E-3</v>
      </c>
      <c r="O335" s="2">
        <v>94.3</v>
      </c>
      <c r="P335" s="2">
        <v>92.4</v>
      </c>
      <c r="Q335" s="2">
        <f>+O335-P335</f>
        <v>1.8999999999999915</v>
      </c>
      <c r="R335" s="2">
        <v>1.1000000000000001</v>
      </c>
      <c r="S335" s="2">
        <v>5.3</v>
      </c>
      <c r="T335" s="2">
        <f>+Q335-M335</f>
        <v>1.7999999999999829</v>
      </c>
    </row>
    <row r="336" spans="1:20">
      <c r="A336" s="6">
        <v>212</v>
      </c>
      <c r="B336" t="s">
        <v>44</v>
      </c>
      <c r="C336" t="s">
        <v>10</v>
      </c>
      <c r="D336">
        <v>51</v>
      </c>
      <c r="E336">
        <v>31</v>
      </c>
      <c r="F336" s="1">
        <f>+D336/(D336+E336)</f>
        <v>0.62195121951219512</v>
      </c>
      <c r="G336" s="2">
        <v>100.4</v>
      </c>
      <c r="H336" s="2">
        <v>95.9</v>
      </c>
      <c r="I336" s="2">
        <f>+G336-H336</f>
        <v>4.5</v>
      </c>
      <c r="J336" s="1">
        <f>+(G336^14)/((G336^14+H336^14))</f>
        <v>0.65520252150189628</v>
      </c>
      <c r="K336" s="2">
        <v>109.5</v>
      </c>
      <c r="L336" s="2">
        <v>104.7</v>
      </c>
      <c r="M336" s="2">
        <f>+K336-L336</f>
        <v>4.7999999999999972</v>
      </c>
      <c r="N336" s="1">
        <f>+F336-J336</f>
        <v>-3.3251301989701165E-2</v>
      </c>
      <c r="O336" s="2">
        <v>114.4</v>
      </c>
      <c r="P336" s="2">
        <v>107.9</v>
      </c>
      <c r="Q336" s="2">
        <f>+O336-P336</f>
        <v>6.5</v>
      </c>
      <c r="R336" s="2">
        <v>0.5</v>
      </c>
      <c r="S336" s="2">
        <v>3.2</v>
      </c>
      <c r="T336" s="2">
        <f>+Q336-M336</f>
        <v>1.7000000000000028</v>
      </c>
    </row>
    <row r="337" spans="1:20">
      <c r="A337" s="6">
        <v>496</v>
      </c>
      <c r="B337" t="s">
        <v>57</v>
      </c>
      <c r="C337" t="s">
        <v>22</v>
      </c>
      <c r="D337">
        <v>31</v>
      </c>
      <c r="E337">
        <v>51</v>
      </c>
      <c r="F337" s="1">
        <f>+D337/(D337+E337)</f>
        <v>0.37804878048780488</v>
      </c>
      <c r="G337" s="2">
        <v>104.3</v>
      </c>
      <c r="H337" s="2">
        <v>108</v>
      </c>
      <c r="I337" s="2">
        <f>+G337-H337</f>
        <v>-3.7000000000000028</v>
      </c>
      <c r="J337" s="1">
        <f>+(G337^14)/((G337^14+H337^14))</f>
        <v>0.38035584719829063</v>
      </c>
      <c r="K337" s="2">
        <v>107.1</v>
      </c>
      <c r="L337" s="2">
        <v>110.7</v>
      </c>
      <c r="M337" s="2">
        <f>+K337-L337</f>
        <v>-3.6000000000000085</v>
      </c>
      <c r="N337" s="1">
        <f>+F337-J337</f>
        <v>-2.3070667104857501E-3</v>
      </c>
      <c r="O337" s="2">
        <v>104.7</v>
      </c>
      <c r="P337" s="2">
        <v>106.7</v>
      </c>
      <c r="Q337" s="2">
        <f>+O337-P337</f>
        <v>-2</v>
      </c>
      <c r="R337" s="2">
        <v>0.6</v>
      </c>
      <c r="S337" s="2">
        <v>2.2000000000000002</v>
      </c>
      <c r="T337" s="2">
        <f>+Q337-M337</f>
        <v>1.6000000000000085</v>
      </c>
    </row>
    <row r="338" spans="1:20">
      <c r="A338" s="6">
        <v>138</v>
      </c>
      <c r="B338" t="s">
        <v>39</v>
      </c>
      <c r="C338" t="s">
        <v>24</v>
      </c>
      <c r="D338">
        <v>43</v>
      </c>
      <c r="E338">
        <v>39</v>
      </c>
      <c r="F338" s="1">
        <f>+D338/(D338+E338)</f>
        <v>0.52439024390243905</v>
      </c>
      <c r="G338" s="2">
        <v>99.1</v>
      </c>
      <c r="H338" s="2">
        <v>99.9</v>
      </c>
      <c r="I338" s="2">
        <f>+G338-H338</f>
        <v>-0.80000000000001137</v>
      </c>
      <c r="J338" s="1">
        <f>+(G338^14)/((G338^14+H338^14))</f>
        <v>0.47188882056574427</v>
      </c>
      <c r="K338" s="2">
        <v>101.8</v>
      </c>
      <c r="L338" s="2">
        <v>102.5</v>
      </c>
      <c r="M338" s="2">
        <f>+K338-L338</f>
        <v>-0.70000000000000284</v>
      </c>
      <c r="N338" s="1">
        <f>+F338-J338</f>
        <v>5.2501423336694775E-2</v>
      </c>
      <c r="O338" s="2">
        <v>95.8</v>
      </c>
      <c r="P338" s="2">
        <v>94.9</v>
      </c>
      <c r="Q338" s="2">
        <f>+O338-P338</f>
        <v>0.89999999999999147</v>
      </c>
      <c r="R338" s="2">
        <v>-0.7</v>
      </c>
      <c r="S338" s="2">
        <v>-2.6</v>
      </c>
      <c r="T338" s="2">
        <f>+Q338-M338</f>
        <v>1.5999999999999943</v>
      </c>
    </row>
    <row r="339" spans="1:20">
      <c r="A339" s="6">
        <v>251</v>
      </c>
      <c r="B339" t="s">
        <v>45</v>
      </c>
      <c r="C339" t="s">
        <v>18</v>
      </c>
      <c r="D339">
        <v>43</v>
      </c>
      <c r="E339">
        <v>39</v>
      </c>
      <c r="F339" s="1">
        <f>+D339/(D339+E339)</f>
        <v>0.52439024390243905</v>
      </c>
      <c r="G339" s="2">
        <v>98.3</v>
      </c>
      <c r="H339" s="2">
        <v>98</v>
      </c>
      <c r="I339" s="2">
        <f>+G339-H339</f>
        <v>0.29999999999999716</v>
      </c>
      <c r="J339" s="1">
        <f>+(G339^14)/((G339^14+H339^14))</f>
        <v>0.51069628754963348</v>
      </c>
      <c r="K339" s="2">
        <v>106.8</v>
      </c>
      <c r="L339" s="2">
        <v>106.5</v>
      </c>
      <c r="M339" s="2">
        <f>+K339-L339</f>
        <v>0.29999999999999716</v>
      </c>
      <c r="N339" s="1">
        <f>+F339-J339</f>
        <v>1.369395635280557E-2</v>
      </c>
      <c r="O339" s="2">
        <v>114.1</v>
      </c>
      <c r="P339" s="2">
        <v>112.2</v>
      </c>
      <c r="Q339" s="2">
        <f>+O339-P339</f>
        <v>1.8999999999999915</v>
      </c>
      <c r="R339" s="2">
        <v>-0.7</v>
      </c>
      <c r="S339" s="2">
        <v>-2.9</v>
      </c>
      <c r="T339" s="2">
        <f>+Q339-M339</f>
        <v>1.5999999999999943</v>
      </c>
    </row>
    <row r="340" spans="1:20">
      <c r="A340" s="6">
        <v>323</v>
      </c>
      <c r="B340" t="s">
        <v>48</v>
      </c>
      <c r="C340" t="s">
        <v>28</v>
      </c>
      <c r="D340">
        <v>61</v>
      </c>
      <c r="E340">
        <v>21</v>
      </c>
      <c r="F340" s="1">
        <f>+D340/(D340+E340)</f>
        <v>0.74390243902439024</v>
      </c>
      <c r="G340" s="2">
        <v>103.7</v>
      </c>
      <c r="H340" s="2">
        <v>98</v>
      </c>
      <c r="I340" s="2">
        <f>+G340-H340</f>
        <v>5.7000000000000028</v>
      </c>
      <c r="J340" s="1">
        <f>+(G340^14)/((G340^14+H340^14))</f>
        <v>0.68815008100174779</v>
      </c>
      <c r="K340" s="2">
        <v>110.5</v>
      </c>
      <c r="L340" s="2">
        <v>104.4</v>
      </c>
      <c r="M340" s="2">
        <f>+K340-L340</f>
        <v>6.0999999999999943</v>
      </c>
      <c r="N340" s="1">
        <f>+F340-J340</f>
        <v>5.5752358022642445E-2</v>
      </c>
      <c r="O340" s="2">
        <v>100.7</v>
      </c>
      <c r="P340" s="2">
        <v>93.1</v>
      </c>
      <c r="Q340" s="2">
        <f>+O340-P340</f>
        <v>7.6000000000000085</v>
      </c>
      <c r="R340" s="2">
        <v>0.9</v>
      </c>
      <c r="S340" s="2">
        <v>5.0999999999999996</v>
      </c>
      <c r="T340" s="2">
        <f>+Q340-M340</f>
        <v>1.5000000000000142</v>
      </c>
    </row>
    <row r="341" spans="1:20">
      <c r="A341" s="6">
        <v>376</v>
      </c>
      <c r="B341" t="s">
        <v>50</v>
      </c>
      <c r="C341" t="s">
        <v>22</v>
      </c>
      <c r="D341">
        <v>54</v>
      </c>
      <c r="E341">
        <v>28</v>
      </c>
      <c r="F341" s="1">
        <f>+D341/(D341+E341)</f>
        <v>0.65853658536585369</v>
      </c>
      <c r="G341" s="2">
        <v>100</v>
      </c>
      <c r="H341" s="2">
        <v>95.7</v>
      </c>
      <c r="I341" s="2">
        <f>+G341-H341</f>
        <v>4.2999999999999972</v>
      </c>
      <c r="J341" s="1">
        <f>+(G341^14)/((G341^14+H341^14))</f>
        <v>0.64915487217242029</v>
      </c>
      <c r="K341" s="2">
        <v>109.8</v>
      </c>
      <c r="L341" s="2">
        <v>105.4</v>
      </c>
      <c r="M341" s="2">
        <f>+K341-L341</f>
        <v>4.3999999999999915</v>
      </c>
      <c r="N341" s="1">
        <f>+F341-J341</f>
        <v>9.3817131934333942E-3</v>
      </c>
      <c r="O341" s="2">
        <v>94.7</v>
      </c>
      <c r="P341" s="2">
        <v>88.8</v>
      </c>
      <c r="Q341" s="2">
        <f>+O341-P341</f>
        <v>5.9000000000000057</v>
      </c>
      <c r="R341" s="2">
        <v>2.1</v>
      </c>
      <c r="S341" s="2">
        <v>10.6</v>
      </c>
      <c r="T341" s="2">
        <f>+Q341-M341</f>
        <v>1.5000000000000142</v>
      </c>
    </row>
    <row r="342" spans="1:20">
      <c r="A342" s="6">
        <v>152</v>
      </c>
      <c r="B342" t="s">
        <v>41</v>
      </c>
      <c r="C342" t="s">
        <v>10</v>
      </c>
      <c r="D342">
        <v>60</v>
      </c>
      <c r="E342">
        <v>22</v>
      </c>
      <c r="F342" s="1">
        <f>+D342/(D342+E342)</f>
        <v>0.73170731707317072</v>
      </c>
      <c r="G342" s="2">
        <v>99.1</v>
      </c>
      <c r="H342" s="2">
        <v>93.1</v>
      </c>
      <c r="I342" s="2">
        <f>+G342-H342</f>
        <v>6</v>
      </c>
      <c r="J342" s="1">
        <f>+(G342^14)/((G342^14+H342^14))</f>
        <v>0.70565493727063389</v>
      </c>
      <c r="K342" s="2">
        <v>109.9</v>
      </c>
      <c r="L342" s="2">
        <v>103.2</v>
      </c>
      <c r="M342" s="2">
        <f>+K342-L342</f>
        <v>6.7000000000000028</v>
      </c>
      <c r="N342" s="1">
        <f>+F342-J342</f>
        <v>2.6052379802536829E-2</v>
      </c>
      <c r="O342" s="2">
        <v>105.6</v>
      </c>
      <c r="P342" s="2">
        <v>97.4</v>
      </c>
      <c r="Q342" s="2">
        <f>+O342-P342</f>
        <v>8.1999999999999886</v>
      </c>
      <c r="R342" s="2">
        <v>1.6</v>
      </c>
      <c r="S342" s="2">
        <v>9.6</v>
      </c>
      <c r="T342" s="2">
        <f>+Q342-M342</f>
        <v>1.4999999999999858</v>
      </c>
    </row>
    <row r="343" spans="1:20">
      <c r="A343" s="6">
        <v>634</v>
      </c>
      <c r="B343" t="s">
        <v>62</v>
      </c>
      <c r="C343" t="s">
        <v>11</v>
      </c>
      <c r="D343">
        <v>48</v>
      </c>
      <c r="E343">
        <v>34</v>
      </c>
      <c r="F343" s="1">
        <f>+D343/(D343+E343)</f>
        <v>0.58536585365853655</v>
      </c>
      <c r="G343" s="2">
        <v>112.7</v>
      </c>
      <c r="H343" s="2">
        <v>110.4</v>
      </c>
      <c r="I343" s="2">
        <f>+G343-H343</f>
        <v>2.2999999999999972</v>
      </c>
      <c r="J343" s="1">
        <f>+(G343^14)/((G343^14+H343^14))</f>
        <v>0.57167050088011562</v>
      </c>
      <c r="K343" s="2">
        <v>113.8</v>
      </c>
      <c r="L343" s="2">
        <v>111.5</v>
      </c>
      <c r="M343" s="2">
        <f>+K343-L343</f>
        <v>2.2999999999999972</v>
      </c>
      <c r="N343" s="1">
        <f>+F343-J343</f>
        <v>1.3695352778420933E-2</v>
      </c>
      <c r="O343" s="2">
        <v>106.9</v>
      </c>
      <c r="P343" s="2">
        <v>103.2</v>
      </c>
      <c r="Q343" s="2">
        <f>+O343-P343</f>
        <v>3.7000000000000028</v>
      </c>
      <c r="R343" s="2">
        <v>-1.8</v>
      </c>
      <c r="S343" s="2">
        <v>-8.9</v>
      </c>
      <c r="T343" s="2">
        <f>+Q343-M343</f>
        <v>1.4000000000000057</v>
      </c>
    </row>
    <row r="344" spans="1:20">
      <c r="A344" s="6">
        <v>28</v>
      </c>
      <c r="B344" t="s">
        <v>4</v>
      </c>
      <c r="C344" t="s">
        <v>32</v>
      </c>
      <c r="D344">
        <v>23</v>
      </c>
      <c r="E344">
        <v>59</v>
      </c>
      <c r="F344" s="1">
        <f>+D344/(D344+E344)</f>
        <v>0.28048780487804881</v>
      </c>
      <c r="G344" s="2">
        <v>91.7</v>
      </c>
      <c r="H344" s="2">
        <v>97.5</v>
      </c>
      <c r="I344" s="2">
        <f>+G344-H344</f>
        <v>-5.7999999999999972</v>
      </c>
      <c r="J344" s="1">
        <f>+(G344^14)/((G344^14+H344^14))</f>
        <v>0.29762775150060888</v>
      </c>
      <c r="K344" s="2">
        <v>98.2</v>
      </c>
      <c r="L344" s="2">
        <v>104.2</v>
      </c>
      <c r="M344" s="2">
        <f>+K344-L344</f>
        <v>-6</v>
      </c>
      <c r="N344" s="1">
        <f>+F344-J344</f>
        <v>-1.7139946622560076E-2</v>
      </c>
      <c r="O344" s="2">
        <v>102.1</v>
      </c>
      <c r="P344" s="2">
        <v>106.7</v>
      </c>
      <c r="Q344" s="2">
        <f>+O344-P344</f>
        <v>-4.6000000000000085</v>
      </c>
      <c r="R344" s="2">
        <v>-1.3</v>
      </c>
      <c r="S344" s="2">
        <v>-6.4</v>
      </c>
      <c r="T344" s="2">
        <f>+Q344-M344</f>
        <v>1.3999999999999915</v>
      </c>
    </row>
    <row r="345" spans="1:20">
      <c r="A345" s="6">
        <v>78</v>
      </c>
      <c r="B345" t="s">
        <v>36</v>
      </c>
      <c r="C345" t="s">
        <v>23</v>
      </c>
      <c r="D345">
        <v>42</v>
      </c>
      <c r="E345">
        <v>40</v>
      </c>
      <c r="F345" s="1">
        <f>+D345/(D345+E345)</f>
        <v>0.51219512195121952</v>
      </c>
      <c r="G345" s="2">
        <v>98.5</v>
      </c>
      <c r="H345" s="2">
        <v>98.4</v>
      </c>
      <c r="I345" s="2">
        <f>+G345-H345</f>
        <v>9.9999999999994316E-2</v>
      </c>
      <c r="J345" s="1">
        <f>+(G345^14)/((G345^14+H345^14))</f>
        <v>0.5035550445111181</v>
      </c>
      <c r="K345" s="2">
        <v>103.7</v>
      </c>
      <c r="L345" s="2">
        <v>103.7</v>
      </c>
      <c r="M345" s="2">
        <f>+K345-L345</f>
        <v>0</v>
      </c>
      <c r="N345" s="1">
        <f>+F345-J345</f>
        <v>8.6400774401014235E-3</v>
      </c>
      <c r="O345" s="2">
        <v>95.9</v>
      </c>
      <c r="P345" s="2">
        <v>94.6</v>
      </c>
      <c r="Q345" s="2">
        <f>+O345-P345</f>
        <v>1.3000000000000114</v>
      </c>
      <c r="R345" s="2">
        <v>-1</v>
      </c>
      <c r="S345" s="2">
        <v>-2.8</v>
      </c>
      <c r="T345" s="2">
        <f>+Q345-M345</f>
        <v>1.3000000000000114</v>
      </c>
    </row>
    <row r="346" spans="1:20">
      <c r="A346" s="6">
        <v>579</v>
      </c>
      <c r="B346" t="s">
        <v>60</v>
      </c>
      <c r="C346" t="s">
        <v>56</v>
      </c>
      <c r="D346">
        <v>49</v>
      </c>
      <c r="E346">
        <v>23</v>
      </c>
      <c r="F346" s="1">
        <f>+D346/(D346+E346)</f>
        <v>0.68055555555555558</v>
      </c>
      <c r="G346" s="2">
        <v>116.3</v>
      </c>
      <c r="H346" s="2">
        <v>109.9</v>
      </c>
      <c r="I346" s="2">
        <f>+G346-H346</f>
        <v>6.3999999999999915</v>
      </c>
      <c r="J346" s="1">
        <f>+(G346^14)/((G346^14+H346^14))</f>
        <v>0.68835302636242091</v>
      </c>
      <c r="K346" s="2">
        <v>113.3</v>
      </c>
      <c r="L346" s="2">
        <v>106.9</v>
      </c>
      <c r="M346" s="2">
        <f>+K346-L346</f>
        <v>6.3999999999999915</v>
      </c>
      <c r="N346" s="1">
        <f>+F346-J346</f>
        <v>-7.7974708068653253E-3</v>
      </c>
      <c r="O346" s="2">
        <v>116</v>
      </c>
      <c r="P346" s="2">
        <v>108.3</v>
      </c>
      <c r="Q346" s="2">
        <f>+O346-P346</f>
        <v>7.7000000000000028</v>
      </c>
      <c r="R346" s="2">
        <v>0.7</v>
      </c>
      <c r="S346" s="2">
        <v>3.3</v>
      </c>
      <c r="T346" s="2">
        <f>+Q346-M346</f>
        <v>1.3000000000000114</v>
      </c>
    </row>
    <row r="347" spans="1:20">
      <c r="A347" s="6">
        <v>572</v>
      </c>
      <c r="B347" t="s">
        <v>60</v>
      </c>
      <c r="C347" t="s">
        <v>9</v>
      </c>
      <c r="D347">
        <v>19</v>
      </c>
      <c r="E347">
        <v>46</v>
      </c>
      <c r="F347" s="1">
        <f>+D347/(D347+E347)</f>
        <v>0.29230769230769232</v>
      </c>
      <c r="G347" s="2">
        <v>106.9</v>
      </c>
      <c r="H347" s="2">
        <v>114.8</v>
      </c>
      <c r="I347" s="2">
        <f>+G347-H347</f>
        <v>-7.8999999999999915</v>
      </c>
      <c r="J347" s="1">
        <f>+(G347^14)/((G347^14+H347^14))</f>
        <v>0.26930190028801032</v>
      </c>
      <c r="K347" s="2">
        <v>106.9</v>
      </c>
      <c r="L347" s="2">
        <v>114.8</v>
      </c>
      <c r="M347" s="2">
        <f>+K347-L347</f>
        <v>-7.8999999999999915</v>
      </c>
      <c r="N347" s="1">
        <f>+F347-J347</f>
        <v>2.3005792019682003E-2</v>
      </c>
      <c r="O347" s="2">
        <v>103.5</v>
      </c>
      <c r="P347" s="2">
        <v>110.1</v>
      </c>
      <c r="Q347" s="2">
        <f>+O347-P347</f>
        <v>-6.5999999999999943</v>
      </c>
      <c r="R347" s="2">
        <v>0</v>
      </c>
      <c r="S347" s="2">
        <v>-0.8</v>
      </c>
      <c r="T347" s="2">
        <f>+Q347-M347</f>
        <v>1.2999999999999972</v>
      </c>
    </row>
    <row r="348" spans="1:20">
      <c r="A348" s="6">
        <v>708</v>
      </c>
      <c r="B348" t="s">
        <v>64</v>
      </c>
      <c r="C348" t="s">
        <v>23</v>
      </c>
      <c r="D348">
        <v>47</v>
      </c>
      <c r="E348">
        <v>35</v>
      </c>
      <c r="F348" s="1">
        <f>+D348/(D348+E348)</f>
        <v>0.57317073170731703</v>
      </c>
      <c r="G348" s="2">
        <v>110.5</v>
      </c>
      <c r="H348" s="2">
        <v>108.4</v>
      </c>
      <c r="I348" s="2">
        <f>+G348-H348</f>
        <v>2.0999999999999943</v>
      </c>
      <c r="J348" s="1">
        <f>+(G348^14)/((G348^14+H348^14))</f>
        <v>0.56675507945775017</v>
      </c>
      <c r="K348" s="2">
        <v>112.9</v>
      </c>
      <c r="L348" s="2">
        <v>110.8</v>
      </c>
      <c r="M348" s="2">
        <f>+K348-L348</f>
        <v>2.1000000000000085</v>
      </c>
      <c r="N348" s="1">
        <f>+F348-J348</f>
        <v>6.4156522495668611E-3</v>
      </c>
      <c r="O348" s="2">
        <v>104.2</v>
      </c>
      <c r="P348" s="2">
        <v>100.8</v>
      </c>
      <c r="Q348" s="2">
        <f>+O348-P348</f>
        <v>3.4000000000000057</v>
      </c>
      <c r="R348" s="2">
        <v>0.6</v>
      </c>
      <c r="S348" s="2">
        <v>3.8</v>
      </c>
      <c r="T348" s="2">
        <f>+Q348-M348</f>
        <v>1.2999999999999972</v>
      </c>
    </row>
    <row r="349" spans="1:20">
      <c r="A349" s="6">
        <v>79</v>
      </c>
      <c r="B349" t="s">
        <v>36</v>
      </c>
      <c r="C349" t="s">
        <v>24</v>
      </c>
      <c r="D349">
        <v>48</v>
      </c>
      <c r="E349">
        <v>34</v>
      </c>
      <c r="F349" s="1">
        <f>+D349/(D349+E349)</f>
        <v>0.58536585365853655</v>
      </c>
      <c r="G349" s="2">
        <v>96.8</v>
      </c>
      <c r="H349" s="2">
        <v>94.5</v>
      </c>
      <c r="I349" s="2">
        <f>+G349-H349</f>
        <v>2.2999999999999972</v>
      </c>
      <c r="J349" s="1">
        <f>+(G349^14)/((G349^14+H349^14))</f>
        <v>0.58337902714403844</v>
      </c>
      <c r="K349" s="2">
        <v>103.2</v>
      </c>
      <c r="L349" s="2">
        <v>100.6</v>
      </c>
      <c r="M349" s="2">
        <f>+K349-L349</f>
        <v>2.6000000000000085</v>
      </c>
      <c r="N349" s="1">
        <f>+F349-J349</f>
        <v>1.9868265144981079E-3</v>
      </c>
      <c r="O349" s="2">
        <v>102.4</v>
      </c>
      <c r="P349" s="2">
        <v>98.5</v>
      </c>
      <c r="Q349" s="2">
        <f>+O349-P349</f>
        <v>3.9000000000000057</v>
      </c>
      <c r="R349" s="2">
        <v>1.1000000000000001</v>
      </c>
      <c r="S349" s="2">
        <v>5.3</v>
      </c>
      <c r="T349" s="2">
        <f>+Q349-M349</f>
        <v>1.2999999999999972</v>
      </c>
    </row>
    <row r="350" spans="1:20">
      <c r="A350" s="6">
        <v>718</v>
      </c>
      <c r="B350" t="s">
        <v>65</v>
      </c>
      <c r="C350" t="s">
        <v>6</v>
      </c>
      <c r="D350">
        <v>61</v>
      </c>
      <c r="E350">
        <v>21</v>
      </c>
      <c r="F350" s="1">
        <f>+D350/(D350+E350)</f>
        <v>0.74390243902439024</v>
      </c>
      <c r="G350" s="2">
        <v>116.3</v>
      </c>
      <c r="H350" s="2">
        <v>107.2</v>
      </c>
      <c r="I350" s="2">
        <f>+G350-H350</f>
        <v>9.0999999999999943</v>
      </c>
      <c r="J350" s="1">
        <f>+(G350^14)/((G350^14+H350^14))</f>
        <v>0.75780361294366638</v>
      </c>
      <c r="K350" s="2">
        <v>119.5</v>
      </c>
      <c r="L350" s="2">
        <v>110.1</v>
      </c>
      <c r="M350" s="2">
        <f>+K350-L350</f>
        <v>9.4000000000000057</v>
      </c>
      <c r="N350" s="1">
        <f>+F350-J350</f>
        <v>-1.3901173919276144E-2</v>
      </c>
      <c r="O350" s="2">
        <v>120.4</v>
      </c>
      <c r="P350" s="2">
        <v>109.7</v>
      </c>
      <c r="Q350" s="2">
        <f>+O350-P350</f>
        <v>10.700000000000003</v>
      </c>
      <c r="R350" s="2">
        <v>0.4</v>
      </c>
      <c r="S350" s="2">
        <v>3.8</v>
      </c>
      <c r="T350" s="2">
        <f>+Q350-M350</f>
        <v>1.2999999999999972</v>
      </c>
    </row>
    <row r="351" spans="1:20">
      <c r="A351" s="6">
        <v>688</v>
      </c>
      <c r="B351" t="s">
        <v>64</v>
      </c>
      <c r="C351" t="s">
        <v>6</v>
      </c>
      <c r="D351">
        <v>64</v>
      </c>
      <c r="E351">
        <v>18</v>
      </c>
      <c r="F351" s="1">
        <f>+D351/(D351+E351)</f>
        <v>0.78048780487804881</v>
      </c>
      <c r="G351" s="2">
        <v>120.6</v>
      </c>
      <c r="H351" s="2">
        <v>109.2</v>
      </c>
      <c r="I351" s="2">
        <f>+G351-H351</f>
        <v>11.399999999999991</v>
      </c>
      <c r="J351" s="1">
        <f>+(G351^14)/((G351^14+H351^14))</f>
        <v>0.80062019440018317</v>
      </c>
      <c r="K351" s="2">
        <v>122.2</v>
      </c>
      <c r="L351" s="2">
        <v>110.6</v>
      </c>
      <c r="M351" s="2">
        <f>+K351-L351</f>
        <v>11.600000000000009</v>
      </c>
      <c r="N351" s="1">
        <f>+F351-J351</f>
        <v>-2.0132389522134364E-2</v>
      </c>
      <c r="O351" s="2">
        <v>116.8</v>
      </c>
      <c r="P351" s="2">
        <v>103.9</v>
      </c>
      <c r="Q351" s="2">
        <f>+O351-P351</f>
        <v>12.899999999999991</v>
      </c>
      <c r="R351" s="2">
        <v>1.9</v>
      </c>
      <c r="S351" s="2">
        <v>7.2</v>
      </c>
      <c r="T351" s="2">
        <f>+Q351-M351</f>
        <v>1.2999999999999829</v>
      </c>
    </row>
    <row r="352" spans="1:20">
      <c r="A352" s="6">
        <v>380</v>
      </c>
      <c r="B352" t="s">
        <v>50</v>
      </c>
      <c r="C352" t="s">
        <v>25</v>
      </c>
      <c r="D352">
        <v>25</v>
      </c>
      <c r="E352">
        <v>57</v>
      </c>
      <c r="F352" s="1">
        <f>+D352/(D352+E352)</f>
        <v>0.3048780487804878</v>
      </c>
      <c r="G352" s="2">
        <v>95.2</v>
      </c>
      <c r="H352" s="2">
        <v>101.6</v>
      </c>
      <c r="I352" s="2">
        <f>+G352-H352</f>
        <v>-6.3999999999999915</v>
      </c>
      <c r="J352" s="1">
        <f>+(G352^14)/((G352^14+H352^14))</f>
        <v>0.28681768748070391</v>
      </c>
      <c r="K352" s="2">
        <v>100.2</v>
      </c>
      <c r="L352" s="2">
        <v>106.9</v>
      </c>
      <c r="M352" s="2">
        <f>+K352-L352</f>
        <v>-6.7000000000000028</v>
      </c>
      <c r="N352" s="1">
        <f>+F352-J352</f>
        <v>1.8060361299783889E-2</v>
      </c>
      <c r="O352" s="2">
        <v>94.8</v>
      </c>
      <c r="P352" s="2">
        <v>100.3</v>
      </c>
      <c r="Q352" s="2">
        <f>+O352-P352</f>
        <v>-5.5</v>
      </c>
      <c r="R352" s="2">
        <v>-1.5</v>
      </c>
      <c r="S352" s="2">
        <v>-9.1</v>
      </c>
      <c r="T352" s="2">
        <f>+Q352-M352</f>
        <v>1.2000000000000028</v>
      </c>
    </row>
    <row r="353" spans="1:20">
      <c r="A353" s="6">
        <v>365</v>
      </c>
      <c r="B353" t="s">
        <v>50</v>
      </c>
      <c r="C353" t="s">
        <v>12</v>
      </c>
      <c r="D353">
        <v>29</v>
      </c>
      <c r="E353">
        <v>53</v>
      </c>
      <c r="F353" s="1">
        <f>+D353/(D353+E353)</f>
        <v>0.35365853658536583</v>
      </c>
      <c r="G353" s="2">
        <v>94.9</v>
      </c>
      <c r="H353" s="2">
        <v>98.8</v>
      </c>
      <c r="I353" s="2">
        <f>+G353-H353</f>
        <v>-3.8999999999999915</v>
      </c>
      <c r="J353" s="1">
        <f>+(G353^14)/((G353^14+H353^14))</f>
        <v>0.36266067514952754</v>
      </c>
      <c r="K353" s="2">
        <v>102.7</v>
      </c>
      <c r="L353" s="2">
        <v>107.2</v>
      </c>
      <c r="M353" s="2">
        <f>+K353-L353</f>
        <v>-4.5</v>
      </c>
      <c r="N353" s="1">
        <f>+F353-J353</f>
        <v>-9.0021385641617102E-3</v>
      </c>
      <c r="O353" s="2">
        <v>101.4</v>
      </c>
      <c r="P353" s="2">
        <v>104.7</v>
      </c>
      <c r="Q353" s="2">
        <f>+O353-P353</f>
        <v>-3.2999999999999972</v>
      </c>
      <c r="R353" s="2">
        <v>-0.5</v>
      </c>
      <c r="S353" s="2">
        <v>-3.6</v>
      </c>
      <c r="T353" s="2">
        <f>+Q353-M353</f>
        <v>1.2000000000000028</v>
      </c>
    </row>
    <row r="354" spans="1:20">
      <c r="A354" s="6">
        <v>768</v>
      </c>
      <c r="B354" t="s">
        <v>66</v>
      </c>
      <c r="C354" t="s">
        <v>23</v>
      </c>
      <c r="D354">
        <v>34</v>
      </c>
      <c r="E354">
        <v>27</v>
      </c>
      <c r="F354" s="1">
        <f>+D354/(D354+E354)</f>
        <v>0.55737704918032782</v>
      </c>
      <c r="G354" s="2">
        <v>114.8</v>
      </c>
      <c r="H354" s="2">
        <v>113.7</v>
      </c>
      <c r="I354" s="2">
        <f>+G354-H354</f>
        <v>1.0999999999999943</v>
      </c>
      <c r="J354" s="1">
        <f>+(G354^14)/((G354^14+H354^14))</f>
        <v>0.53364736091127729</v>
      </c>
      <c r="K354" s="2">
        <v>113.7</v>
      </c>
      <c r="L354" s="2">
        <v>112.7</v>
      </c>
      <c r="M354" s="2">
        <f>+K354-L354</f>
        <v>1</v>
      </c>
      <c r="N354" s="1">
        <f>+F354-J354</f>
        <v>2.3729688269050531E-2</v>
      </c>
      <c r="O354" s="2">
        <v>109.6</v>
      </c>
      <c r="P354" s="2">
        <v>107.4</v>
      </c>
      <c r="Q354" s="2">
        <f>+O354-P354</f>
        <v>2.1999999999999886</v>
      </c>
      <c r="R354" s="2">
        <v>0.7</v>
      </c>
      <c r="S354" s="2">
        <v>0.4</v>
      </c>
      <c r="T354" s="2">
        <f>+Q354-M354</f>
        <v>1.1999999999999886</v>
      </c>
    </row>
    <row r="355" spans="1:20">
      <c r="A355" s="6">
        <v>320</v>
      </c>
      <c r="B355" t="s">
        <v>48</v>
      </c>
      <c r="C355" t="s">
        <v>25</v>
      </c>
      <c r="D355">
        <v>40</v>
      </c>
      <c r="E355">
        <v>42</v>
      </c>
      <c r="F355" s="1">
        <f>+D355/(D355+E355)</f>
        <v>0.48780487804878048</v>
      </c>
      <c r="G355" s="2">
        <v>105</v>
      </c>
      <c r="H355" s="2">
        <v>105.9</v>
      </c>
      <c r="I355" s="2">
        <f>+G355-H355</f>
        <v>-0.90000000000000568</v>
      </c>
      <c r="J355" s="1">
        <f>+(G355^14)/((G355^14+H355^14))</f>
        <v>0.47016333248324643</v>
      </c>
      <c r="K355" s="2">
        <v>108.6</v>
      </c>
      <c r="L355" s="2">
        <v>109.4</v>
      </c>
      <c r="M355" s="2">
        <f>+K355-L355</f>
        <v>-0.80000000000001137</v>
      </c>
      <c r="N355" s="1">
        <f>+F355-J355</f>
        <v>1.7641545565534045E-2</v>
      </c>
      <c r="O355" s="2">
        <v>106.3</v>
      </c>
      <c r="P355" s="2">
        <v>106</v>
      </c>
      <c r="Q355" s="2">
        <f>+O355-P355</f>
        <v>0.29999999999999716</v>
      </c>
      <c r="R355" s="2">
        <v>-0.1</v>
      </c>
      <c r="S355" s="2">
        <v>0</v>
      </c>
      <c r="T355" s="2">
        <f>+Q355-M355</f>
        <v>1.1000000000000085</v>
      </c>
    </row>
    <row r="356" spans="1:20">
      <c r="A356" s="6">
        <v>332</v>
      </c>
      <c r="B356" t="s">
        <v>49</v>
      </c>
      <c r="C356" t="s">
        <v>10</v>
      </c>
      <c r="D356">
        <v>36</v>
      </c>
      <c r="E356">
        <v>30</v>
      </c>
      <c r="F356" s="1">
        <f>+D356/(D356+E356)</f>
        <v>0.54545454545454541</v>
      </c>
      <c r="G356" s="2">
        <v>95.8</v>
      </c>
      <c r="H356" s="2">
        <v>94.8</v>
      </c>
      <c r="I356" s="2">
        <f>+G356-H356</f>
        <v>1</v>
      </c>
      <c r="J356" s="1">
        <f>+(G356^14)/((G356^14+H356^14))</f>
        <v>0.53666055673861812</v>
      </c>
      <c r="K356" s="2">
        <v>102.1</v>
      </c>
      <c r="L356" s="2">
        <v>100.9</v>
      </c>
      <c r="M356" s="2">
        <f>+K356-L356</f>
        <v>1.1999999999999886</v>
      </c>
      <c r="N356" s="1">
        <f>+F356-J356</f>
        <v>8.7939887159272923E-3</v>
      </c>
      <c r="O356" s="2">
        <v>101</v>
      </c>
      <c r="P356" s="2">
        <v>98.7</v>
      </c>
      <c r="Q356" s="2">
        <f>+O356-P356</f>
        <v>2.2999999999999972</v>
      </c>
      <c r="R356" s="2">
        <v>-0.6</v>
      </c>
      <c r="S356" s="2">
        <v>-0.8</v>
      </c>
      <c r="T356" s="2">
        <f>+Q356-M356</f>
        <v>1.1000000000000085</v>
      </c>
    </row>
    <row r="357" spans="1:20">
      <c r="A357" s="6">
        <v>225</v>
      </c>
      <c r="B357" t="s">
        <v>44</v>
      </c>
      <c r="C357" t="s">
        <v>37</v>
      </c>
      <c r="D357">
        <v>56</v>
      </c>
      <c r="E357">
        <v>26</v>
      </c>
      <c r="F357" s="1">
        <f>+D357/(D357+E357)</f>
        <v>0.68292682926829273</v>
      </c>
      <c r="G357" s="2">
        <v>100.9</v>
      </c>
      <c r="H357" s="2">
        <v>95.6</v>
      </c>
      <c r="I357" s="2">
        <f>+G357-H357</f>
        <v>5.3000000000000114</v>
      </c>
      <c r="J357" s="1">
        <f>+(G357^14)/((G357^14+H357^14))</f>
        <v>0.68035408366862116</v>
      </c>
      <c r="K357" s="2">
        <v>110</v>
      </c>
      <c r="L357" s="2">
        <v>104.4</v>
      </c>
      <c r="M357" s="2">
        <f>+K357-L357</f>
        <v>5.5999999999999943</v>
      </c>
      <c r="N357" s="1">
        <f>+F357-J357</f>
        <v>2.5727455996715776E-3</v>
      </c>
      <c r="O357" s="2">
        <v>105.2</v>
      </c>
      <c r="P357" s="2">
        <v>98.5</v>
      </c>
      <c r="Q357" s="2">
        <f>+O357-P357</f>
        <v>6.7000000000000028</v>
      </c>
      <c r="R357" s="2">
        <v>1.4</v>
      </c>
      <c r="S357" s="2">
        <v>8.3000000000000007</v>
      </c>
      <c r="T357" s="2">
        <f>+Q357-M357</f>
        <v>1.1000000000000085</v>
      </c>
    </row>
    <row r="358" spans="1:20">
      <c r="A358" s="6">
        <v>556</v>
      </c>
      <c r="B358" t="s">
        <v>59</v>
      </c>
      <c r="C358" t="s">
        <v>22</v>
      </c>
      <c r="D358">
        <v>17</v>
      </c>
      <c r="E358">
        <v>65</v>
      </c>
      <c r="F358" s="1">
        <f>+D358/(D358+E358)</f>
        <v>0.2073170731707317</v>
      </c>
      <c r="G358" s="2">
        <v>104.6</v>
      </c>
      <c r="H358" s="2">
        <v>113.8</v>
      </c>
      <c r="I358" s="2">
        <f>+G358-H358</f>
        <v>-9.2000000000000028</v>
      </c>
      <c r="J358" s="1">
        <f>+(G358^14)/((G358^14+H358^14))</f>
        <v>0.23501882994446718</v>
      </c>
      <c r="K358" s="2">
        <v>104</v>
      </c>
      <c r="L358" s="2">
        <v>112.9</v>
      </c>
      <c r="M358" s="2">
        <f>+K358-L358</f>
        <v>-8.9000000000000057</v>
      </c>
      <c r="N358" s="1">
        <f>+F358-J358</f>
        <v>-2.7701756773735486E-2</v>
      </c>
      <c r="O358" s="2">
        <v>103</v>
      </c>
      <c r="P358" s="2">
        <v>110.8</v>
      </c>
      <c r="Q358" s="2">
        <f>+O358-P358</f>
        <v>-7.7999999999999972</v>
      </c>
      <c r="R358" s="2">
        <v>-1.1000000000000001</v>
      </c>
      <c r="S358" s="2">
        <v>-3.5</v>
      </c>
      <c r="T358" s="2">
        <f>+Q358-M358</f>
        <v>1.1000000000000085</v>
      </c>
    </row>
    <row r="359" spans="1:20">
      <c r="A359" s="6">
        <v>37</v>
      </c>
      <c r="B359" t="s">
        <v>34</v>
      </c>
      <c r="C359" t="s">
        <v>12</v>
      </c>
      <c r="D359">
        <v>50</v>
      </c>
      <c r="E359">
        <v>32</v>
      </c>
      <c r="F359" s="1">
        <f>+D359/(D359+E359)</f>
        <v>0.6097560975609756</v>
      </c>
      <c r="G359" s="2">
        <v>94.3</v>
      </c>
      <c r="H359" s="2">
        <v>92.2</v>
      </c>
      <c r="I359" s="2">
        <f>+G359-H359</f>
        <v>2.0999999999999943</v>
      </c>
      <c r="J359" s="1">
        <f>+(G359^14)/((G359^14+H359^14))</f>
        <v>0.57817713942580595</v>
      </c>
      <c r="K359" s="2">
        <v>103.2</v>
      </c>
      <c r="L359" s="2">
        <v>100.9</v>
      </c>
      <c r="M359" s="2">
        <f>+K359-L359</f>
        <v>2.2999999999999972</v>
      </c>
      <c r="N359" s="1">
        <f>+F359-J359</f>
        <v>3.1578958135169644E-2</v>
      </c>
      <c r="O359" s="2">
        <v>96.6</v>
      </c>
      <c r="P359" s="2">
        <v>93.2</v>
      </c>
      <c r="Q359" s="2">
        <f>+O359-P359</f>
        <v>3.3999999999999915</v>
      </c>
      <c r="R359" s="2">
        <v>1</v>
      </c>
      <c r="S359" s="2">
        <v>6.5</v>
      </c>
      <c r="T359" s="2">
        <f>+Q359-M359</f>
        <v>1.0999999999999943</v>
      </c>
    </row>
    <row r="360" spans="1:20">
      <c r="A360" s="6">
        <v>291</v>
      </c>
      <c r="B360" t="s">
        <v>47</v>
      </c>
      <c r="C360" t="s">
        <v>26</v>
      </c>
      <c r="D360">
        <v>50</v>
      </c>
      <c r="E360">
        <v>32</v>
      </c>
      <c r="F360" s="1">
        <f>+D360/(D360+E360)</f>
        <v>0.6097560975609756</v>
      </c>
      <c r="G360" s="2">
        <v>98.1</v>
      </c>
      <c r="H360" s="2">
        <v>94.8</v>
      </c>
      <c r="I360" s="2">
        <f>+G360-H360</f>
        <v>3.2999999999999972</v>
      </c>
      <c r="J360" s="1">
        <f>+(G360^14)/((G360^14+H360^14))</f>
        <v>0.61752385224098172</v>
      </c>
      <c r="K360" s="2">
        <v>109.6</v>
      </c>
      <c r="L360" s="2">
        <v>106.1</v>
      </c>
      <c r="M360" s="2">
        <f>+K360-L360</f>
        <v>3.5</v>
      </c>
      <c r="N360" s="1">
        <f>+F360-J360</f>
        <v>-7.7677546800061226E-3</v>
      </c>
      <c r="O360" s="2">
        <v>100.8</v>
      </c>
      <c r="P360" s="2">
        <v>96.2</v>
      </c>
      <c r="Q360" s="2">
        <f>+O360-P360</f>
        <v>4.5999999999999943</v>
      </c>
      <c r="R360" s="2">
        <v>0.4</v>
      </c>
      <c r="S360" s="2">
        <v>4.9000000000000004</v>
      </c>
      <c r="T360" s="2">
        <f>+Q360-M360</f>
        <v>1.0999999999999943</v>
      </c>
    </row>
    <row r="361" spans="1:20">
      <c r="A361" s="6">
        <v>405</v>
      </c>
      <c r="B361" t="s">
        <v>52</v>
      </c>
      <c r="C361" t="s">
        <v>53</v>
      </c>
      <c r="D361">
        <v>34</v>
      </c>
      <c r="E361">
        <v>48</v>
      </c>
      <c r="F361" s="1">
        <f>+D361/(D361+E361)</f>
        <v>0.41463414634146339</v>
      </c>
      <c r="G361" s="2">
        <v>99.7</v>
      </c>
      <c r="H361" s="2">
        <v>102.4</v>
      </c>
      <c r="I361" s="2">
        <f>+G361-H361</f>
        <v>-2.7000000000000028</v>
      </c>
      <c r="J361" s="1">
        <f>+(G361^14)/((G361^14+H361^14))</f>
        <v>0.40755201801637742</v>
      </c>
      <c r="K361" s="2">
        <v>106.2</v>
      </c>
      <c r="L361" s="2">
        <v>109.1</v>
      </c>
      <c r="M361" s="2">
        <f>+K361-L361</f>
        <v>-2.8999999999999915</v>
      </c>
      <c r="N361" s="1">
        <f>+F361-J361</f>
        <v>7.082128325085979E-3</v>
      </c>
      <c r="O361" s="2">
        <v>103.6</v>
      </c>
      <c r="P361" s="2">
        <v>105.4</v>
      </c>
      <c r="Q361" s="2">
        <f>+O361-P361</f>
        <v>-1.8000000000000114</v>
      </c>
      <c r="R361" s="2">
        <v>-0.2</v>
      </c>
      <c r="S361" s="2">
        <v>-0.7</v>
      </c>
      <c r="T361" s="2">
        <f>+Q361-M361</f>
        <v>1.0999999999999801</v>
      </c>
    </row>
    <row r="362" spans="1:20">
      <c r="A362" s="6">
        <v>193</v>
      </c>
      <c r="B362" t="s">
        <v>43</v>
      </c>
      <c r="C362" t="s">
        <v>20</v>
      </c>
      <c r="D362">
        <v>32</v>
      </c>
      <c r="E362">
        <v>50</v>
      </c>
      <c r="F362" s="1">
        <f>+D362/(D362+E362)</f>
        <v>0.3902439024390244</v>
      </c>
      <c r="G362" s="2">
        <v>96.1</v>
      </c>
      <c r="H362" s="2">
        <v>99.7</v>
      </c>
      <c r="I362" s="2">
        <f>+G362-H362</f>
        <v>-3.6000000000000085</v>
      </c>
      <c r="J362" s="1">
        <f>+(G362^14)/((G362^14+H362^14))</f>
        <v>0.37405280109871952</v>
      </c>
      <c r="K362" s="2">
        <v>102.4</v>
      </c>
      <c r="L362" s="2">
        <v>106.5</v>
      </c>
      <c r="M362" s="2">
        <f>+K362-L362</f>
        <v>-4.0999999999999943</v>
      </c>
      <c r="N362" s="1">
        <f>+F362-J362</f>
        <v>1.6191101340304881E-2</v>
      </c>
      <c r="O362" s="2">
        <v>98.2</v>
      </c>
      <c r="P362" s="2">
        <v>101.3</v>
      </c>
      <c r="Q362" s="2">
        <f>+O362-P362</f>
        <v>-3.0999999999999943</v>
      </c>
      <c r="R362" s="2">
        <v>0</v>
      </c>
      <c r="S362" s="2">
        <v>-1.3</v>
      </c>
      <c r="T362" s="2">
        <f>+Q362-M362</f>
        <v>1</v>
      </c>
    </row>
    <row r="363" spans="1:20">
      <c r="A363" s="6">
        <v>11</v>
      </c>
      <c r="B363" t="s">
        <v>4</v>
      </c>
      <c r="C363" t="s">
        <v>15</v>
      </c>
      <c r="D363">
        <v>41</v>
      </c>
      <c r="E363">
        <v>41</v>
      </c>
      <c r="F363" s="1">
        <f>+D363/(D363+E363)</f>
        <v>0.5</v>
      </c>
      <c r="G363" s="2">
        <v>92.6</v>
      </c>
      <c r="H363" s="2">
        <v>92.8</v>
      </c>
      <c r="I363" s="2">
        <f>+G363-H363</f>
        <v>-0.20000000000000284</v>
      </c>
      <c r="J363" s="1">
        <f>+(G363^14)/((G363^14+H363^14))</f>
        <v>0.49244933056629364</v>
      </c>
      <c r="K363" s="2">
        <v>100.3</v>
      </c>
      <c r="L363" s="2">
        <v>100.5</v>
      </c>
      <c r="M363" s="2">
        <f>+K363-L363</f>
        <v>-0.20000000000000284</v>
      </c>
      <c r="N363" s="1">
        <f>+F363-J363</f>
        <v>7.5506694337063585E-3</v>
      </c>
      <c r="O363" s="2">
        <v>93.1</v>
      </c>
      <c r="P363" s="2">
        <v>92.3</v>
      </c>
      <c r="Q363" s="2">
        <f>+O363-P363</f>
        <v>0.79999999999999716</v>
      </c>
      <c r="R363" s="2">
        <v>0</v>
      </c>
      <c r="S363" s="2">
        <v>-0.5</v>
      </c>
      <c r="T363" s="2">
        <f>+Q363-M363</f>
        <v>1</v>
      </c>
    </row>
    <row r="364" spans="1:20">
      <c r="A364" s="6">
        <v>602</v>
      </c>
      <c r="B364" t="s">
        <v>61</v>
      </c>
      <c r="C364" t="s">
        <v>9</v>
      </c>
      <c r="D364">
        <v>22</v>
      </c>
      <c r="E364">
        <v>50</v>
      </c>
      <c r="F364" s="1">
        <f>+D364/(D364+E364)</f>
        <v>0.30555555555555558</v>
      </c>
      <c r="G364" s="2">
        <v>103.8</v>
      </c>
      <c r="H364" s="2">
        <v>112.3</v>
      </c>
      <c r="I364" s="2">
        <f>+G364-H364</f>
        <v>-8.5</v>
      </c>
      <c r="J364" s="1">
        <f>+(G364^14)/((G364^14+H364^14))</f>
        <v>0.24938210026428717</v>
      </c>
      <c r="K364" s="2">
        <v>105.2</v>
      </c>
      <c r="L364" s="2">
        <v>113.5</v>
      </c>
      <c r="M364" s="2">
        <f>+K364-L364</f>
        <v>-8.2999999999999972</v>
      </c>
      <c r="N364" s="1">
        <f>+F364-J364</f>
        <v>5.6173455291268409E-2</v>
      </c>
      <c r="O364" s="2">
        <v>99.1</v>
      </c>
      <c r="P364" s="2">
        <v>106.4</v>
      </c>
      <c r="Q364" s="2">
        <f>+O364-P364</f>
        <v>-7.3000000000000114</v>
      </c>
      <c r="R364" s="2">
        <v>-1.5</v>
      </c>
      <c r="S364" s="2">
        <v>-7.7</v>
      </c>
      <c r="T364" s="2">
        <f>+Q364-M364</f>
        <v>0.99999999999998579</v>
      </c>
    </row>
    <row r="365" spans="1:20">
      <c r="A365" s="6">
        <v>290</v>
      </c>
      <c r="B365" t="s">
        <v>47</v>
      </c>
      <c r="C365" t="s">
        <v>25</v>
      </c>
      <c r="D365">
        <v>54</v>
      </c>
      <c r="E365">
        <v>28</v>
      </c>
      <c r="F365" s="1">
        <f>+D365/(D365+E365)</f>
        <v>0.65853658536585369</v>
      </c>
      <c r="G365" s="2">
        <v>110.2</v>
      </c>
      <c r="H365" s="2">
        <v>105.3</v>
      </c>
      <c r="I365" s="2">
        <f>+G365-H365</f>
        <v>4.9000000000000057</v>
      </c>
      <c r="J365" s="1">
        <f>+(G365^14)/((G365^14+H365^14))</f>
        <v>0.654022652875209</v>
      </c>
      <c r="K365" s="2">
        <v>113.9</v>
      </c>
      <c r="L365" s="2">
        <v>109.1</v>
      </c>
      <c r="M365" s="2">
        <f>+K365-L365</f>
        <v>4.8000000000000114</v>
      </c>
      <c r="N365" s="1">
        <f>+F365-J365</f>
        <v>4.5139324906446898E-3</v>
      </c>
      <c r="O365" s="2">
        <v>118.3</v>
      </c>
      <c r="P365" s="2">
        <v>112.5</v>
      </c>
      <c r="Q365" s="2">
        <f>+O365-P365</f>
        <v>5.7999999999999972</v>
      </c>
      <c r="R365" s="2">
        <v>0.8</v>
      </c>
      <c r="S365" s="2">
        <v>4.8</v>
      </c>
      <c r="T365" s="2">
        <f>+Q365-M365</f>
        <v>0.99999999999998579</v>
      </c>
    </row>
    <row r="366" spans="1:20">
      <c r="A366" s="6">
        <v>86</v>
      </c>
      <c r="B366" t="s">
        <v>36</v>
      </c>
      <c r="C366" t="s">
        <v>31</v>
      </c>
      <c r="D366">
        <v>47</v>
      </c>
      <c r="E366">
        <v>35</v>
      </c>
      <c r="F366" s="1">
        <f>+D366/(D366+E366)</f>
        <v>0.57317073170731703</v>
      </c>
      <c r="G366" s="2">
        <v>94.7</v>
      </c>
      <c r="H366" s="2">
        <v>92.3</v>
      </c>
      <c r="I366" s="2">
        <f>+G366-H366</f>
        <v>2.4000000000000057</v>
      </c>
      <c r="J366" s="1">
        <f>+(G366^14)/((G366^14+H366^14))</f>
        <v>0.58888986228470186</v>
      </c>
      <c r="K366" s="2">
        <v>103.7</v>
      </c>
      <c r="L366" s="2">
        <v>101.1</v>
      </c>
      <c r="M366" s="2">
        <f>+K366-L366</f>
        <v>2.6000000000000085</v>
      </c>
      <c r="N366" s="1">
        <f>+F366-J366</f>
        <v>-1.5719130577384832E-2</v>
      </c>
      <c r="O366" s="2">
        <v>102.6</v>
      </c>
      <c r="P366" s="2">
        <v>99</v>
      </c>
      <c r="Q366" s="2">
        <f>+O366-P366</f>
        <v>3.5999999999999943</v>
      </c>
      <c r="R366" s="2">
        <v>0.3</v>
      </c>
      <c r="S366" s="2">
        <v>1.9</v>
      </c>
      <c r="T366" s="2">
        <f>+Q366-M366</f>
        <v>0.99999999999998579</v>
      </c>
    </row>
    <row r="367" spans="1:20">
      <c r="A367" s="6">
        <v>58</v>
      </c>
      <c r="B367" t="s">
        <v>34</v>
      </c>
      <c r="C367" t="s">
        <v>33</v>
      </c>
      <c r="D367">
        <v>37</v>
      </c>
      <c r="E367">
        <v>45</v>
      </c>
      <c r="F367" s="1">
        <f>+D367/(D367+E367)</f>
        <v>0.45121951219512196</v>
      </c>
      <c r="G367" s="2">
        <v>92.8</v>
      </c>
      <c r="H367" s="2">
        <v>94.2</v>
      </c>
      <c r="I367" s="2">
        <f>+G367-H367</f>
        <v>-1.4000000000000057</v>
      </c>
      <c r="J367" s="1">
        <f>+(G367^14)/((G367^14+H367^14))</f>
        <v>0.4477836824349537</v>
      </c>
      <c r="K367" s="2">
        <v>102.9</v>
      </c>
      <c r="L367" s="2">
        <v>104.5</v>
      </c>
      <c r="M367" s="2">
        <f>+K367-L367</f>
        <v>-1.5999999999999943</v>
      </c>
      <c r="N367" s="1">
        <f>+F367-J367</f>
        <v>3.435829760168263E-3</v>
      </c>
      <c r="O367" s="2">
        <v>100.3</v>
      </c>
      <c r="P367" s="2">
        <v>101</v>
      </c>
      <c r="Q367" s="2">
        <f>+O367-P367</f>
        <v>-0.70000000000000284</v>
      </c>
      <c r="R367" s="2">
        <v>-0.4</v>
      </c>
      <c r="S367" s="2">
        <v>-0.7</v>
      </c>
      <c r="T367" s="2">
        <f>+Q367-M367</f>
        <v>0.89999999999999147</v>
      </c>
    </row>
    <row r="368" spans="1:20">
      <c r="A368" s="6">
        <v>270</v>
      </c>
      <c r="B368" t="s">
        <v>47</v>
      </c>
      <c r="C368" t="s">
        <v>8</v>
      </c>
      <c r="D368">
        <v>41</v>
      </c>
      <c r="E368">
        <v>41</v>
      </c>
      <c r="F368" s="1">
        <f>+D368/(D368+E368)</f>
        <v>0.5</v>
      </c>
      <c r="G368" s="2">
        <v>97.5</v>
      </c>
      <c r="H368" s="2">
        <v>99.1</v>
      </c>
      <c r="I368" s="2">
        <f>+G368-H368</f>
        <v>-1.5999999999999943</v>
      </c>
      <c r="J368" s="1">
        <f>+(G368^14)/((G368^14+H368^14))</f>
        <v>0.44327553553702231</v>
      </c>
      <c r="K368" s="2">
        <v>102.6</v>
      </c>
      <c r="L368" s="2">
        <v>104.2</v>
      </c>
      <c r="M368" s="2">
        <f>+K368-L368</f>
        <v>-1.6000000000000085</v>
      </c>
      <c r="N368" s="1">
        <f>+F368-J368</f>
        <v>5.6724464462977686E-2</v>
      </c>
      <c r="O368" s="2">
        <v>97.2</v>
      </c>
      <c r="P368" s="2">
        <v>98</v>
      </c>
      <c r="Q368" s="2">
        <f>+O368-P368</f>
        <v>-0.79999999999999716</v>
      </c>
      <c r="R368" s="2">
        <v>-0.3</v>
      </c>
      <c r="S368" s="2">
        <v>-1.5</v>
      </c>
      <c r="T368" s="2">
        <f>+Q368-M368</f>
        <v>0.80000000000001137</v>
      </c>
    </row>
    <row r="369" spans="1:20">
      <c r="A369" s="6">
        <v>559</v>
      </c>
      <c r="B369" t="s">
        <v>59</v>
      </c>
      <c r="C369" t="s">
        <v>24</v>
      </c>
      <c r="D369">
        <v>51</v>
      </c>
      <c r="E369">
        <v>31</v>
      </c>
      <c r="F369" s="1">
        <f>+D369/(D369+E369)</f>
        <v>0.62195121951219512</v>
      </c>
      <c r="G369" s="2">
        <v>115.2</v>
      </c>
      <c r="H369" s="2">
        <v>112.5</v>
      </c>
      <c r="I369" s="2">
        <f>+G369-H369</f>
        <v>2.7000000000000028</v>
      </c>
      <c r="J369" s="1">
        <f>+(G369^14)/((G369^14+H369^14))</f>
        <v>0.58225355885206587</v>
      </c>
      <c r="K369" s="2">
        <v>111.6</v>
      </c>
      <c r="L369" s="2">
        <v>109</v>
      </c>
      <c r="M369" s="2">
        <f>+K369-L369</f>
        <v>2.5999999999999943</v>
      </c>
      <c r="N369" s="1">
        <f>+F369-J369</f>
        <v>3.9697660660129253E-2</v>
      </c>
      <c r="O369" s="2">
        <v>109.5</v>
      </c>
      <c r="P369" s="2">
        <v>106.1</v>
      </c>
      <c r="Q369" s="2">
        <f>+O369-P369</f>
        <v>3.4000000000000057</v>
      </c>
      <c r="R369" s="2">
        <v>-0.1</v>
      </c>
      <c r="S369" s="2">
        <v>2.5</v>
      </c>
      <c r="T369" s="2">
        <f>+Q369-M369</f>
        <v>0.80000000000001137</v>
      </c>
    </row>
    <row r="370" spans="1:20">
      <c r="A370" s="6">
        <v>746</v>
      </c>
      <c r="B370" t="s">
        <v>65</v>
      </c>
      <c r="C370" t="s">
        <v>33</v>
      </c>
      <c r="D370">
        <v>18</v>
      </c>
      <c r="E370">
        <v>64</v>
      </c>
      <c r="F370" s="1">
        <f>+D370/(D370+E370)</f>
        <v>0.21951219512195122</v>
      </c>
      <c r="G370" s="2">
        <v>108</v>
      </c>
      <c r="H370" s="2">
        <v>120.4</v>
      </c>
      <c r="I370" s="2">
        <f>+G370-H370</f>
        <v>-12.400000000000006</v>
      </c>
      <c r="J370" s="1">
        <f>+(G370^14)/((G370^14+H370^14))</f>
        <v>0.17922069515019554</v>
      </c>
      <c r="K370" s="2">
        <v>105.8</v>
      </c>
      <c r="L370" s="2">
        <v>118</v>
      </c>
      <c r="M370" s="2">
        <f>+K370-L370</f>
        <v>-12.200000000000003</v>
      </c>
      <c r="N370" s="1">
        <f>+F370-J370</f>
        <v>4.0291499971755684E-2</v>
      </c>
      <c r="O370" s="2">
        <v>102.8</v>
      </c>
      <c r="P370" s="2">
        <v>114.2</v>
      </c>
      <c r="Q370" s="2">
        <f>+O370-P370</f>
        <v>-11.400000000000006</v>
      </c>
      <c r="R370" s="2">
        <v>-2</v>
      </c>
      <c r="S370" s="2">
        <v>-10.1</v>
      </c>
      <c r="T370" s="2">
        <f>+Q370-M370</f>
        <v>0.79999999999999716</v>
      </c>
    </row>
    <row r="371" spans="1:20">
      <c r="A371" s="6">
        <v>303</v>
      </c>
      <c r="B371" t="s">
        <v>48</v>
      </c>
      <c r="C371" t="s">
        <v>11</v>
      </c>
      <c r="D371">
        <v>50</v>
      </c>
      <c r="E371">
        <v>32</v>
      </c>
      <c r="F371" s="1">
        <f>+D371/(D371+E371)</f>
        <v>0.6097560975609756</v>
      </c>
      <c r="G371" s="2">
        <v>107.5</v>
      </c>
      <c r="H371" s="2">
        <v>102.7</v>
      </c>
      <c r="I371" s="2">
        <f>+G371-H371</f>
        <v>4.7999999999999972</v>
      </c>
      <c r="J371" s="1">
        <f>+(G371^14)/((G371^14+H371^14))</f>
        <v>0.65464093009494817</v>
      </c>
      <c r="K371" s="2">
        <v>111.7</v>
      </c>
      <c r="L371" s="2">
        <v>106.8</v>
      </c>
      <c r="M371" s="2">
        <f>+K371-L371</f>
        <v>4.9000000000000057</v>
      </c>
      <c r="N371" s="1">
        <f>+F371-J371</f>
        <v>-4.4884832533972574E-2</v>
      </c>
      <c r="O371" s="2">
        <v>107.4</v>
      </c>
      <c r="P371" s="2">
        <v>101.7</v>
      </c>
      <c r="Q371" s="2">
        <f>+O371-P371</f>
        <v>5.7000000000000028</v>
      </c>
      <c r="R371" s="2">
        <v>0.8</v>
      </c>
      <c r="S371" s="2">
        <v>3.3</v>
      </c>
      <c r="T371" s="2">
        <f>+Q371-M371</f>
        <v>0.79999999999999716</v>
      </c>
    </row>
    <row r="372" spans="1:20">
      <c r="A372" s="6">
        <v>227</v>
      </c>
      <c r="B372" t="s">
        <v>44</v>
      </c>
      <c r="C372" t="s">
        <v>23</v>
      </c>
      <c r="D372">
        <v>52</v>
      </c>
      <c r="E372">
        <v>30</v>
      </c>
      <c r="F372" s="1">
        <f>+D372/(D372+E372)</f>
        <v>0.63414634146341464</v>
      </c>
      <c r="G372" s="2">
        <v>104.5</v>
      </c>
      <c r="H372" s="2">
        <v>99</v>
      </c>
      <c r="I372" s="2">
        <f>+G372-H372</f>
        <v>5.5</v>
      </c>
      <c r="J372" s="1">
        <f>+(G372^14)/((G372^14+H372^14))</f>
        <v>0.68068924490801519</v>
      </c>
      <c r="K372" s="2">
        <v>110.4</v>
      </c>
      <c r="L372" s="2">
        <v>104.9</v>
      </c>
      <c r="M372" s="2">
        <f>+K372-L372</f>
        <v>5.5</v>
      </c>
      <c r="N372" s="1">
        <f>+F372-J372</f>
        <v>-4.6542903444600547E-2</v>
      </c>
      <c r="O372" s="2">
        <v>109.5</v>
      </c>
      <c r="P372" s="2">
        <v>103.2</v>
      </c>
      <c r="Q372" s="2">
        <f>+O372-P372</f>
        <v>6.2999999999999972</v>
      </c>
      <c r="R372" s="2">
        <v>1.3</v>
      </c>
      <c r="S372" s="2">
        <v>6.5</v>
      </c>
      <c r="T372" s="2">
        <f>+Q372-M372</f>
        <v>0.79999999999999716</v>
      </c>
    </row>
    <row r="373" spans="1:20">
      <c r="A373" s="6">
        <v>314</v>
      </c>
      <c r="B373" t="s">
        <v>48</v>
      </c>
      <c r="C373" t="s">
        <v>21</v>
      </c>
      <c r="D373">
        <v>24</v>
      </c>
      <c r="E373">
        <v>58</v>
      </c>
      <c r="F373" s="1">
        <f>+D373/(D373+E373)</f>
        <v>0.29268292682926828</v>
      </c>
      <c r="G373" s="2">
        <v>94.2</v>
      </c>
      <c r="H373" s="2">
        <v>100.4</v>
      </c>
      <c r="I373" s="2">
        <f>+G373-H373</f>
        <v>-6.2000000000000028</v>
      </c>
      <c r="J373" s="1">
        <f>+(G373^14)/((G373^14+H373^14))</f>
        <v>0.29061719989236251</v>
      </c>
      <c r="K373" s="2">
        <v>102.1</v>
      </c>
      <c r="L373" s="2">
        <v>108.9</v>
      </c>
      <c r="M373" s="2">
        <f>+K373-L373</f>
        <v>-6.8000000000000114</v>
      </c>
      <c r="N373" s="1">
        <f>+F373-J373</f>
        <v>2.0657269369057651E-3</v>
      </c>
      <c r="O373" s="2">
        <v>100.5</v>
      </c>
      <c r="P373" s="2">
        <v>106.6</v>
      </c>
      <c r="Q373" s="2">
        <f>+O373-P373</f>
        <v>-6.0999999999999943</v>
      </c>
      <c r="R373" s="2">
        <v>-0.4</v>
      </c>
      <c r="S373" s="2">
        <v>-3</v>
      </c>
      <c r="T373" s="2">
        <f>+Q373-M373</f>
        <v>0.70000000000001705</v>
      </c>
    </row>
    <row r="374" spans="1:20">
      <c r="A374" s="6">
        <v>280</v>
      </c>
      <c r="B374" t="s">
        <v>47</v>
      </c>
      <c r="C374" t="s">
        <v>35</v>
      </c>
      <c r="D374">
        <v>40</v>
      </c>
      <c r="E374">
        <v>42</v>
      </c>
      <c r="F374" s="1">
        <f>+D374/(D374+E374)</f>
        <v>0.48780487804878048</v>
      </c>
      <c r="G374" s="2">
        <v>102.5</v>
      </c>
      <c r="H374" s="2">
        <v>104</v>
      </c>
      <c r="I374" s="2">
        <f>+G374-H374</f>
        <v>-1.5</v>
      </c>
      <c r="J374" s="1">
        <f>+(G374^14)/((G374^14+H374^14))</f>
        <v>0.44932622081798346</v>
      </c>
      <c r="K374" s="2">
        <v>107.5</v>
      </c>
      <c r="L374" s="2">
        <v>109</v>
      </c>
      <c r="M374" s="2">
        <f>+K374-L374</f>
        <v>-1.5</v>
      </c>
      <c r="N374" s="1">
        <f>+F374-J374</f>
        <v>3.847865723079702E-2</v>
      </c>
      <c r="O374" s="2">
        <v>98.2</v>
      </c>
      <c r="P374" s="2">
        <v>99</v>
      </c>
      <c r="Q374" s="2">
        <f>+O374-P374</f>
        <v>-0.79999999999999716</v>
      </c>
      <c r="R374" s="2">
        <v>-1.5</v>
      </c>
      <c r="S374" s="2">
        <v>-7</v>
      </c>
      <c r="T374" s="2">
        <f>+Q374-M374</f>
        <v>0.70000000000000284</v>
      </c>
    </row>
    <row r="375" spans="1:20">
      <c r="A375" s="6">
        <v>604</v>
      </c>
      <c r="B375" t="s">
        <v>61</v>
      </c>
      <c r="C375" t="s">
        <v>11</v>
      </c>
      <c r="D375">
        <v>47</v>
      </c>
      <c r="E375">
        <v>25</v>
      </c>
      <c r="F375" s="1">
        <f>+D375/(D375+E375)</f>
        <v>0.65277777777777779</v>
      </c>
      <c r="G375" s="2">
        <v>115.1</v>
      </c>
      <c r="H375" s="2">
        <v>110.1</v>
      </c>
      <c r="I375" s="2">
        <f>+G375-H375</f>
        <v>5</v>
      </c>
      <c r="J375" s="1">
        <f>+(G375^14)/((G375^14+H375^14))</f>
        <v>0.65062141130812434</v>
      </c>
      <c r="K375" s="2">
        <v>116.3</v>
      </c>
      <c r="L375" s="2">
        <v>111.5</v>
      </c>
      <c r="M375" s="2">
        <f>+K375-L375</f>
        <v>4.7999999999999972</v>
      </c>
      <c r="N375" s="1">
        <f>+F375-J375</f>
        <v>2.1563664696534479E-3</v>
      </c>
      <c r="O375" s="2">
        <v>114.4</v>
      </c>
      <c r="P375" s="2">
        <v>109</v>
      </c>
      <c r="Q375" s="2">
        <f>+O375-P375</f>
        <v>5.4000000000000057</v>
      </c>
      <c r="R375" s="2">
        <v>0.7</v>
      </c>
      <c r="S375" s="2">
        <v>1.9</v>
      </c>
      <c r="T375" s="2">
        <f>+Q375-M375</f>
        <v>0.60000000000000853</v>
      </c>
    </row>
    <row r="376" spans="1:20">
      <c r="A376" s="6">
        <v>13</v>
      </c>
      <c r="B376" t="s">
        <v>4</v>
      </c>
      <c r="C376" t="s">
        <v>17</v>
      </c>
      <c r="D376">
        <v>56</v>
      </c>
      <c r="E376">
        <v>26</v>
      </c>
      <c r="F376" s="1">
        <f>+D376/(D376+E376)</f>
        <v>0.68292682926829273</v>
      </c>
      <c r="G376" s="2">
        <v>100.6</v>
      </c>
      <c r="H376" s="2">
        <v>97.2</v>
      </c>
      <c r="I376" s="2">
        <f>+G376-H376</f>
        <v>3.3999999999999915</v>
      </c>
      <c r="J376" s="1">
        <f>+(G376^14)/((G376^14+H376^14))</f>
        <v>0.61806463503344422</v>
      </c>
      <c r="K376" s="2">
        <v>107</v>
      </c>
      <c r="L376" s="2">
        <v>103.6</v>
      </c>
      <c r="M376" s="2">
        <f>+K376-L376</f>
        <v>3.4000000000000057</v>
      </c>
      <c r="N376" s="1">
        <f>+F376-J376</f>
        <v>6.4862194234848514E-2</v>
      </c>
      <c r="O376" s="2">
        <v>103.2</v>
      </c>
      <c r="P376" s="2">
        <v>99.2</v>
      </c>
      <c r="Q376" s="2">
        <f>+O376-P376</f>
        <v>4</v>
      </c>
      <c r="R376" s="2">
        <v>-1</v>
      </c>
      <c r="S376" s="2">
        <v>-3.3</v>
      </c>
      <c r="T376" s="2">
        <f>+Q376-M376</f>
        <v>0.59999999999999432</v>
      </c>
    </row>
    <row r="377" spans="1:20">
      <c r="A377" s="6">
        <v>36</v>
      </c>
      <c r="B377" t="s">
        <v>34</v>
      </c>
      <c r="C377" t="s">
        <v>11</v>
      </c>
      <c r="D377">
        <v>27</v>
      </c>
      <c r="E377">
        <v>55</v>
      </c>
      <c r="F377" s="1">
        <f>+D377/(D377+E377)</f>
        <v>0.32926829268292684</v>
      </c>
      <c r="G377" s="2">
        <v>92.2</v>
      </c>
      <c r="H377" s="2">
        <v>98</v>
      </c>
      <c r="I377" s="2">
        <f>+G377-H377</f>
        <v>-5.7999999999999972</v>
      </c>
      <c r="J377" s="1">
        <f>+(G377^14)/((G377^14+H377^14))</f>
        <v>0.29857289504453155</v>
      </c>
      <c r="K377" s="2">
        <v>100.3</v>
      </c>
      <c r="L377" s="2">
        <v>106.6</v>
      </c>
      <c r="M377" s="2">
        <f>+K377-L377</f>
        <v>-6.2999999999999972</v>
      </c>
      <c r="N377" s="1">
        <f>+F377-J377</f>
        <v>3.0695397638395294E-2</v>
      </c>
      <c r="O377" s="2">
        <v>89.7</v>
      </c>
      <c r="P377" s="2">
        <v>95.4</v>
      </c>
      <c r="Q377" s="2">
        <f>+O377-P377</f>
        <v>-5.7000000000000028</v>
      </c>
      <c r="R377" s="2">
        <v>0.1</v>
      </c>
      <c r="S377" s="2">
        <v>-1.8</v>
      </c>
      <c r="T377" s="2">
        <f>+Q377-M377</f>
        <v>0.59999999999999432</v>
      </c>
    </row>
    <row r="378" spans="1:20">
      <c r="A378" s="6">
        <v>436</v>
      </c>
      <c r="B378" t="s">
        <v>54</v>
      </c>
      <c r="C378" t="s">
        <v>22</v>
      </c>
      <c r="D378">
        <v>17</v>
      </c>
      <c r="E378">
        <v>65</v>
      </c>
      <c r="F378" s="1">
        <f>+D378/(D378+E378)</f>
        <v>0.2073170731707317</v>
      </c>
      <c r="G378" s="2">
        <v>91.9</v>
      </c>
      <c r="H378" s="2">
        <v>101.2</v>
      </c>
      <c r="I378" s="2">
        <f>+G378-H378</f>
        <v>-9.2999999999999972</v>
      </c>
      <c r="J378" s="1">
        <f>+(G378^14)/((G378^14+H378^14))</f>
        <v>0.20594097725423322</v>
      </c>
      <c r="K378" s="2">
        <v>98.9</v>
      </c>
      <c r="L378" s="2">
        <v>109</v>
      </c>
      <c r="M378" s="2">
        <f>+K378-L378</f>
        <v>-10.099999999999994</v>
      </c>
      <c r="N378" s="1">
        <f>+F378-J378</f>
        <v>1.3760959164984821E-3</v>
      </c>
      <c r="O378" s="2">
        <v>91.9</v>
      </c>
      <c r="P378" s="2">
        <v>101.5</v>
      </c>
      <c r="Q378" s="2">
        <f>+O378-P378</f>
        <v>-9.5999999999999943</v>
      </c>
      <c r="R378" s="2">
        <v>0.6</v>
      </c>
      <c r="S378" s="2">
        <v>1.6</v>
      </c>
      <c r="T378" s="2">
        <f>+Q378-M378</f>
        <v>0.5</v>
      </c>
    </row>
    <row r="379" spans="1:20">
      <c r="A379" s="6">
        <v>660</v>
      </c>
      <c r="B379" t="s">
        <v>63</v>
      </c>
      <c r="C379" t="s">
        <v>7</v>
      </c>
      <c r="D379">
        <v>27</v>
      </c>
      <c r="E379">
        <v>55</v>
      </c>
      <c r="F379" s="1">
        <f>+D379/(D379+E379)</f>
        <v>0.32926829268292684</v>
      </c>
      <c r="G379" s="2">
        <v>111</v>
      </c>
      <c r="H379" s="2">
        <v>117.2</v>
      </c>
      <c r="I379" s="2">
        <f>+G379-H379</f>
        <v>-6.2000000000000028</v>
      </c>
      <c r="J379" s="1">
        <f>+(G379^14)/((G379^14+H379^14))</f>
        <v>0.31844580628258201</v>
      </c>
      <c r="K379" s="2">
        <v>108.4</v>
      </c>
      <c r="L379" s="2">
        <v>114.7</v>
      </c>
      <c r="M379" s="2">
        <f>+K379-L379</f>
        <v>-6.2999999999999972</v>
      </c>
      <c r="N379" s="1">
        <f>+F379-J379</f>
        <v>1.0822486400344833E-2</v>
      </c>
      <c r="O379" s="2">
        <v>108.6</v>
      </c>
      <c r="P379" s="2">
        <v>114.4</v>
      </c>
      <c r="Q379" s="2">
        <f>+O379-P379</f>
        <v>-5.8000000000000114</v>
      </c>
      <c r="R379" s="2">
        <v>-0.3</v>
      </c>
      <c r="S379" s="2">
        <v>-3</v>
      </c>
      <c r="T379" s="2">
        <f>+Q379-M379</f>
        <v>0.49999999999998579</v>
      </c>
    </row>
    <row r="380" spans="1:20">
      <c r="A380" s="6">
        <v>2</v>
      </c>
      <c r="B380" t="s">
        <v>4</v>
      </c>
      <c r="C380" t="s">
        <v>6</v>
      </c>
      <c r="D380">
        <v>36</v>
      </c>
      <c r="E380">
        <v>46</v>
      </c>
      <c r="F380" s="1">
        <f>+D380/(D380+E380)</f>
        <v>0.43902439024390244</v>
      </c>
      <c r="G380" s="2">
        <v>94.6</v>
      </c>
      <c r="H380" s="2">
        <v>96.8</v>
      </c>
      <c r="I380" s="2">
        <f>+G380-H380</f>
        <v>-2.2000000000000028</v>
      </c>
      <c r="J380" s="1">
        <f>+(G380^14)/((G380^14+H380^14))</f>
        <v>0.42022416188672446</v>
      </c>
      <c r="K380" s="2">
        <v>100.1</v>
      </c>
      <c r="L380" s="2">
        <v>102.3</v>
      </c>
      <c r="M380" s="2">
        <f>+K380-L380</f>
        <v>-2.2000000000000028</v>
      </c>
      <c r="N380" s="1">
        <f>+F380-J380</f>
        <v>1.8800228357177984E-2</v>
      </c>
      <c r="O380" s="2">
        <v>95.1</v>
      </c>
      <c r="P380" s="2">
        <v>96.9</v>
      </c>
      <c r="Q380" s="2">
        <f>+O380-P380</f>
        <v>-1.8000000000000114</v>
      </c>
      <c r="R380" s="2">
        <v>-0.8</v>
      </c>
      <c r="S380" s="2">
        <v>-3.9</v>
      </c>
      <c r="T380" s="2">
        <f>+Q380-M380</f>
        <v>0.39999999999999147</v>
      </c>
    </row>
    <row r="381" spans="1:20">
      <c r="A381" s="6">
        <v>62</v>
      </c>
      <c r="B381" t="s">
        <v>36</v>
      </c>
      <c r="C381" t="s">
        <v>9</v>
      </c>
      <c r="D381">
        <v>17</v>
      </c>
      <c r="E381">
        <v>65</v>
      </c>
      <c r="F381" s="1">
        <f>+D381/(D381+E381)</f>
        <v>0.2073170731707317</v>
      </c>
      <c r="G381" s="2">
        <v>91.4</v>
      </c>
      <c r="H381" s="2">
        <v>101</v>
      </c>
      <c r="I381" s="2">
        <f>+G381-H381</f>
        <v>-9.5999999999999943</v>
      </c>
      <c r="J381" s="1">
        <f>+(G381^14)/((G381^14+H381^14))</f>
        <v>0.19809387151453933</v>
      </c>
      <c r="K381" s="2">
        <v>95.2</v>
      </c>
      <c r="L381" s="2">
        <v>105.1</v>
      </c>
      <c r="M381" s="2">
        <f>+K381-L381</f>
        <v>-9.8999999999999915</v>
      </c>
      <c r="N381" s="1">
        <f>+F381-J381</f>
        <v>9.2232016561923647E-3</v>
      </c>
      <c r="O381" s="2">
        <v>86.6</v>
      </c>
      <c r="P381" s="2">
        <v>96.1</v>
      </c>
      <c r="Q381" s="2">
        <f>+O381-P381</f>
        <v>-9.5</v>
      </c>
      <c r="R381" s="2">
        <v>-0.2</v>
      </c>
      <c r="S381" s="2">
        <v>-2.7</v>
      </c>
      <c r="T381" s="2">
        <f>+Q381-M381</f>
        <v>0.39999999999999147</v>
      </c>
    </row>
    <row r="382" spans="1:20">
      <c r="A382" s="6">
        <v>377</v>
      </c>
      <c r="B382" t="s">
        <v>50</v>
      </c>
      <c r="C382" t="s">
        <v>46</v>
      </c>
      <c r="D382">
        <v>60</v>
      </c>
      <c r="E382">
        <v>22</v>
      </c>
      <c r="F382" s="1">
        <f>+D382/(D382+E382)</f>
        <v>0.73170731707317072</v>
      </c>
      <c r="G382" s="2">
        <v>105.7</v>
      </c>
      <c r="H382" s="2">
        <v>96.5</v>
      </c>
      <c r="I382" s="2">
        <f>+G382-H382</f>
        <v>9.2000000000000028</v>
      </c>
      <c r="J382" s="1">
        <f>+(G382^14)/((G382^14+H382^14))</f>
        <v>0.78157465431369377</v>
      </c>
      <c r="K382" s="2">
        <v>111</v>
      </c>
      <c r="L382" s="2">
        <v>101.2</v>
      </c>
      <c r="M382" s="2">
        <f>+K382-L382</f>
        <v>9.7999999999999972</v>
      </c>
      <c r="N382" s="1">
        <f>+F382-J382</f>
        <v>-4.9867337240523057E-2</v>
      </c>
      <c r="O382" s="2">
        <v>108.7</v>
      </c>
      <c r="P382" s="2">
        <v>98.6</v>
      </c>
      <c r="Q382" s="2">
        <f>+O382-P382</f>
        <v>10.100000000000009</v>
      </c>
      <c r="R382" s="2">
        <v>1</v>
      </c>
      <c r="S382" s="2">
        <v>7</v>
      </c>
      <c r="T382" s="2">
        <f>+Q382-M382</f>
        <v>0.30000000000001137</v>
      </c>
    </row>
    <row r="383" spans="1:20">
      <c r="A383" s="6">
        <v>449</v>
      </c>
      <c r="B383" t="s">
        <v>55</v>
      </c>
      <c r="C383" t="s">
        <v>51</v>
      </c>
      <c r="D383">
        <v>21</v>
      </c>
      <c r="E383">
        <v>61</v>
      </c>
      <c r="F383" s="1">
        <f>+D383/(D383+E383)</f>
        <v>0.25609756097560976</v>
      </c>
      <c r="G383" s="2">
        <v>98.6</v>
      </c>
      <c r="H383" s="2">
        <v>106</v>
      </c>
      <c r="I383" s="2">
        <f>+G383-H383</f>
        <v>-7.4000000000000057</v>
      </c>
      <c r="J383" s="1">
        <f>+(G383^14)/((G383^14+H383^14))</f>
        <v>0.26636391076495491</v>
      </c>
      <c r="K383" s="2">
        <v>102.4</v>
      </c>
      <c r="L383" s="2">
        <v>109.7</v>
      </c>
      <c r="M383" s="2">
        <f>+K383-L383</f>
        <v>-7.2999999999999972</v>
      </c>
      <c r="N383" s="1">
        <f>+F383-J383</f>
        <v>-1.0266349789345153E-2</v>
      </c>
      <c r="O383" s="2">
        <v>96.9</v>
      </c>
      <c r="P383" s="2">
        <v>104</v>
      </c>
      <c r="Q383" s="2">
        <f>+O383-P383</f>
        <v>-7.0999999999999943</v>
      </c>
      <c r="R383" s="2">
        <v>-1.8</v>
      </c>
      <c r="S383" s="2">
        <v>-8</v>
      </c>
      <c r="T383" s="2">
        <f>+Q383-M383</f>
        <v>0.20000000000000284</v>
      </c>
    </row>
    <row r="384" spans="1:20">
      <c r="A384" s="6">
        <v>261</v>
      </c>
      <c r="B384" t="s">
        <v>45</v>
      </c>
      <c r="C384" t="s">
        <v>26</v>
      </c>
      <c r="D384">
        <v>54</v>
      </c>
      <c r="E384">
        <v>28</v>
      </c>
      <c r="F384" s="1">
        <f>+D384/(D384+E384)</f>
        <v>0.65853658536585369</v>
      </c>
      <c r="G384" s="2">
        <v>99.4</v>
      </c>
      <c r="H384" s="2">
        <v>94.1</v>
      </c>
      <c r="I384" s="2">
        <f>+G384-H384</f>
        <v>5.3000000000000114</v>
      </c>
      <c r="J384" s="1">
        <f>+(G384^14)/((G384^14+H384^14))</f>
        <v>0.68289690002087911</v>
      </c>
      <c r="K384" s="2">
        <v>112.1</v>
      </c>
      <c r="L384" s="2">
        <v>106.1</v>
      </c>
      <c r="M384" s="2">
        <f>+K384-L384</f>
        <v>6</v>
      </c>
      <c r="N384" s="1">
        <f>+F384-J384</f>
        <v>-2.4360314655025417E-2</v>
      </c>
      <c r="O384" s="2">
        <v>104</v>
      </c>
      <c r="P384" s="2">
        <v>97.8</v>
      </c>
      <c r="Q384" s="2">
        <f>+O384-P384</f>
        <v>6.2000000000000028</v>
      </c>
      <c r="R384" s="2">
        <v>2.5</v>
      </c>
      <c r="S384" s="2">
        <v>12.3</v>
      </c>
      <c r="T384" s="2">
        <f>+Q384-M384</f>
        <v>0.20000000000000284</v>
      </c>
    </row>
    <row r="385" spans="1:20">
      <c r="A385" s="6">
        <v>146</v>
      </c>
      <c r="B385" t="s">
        <v>39</v>
      </c>
      <c r="C385" t="s">
        <v>33</v>
      </c>
      <c r="D385">
        <v>45</v>
      </c>
      <c r="E385">
        <v>37</v>
      </c>
      <c r="F385" s="1">
        <f>+D385/(D385+E385)</f>
        <v>0.54878048780487809</v>
      </c>
      <c r="G385" s="2">
        <v>100.5</v>
      </c>
      <c r="H385" s="2">
        <v>100.8</v>
      </c>
      <c r="I385" s="2">
        <f>+G385-H385</f>
        <v>-0.29999999999999716</v>
      </c>
      <c r="J385" s="1">
        <f>+(G385^14)/((G385^14+H385^14))</f>
        <v>0.48956931504516038</v>
      </c>
      <c r="K385" s="2">
        <v>105.4</v>
      </c>
      <c r="L385" s="2">
        <v>105.9</v>
      </c>
      <c r="M385" s="2">
        <f>+K385-L385</f>
        <v>-0.5</v>
      </c>
      <c r="N385" s="1">
        <f>+F385-J385</f>
        <v>5.9211172759717712E-2</v>
      </c>
      <c r="O385" s="2">
        <v>109.6</v>
      </c>
      <c r="P385" s="2">
        <v>109.9</v>
      </c>
      <c r="Q385" s="2">
        <f>+O385-P385</f>
        <v>-0.30000000000001137</v>
      </c>
      <c r="R385" s="2">
        <v>-0.3</v>
      </c>
      <c r="S385" s="2">
        <v>-0.3</v>
      </c>
      <c r="T385" s="2">
        <f>+Q385-M385</f>
        <v>0.19999999999998863</v>
      </c>
    </row>
    <row r="386" spans="1:20">
      <c r="A386" s="6">
        <v>435</v>
      </c>
      <c r="B386" t="s">
        <v>54</v>
      </c>
      <c r="C386" t="s">
        <v>53</v>
      </c>
      <c r="D386">
        <v>45</v>
      </c>
      <c r="E386">
        <v>37</v>
      </c>
      <c r="F386" s="1">
        <f>+D386/(D386+E386)</f>
        <v>0.54878048780487809</v>
      </c>
      <c r="G386" s="2">
        <v>99.4</v>
      </c>
      <c r="H386" s="2">
        <v>98.6</v>
      </c>
      <c r="I386" s="2">
        <f>+G386-H386</f>
        <v>0.80000000000001137</v>
      </c>
      <c r="J386" s="1">
        <f>+(G386^14)/((G386^14+H386^14))</f>
        <v>0.52825285498297569</v>
      </c>
      <c r="K386" s="2">
        <v>107.1</v>
      </c>
      <c r="L386" s="2">
        <v>106.3</v>
      </c>
      <c r="M386" s="2">
        <f>+K386-L386</f>
        <v>0.79999999999999716</v>
      </c>
      <c r="N386" s="1">
        <f>+F386-J386</f>
        <v>2.0527632821902397E-2</v>
      </c>
      <c r="O386" s="2">
        <v>106.2</v>
      </c>
      <c r="P386" s="2">
        <v>105.3</v>
      </c>
      <c r="Q386" s="2">
        <f>+O386-P386</f>
        <v>0.90000000000000568</v>
      </c>
      <c r="R386" s="2">
        <v>-0.2</v>
      </c>
      <c r="S386" s="2">
        <v>0</v>
      </c>
      <c r="T386" s="2">
        <f>+Q386-M386</f>
        <v>0.10000000000000853</v>
      </c>
    </row>
    <row r="387" spans="1:20">
      <c r="A387" s="6">
        <v>260</v>
      </c>
      <c r="B387" t="s">
        <v>45</v>
      </c>
      <c r="C387" t="s">
        <v>25</v>
      </c>
      <c r="D387">
        <v>46</v>
      </c>
      <c r="E387">
        <v>36</v>
      </c>
      <c r="F387" s="1">
        <f>+D387/(D387+E387)</f>
        <v>0.56097560975609762</v>
      </c>
      <c r="G387" s="2">
        <v>109.4</v>
      </c>
      <c r="H387" s="2">
        <v>107.5</v>
      </c>
      <c r="I387" s="2">
        <f>+G387-H387</f>
        <v>1.9000000000000057</v>
      </c>
      <c r="J387" s="1">
        <f>+(G387^14)/((G387^14+H387^14))</f>
        <v>0.56101455538977274</v>
      </c>
      <c r="K387" s="2">
        <v>112.4</v>
      </c>
      <c r="L387" s="2">
        <v>110.4</v>
      </c>
      <c r="M387" s="2">
        <f>+K387-L387</f>
        <v>2</v>
      </c>
      <c r="N387" s="1">
        <f>+F387-J387</f>
        <v>-3.8945633675124824E-5</v>
      </c>
      <c r="O387" s="2">
        <v>111.9</v>
      </c>
      <c r="P387" s="2">
        <v>109.8</v>
      </c>
      <c r="Q387" s="2">
        <f>+O387-P387</f>
        <v>2.1000000000000085</v>
      </c>
      <c r="R387" s="2">
        <v>1.5</v>
      </c>
      <c r="S387" s="2">
        <v>7.8</v>
      </c>
      <c r="T387" s="2">
        <f>+Q387-M387</f>
        <v>0.10000000000000853</v>
      </c>
    </row>
    <row r="388" spans="1:20">
      <c r="A388" s="6">
        <v>214</v>
      </c>
      <c r="B388" t="s">
        <v>44</v>
      </c>
      <c r="C388" t="s">
        <v>12</v>
      </c>
      <c r="D388">
        <v>59</v>
      </c>
      <c r="E388">
        <v>23</v>
      </c>
      <c r="F388" s="1">
        <f>+D388/(D388+E388)</f>
        <v>0.71951219512195119</v>
      </c>
      <c r="G388" s="2">
        <v>97.5</v>
      </c>
      <c r="H388" s="2">
        <v>90.1</v>
      </c>
      <c r="I388" s="2">
        <f>+G388-H388</f>
        <v>7.4000000000000057</v>
      </c>
      <c r="J388" s="1">
        <f>+(G388^14)/((G388^14+H388^14))</f>
        <v>0.75120531169841753</v>
      </c>
      <c r="K388" s="2">
        <v>109.8</v>
      </c>
      <c r="L388" s="2">
        <v>101.5</v>
      </c>
      <c r="M388" s="2">
        <f>+K388-L388</f>
        <v>8.2999999999999972</v>
      </c>
      <c r="N388" s="1">
        <f>+F388-J388</f>
        <v>-3.169311657646634E-2</v>
      </c>
      <c r="O388" s="2">
        <v>113.7</v>
      </c>
      <c r="P388" s="2">
        <v>105.3</v>
      </c>
      <c r="Q388" s="2">
        <f>+O388-P388</f>
        <v>8.4000000000000057</v>
      </c>
      <c r="R388" s="2">
        <v>0.6</v>
      </c>
      <c r="S388" s="2">
        <v>4.7</v>
      </c>
      <c r="T388" s="2">
        <f>+Q388-M388</f>
        <v>0.10000000000000853</v>
      </c>
    </row>
    <row r="389" spans="1:20">
      <c r="A389" s="6">
        <v>190</v>
      </c>
      <c r="B389" t="s">
        <v>43</v>
      </c>
      <c r="C389" t="s">
        <v>35</v>
      </c>
      <c r="D389">
        <v>22</v>
      </c>
      <c r="E389">
        <v>60</v>
      </c>
      <c r="F389" s="1">
        <f>+D389/(D389+E389)</f>
        <v>0.26829268292682928</v>
      </c>
      <c r="G389" s="2">
        <v>101.6</v>
      </c>
      <c r="H389" s="2">
        <v>106.7</v>
      </c>
      <c r="I389" s="2">
        <f>+G389-H389</f>
        <v>-5.1000000000000085</v>
      </c>
      <c r="J389" s="1">
        <f>+(G389^14)/((G389^14+H389^14))</f>
        <v>0.33499326878539809</v>
      </c>
      <c r="K389" s="2">
        <v>105.7</v>
      </c>
      <c r="L389" s="2">
        <v>110.9</v>
      </c>
      <c r="M389" s="2">
        <f>+K389-L389</f>
        <v>-5.2000000000000028</v>
      </c>
      <c r="N389" s="1">
        <f>+F389-J389</f>
        <v>-6.6700585858568806E-2</v>
      </c>
      <c r="O389" s="2">
        <v>102.4</v>
      </c>
      <c r="P389" s="2">
        <v>107.5</v>
      </c>
      <c r="Q389" s="2">
        <f>+O389-P389</f>
        <v>-5.0999999999999943</v>
      </c>
      <c r="R389" s="2">
        <v>1.6</v>
      </c>
      <c r="S389" s="2">
        <v>8.1999999999999993</v>
      </c>
      <c r="T389" s="2">
        <f>+Q389-M389</f>
        <v>0.10000000000000853</v>
      </c>
    </row>
    <row r="390" spans="1:20">
      <c r="A390" s="6">
        <v>580</v>
      </c>
      <c r="B390" t="s">
        <v>60</v>
      </c>
      <c r="C390" t="s">
        <v>17</v>
      </c>
      <c r="D390">
        <v>52</v>
      </c>
      <c r="E390">
        <v>19</v>
      </c>
      <c r="F390" s="1">
        <f>+D390/(D390+E390)</f>
        <v>0.73239436619718312</v>
      </c>
      <c r="G390" s="2">
        <v>113.4</v>
      </c>
      <c r="H390" s="2">
        <v>107.6</v>
      </c>
      <c r="I390" s="2">
        <f>+G390-H390</f>
        <v>5.8000000000000114</v>
      </c>
      <c r="J390" s="1">
        <f>+(G390^14)/((G390^14+H390^14))</f>
        <v>0.6759038081055907</v>
      </c>
      <c r="K390" s="2">
        <v>111.7</v>
      </c>
      <c r="L390" s="2">
        <v>106.1</v>
      </c>
      <c r="M390" s="2">
        <f>+K390-L390</f>
        <v>5.6000000000000085</v>
      </c>
      <c r="N390" s="1">
        <f>+F390-J390</f>
        <v>5.6490558091592424E-2</v>
      </c>
      <c r="O390" s="2">
        <v>107.4</v>
      </c>
      <c r="P390" s="2">
        <v>101.7</v>
      </c>
      <c r="Q390" s="2">
        <f>+O390-P390</f>
        <v>5.7000000000000028</v>
      </c>
      <c r="R390" s="2">
        <v>1.7</v>
      </c>
      <c r="S390" s="2">
        <v>6.7</v>
      </c>
      <c r="T390" s="2">
        <f>+Q390-M390</f>
        <v>9.9999999999994316E-2</v>
      </c>
    </row>
    <row r="391" spans="1:20">
      <c r="A391" s="6">
        <v>562</v>
      </c>
      <c r="B391" t="s">
        <v>59</v>
      </c>
      <c r="C391" t="s">
        <v>27</v>
      </c>
      <c r="D391">
        <v>39</v>
      </c>
      <c r="E391">
        <v>43</v>
      </c>
      <c r="F391" s="1">
        <f>+D391/(D391+E391)</f>
        <v>0.47560975609756095</v>
      </c>
      <c r="G391" s="2">
        <v>114.2</v>
      </c>
      <c r="H391" s="2">
        <v>115.3</v>
      </c>
      <c r="I391" s="2">
        <f>+G391-H391</f>
        <v>-1.0999999999999943</v>
      </c>
      <c r="J391" s="1">
        <f>+(G391^14)/((G391^14+H391^14))</f>
        <v>0.466498812781387</v>
      </c>
      <c r="K391" s="2">
        <v>109.6</v>
      </c>
      <c r="L391" s="2">
        <v>110.8</v>
      </c>
      <c r="M391" s="2">
        <f>+K391-L391</f>
        <v>-1.2000000000000028</v>
      </c>
      <c r="N391" s="1">
        <f>+F391-J391</f>
        <v>9.1109433161739584E-3</v>
      </c>
      <c r="O391" s="2">
        <v>106.1</v>
      </c>
      <c r="P391" s="2">
        <v>107.2</v>
      </c>
      <c r="Q391" s="2">
        <f>+O391-P391</f>
        <v>-1.1000000000000085</v>
      </c>
      <c r="R391" s="2">
        <v>-0.2</v>
      </c>
      <c r="S391" s="2">
        <v>0</v>
      </c>
      <c r="T391" s="2">
        <f>+Q391-M391</f>
        <v>9.9999999999994316E-2</v>
      </c>
    </row>
    <row r="392" spans="1:20">
      <c r="A392" s="6">
        <v>429</v>
      </c>
      <c r="B392" t="s">
        <v>54</v>
      </c>
      <c r="C392" t="s">
        <v>16</v>
      </c>
      <c r="D392">
        <v>56</v>
      </c>
      <c r="E392">
        <v>26</v>
      </c>
      <c r="F392" s="1">
        <f>+D392/(D392+E392)</f>
        <v>0.68292682926829273</v>
      </c>
      <c r="G392" s="2">
        <v>106.7</v>
      </c>
      <c r="H392" s="2">
        <v>100.1</v>
      </c>
      <c r="I392" s="2">
        <f>+G392-H392</f>
        <v>6.6000000000000085</v>
      </c>
      <c r="J392" s="1">
        <f>+(G392^14)/((G392^14+H392^14))</f>
        <v>0.70969858528213514</v>
      </c>
      <c r="K392" s="2">
        <v>111.6</v>
      </c>
      <c r="L392" s="2">
        <v>104.7</v>
      </c>
      <c r="M392" s="2">
        <f>+K392-L392</f>
        <v>6.8999999999999915</v>
      </c>
      <c r="N392" s="1">
        <f>+F392-J392</f>
        <v>-2.6771756013842407E-2</v>
      </c>
      <c r="O392" s="2">
        <v>97.9</v>
      </c>
      <c r="P392" s="2">
        <v>91</v>
      </c>
      <c r="Q392" s="2">
        <f>+O392-P392</f>
        <v>6.9000000000000057</v>
      </c>
      <c r="R392" s="2">
        <v>1.1000000000000001</v>
      </c>
      <c r="S392" s="2">
        <v>6</v>
      </c>
      <c r="T392" s="2">
        <f>+Q392-M392</f>
        <v>1.4210854715202004E-14</v>
      </c>
    </row>
    <row r="393" spans="1:20">
      <c r="A393" s="6">
        <v>541</v>
      </c>
      <c r="B393" t="s">
        <v>59</v>
      </c>
      <c r="C393" t="s">
        <v>8</v>
      </c>
      <c r="D393">
        <v>22</v>
      </c>
      <c r="E393">
        <v>60</v>
      </c>
      <c r="F393" s="1">
        <f>+D393/(D393+E393)</f>
        <v>0.26829268292682928</v>
      </c>
      <c r="G393" s="2">
        <v>104.9</v>
      </c>
      <c r="H393" s="2">
        <v>113.4</v>
      </c>
      <c r="I393" s="2">
        <f>+G393-H393</f>
        <v>-8.5</v>
      </c>
      <c r="J393" s="1">
        <f>+(G393^14)/((G393^14+H393^14))</f>
        <v>0.25146874309736672</v>
      </c>
      <c r="K393" s="2">
        <v>104.5</v>
      </c>
      <c r="L393" s="2">
        <v>112.8</v>
      </c>
      <c r="M393" s="2">
        <f>+K393-L393</f>
        <v>-8.2999999999999972</v>
      </c>
      <c r="N393" s="1">
        <f>+F393-J393</f>
        <v>1.6823939829462564E-2</v>
      </c>
      <c r="O393" s="2">
        <v>98.8</v>
      </c>
      <c r="P393" s="2">
        <v>107.1</v>
      </c>
      <c r="Q393" s="2">
        <f>+O393-P393</f>
        <v>-8.2999999999999972</v>
      </c>
      <c r="R393" s="2">
        <v>-1</v>
      </c>
      <c r="S393" s="2">
        <v>-5.6</v>
      </c>
      <c r="T393" s="2">
        <f>+Q393-M393</f>
        <v>0</v>
      </c>
    </row>
    <row r="394" spans="1:20">
      <c r="A394" s="6">
        <v>132</v>
      </c>
      <c r="B394" t="s">
        <v>39</v>
      </c>
      <c r="C394" t="s">
        <v>19</v>
      </c>
      <c r="D394">
        <v>30</v>
      </c>
      <c r="E394">
        <v>52</v>
      </c>
      <c r="F394" s="1">
        <f>+D394/(D394+E394)</f>
        <v>0.36585365853658536</v>
      </c>
      <c r="G394" s="2">
        <v>97.2</v>
      </c>
      <c r="H394" s="2">
        <v>100.2</v>
      </c>
      <c r="I394" s="2">
        <f>+G394-H394</f>
        <v>-3</v>
      </c>
      <c r="J394" s="1">
        <f>+(G394^14)/((G394^14+H394^14))</f>
        <v>0.3951859407291477</v>
      </c>
      <c r="K394" s="2">
        <v>105.1</v>
      </c>
      <c r="L394" s="2">
        <v>108.1</v>
      </c>
      <c r="M394" s="2">
        <f>+K394-L394</f>
        <v>-3</v>
      </c>
      <c r="N394" s="1">
        <f>+F394-J394</f>
        <v>-2.9332282192562342E-2</v>
      </c>
      <c r="O394" s="2">
        <v>105.2</v>
      </c>
      <c r="P394" s="2">
        <v>108.2</v>
      </c>
      <c r="Q394" s="2">
        <f>+O394-P394</f>
        <v>-3</v>
      </c>
      <c r="R394" s="2">
        <v>-1.3</v>
      </c>
      <c r="S394" s="2">
        <v>-6.2</v>
      </c>
      <c r="T394" s="2">
        <f>+Q394-M394</f>
        <v>0</v>
      </c>
    </row>
    <row r="395" spans="1:20">
      <c r="A395" s="6">
        <v>153</v>
      </c>
      <c r="B395" t="s">
        <v>41</v>
      </c>
      <c r="C395" t="s">
        <v>11</v>
      </c>
      <c r="D395">
        <v>44</v>
      </c>
      <c r="E395">
        <v>38</v>
      </c>
      <c r="F395" s="1">
        <f>+D395/(D395+E395)</f>
        <v>0.53658536585365857</v>
      </c>
      <c r="G395" s="2">
        <v>100.3</v>
      </c>
      <c r="H395" s="2">
        <v>100.1</v>
      </c>
      <c r="I395" s="2">
        <f>+G395-H395</f>
        <v>0.20000000000000284</v>
      </c>
      <c r="J395" s="1">
        <f>+(G395^14)/((G395^14+H395^14))</f>
        <v>0.50698557569827274</v>
      </c>
      <c r="K395" s="2">
        <v>104.4</v>
      </c>
      <c r="L395" s="2">
        <v>104.1</v>
      </c>
      <c r="M395" s="2">
        <f>+K395-L395</f>
        <v>0.30000000000001137</v>
      </c>
      <c r="N395" s="1">
        <f>+F395-J395</f>
        <v>2.959979015538583E-2</v>
      </c>
      <c r="O395" s="2">
        <v>102.1</v>
      </c>
      <c r="P395" s="2">
        <v>101.8</v>
      </c>
      <c r="Q395" s="2">
        <f>+O395-P395</f>
        <v>0.29999999999999716</v>
      </c>
      <c r="R395" s="2">
        <v>0.1</v>
      </c>
      <c r="S395" s="2">
        <v>-0.3</v>
      </c>
      <c r="T395" s="2">
        <f>+Q395-M395</f>
        <v>-1.4210854715202004E-14</v>
      </c>
    </row>
    <row r="396" spans="1:20">
      <c r="A396" s="6">
        <v>464</v>
      </c>
      <c r="B396" t="s">
        <v>55</v>
      </c>
      <c r="C396" t="s">
        <v>20</v>
      </c>
      <c r="D396">
        <v>29</v>
      </c>
      <c r="E396">
        <v>53</v>
      </c>
      <c r="F396" s="1">
        <f>+D396/(D396+E396)</f>
        <v>0.35365853658536583</v>
      </c>
      <c r="G396" s="2">
        <v>102.4</v>
      </c>
      <c r="H396" s="2">
        <v>106</v>
      </c>
      <c r="I396" s="2">
        <f>+G396-H396</f>
        <v>-3.5999999999999943</v>
      </c>
      <c r="J396" s="1">
        <f>+(G396^14)/((G396^14+H396^14))</f>
        <v>0.38137093948309719</v>
      </c>
      <c r="K396" s="2">
        <v>105.4</v>
      </c>
      <c r="L396" s="2">
        <v>109</v>
      </c>
      <c r="M396" s="2">
        <f>+K396-L396</f>
        <v>-3.5999999999999943</v>
      </c>
      <c r="N396" s="1">
        <f>+F396-J396</f>
        <v>-2.7712402897731359E-2</v>
      </c>
      <c r="O396" s="2">
        <v>98.6</v>
      </c>
      <c r="P396" s="2">
        <v>102.2</v>
      </c>
      <c r="Q396" s="2">
        <f>+O396-P396</f>
        <v>-3.6000000000000085</v>
      </c>
      <c r="R396" s="2">
        <v>0.1</v>
      </c>
      <c r="S396" s="2">
        <v>1.4</v>
      </c>
      <c r="T396" s="2">
        <f>+Q396-M396</f>
        <v>-1.4210854715202004E-14</v>
      </c>
    </row>
    <row r="397" spans="1:20">
      <c r="A397" s="6">
        <v>764</v>
      </c>
      <c r="B397" t="s">
        <v>66</v>
      </c>
      <c r="C397" t="s">
        <v>20</v>
      </c>
      <c r="D397">
        <v>40</v>
      </c>
      <c r="E397">
        <v>24</v>
      </c>
      <c r="F397" s="1">
        <f>+D397/(D397+E397)</f>
        <v>0.625</v>
      </c>
      <c r="G397" s="2">
        <v>118.6</v>
      </c>
      <c r="H397" s="2">
        <v>114.5</v>
      </c>
      <c r="I397" s="2">
        <f>+G397-H397</f>
        <v>4.0999999999999943</v>
      </c>
      <c r="J397" s="1">
        <f>+(G397^14)/((G397^14+H397^14))</f>
        <v>0.62070538318450608</v>
      </c>
      <c r="K397" s="2">
        <v>116.1</v>
      </c>
      <c r="L397" s="2">
        <v>112.2</v>
      </c>
      <c r="M397" s="2">
        <f>+K397-L397</f>
        <v>3.8999999999999915</v>
      </c>
      <c r="N397" s="1">
        <f>+F397-J397</f>
        <v>4.2946168154939235E-3</v>
      </c>
      <c r="O397" s="2">
        <v>117.2</v>
      </c>
      <c r="P397" s="2">
        <v>113.4</v>
      </c>
      <c r="Q397" s="2">
        <f>+O397-P397</f>
        <v>3.7999999999999972</v>
      </c>
      <c r="R397" s="2">
        <v>1.6</v>
      </c>
      <c r="S397" s="2">
        <v>8.1999999999999993</v>
      </c>
      <c r="T397" s="2">
        <f>+Q397-M397</f>
        <v>-9.9999999999994316E-2</v>
      </c>
    </row>
    <row r="398" spans="1:20">
      <c r="A398" s="6">
        <v>254</v>
      </c>
      <c r="B398" t="s">
        <v>45</v>
      </c>
      <c r="C398" t="s">
        <v>21</v>
      </c>
      <c r="D398">
        <v>34</v>
      </c>
      <c r="E398">
        <v>48</v>
      </c>
      <c r="F398" s="1">
        <f>+D398/(D398+E398)</f>
        <v>0.41463414634146339</v>
      </c>
      <c r="G398" s="2">
        <v>98.1</v>
      </c>
      <c r="H398" s="2">
        <v>100.5</v>
      </c>
      <c r="I398" s="2">
        <f>+G398-H398</f>
        <v>-2.4000000000000057</v>
      </c>
      <c r="J398" s="1">
        <f>+(G398^14)/((G398^14+H398^14))</f>
        <v>0.41620182026051067</v>
      </c>
      <c r="K398" s="2">
        <v>106.8</v>
      </c>
      <c r="L398" s="2">
        <v>109.5</v>
      </c>
      <c r="M398" s="2">
        <f>+K398-L398</f>
        <v>-2.7000000000000028</v>
      </c>
      <c r="N398" s="1">
        <f>+F398-J398</f>
        <v>-1.5676739190472744E-3</v>
      </c>
      <c r="O398" s="2">
        <v>105.3</v>
      </c>
      <c r="P398" s="2">
        <v>108.1</v>
      </c>
      <c r="Q398" s="2">
        <f>+O398-P398</f>
        <v>-2.7999999999999972</v>
      </c>
      <c r="R398" s="2">
        <v>1.1000000000000001</v>
      </c>
      <c r="S398" s="2">
        <v>2.8</v>
      </c>
      <c r="T398" s="2">
        <f>+Q398-M398</f>
        <v>-9.9999999999994316E-2</v>
      </c>
    </row>
    <row r="399" spans="1:20">
      <c r="A399" s="6">
        <v>226</v>
      </c>
      <c r="B399" t="s">
        <v>44</v>
      </c>
      <c r="C399" t="s">
        <v>22</v>
      </c>
      <c r="D399">
        <v>23</v>
      </c>
      <c r="E399">
        <v>59</v>
      </c>
      <c r="F399" s="1">
        <f>+D399/(D399+E399)</f>
        <v>0.28048780487804881</v>
      </c>
      <c r="G399" s="2">
        <v>96.9</v>
      </c>
      <c r="H399" s="2">
        <v>103.5</v>
      </c>
      <c r="I399" s="2">
        <f>+G399-H399</f>
        <v>-6.5999999999999943</v>
      </c>
      <c r="J399" s="1">
        <f>+(G399^14)/((G399^14+H399^14))</f>
        <v>0.28445095118347524</v>
      </c>
      <c r="K399" s="2">
        <v>103.5</v>
      </c>
      <c r="L399" s="2">
        <v>110.4</v>
      </c>
      <c r="M399" s="2">
        <f>+K399-L399</f>
        <v>-6.9000000000000057</v>
      </c>
      <c r="N399" s="1">
        <f>+F399-J399</f>
        <v>-3.9631463054264349E-3</v>
      </c>
      <c r="O399" s="2">
        <v>89.9</v>
      </c>
      <c r="P399" s="2">
        <v>96.9</v>
      </c>
      <c r="Q399" s="2">
        <f>+O399-P399</f>
        <v>-7</v>
      </c>
      <c r="R399" s="2">
        <v>-1.4</v>
      </c>
      <c r="S399" s="2">
        <v>-7.5</v>
      </c>
      <c r="T399" s="2">
        <f>+Q399-M399</f>
        <v>-9.9999999999994316E-2</v>
      </c>
    </row>
    <row r="400" spans="1:20">
      <c r="A400" s="6">
        <v>213</v>
      </c>
      <c r="B400" t="s">
        <v>44</v>
      </c>
      <c r="C400" t="s">
        <v>11</v>
      </c>
      <c r="D400">
        <v>50</v>
      </c>
      <c r="E400">
        <v>32</v>
      </c>
      <c r="F400" s="1">
        <f>+D400/(D400+E400)</f>
        <v>0.6097560975609756</v>
      </c>
      <c r="G400" s="2">
        <v>110.7</v>
      </c>
      <c r="H400" s="2">
        <v>107</v>
      </c>
      <c r="I400" s="2">
        <f>+G400-H400</f>
        <v>3.7000000000000028</v>
      </c>
      <c r="J400" s="1">
        <f>+(G400^14)/((G400^14+H400^14))</f>
        <v>0.61678636144729848</v>
      </c>
      <c r="K400" s="2">
        <v>108.9</v>
      </c>
      <c r="L400" s="2">
        <v>105.5</v>
      </c>
      <c r="M400" s="2">
        <f>+K400-L400</f>
        <v>3.4000000000000057</v>
      </c>
      <c r="N400" s="1">
        <f>+F400-J400</f>
        <v>-7.030263886322885E-3</v>
      </c>
      <c r="O400" s="2">
        <v>100.3</v>
      </c>
      <c r="P400" s="2">
        <v>97</v>
      </c>
      <c r="Q400" s="2">
        <f>+O400-P400</f>
        <v>3.2999999999999972</v>
      </c>
      <c r="R400" s="2">
        <v>0.8</v>
      </c>
      <c r="S400" s="2">
        <v>3.1</v>
      </c>
      <c r="T400" s="2">
        <f>+Q400-M400</f>
        <v>-0.10000000000000853</v>
      </c>
    </row>
    <row r="401" spans="1:20">
      <c r="A401" s="6">
        <v>87</v>
      </c>
      <c r="B401" t="s">
        <v>36</v>
      </c>
      <c r="C401" t="s">
        <v>33</v>
      </c>
      <c r="D401">
        <v>37</v>
      </c>
      <c r="E401">
        <v>45</v>
      </c>
      <c r="F401" s="1">
        <f>+D401/(D401+E401)</f>
        <v>0.45121951219512196</v>
      </c>
      <c r="G401" s="2">
        <v>91.5</v>
      </c>
      <c r="H401" s="2">
        <v>92.5</v>
      </c>
      <c r="I401" s="2">
        <f>+G401-H401</f>
        <v>-1</v>
      </c>
      <c r="J401" s="1">
        <f>+(G401^14)/((G401^14+H401^14))</f>
        <v>0.4620293938086929</v>
      </c>
      <c r="K401" s="2">
        <v>101.5</v>
      </c>
      <c r="L401" s="2">
        <v>102.6</v>
      </c>
      <c r="M401" s="2">
        <f>+K401-L401</f>
        <v>-1.0999999999999943</v>
      </c>
      <c r="N401" s="1">
        <f>+F401-J401</f>
        <v>-1.0809881613570937E-2</v>
      </c>
      <c r="O401" s="2">
        <v>103.1</v>
      </c>
      <c r="P401" s="2">
        <v>104.3</v>
      </c>
      <c r="Q401" s="2">
        <f>+O401-P401</f>
        <v>-1.2000000000000028</v>
      </c>
      <c r="R401" s="2">
        <v>-0.3</v>
      </c>
      <c r="S401" s="2">
        <v>0.5</v>
      </c>
      <c r="T401" s="2">
        <f>+Q401-M401</f>
        <v>-0.10000000000000853</v>
      </c>
    </row>
    <row r="402" spans="1:20">
      <c r="A402" s="6">
        <v>714</v>
      </c>
      <c r="B402" t="s">
        <v>64</v>
      </c>
      <c r="C402" t="s">
        <v>30</v>
      </c>
      <c r="D402">
        <v>25</v>
      </c>
      <c r="E402">
        <v>57</v>
      </c>
      <c r="F402" s="1">
        <f>+D402/(D402+E402)</f>
        <v>0.3048780487804878</v>
      </c>
      <c r="G402" s="2">
        <v>112.4</v>
      </c>
      <c r="H402" s="2">
        <v>118.8</v>
      </c>
      <c r="I402" s="2">
        <f>+G402-H402</f>
        <v>-6.3999999999999915</v>
      </c>
      <c r="J402" s="1">
        <f>+(G402^14)/((G402^14+H402^14))</f>
        <v>0.3153370573458385</v>
      </c>
      <c r="K402" s="2">
        <v>111.8</v>
      </c>
      <c r="L402" s="2">
        <v>118.1</v>
      </c>
      <c r="M402" s="2">
        <f>+K402-L402</f>
        <v>-6.2999999999999972</v>
      </c>
      <c r="N402" s="1">
        <f>+F402-J402</f>
        <v>-1.0459008565350703E-2</v>
      </c>
      <c r="O402" s="2">
        <v>109</v>
      </c>
      <c r="P402" s="2">
        <v>115.5</v>
      </c>
      <c r="Q402" s="2">
        <f>+O402-P402</f>
        <v>-6.5</v>
      </c>
      <c r="R402" s="2">
        <v>-1</v>
      </c>
      <c r="S402" s="2">
        <v>-3.8</v>
      </c>
      <c r="T402" s="2">
        <f>+Q402-M402</f>
        <v>-0.20000000000000284</v>
      </c>
    </row>
    <row r="403" spans="1:20">
      <c r="A403" s="6">
        <v>712</v>
      </c>
      <c r="B403" t="s">
        <v>64</v>
      </c>
      <c r="C403" t="s">
        <v>27</v>
      </c>
      <c r="D403">
        <v>46</v>
      </c>
      <c r="E403">
        <v>36</v>
      </c>
      <c r="F403" s="1">
        <f>+D403/(D403+E403)</f>
        <v>0.56097560975609762</v>
      </c>
      <c r="G403" s="2">
        <v>116.6</v>
      </c>
      <c r="H403" s="2">
        <v>114.8</v>
      </c>
      <c r="I403" s="2">
        <f>+G403-H403</f>
        <v>1.7999999999999972</v>
      </c>
      <c r="J403" s="1">
        <f>+(G403^14)/((G403^14+H403^14))</f>
        <v>0.55423800996909134</v>
      </c>
      <c r="K403" s="2">
        <v>116.2</v>
      </c>
      <c r="L403" s="2">
        <v>114.4</v>
      </c>
      <c r="M403" s="2">
        <f>+K403-L403</f>
        <v>1.7999999999999972</v>
      </c>
      <c r="N403" s="1">
        <f>+F403-J403</f>
        <v>6.7375997870062765E-3</v>
      </c>
      <c r="O403" s="2">
        <v>105.6</v>
      </c>
      <c r="P403" s="2">
        <v>104.1</v>
      </c>
      <c r="Q403" s="2">
        <f>+O403-P403</f>
        <v>1.5</v>
      </c>
      <c r="R403" s="2">
        <v>-0.8</v>
      </c>
      <c r="S403" s="2">
        <v>-2.9</v>
      </c>
      <c r="T403" s="2">
        <f>+Q403-M403</f>
        <v>-0.29999999999999716</v>
      </c>
    </row>
    <row r="404" spans="1:20">
      <c r="A404" s="6">
        <v>560</v>
      </c>
      <c r="B404" t="s">
        <v>59</v>
      </c>
      <c r="C404" t="s">
        <v>25</v>
      </c>
      <c r="D404">
        <v>19</v>
      </c>
      <c r="E404">
        <v>63</v>
      </c>
      <c r="F404" s="1">
        <f>+D404/(D404+E404)</f>
        <v>0.23170731707317074</v>
      </c>
      <c r="G404" s="2">
        <v>107.5</v>
      </c>
      <c r="H404" s="2">
        <v>116.8</v>
      </c>
      <c r="I404" s="2">
        <f>+G404-H404</f>
        <v>-9.2999999999999972</v>
      </c>
      <c r="J404" s="1">
        <f>+(G404^14)/((G404^14+H404^14))</f>
        <v>0.2383746596037172</v>
      </c>
      <c r="K404" s="2">
        <v>105.3</v>
      </c>
      <c r="L404" s="2">
        <v>114.2</v>
      </c>
      <c r="M404" s="2">
        <f>+K404-L404</f>
        <v>-8.9000000000000057</v>
      </c>
      <c r="N404" s="1">
        <f>+F404-J404</f>
        <v>-6.6673425305464606E-3</v>
      </c>
      <c r="O404" s="2">
        <v>107.7</v>
      </c>
      <c r="P404" s="2">
        <v>116.9</v>
      </c>
      <c r="Q404" s="2">
        <f>+O404-P404</f>
        <v>-9.2000000000000028</v>
      </c>
      <c r="R404" s="2">
        <v>-2.1</v>
      </c>
      <c r="S404" s="2">
        <v>-8.1</v>
      </c>
      <c r="T404" s="2">
        <f>+Q404-M404</f>
        <v>-0.29999999999999716</v>
      </c>
    </row>
    <row r="405" spans="1:20">
      <c r="A405" s="6">
        <v>288</v>
      </c>
      <c r="B405" t="s">
        <v>47</v>
      </c>
      <c r="C405" t="s">
        <v>23</v>
      </c>
      <c r="D405">
        <v>59</v>
      </c>
      <c r="E405">
        <v>23</v>
      </c>
      <c r="F405" s="1">
        <f>+D405/(D405+E405)</f>
        <v>0.71951219512195119</v>
      </c>
      <c r="G405" s="2">
        <v>102.8</v>
      </c>
      <c r="H405" s="2">
        <v>95.3</v>
      </c>
      <c r="I405" s="2">
        <f>+G405-H405</f>
        <v>7.5</v>
      </c>
      <c r="J405" s="1">
        <f>+(G405^14)/((G405^14+H405^14))</f>
        <v>0.74280090861208392</v>
      </c>
      <c r="K405" s="2">
        <v>110.7</v>
      </c>
      <c r="L405" s="2">
        <v>102.8</v>
      </c>
      <c r="M405" s="2">
        <f>+K405-L405</f>
        <v>7.9000000000000057</v>
      </c>
      <c r="N405" s="1">
        <f>+F405-J405</f>
        <v>-2.3288713490132729E-2</v>
      </c>
      <c r="O405" s="2">
        <v>107.6</v>
      </c>
      <c r="P405" s="2">
        <v>100</v>
      </c>
      <c r="Q405" s="2">
        <f>+O405-P405</f>
        <v>7.5999999999999943</v>
      </c>
      <c r="R405" s="2">
        <v>1.3</v>
      </c>
      <c r="S405" s="2">
        <v>7.7</v>
      </c>
      <c r="T405" s="2">
        <f>+Q405-M405</f>
        <v>-0.30000000000001137</v>
      </c>
    </row>
    <row r="406" spans="1:20">
      <c r="A406" s="6">
        <v>771</v>
      </c>
      <c r="B406" t="s">
        <v>66</v>
      </c>
      <c r="C406" t="s">
        <v>26</v>
      </c>
      <c r="D406">
        <v>30</v>
      </c>
      <c r="E406">
        <v>34</v>
      </c>
      <c r="F406" s="1">
        <f>+D406/(D406+E406)</f>
        <v>0.46875</v>
      </c>
      <c r="G406" s="2">
        <v>115.1</v>
      </c>
      <c r="H406" s="2">
        <v>118.1</v>
      </c>
      <c r="I406" s="2">
        <f>+G406-H406</f>
        <v>-3</v>
      </c>
      <c r="J406" s="1">
        <f>+(G406^14)/((G406^14+H406^14))</f>
        <v>0.41090493030680209</v>
      </c>
      <c r="K406" s="2">
        <v>112.4</v>
      </c>
      <c r="L406" s="2">
        <v>115.5</v>
      </c>
      <c r="M406" s="2">
        <f>+K406-L406</f>
        <v>-3.0999999999999943</v>
      </c>
      <c r="N406" s="1">
        <f>+F406-J406</f>
        <v>5.7845069693197915E-2</v>
      </c>
      <c r="O406" s="2">
        <v>116.5</v>
      </c>
      <c r="P406" s="2">
        <v>120</v>
      </c>
      <c r="Q406" s="2">
        <f>+O406-P406</f>
        <v>-3.5</v>
      </c>
      <c r="R406" s="2">
        <v>-1.2</v>
      </c>
      <c r="S406" s="2">
        <v>-5.9</v>
      </c>
      <c r="T406" s="2">
        <f>+Q406-M406</f>
        <v>-0.40000000000000568</v>
      </c>
    </row>
    <row r="407" spans="1:20">
      <c r="A407" s="6">
        <v>177</v>
      </c>
      <c r="B407" t="s">
        <v>43</v>
      </c>
      <c r="C407" t="s">
        <v>5</v>
      </c>
      <c r="D407">
        <v>30</v>
      </c>
      <c r="E407">
        <v>52</v>
      </c>
      <c r="F407" s="1">
        <f>+D407/(D407+E407)</f>
        <v>0.36585365853658536</v>
      </c>
      <c r="G407" s="2">
        <v>93.7</v>
      </c>
      <c r="H407" s="2">
        <v>98.4</v>
      </c>
      <c r="I407" s="2">
        <f>+G407-H407</f>
        <v>-4.7000000000000028</v>
      </c>
      <c r="J407" s="1">
        <f>+(G407^14)/((G407^14+H407^14))</f>
        <v>0.33510246231607854</v>
      </c>
      <c r="K407" s="2">
        <v>102</v>
      </c>
      <c r="L407" s="2">
        <v>107</v>
      </c>
      <c r="M407" s="2">
        <f>+K407-L407</f>
        <v>-5</v>
      </c>
      <c r="N407" s="1">
        <f>+F407-J407</f>
        <v>3.0751196220506816E-2</v>
      </c>
      <c r="O407" s="2">
        <v>95.5</v>
      </c>
      <c r="P407" s="2">
        <v>100.9</v>
      </c>
      <c r="Q407" s="2">
        <f>+O407-P407</f>
        <v>-5.4000000000000057</v>
      </c>
      <c r="R407" s="2">
        <v>-0.5</v>
      </c>
      <c r="S407" s="2">
        <v>-1.1000000000000001</v>
      </c>
      <c r="T407" s="2">
        <f>+Q407-M407</f>
        <v>-0.40000000000000568</v>
      </c>
    </row>
    <row r="408" spans="1:20">
      <c r="A408" s="6">
        <v>674</v>
      </c>
      <c r="B408" t="s">
        <v>63</v>
      </c>
      <c r="C408" t="s">
        <v>20</v>
      </c>
      <c r="D408">
        <v>42</v>
      </c>
      <c r="E408">
        <v>40</v>
      </c>
      <c r="F408" s="1">
        <f>+D408/(D408+E408)</f>
        <v>0.51219512195121952</v>
      </c>
      <c r="G408" s="2">
        <v>115.8</v>
      </c>
      <c r="H408" s="2">
        <v>115.8</v>
      </c>
      <c r="I408" s="2">
        <f>+G408-H408</f>
        <v>0</v>
      </c>
      <c r="J408" s="1">
        <f>+(G408^14)/((G408^14+H408^14))</f>
        <v>0.5</v>
      </c>
      <c r="K408" s="2">
        <v>113.3</v>
      </c>
      <c r="L408" s="2">
        <v>113.1</v>
      </c>
      <c r="M408" s="2">
        <f>+K408-L408</f>
        <v>0.20000000000000284</v>
      </c>
      <c r="N408" s="1">
        <f>+F408-J408</f>
        <v>1.2195121951219523E-2</v>
      </c>
      <c r="O408" s="2">
        <v>100.3</v>
      </c>
      <c r="P408" s="2">
        <v>100.5</v>
      </c>
      <c r="Q408" s="2">
        <f>+O408-P408</f>
        <v>-0.20000000000000284</v>
      </c>
      <c r="R408" s="2">
        <v>-0.2</v>
      </c>
      <c r="S408" s="2">
        <v>-2.2000000000000002</v>
      </c>
      <c r="T408" s="2">
        <f>+Q408-M408</f>
        <v>-0.40000000000000568</v>
      </c>
    </row>
    <row r="409" spans="1:20">
      <c r="A409" s="6">
        <v>507</v>
      </c>
      <c r="B409" t="s">
        <v>58</v>
      </c>
      <c r="C409" t="s">
        <v>5</v>
      </c>
      <c r="D409">
        <v>24</v>
      </c>
      <c r="E409">
        <v>58</v>
      </c>
      <c r="F409" s="1">
        <f>+D409/(D409+E409)</f>
        <v>0.29268292682926828</v>
      </c>
      <c r="G409" s="2">
        <v>103.4</v>
      </c>
      <c r="H409" s="2">
        <v>108.8</v>
      </c>
      <c r="I409" s="2">
        <f>+G409-H409</f>
        <v>-5.3999999999999915</v>
      </c>
      <c r="J409" s="1">
        <f>+(G409^14)/((G409^14+H409^14))</f>
        <v>0.32900489498317276</v>
      </c>
      <c r="K409" s="2">
        <v>104.4</v>
      </c>
      <c r="L409" s="2">
        <v>110.1</v>
      </c>
      <c r="M409" s="2">
        <f>+K409-L409</f>
        <v>-5.6999999999999886</v>
      </c>
      <c r="N409" s="1">
        <f>+F409-J409</f>
        <v>-3.6321968153904483E-2</v>
      </c>
      <c r="O409" s="2">
        <v>105.4</v>
      </c>
      <c r="P409" s="2">
        <v>111.5</v>
      </c>
      <c r="Q409" s="2">
        <f>+O409-P409</f>
        <v>-6.0999999999999943</v>
      </c>
      <c r="R409" s="2">
        <v>0.4</v>
      </c>
      <c r="S409" s="2">
        <v>0.2</v>
      </c>
      <c r="T409" s="2">
        <f>+Q409-M409</f>
        <v>-0.40000000000000568</v>
      </c>
    </row>
    <row r="410" spans="1:20">
      <c r="A410" s="6">
        <v>649</v>
      </c>
      <c r="B410" t="s">
        <v>62</v>
      </c>
      <c r="C410" t="s">
        <v>24</v>
      </c>
      <c r="D410">
        <v>51</v>
      </c>
      <c r="E410">
        <v>31</v>
      </c>
      <c r="F410" s="1">
        <f>+D410/(D410+E410)</f>
        <v>0.62195121951219512</v>
      </c>
      <c r="G410" s="2">
        <v>109.9</v>
      </c>
      <c r="H410" s="2">
        <v>107.3</v>
      </c>
      <c r="I410" s="2">
        <f>+G410-H410</f>
        <v>2.6000000000000085</v>
      </c>
      <c r="J410" s="1">
        <f>+(G410^14)/((G410^14+H410^14))</f>
        <v>0.58302187989199494</v>
      </c>
      <c r="K410" s="2">
        <v>113</v>
      </c>
      <c r="L410" s="2">
        <v>110.2</v>
      </c>
      <c r="M410" s="2">
        <f>+K410-L410</f>
        <v>2.7999999999999972</v>
      </c>
      <c r="N410" s="1">
        <f>+F410-J410</f>
        <v>3.8929339620200176E-2</v>
      </c>
      <c r="O410" s="2">
        <v>105.9</v>
      </c>
      <c r="P410" s="2">
        <v>103.6</v>
      </c>
      <c r="Q410" s="2">
        <f>+O410-P410</f>
        <v>2.3000000000000114</v>
      </c>
      <c r="R410" s="2">
        <v>0.5</v>
      </c>
      <c r="S410" s="2">
        <v>2.2000000000000002</v>
      </c>
      <c r="T410" s="2">
        <f>+Q410-M410</f>
        <v>-0.49999999999998579</v>
      </c>
    </row>
    <row r="411" spans="1:20">
      <c r="A411" s="6">
        <v>304</v>
      </c>
      <c r="B411" t="s">
        <v>48</v>
      </c>
      <c r="C411" t="s">
        <v>12</v>
      </c>
      <c r="D411">
        <v>30</v>
      </c>
      <c r="E411">
        <v>52</v>
      </c>
      <c r="F411" s="1">
        <f>+D411/(D411+E411)</f>
        <v>0.36585365853658536</v>
      </c>
      <c r="G411" s="2">
        <v>97</v>
      </c>
      <c r="H411" s="2">
        <v>100.6</v>
      </c>
      <c r="I411" s="2">
        <f>+G411-H411</f>
        <v>-3.5999999999999943</v>
      </c>
      <c r="J411" s="1">
        <f>+(G411^14)/((G411^14+H411^14))</f>
        <v>0.37515182060576369</v>
      </c>
      <c r="K411" s="2">
        <v>107</v>
      </c>
      <c r="L411" s="2">
        <v>110.7</v>
      </c>
      <c r="M411" s="2">
        <f>+K411-L411</f>
        <v>-3.7000000000000028</v>
      </c>
      <c r="N411" s="1">
        <f>+F411-J411</f>
        <v>-9.2981620691783284E-3</v>
      </c>
      <c r="O411" s="2">
        <v>99.4</v>
      </c>
      <c r="P411" s="2">
        <v>103.6</v>
      </c>
      <c r="Q411" s="2">
        <f>+O411-P411</f>
        <v>-4.1999999999999886</v>
      </c>
      <c r="R411" s="2">
        <v>-1.1000000000000001</v>
      </c>
      <c r="S411" s="2">
        <v>-6.7</v>
      </c>
      <c r="T411" s="2">
        <f>+Q411-M411</f>
        <v>-0.49999999999998579</v>
      </c>
    </row>
    <row r="412" spans="1:20">
      <c r="A412" s="6">
        <v>363</v>
      </c>
      <c r="B412" t="s">
        <v>50</v>
      </c>
      <c r="C412" t="s">
        <v>10</v>
      </c>
      <c r="D412">
        <v>41</v>
      </c>
      <c r="E412">
        <v>41</v>
      </c>
      <c r="F412" s="1">
        <f>+D412/(D412+E412)</f>
        <v>0.5</v>
      </c>
      <c r="G412" s="2">
        <v>101.1</v>
      </c>
      <c r="H412" s="2">
        <v>101.7</v>
      </c>
      <c r="I412" s="2">
        <f>+G412-H412</f>
        <v>-0.60000000000000853</v>
      </c>
      <c r="J412" s="1">
        <f>+(G412^14)/((G412^14+H412^14))</f>
        <v>0.47930171595662069</v>
      </c>
      <c r="K412" s="2">
        <v>104.7</v>
      </c>
      <c r="L412" s="2">
        <v>105.4</v>
      </c>
      <c r="M412" s="2">
        <f>+K412-L412</f>
        <v>-0.70000000000000284</v>
      </c>
      <c r="N412" s="1">
        <f>+F412-J412</f>
        <v>2.0698284043379311E-2</v>
      </c>
      <c r="O412" s="2">
        <v>101</v>
      </c>
      <c r="P412" s="2">
        <v>102.2</v>
      </c>
      <c r="Q412" s="2">
        <f>+O412-P412</f>
        <v>-1.2000000000000028</v>
      </c>
      <c r="R412" s="2">
        <v>-0.3</v>
      </c>
      <c r="S412" s="2">
        <v>-1.4</v>
      </c>
      <c r="T412" s="2">
        <f>+Q412-M412</f>
        <v>-0.5</v>
      </c>
    </row>
    <row r="413" spans="1:20">
      <c r="A413" s="6">
        <v>546</v>
      </c>
      <c r="B413" t="s">
        <v>59</v>
      </c>
      <c r="C413" t="s">
        <v>13</v>
      </c>
      <c r="D413">
        <v>57</v>
      </c>
      <c r="E413">
        <v>25</v>
      </c>
      <c r="F413" s="1">
        <f>+D413/(D413+E413)</f>
        <v>0.69512195121951215</v>
      </c>
      <c r="G413" s="2">
        <v>117.7</v>
      </c>
      <c r="H413" s="2">
        <v>111.2</v>
      </c>
      <c r="I413" s="2">
        <f>+G413-H413</f>
        <v>6.5</v>
      </c>
      <c r="J413" s="1">
        <f>+(G413^14)/((G413^14+H413^14))</f>
        <v>0.68897267779673199</v>
      </c>
      <c r="K413" s="2">
        <v>115</v>
      </c>
      <c r="L413" s="2">
        <v>108.6</v>
      </c>
      <c r="M413" s="2">
        <f>+K413-L413</f>
        <v>6.4000000000000057</v>
      </c>
      <c r="N413" s="1">
        <f>+F413-J413</f>
        <v>6.1492734227801549E-3</v>
      </c>
      <c r="O413" s="2">
        <v>110.5</v>
      </c>
      <c r="P413" s="2">
        <v>104.6</v>
      </c>
      <c r="Q413" s="2">
        <f>+O413-P413</f>
        <v>5.9000000000000057</v>
      </c>
      <c r="R413" s="2">
        <v>0.2</v>
      </c>
      <c r="S413" s="2">
        <v>1.7</v>
      </c>
      <c r="T413" s="2">
        <f>+Q413-M413</f>
        <v>-0.5</v>
      </c>
    </row>
    <row r="414" spans="1:20">
      <c r="A414" s="6">
        <v>640</v>
      </c>
      <c r="B414" t="s">
        <v>62</v>
      </c>
      <c r="C414" t="s">
        <v>17</v>
      </c>
      <c r="D414">
        <v>33</v>
      </c>
      <c r="E414">
        <v>49</v>
      </c>
      <c r="F414" s="1">
        <f>+D414/(D414+E414)</f>
        <v>0.40243902439024393</v>
      </c>
      <c r="G414" s="2">
        <v>112.1</v>
      </c>
      <c r="H414" s="2">
        <v>115.1</v>
      </c>
      <c r="I414" s="2">
        <f>+G414-H414</f>
        <v>-3</v>
      </c>
      <c r="J414" s="1">
        <f>+(G414^14)/((G414^14+H414^14))</f>
        <v>0.40860389677498032</v>
      </c>
      <c r="K414" s="2">
        <v>110</v>
      </c>
      <c r="L414" s="2">
        <v>112.8</v>
      </c>
      <c r="M414" s="2">
        <f>+K414-L414</f>
        <v>-2.7999999999999972</v>
      </c>
      <c r="N414" s="1">
        <f>+F414-J414</f>
        <v>-6.1648723847363973E-3</v>
      </c>
      <c r="O414" s="2">
        <v>103.8</v>
      </c>
      <c r="P414" s="2">
        <v>107.1</v>
      </c>
      <c r="Q414" s="2">
        <f>+O414-P414</f>
        <v>-3.2999999999999972</v>
      </c>
      <c r="R414" s="2">
        <v>0.6</v>
      </c>
      <c r="S414" s="2">
        <v>0.4</v>
      </c>
      <c r="T414" s="2">
        <f>+Q414-M414</f>
        <v>-0.5</v>
      </c>
    </row>
    <row r="415" spans="1:20">
      <c r="A415" s="6">
        <v>661</v>
      </c>
      <c r="B415" t="s">
        <v>63</v>
      </c>
      <c r="C415" t="s">
        <v>8</v>
      </c>
      <c r="D415">
        <v>40</v>
      </c>
      <c r="E415">
        <v>42</v>
      </c>
      <c r="F415" s="1">
        <f>+D415/(D415+E415)</f>
        <v>0.48780487804878048</v>
      </c>
      <c r="G415" s="2">
        <v>113.1</v>
      </c>
      <c r="H415" s="2">
        <v>111.8</v>
      </c>
      <c r="I415" s="2">
        <f>+G415-H415</f>
        <v>1.2999999999999972</v>
      </c>
      <c r="J415" s="1">
        <f>+(G415^14)/((G415^14+H415^14))</f>
        <v>0.54037477901258768</v>
      </c>
      <c r="K415" s="2">
        <v>112.8</v>
      </c>
      <c r="L415" s="2">
        <v>111.5</v>
      </c>
      <c r="M415" s="2">
        <f>+K415-L415</f>
        <v>1.2999999999999972</v>
      </c>
      <c r="N415" s="1">
        <f>+F415-J415</f>
        <v>-5.2569900963807203E-2</v>
      </c>
      <c r="O415" s="2">
        <v>106</v>
      </c>
      <c r="P415" s="2">
        <v>105.2</v>
      </c>
      <c r="Q415" s="2">
        <f>+O415-P415</f>
        <v>0.79999999999999716</v>
      </c>
      <c r="R415" s="2">
        <v>0.5</v>
      </c>
      <c r="S415" s="2">
        <v>2.7</v>
      </c>
      <c r="T415" s="2">
        <f>+Q415-M415</f>
        <v>-0.5</v>
      </c>
    </row>
    <row r="416" spans="1:20">
      <c r="A416" s="6">
        <v>563</v>
      </c>
      <c r="B416" t="s">
        <v>59</v>
      </c>
      <c r="C416" t="s">
        <v>28</v>
      </c>
      <c r="D416">
        <v>48</v>
      </c>
      <c r="E416">
        <v>34</v>
      </c>
      <c r="F416" s="1">
        <f>+D416/(D416+E416)</f>
        <v>0.58536585365853655</v>
      </c>
      <c r="G416" s="2">
        <v>111.7</v>
      </c>
      <c r="H416" s="2">
        <v>110</v>
      </c>
      <c r="I416" s="2">
        <f>+G416-H416</f>
        <v>1.7000000000000028</v>
      </c>
      <c r="J416" s="1">
        <f>+(G416^14)/((G416^14+H416^14))</f>
        <v>0.55347192797788125</v>
      </c>
      <c r="K416" s="2">
        <v>112.2</v>
      </c>
      <c r="L416" s="2">
        <v>110.6</v>
      </c>
      <c r="M416" s="2">
        <f>+K416-L416</f>
        <v>1.6000000000000085</v>
      </c>
      <c r="N416" s="1">
        <f>+F416-J416</f>
        <v>3.18939256806553E-2</v>
      </c>
      <c r="O416" s="2">
        <v>113.6</v>
      </c>
      <c r="P416" s="2">
        <v>112.5</v>
      </c>
      <c r="Q416" s="2">
        <f>+O416-P416</f>
        <v>1.0999999999999943</v>
      </c>
      <c r="R416" s="2">
        <v>0.4</v>
      </c>
      <c r="S416" s="2">
        <v>2.5</v>
      </c>
      <c r="T416" s="2">
        <f>+Q416-M416</f>
        <v>-0.50000000000001421</v>
      </c>
    </row>
    <row r="417" spans="1:20">
      <c r="A417" s="6">
        <v>701</v>
      </c>
      <c r="B417" t="s">
        <v>64</v>
      </c>
      <c r="C417" t="s">
        <v>35</v>
      </c>
      <c r="D417">
        <v>27</v>
      </c>
      <c r="E417">
        <v>55</v>
      </c>
      <c r="F417" s="1">
        <f>+D417/(D417+E417)</f>
        <v>0.32926829268292684</v>
      </c>
      <c r="G417" s="2">
        <v>105.8</v>
      </c>
      <c r="H417" s="2">
        <v>112.8</v>
      </c>
      <c r="I417" s="2">
        <f>+G417-H417</f>
        <v>-7</v>
      </c>
      <c r="J417" s="1">
        <f>+(G417^14)/((G417^14+H417^14))</f>
        <v>0.28968354582770361</v>
      </c>
      <c r="K417" s="2">
        <v>106.8</v>
      </c>
      <c r="L417" s="2">
        <v>113.7</v>
      </c>
      <c r="M417" s="2">
        <f>+K417-L417</f>
        <v>-6.9000000000000057</v>
      </c>
      <c r="N417" s="1">
        <f>+F417-J417</f>
        <v>3.958474685522323E-2</v>
      </c>
      <c r="O417" s="2">
        <v>98.4</v>
      </c>
      <c r="P417" s="2">
        <v>105.9</v>
      </c>
      <c r="Q417" s="2">
        <f>+O417-P417</f>
        <v>-7.5</v>
      </c>
      <c r="R417" s="2">
        <v>0.4</v>
      </c>
      <c r="S417" s="2">
        <v>1.1000000000000001</v>
      </c>
      <c r="T417" s="2">
        <f>+Q417-M417</f>
        <v>-0.59999999999999432</v>
      </c>
    </row>
    <row r="418" spans="1:20">
      <c r="A418" s="6">
        <v>540</v>
      </c>
      <c r="B418" t="s">
        <v>59</v>
      </c>
      <c r="C418" t="s">
        <v>7</v>
      </c>
      <c r="D418">
        <v>39</v>
      </c>
      <c r="E418">
        <v>43</v>
      </c>
      <c r="F418" s="1">
        <f>+D418/(D418+E418)</f>
        <v>0.47560975609756095</v>
      </c>
      <c r="G418" s="2">
        <v>110.7</v>
      </c>
      <c r="H418" s="2">
        <v>111.8</v>
      </c>
      <c r="I418" s="2">
        <f>+G418-H418</f>
        <v>-1.0999999999999943</v>
      </c>
      <c r="J418" s="1">
        <f>+(G418^14)/((G418^14+H418^14))</f>
        <v>0.46544813340769592</v>
      </c>
      <c r="K418" s="2">
        <v>110.7</v>
      </c>
      <c r="L418" s="2">
        <v>112</v>
      </c>
      <c r="M418" s="2">
        <f>+K418-L418</f>
        <v>-1.2999999999999972</v>
      </c>
      <c r="N418" s="1">
        <f>+F418-J418</f>
        <v>1.0161622689865035E-2</v>
      </c>
      <c r="O418" s="2">
        <v>109.3</v>
      </c>
      <c r="P418" s="2">
        <v>111.2</v>
      </c>
      <c r="Q418" s="2">
        <f>+O418-P418</f>
        <v>-1.9000000000000057</v>
      </c>
      <c r="R418" s="2">
        <v>-1.1000000000000001</v>
      </c>
      <c r="S418" s="2">
        <v>-2.9</v>
      </c>
      <c r="T418" s="2">
        <f>+Q418-M418</f>
        <v>-0.60000000000000853</v>
      </c>
    </row>
    <row r="419" spans="1:20">
      <c r="A419" s="6">
        <v>30</v>
      </c>
      <c r="B419" t="s">
        <v>34</v>
      </c>
      <c r="C419" t="s">
        <v>5</v>
      </c>
      <c r="D419">
        <v>33</v>
      </c>
      <c r="E419">
        <v>49</v>
      </c>
      <c r="F419" s="1">
        <f>+D419/(D419+E419)</f>
        <v>0.40243902439024393</v>
      </c>
      <c r="G419" s="2">
        <v>94</v>
      </c>
      <c r="H419" s="2">
        <v>98.3</v>
      </c>
      <c r="I419" s="2">
        <f>+G419-H419</f>
        <v>-4.2999999999999972</v>
      </c>
      <c r="J419" s="1">
        <f>+(G419^14)/((G419^14+H419^14))</f>
        <v>0.34837053448478683</v>
      </c>
      <c r="K419" s="2">
        <v>100.4</v>
      </c>
      <c r="L419" s="2">
        <v>104.8</v>
      </c>
      <c r="M419" s="2">
        <f>+K419-L419</f>
        <v>-4.3999999999999915</v>
      </c>
      <c r="N419" s="1">
        <f>+F419-J419</f>
        <v>5.4068489905457096E-2</v>
      </c>
      <c r="O419" s="2">
        <v>95.5</v>
      </c>
      <c r="P419" s="2">
        <v>100.6</v>
      </c>
      <c r="Q419" s="2">
        <f>+O419-P419</f>
        <v>-5.0999999999999943</v>
      </c>
      <c r="R419" s="2">
        <v>-1.2</v>
      </c>
      <c r="S419" s="2">
        <v>-4</v>
      </c>
      <c r="T419" s="2">
        <f>+Q419-M419</f>
        <v>-0.70000000000000284</v>
      </c>
    </row>
    <row r="420" spans="1:20">
      <c r="A420" s="6">
        <v>530</v>
      </c>
      <c r="B420" t="s">
        <v>58</v>
      </c>
      <c r="C420" t="s">
        <v>25</v>
      </c>
      <c r="D420">
        <v>21</v>
      </c>
      <c r="E420">
        <v>61</v>
      </c>
      <c r="F420" s="1">
        <f>+D420/(D420+E420)</f>
        <v>0.25609756097560976</v>
      </c>
      <c r="G420" s="2">
        <v>103.9</v>
      </c>
      <c r="H420" s="2">
        <v>113.3</v>
      </c>
      <c r="I420" s="2">
        <f>+G420-H420</f>
        <v>-9.3999999999999915</v>
      </c>
      <c r="J420" s="1">
        <f>+(G420^14)/((G420^14+H420^14))</f>
        <v>0.22925126807249627</v>
      </c>
      <c r="K420" s="2">
        <v>102.8</v>
      </c>
      <c r="L420" s="2">
        <v>111.7</v>
      </c>
      <c r="M420" s="2">
        <f>+K420-L420</f>
        <v>-8.9000000000000057</v>
      </c>
      <c r="N420" s="1">
        <f>+F420-J420</f>
        <v>2.6846292903113494E-2</v>
      </c>
      <c r="O420" s="2">
        <v>95.3</v>
      </c>
      <c r="P420" s="2">
        <v>104.9</v>
      </c>
      <c r="Q420" s="2">
        <f>+O420-P420</f>
        <v>-9.6000000000000085</v>
      </c>
      <c r="R420" s="2">
        <v>-0.4</v>
      </c>
      <c r="S420" s="2">
        <v>-2.6</v>
      </c>
      <c r="T420" s="2">
        <f>+Q420-M420</f>
        <v>-0.70000000000000284</v>
      </c>
    </row>
    <row r="421" spans="1:20">
      <c r="A421" s="6">
        <v>199</v>
      </c>
      <c r="B421" t="s">
        <v>43</v>
      </c>
      <c r="C421" t="s">
        <v>25</v>
      </c>
      <c r="D421">
        <v>61</v>
      </c>
      <c r="E421">
        <v>21</v>
      </c>
      <c r="F421" s="1">
        <f>+D421/(D421+E421)</f>
        <v>0.74390243902439024</v>
      </c>
      <c r="G421" s="2">
        <v>110.2</v>
      </c>
      <c r="H421" s="2">
        <v>102.9</v>
      </c>
      <c r="I421" s="2">
        <f>+G421-H421</f>
        <v>7.2999999999999972</v>
      </c>
      <c r="J421" s="1">
        <f>+(G421^14)/((G421^14+H421^14))</f>
        <v>0.72303160932792188</v>
      </c>
      <c r="K421" s="2">
        <v>112.9</v>
      </c>
      <c r="L421" s="2">
        <v>105.5</v>
      </c>
      <c r="M421" s="2">
        <f>+K421-L421</f>
        <v>7.4000000000000057</v>
      </c>
      <c r="N421" s="1">
        <f>+F421-J421</f>
        <v>2.0870829696468363E-2</v>
      </c>
      <c r="O421" s="2">
        <v>108.6</v>
      </c>
      <c r="P421" s="2">
        <v>101.9</v>
      </c>
      <c r="Q421" s="2">
        <f>+O421-P421</f>
        <v>6.6999999999999886</v>
      </c>
      <c r="R421" s="2">
        <v>0.9</v>
      </c>
      <c r="S421" s="2">
        <v>4.2</v>
      </c>
      <c r="T421" s="2">
        <f>+Q421-M421</f>
        <v>-0.70000000000001705</v>
      </c>
    </row>
    <row r="422" spans="1:20">
      <c r="A422" s="6">
        <v>592</v>
      </c>
      <c r="B422" t="s">
        <v>60</v>
      </c>
      <c r="C422" t="s">
        <v>27</v>
      </c>
      <c r="D422">
        <v>31</v>
      </c>
      <c r="E422">
        <v>41</v>
      </c>
      <c r="F422" s="1">
        <f>+D422/(D422+E422)</f>
        <v>0.43055555555555558</v>
      </c>
      <c r="G422" s="2">
        <v>110.1</v>
      </c>
      <c r="H422" s="2">
        <v>112.1</v>
      </c>
      <c r="I422" s="2">
        <f>+G422-H422</f>
        <v>-2</v>
      </c>
      <c r="J422" s="1">
        <f>+(G422^14)/((G422^14+H422^14))</f>
        <v>0.43732341582347528</v>
      </c>
      <c r="K422" s="2">
        <v>109.5</v>
      </c>
      <c r="L422" s="2">
        <v>111.4</v>
      </c>
      <c r="M422" s="2">
        <f>+K422-L422</f>
        <v>-1.9000000000000057</v>
      </c>
      <c r="N422" s="1">
        <f>+F422-J422</f>
        <v>-6.7678602679197009E-3</v>
      </c>
      <c r="O422" s="2">
        <v>111</v>
      </c>
      <c r="P422" s="2">
        <v>113.7</v>
      </c>
      <c r="Q422" s="2">
        <f>+O422-P422</f>
        <v>-2.7000000000000028</v>
      </c>
      <c r="R422" s="2">
        <v>0.1</v>
      </c>
      <c r="S422" s="2">
        <v>-1</v>
      </c>
      <c r="T422" s="2">
        <f>+Q422-M422</f>
        <v>-0.79999999999999716</v>
      </c>
    </row>
    <row r="423" spans="1:20">
      <c r="A423" s="6">
        <v>533</v>
      </c>
      <c r="B423" t="s">
        <v>58</v>
      </c>
      <c r="C423" t="s">
        <v>28</v>
      </c>
      <c r="D423">
        <v>47</v>
      </c>
      <c r="E423">
        <v>35</v>
      </c>
      <c r="F423" s="1">
        <f>+D423/(D423+E423)</f>
        <v>0.57317073170731703</v>
      </c>
      <c r="G423" s="2">
        <v>102.7</v>
      </c>
      <c r="H423" s="2">
        <v>99.8</v>
      </c>
      <c r="I423" s="2">
        <f>+G423-H423</f>
        <v>2.9000000000000057</v>
      </c>
      <c r="J423" s="1">
        <f>+(G423^14)/((G423^14+H423^14))</f>
        <v>0.59893151729191718</v>
      </c>
      <c r="K423" s="2">
        <v>107.1</v>
      </c>
      <c r="L423" s="2">
        <v>104.1</v>
      </c>
      <c r="M423" s="2">
        <f>+K423-L423</f>
        <v>3</v>
      </c>
      <c r="N423" s="1">
        <f>+F423-J423</f>
        <v>-2.5760785584600154E-2</v>
      </c>
      <c r="O423" s="2">
        <v>106.8</v>
      </c>
      <c r="P423" s="2">
        <v>104.6</v>
      </c>
      <c r="Q423" s="2">
        <f>+O423-P423</f>
        <v>2.2000000000000028</v>
      </c>
      <c r="R423" s="2">
        <v>1.3</v>
      </c>
      <c r="S423" s="2">
        <v>6.5</v>
      </c>
      <c r="T423" s="2">
        <f>+Q423-M423</f>
        <v>-0.79999999999999716</v>
      </c>
    </row>
    <row r="424" spans="1:20">
      <c r="A424" s="6">
        <v>347</v>
      </c>
      <c r="B424" t="s">
        <v>49</v>
      </c>
      <c r="C424" t="s">
        <v>46</v>
      </c>
      <c r="D424">
        <v>47</v>
      </c>
      <c r="E424">
        <v>19</v>
      </c>
      <c r="F424" s="1">
        <f>+D424/(D424+E424)</f>
        <v>0.71212121212121215</v>
      </c>
      <c r="G424" s="2">
        <v>103.1</v>
      </c>
      <c r="H424" s="2">
        <v>96.9</v>
      </c>
      <c r="I424" s="2">
        <f>+G424-H424</f>
        <v>6.1999999999999886</v>
      </c>
      <c r="J424" s="1">
        <f>+(G424^14)/((G424^14+H424^14))</f>
        <v>0.70438730300910357</v>
      </c>
      <c r="K424" s="2">
        <v>108.4</v>
      </c>
      <c r="L424" s="2">
        <v>102.1</v>
      </c>
      <c r="M424" s="2">
        <f>+K424-L424</f>
        <v>6.3000000000000114</v>
      </c>
      <c r="N424" s="1">
        <f>+F424-J424</f>
        <v>7.7339091121085835E-3</v>
      </c>
      <c r="O424" s="2">
        <v>103.4</v>
      </c>
      <c r="P424" s="2">
        <v>97.9</v>
      </c>
      <c r="Q424" s="2">
        <f>+O424-P424</f>
        <v>5.5</v>
      </c>
      <c r="R424" s="2">
        <v>0.1</v>
      </c>
      <c r="S424" s="2">
        <v>3.2</v>
      </c>
      <c r="T424" s="2">
        <f>+Q424-M424</f>
        <v>-0.80000000000001137</v>
      </c>
    </row>
    <row r="425" spans="1:20">
      <c r="A425" s="6">
        <v>189</v>
      </c>
      <c r="B425" t="s">
        <v>43</v>
      </c>
      <c r="C425" t="s">
        <v>17</v>
      </c>
      <c r="D425">
        <v>42</v>
      </c>
      <c r="E425">
        <v>40</v>
      </c>
      <c r="F425" s="1">
        <f>+D425/(D425+E425)</f>
        <v>0.51219512195121952</v>
      </c>
      <c r="G425" s="2">
        <v>103.3</v>
      </c>
      <c r="H425" s="2">
        <v>103.4</v>
      </c>
      <c r="I425" s="2">
        <f>+G425-H425</f>
        <v>-0.10000000000000853</v>
      </c>
      <c r="J425" s="1">
        <f>+(G425^14)/((G425^14+H425^14))</f>
        <v>0.49661350096437384</v>
      </c>
      <c r="K425" s="2">
        <v>107.3</v>
      </c>
      <c r="L425" s="2">
        <v>107.5</v>
      </c>
      <c r="M425" s="2">
        <f>+K425-L425</f>
        <v>-0.20000000000000284</v>
      </c>
      <c r="N425" s="1">
        <f>+F425-J425</f>
        <v>1.5581620986845679E-2</v>
      </c>
      <c r="O425" s="2">
        <v>105</v>
      </c>
      <c r="P425" s="2">
        <v>106.1</v>
      </c>
      <c r="Q425" s="2">
        <f>+O425-P425</f>
        <v>-1.0999999999999943</v>
      </c>
      <c r="R425" s="2">
        <v>-0.2</v>
      </c>
      <c r="S425" s="2">
        <v>-1.2</v>
      </c>
      <c r="T425" s="2">
        <f>+Q425-M425</f>
        <v>-0.89999999999999147</v>
      </c>
    </row>
    <row r="426" spans="1:20">
      <c r="A426" s="6">
        <v>452</v>
      </c>
      <c r="B426" t="s">
        <v>55</v>
      </c>
      <c r="C426" t="s">
        <v>9</v>
      </c>
      <c r="D426">
        <v>57</v>
      </c>
      <c r="E426">
        <v>25</v>
      </c>
      <c r="F426" s="1">
        <f>+D426/(D426+E426)</f>
        <v>0.69512195121951215</v>
      </c>
      <c r="G426" s="2">
        <v>104.3</v>
      </c>
      <c r="H426" s="2">
        <v>98.3</v>
      </c>
      <c r="I426" s="2">
        <f>+G426-H426</f>
        <v>6</v>
      </c>
      <c r="J426" s="1">
        <f>+(G426^14)/((G426^14+H426^14))</f>
        <v>0.6962413060313849</v>
      </c>
      <c r="K426" s="2">
        <v>110.2</v>
      </c>
      <c r="L426" s="2">
        <v>103.9</v>
      </c>
      <c r="M426" s="2">
        <f>+K426-L426</f>
        <v>6.2999999999999972</v>
      </c>
      <c r="N426" s="1">
        <f>+F426-J426</f>
        <v>-1.1193548118727525E-3</v>
      </c>
      <c r="O426" s="2">
        <v>103.4</v>
      </c>
      <c r="P426" s="2">
        <v>98</v>
      </c>
      <c r="Q426" s="2">
        <f>+O426-P426</f>
        <v>5.4000000000000057</v>
      </c>
      <c r="R426" s="2">
        <v>0.7</v>
      </c>
      <c r="S426" s="2">
        <v>3.7</v>
      </c>
      <c r="T426" s="2">
        <f>+Q426-M426</f>
        <v>-0.89999999999999147</v>
      </c>
    </row>
    <row r="427" spans="1:20">
      <c r="A427" s="6">
        <v>625</v>
      </c>
      <c r="B427" t="s">
        <v>61</v>
      </c>
      <c r="C427" t="s">
        <v>31</v>
      </c>
      <c r="D427">
        <v>52</v>
      </c>
      <c r="E427">
        <v>20</v>
      </c>
      <c r="F427" s="1">
        <f>+D427/(D427+E427)</f>
        <v>0.72222222222222221</v>
      </c>
      <c r="G427" s="2">
        <v>116.4</v>
      </c>
      <c r="H427" s="2">
        <v>107.2</v>
      </c>
      <c r="I427" s="2">
        <f>+G427-H427</f>
        <v>9.2000000000000028</v>
      </c>
      <c r="J427" s="1">
        <f>+(G427^14)/((G427^14+H427^14))</f>
        <v>0.76000519896530916</v>
      </c>
      <c r="K427" s="2">
        <v>116.5</v>
      </c>
      <c r="L427" s="2">
        <v>107.5</v>
      </c>
      <c r="M427" s="2">
        <f>+K427-L427</f>
        <v>9</v>
      </c>
      <c r="N427" s="1">
        <f>+F427-J427</f>
        <v>-3.7782976743086949E-2</v>
      </c>
      <c r="O427" s="2">
        <v>118.2</v>
      </c>
      <c r="P427" s="2">
        <v>110.1</v>
      </c>
      <c r="Q427" s="2">
        <f>+O427-P427</f>
        <v>8.1000000000000085</v>
      </c>
      <c r="R427" s="2">
        <v>1.2</v>
      </c>
      <c r="S427" s="2">
        <v>5.8</v>
      </c>
      <c r="T427" s="2">
        <f>+Q427-M427</f>
        <v>-0.89999999999999147</v>
      </c>
    </row>
    <row r="428" spans="1:20">
      <c r="A428" s="6">
        <v>264</v>
      </c>
      <c r="B428" t="s">
        <v>45</v>
      </c>
      <c r="C428" t="s">
        <v>30</v>
      </c>
      <c r="D428">
        <v>33</v>
      </c>
      <c r="E428">
        <v>49</v>
      </c>
      <c r="F428" s="1">
        <f>+D428/(D428+E428)</f>
        <v>0.40243902439024393</v>
      </c>
      <c r="G428" s="2">
        <v>99</v>
      </c>
      <c r="H428" s="2">
        <v>101.9</v>
      </c>
      <c r="I428" s="2">
        <f>+G428-H428</f>
        <v>-2.9000000000000057</v>
      </c>
      <c r="J428" s="1">
        <f>+(G428^14)/((G428^14+H428^14))</f>
        <v>0.4003014410465785</v>
      </c>
      <c r="K428" s="2">
        <v>105.5</v>
      </c>
      <c r="L428" s="2">
        <v>108.6</v>
      </c>
      <c r="M428" s="2">
        <f>+K428-L428</f>
        <v>-3.0999999999999943</v>
      </c>
      <c r="N428" s="1">
        <f>+F428-J428</f>
        <v>2.1375833436654279E-3</v>
      </c>
      <c r="O428" s="2">
        <v>107</v>
      </c>
      <c r="P428" s="2">
        <v>111</v>
      </c>
      <c r="Q428" s="2">
        <f>+O428-P428</f>
        <v>-4</v>
      </c>
      <c r="R428" s="2">
        <v>-0.5</v>
      </c>
      <c r="S428" s="2">
        <v>-3.5</v>
      </c>
      <c r="T428" s="2">
        <f>+Q428-M428</f>
        <v>-0.90000000000000568</v>
      </c>
    </row>
    <row r="429" spans="1:20">
      <c r="A429" s="6">
        <v>510</v>
      </c>
      <c r="B429" t="s">
        <v>58</v>
      </c>
      <c r="C429" t="s">
        <v>7</v>
      </c>
      <c r="D429">
        <v>36</v>
      </c>
      <c r="E429">
        <v>46</v>
      </c>
      <c r="F429" s="1">
        <f>+D429/(D429+E429)</f>
        <v>0.43902439024390244</v>
      </c>
      <c r="G429" s="2">
        <v>108.2</v>
      </c>
      <c r="H429" s="2">
        <v>108</v>
      </c>
      <c r="I429" s="2">
        <f>+G429-H429</f>
        <v>0.20000000000000284</v>
      </c>
      <c r="J429" s="1">
        <f>+(G429^14)/((G429^14+H429^14))</f>
        <v>0.50647512549319473</v>
      </c>
      <c r="K429" s="2">
        <v>109</v>
      </c>
      <c r="L429" s="2">
        <v>109</v>
      </c>
      <c r="M429" s="2">
        <f>+K429-L429</f>
        <v>0</v>
      </c>
      <c r="N429" s="1">
        <f>+F429-J429</f>
        <v>-6.7450735249292293E-2</v>
      </c>
      <c r="O429" s="2">
        <v>98.8</v>
      </c>
      <c r="P429" s="2">
        <v>99.7</v>
      </c>
      <c r="Q429" s="2">
        <f>+O429-P429</f>
        <v>-0.90000000000000568</v>
      </c>
      <c r="R429" s="2">
        <v>-0.3</v>
      </c>
      <c r="S429" s="2">
        <v>-1.6</v>
      </c>
      <c r="T429" s="2">
        <f>+Q429-M429</f>
        <v>-0.90000000000000568</v>
      </c>
    </row>
    <row r="430" spans="1:20">
      <c r="A430" s="6">
        <v>663</v>
      </c>
      <c r="B430" t="s">
        <v>63</v>
      </c>
      <c r="C430" t="s">
        <v>10</v>
      </c>
      <c r="D430">
        <v>38</v>
      </c>
      <c r="E430">
        <v>44</v>
      </c>
      <c r="F430" s="1">
        <f>+D430/(D430+E430)</f>
        <v>0.46341463414634149</v>
      </c>
      <c r="G430" s="2">
        <v>114.2</v>
      </c>
      <c r="H430" s="2">
        <v>114.1</v>
      </c>
      <c r="I430" s="2">
        <f>+G430-H430</f>
        <v>0.10000000000000853</v>
      </c>
      <c r="J430" s="1">
        <f>+(G430^14)/((G430^14+H430^14))</f>
        <v>0.50306610280519148</v>
      </c>
      <c r="K430" s="2">
        <v>115.9</v>
      </c>
      <c r="L430" s="2">
        <v>116.1</v>
      </c>
      <c r="M430" s="2">
        <f>+K430-L430</f>
        <v>-0.19999999999998863</v>
      </c>
      <c r="N430" s="1">
        <f>+F430-J430</f>
        <v>-3.9651468658849998E-2</v>
      </c>
      <c r="O430" s="2">
        <v>105.1</v>
      </c>
      <c r="P430" s="2">
        <v>106.2</v>
      </c>
      <c r="Q430" s="2">
        <f>+O430-P430</f>
        <v>-1.1000000000000085</v>
      </c>
      <c r="R430" s="2">
        <v>-0.7</v>
      </c>
      <c r="S430" s="2">
        <v>-1.8</v>
      </c>
      <c r="T430" s="2">
        <f>+Q430-M430</f>
        <v>-0.9000000000000199</v>
      </c>
    </row>
    <row r="431" spans="1:20">
      <c r="A431" s="6">
        <v>557</v>
      </c>
      <c r="B431" t="s">
        <v>59</v>
      </c>
      <c r="C431" t="s">
        <v>46</v>
      </c>
      <c r="D431">
        <v>49</v>
      </c>
      <c r="E431">
        <v>33</v>
      </c>
      <c r="F431" s="1">
        <f>+D431/(D431+E431)</f>
        <v>0.59756097560975607</v>
      </c>
      <c r="G431" s="2">
        <v>114.5</v>
      </c>
      <c r="H431" s="2">
        <v>111.1</v>
      </c>
      <c r="I431" s="2">
        <f>+G431-H431</f>
        <v>3.4000000000000057</v>
      </c>
      <c r="J431" s="1">
        <f>+(G431^14)/((G431^14+H431^14))</f>
        <v>0.60396598327503692</v>
      </c>
      <c r="K431" s="2">
        <v>109.8</v>
      </c>
      <c r="L431" s="2">
        <v>106.5</v>
      </c>
      <c r="M431" s="2">
        <f>+K431-L431</f>
        <v>3.2999999999999972</v>
      </c>
      <c r="N431" s="1">
        <f>+F431-J431</f>
        <v>-6.4050076652808485E-3</v>
      </c>
      <c r="O431" s="2">
        <v>106.9</v>
      </c>
      <c r="P431" s="2">
        <v>104.6</v>
      </c>
      <c r="Q431" s="2">
        <f>+O431-P431</f>
        <v>2.3000000000000114</v>
      </c>
      <c r="R431" s="2">
        <v>1</v>
      </c>
      <c r="S431" s="2">
        <v>2.4</v>
      </c>
      <c r="T431" s="2">
        <f>+Q431-M431</f>
        <v>-0.99999999999998579</v>
      </c>
    </row>
    <row r="432" spans="1:20">
      <c r="A432" s="6">
        <v>389</v>
      </c>
      <c r="B432" t="s">
        <v>52</v>
      </c>
      <c r="C432" t="s">
        <v>51</v>
      </c>
      <c r="D432">
        <v>44</v>
      </c>
      <c r="E432">
        <v>38</v>
      </c>
      <c r="F432" s="1">
        <f>+D432/(D432+E432)</f>
        <v>0.53658536585365857</v>
      </c>
      <c r="G432" s="2">
        <v>98.5</v>
      </c>
      <c r="H432" s="2">
        <v>99.5</v>
      </c>
      <c r="I432" s="2">
        <f>+G432-H432</f>
        <v>-1</v>
      </c>
      <c r="J432" s="1">
        <f>+(G432^14)/((G432^14+H432^14))</f>
        <v>0.46470496450899657</v>
      </c>
      <c r="K432" s="2">
        <v>105.4</v>
      </c>
      <c r="L432" s="2">
        <v>106.7</v>
      </c>
      <c r="M432" s="2">
        <f>+K432-L432</f>
        <v>-1.2999999999999972</v>
      </c>
      <c r="N432" s="1">
        <f>+F432-J432</f>
        <v>7.1880401344662004E-2</v>
      </c>
      <c r="O432" s="2">
        <v>98.3</v>
      </c>
      <c r="P432" s="2">
        <v>100.6</v>
      </c>
      <c r="Q432" s="2">
        <f>+O432-P432</f>
        <v>-2.2999999999999972</v>
      </c>
      <c r="R432" s="2">
        <v>-1.1000000000000001</v>
      </c>
      <c r="S432" s="2">
        <v>-4.9000000000000004</v>
      </c>
      <c r="T432" s="2">
        <f>+Q432-M432</f>
        <v>-1</v>
      </c>
    </row>
    <row r="433" spans="1:20">
      <c r="A433" s="6">
        <v>114</v>
      </c>
      <c r="B433" t="s">
        <v>38</v>
      </c>
      <c r="C433" t="s">
        <v>30</v>
      </c>
      <c r="D433">
        <v>33</v>
      </c>
      <c r="E433">
        <v>49</v>
      </c>
      <c r="F433" s="1">
        <f>+D433/(D433+E433)</f>
        <v>0.40243902439024393</v>
      </c>
      <c r="G433" s="2">
        <v>85.4</v>
      </c>
      <c r="H433" s="2">
        <v>88.5</v>
      </c>
      <c r="I433" s="2">
        <f>+G433-H433</f>
        <v>-3.0999999999999943</v>
      </c>
      <c r="J433" s="1">
        <f>+(G433^14)/((G433^14+H433^14))</f>
        <v>0.37773096615035939</v>
      </c>
      <c r="K433" s="2">
        <v>95.3</v>
      </c>
      <c r="L433" s="2">
        <v>98.8</v>
      </c>
      <c r="M433" s="2">
        <f>+K433-L433</f>
        <v>-3.5</v>
      </c>
      <c r="N433" s="1">
        <f>+F433-J433</f>
        <v>2.4708058239884534E-2</v>
      </c>
      <c r="O433" s="2">
        <v>92.7</v>
      </c>
      <c r="P433" s="2">
        <v>97.2</v>
      </c>
      <c r="Q433" s="2">
        <f>+O433-P433</f>
        <v>-4.5</v>
      </c>
      <c r="R433" s="2">
        <v>0.3</v>
      </c>
      <c r="S433" s="2">
        <v>-0.9</v>
      </c>
      <c r="T433" s="2">
        <f>+Q433-M433</f>
        <v>-1</v>
      </c>
    </row>
    <row r="434" spans="1:20">
      <c r="A434" s="6">
        <v>759</v>
      </c>
      <c r="B434" t="s">
        <v>66</v>
      </c>
      <c r="C434" t="s">
        <v>56</v>
      </c>
      <c r="D434">
        <v>31</v>
      </c>
      <c r="E434">
        <v>32</v>
      </c>
      <c r="F434" s="1">
        <f>+D434/(D434+E434)</f>
        <v>0.49206349206349204</v>
      </c>
      <c r="G434" s="2">
        <v>112.6</v>
      </c>
      <c r="H434" s="2">
        <v>112.2</v>
      </c>
      <c r="I434" s="2">
        <f>+G434-H434</f>
        <v>0.39999999999999147</v>
      </c>
      <c r="J434" s="1">
        <f>+(G434^14)/((G434^14+H434^14))</f>
        <v>0.51245295332770446</v>
      </c>
      <c r="K434" s="2">
        <v>115.6</v>
      </c>
      <c r="L434" s="2">
        <v>115.3</v>
      </c>
      <c r="M434" s="2">
        <f>+K434-L434</f>
        <v>0.29999999999999716</v>
      </c>
      <c r="N434" s="1">
        <f>+F434-J434</f>
        <v>-2.0389461264212427E-2</v>
      </c>
      <c r="O434" s="2">
        <v>115.7</v>
      </c>
      <c r="P434" s="2">
        <v>116.4</v>
      </c>
      <c r="Q434" s="2">
        <f>+O434-P434</f>
        <v>-0.70000000000000284</v>
      </c>
      <c r="R434" s="2">
        <v>-0.7</v>
      </c>
      <c r="S434" s="2">
        <v>-0.1</v>
      </c>
      <c r="T434" s="2">
        <f>+Q434-M434</f>
        <v>-1</v>
      </c>
    </row>
    <row r="435" spans="1:20">
      <c r="A435" s="6">
        <v>566</v>
      </c>
      <c r="B435" t="s">
        <v>59</v>
      </c>
      <c r="C435" t="s">
        <v>33</v>
      </c>
      <c r="D435">
        <v>32</v>
      </c>
      <c r="E435">
        <v>50</v>
      </c>
      <c r="F435" s="1">
        <f>+D435/(D435+E435)</f>
        <v>0.3902439024390244</v>
      </c>
      <c r="G435" s="2">
        <v>114</v>
      </c>
      <c r="H435" s="2">
        <v>116.9</v>
      </c>
      <c r="I435" s="2">
        <f>+G435-H435</f>
        <v>-2.9000000000000057</v>
      </c>
      <c r="J435" s="1">
        <f>+(G435^14)/((G435^14+H435^14))</f>
        <v>0.41297365907785938</v>
      </c>
      <c r="K435" s="2">
        <v>110.2</v>
      </c>
      <c r="L435" s="2">
        <v>112.9</v>
      </c>
      <c r="M435" s="2">
        <f>+K435-L435</f>
        <v>-2.7000000000000028</v>
      </c>
      <c r="N435" s="1">
        <f>+F435-J435</f>
        <v>-2.2729756638834975E-2</v>
      </c>
      <c r="O435" s="2">
        <v>108.1</v>
      </c>
      <c r="P435" s="2">
        <v>111.8</v>
      </c>
      <c r="Q435" s="2">
        <f>+O435-P435</f>
        <v>-3.7000000000000028</v>
      </c>
      <c r="R435" s="2">
        <v>1.1000000000000001</v>
      </c>
      <c r="S435" s="2">
        <v>4.5</v>
      </c>
      <c r="T435" s="2">
        <f>+Q435-M435</f>
        <v>-1</v>
      </c>
    </row>
    <row r="436" spans="1:20">
      <c r="A436" s="6">
        <v>343</v>
      </c>
      <c r="B436" t="s">
        <v>49</v>
      </c>
      <c r="C436" t="s">
        <v>20</v>
      </c>
      <c r="D436">
        <v>26</v>
      </c>
      <c r="E436">
        <v>40</v>
      </c>
      <c r="F436" s="1">
        <f>+D436/(D436+E436)</f>
        <v>0.39393939393939392</v>
      </c>
      <c r="G436" s="2">
        <v>97.9</v>
      </c>
      <c r="H436" s="2">
        <v>100.1</v>
      </c>
      <c r="I436" s="2">
        <f>+G436-H436</f>
        <v>-2.1999999999999886</v>
      </c>
      <c r="J436" s="1">
        <f>+(G436^14)/((G436^14+H436^14))</f>
        <v>0.42284042770166808</v>
      </c>
      <c r="K436" s="2">
        <v>103.1</v>
      </c>
      <c r="L436" s="2">
        <v>105.3</v>
      </c>
      <c r="M436" s="2">
        <f>+K436-L436</f>
        <v>-2.2000000000000028</v>
      </c>
      <c r="N436" s="1">
        <f>+F436-J436</f>
        <v>-2.8901033762274153E-2</v>
      </c>
      <c r="O436" s="2">
        <v>101</v>
      </c>
      <c r="P436" s="2">
        <v>104.2</v>
      </c>
      <c r="Q436" s="2">
        <f>+O436-P436</f>
        <v>-3.2000000000000028</v>
      </c>
      <c r="R436" s="2">
        <v>0.2</v>
      </c>
      <c r="S436" s="2">
        <v>2.1</v>
      </c>
      <c r="T436" s="2">
        <f>+Q436-M436</f>
        <v>-1</v>
      </c>
    </row>
    <row r="437" spans="1:20">
      <c r="A437" s="6">
        <v>590</v>
      </c>
      <c r="B437" t="s">
        <v>60</v>
      </c>
      <c r="C437" t="s">
        <v>25</v>
      </c>
      <c r="D437">
        <v>34</v>
      </c>
      <c r="E437">
        <v>39</v>
      </c>
      <c r="F437" s="1">
        <f>+D437/(D437+E437)</f>
        <v>0.46575342465753422</v>
      </c>
      <c r="G437" s="2">
        <v>113.6</v>
      </c>
      <c r="H437" s="2">
        <v>113.4</v>
      </c>
      <c r="I437" s="2">
        <f>+G437-H437</f>
        <v>0.19999999999998863</v>
      </c>
      <c r="J437" s="1">
        <f>+(G437^14)/((G437^14+H437^14))</f>
        <v>0.50616708971115398</v>
      </c>
      <c r="K437" s="2">
        <v>111.3</v>
      </c>
      <c r="L437" s="2">
        <v>110.8</v>
      </c>
      <c r="M437" s="2">
        <f>+K437-L437</f>
        <v>0.5</v>
      </c>
      <c r="N437" s="1">
        <f>+F437-J437</f>
        <v>-4.0413665053619763E-2</v>
      </c>
      <c r="O437" s="2">
        <v>110.3</v>
      </c>
      <c r="P437" s="2">
        <v>110.8</v>
      </c>
      <c r="Q437" s="2">
        <f>+O437-P437</f>
        <v>-0.5</v>
      </c>
      <c r="R437" s="2">
        <v>-0.7</v>
      </c>
      <c r="S437" s="2">
        <v>-0.9</v>
      </c>
      <c r="T437" s="2">
        <f>+Q437-M437</f>
        <v>-1</v>
      </c>
    </row>
    <row r="438" spans="1:20">
      <c r="A438" s="6">
        <v>488</v>
      </c>
      <c r="B438" t="s">
        <v>57</v>
      </c>
      <c r="C438" t="s">
        <v>15</v>
      </c>
      <c r="D438">
        <v>42</v>
      </c>
      <c r="E438">
        <v>40</v>
      </c>
      <c r="F438" s="1">
        <f>+D438/(D438+E438)</f>
        <v>0.51219512195121952</v>
      </c>
      <c r="G438" s="2">
        <v>105.1</v>
      </c>
      <c r="H438" s="2">
        <v>105.3</v>
      </c>
      <c r="I438" s="2">
        <f>+G438-H438</f>
        <v>-0.20000000000000284</v>
      </c>
      <c r="J438" s="1">
        <f>+(G438^14)/((G438^14+H438^14))</f>
        <v>0.49334639838574956</v>
      </c>
      <c r="K438" s="2">
        <v>107.9</v>
      </c>
      <c r="L438" s="2">
        <v>108.1</v>
      </c>
      <c r="M438" s="2">
        <f>+K438-L438</f>
        <v>-0.19999999999998863</v>
      </c>
      <c r="N438" s="1">
        <f>+F438-J438</f>
        <v>1.884872356546996E-2</v>
      </c>
      <c r="O438" s="2">
        <v>103.1</v>
      </c>
      <c r="P438" s="2">
        <v>104.3</v>
      </c>
      <c r="Q438" s="2">
        <f>+O438-P438</f>
        <v>-1.2000000000000028</v>
      </c>
      <c r="R438" s="2">
        <v>-0.6</v>
      </c>
      <c r="S438" s="2">
        <v>-2.8</v>
      </c>
      <c r="T438" s="2">
        <f>+Q438-M438</f>
        <v>-1.0000000000000142</v>
      </c>
    </row>
    <row r="439" spans="1:20">
      <c r="A439" s="6">
        <v>279</v>
      </c>
      <c r="B439" t="s">
        <v>47</v>
      </c>
      <c r="C439" t="s">
        <v>17</v>
      </c>
      <c r="D439">
        <v>57</v>
      </c>
      <c r="E439">
        <v>25</v>
      </c>
      <c r="F439" s="1">
        <f>+D439/(D439+E439)</f>
        <v>0.69512195121951215</v>
      </c>
      <c r="G439" s="2">
        <v>101.7</v>
      </c>
      <c r="H439" s="2">
        <v>97</v>
      </c>
      <c r="I439" s="2">
        <f>+G439-H439</f>
        <v>4.7000000000000028</v>
      </c>
      <c r="J439" s="1">
        <f>+(G439^14)/((G439^14+H439^14))</f>
        <v>0.65980571592524628</v>
      </c>
      <c r="K439" s="2">
        <v>107.6</v>
      </c>
      <c r="L439" s="2">
        <v>102.7</v>
      </c>
      <c r="M439" s="2">
        <f>+K439-L439</f>
        <v>4.8999999999999915</v>
      </c>
      <c r="N439" s="1">
        <f>+F439-J439</f>
        <v>3.5316235294265863E-2</v>
      </c>
      <c r="O439" s="2">
        <v>99.7</v>
      </c>
      <c r="P439" s="2">
        <v>95.9</v>
      </c>
      <c r="Q439" s="2">
        <f>+O439-P439</f>
        <v>3.7999999999999972</v>
      </c>
      <c r="R439" s="2">
        <v>0.2</v>
      </c>
      <c r="S439" s="2">
        <v>-0.6</v>
      </c>
      <c r="T439" s="2">
        <f>+Q439-M439</f>
        <v>-1.0999999999999943</v>
      </c>
    </row>
    <row r="440" spans="1:20">
      <c r="A440" s="6">
        <v>281</v>
      </c>
      <c r="B440" t="s">
        <v>47</v>
      </c>
      <c r="C440" t="s">
        <v>18</v>
      </c>
      <c r="D440">
        <v>47</v>
      </c>
      <c r="E440">
        <v>35</v>
      </c>
      <c r="F440" s="1">
        <f>+D440/(D440+E440)</f>
        <v>0.57317073170731703</v>
      </c>
      <c r="G440" s="2">
        <v>96.5</v>
      </c>
      <c r="H440" s="2">
        <v>94.2</v>
      </c>
      <c r="I440" s="2">
        <f>+G440-H440</f>
        <v>2.2999999999999972</v>
      </c>
      <c r="J440" s="1">
        <f>+(G440^14)/((G440^14+H440^14))</f>
        <v>0.58363647422814535</v>
      </c>
      <c r="K440" s="2">
        <v>105.7</v>
      </c>
      <c r="L440" s="2">
        <v>103.4</v>
      </c>
      <c r="M440" s="2">
        <f>+K440-L440</f>
        <v>2.2999999999999972</v>
      </c>
      <c r="N440" s="1">
        <f>+F440-J440</f>
        <v>-1.0465742520828325E-2</v>
      </c>
      <c r="O440" s="2">
        <v>102.9</v>
      </c>
      <c r="P440" s="2">
        <v>101.7</v>
      </c>
      <c r="Q440" s="2">
        <f>+O440-P440</f>
        <v>1.2000000000000028</v>
      </c>
      <c r="R440" s="2">
        <v>-0.9</v>
      </c>
      <c r="S440" s="2">
        <v>-3.7</v>
      </c>
      <c r="T440" s="2">
        <f>+Q440-M440</f>
        <v>-1.0999999999999943</v>
      </c>
    </row>
    <row r="441" spans="1:20">
      <c r="A441" s="6">
        <v>418</v>
      </c>
      <c r="B441" t="s">
        <v>54</v>
      </c>
      <c r="C441" t="s">
        <v>6</v>
      </c>
      <c r="D441">
        <v>40</v>
      </c>
      <c r="E441">
        <v>42</v>
      </c>
      <c r="F441" s="1">
        <f>+D441/(D441+E441)</f>
        <v>0.48780487804878048</v>
      </c>
      <c r="G441" s="2">
        <v>101.4</v>
      </c>
      <c r="H441" s="2">
        <v>101.2</v>
      </c>
      <c r="I441" s="2">
        <f>+G441-H441</f>
        <v>0.20000000000000284</v>
      </c>
      <c r="J441" s="1">
        <f>+(G441^14)/((G441^14+H441^14))</f>
        <v>0.50690973014497898</v>
      </c>
      <c r="K441" s="2">
        <v>103.8</v>
      </c>
      <c r="L441" s="2">
        <v>103.5</v>
      </c>
      <c r="M441" s="2">
        <f>+K441-L441</f>
        <v>0.29999999999999716</v>
      </c>
      <c r="N441" s="1">
        <f>+F441-J441</f>
        <v>-1.9104852096198499E-2</v>
      </c>
      <c r="O441" s="2">
        <v>103</v>
      </c>
      <c r="P441" s="2">
        <v>103.8</v>
      </c>
      <c r="Q441" s="2">
        <f>+O441-P441</f>
        <v>-0.79999999999999716</v>
      </c>
      <c r="R441" s="2">
        <v>0.9</v>
      </c>
      <c r="S441" s="2">
        <v>3.2</v>
      </c>
      <c r="T441" s="2">
        <f>+Q441-M441</f>
        <v>-1.0999999999999943</v>
      </c>
    </row>
    <row r="442" spans="1:20">
      <c r="A442" s="6">
        <v>743</v>
      </c>
      <c r="B442" t="s">
        <v>65</v>
      </c>
      <c r="C442" t="s">
        <v>28</v>
      </c>
      <c r="D442">
        <v>34</v>
      </c>
      <c r="E442">
        <v>48</v>
      </c>
      <c r="F442" s="1">
        <f>+D442/(D442+E442)</f>
        <v>0.41463414634146339</v>
      </c>
      <c r="G442" s="2">
        <v>113.9</v>
      </c>
      <c r="H442" s="2">
        <v>116.7</v>
      </c>
      <c r="I442" s="2">
        <f>+G442-H442</f>
        <v>-2.7999999999999972</v>
      </c>
      <c r="J442" s="1">
        <f>+(G442^14)/((G442^14+H442^14))</f>
        <v>0.41580963161703305</v>
      </c>
      <c r="K442" s="2">
        <v>113.5</v>
      </c>
      <c r="L442" s="2">
        <v>116.3</v>
      </c>
      <c r="M442" s="2">
        <f>+K442-L442</f>
        <v>-2.7999999999999972</v>
      </c>
      <c r="N442" s="1">
        <f>+F442-J442</f>
        <v>-1.1754852755696543E-3</v>
      </c>
      <c r="O442" s="2">
        <v>103.5</v>
      </c>
      <c r="P442" s="2">
        <v>107.4</v>
      </c>
      <c r="Q442" s="2">
        <f>+O442-P442</f>
        <v>-3.9000000000000057</v>
      </c>
      <c r="R442" s="2">
        <v>-0.2</v>
      </c>
      <c r="S442" s="2">
        <v>-1.7</v>
      </c>
      <c r="T442" s="2">
        <f>+Q442-M442</f>
        <v>-1.1000000000000085</v>
      </c>
    </row>
    <row r="443" spans="1:20">
      <c r="A443" s="6">
        <v>709</v>
      </c>
      <c r="B443" t="s">
        <v>64</v>
      </c>
      <c r="C443" t="s">
        <v>24</v>
      </c>
      <c r="D443">
        <v>47</v>
      </c>
      <c r="E443">
        <v>35</v>
      </c>
      <c r="F443" s="1">
        <f>+D443/(D443+E443)</f>
        <v>0.57317073170731703</v>
      </c>
      <c r="G443" s="2">
        <v>114.6</v>
      </c>
      <c r="H443" s="2">
        <v>111.5</v>
      </c>
      <c r="I443" s="2">
        <f>+G443-H443</f>
        <v>3.0999999999999943</v>
      </c>
      <c r="J443" s="1">
        <f>+(G443^14)/((G443^14+H443^14))</f>
        <v>0.59481941226835489</v>
      </c>
      <c r="K443" s="2">
        <v>116.2</v>
      </c>
      <c r="L443" s="2">
        <v>113</v>
      </c>
      <c r="M443" s="2">
        <f>+K443-L443</f>
        <v>3.2000000000000028</v>
      </c>
      <c r="N443" s="1">
        <f>+F443-J443</f>
        <v>-2.1648680561037859E-2</v>
      </c>
      <c r="O443" s="2">
        <v>115.3</v>
      </c>
      <c r="P443" s="2">
        <v>113.2</v>
      </c>
      <c r="Q443" s="2">
        <f>+O443-P443</f>
        <v>2.0999999999999943</v>
      </c>
      <c r="R443" s="2">
        <v>0.7</v>
      </c>
      <c r="S443" s="2">
        <v>2.4</v>
      </c>
      <c r="T443" s="2">
        <f>+Q443-M443</f>
        <v>-1.1000000000000085</v>
      </c>
    </row>
    <row r="444" spans="1:20">
      <c r="A444" s="6">
        <v>758</v>
      </c>
      <c r="B444" t="s">
        <v>66</v>
      </c>
      <c r="C444" t="s">
        <v>15</v>
      </c>
      <c r="D444">
        <v>15</v>
      </c>
      <c r="E444">
        <v>48</v>
      </c>
      <c r="F444" s="1">
        <f>+D444/(D444+E444)</f>
        <v>0.23809523809523808</v>
      </c>
      <c r="G444" s="2">
        <v>111.4</v>
      </c>
      <c r="H444" s="2">
        <v>119.9</v>
      </c>
      <c r="I444" s="2">
        <f>+G444-H444</f>
        <v>-8.5</v>
      </c>
      <c r="J444" s="1">
        <f>+(G444^14)/((G444^14+H444^14))</f>
        <v>0.26319457048820816</v>
      </c>
      <c r="K444" s="2">
        <v>108.7</v>
      </c>
      <c r="L444" s="2">
        <v>117</v>
      </c>
      <c r="M444" s="2">
        <f>+K444-L444</f>
        <v>-8.2999999999999972</v>
      </c>
      <c r="N444" s="1">
        <f>+F444-J444</f>
        <v>-2.5099332392970075E-2</v>
      </c>
      <c r="O444" s="2">
        <v>97.6</v>
      </c>
      <c r="P444" s="2">
        <v>107</v>
      </c>
      <c r="Q444" s="2">
        <f>+O444-P444</f>
        <v>-9.4000000000000057</v>
      </c>
      <c r="R444" s="2">
        <v>-1</v>
      </c>
      <c r="S444" s="2">
        <v>-4.8</v>
      </c>
      <c r="T444" s="2">
        <f>+Q444-M444</f>
        <v>-1.1000000000000085</v>
      </c>
    </row>
    <row r="445" spans="1:20">
      <c r="A445" s="6">
        <v>243</v>
      </c>
      <c r="B445" t="s">
        <v>45</v>
      </c>
      <c r="C445" t="s">
        <v>11</v>
      </c>
      <c r="D445">
        <v>54</v>
      </c>
      <c r="E445">
        <v>28</v>
      </c>
      <c r="F445" s="1">
        <f>+D445/(D445+E445)</f>
        <v>0.65853658536585369</v>
      </c>
      <c r="G445" s="2">
        <v>104.3</v>
      </c>
      <c r="H445" s="2">
        <v>100.9</v>
      </c>
      <c r="I445" s="2">
        <f>+G445-H445</f>
        <v>3.3999999999999915</v>
      </c>
      <c r="J445" s="1">
        <f>+(G445^14)/((G445^14+H445^14))</f>
        <v>0.61395793719078184</v>
      </c>
      <c r="K445" s="2">
        <v>109</v>
      </c>
      <c r="L445" s="2">
        <v>105.6</v>
      </c>
      <c r="M445" s="2">
        <f>+K445-L445</f>
        <v>3.4000000000000057</v>
      </c>
      <c r="N445" s="1">
        <f>+F445-J445</f>
        <v>4.4578648175071844E-2</v>
      </c>
      <c r="O445" s="2">
        <v>108.5</v>
      </c>
      <c r="P445" s="2">
        <v>106.3</v>
      </c>
      <c r="Q445" s="2">
        <f>+O445-P445</f>
        <v>2.2000000000000028</v>
      </c>
      <c r="R445" s="2">
        <v>-0.4</v>
      </c>
      <c r="S445" s="2">
        <v>-1</v>
      </c>
      <c r="T445" s="2">
        <f>+Q445-M445</f>
        <v>-1.2000000000000028</v>
      </c>
    </row>
    <row r="446" spans="1:20">
      <c r="A446" s="6">
        <v>274</v>
      </c>
      <c r="B446" t="s">
        <v>47</v>
      </c>
      <c r="C446" t="s">
        <v>12</v>
      </c>
      <c r="D446">
        <v>27</v>
      </c>
      <c r="E446">
        <v>55</v>
      </c>
      <c r="F446" s="1">
        <f>+D446/(D446+E446)</f>
        <v>0.32926829268292684</v>
      </c>
      <c r="G446" s="2">
        <v>94</v>
      </c>
      <c r="H446" s="2">
        <v>99.1</v>
      </c>
      <c r="I446" s="2">
        <f>+G446-H446</f>
        <v>-5.0999999999999943</v>
      </c>
      <c r="J446" s="1">
        <f>+(G446^14)/((G446^14+H446^14))</f>
        <v>0.32307297980123056</v>
      </c>
      <c r="K446" s="2">
        <v>104.5</v>
      </c>
      <c r="L446" s="2">
        <v>110.3</v>
      </c>
      <c r="M446" s="2">
        <f>+K446-L446</f>
        <v>-5.7999999999999972</v>
      </c>
      <c r="N446" s="1">
        <f>+F446-J446</f>
        <v>6.1953128816962799E-3</v>
      </c>
      <c r="O446" s="2">
        <v>98.1</v>
      </c>
      <c r="P446" s="2">
        <v>105.1</v>
      </c>
      <c r="Q446" s="2">
        <f>+O446-P446</f>
        <v>-7</v>
      </c>
      <c r="R446" s="2">
        <v>-1.1000000000000001</v>
      </c>
      <c r="S446" s="2">
        <v>-7</v>
      </c>
      <c r="T446" s="2">
        <f>+Q446-M446</f>
        <v>-1.2000000000000028</v>
      </c>
    </row>
    <row r="447" spans="1:20">
      <c r="A447" s="6">
        <v>736</v>
      </c>
      <c r="B447" t="s">
        <v>65</v>
      </c>
      <c r="C447" t="s">
        <v>22</v>
      </c>
      <c r="D447">
        <v>51</v>
      </c>
      <c r="E447">
        <v>31</v>
      </c>
      <c r="F447" s="1">
        <f>+D447/(D447+E447)</f>
        <v>0.62195121951219512</v>
      </c>
      <c r="G447" s="2">
        <v>115.8</v>
      </c>
      <c r="H447" s="2">
        <v>111.7</v>
      </c>
      <c r="I447" s="2">
        <f>+G447-H447</f>
        <v>4.0999999999999943</v>
      </c>
      <c r="J447" s="1">
        <f>+(G447^14)/((G447^14+H447^14))</f>
        <v>0.62355617559165299</v>
      </c>
      <c r="K447" s="2">
        <v>117.3</v>
      </c>
      <c r="L447" s="2">
        <v>113.3</v>
      </c>
      <c r="M447" s="2">
        <f>+K447-L447</f>
        <v>4</v>
      </c>
      <c r="N447" s="1">
        <f>+F447-J447</f>
        <v>-1.6049560794578754E-3</v>
      </c>
      <c r="O447" s="2">
        <v>111.2</v>
      </c>
      <c r="P447" s="2">
        <v>108.4</v>
      </c>
      <c r="Q447" s="2">
        <f>+O447-P447</f>
        <v>2.7999999999999972</v>
      </c>
      <c r="R447" s="2">
        <v>-1</v>
      </c>
      <c r="S447" s="2">
        <v>-4.7</v>
      </c>
      <c r="T447" s="2">
        <f>+Q447-M447</f>
        <v>-1.2000000000000028</v>
      </c>
    </row>
    <row r="448" spans="1:20">
      <c r="A448" s="6">
        <v>43</v>
      </c>
      <c r="B448" t="s">
        <v>34</v>
      </c>
      <c r="C448" t="s">
        <v>35</v>
      </c>
      <c r="D448">
        <v>23</v>
      </c>
      <c r="E448">
        <v>59</v>
      </c>
      <c r="F448" s="1">
        <f>+D448/(D448+E448)</f>
        <v>0.28048780487804881</v>
      </c>
      <c r="G448" s="2">
        <v>89.9</v>
      </c>
      <c r="H448" s="2">
        <v>97.3</v>
      </c>
      <c r="I448" s="2">
        <f>+G448-H448</f>
        <v>-7.3999999999999915</v>
      </c>
      <c r="J448" s="1">
        <f>+(G448^14)/((G448^14+H448^14))</f>
        <v>0.24835318847310597</v>
      </c>
      <c r="K448" s="2">
        <v>96.6</v>
      </c>
      <c r="L448" s="2">
        <v>104.7</v>
      </c>
      <c r="M448" s="2">
        <f>+K448-L448</f>
        <v>-8.1000000000000085</v>
      </c>
      <c r="N448" s="1">
        <f>+F448-J448</f>
        <v>3.2134616404942834E-2</v>
      </c>
      <c r="O448" s="2">
        <v>89.1</v>
      </c>
      <c r="P448" s="2">
        <v>98.5</v>
      </c>
      <c r="Q448" s="2">
        <f>+O448-P448</f>
        <v>-9.4000000000000057</v>
      </c>
      <c r="R448" s="2">
        <v>-1.2</v>
      </c>
      <c r="S448" s="2">
        <v>-5.9</v>
      </c>
      <c r="T448" s="2">
        <f>+Q448-M448</f>
        <v>-1.2999999999999972</v>
      </c>
    </row>
    <row r="449" spans="1:20">
      <c r="A449" s="6">
        <v>774</v>
      </c>
      <c r="B449" t="s">
        <v>66</v>
      </c>
      <c r="C449" t="s">
        <v>30</v>
      </c>
      <c r="D449">
        <v>35</v>
      </c>
      <c r="E449">
        <v>27</v>
      </c>
      <c r="F449" s="1">
        <f>+D449/(D449+E449)</f>
        <v>0.56451612903225812</v>
      </c>
      <c r="G449" s="2">
        <v>113.5</v>
      </c>
      <c r="H449" s="2">
        <v>112</v>
      </c>
      <c r="I449" s="2">
        <f>+G449-H449</f>
        <v>1.5</v>
      </c>
      <c r="J449" s="1">
        <f>+(G449^14)/((G449^14+H449^14))</f>
        <v>0.54642973229059522</v>
      </c>
      <c r="K449" s="2">
        <v>113.7</v>
      </c>
      <c r="L449" s="2">
        <v>112.2</v>
      </c>
      <c r="M449" s="2">
        <f>+K449-L449</f>
        <v>1.5</v>
      </c>
      <c r="N449" s="1">
        <f>+F449-J449</f>
        <v>1.8086396741662902E-2</v>
      </c>
      <c r="O449" s="2">
        <v>104.3</v>
      </c>
      <c r="P449" s="2">
        <v>104.1</v>
      </c>
      <c r="Q449" s="2">
        <f>+O449-P449</f>
        <v>0.20000000000000284</v>
      </c>
      <c r="R449" s="2">
        <v>-0.5</v>
      </c>
      <c r="S449" s="2">
        <v>-2.2999999999999998</v>
      </c>
      <c r="T449" s="2">
        <f>+Q449-M449</f>
        <v>-1.2999999999999972</v>
      </c>
    </row>
    <row r="450" spans="1:20">
      <c r="A450" s="6">
        <v>18</v>
      </c>
      <c r="B450" t="s">
        <v>4</v>
      </c>
      <c r="C450" t="s">
        <v>22</v>
      </c>
      <c r="D450">
        <v>48</v>
      </c>
      <c r="E450">
        <v>34</v>
      </c>
      <c r="F450" s="1">
        <f>+D450/(D450+E450)</f>
        <v>0.58536585365853655</v>
      </c>
      <c r="G450" s="2">
        <v>88.7</v>
      </c>
      <c r="H450" s="2">
        <v>86.1</v>
      </c>
      <c r="I450" s="2">
        <f>+G450-H450</f>
        <v>2.6000000000000085</v>
      </c>
      <c r="J450" s="1">
        <f>+(G450^14)/((G450^14+H450^14))</f>
        <v>0.6026470301039869</v>
      </c>
      <c r="K450" s="2">
        <v>100</v>
      </c>
      <c r="L450" s="2">
        <v>97</v>
      </c>
      <c r="M450" s="2">
        <f>+K450-L450</f>
        <v>3</v>
      </c>
      <c r="N450" s="1">
        <f>+F450-J450</f>
        <v>-1.7281176445450352E-2</v>
      </c>
      <c r="O450" s="2">
        <v>82.7</v>
      </c>
      <c r="P450" s="2">
        <v>81</v>
      </c>
      <c r="Q450" s="2">
        <f>+O450-P450</f>
        <v>1.7000000000000028</v>
      </c>
      <c r="R450" s="2">
        <v>1.3</v>
      </c>
      <c r="S450" s="2">
        <v>7.2</v>
      </c>
      <c r="T450" s="2">
        <f>+Q450-M450</f>
        <v>-1.2999999999999972</v>
      </c>
    </row>
    <row r="451" spans="1:20">
      <c r="A451" s="6">
        <v>465</v>
      </c>
      <c r="B451" t="s">
        <v>55</v>
      </c>
      <c r="C451" t="s">
        <v>53</v>
      </c>
      <c r="D451">
        <v>30</v>
      </c>
      <c r="E451">
        <v>52</v>
      </c>
      <c r="F451" s="1">
        <f>+D451/(D451+E451)</f>
        <v>0.36585365853658536</v>
      </c>
      <c r="G451" s="2">
        <v>102.7</v>
      </c>
      <c r="H451" s="2">
        <v>106.5</v>
      </c>
      <c r="I451" s="2">
        <f>+G451-H451</f>
        <v>-3.7999999999999972</v>
      </c>
      <c r="J451" s="1">
        <f>+(G451^14)/((G451^14+H451^14))</f>
        <v>0.37550766895906917</v>
      </c>
      <c r="K451" s="2">
        <v>104.8</v>
      </c>
      <c r="L451" s="2">
        <v>108.4</v>
      </c>
      <c r="M451" s="2">
        <f>+K451-L451</f>
        <v>-3.6000000000000085</v>
      </c>
      <c r="N451" s="1">
        <f>+F451-J451</f>
        <v>-9.6540104224838164E-3</v>
      </c>
      <c r="O451" s="2">
        <v>106.8</v>
      </c>
      <c r="P451" s="2">
        <v>111.8</v>
      </c>
      <c r="Q451" s="2">
        <f>+O451-P451</f>
        <v>-5</v>
      </c>
      <c r="R451" s="2">
        <v>-0.6</v>
      </c>
      <c r="S451" s="2">
        <v>-3.7</v>
      </c>
      <c r="T451" s="2">
        <f>+Q451-M451</f>
        <v>-1.3999999999999915</v>
      </c>
    </row>
    <row r="452" spans="1:20">
      <c r="A452" s="6">
        <v>565</v>
      </c>
      <c r="B452" t="s">
        <v>59</v>
      </c>
      <c r="C452" t="s">
        <v>31</v>
      </c>
      <c r="D452">
        <v>50</v>
      </c>
      <c r="E452">
        <v>32</v>
      </c>
      <c r="F452" s="1">
        <f>+D452/(D452+E452)</f>
        <v>0.6097560975609756</v>
      </c>
      <c r="G452" s="2">
        <v>111.7</v>
      </c>
      <c r="H452" s="2">
        <v>106.5</v>
      </c>
      <c r="I452" s="2">
        <f>+G452-H452</f>
        <v>5.2000000000000028</v>
      </c>
      <c r="J452" s="1">
        <f>+(G452^14)/((G452^14+H452^14))</f>
        <v>0.66092164871809023</v>
      </c>
      <c r="K452" s="2">
        <v>110.3</v>
      </c>
      <c r="L452" s="2">
        <v>105.3</v>
      </c>
      <c r="M452" s="2">
        <f>+K452-L452</f>
        <v>5</v>
      </c>
      <c r="N452" s="1">
        <f>+F452-J452</f>
        <v>-5.116555115711463E-2</v>
      </c>
      <c r="O452" s="2">
        <v>112.7</v>
      </c>
      <c r="P452" s="2">
        <v>109.1</v>
      </c>
      <c r="Q452" s="2">
        <f>+O452-P452</f>
        <v>3.6000000000000085</v>
      </c>
      <c r="R452" s="2">
        <v>0.6</v>
      </c>
      <c r="S452" s="2">
        <v>4.0999999999999996</v>
      </c>
      <c r="T452" s="2">
        <f>+Q452-M452</f>
        <v>-1.3999999999999915</v>
      </c>
    </row>
    <row r="453" spans="1:20">
      <c r="A453" s="6">
        <v>367</v>
      </c>
      <c r="B453" t="s">
        <v>50</v>
      </c>
      <c r="C453" t="s">
        <v>14</v>
      </c>
      <c r="D453">
        <v>45</v>
      </c>
      <c r="E453">
        <v>37</v>
      </c>
      <c r="F453" s="1">
        <f>+D453/(D453+E453)</f>
        <v>0.54878048780487809</v>
      </c>
      <c r="G453" s="2">
        <v>106</v>
      </c>
      <c r="H453" s="2">
        <v>102.5</v>
      </c>
      <c r="I453" s="2">
        <f>+G453-H453</f>
        <v>3.5</v>
      </c>
      <c r="J453" s="1">
        <f>+(G453^14)/((G453^14+H453^14))</f>
        <v>0.61539988348983532</v>
      </c>
      <c r="K453" s="2">
        <v>108.8</v>
      </c>
      <c r="L453" s="2">
        <v>105.3</v>
      </c>
      <c r="M453" s="2">
        <f>+K453-L453</f>
        <v>3.5</v>
      </c>
      <c r="N453" s="1">
        <f>+F453-J453</f>
        <v>-6.6619395684957228E-2</v>
      </c>
      <c r="O453" s="2">
        <v>105.4</v>
      </c>
      <c r="P453" s="2">
        <v>103.3</v>
      </c>
      <c r="Q453" s="2">
        <f>+O453-P453</f>
        <v>2.1000000000000085</v>
      </c>
      <c r="R453" s="2">
        <v>1.1000000000000001</v>
      </c>
      <c r="S453" s="2">
        <v>5.2</v>
      </c>
      <c r="T453" s="2">
        <f>+Q453-M453</f>
        <v>-1.3999999999999915</v>
      </c>
    </row>
    <row r="454" spans="1:20">
      <c r="A454" s="6">
        <v>737</v>
      </c>
      <c r="B454" t="s">
        <v>65</v>
      </c>
      <c r="C454" t="s">
        <v>46</v>
      </c>
      <c r="D454">
        <v>67</v>
      </c>
      <c r="E454">
        <v>14</v>
      </c>
      <c r="F454" s="1">
        <f>+D454/(D454+E454)</f>
        <v>0.8271604938271605</v>
      </c>
      <c r="G454" s="2">
        <v>120.6</v>
      </c>
      <c r="H454" s="2">
        <v>107.8</v>
      </c>
      <c r="I454" s="2">
        <f>+G454-H454</f>
        <v>12.799999999999997</v>
      </c>
      <c r="J454" s="1">
        <f>+(G454^14)/((G454^14+H454^14))</f>
        <v>0.82790086778629035</v>
      </c>
      <c r="K454" s="2">
        <v>119.3</v>
      </c>
      <c r="L454" s="2">
        <v>106.7</v>
      </c>
      <c r="M454" s="2">
        <f>+K454-L454</f>
        <v>12.599999999999994</v>
      </c>
      <c r="N454" s="1">
        <f>+F454-J454</f>
        <v>-7.4037395912984749E-4</v>
      </c>
      <c r="O454" s="2">
        <v>118.2</v>
      </c>
      <c r="P454" s="2">
        <v>107.1</v>
      </c>
      <c r="Q454" s="2">
        <f>+O454-P454</f>
        <v>11.100000000000009</v>
      </c>
      <c r="R454" s="2">
        <v>1.9</v>
      </c>
      <c r="S454" s="2">
        <v>9.1</v>
      </c>
      <c r="T454" s="2">
        <f>+Q454-M454</f>
        <v>-1.4999999999999858</v>
      </c>
    </row>
    <row r="455" spans="1:20">
      <c r="A455" s="6">
        <v>91</v>
      </c>
      <c r="B455" t="s">
        <v>38</v>
      </c>
      <c r="C455" t="s">
        <v>9</v>
      </c>
      <c r="D455">
        <v>35</v>
      </c>
      <c r="E455">
        <v>47</v>
      </c>
      <c r="F455" s="1">
        <f>+D455/(D455+E455)</f>
        <v>0.42682926829268292</v>
      </c>
      <c r="G455" s="2">
        <v>92.9</v>
      </c>
      <c r="H455" s="2">
        <v>95.5</v>
      </c>
      <c r="I455" s="2">
        <f>+G455-H455</f>
        <v>-2.5999999999999943</v>
      </c>
      <c r="J455" s="1">
        <f>+(G455^14)/((G455^14+H455^14))</f>
        <v>0.40457545277008533</v>
      </c>
      <c r="K455" s="2">
        <v>100.6</v>
      </c>
      <c r="L455" s="2">
        <v>103.1</v>
      </c>
      <c r="M455" s="2">
        <f>+K455-L455</f>
        <v>-2.5</v>
      </c>
      <c r="N455" s="1">
        <f>+F455-J455</f>
        <v>2.2253815522597586E-2</v>
      </c>
      <c r="O455" s="2">
        <v>93.1</v>
      </c>
      <c r="P455" s="2">
        <v>97.1</v>
      </c>
      <c r="Q455" s="2">
        <f>+O455-P455</f>
        <v>-4</v>
      </c>
      <c r="R455" s="2">
        <v>-0.5</v>
      </c>
      <c r="S455" s="2">
        <v>-4.2</v>
      </c>
      <c r="T455" s="2">
        <f>+Q455-M455</f>
        <v>-1.5</v>
      </c>
    </row>
    <row r="456" spans="1:20">
      <c r="A456" s="6">
        <v>667</v>
      </c>
      <c r="B456" t="s">
        <v>63</v>
      </c>
      <c r="C456" t="s">
        <v>14</v>
      </c>
      <c r="D456">
        <v>22</v>
      </c>
      <c r="E456">
        <v>60</v>
      </c>
      <c r="F456" s="1">
        <f>+D456/(D456+E456)</f>
        <v>0.26829268292682928</v>
      </c>
      <c r="G456" s="2">
        <v>110.7</v>
      </c>
      <c r="H456" s="2">
        <v>118.6</v>
      </c>
      <c r="I456" s="2">
        <f>+G456-H456</f>
        <v>-7.8999999999999915</v>
      </c>
      <c r="J456" s="1">
        <f>+(G456^14)/((G456^14+H456^14))</f>
        <v>0.27586683135290885</v>
      </c>
      <c r="K456" s="2">
        <v>110.5</v>
      </c>
      <c r="L456" s="2">
        <v>118.6</v>
      </c>
      <c r="M456" s="2">
        <f>+K456-L456</f>
        <v>-8.0999999999999943</v>
      </c>
      <c r="N456" s="1">
        <f>+F456-J456</f>
        <v>-7.5741484260795633E-3</v>
      </c>
      <c r="O456" s="2">
        <v>91.4</v>
      </c>
      <c r="P456" s="2">
        <v>101</v>
      </c>
      <c r="Q456" s="2">
        <f>+O456-P456</f>
        <v>-9.5999999999999943</v>
      </c>
      <c r="R456" s="2">
        <v>-1.9</v>
      </c>
      <c r="S456" s="2">
        <v>-8.1</v>
      </c>
      <c r="T456" s="2">
        <f>+Q456-M456</f>
        <v>-1.5</v>
      </c>
    </row>
    <row r="457" spans="1:20">
      <c r="A457" s="6">
        <v>468</v>
      </c>
      <c r="B457" t="s">
        <v>55</v>
      </c>
      <c r="C457" t="s">
        <v>23</v>
      </c>
      <c r="D457">
        <v>35</v>
      </c>
      <c r="E457">
        <v>47</v>
      </c>
      <c r="F457" s="1">
        <f>+D457/(D457+E457)</f>
        <v>0.42682926829268292</v>
      </c>
      <c r="G457" s="2">
        <v>102.1</v>
      </c>
      <c r="H457" s="2">
        <v>103.7</v>
      </c>
      <c r="I457" s="2">
        <f>+G457-H457</f>
        <v>-1.6000000000000085</v>
      </c>
      <c r="J457" s="1">
        <f>+(G457^14)/((G457^14+H457^14))</f>
        <v>0.44579104414763582</v>
      </c>
      <c r="K457" s="2">
        <v>104.4</v>
      </c>
      <c r="L457" s="2">
        <v>106</v>
      </c>
      <c r="M457" s="2">
        <f>+K457-L457</f>
        <v>-1.5999999999999943</v>
      </c>
      <c r="N457" s="1">
        <f>+F457-J457</f>
        <v>-1.89617758549529E-2</v>
      </c>
      <c r="O457" s="2">
        <v>94.2</v>
      </c>
      <c r="P457" s="2">
        <v>97.3</v>
      </c>
      <c r="Q457" s="2">
        <f>+O457-P457</f>
        <v>-3.0999999999999943</v>
      </c>
      <c r="R457" s="2">
        <v>-0.7</v>
      </c>
      <c r="S457" s="2">
        <v>-3.9</v>
      </c>
      <c r="T457" s="2">
        <f>+Q457-M457</f>
        <v>-1.5</v>
      </c>
    </row>
    <row r="458" spans="1:20">
      <c r="A458" s="6">
        <v>637</v>
      </c>
      <c r="B458" t="s">
        <v>62</v>
      </c>
      <c r="C458" t="s">
        <v>14</v>
      </c>
      <c r="D458">
        <v>20</v>
      </c>
      <c r="E458">
        <v>62</v>
      </c>
      <c r="F458" s="1">
        <f>+D458/(D458+E458)</f>
        <v>0.24390243902439024</v>
      </c>
      <c r="G458" s="2">
        <v>109.7</v>
      </c>
      <c r="H458" s="2">
        <v>118.2</v>
      </c>
      <c r="I458" s="2">
        <f>+G458-H458</f>
        <v>-8.5</v>
      </c>
      <c r="J458" s="1">
        <f>+(G458^14)/((G458^14+H458^14))</f>
        <v>0.2602244449686712</v>
      </c>
      <c r="K458" s="2">
        <v>108.1</v>
      </c>
      <c r="L458" s="2">
        <v>116.4</v>
      </c>
      <c r="M458" s="2">
        <f>+K458-L458</f>
        <v>-8.3000000000000114</v>
      </c>
      <c r="N458" s="1">
        <f>+F458-J458</f>
        <v>-1.632200594428096E-2</v>
      </c>
      <c r="O458" s="2">
        <v>100.4</v>
      </c>
      <c r="P458" s="2">
        <v>110.3</v>
      </c>
      <c r="Q458" s="2">
        <f>+O458-P458</f>
        <v>-9.8999999999999915</v>
      </c>
      <c r="R458" s="2">
        <v>-0.4</v>
      </c>
      <c r="S458" s="2">
        <v>-4.0999999999999996</v>
      </c>
      <c r="T458" s="2">
        <f>+Q458-M458</f>
        <v>-1.5999999999999801</v>
      </c>
    </row>
    <row r="459" spans="1:20">
      <c r="A459" s="6">
        <v>542</v>
      </c>
      <c r="B459" t="s">
        <v>59</v>
      </c>
      <c r="C459" t="s">
        <v>9</v>
      </c>
      <c r="D459">
        <v>19</v>
      </c>
      <c r="E459">
        <v>63</v>
      </c>
      <c r="F459" s="1">
        <f>+D459/(D459+E459)</f>
        <v>0.23170731707317074</v>
      </c>
      <c r="G459" s="2">
        <v>104.5</v>
      </c>
      <c r="H459" s="2">
        <v>114.1</v>
      </c>
      <c r="I459" s="2">
        <f>+G459-H459</f>
        <v>-9.5999999999999943</v>
      </c>
      <c r="J459" s="1">
        <f>+(G459^14)/((G459^14+H459^14))</f>
        <v>0.22610537023312996</v>
      </c>
      <c r="K459" s="2">
        <v>106.8</v>
      </c>
      <c r="L459" s="2">
        <v>116.8</v>
      </c>
      <c r="M459" s="2">
        <f>+K459-L459</f>
        <v>-10</v>
      </c>
      <c r="N459" s="1">
        <f>+F459-J459</f>
        <v>5.6019468400407835E-3</v>
      </c>
      <c r="O459" s="2">
        <v>99</v>
      </c>
      <c r="P459" s="2">
        <v>110.6</v>
      </c>
      <c r="Q459" s="2">
        <f>+O459-P459</f>
        <v>-11.599999999999994</v>
      </c>
      <c r="R459" s="2">
        <v>-1.7</v>
      </c>
      <c r="S459" s="2">
        <v>-7.5</v>
      </c>
      <c r="T459" s="2">
        <f>+Q459-M459</f>
        <v>-1.5999999999999943</v>
      </c>
    </row>
    <row r="460" spans="1:20">
      <c r="A460" s="6">
        <v>597</v>
      </c>
      <c r="B460" t="s">
        <v>61</v>
      </c>
      <c r="C460" t="s">
        <v>5</v>
      </c>
      <c r="D460">
        <v>41</v>
      </c>
      <c r="E460">
        <v>31</v>
      </c>
      <c r="F460" s="1">
        <f>+D460/(D460+E460)</f>
        <v>0.56944444444444442</v>
      </c>
      <c r="G460" s="2">
        <v>113.7</v>
      </c>
      <c r="H460" s="2">
        <v>111.4</v>
      </c>
      <c r="I460" s="2">
        <f>+G460-H460</f>
        <v>2.2999999999999972</v>
      </c>
      <c r="J460" s="1">
        <f>+(G460^14)/((G460^14+H460^14))</f>
        <v>0.57104231246361747</v>
      </c>
      <c r="K460" s="2">
        <v>114.3</v>
      </c>
      <c r="L460" s="2">
        <v>112.1</v>
      </c>
      <c r="M460" s="2">
        <f>+K460-L460</f>
        <v>2.2000000000000028</v>
      </c>
      <c r="N460" s="1">
        <f>+F460-J460</f>
        <v>-1.5978680191730543E-3</v>
      </c>
      <c r="O460" s="2">
        <v>113.7</v>
      </c>
      <c r="P460" s="2">
        <v>113.1</v>
      </c>
      <c r="Q460" s="2">
        <f>+O460-P460</f>
        <v>0.60000000000000853</v>
      </c>
      <c r="R460" s="2">
        <v>0.7</v>
      </c>
      <c r="S460" s="2">
        <v>3.1</v>
      </c>
      <c r="T460" s="2">
        <f>+Q460-M460</f>
        <v>-1.5999999999999943</v>
      </c>
    </row>
    <row r="461" spans="1:20">
      <c r="A461" s="6">
        <v>156</v>
      </c>
      <c r="B461" t="s">
        <v>41</v>
      </c>
      <c r="C461" t="s">
        <v>14</v>
      </c>
      <c r="D461">
        <v>34</v>
      </c>
      <c r="E461">
        <v>48</v>
      </c>
      <c r="F461" s="1">
        <f>+D461/(D461+E461)</f>
        <v>0.41463414634146339</v>
      </c>
      <c r="G461" s="2">
        <v>90.1</v>
      </c>
      <c r="H461" s="2">
        <v>91.7</v>
      </c>
      <c r="I461" s="2">
        <f>+G461-H461</f>
        <v>-1.6000000000000085</v>
      </c>
      <c r="J461" s="1">
        <f>+(G461^14)/((G461^14+H461^14))</f>
        <v>0.43870214445209316</v>
      </c>
      <c r="K461" s="2">
        <v>100.4</v>
      </c>
      <c r="L461" s="2">
        <v>102.1</v>
      </c>
      <c r="M461" s="2">
        <f>+K461-L461</f>
        <v>-1.6999999999999886</v>
      </c>
      <c r="N461" s="1">
        <f>+F461-J461</f>
        <v>-2.4067998110629762E-2</v>
      </c>
      <c r="O461" s="2">
        <v>97.2</v>
      </c>
      <c r="P461" s="2">
        <v>100.5</v>
      </c>
      <c r="Q461" s="2">
        <f>+O461-P461</f>
        <v>-3.2999999999999972</v>
      </c>
      <c r="R461" s="2">
        <v>0.4</v>
      </c>
      <c r="S461" s="2">
        <v>1.8</v>
      </c>
      <c r="T461" s="2">
        <f>+Q461-M461</f>
        <v>-1.6000000000000085</v>
      </c>
    </row>
    <row r="462" spans="1:20">
      <c r="A462" s="6">
        <v>772</v>
      </c>
      <c r="B462" t="s">
        <v>66</v>
      </c>
      <c r="C462" t="s">
        <v>27</v>
      </c>
      <c r="D462">
        <v>14</v>
      </c>
      <c r="E462">
        <v>50</v>
      </c>
      <c r="F462" s="1">
        <f>+D462/(D462+E462)</f>
        <v>0.21875</v>
      </c>
      <c r="G462" s="2">
        <v>110.4</v>
      </c>
      <c r="H462" s="2">
        <v>121.3</v>
      </c>
      <c r="I462" s="2">
        <f>+G462-H462</f>
        <v>-10.899999999999991</v>
      </c>
      <c r="J462" s="1">
        <f>+(G462^14)/((G462^14+H462^14))</f>
        <v>0.21111899676961832</v>
      </c>
      <c r="K462" s="2">
        <v>109.6</v>
      </c>
      <c r="L462" s="2">
        <v>120.2</v>
      </c>
      <c r="M462" s="2">
        <f>+K462-L462</f>
        <v>-10.600000000000009</v>
      </c>
      <c r="N462" s="1">
        <f>+F462-J462</f>
        <v>7.6310032303816833E-3</v>
      </c>
      <c r="O462" s="2">
        <v>103.5</v>
      </c>
      <c r="P462" s="2">
        <v>115.8</v>
      </c>
      <c r="Q462" s="2">
        <f>+O462-P462</f>
        <v>-12.299999999999997</v>
      </c>
      <c r="R462" s="2">
        <v>-3.1</v>
      </c>
      <c r="S462" s="2">
        <v>-13.4</v>
      </c>
      <c r="T462" s="2">
        <f>+Q462-M462</f>
        <v>-1.6999999999999886</v>
      </c>
    </row>
    <row r="463" spans="1:20">
      <c r="A463" s="6">
        <v>486</v>
      </c>
      <c r="B463" t="s">
        <v>57</v>
      </c>
      <c r="C463" t="s">
        <v>13</v>
      </c>
      <c r="D463">
        <v>67</v>
      </c>
      <c r="E463">
        <v>15</v>
      </c>
      <c r="F463" s="1">
        <f>+D463/(D463+E463)</f>
        <v>0.81707317073170727</v>
      </c>
      <c r="G463" s="2">
        <v>115.9</v>
      </c>
      <c r="H463" s="2">
        <v>104.3</v>
      </c>
      <c r="I463" s="2">
        <f>+G463-H463</f>
        <v>11.600000000000009</v>
      </c>
      <c r="J463" s="1">
        <f>+(G463^14)/((G463^14+H463^14))</f>
        <v>0.81402660694533269</v>
      </c>
      <c r="K463" s="2">
        <v>114.8</v>
      </c>
      <c r="L463" s="2">
        <v>103.4</v>
      </c>
      <c r="M463" s="2">
        <f>+K463-L463</f>
        <v>11.399999999999991</v>
      </c>
      <c r="N463" s="1">
        <f>+F463-J463</f>
        <v>3.0465637863745787E-3</v>
      </c>
      <c r="O463" s="2">
        <v>109.7</v>
      </c>
      <c r="P463" s="2">
        <v>100</v>
      </c>
      <c r="Q463" s="2">
        <f>+O463-P463</f>
        <v>9.7000000000000028</v>
      </c>
      <c r="R463" s="2">
        <v>0.2</v>
      </c>
      <c r="S463" s="2">
        <v>2.7</v>
      </c>
      <c r="T463" s="2">
        <f>+Q463-M463</f>
        <v>-1.6999999999999886</v>
      </c>
    </row>
    <row r="464" spans="1:20">
      <c r="A464" s="6">
        <v>770</v>
      </c>
      <c r="B464" t="s">
        <v>66</v>
      </c>
      <c r="C464" t="s">
        <v>25</v>
      </c>
      <c r="D464">
        <v>36</v>
      </c>
      <c r="E464">
        <v>27</v>
      </c>
      <c r="F464" s="1">
        <f>+D464/(D464+E464)</f>
        <v>0.5714285714285714</v>
      </c>
      <c r="G464" s="2">
        <v>112.1</v>
      </c>
      <c r="H464" s="2">
        <v>111.2</v>
      </c>
      <c r="I464" s="2">
        <f>+G464-H464</f>
        <v>0.89999999999999147</v>
      </c>
      <c r="J464" s="1">
        <f>+(G464^14)/((G464^14+H464^14))</f>
        <v>0.52818341359119181</v>
      </c>
      <c r="K464" s="2">
        <v>113.4</v>
      </c>
      <c r="L464" s="2">
        <v>112.5</v>
      </c>
      <c r="M464" s="2">
        <f>+K464-L464</f>
        <v>0.90000000000000568</v>
      </c>
      <c r="N464" s="1">
        <f>+F464-J464</f>
        <v>4.3245157837379589E-2</v>
      </c>
      <c r="O464" s="2">
        <v>113.4</v>
      </c>
      <c r="P464" s="2">
        <v>114.2</v>
      </c>
      <c r="Q464" s="2">
        <f>+O464-P464</f>
        <v>-0.79999999999999716</v>
      </c>
      <c r="R464" s="2">
        <v>-1.1000000000000001</v>
      </c>
      <c r="S464" s="2">
        <v>-6.2</v>
      </c>
      <c r="T464" s="2">
        <f>+Q464-M464</f>
        <v>-1.7000000000000028</v>
      </c>
    </row>
    <row r="465" spans="1:20">
      <c r="A465" s="6">
        <v>644</v>
      </c>
      <c r="B465" t="s">
        <v>62</v>
      </c>
      <c r="C465" t="s">
        <v>20</v>
      </c>
      <c r="D465">
        <v>46</v>
      </c>
      <c r="E465">
        <v>36</v>
      </c>
      <c r="F465" s="1">
        <f>+D465/(D465+E465)</f>
        <v>0.56097560975609762</v>
      </c>
      <c r="G465" s="2">
        <v>115.9</v>
      </c>
      <c r="H465" s="2">
        <v>113.3</v>
      </c>
      <c r="I465" s="2">
        <f>+G465-H465</f>
        <v>2.6000000000000085</v>
      </c>
      <c r="J465" s="1">
        <f>+(G465^14)/((G465^14+H465^14))</f>
        <v>0.57874903178603399</v>
      </c>
      <c r="K465" s="2">
        <v>113.8</v>
      </c>
      <c r="L465" s="2">
        <v>111</v>
      </c>
      <c r="M465" s="2">
        <f>+K465-L465</f>
        <v>2.7999999999999972</v>
      </c>
      <c r="N465" s="1">
        <f>+F465-J465</f>
        <v>-1.777342202993637E-2</v>
      </c>
      <c r="O465" s="2">
        <v>107.1</v>
      </c>
      <c r="P465" s="2">
        <v>106</v>
      </c>
      <c r="Q465" s="2">
        <f>+O465-P465</f>
        <v>1.0999999999999943</v>
      </c>
      <c r="R465" s="2">
        <v>-0.9</v>
      </c>
      <c r="S465" s="2">
        <v>-3.7</v>
      </c>
      <c r="T465" s="2">
        <f>+Q465-M465</f>
        <v>-1.7000000000000028</v>
      </c>
    </row>
    <row r="466" spans="1:20">
      <c r="A466" s="6">
        <v>545</v>
      </c>
      <c r="B466" t="s">
        <v>59</v>
      </c>
      <c r="C466" t="s">
        <v>12</v>
      </c>
      <c r="D466">
        <v>41</v>
      </c>
      <c r="E466">
        <v>41</v>
      </c>
      <c r="F466" s="1">
        <f>+D466/(D466+E466)</f>
        <v>0.5</v>
      </c>
      <c r="G466" s="2">
        <v>107</v>
      </c>
      <c r="H466" s="2">
        <v>107.3</v>
      </c>
      <c r="I466" s="2">
        <f>+G466-H466</f>
        <v>-0.29999999999999716</v>
      </c>
      <c r="J466" s="1">
        <f>+(G466^14)/((G466^14+H466^14))</f>
        <v>0.4902019013698185</v>
      </c>
      <c r="K466" s="2">
        <v>108.4</v>
      </c>
      <c r="L466" s="2">
        <v>108.7</v>
      </c>
      <c r="M466" s="2">
        <f>+K466-L466</f>
        <v>-0.29999999999999716</v>
      </c>
      <c r="N466" s="1">
        <f>+F466-J466</f>
        <v>9.7980986301814954E-3</v>
      </c>
      <c r="O466" s="2">
        <v>111.9</v>
      </c>
      <c r="P466" s="2">
        <v>114</v>
      </c>
      <c r="Q466" s="2">
        <f>+O466-P466</f>
        <v>-2.0999999999999943</v>
      </c>
      <c r="R466" s="2">
        <v>1.1000000000000001</v>
      </c>
      <c r="S466" s="2">
        <v>3</v>
      </c>
      <c r="T466" s="2">
        <f>+Q466-M466</f>
        <v>-1.7999999999999972</v>
      </c>
    </row>
    <row r="467" spans="1:20">
      <c r="A467" s="6">
        <v>188</v>
      </c>
      <c r="B467" t="s">
        <v>43</v>
      </c>
      <c r="C467" t="s">
        <v>16</v>
      </c>
      <c r="D467">
        <v>40</v>
      </c>
      <c r="E467">
        <v>42</v>
      </c>
      <c r="F467" s="1">
        <f>+D467/(D467+E467)</f>
        <v>0.48780487804878048</v>
      </c>
      <c r="G467" s="2">
        <v>95.6</v>
      </c>
      <c r="H467" s="2">
        <v>96.1</v>
      </c>
      <c r="I467" s="2">
        <f>+G467-H467</f>
        <v>-0.5</v>
      </c>
      <c r="J467" s="1">
        <f>+(G467^14)/((G467^14+H467^14))</f>
        <v>0.48175037478926502</v>
      </c>
      <c r="K467" s="2">
        <v>103.8</v>
      </c>
      <c r="L467" s="2">
        <v>104.2</v>
      </c>
      <c r="M467" s="2">
        <f>+K467-L467</f>
        <v>-0.40000000000000568</v>
      </c>
      <c r="N467" s="1">
        <f>+F467-J467</f>
        <v>6.0545032595154535E-3</v>
      </c>
      <c r="O467" s="2">
        <v>105.7</v>
      </c>
      <c r="P467" s="2">
        <v>107.9</v>
      </c>
      <c r="Q467" s="2">
        <f>+O467-P467</f>
        <v>-2.2000000000000028</v>
      </c>
      <c r="R467" s="2">
        <v>-0.3</v>
      </c>
      <c r="S467" s="2">
        <v>0.1</v>
      </c>
      <c r="T467" s="2">
        <f>+Q467-M467</f>
        <v>-1.7999999999999972</v>
      </c>
    </row>
    <row r="468" spans="1:20">
      <c r="A468" s="6">
        <v>328</v>
      </c>
      <c r="B468" t="s">
        <v>49</v>
      </c>
      <c r="C468" t="s">
        <v>6</v>
      </c>
      <c r="D468">
        <v>39</v>
      </c>
      <c r="E468">
        <v>27</v>
      </c>
      <c r="F468" s="1">
        <f>+D468/(D468+E468)</f>
        <v>0.59090909090909094</v>
      </c>
      <c r="G468" s="2">
        <v>91.8</v>
      </c>
      <c r="H468" s="2">
        <v>89.3</v>
      </c>
      <c r="I468" s="2">
        <f>+G468-H468</f>
        <v>2.5</v>
      </c>
      <c r="J468" s="1">
        <f>+(G468^14)/((G468^14+H468^14))</f>
        <v>0.59545222881559101</v>
      </c>
      <c r="K468" s="2">
        <v>100.1</v>
      </c>
      <c r="L468" s="2">
        <v>97.5</v>
      </c>
      <c r="M468" s="2">
        <f>+K468-L468</f>
        <v>2.5999999999999943</v>
      </c>
      <c r="N468" s="1">
        <f>+F468-J468</f>
        <v>-4.5431379065000721E-3</v>
      </c>
      <c r="O468" s="2">
        <v>101.2</v>
      </c>
      <c r="P468" s="2">
        <v>100.4</v>
      </c>
      <c r="Q468" s="2">
        <f>+O468-P468</f>
        <v>0.79999999999999716</v>
      </c>
      <c r="R468" s="2">
        <v>0.1</v>
      </c>
      <c r="S468" s="2">
        <v>1.2</v>
      </c>
      <c r="T468" s="2">
        <f>+Q468-M468</f>
        <v>-1.7999999999999972</v>
      </c>
    </row>
    <row r="469" spans="1:20">
      <c r="A469" s="6">
        <v>167</v>
      </c>
      <c r="B469" t="s">
        <v>41</v>
      </c>
      <c r="C469" t="s">
        <v>23</v>
      </c>
      <c r="D469">
        <v>36</v>
      </c>
      <c r="E469">
        <v>46</v>
      </c>
      <c r="F469" s="1">
        <f>+D469/(D469+E469)</f>
        <v>0.43902439024390244</v>
      </c>
      <c r="G469" s="2">
        <v>94.9</v>
      </c>
      <c r="H469" s="2">
        <v>96</v>
      </c>
      <c r="I469" s="2">
        <f>+G469-H469</f>
        <v>-1.0999999999999943</v>
      </c>
      <c r="J469" s="1">
        <f>+(G469^14)/((G469^14+H469^14))</f>
        <v>0.45975157223924717</v>
      </c>
      <c r="K469" s="2">
        <v>105.3</v>
      </c>
      <c r="L469" s="2">
        <v>106.6</v>
      </c>
      <c r="M469" s="2">
        <f>+K469-L469</f>
        <v>-1.2999999999999972</v>
      </c>
      <c r="N469" s="1">
        <f>+F469-J469</f>
        <v>-2.0727181995344734E-2</v>
      </c>
      <c r="O469" s="2">
        <v>100.8</v>
      </c>
      <c r="P469" s="2">
        <v>103.9</v>
      </c>
      <c r="Q469" s="2">
        <f>+O469-P469</f>
        <v>-3.1000000000000085</v>
      </c>
      <c r="R469" s="2">
        <v>0.1</v>
      </c>
      <c r="S469" s="2">
        <v>-0.7</v>
      </c>
      <c r="T469" s="2">
        <f>+Q469-M469</f>
        <v>-1.8000000000000114</v>
      </c>
    </row>
    <row r="470" spans="1:20">
      <c r="A470" s="6">
        <v>96</v>
      </c>
      <c r="B470" t="s">
        <v>38</v>
      </c>
      <c r="C470" t="s">
        <v>14</v>
      </c>
      <c r="D470">
        <v>45</v>
      </c>
      <c r="E470">
        <v>37</v>
      </c>
      <c r="F470" s="1">
        <f>+D470/(D470+E470)</f>
        <v>0.54878048780487809</v>
      </c>
      <c r="G470" s="2">
        <v>89.8</v>
      </c>
      <c r="H470" s="2">
        <v>88</v>
      </c>
      <c r="I470" s="2">
        <f>+G470-H470</f>
        <v>1.7999999999999972</v>
      </c>
      <c r="J470" s="1">
        <f>+(G470^14)/((G470^14+H470^14))</f>
        <v>0.5703977764006517</v>
      </c>
      <c r="K470" s="2">
        <v>99.7</v>
      </c>
      <c r="L470" s="2">
        <v>97.8</v>
      </c>
      <c r="M470" s="2">
        <f>+K470-L470</f>
        <v>1.9000000000000057</v>
      </c>
      <c r="N470" s="1">
        <f>+F470-J470</f>
        <v>-2.1617288595773609E-2</v>
      </c>
      <c r="O470" s="2">
        <v>105.8</v>
      </c>
      <c r="P470" s="2">
        <v>105.7</v>
      </c>
      <c r="Q470" s="2">
        <f>+O470-P470</f>
        <v>9.9999999999994316E-2</v>
      </c>
      <c r="R470" s="2">
        <v>-0.1</v>
      </c>
      <c r="S470" s="2">
        <v>-0.2</v>
      </c>
      <c r="T470" s="2">
        <f>+Q470-M470</f>
        <v>-1.8000000000000114</v>
      </c>
    </row>
    <row r="471" spans="1:20">
      <c r="A471" s="6">
        <v>608</v>
      </c>
      <c r="B471" t="s">
        <v>61</v>
      </c>
      <c r="C471" t="s">
        <v>15</v>
      </c>
      <c r="D471">
        <v>34</v>
      </c>
      <c r="E471">
        <v>38</v>
      </c>
      <c r="F471" s="1">
        <f>+D471/(D471+E471)</f>
        <v>0.47222222222222221</v>
      </c>
      <c r="G471" s="2">
        <v>115.3</v>
      </c>
      <c r="H471" s="2">
        <v>115.3</v>
      </c>
      <c r="I471" s="2">
        <f>+G471-H471</f>
        <v>0</v>
      </c>
      <c r="J471" s="1">
        <f>+(G471^14)/((G471^14+H471^14))</f>
        <v>0.5</v>
      </c>
      <c r="K471" s="2">
        <v>111.9</v>
      </c>
      <c r="L471" s="2">
        <v>111.9</v>
      </c>
      <c r="M471" s="2">
        <f>+K471-L471</f>
        <v>0</v>
      </c>
      <c r="N471" s="1">
        <f>+F471-J471</f>
        <v>-2.777777777777779E-2</v>
      </c>
      <c r="O471" s="2">
        <v>101.1</v>
      </c>
      <c r="P471" s="2">
        <v>102.9</v>
      </c>
      <c r="Q471" s="2">
        <f>+O471-P471</f>
        <v>-1.8000000000000114</v>
      </c>
      <c r="R471" s="2">
        <v>-0.2</v>
      </c>
      <c r="S471" s="2">
        <v>-1</v>
      </c>
      <c r="T471" s="2">
        <f>+Q471-M471</f>
        <v>-1.8000000000000114</v>
      </c>
    </row>
    <row r="472" spans="1:20">
      <c r="A472" s="6">
        <v>141</v>
      </c>
      <c r="B472" t="s">
        <v>39</v>
      </c>
      <c r="C472" t="s">
        <v>27</v>
      </c>
      <c r="D472">
        <v>50</v>
      </c>
      <c r="E472">
        <v>32</v>
      </c>
      <c r="F472" s="1">
        <f>+D472/(D472+E472)</f>
        <v>0.6097560975609756</v>
      </c>
      <c r="G472" s="2">
        <v>103.7</v>
      </c>
      <c r="H472" s="2">
        <v>101.6</v>
      </c>
      <c r="I472" s="2">
        <f>+G472-H472</f>
        <v>2.1000000000000085</v>
      </c>
      <c r="J472" s="1">
        <f>+(G472^14)/((G472^14+H472^14))</f>
        <v>0.57111949434189069</v>
      </c>
      <c r="K472" s="2">
        <v>108.8</v>
      </c>
      <c r="L472" s="2">
        <v>106.5</v>
      </c>
      <c r="M472" s="2">
        <f>+K472-L472</f>
        <v>2.2999999999999972</v>
      </c>
      <c r="N472" s="1">
        <f>+F472-J472</f>
        <v>3.8636603219084908E-2</v>
      </c>
      <c r="O472" s="2">
        <v>105.2</v>
      </c>
      <c r="P472" s="2">
        <v>104.8</v>
      </c>
      <c r="Q472" s="2">
        <f>+O472-P472</f>
        <v>0.40000000000000568</v>
      </c>
      <c r="R472" s="2">
        <v>0</v>
      </c>
      <c r="S472" s="2">
        <v>0.4</v>
      </c>
      <c r="T472" s="2">
        <f>+Q472-M472</f>
        <v>-1.8999999999999915</v>
      </c>
    </row>
    <row r="473" spans="1:20">
      <c r="A473" s="6">
        <v>495</v>
      </c>
      <c r="B473" t="s">
        <v>57</v>
      </c>
      <c r="C473" t="s">
        <v>53</v>
      </c>
      <c r="D473">
        <v>34</v>
      </c>
      <c r="E473">
        <v>48</v>
      </c>
      <c r="F473" s="1">
        <f>+D473/(D473+E473)</f>
        <v>0.41463414634146339</v>
      </c>
      <c r="G473" s="2">
        <v>104.3</v>
      </c>
      <c r="H473" s="2">
        <v>106.4</v>
      </c>
      <c r="I473" s="2">
        <f>+G473-H473</f>
        <v>-2.1000000000000085</v>
      </c>
      <c r="J473" s="1">
        <f>+(G473^14)/((G473^14+H473^14))</f>
        <v>0.4306795838171591</v>
      </c>
      <c r="K473" s="2">
        <v>104.7</v>
      </c>
      <c r="L473" s="2">
        <v>106.8</v>
      </c>
      <c r="M473" s="2">
        <f>+K473-L473</f>
        <v>-2.0999999999999943</v>
      </c>
      <c r="N473" s="1">
        <f>+F473-J473</f>
        <v>-1.6045437475695701E-2</v>
      </c>
      <c r="O473" s="2">
        <v>91.6</v>
      </c>
      <c r="P473" s="2">
        <v>95.6</v>
      </c>
      <c r="Q473" s="2">
        <f>+O473-P473</f>
        <v>-4</v>
      </c>
      <c r="R473" s="2">
        <v>-0.8</v>
      </c>
      <c r="S473" s="2">
        <v>-3.3</v>
      </c>
      <c r="T473" s="2">
        <f>+Q473-M473</f>
        <v>-1.9000000000000057</v>
      </c>
    </row>
    <row r="474" spans="1:20">
      <c r="A474" s="6">
        <v>445</v>
      </c>
      <c r="B474" t="s">
        <v>54</v>
      </c>
      <c r="C474" t="s">
        <v>31</v>
      </c>
      <c r="D474">
        <v>38</v>
      </c>
      <c r="E474">
        <v>44</v>
      </c>
      <c r="F474" s="1">
        <f>+D474/(D474+E474)</f>
        <v>0.46341463414634149</v>
      </c>
      <c r="G474" s="2">
        <v>95.1</v>
      </c>
      <c r="H474" s="2">
        <v>94.9</v>
      </c>
      <c r="I474" s="2">
        <f>+G474-H474</f>
        <v>0.19999999999998863</v>
      </c>
      <c r="J474" s="1">
        <f>+(G474^14)/((G474^14+H474^14))</f>
        <v>0.50736789040877028</v>
      </c>
      <c r="K474" s="2">
        <v>104.2</v>
      </c>
      <c r="L474" s="2">
        <v>104.1</v>
      </c>
      <c r="M474" s="2">
        <f>+K474-L474</f>
        <v>0.10000000000000853</v>
      </c>
      <c r="N474" s="1">
        <f>+F474-J474</f>
        <v>-4.3953256262428797E-2</v>
      </c>
      <c r="O474" s="2">
        <v>95.5</v>
      </c>
      <c r="P474" s="2">
        <v>97.3</v>
      </c>
      <c r="Q474" s="2">
        <f>+O474-P474</f>
        <v>-1.7999999999999972</v>
      </c>
      <c r="R474" s="2">
        <v>-0.2</v>
      </c>
      <c r="S474" s="2">
        <v>0.8</v>
      </c>
      <c r="T474" s="2">
        <f>+Q474-M474</f>
        <v>-1.9000000000000057</v>
      </c>
    </row>
    <row r="475" spans="1:20">
      <c r="A475" s="6">
        <v>168</v>
      </c>
      <c r="B475" t="s">
        <v>41</v>
      </c>
      <c r="C475" t="s">
        <v>24</v>
      </c>
      <c r="D475">
        <v>38</v>
      </c>
      <c r="E475">
        <v>44</v>
      </c>
      <c r="F475" s="1">
        <f>+D475/(D475+E475)</f>
        <v>0.46341463414634149</v>
      </c>
      <c r="G475" s="2">
        <v>99.4</v>
      </c>
      <c r="H475" s="2">
        <v>101.3</v>
      </c>
      <c r="I475" s="2">
        <f>+G475-H475</f>
        <v>-1.8999999999999915</v>
      </c>
      <c r="J475" s="1">
        <f>+(G475^14)/((G475^14+H475^14))</f>
        <v>0.4341153034134177</v>
      </c>
      <c r="K475" s="2">
        <v>104.7</v>
      </c>
      <c r="L475" s="2">
        <v>106.5</v>
      </c>
      <c r="M475" s="2">
        <f>+K475-L475</f>
        <v>-1.7999999999999972</v>
      </c>
      <c r="N475" s="1">
        <f>+F475-J475</f>
        <v>2.929933073292379E-2</v>
      </c>
      <c r="O475" s="2">
        <v>89.7</v>
      </c>
      <c r="P475" s="2">
        <v>93.5</v>
      </c>
      <c r="Q475" s="2">
        <f>+O475-P475</f>
        <v>-3.7999999999999972</v>
      </c>
      <c r="R475" s="2">
        <v>-1</v>
      </c>
      <c r="S475" s="2">
        <v>-3.1</v>
      </c>
      <c r="T475" s="2">
        <f>+Q475-M475</f>
        <v>-2</v>
      </c>
    </row>
    <row r="476" spans="1:20">
      <c r="A476" s="6">
        <v>539</v>
      </c>
      <c r="B476" t="s">
        <v>59</v>
      </c>
      <c r="C476" t="s">
        <v>51</v>
      </c>
      <c r="D476">
        <v>42</v>
      </c>
      <c r="E476">
        <v>40</v>
      </c>
      <c r="F476" s="1">
        <f>+D476/(D476+E476)</f>
        <v>0.51219512195121952</v>
      </c>
      <c r="G476" s="2">
        <v>112.2</v>
      </c>
      <c r="H476" s="2">
        <v>112.3</v>
      </c>
      <c r="I476" s="2">
        <f>+G476-H476</f>
        <v>-9.9999999999994316E-2</v>
      </c>
      <c r="J476" s="1">
        <f>+(G476^14)/((G476^14+H476^14))</f>
        <v>0.49688200012291167</v>
      </c>
      <c r="K476" s="2">
        <v>108.9</v>
      </c>
      <c r="L476" s="2">
        <v>109</v>
      </c>
      <c r="M476" s="2">
        <f>+K476-L476</f>
        <v>-9.9999999999994316E-2</v>
      </c>
      <c r="N476" s="1">
        <f>+F476-J476</f>
        <v>1.5313121828307852E-2</v>
      </c>
      <c r="O476" s="2">
        <v>109.7</v>
      </c>
      <c r="P476" s="2">
        <v>111.8</v>
      </c>
      <c r="Q476" s="2">
        <f>+O476-P476</f>
        <v>-2.0999999999999943</v>
      </c>
      <c r="R476" s="2">
        <v>-0.3</v>
      </c>
      <c r="S476" s="2">
        <v>-2.2999999999999998</v>
      </c>
      <c r="T476" s="2">
        <f>+Q476-M476</f>
        <v>-2</v>
      </c>
    </row>
    <row r="477" spans="1:20">
      <c r="A477" s="6">
        <v>379</v>
      </c>
      <c r="B477" t="s">
        <v>50</v>
      </c>
      <c r="C477" t="s">
        <v>24</v>
      </c>
      <c r="D477">
        <v>34</v>
      </c>
      <c r="E477">
        <v>48</v>
      </c>
      <c r="F477" s="1">
        <f>+D477/(D477+E477)</f>
        <v>0.41463414634146339</v>
      </c>
      <c r="G477" s="2">
        <v>93.2</v>
      </c>
      <c r="H477" s="2">
        <v>96.5</v>
      </c>
      <c r="I477" s="2">
        <f>+G477-H477</f>
        <v>-3.2999999999999972</v>
      </c>
      <c r="J477" s="1">
        <f>+(G477^14)/((G477^14+H477^14))</f>
        <v>0.38056895293996196</v>
      </c>
      <c r="K477" s="2">
        <v>101</v>
      </c>
      <c r="L477" s="2">
        <v>104.7</v>
      </c>
      <c r="M477" s="2">
        <f>+K477-L477</f>
        <v>-3.7000000000000028</v>
      </c>
      <c r="N477" s="1">
        <f>+F477-J477</f>
        <v>3.4065193401501437E-2</v>
      </c>
      <c r="O477" s="2">
        <v>94.2</v>
      </c>
      <c r="P477" s="2">
        <v>100</v>
      </c>
      <c r="Q477" s="2">
        <f>+O477-P477</f>
        <v>-5.7999999999999972</v>
      </c>
      <c r="R477" s="2">
        <v>-0.7</v>
      </c>
      <c r="S477" s="2">
        <v>-2.5</v>
      </c>
      <c r="T477" s="2">
        <f>+Q477-M477</f>
        <v>-2.0999999999999943</v>
      </c>
    </row>
    <row r="478" spans="1:20">
      <c r="A478" s="6">
        <v>362</v>
      </c>
      <c r="B478" t="s">
        <v>50</v>
      </c>
      <c r="C478" t="s">
        <v>9</v>
      </c>
      <c r="D478">
        <v>24</v>
      </c>
      <c r="E478">
        <v>58</v>
      </c>
      <c r="F478" s="1">
        <f>+D478/(D478+E478)</f>
        <v>0.29268292682926828</v>
      </c>
      <c r="G478" s="2">
        <v>96.5</v>
      </c>
      <c r="H478" s="2">
        <v>101.2</v>
      </c>
      <c r="I478" s="2">
        <f>+G478-H478</f>
        <v>-4.7000000000000028</v>
      </c>
      <c r="J478" s="1">
        <f>+(G478^14)/((G478^14+H478^14))</f>
        <v>0.33944230501218881</v>
      </c>
      <c r="K478" s="2">
        <v>103.2</v>
      </c>
      <c r="L478" s="2">
        <v>108.2</v>
      </c>
      <c r="M478" s="2">
        <f>+K478-L478</f>
        <v>-5</v>
      </c>
      <c r="N478" s="1">
        <f>+F478-J478</f>
        <v>-4.675937818292053E-2</v>
      </c>
      <c r="O478" s="2">
        <v>102</v>
      </c>
      <c r="P478" s="2">
        <v>109.1</v>
      </c>
      <c r="Q478" s="2">
        <f>+O478-P478</f>
        <v>-7.0999999999999943</v>
      </c>
      <c r="R478" s="2">
        <v>-1.4</v>
      </c>
      <c r="S478" s="2">
        <v>-7.6</v>
      </c>
      <c r="T478" s="2">
        <f>+Q478-M478</f>
        <v>-2.0999999999999943</v>
      </c>
    </row>
    <row r="479" spans="1:20">
      <c r="A479" s="6">
        <v>696</v>
      </c>
      <c r="B479" t="s">
        <v>64</v>
      </c>
      <c r="C479" t="s">
        <v>13</v>
      </c>
      <c r="D479">
        <v>46</v>
      </c>
      <c r="E479">
        <v>36</v>
      </c>
      <c r="F479" s="1">
        <f>+D479/(D479+E479)</f>
        <v>0.56097560975609762</v>
      </c>
      <c r="G479" s="2">
        <v>117.8</v>
      </c>
      <c r="H479" s="2">
        <v>115.2</v>
      </c>
      <c r="I479" s="2">
        <f>+G479-H479</f>
        <v>2.5999999999999943</v>
      </c>
      <c r="J479" s="1">
        <f>+(G479^14)/((G479^14+H479^14))</f>
        <v>0.57748543979619871</v>
      </c>
      <c r="K479" s="2">
        <v>116.9</v>
      </c>
      <c r="L479" s="2">
        <v>114.5</v>
      </c>
      <c r="M479" s="2">
        <f>+K479-L479</f>
        <v>2.4000000000000057</v>
      </c>
      <c r="N479" s="1">
        <f>+F479-J479</f>
        <v>-1.6509830040101092E-2</v>
      </c>
      <c r="O479" s="2">
        <v>116.2</v>
      </c>
      <c r="P479" s="2">
        <v>115.9</v>
      </c>
      <c r="Q479" s="2">
        <f>+O479-P479</f>
        <v>0.29999999999999716</v>
      </c>
      <c r="R479" s="2">
        <v>-0.5</v>
      </c>
      <c r="S479" s="2">
        <v>-1.9</v>
      </c>
      <c r="T479" s="2">
        <f>+Q479-M479</f>
        <v>-2.1000000000000085</v>
      </c>
    </row>
    <row r="480" spans="1:20">
      <c r="A480" s="6">
        <v>355</v>
      </c>
      <c r="B480" t="s">
        <v>49</v>
      </c>
      <c r="C480" t="s">
        <v>31</v>
      </c>
      <c r="D480">
        <v>36</v>
      </c>
      <c r="E480">
        <v>30</v>
      </c>
      <c r="F480" s="1">
        <f>+D480/(D480+E480)</f>
        <v>0.54545454545454541</v>
      </c>
      <c r="G480" s="2">
        <v>99.7</v>
      </c>
      <c r="H480" s="2">
        <v>99</v>
      </c>
      <c r="I480" s="2">
        <f>+G480-H480</f>
        <v>0.70000000000000284</v>
      </c>
      <c r="J480" s="1">
        <f>+(G480^14)/((G480^14+H480^14))</f>
        <v>0.52464041755417556</v>
      </c>
      <c r="K480" s="2">
        <v>105.5</v>
      </c>
      <c r="L480" s="2">
        <v>104.9</v>
      </c>
      <c r="M480" s="2">
        <f>+K480-L480</f>
        <v>0.59999999999999432</v>
      </c>
      <c r="N480" s="1">
        <f>+F480-J480</f>
        <v>2.081412790036985E-2</v>
      </c>
      <c r="O480" s="2">
        <v>96.6</v>
      </c>
      <c r="P480" s="2">
        <v>98.2</v>
      </c>
      <c r="Q480" s="2">
        <f>+O480-P480</f>
        <v>-1.6000000000000085</v>
      </c>
      <c r="R480" s="2">
        <v>0</v>
      </c>
      <c r="S480" s="2">
        <v>0.5</v>
      </c>
      <c r="T480" s="2">
        <f>+Q480-M480</f>
        <v>-2.2000000000000028</v>
      </c>
    </row>
    <row r="481" spans="1:20">
      <c r="A481" s="6">
        <v>358</v>
      </c>
      <c r="B481" t="s">
        <v>50</v>
      </c>
      <c r="C481" t="s">
        <v>6</v>
      </c>
      <c r="D481">
        <v>41</v>
      </c>
      <c r="E481">
        <v>40</v>
      </c>
      <c r="F481" s="1">
        <f>+D481/(D481+E481)</f>
        <v>0.50617283950617287</v>
      </c>
      <c r="G481" s="2">
        <v>96.5</v>
      </c>
      <c r="H481" s="2">
        <v>96.7</v>
      </c>
      <c r="I481" s="2">
        <f>+G481-H481</f>
        <v>-0.20000000000000284</v>
      </c>
      <c r="J481" s="1">
        <f>+(G481^14)/((G481^14+H481^14))</f>
        <v>0.49275412790061462</v>
      </c>
      <c r="K481" s="2">
        <v>102.2</v>
      </c>
      <c r="L481" s="2">
        <v>102.6</v>
      </c>
      <c r="M481" s="2">
        <f>+K481-L481</f>
        <v>-0.39999999999999147</v>
      </c>
      <c r="N481" s="1">
        <f>+F481-J481</f>
        <v>1.3418711605558242E-2</v>
      </c>
      <c r="O481" s="2">
        <v>92.5</v>
      </c>
      <c r="P481" s="2">
        <v>95.1</v>
      </c>
      <c r="Q481" s="2">
        <f>+O481-P481</f>
        <v>-2.5999999999999943</v>
      </c>
      <c r="R481" s="2">
        <v>-0.6</v>
      </c>
      <c r="S481" s="2">
        <v>-2.2000000000000002</v>
      </c>
      <c r="T481" s="2">
        <f>+Q481-M481</f>
        <v>-2.2000000000000028</v>
      </c>
    </row>
    <row r="482" spans="1:20">
      <c r="A482" s="6">
        <v>40</v>
      </c>
      <c r="B482" t="s">
        <v>34</v>
      </c>
      <c r="C482" t="s">
        <v>15</v>
      </c>
      <c r="D482">
        <v>42</v>
      </c>
      <c r="E482">
        <v>40</v>
      </c>
      <c r="F482" s="1">
        <f>+D482/(D482+E482)</f>
        <v>0.51219512195121952</v>
      </c>
      <c r="G482" s="2">
        <v>96.8</v>
      </c>
      <c r="H482" s="2">
        <v>96.5</v>
      </c>
      <c r="I482" s="2">
        <f>+G482-H482</f>
        <v>0.29999999999999716</v>
      </c>
      <c r="J482" s="1">
        <f>+(G482^14)/((G482^14+H482^14))</f>
        <v>0.51086224147445425</v>
      </c>
      <c r="K482" s="2">
        <v>102.8</v>
      </c>
      <c r="L482" s="2">
        <v>102.4</v>
      </c>
      <c r="M482" s="2">
        <f>+K482-L482</f>
        <v>0.39999999999999147</v>
      </c>
      <c r="N482" s="1">
        <f>+F482-J482</f>
        <v>1.3328804767652747E-3</v>
      </c>
      <c r="O482" s="2">
        <v>101.1</v>
      </c>
      <c r="P482" s="2">
        <v>103</v>
      </c>
      <c r="Q482" s="2">
        <f>+O482-P482</f>
        <v>-1.9000000000000057</v>
      </c>
      <c r="R482" s="2">
        <v>-0.1</v>
      </c>
      <c r="S482" s="2">
        <v>0</v>
      </c>
      <c r="T482" s="2">
        <f>+Q482-M482</f>
        <v>-2.2999999999999972</v>
      </c>
    </row>
    <row r="483" spans="1:20">
      <c r="A483" s="6">
        <v>684</v>
      </c>
      <c r="B483" t="s">
        <v>63</v>
      </c>
      <c r="C483" t="s">
        <v>30</v>
      </c>
      <c r="D483">
        <v>41</v>
      </c>
      <c r="E483">
        <v>41</v>
      </c>
      <c r="F483" s="1">
        <f>+D483/(D483+E483)</f>
        <v>0.5</v>
      </c>
      <c r="G483" s="2">
        <v>112.9</v>
      </c>
      <c r="H483" s="2">
        <v>111.4</v>
      </c>
      <c r="I483" s="2">
        <f>+G483-H483</f>
        <v>1.5</v>
      </c>
      <c r="J483" s="1">
        <f>+(G483^14)/((G483^14+H483^14))</f>
        <v>0.54667669581130873</v>
      </c>
      <c r="K483" s="2">
        <v>114.6</v>
      </c>
      <c r="L483" s="2">
        <v>113.1</v>
      </c>
      <c r="M483" s="2">
        <f>+K483-L483</f>
        <v>1.5</v>
      </c>
      <c r="N483" s="1">
        <f>+F483-J483</f>
        <v>-4.6676695811308733E-2</v>
      </c>
      <c r="O483" s="2">
        <v>106.3</v>
      </c>
      <c r="P483" s="2">
        <v>107.1</v>
      </c>
      <c r="Q483" s="2">
        <f>+O483-P483</f>
        <v>-0.79999999999999716</v>
      </c>
      <c r="R483" s="2">
        <v>0.4</v>
      </c>
      <c r="S483" s="2">
        <v>0.4</v>
      </c>
      <c r="T483" s="2">
        <f>+Q483-M483</f>
        <v>-2.2999999999999972</v>
      </c>
    </row>
    <row r="484" spans="1:20">
      <c r="A484" s="6">
        <v>658</v>
      </c>
      <c r="B484" t="s">
        <v>63</v>
      </c>
      <c r="C484" t="s">
        <v>6</v>
      </c>
      <c r="D484">
        <v>57</v>
      </c>
      <c r="E484">
        <v>25</v>
      </c>
      <c r="F484" s="1">
        <f>+D484/(D484+E484)</f>
        <v>0.69512195121951215</v>
      </c>
      <c r="G484" s="2">
        <v>117.9</v>
      </c>
      <c r="H484" s="2">
        <v>111.4</v>
      </c>
      <c r="I484" s="2">
        <f>+G484-H484</f>
        <v>6.5</v>
      </c>
      <c r="J484" s="1">
        <f>+(G484^14)/((G484^14+H484^14))</f>
        <v>0.6886751375801452</v>
      </c>
      <c r="K484" s="2">
        <v>117.3</v>
      </c>
      <c r="L484" s="2">
        <v>110.6</v>
      </c>
      <c r="M484" s="2">
        <f>+K484-L484</f>
        <v>6.7000000000000028</v>
      </c>
      <c r="N484" s="1">
        <f>+F484-J484</f>
        <v>6.446813639366944E-3</v>
      </c>
      <c r="O484" s="2">
        <v>107.4</v>
      </c>
      <c r="P484" s="2">
        <v>103.1</v>
      </c>
      <c r="Q484" s="2">
        <f>+O484-P484</f>
        <v>4.3000000000000114</v>
      </c>
      <c r="R484" s="2">
        <v>0.6</v>
      </c>
      <c r="S484" s="2">
        <v>2.7</v>
      </c>
      <c r="T484" s="2">
        <f>+Q484-M484</f>
        <v>-2.3999999999999915</v>
      </c>
    </row>
    <row r="485" spans="1:20">
      <c r="A485" s="6">
        <v>262</v>
      </c>
      <c r="B485" t="s">
        <v>45</v>
      </c>
      <c r="C485" t="s">
        <v>27</v>
      </c>
      <c r="D485">
        <v>17</v>
      </c>
      <c r="E485">
        <v>65</v>
      </c>
      <c r="F485" s="1">
        <f>+D485/(D485+E485)</f>
        <v>0.2073170731707317</v>
      </c>
      <c r="G485" s="2">
        <v>100.6</v>
      </c>
      <c r="H485" s="2">
        <v>109.3</v>
      </c>
      <c r="I485" s="2">
        <f>+G485-H485</f>
        <v>-8.7000000000000028</v>
      </c>
      <c r="J485" s="1">
        <f>+(G485^14)/((G485^14+H485^14))</f>
        <v>0.23844605223588522</v>
      </c>
      <c r="K485" s="2">
        <v>104.4</v>
      </c>
      <c r="L485" s="2">
        <v>113.4</v>
      </c>
      <c r="M485" s="2">
        <f>+K485-L485</f>
        <v>-9</v>
      </c>
      <c r="N485" s="1">
        <f>+F485-J485</f>
        <v>-3.1128979065153523E-2</v>
      </c>
      <c r="O485" s="2">
        <v>93.2</v>
      </c>
      <c r="P485" s="2">
        <v>104.6</v>
      </c>
      <c r="Q485" s="2">
        <f>+O485-P485</f>
        <v>-11.399999999999991</v>
      </c>
      <c r="R485" s="2">
        <v>-1.2</v>
      </c>
      <c r="S485" s="2">
        <v>-6.7</v>
      </c>
      <c r="T485" s="2">
        <f>+Q485-M485</f>
        <v>-2.3999999999999915</v>
      </c>
    </row>
    <row r="486" spans="1:20">
      <c r="A486" s="6">
        <v>407</v>
      </c>
      <c r="B486" t="s">
        <v>52</v>
      </c>
      <c r="C486" t="s">
        <v>46</v>
      </c>
      <c r="D486">
        <v>59</v>
      </c>
      <c r="E486">
        <v>23</v>
      </c>
      <c r="F486" s="1">
        <f>+D486/(D486+E486)</f>
        <v>0.71951219512195119</v>
      </c>
      <c r="G486" s="2">
        <v>106.2</v>
      </c>
      <c r="H486" s="2">
        <v>99.8</v>
      </c>
      <c r="I486" s="2">
        <f>+G486-H486</f>
        <v>6.4000000000000057</v>
      </c>
      <c r="J486" s="1">
        <f>+(G486^14)/((G486^14+H486^14))</f>
        <v>0.70478376609010041</v>
      </c>
      <c r="K486" s="2">
        <v>109.4</v>
      </c>
      <c r="L486" s="2">
        <v>103</v>
      </c>
      <c r="M486" s="2">
        <f>+K486-L486</f>
        <v>6.4000000000000057</v>
      </c>
      <c r="N486" s="1">
        <f>+F486-J486</f>
        <v>1.4728429031850787E-2</v>
      </c>
      <c r="O486" s="2">
        <v>103.7</v>
      </c>
      <c r="P486" s="2">
        <v>99.7</v>
      </c>
      <c r="Q486" s="2">
        <f>+O486-P486</f>
        <v>4</v>
      </c>
      <c r="R486" s="2">
        <v>1.1000000000000001</v>
      </c>
      <c r="S486" s="2">
        <v>6</v>
      </c>
      <c r="T486" s="2">
        <f>+Q486-M486</f>
        <v>-2.4000000000000057</v>
      </c>
    </row>
    <row r="487" spans="1:20">
      <c r="A487" s="6">
        <v>623</v>
      </c>
      <c r="B487" t="s">
        <v>61</v>
      </c>
      <c r="C487" t="s">
        <v>28</v>
      </c>
      <c r="D487">
        <v>33</v>
      </c>
      <c r="E487">
        <v>39</v>
      </c>
      <c r="F487" s="1">
        <f>+D487/(D487+E487)</f>
        <v>0.45833333333333331</v>
      </c>
      <c r="G487" s="2">
        <v>111.1</v>
      </c>
      <c r="H487" s="2">
        <v>112.8</v>
      </c>
      <c r="I487" s="2">
        <f>+G487-H487</f>
        <v>-1.7000000000000028</v>
      </c>
      <c r="J487" s="1">
        <f>+(G487^14)/((G487^14+H487^14))</f>
        <v>0.44704954082867138</v>
      </c>
      <c r="K487" s="2">
        <v>110.5</v>
      </c>
      <c r="L487" s="2">
        <v>112</v>
      </c>
      <c r="M487" s="2">
        <f>+K487-L487</f>
        <v>-1.5</v>
      </c>
      <c r="N487" s="1">
        <f>+F487-J487</f>
        <v>1.1283792504661938E-2</v>
      </c>
      <c r="O487" s="2">
        <v>105</v>
      </c>
      <c r="P487" s="2">
        <v>108.9</v>
      </c>
      <c r="Q487" s="2">
        <f>+O487-P487</f>
        <v>-3.9000000000000057</v>
      </c>
      <c r="R487" s="2">
        <v>-0.3</v>
      </c>
      <c r="S487" s="2">
        <v>-2</v>
      </c>
      <c r="T487" s="2">
        <f>+Q487-M487</f>
        <v>-2.4000000000000057</v>
      </c>
    </row>
    <row r="488" spans="1:20">
      <c r="A488" s="6">
        <v>476</v>
      </c>
      <c r="B488" t="s">
        <v>55</v>
      </c>
      <c r="C488" t="s">
        <v>33</v>
      </c>
      <c r="D488">
        <v>41</v>
      </c>
      <c r="E488">
        <v>41</v>
      </c>
      <c r="F488" s="1">
        <f>+D488/(D488+E488)</f>
        <v>0.5</v>
      </c>
      <c r="G488" s="2">
        <v>104.1</v>
      </c>
      <c r="H488" s="2">
        <v>104.6</v>
      </c>
      <c r="I488" s="2">
        <f>+G488-H488</f>
        <v>-0.5</v>
      </c>
      <c r="J488" s="1">
        <f>+(G488^14)/((G488^14+H488^14))</f>
        <v>0.48323577008477736</v>
      </c>
      <c r="K488" s="2">
        <v>104.5</v>
      </c>
      <c r="L488" s="2">
        <v>105.1</v>
      </c>
      <c r="M488" s="2">
        <f>+K488-L488</f>
        <v>-0.59999999999999432</v>
      </c>
      <c r="N488" s="1">
        <f>+F488-J488</f>
        <v>1.6764229915222639E-2</v>
      </c>
      <c r="O488" s="2">
        <v>101.4</v>
      </c>
      <c r="P488" s="2">
        <v>104.5</v>
      </c>
      <c r="Q488" s="2">
        <f>+O488-P488</f>
        <v>-3.0999999999999943</v>
      </c>
      <c r="R488" s="2">
        <v>-0.3</v>
      </c>
      <c r="S488" s="2">
        <v>-3.3</v>
      </c>
      <c r="T488" s="2">
        <f>+Q488-M488</f>
        <v>-2.5</v>
      </c>
    </row>
    <row r="489" spans="1:20">
      <c r="A489" s="6">
        <v>630</v>
      </c>
      <c r="B489" t="s">
        <v>62</v>
      </c>
      <c r="C489" t="s">
        <v>7</v>
      </c>
      <c r="D489">
        <v>43</v>
      </c>
      <c r="E489">
        <v>39</v>
      </c>
      <c r="F489" s="1">
        <f>+D489/(D489+E489)</f>
        <v>0.52439024390243905</v>
      </c>
      <c r="G489" s="2">
        <v>115.3</v>
      </c>
      <c r="H489" s="2">
        <v>114.9</v>
      </c>
      <c r="I489" s="2">
        <f>+G489-H489</f>
        <v>0.39999999999999147</v>
      </c>
      <c r="J489" s="1">
        <f>+(G489^14)/((G489^14+H489^14))</f>
        <v>0.5121609496635926</v>
      </c>
      <c r="K489" s="2">
        <v>113.6</v>
      </c>
      <c r="L489" s="2">
        <v>113.1</v>
      </c>
      <c r="M489" s="2">
        <f>+K489-L489</f>
        <v>0.5</v>
      </c>
      <c r="N489" s="1">
        <f>+F489-J489</f>
        <v>1.2229294238846444E-2</v>
      </c>
      <c r="O489" s="2">
        <v>109.6</v>
      </c>
      <c r="P489" s="2">
        <v>111.6</v>
      </c>
      <c r="Q489" s="2">
        <f>+O489-P489</f>
        <v>-2</v>
      </c>
      <c r="R489" s="2">
        <v>0.8</v>
      </c>
      <c r="S489" s="2">
        <v>4.9000000000000004</v>
      </c>
      <c r="T489" s="2">
        <f>+Q489-M489</f>
        <v>-2.5</v>
      </c>
    </row>
    <row r="490" spans="1:20">
      <c r="A490" s="6">
        <v>89</v>
      </c>
      <c r="B490" t="s">
        <v>38</v>
      </c>
      <c r="C490" t="s">
        <v>6</v>
      </c>
      <c r="D490">
        <v>36</v>
      </c>
      <c r="E490">
        <v>46</v>
      </c>
      <c r="F490" s="1">
        <f>+D490/(D490+E490)</f>
        <v>0.43902439024390244</v>
      </c>
      <c r="G490" s="2">
        <v>95.3</v>
      </c>
      <c r="H490" s="2">
        <v>96.7</v>
      </c>
      <c r="I490" s="2">
        <f>+G490-H490</f>
        <v>-1.4000000000000057</v>
      </c>
      <c r="J490" s="1">
        <f>+(G490^14)/((G490^14+H490^14))</f>
        <v>0.44913400395840042</v>
      </c>
      <c r="K490" s="2">
        <v>100.7</v>
      </c>
      <c r="L490" s="2">
        <v>102.2</v>
      </c>
      <c r="M490" s="2">
        <f>+K490-L490</f>
        <v>-1.5</v>
      </c>
      <c r="N490" s="1">
        <f>+F490-J490</f>
        <v>-1.0109613714497978E-2</v>
      </c>
      <c r="O490" s="2">
        <v>100.3</v>
      </c>
      <c r="P490" s="2">
        <v>104.3</v>
      </c>
      <c r="Q490" s="2">
        <f>+O490-P490</f>
        <v>-4</v>
      </c>
      <c r="R490" s="2">
        <v>-0.4</v>
      </c>
      <c r="S490" s="2">
        <v>-0.3</v>
      </c>
      <c r="T490" s="2">
        <f>+Q490-M490</f>
        <v>-2.5</v>
      </c>
    </row>
    <row r="491" spans="1:20">
      <c r="A491" s="6">
        <v>489</v>
      </c>
      <c r="B491" t="s">
        <v>57</v>
      </c>
      <c r="C491" t="s">
        <v>56</v>
      </c>
      <c r="D491">
        <v>51</v>
      </c>
      <c r="E491">
        <v>31</v>
      </c>
      <c r="F491" s="1">
        <f>+D491/(D491+E491)</f>
        <v>0.62195121951219512</v>
      </c>
      <c r="G491" s="2">
        <v>108.7</v>
      </c>
      <c r="H491" s="2">
        <v>104.4</v>
      </c>
      <c r="I491" s="2">
        <f>+G491-H491</f>
        <v>4.2999999999999972</v>
      </c>
      <c r="J491" s="1">
        <f>+(G491^14)/((G491^14+H491^14))</f>
        <v>0.63762474872278996</v>
      </c>
      <c r="K491" s="2">
        <v>111.8</v>
      </c>
      <c r="L491" s="2">
        <v>107.5</v>
      </c>
      <c r="M491" s="2">
        <f>+K491-L491</f>
        <v>4.2999999999999972</v>
      </c>
      <c r="N491" s="1">
        <f>+F491-J491</f>
        <v>-1.5673529210594839E-2</v>
      </c>
      <c r="O491" s="2">
        <v>97.3</v>
      </c>
      <c r="P491" s="2">
        <v>95.5</v>
      </c>
      <c r="Q491" s="2">
        <f>+O491-P491</f>
        <v>1.7999999999999972</v>
      </c>
      <c r="R491" s="2">
        <v>-0.5</v>
      </c>
      <c r="S491" s="2">
        <v>-1.4</v>
      </c>
      <c r="T491" s="2">
        <f>+Q491-M491</f>
        <v>-2.5</v>
      </c>
    </row>
    <row r="492" spans="1:20">
      <c r="A492" s="6">
        <v>726</v>
      </c>
      <c r="B492" t="s">
        <v>65</v>
      </c>
      <c r="C492" t="s">
        <v>13</v>
      </c>
      <c r="D492">
        <v>48</v>
      </c>
      <c r="E492">
        <v>34</v>
      </c>
      <c r="F492" s="1">
        <f>+D492/(D492+E492)</f>
        <v>0.58536585365853655</v>
      </c>
      <c r="G492" s="2">
        <v>113.8</v>
      </c>
      <c r="H492" s="2">
        <v>110.5</v>
      </c>
      <c r="I492" s="2">
        <f>+G492-H492</f>
        <v>3.2999999999999972</v>
      </c>
      <c r="J492" s="1">
        <f>+(G492^14)/((G492^14+H492^14))</f>
        <v>0.60156207363677106</v>
      </c>
      <c r="K492" s="2">
        <v>114.2</v>
      </c>
      <c r="L492" s="2">
        <v>111</v>
      </c>
      <c r="M492" s="2">
        <f>+K492-L492</f>
        <v>3.2000000000000028</v>
      </c>
      <c r="N492" s="1">
        <f>+F492-J492</f>
        <v>-1.6196219978234505E-2</v>
      </c>
      <c r="O492" s="2">
        <v>111</v>
      </c>
      <c r="P492" s="2">
        <v>110.3</v>
      </c>
      <c r="Q492" s="2">
        <f>+O492-P492</f>
        <v>0.70000000000000284</v>
      </c>
      <c r="R492" s="2">
        <v>0.8</v>
      </c>
      <c r="S492" s="2">
        <v>5.2</v>
      </c>
      <c r="T492" s="2">
        <f>+Q492-M492</f>
        <v>-2.5</v>
      </c>
    </row>
    <row r="493" spans="1:20">
      <c r="A493" s="6">
        <v>269</v>
      </c>
      <c r="B493" t="s">
        <v>47</v>
      </c>
      <c r="C493" t="s">
        <v>40</v>
      </c>
      <c r="D493">
        <v>44</v>
      </c>
      <c r="E493">
        <v>38</v>
      </c>
      <c r="F493" s="1">
        <f>+D493/(D493+E493)</f>
        <v>0.53658536585365857</v>
      </c>
      <c r="G493" s="2">
        <v>95.3</v>
      </c>
      <c r="H493" s="2">
        <v>93.8</v>
      </c>
      <c r="I493" s="2">
        <f>+G493-H493</f>
        <v>1.5</v>
      </c>
      <c r="J493" s="1">
        <f>+(G493^14)/((G493^14+H493^14))</f>
        <v>0.55530018627834388</v>
      </c>
      <c r="K493" s="2">
        <v>103.9</v>
      </c>
      <c r="L493" s="2">
        <v>102</v>
      </c>
      <c r="M493" s="2">
        <f>+K493-L493</f>
        <v>1.9000000000000057</v>
      </c>
      <c r="N493" s="1">
        <f>+F493-J493</f>
        <v>-1.8714820424685308E-2</v>
      </c>
      <c r="O493" s="2">
        <v>98.2</v>
      </c>
      <c r="P493" s="2">
        <v>98.8</v>
      </c>
      <c r="Q493" s="2">
        <f>+O493-P493</f>
        <v>-0.59999999999999432</v>
      </c>
      <c r="R493" s="2">
        <v>0.2</v>
      </c>
      <c r="S493" s="2">
        <v>2</v>
      </c>
      <c r="T493" s="2">
        <f>+Q493-M493</f>
        <v>-2.5</v>
      </c>
    </row>
    <row r="494" spans="1:20">
      <c r="A494" s="6">
        <v>104</v>
      </c>
      <c r="B494" t="s">
        <v>38</v>
      </c>
      <c r="C494" t="s">
        <v>21</v>
      </c>
      <c r="D494">
        <v>47</v>
      </c>
      <c r="E494">
        <v>35</v>
      </c>
      <c r="F494" s="1">
        <f>+D494/(D494+E494)</f>
        <v>0.57317073170731703</v>
      </c>
      <c r="G494" s="2">
        <v>90.3</v>
      </c>
      <c r="H494" s="2">
        <v>87.8</v>
      </c>
      <c r="I494" s="2">
        <f>+G494-H494</f>
        <v>2.5</v>
      </c>
      <c r="J494" s="1">
        <f>+(G494^14)/((G494^14+H494^14))</f>
        <v>0.59701994134505132</v>
      </c>
      <c r="K494" s="2">
        <v>99</v>
      </c>
      <c r="L494" s="2">
        <v>96.4</v>
      </c>
      <c r="M494" s="2">
        <f>+K494-L494</f>
        <v>2.5999999999999943</v>
      </c>
      <c r="N494" s="1">
        <f>+F494-J494</f>
        <v>-2.3849209637734292E-2</v>
      </c>
      <c r="O494" s="2">
        <v>96</v>
      </c>
      <c r="P494" s="2">
        <v>95.9</v>
      </c>
      <c r="Q494" s="2">
        <f>+O494-P494</f>
        <v>9.9999999999994316E-2</v>
      </c>
      <c r="R494" s="2">
        <v>0.3</v>
      </c>
      <c r="S494" s="2">
        <v>1.3</v>
      </c>
      <c r="T494" s="2">
        <f>+Q494-M494</f>
        <v>-2.5</v>
      </c>
    </row>
    <row r="495" spans="1:20">
      <c r="A495" s="6">
        <v>508</v>
      </c>
      <c r="B495" t="s">
        <v>58</v>
      </c>
      <c r="C495" t="s">
        <v>6</v>
      </c>
      <c r="D495">
        <v>55</v>
      </c>
      <c r="E495">
        <v>27</v>
      </c>
      <c r="F495" s="1">
        <f>+D495/(D495+E495)</f>
        <v>0.67073170731707321</v>
      </c>
      <c r="G495" s="2">
        <v>104</v>
      </c>
      <c r="H495" s="2">
        <v>100.4</v>
      </c>
      <c r="I495" s="2">
        <f>+G495-H495</f>
        <v>3.5999999999999943</v>
      </c>
      <c r="J495" s="1">
        <f>+(G495^14)/((G495^14+H495^14))</f>
        <v>0.62086037726466381</v>
      </c>
      <c r="K495" s="2">
        <v>106.8</v>
      </c>
      <c r="L495" s="2">
        <v>103.2</v>
      </c>
      <c r="M495" s="2">
        <f>+K495-L495</f>
        <v>3.5999999999999943</v>
      </c>
      <c r="N495" s="1">
        <f>+F495-J495</f>
        <v>4.9871330052409402E-2</v>
      </c>
      <c r="O495" s="2">
        <v>109.6</v>
      </c>
      <c r="P495" s="2">
        <v>108.6</v>
      </c>
      <c r="Q495" s="2">
        <f>+O495-P495</f>
        <v>1</v>
      </c>
      <c r="R495" s="2">
        <v>0.8</v>
      </c>
      <c r="S495" s="2">
        <v>5.9</v>
      </c>
      <c r="T495" s="2">
        <f>+Q495-M495</f>
        <v>-2.5999999999999943</v>
      </c>
    </row>
    <row r="496" spans="1:20">
      <c r="A496" s="6">
        <v>433</v>
      </c>
      <c r="B496" t="s">
        <v>54</v>
      </c>
      <c r="C496" t="s">
        <v>19</v>
      </c>
      <c r="D496">
        <v>41</v>
      </c>
      <c r="E496">
        <v>41</v>
      </c>
      <c r="F496" s="1">
        <f>+D496/(D496+E496)</f>
        <v>0.5</v>
      </c>
      <c r="G496" s="2">
        <v>97.8</v>
      </c>
      <c r="H496" s="2">
        <v>97.4</v>
      </c>
      <c r="I496" s="2">
        <f>+G496-H496</f>
        <v>0.39999999999999147</v>
      </c>
      <c r="J496" s="1">
        <f>+(G496^14)/((G496^14+H496^14))</f>
        <v>0.51434034839194509</v>
      </c>
      <c r="K496" s="2">
        <v>102</v>
      </c>
      <c r="L496" s="2">
        <v>101.4</v>
      </c>
      <c r="M496" s="2">
        <f>+K496-L496</f>
        <v>0.59999999999999432</v>
      </c>
      <c r="N496" s="1">
        <f>+F496-J496</f>
        <v>-1.434034839194509E-2</v>
      </c>
      <c r="O496" s="2">
        <v>94.2</v>
      </c>
      <c r="P496" s="2">
        <v>96.2</v>
      </c>
      <c r="Q496" s="2">
        <f>+O496-P496</f>
        <v>-2</v>
      </c>
      <c r="R496" s="2">
        <v>-1</v>
      </c>
      <c r="S496" s="2">
        <v>-4.8</v>
      </c>
      <c r="T496" s="2">
        <f>+Q496-M496</f>
        <v>-2.5999999999999943</v>
      </c>
    </row>
    <row r="497" spans="1:20">
      <c r="A497" s="6">
        <v>170</v>
      </c>
      <c r="B497" t="s">
        <v>41</v>
      </c>
      <c r="C497" t="s">
        <v>26</v>
      </c>
      <c r="D497">
        <v>21</v>
      </c>
      <c r="E497">
        <v>61</v>
      </c>
      <c r="F497" s="1">
        <f>+D497/(D497+E497)</f>
        <v>0.25609756097560976</v>
      </c>
      <c r="G497" s="2">
        <v>88.8</v>
      </c>
      <c r="H497" s="2">
        <v>98.3</v>
      </c>
      <c r="I497" s="2">
        <f>+G497-H497</f>
        <v>-9.5</v>
      </c>
      <c r="J497" s="1">
        <f>+(G497^14)/((G497^14+H497^14))</f>
        <v>0.19420371450144952</v>
      </c>
      <c r="K497" s="2">
        <v>99.7</v>
      </c>
      <c r="L497" s="2">
        <v>110.3</v>
      </c>
      <c r="M497" s="2">
        <f>+K497-L497</f>
        <v>-10.599999999999994</v>
      </c>
      <c r="N497" s="1">
        <f>+F497-J497</f>
        <v>6.1893846474160241E-2</v>
      </c>
      <c r="O497" s="2">
        <v>89.2</v>
      </c>
      <c r="P497" s="2">
        <v>102.4</v>
      </c>
      <c r="Q497" s="2">
        <f>+O497-P497</f>
        <v>-13.200000000000003</v>
      </c>
      <c r="R497" s="2">
        <v>-1.7</v>
      </c>
      <c r="S497" s="2">
        <v>-10.3</v>
      </c>
      <c r="T497" s="2">
        <f>+Q497-M497</f>
        <v>-2.6000000000000085</v>
      </c>
    </row>
    <row r="498" spans="1:20">
      <c r="A498" s="6">
        <v>698</v>
      </c>
      <c r="B498" t="s">
        <v>64</v>
      </c>
      <c r="C498" t="s">
        <v>15</v>
      </c>
      <c r="D498">
        <v>46</v>
      </c>
      <c r="E498">
        <v>35</v>
      </c>
      <c r="F498" s="1">
        <f>+D498/(D498+E498)</f>
        <v>0.5679012345679012</v>
      </c>
      <c r="G498" s="2">
        <v>123.2</v>
      </c>
      <c r="H498" s="2">
        <v>120.3</v>
      </c>
      <c r="I498" s="2">
        <f>+G498-H498</f>
        <v>2.9000000000000057</v>
      </c>
      <c r="J498" s="1">
        <f>+(G498^14)/((G498^14+H498^14))</f>
        <v>0.5826073302631597</v>
      </c>
      <c r="K498" s="2">
        <v>120.5</v>
      </c>
      <c r="L498" s="2">
        <v>117.6</v>
      </c>
      <c r="M498" s="2">
        <f>+K498-L498</f>
        <v>2.9000000000000057</v>
      </c>
      <c r="N498" s="1">
        <f>+F498-J498</f>
        <v>-1.4706095695258492E-2</v>
      </c>
      <c r="O498" s="2">
        <v>117.2</v>
      </c>
      <c r="P498" s="2">
        <v>116.9</v>
      </c>
      <c r="Q498" s="2">
        <f>+O498-P498</f>
        <v>0.29999999999999716</v>
      </c>
      <c r="R498" s="2">
        <v>0.7</v>
      </c>
      <c r="S498" s="2">
        <v>2.6</v>
      </c>
      <c r="T498" s="2">
        <f>+Q498-M498</f>
        <v>-2.6000000000000085</v>
      </c>
    </row>
    <row r="499" spans="1:20">
      <c r="A499" s="6">
        <v>471</v>
      </c>
      <c r="B499" t="s">
        <v>55</v>
      </c>
      <c r="C499" t="s">
        <v>26</v>
      </c>
      <c r="D499">
        <v>44</v>
      </c>
      <c r="E499">
        <v>38</v>
      </c>
      <c r="F499" s="1">
        <f>+D499/(D499+E499)</f>
        <v>0.53658536585365857</v>
      </c>
      <c r="G499" s="2">
        <v>105.1</v>
      </c>
      <c r="H499" s="2">
        <v>104.3</v>
      </c>
      <c r="I499" s="2">
        <f>+G499-H499</f>
        <v>0.79999999999999716</v>
      </c>
      <c r="J499" s="1">
        <f>+(G499^14)/((G499^14+H499^14))</f>
        <v>0.52671773242887121</v>
      </c>
      <c r="K499" s="2">
        <v>107.6</v>
      </c>
      <c r="L499" s="2">
        <v>106.8</v>
      </c>
      <c r="M499" s="2">
        <f>+K499-L499</f>
        <v>0.79999999999999716</v>
      </c>
      <c r="N499" s="1">
        <f>+F499-J499</f>
        <v>9.8676334247873587E-3</v>
      </c>
      <c r="O499" s="2">
        <v>106.2</v>
      </c>
      <c r="P499" s="2">
        <v>108.1</v>
      </c>
      <c r="Q499" s="2">
        <f>+O499-P499</f>
        <v>-1.8999999999999915</v>
      </c>
      <c r="R499" s="2">
        <v>-0.3</v>
      </c>
      <c r="S499" s="2">
        <v>0.1</v>
      </c>
      <c r="T499" s="2">
        <f>+Q499-M499</f>
        <v>-2.6999999999999886</v>
      </c>
    </row>
    <row r="500" spans="1:20">
      <c r="A500" s="6">
        <v>636</v>
      </c>
      <c r="B500" t="s">
        <v>62</v>
      </c>
      <c r="C500" t="s">
        <v>13</v>
      </c>
      <c r="D500">
        <v>53</v>
      </c>
      <c r="E500">
        <v>29</v>
      </c>
      <c r="F500" s="1">
        <f>+D500/(D500+E500)</f>
        <v>0.64634146341463417</v>
      </c>
      <c r="G500" s="2">
        <v>111</v>
      </c>
      <c r="H500" s="2">
        <v>105.5</v>
      </c>
      <c r="I500" s="2">
        <f>+G500-H500</f>
        <v>5.5</v>
      </c>
      <c r="J500" s="1">
        <f>+(G500^14)/((G500^14+H500^14))</f>
        <v>0.67072577928625987</v>
      </c>
      <c r="K500" s="2">
        <v>112.1</v>
      </c>
      <c r="L500" s="2">
        <v>106.6</v>
      </c>
      <c r="M500" s="2">
        <f>+K500-L500</f>
        <v>5.5</v>
      </c>
      <c r="N500" s="1">
        <f>+F500-J500</f>
        <v>-2.4384315871625706E-2</v>
      </c>
      <c r="O500" s="2">
        <v>101.7</v>
      </c>
      <c r="P500" s="2">
        <v>99</v>
      </c>
      <c r="Q500" s="2">
        <f>+O500-P500</f>
        <v>2.7000000000000028</v>
      </c>
      <c r="R500" s="2">
        <v>1.3</v>
      </c>
      <c r="S500" s="2">
        <v>8</v>
      </c>
      <c r="T500" s="2">
        <f>+Q500-M500</f>
        <v>-2.7999999999999972</v>
      </c>
    </row>
    <row r="501" spans="1:20">
      <c r="A501" s="6">
        <v>247</v>
      </c>
      <c r="B501" t="s">
        <v>45</v>
      </c>
      <c r="C501" t="s">
        <v>15</v>
      </c>
      <c r="D501">
        <v>36</v>
      </c>
      <c r="E501">
        <v>46</v>
      </c>
      <c r="F501" s="1">
        <f>+D501/(D501+E501)</f>
        <v>0.43902439024390244</v>
      </c>
      <c r="G501" s="2">
        <v>105.1</v>
      </c>
      <c r="H501" s="2">
        <v>106.2</v>
      </c>
      <c r="I501" s="2">
        <f>+G501-H501</f>
        <v>-1.1000000000000085</v>
      </c>
      <c r="J501" s="1">
        <f>+(G501^14)/((G501^14+H501^14))</f>
        <v>0.46362297938992397</v>
      </c>
      <c r="K501" s="2">
        <v>107.2</v>
      </c>
      <c r="L501" s="2">
        <v>108.2</v>
      </c>
      <c r="M501" s="2">
        <f>+K501-L501</f>
        <v>-1</v>
      </c>
      <c r="N501" s="1">
        <f>+F501-J501</f>
        <v>-2.4598589146021532E-2</v>
      </c>
      <c r="O501" s="2">
        <v>102.7</v>
      </c>
      <c r="P501" s="2">
        <v>106.5</v>
      </c>
      <c r="Q501" s="2">
        <f>+O501-P501</f>
        <v>-3.7999999999999972</v>
      </c>
      <c r="R501" s="2">
        <v>-0.6</v>
      </c>
      <c r="S501" s="2">
        <v>-3.9</v>
      </c>
      <c r="T501" s="2">
        <f>+Q501-M501</f>
        <v>-2.7999999999999972</v>
      </c>
    </row>
    <row r="502" spans="1:20">
      <c r="A502" s="6">
        <v>568</v>
      </c>
      <c r="B502" t="s">
        <v>60</v>
      </c>
      <c r="C502" t="s">
        <v>6</v>
      </c>
      <c r="D502">
        <v>48</v>
      </c>
      <c r="E502">
        <v>24</v>
      </c>
      <c r="F502" s="1">
        <f>+D502/(D502+E502)</f>
        <v>0.66666666666666663</v>
      </c>
      <c r="G502" s="2">
        <v>113.7</v>
      </c>
      <c r="H502" s="2">
        <v>107.3</v>
      </c>
      <c r="I502" s="2">
        <f>+G502-H502</f>
        <v>6.4000000000000057</v>
      </c>
      <c r="J502" s="1">
        <f>+(G502^14)/((G502^14+H502^14))</f>
        <v>0.69234098586672488</v>
      </c>
      <c r="K502" s="2">
        <v>112.8</v>
      </c>
      <c r="L502" s="2">
        <v>106.5</v>
      </c>
      <c r="M502" s="2">
        <f>+K502-L502</f>
        <v>6.2999999999999972</v>
      </c>
      <c r="N502" s="1">
        <f>+F502-J502</f>
        <v>-2.5674319200058249E-2</v>
      </c>
      <c r="O502" s="2">
        <v>114.7</v>
      </c>
      <c r="P502" s="2">
        <v>111.2</v>
      </c>
      <c r="Q502" s="2">
        <f>+O502-P502</f>
        <v>3.5</v>
      </c>
      <c r="R502" s="2">
        <v>0.6</v>
      </c>
      <c r="S502" s="2">
        <v>3.8</v>
      </c>
      <c r="T502" s="2">
        <f>+Q502-M502</f>
        <v>-2.7999999999999972</v>
      </c>
    </row>
    <row r="503" spans="1:20">
      <c r="A503" s="6">
        <v>681</v>
      </c>
      <c r="B503" t="s">
        <v>63</v>
      </c>
      <c r="C503" t="s">
        <v>26</v>
      </c>
      <c r="D503">
        <v>33</v>
      </c>
      <c r="E503">
        <v>49</v>
      </c>
      <c r="F503" s="1">
        <f>+D503/(D503+E503)</f>
        <v>0.40243902439024393</v>
      </c>
      <c r="G503" s="2">
        <v>113.4</v>
      </c>
      <c r="H503" s="2">
        <v>117.4</v>
      </c>
      <c r="I503" s="2">
        <f>+G503-H503</f>
        <v>-4</v>
      </c>
      <c r="J503" s="1">
        <f>+(G503^14)/((G503^14+H503^14))</f>
        <v>0.3809973284555101</v>
      </c>
      <c r="K503" s="2">
        <v>114</v>
      </c>
      <c r="L503" s="2">
        <v>118</v>
      </c>
      <c r="M503" s="2">
        <f>+K503-L503</f>
        <v>-4</v>
      </c>
      <c r="N503" s="1">
        <f>+F503-J503</f>
        <v>2.1441695934733829E-2</v>
      </c>
      <c r="O503" s="2">
        <v>107.1</v>
      </c>
      <c r="P503" s="2">
        <v>113.9</v>
      </c>
      <c r="Q503" s="2">
        <f>+O503-P503</f>
        <v>-6.8000000000000114</v>
      </c>
      <c r="R503" s="2">
        <v>-1.2</v>
      </c>
      <c r="S503" s="2">
        <v>-6.3</v>
      </c>
      <c r="T503" s="2">
        <f>+Q503-M503</f>
        <v>-2.8000000000000114</v>
      </c>
    </row>
    <row r="504" spans="1:20">
      <c r="A504" s="6">
        <v>351</v>
      </c>
      <c r="B504" t="s">
        <v>49</v>
      </c>
      <c r="C504" t="s">
        <v>26</v>
      </c>
      <c r="D504">
        <v>28</v>
      </c>
      <c r="E504">
        <v>38</v>
      </c>
      <c r="F504" s="1">
        <f>+D504/(D504+E504)</f>
        <v>0.42424242424242425</v>
      </c>
      <c r="G504" s="2">
        <v>97.2</v>
      </c>
      <c r="H504" s="2">
        <v>97.8</v>
      </c>
      <c r="I504" s="2">
        <f>+G504-H504</f>
        <v>-0.59999999999999432</v>
      </c>
      <c r="J504" s="1">
        <f>+(G504^14)/((G504^14+H504^14))</f>
        <v>0.4784747831438797</v>
      </c>
      <c r="K504" s="2">
        <v>104.4</v>
      </c>
      <c r="L504" s="2">
        <v>105.3</v>
      </c>
      <c r="M504" s="2">
        <f>+K504-L504</f>
        <v>-0.89999999999999147</v>
      </c>
      <c r="N504" s="1">
        <f>+F504-J504</f>
        <v>-5.4232358901455446E-2</v>
      </c>
      <c r="O504" s="2">
        <v>91.5</v>
      </c>
      <c r="P504" s="2">
        <v>95.2</v>
      </c>
      <c r="Q504" s="2">
        <f>+O504-P504</f>
        <v>-3.7000000000000028</v>
      </c>
      <c r="R504" s="2">
        <v>0.5</v>
      </c>
      <c r="S504" s="2">
        <v>2.5</v>
      </c>
      <c r="T504" s="2">
        <f>+Q504-M504</f>
        <v>-2.8000000000000114</v>
      </c>
    </row>
    <row r="505" spans="1:20">
      <c r="A505" s="6">
        <v>740</v>
      </c>
      <c r="B505" t="s">
        <v>65</v>
      </c>
      <c r="C505" t="s">
        <v>25</v>
      </c>
      <c r="D505">
        <v>36</v>
      </c>
      <c r="E505">
        <v>46</v>
      </c>
      <c r="F505" s="1">
        <f>+D505/(D505+E505)</f>
        <v>0.43902439024390244</v>
      </c>
      <c r="G505" s="2">
        <v>113.6</v>
      </c>
      <c r="H505" s="2">
        <v>116.6</v>
      </c>
      <c r="I505" s="2">
        <f>+G505-H505</f>
        <v>-3</v>
      </c>
      <c r="J505" s="1">
        <f>+(G505^14)/((G505^14+H505^14))</f>
        <v>0.40976891597843029</v>
      </c>
      <c r="K505" s="2">
        <v>114.7</v>
      </c>
      <c r="L505" s="2">
        <v>117.7</v>
      </c>
      <c r="M505" s="2">
        <f>+K505-L505</f>
        <v>-3</v>
      </c>
      <c r="N505" s="1">
        <f>+F505-J505</f>
        <v>2.9255474265472148E-2</v>
      </c>
      <c r="O505" s="2">
        <v>115.5</v>
      </c>
      <c r="P505" s="2">
        <v>121.5</v>
      </c>
      <c r="Q505" s="2">
        <f>+O505-P505</f>
        <v>-6</v>
      </c>
      <c r="R505" s="2">
        <v>-0.5</v>
      </c>
      <c r="S505" s="2">
        <v>-2.2000000000000002</v>
      </c>
      <c r="T505" s="2">
        <f>+Q505-M505</f>
        <v>-3</v>
      </c>
    </row>
    <row r="506" spans="1:20">
      <c r="A506" s="6">
        <v>454</v>
      </c>
      <c r="B506" t="s">
        <v>55</v>
      </c>
      <c r="C506" t="s">
        <v>11</v>
      </c>
      <c r="D506">
        <v>33</v>
      </c>
      <c r="E506">
        <v>49</v>
      </c>
      <c r="F506" s="1">
        <f>+D506/(D506+E506)</f>
        <v>0.40243902439024393</v>
      </c>
      <c r="G506" s="2">
        <v>101.9</v>
      </c>
      <c r="H506" s="2">
        <v>105</v>
      </c>
      <c r="I506" s="2">
        <f>+G506-H506</f>
        <v>-3.0999999999999943</v>
      </c>
      <c r="J506" s="1">
        <f>+(G506^14)/((G506^14+H506^14))</f>
        <v>0.39662258414921886</v>
      </c>
      <c r="K506" s="2">
        <v>104.9</v>
      </c>
      <c r="L506" s="2">
        <v>108.2</v>
      </c>
      <c r="M506" s="2">
        <f>+K506-L506</f>
        <v>-3.2999999999999972</v>
      </c>
      <c r="N506" s="1">
        <f>+F506-J506</f>
        <v>5.8164402410250671E-3</v>
      </c>
      <c r="O506" s="2">
        <v>89.7</v>
      </c>
      <c r="P506" s="2">
        <v>96</v>
      </c>
      <c r="Q506" s="2">
        <f>+O506-P506</f>
        <v>-6.2999999999999972</v>
      </c>
      <c r="R506" s="2">
        <v>-0.2</v>
      </c>
      <c r="S506" s="2">
        <v>-0.9</v>
      </c>
      <c r="T506" s="2">
        <f>+Q506-M506</f>
        <v>-3</v>
      </c>
    </row>
    <row r="507" spans="1:20">
      <c r="A507" s="6">
        <v>671</v>
      </c>
      <c r="B507" t="s">
        <v>63</v>
      </c>
      <c r="C507" t="s">
        <v>35</v>
      </c>
      <c r="D507">
        <v>51</v>
      </c>
      <c r="E507">
        <v>31</v>
      </c>
      <c r="F507" s="1">
        <f>+D507/(D507+E507)</f>
        <v>0.62195121951219512</v>
      </c>
      <c r="G507" s="2">
        <v>116.9</v>
      </c>
      <c r="H507" s="2">
        <v>113</v>
      </c>
      <c r="I507" s="2">
        <f>+G507-H507</f>
        <v>3.9000000000000057</v>
      </c>
      <c r="J507" s="1">
        <f>+(G507^14)/((G507^14+H507^14))</f>
        <v>0.61657470721768026</v>
      </c>
      <c r="K507" s="2">
        <v>114.7</v>
      </c>
      <c r="L507" s="2">
        <v>110.7</v>
      </c>
      <c r="M507" s="2">
        <f>+K507-L507</f>
        <v>4</v>
      </c>
      <c r="N507" s="1">
        <f>+F507-J507</f>
        <v>5.3765122945148569E-3</v>
      </c>
      <c r="O507" s="2">
        <v>114.9</v>
      </c>
      <c r="P507" s="2">
        <v>113.9</v>
      </c>
      <c r="Q507" s="2">
        <f>+O507-P507</f>
        <v>1</v>
      </c>
      <c r="R507" s="2">
        <v>-1.1000000000000001</v>
      </c>
      <c r="S507" s="2">
        <v>-5.8</v>
      </c>
      <c r="T507" s="2">
        <f>+Q507-M507</f>
        <v>-3</v>
      </c>
    </row>
    <row r="508" spans="1:20">
      <c r="A508" s="6">
        <v>267</v>
      </c>
      <c r="B508" t="s">
        <v>47</v>
      </c>
      <c r="C508" t="s">
        <v>5</v>
      </c>
      <c r="D508">
        <v>53</v>
      </c>
      <c r="E508">
        <v>29</v>
      </c>
      <c r="F508" s="1">
        <f>+D508/(D508+E508)</f>
        <v>0.64634146341463417</v>
      </c>
      <c r="G508" s="2">
        <v>101.7</v>
      </c>
      <c r="H508" s="2">
        <v>97</v>
      </c>
      <c r="I508" s="2">
        <f>+G508-H508</f>
        <v>4.7000000000000028</v>
      </c>
      <c r="J508" s="1">
        <f>+(G508^14)/((G508^14+H508^14))</f>
        <v>0.65980571592524628</v>
      </c>
      <c r="K508" s="2">
        <v>111</v>
      </c>
      <c r="L508" s="2">
        <v>106</v>
      </c>
      <c r="M508" s="2">
        <f>+K508-L508</f>
        <v>5</v>
      </c>
      <c r="N508" s="1">
        <f>+F508-J508</f>
        <v>-1.3464252510612118E-2</v>
      </c>
      <c r="O508" s="2">
        <v>105.7</v>
      </c>
      <c r="P508" s="2">
        <v>103.7</v>
      </c>
      <c r="Q508" s="2">
        <f>+O508-P508</f>
        <v>2</v>
      </c>
      <c r="R508" s="2">
        <v>0.3</v>
      </c>
      <c r="S508" s="2">
        <v>1</v>
      </c>
      <c r="T508" s="2">
        <f>+Q508-M508</f>
        <v>-3</v>
      </c>
    </row>
    <row r="509" spans="1:20">
      <c r="A509" s="6">
        <v>71</v>
      </c>
      <c r="B509" t="s">
        <v>36</v>
      </c>
      <c r="C509" t="s">
        <v>35</v>
      </c>
      <c r="D509">
        <v>28</v>
      </c>
      <c r="E509">
        <v>54</v>
      </c>
      <c r="F509" s="1">
        <f>+D509/(D509+E509)</f>
        <v>0.34146341463414637</v>
      </c>
      <c r="G509" s="2">
        <v>97.5</v>
      </c>
      <c r="H509" s="2">
        <v>100.7</v>
      </c>
      <c r="I509" s="2">
        <f>+G509-H509</f>
        <v>-3.2000000000000028</v>
      </c>
      <c r="J509" s="1">
        <f>+(G509^14)/((G509^14+H509^14))</f>
        <v>0.38885971000700537</v>
      </c>
      <c r="K509" s="2">
        <v>102.3</v>
      </c>
      <c r="L509" s="2">
        <v>105.9</v>
      </c>
      <c r="M509" s="2">
        <f>+K509-L509</f>
        <v>-3.6000000000000085</v>
      </c>
      <c r="N509" s="1">
        <f>+F509-J509</f>
        <v>-4.7396295372858999E-2</v>
      </c>
      <c r="O509" s="2">
        <v>97.8</v>
      </c>
      <c r="P509" s="2">
        <v>104.4</v>
      </c>
      <c r="Q509" s="2">
        <f>+O509-P509</f>
        <v>-6.6000000000000085</v>
      </c>
      <c r="R509" s="2">
        <v>0.2</v>
      </c>
      <c r="S509" s="2">
        <v>1.5</v>
      </c>
      <c r="T509" s="2">
        <f>+Q509-M509</f>
        <v>-3</v>
      </c>
    </row>
    <row r="510" spans="1:20">
      <c r="A510" s="6">
        <v>359</v>
      </c>
      <c r="B510" t="s">
        <v>50</v>
      </c>
      <c r="C510" t="s">
        <v>51</v>
      </c>
      <c r="D510">
        <v>49</v>
      </c>
      <c r="E510">
        <v>33</v>
      </c>
      <c r="F510" s="1">
        <f>+D510/(D510+E510)</f>
        <v>0.59756097560975607</v>
      </c>
      <c r="G510" s="2">
        <v>96.9</v>
      </c>
      <c r="H510" s="2">
        <v>95.1</v>
      </c>
      <c r="I510" s="2">
        <f>+G510-H510</f>
        <v>1.8000000000000114</v>
      </c>
      <c r="J510" s="1">
        <f>+(G510^14)/((G510^14+H510^14))</f>
        <v>0.56525263753000543</v>
      </c>
      <c r="K510" s="2">
        <v>106.9</v>
      </c>
      <c r="L510" s="2">
        <v>104.8</v>
      </c>
      <c r="M510" s="2">
        <f>+K510-L510</f>
        <v>2.1000000000000085</v>
      </c>
      <c r="N510" s="1">
        <f>+F510-J510</f>
        <v>3.2308338079750643E-2</v>
      </c>
      <c r="O510" s="2">
        <v>98.8</v>
      </c>
      <c r="P510" s="2">
        <v>99.7</v>
      </c>
      <c r="Q510" s="2">
        <f>+O510-P510</f>
        <v>-0.90000000000000568</v>
      </c>
      <c r="R510" s="2">
        <v>0.4</v>
      </c>
      <c r="S510" s="2">
        <v>2.9</v>
      </c>
      <c r="T510" s="2">
        <f>+Q510-M510</f>
        <v>-3.0000000000000142</v>
      </c>
    </row>
    <row r="511" spans="1:20">
      <c r="A511" s="6">
        <v>451</v>
      </c>
      <c r="B511" t="s">
        <v>55</v>
      </c>
      <c r="C511" t="s">
        <v>8</v>
      </c>
      <c r="D511">
        <v>42</v>
      </c>
      <c r="E511">
        <v>40</v>
      </c>
      <c r="F511" s="1">
        <f>+D511/(D511+E511)</f>
        <v>0.51219512195121952</v>
      </c>
      <c r="G511" s="2">
        <v>101.6</v>
      </c>
      <c r="H511" s="2">
        <v>103.1</v>
      </c>
      <c r="I511" s="2">
        <f>+G511-H511</f>
        <v>-1.5</v>
      </c>
      <c r="J511" s="1">
        <f>+(G511^14)/((G511^14+H511^14))</f>
        <v>0.44888371019614143</v>
      </c>
      <c r="K511" s="2">
        <v>104.1</v>
      </c>
      <c r="L511" s="2">
        <v>105.5</v>
      </c>
      <c r="M511" s="2">
        <f>+K511-L511</f>
        <v>-1.4000000000000057</v>
      </c>
      <c r="N511" s="1">
        <f>+F511-J511</f>
        <v>6.3311411755078095E-2</v>
      </c>
      <c r="O511" s="2">
        <v>95.5</v>
      </c>
      <c r="P511" s="2">
        <v>100</v>
      </c>
      <c r="Q511" s="2">
        <f>+O511-P511</f>
        <v>-4.5</v>
      </c>
      <c r="R511" s="2">
        <v>-0.7</v>
      </c>
      <c r="S511" s="2">
        <v>-4.2</v>
      </c>
      <c r="T511" s="2">
        <f>+Q511-M511</f>
        <v>-3.0999999999999943</v>
      </c>
    </row>
    <row r="512" spans="1:20">
      <c r="A512" s="6">
        <v>483</v>
      </c>
      <c r="B512" t="s">
        <v>57</v>
      </c>
      <c r="C512" t="s">
        <v>10</v>
      </c>
      <c r="D512">
        <v>33</v>
      </c>
      <c r="E512">
        <v>49</v>
      </c>
      <c r="F512" s="1">
        <f>+D512/(D512+E512)</f>
        <v>0.40243902439024393</v>
      </c>
      <c r="G512" s="2">
        <v>97.9</v>
      </c>
      <c r="H512" s="2">
        <v>100.8</v>
      </c>
      <c r="I512" s="2">
        <f>+G512-H512</f>
        <v>-2.8999999999999915</v>
      </c>
      <c r="J512" s="1">
        <f>+(G512^14)/((G512^14+H512^14))</f>
        <v>0.39922740690355496</v>
      </c>
      <c r="K512" s="2">
        <v>104.7</v>
      </c>
      <c r="L512" s="2">
        <v>107.7</v>
      </c>
      <c r="M512" s="2">
        <f>+K512-L512</f>
        <v>-3</v>
      </c>
      <c r="N512" s="1">
        <f>+F512-J512</f>
        <v>3.2116174866889668E-3</v>
      </c>
      <c r="O512" s="2">
        <v>101.7</v>
      </c>
      <c r="P512" s="2">
        <v>107.8</v>
      </c>
      <c r="Q512" s="2">
        <f>+O512-P512</f>
        <v>-6.0999999999999943</v>
      </c>
      <c r="R512" s="2">
        <v>-0.6</v>
      </c>
      <c r="S512" s="2">
        <v>-1.3</v>
      </c>
      <c r="T512" s="2">
        <f>+Q512-M512</f>
        <v>-3.0999999999999943</v>
      </c>
    </row>
    <row r="513" spans="1:20">
      <c r="A513" s="6">
        <v>558</v>
      </c>
      <c r="B513" t="s">
        <v>59</v>
      </c>
      <c r="C513" t="s">
        <v>23</v>
      </c>
      <c r="D513">
        <v>42</v>
      </c>
      <c r="E513">
        <v>40</v>
      </c>
      <c r="F513" s="1">
        <f>+D513/(D513+E513)</f>
        <v>0.51219512195121952</v>
      </c>
      <c r="G513" s="2">
        <v>107.3</v>
      </c>
      <c r="H513" s="2">
        <v>106.6</v>
      </c>
      <c r="I513" s="2">
        <f>+G513-H513</f>
        <v>0.70000000000000284</v>
      </c>
      <c r="J513" s="1">
        <f>+(G513^14)/((G513^14+H513^14))</f>
        <v>0.52289196737820709</v>
      </c>
      <c r="K513" s="2">
        <v>108.2</v>
      </c>
      <c r="L513" s="2">
        <v>107.6</v>
      </c>
      <c r="M513" s="2">
        <f>+K513-L513</f>
        <v>0.60000000000000853</v>
      </c>
      <c r="N513" s="1">
        <f>+F513-J513</f>
        <v>-1.0696845426987567E-2</v>
      </c>
      <c r="O513" s="2">
        <v>96</v>
      </c>
      <c r="P513" s="2">
        <v>98.5</v>
      </c>
      <c r="Q513" s="2">
        <f>+O513-P513</f>
        <v>-2.5</v>
      </c>
      <c r="R513" s="2">
        <v>-0.5</v>
      </c>
      <c r="S513" s="2">
        <v>-1.1000000000000001</v>
      </c>
      <c r="T513" s="2">
        <f>+Q513-M513</f>
        <v>-3.1000000000000085</v>
      </c>
    </row>
    <row r="514" spans="1:20">
      <c r="A514" s="6">
        <v>622</v>
      </c>
      <c r="B514" t="s">
        <v>61</v>
      </c>
      <c r="C514" t="s">
        <v>27</v>
      </c>
      <c r="D514">
        <v>31</v>
      </c>
      <c r="E514">
        <v>41</v>
      </c>
      <c r="F514" s="1">
        <f>+D514/(D514+E514)</f>
        <v>0.43055555555555558</v>
      </c>
      <c r="G514" s="2">
        <v>113.7</v>
      </c>
      <c r="H514" s="2">
        <v>117.4</v>
      </c>
      <c r="I514" s="2">
        <f>+G514-H514</f>
        <v>-3.7000000000000028</v>
      </c>
      <c r="J514" s="1">
        <f>+(G514^14)/((G514^14+H514^14))</f>
        <v>0.38975811254317522</v>
      </c>
      <c r="K514" s="2">
        <v>112.7</v>
      </c>
      <c r="L514" s="2">
        <v>116.5</v>
      </c>
      <c r="M514" s="2">
        <f>+K514-L514</f>
        <v>-3.7999999999999972</v>
      </c>
      <c r="N514" s="1">
        <f>+F514-J514</f>
        <v>4.0797443012380363E-2</v>
      </c>
      <c r="O514" s="2">
        <v>107.9</v>
      </c>
      <c r="P514" s="2">
        <v>114.9</v>
      </c>
      <c r="Q514" s="2">
        <f>+O514-P514</f>
        <v>-7</v>
      </c>
      <c r="R514" s="2">
        <v>-1</v>
      </c>
      <c r="S514" s="2">
        <v>-4.5</v>
      </c>
      <c r="T514" s="2">
        <f>+Q514-M514</f>
        <v>-3.2000000000000028</v>
      </c>
    </row>
    <row r="515" spans="1:20">
      <c r="A515" s="6">
        <v>392</v>
      </c>
      <c r="B515" t="s">
        <v>52</v>
      </c>
      <c r="C515" t="s">
        <v>9</v>
      </c>
      <c r="D515">
        <v>33</v>
      </c>
      <c r="E515">
        <v>49</v>
      </c>
      <c r="F515" s="1">
        <f>+D515/(D515+E515)</f>
        <v>0.40243902439024393</v>
      </c>
      <c r="G515" s="2">
        <v>98.2</v>
      </c>
      <c r="H515" s="2">
        <v>101.5</v>
      </c>
      <c r="I515" s="2">
        <f>+G515-H515</f>
        <v>-3.2999999999999972</v>
      </c>
      <c r="J515" s="1">
        <f>+(G515^14)/((G515^14+H515^14))</f>
        <v>0.38633693083562831</v>
      </c>
      <c r="K515" s="2">
        <v>103.5</v>
      </c>
      <c r="L515" s="2">
        <v>107</v>
      </c>
      <c r="M515" s="2">
        <f>+K515-L515</f>
        <v>-3.5</v>
      </c>
      <c r="N515" s="1">
        <f>+F515-J515</f>
        <v>1.6102093554615615E-2</v>
      </c>
      <c r="O515" s="2">
        <v>95.4</v>
      </c>
      <c r="P515" s="2">
        <v>102.2</v>
      </c>
      <c r="Q515" s="2">
        <f>+O515-P515</f>
        <v>-6.7999999999999972</v>
      </c>
      <c r="R515" s="2">
        <v>0.2</v>
      </c>
      <c r="S515" s="2">
        <v>0.3</v>
      </c>
      <c r="T515" s="2">
        <f>+Q515-M515</f>
        <v>-3.2999999999999972</v>
      </c>
    </row>
    <row r="516" spans="1:20">
      <c r="A516" s="6">
        <v>642</v>
      </c>
      <c r="B516" t="s">
        <v>62</v>
      </c>
      <c r="C516" t="s">
        <v>18</v>
      </c>
      <c r="D516">
        <v>53</v>
      </c>
      <c r="E516">
        <v>29</v>
      </c>
      <c r="F516" s="1">
        <f>+D516/(D516+E516)</f>
        <v>0.64634146341463417</v>
      </c>
      <c r="G516" s="2">
        <v>110</v>
      </c>
      <c r="H516" s="2">
        <v>105.6</v>
      </c>
      <c r="I516" s="2">
        <f>+G516-H516</f>
        <v>4.4000000000000057</v>
      </c>
      <c r="J516" s="1">
        <f>+(G516^14)/((G516^14+H516^14))</f>
        <v>0.63911104772076754</v>
      </c>
      <c r="K516" s="2">
        <v>113</v>
      </c>
      <c r="L516" s="2">
        <v>108.4</v>
      </c>
      <c r="M516" s="2">
        <f>+K516-L516</f>
        <v>4.5999999999999943</v>
      </c>
      <c r="N516" s="1">
        <f>+F516-J516</f>
        <v>7.2304156938666209E-3</v>
      </c>
      <c r="O516" s="2">
        <v>100.4</v>
      </c>
      <c r="P516" s="2">
        <v>99.2</v>
      </c>
      <c r="Q516" s="2">
        <f>+O516-P516</f>
        <v>1.2000000000000028</v>
      </c>
      <c r="R516" s="2">
        <v>0.4</v>
      </c>
      <c r="S516" s="2">
        <v>3.3</v>
      </c>
      <c r="T516" s="2">
        <f>+Q516-M516</f>
        <v>-3.3999999999999915</v>
      </c>
    </row>
    <row r="517" spans="1:20">
      <c r="A517" s="6">
        <v>83</v>
      </c>
      <c r="B517" t="s">
        <v>36</v>
      </c>
      <c r="C517" t="s">
        <v>28</v>
      </c>
      <c r="D517">
        <v>60</v>
      </c>
      <c r="E517">
        <v>22</v>
      </c>
      <c r="F517" s="1">
        <f>+D517/(D517+E517)</f>
        <v>0.73170731707317072</v>
      </c>
      <c r="G517" s="2">
        <v>95.8</v>
      </c>
      <c r="H517" s="2">
        <v>90.4</v>
      </c>
      <c r="I517" s="2">
        <f>+G517-H517</f>
        <v>5.3999999999999915</v>
      </c>
      <c r="J517" s="1">
        <f>+(G517^14)/((G517^14+H517^14))</f>
        <v>0.6925904288126854</v>
      </c>
      <c r="K517" s="2">
        <v>103.9</v>
      </c>
      <c r="L517" s="2">
        <v>98.1</v>
      </c>
      <c r="M517" s="2">
        <f>+K517-L517</f>
        <v>5.8000000000000114</v>
      </c>
      <c r="N517" s="1">
        <f>+F517-J517</f>
        <v>3.9116888260485316E-2</v>
      </c>
      <c r="O517" s="2">
        <v>102.4</v>
      </c>
      <c r="P517" s="2">
        <v>100</v>
      </c>
      <c r="Q517" s="2">
        <f>+O517-P517</f>
        <v>2.4000000000000057</v>
      </c>
      <c r="R517" s="2">
        <v>-1.9</v>
      </c>
      <c r="S517" s="2">
        <v>-6.3</v>
      </c>
      <c r="T517" s="2">
        <f>+Q517-M517</f>
        <v>-3.4000000000000057</v>
      </c>
    </row>
    <row r="518" spans="1:20">
      <c r="A518" s="6">
        <v>437</v>
      </c>
      <c r="B518" t="s">
        <v>54</v>
      </c>
      <c r="C518" t="s">
        <v>46</v>
      </c>
      <c r="D518">
        <v>45</v>
      </c>
      <c r="E518">
        <v>37</v>
      </c>
      <c r="F518" s="1">
        <f>+D518/(D518+E518)</f>
        <v>0.54878048780487809</v>
      </c>
      <c r="G518" s="2">
        <v>104</v>
      </c>
      <c r="H518" s="2">
        <v>101.8</v>
      </c>
      <c r="I518" s="2">
        <f>+G518-H518</f>
        <v>2.2000000000000028</v>
      </c>
      <c r="J518" s="1">
        <f>+(G518^14)/((G518^14+H518^14))</f>
        <v>0.57427899793021731</v>
      </c>
      <c r="K518" s="2">
        <v>106.7</v>
      </c>
      <c r="L518" s="2">
        <v>104.6</v>
      </c>
      <c r="M518" s="2">
        <f>+K518-L518</f>
        <v>2.1000000000000085</v>
      </c>
      <c r="N518" s="1">
        <f>+F518-J518</f>
        <v>-2.5498510125339213E-2</v>
      </c>
      <c r="O518" s="2">
        <v>92.7</v>
      </c>
      <c r="P518" s="2">
        <v>94</v>
      </c>
      <c r="Q518" s="2">
        <f>+O518-P518</f>
        <v>-1.2999999999999972</v>
      </c>
      <c r="R518" s="2">
        <v>-0.5</v>
      </c>
      <c r="S518" s="2">
        <v>-4.9000000000000004</v>
      </c>
      <c r="T518" s="2">
        <f>+Q518-M518</f>
        <v>-3.4000000000000057</v>
      </c>
    </row>
    <row r="519" spans="1:20">
      <c r="A519" s="6">
        <v>620</v>
      </c>
      <c r="B519" t="s">
        <v>61</v>
      </c>
      <c r="C519" t="s">
        <v>25</v>
      </c>
      <c r="D519">
        <v>51</v>
      </c>
      <c r="E519">
        <v>21</v>
      </c>
      <c r="F519" s="1">
        <f>+D519/(D519+E519)</f>
        <v>0.70833333333333337</v>
      </c>
      <c r="G519" s="2">
        <v>115.3</v>
      </c>
      <c r="H519" s="2">
        <v>109.5</v>
      </c>
      <c r="I519" s="2">
        <f>+G519-H519</f>
        <v>5.7999999999999972</v>
      </c>
      <c r="J519" s="1">
        <f>+(G519^14)/((G519^14+H519^14))</f>
        <v>0.67317496175026137</v>
      </c>
      <c r="K519" s="2">
        <v>116.3</v>
      </c>
      <c r="L519" s="2">
        <v>110.4</v>
      </c>
      <c r="M519" s="2">
        <f>+K519-L519</f>
        <v>5.8999999999999915</v>
      </c>
      <c r="N519" s="1">
        <f>+F519-J519</f>
        <v>3.5158371583072001E-2</v>
      </c>
      <c r="O519" s="2">
        <v>110.3</v>
      </c>
      <c r="P519" s="2">
        <v>107.9</v>
      </c>
      <c r="Q519" s="2">
        <f>+O519-P519</f>
        <v>2.3999999999999915</v>
      </c>
      <c r="R519" s="2">
        <v>0.7</v>
      </c>
      <c r="S519" s="2">
        <v>2.9</v>
      </c>
      <c r="T519" s="2">
        <f>+Q519-M519</f>
        <v>-3.5</v>
      </c>
    </row>
    <row r="520" spans="1:20">
      <c r="A520" s="6">
        <v>410</v>
      </c>
      <c r="B520" t="s">
        <v>52</v>
      </c>
      <c r="C520" t="s">
        <v>25</v>
      </c>
      <c r="D520">
        <v>48</v>
      </c>
      <c r="E520">
        <v>34</v>
      </c>
      <c r="F520" s="1">
        <f>+D520/(D520+E520)</f>
        <v>0.58536585365853655</v>
      </c>
      <c r="G520" s="2">
        <v>105.2</v>
      </c>
      <c r="H520" s="2">
        <v>102.6</v>
      </c>
      <c r="I520" s="2">
        <f>+G520-H520</f>
        <v>2.6000000000000085</v>
      </c>
      <c r="J520" s="1">
        <f>+(G520^14)/((G520^14+H520^14))</f>
        <v>0.58670369823184843</v>
      </c>
      <c r="K520" s="2">
        <v>108.2</v>
      </c>
      <c r="L520" s="2">
        <v>105.6</v>
      </c>
      <c r="M520" s="2">
        <f>+K520-L520</f>
        <v>2.6000000000000085</v>
      </c>
      <c r="N520" s="1">
        <f>+F520-J520</f>
        <v>-1.3378445733118749E-3</v>
      </c>
      <c r="O520" s="2">
        <v>96.2</v>
      </c>
      <c r="P520" s="2">
        <v>97.1</v>
      </c>
      <c r="Q520" s="2">
        <f>+O520-P520</f>
        <v>-0.89999999999999147</v>
      </c>
      <c r="R520" s="2">
        <v>0.4</v>
      </c>
      <c r="S520" s="2">
        <v>2.5</v>
      </c>
      <c r="T520" s="2">
        <f>+Q520-M520</f>
        <v>-3.5</v>
      </c>
    </row>
    <row r="521" spans="1:20">
      <c r="A521" s="6">
        <v>159</v>
      </c>
      <c r="B521" t="s">
        <v>41</v>
      </c>
      <c r="C521" t="s">
        <v>17</v>
      </c>
      <c r="D521">
        <v>45</v>
      </c>
      <c r="E521">
        <v>37</v>
      </c>
      <c r="F521" s="1">
        <f>+D521/(D521+E521)</f>
        <v>0.54878048780487809</v>
      </c>
      <c r="G521" s="2">
        <v>99.4</v>
      </c>
      <c r="H521" s="2">
        <v>96.9</v>
      </c>
      <c r="I521" s="2">
        <f>+G521-H521</f>
        <v>2.5</v>
      </c>
      <c r="J521" s="1">
        <f>+(G521^14)/((G521^14+H521^14))</f>
        <v>0.58822109610228113</v>
      </c>
      <c r="K521" s="2">
        <v>106.8</v>
      </c>
      <c r="L521" s="2">
        <v>104.2</v>
      </c>
      <c r="M521" s="2">
        <f>+K521-L521</f>
        <v>2.5999999999999943</v>
      </c>
      <c r="N521" s="1">
        <f>+F521-J521</f>
        <v>-3.9440608297403035E-2</v>
      </c>
      <c r="O521" s="2">
        <v>108.6</v>
      </c>
      <c r="P521" s="2">
        <v>109.5</v>
      </c>
      <c r="Q521" s="2">
        <f>+O521-P521</f>
        <v>-0.90000000000000568</v>
      </c>
      <c r="R521" s="2">
        <v>0.7</v>
      </c>
      <c r="S521" s="2">
        <v>5</v>
      </c>
      <c r="T521" s="2">
        <f>+Q521-M521</f>
        <v>-3.5</v>
      </c>
    </row>
    <row r="522" spans="1:20">
      <c r="A522" s="6">
        <v>66</v>
      </c>
      <c r="B522" t="s">
        <v>36</v>
      </c>
      <c r="C522" t="s">
        <v>13</v>
      </c>
      <c r="D522">
        <v>38</v>
      </c>
      <c r="E522">
        <v>44</v>
      </c>
      <c r="F522" s="1">
        <f>+D522/(D522+E522)</f>
        <v>0.46341463414634149</v>
      </c>
      <c r="G522" s="2">
        <v>102.4</v>
      </c>
      <c r="H522" s="2">
        <v>103.6</v>
      </c>
      <c r="I522" s="2">
        <f>+G522-H522</f>
        <v>-1.1999999999999886</v>
      </c>
      <c r="J522" s="1">
        <f>+(G522^14)/((G522^14+H522^14))</f>
        <v>0.45931300428144822</v>
      </c>
      <c r="K522" s="2">
        <v>106.4</v>
      </c>
      <c r="L522" s="2">
        <v>107.7</v>
      </c>
      <c r="M522" s="2">
        <f>+K522-L522</f>
        <v>-1.2999999999999972</v>
      </c>
      <c r="N522" s="1">
        <f>+F522-J522</f>
        <v>4.1016298648932636E-3</v>
      </c>
      <c r="O522" s="2">
        <v>100.3</v>
      </c>
      <c r="P522" s="2">
        <v>105.2</v>
      </c>
      <c r="Q522" s="2">
        <f>+O522-P522</f>
        <v>-4.9000000000000057</v>
      </c>
      <c r="R522" s="2">
        <v>-0.2</v>
      </c>
      <c r="S522" s="2">
        <v>-2.2999999999999998</v>
      </c>
      <c r="T522" s="2">
        <f>+Q522-M522</f>
        <v>-3.6000000000000085</v>
      </c>
    </row>
    <row r="523" spans="1:20">
      <c r="A523" s="6">
        <v>296</v>
      </c>
      <c r="B523" t="s">
        <v>47</v>
      </c>
      <c r="C523" t="s">
        <v>33</v>
      </c>
      <c r="D523">
        <v>26</v>
      </c>
      <c r="E523">
        <v>56</v>
      </c>
      <c r="F523" s="1">
        <f>+D523/(D523+E523)</f>
        <v>0.31707317073170732</v>
      </c>
      <c r="G523" s="2">
        <v>96.2</v>
      </c>
      <c r="H523" s="2">
        <v>101</v>
      </c>
      <c r="I523" s="2">
        <f>+G523-H523</f>
        <v>-4.7999999999999972</v>
      </c>
      <c r="J523" s="1">
        <f>+(G523^14)/((G523^14+H523^14))</f>
        <v>0.33588728853069855</v>
      </c>
      <c r="K523" s="2">
        <v>103.1</v>
      </c>
      <c r="L523" s="2">
        <v>108.3</v>
      </c>
      <c r="M523" s="2">
        <f>+K523-L523</f>
        <v>-5.2000000000000028</v>
      </c>
      <c r="N523" s="1">
        <f>+F523-J523</f>
        <v>-1.8814117798991226E-2</v>
      </c>
      <c r="O523" s="2">
        <v>94.2</v>
      </c>
      <c r="P523" s="2">
        <v>103.1</v>
      </c>
      <c r="Q523" s="2">
        <f>+O523-P523</f>
        <v>-8.8999999999999915</v>
      </c>
      <c r="R523" s="2">
        <v>-1</v>
      </c>
      <c r="S523" s="2">
        <v>-4.5999999999999996</v>
      </c>
      <c r="T523" s="2">
        <f>+Q523-M523</f>
        <v>-3.6999999999999886</v>
      </c>
    </row>
    <row r="524" spans="1:20">
      <c r="A524" s="6">
        <v>81</v>
      </c>
      <c r="B524" t="s">
        <v>36</v>
      </c>
      <c r="C524" t="s">
        <v>26</v>
      </c>
      <c r="D524">
        <v>50</v>
      </c>
      <c r="E524">
        <v>32</v>
      </c>
      <c r="F524" s="1">
        <f>+D524/(D524+E524)</f>
        <v>0.6097560975609756</v>
      </c>
      <c r="G524" s="2">
        <v>95.2</v>
      </c>
      <c r="H524" s="2">
        <v>92.5</v>
      </c>
      <c r="I524" s="2">
        <f>+G524-H524</f>
        <v>2.7000000000000028</v>
      </c>
      <c r="J524" s="1">
        <f>+(G524^14)/((G524^14+H524^14))</f>
        <v>0.59935976254287349</v>
      </c>
      <c r="K524" s="2">
        <v>104.2</v>
      </c>
      <c r="L524" s="2">
        <v>101.5</v>
      </c>
      <c r="M524" s="2">
        <f>+K524-L524</f>
        <v>2.7000000000000028</v>
      </c>
      <c r="N524" s="1">
        <f>+F524-J524</f>
        <v>1.039633501810211E-2</v>
      </c>
      <c r="O524" s="2">
        <v>97.3</v>
      </c>
      <c r="P524" s="2">
        <v>98.3</v>
      </c>
      <c r="Q524" s="2">
        <f>+O524-P524</f>
        <v>-1</v>
      </c>
      <c r="R524" s="2">
        <v>-1</v>
      </c>
      <c r="S524" s="2">
        <v>-2.9</v>
      </c>
      <c r="T524" s="2">
        <f>+Q524-M524</f>
        <v>-3.7000000000000028</v>
      </c>
    </row>
    <row r="525" spans="1:20">
      <c r="A525" s="6">
        <v>689</v>
      </c>
      <c r="B525" t="s">
        <v>64</v>
      </c>
      <c r="C525" t="s">
        <v>51</v>
      </c>
      <c r="D525">
        <v>32</v>
      </c>
      <c r="E525">
        <v>50</v>
      </c>
      <c r="F525" s="1">
        <f>+D525/(D525+E525)</f>
        <v>0.3902439024390244</v>
      </c>
      <c r="G525" s="2">
        <v>110.4</v>
      </c>
      <c r="H525" s="2">
        <v>113.3</v>
      </c>
      <c r="I525" s="2">
        <f>+G525-H525</f>
        <v>-2.8999999999999915</v>
      </c>
      <c r="J525" s="1">
        <f>+(G525^14)/((G525^14+H525^14))</f>
        <v>0.41023197755598673</v>
      </c>
      <c r="K525" s="2">
        <v>112.4</v>
      </c>
      <c r="L525" s="2">
        <v>115.4</v>
      </c>
      <c r="M525" s="2">
        <f>+K525-L525</f>
        <v>-3</v>
      </c>
      <c r="N525" s="1">
        <f>+F525-J525</f>
        <v>-1.9988075116962323E-2</v>
      </c>
      <c r="O525" s="2">
        <v>107.5</v>
      </c>
      <c r="P525" s="2">
        <v>114.2</v>
      </c>
      <c r="Q525" s="2">
        <f>+O525-P525</f>
        <v>-6.7000000000000028</v>
      </c>
      <c r="R525" s="2">
        <v>-0.1</v>
      </c>
      <c r="S525" s="2">
        <v>-1.3</v>
      </c>
      <c r="T525" s="2">
        <f>+Q525-M525</f>
        <v>-3.7000000000000028</v>
      </c>
    </row>
    <row r="526" spans="1:20">
      <c r="A526" s="6">
        <v>312</v>
      </c>
      <c r="B526" t="s">
        <v>48</v>
      </c>
      <c r="C526" t="s">
        <v>19</v>
      </c>
      <c r="D526">
        <v>35</v>
      </c>
      <c r="E526">
        <v>47</v>
      </c>
      <c r="F526" s="1">
        <f>+D526/(D526+E526)</f>
        <v>0.42682926829268292</v>
      </c>
      <c r="G526" s="2">
        <v>91.9</v>
      </c>
      <c r="H526" s="2">
        <v>92.7</v>
      </c>
      <c r="I526" s="2">
        <f>+G526-H526</f>
        <v>-0.79999999999999716</v>
      </c>
      <c r="J526" s="1">
        <f>+(G526^14)/((G526^14+H526^14))</f>
        <v>0.46970111742339138</v>
      </c>
      <c r="K526" s="2">
        <v>100.8</v>
      </c>
      <c r="L526" s="2">
        <v>101.5</v>
      </c>
      <c r="M526" s="2">
        <f>+K526-L526</f>
        <v>-0.70000000000000284</v>
      </c>
      <c r="N526" s="1">
        <f>+F526-J526</f>
        <v>-4.2871849130708461E-2</v>
      </c>
      <c r="O526" s="2">
        <v>90.8</v>
      </c>
      <c r="P526" s="2">
        <v>95.2</v>
      </c>
      <c r="Q526" s="2">
        <f>+O526-P526</f>
        <v>-4.4000000000000057</v>
      </c>
      <c r="R526" s="2">
        <v>0.4</v>
      </c>
      <c r="S526" s="2">
        <v>0.8</v>
      </c>
      <c r="T526" s="2">
        <f>+Q526-M526</f>
        <v>-3.7000000000000028</v>
      </c>
    </row>
    <row r="527" spans="1:20">
      <c r="A527" s="6">
        <v>334</v>
      </c>
      <c r="B527" t="s">
        <v>49</v>
      </c>
      <c r="C527" t="s">
        <v>12</v>
      </c>
      <c r="D527">
        <v>25</v>
      </c>
      <c r="E527">
        <v>41</v>
      </c>
      <c r="F527" s="1">
        <f>+D527/(D527+E527)</f>
        <v>0.37878787878787878</v>
      </c>
      <c r="G527" s="2">
        <v>90.9</v>
      </c>
      <c r="H527" s="2">
        <v>95.7</v>
      </c>
      <c r="I527" s="2">
        <f>+G527-H527</f>
        <v>-4.7999999999999972</v>
      </c>
      <c r="J527" s="1">
        <f>+(G527^14)/((G527^14+H527^14))</f>
        <v>0.32730134783785092</v>
      </c>
      <c r="K527" s="2">
        <v>100</v>
      </c>
      <c r="L527" s="2">
        <v>105</v>
      </c>
      <c r="M527" s="2">
        <f>+K527-L527</f>
        <v>-5</v>
      </c>
      <c r="N527" s="1">
        <f>+F527-J527</f>
        <v>5.1486530950027865E-2</v>
      </c>
      <c r="O527" s="2">
        <v>95.9</v>
      </c>
      <c r="P527" s="2">
        <v>104.7</v>
      </c>
      <c r="Q527" s="2">
        <f>+O527-P527</f>
        <v>-8.7999999999999972</v>
      </c>
      <c r="R527" s="2">
        <v>-2.2999999999999998</v>
      </c>
      <c r="S527" s="2">
        <v>-10.5</v>
      </c>
      <c r="T527" s="2">
        <f>+Q527-M527</f>
        <v>-3.7999999999999972</v>
      </c>
    </row>
    <row r="528" spans="1:20">
      <c r="A528" s="6">
        <v>338</v>
      </c>
      <c r="B528" t="s">
        <v>49</v>
      </c>
      <c r="C528" t="s">
        <v>16</v>
      </c>
      <c r="D528">
        <v>40</v>
      </c>
      <c r="E528">
        <v>26</v>
      </c>
      <c r="F528" s="1">
        <f>+D528/(D528+E528)</f>
        <v>0.60606060606060608</v>
      </c>
      <c r="G528" s="2">
        <v>97.5</v>
      </c>
      <c r="H528" s="2">
        <v>95</v>
      </c>
      <c r="I528" s="2">
        <f>+G528-H528</f>
        <v>2.5</v>
      </c>
      <c r="J528" s="1">
        <f>+(G528^14)/((G528^14+H528^14))</f>
        <v>0.58992535543589308</v>
      </c>
      <c r="K528" s="2">
        <v>107.5</v>
      </c>
      <c r="L528" s="2">
        <v>104.8</v>
      </c>
      <c r="M528" s="2">
        <f>+K528-L528</f>
        <v>2.7000000000000028</v>
      </c>
      <c r="N528" s="1">
        <f>+F528-J528</f>
        <v>1.6135250624712993E-2</v>
      </c>
      <c r="O528" s="2">
        <v>98.4</v>
      </c>
      <c r="P528" s="2">
        <v>99.5</v>
      </c>
      <c r="Q528" s="2">
        <f>+O528-P528</f>
        <v>-1.0999999999999943</v>
      </c>
      <c r="R528" s="2">
        <v>0.9</v>
      </c>
      <c r="S528" s="2">
        <v>0.9</v>
      </c>
      <c r="T528" s="2">
        <f>+Q528-M528</f>
        <v>-3.7999999999999972</v>
      </c>
    </row>
    <row r="529" spans="1:20">
      <c r="A529" s="6">
        <v>102</v>
      </c>
      <c r="B529" t="s">
        <v>38</v>
      </c>
      <c r="C529" t="s">
        <v>19</v>
      </c>
      <c r="D529">
        <v>41</v>
      </c>
      <c r="E529">
        <v>41</v>
      </c>
      <c r="F529" s="1">
        <f>+D529/(D529+E529)</f>
        <v>0.5</v>
      </c>
      <c r="G529" s="2">
        <v>98</v>
      </c>
      <c r="H529" s="2">
        <v>97</v>
      </c>
      <c r="I529" s="2">
        <f>+G529-H529</f>
        <v>1</v>
      </c>
      <c r="J529" s="1">
        <f>+(G529^14)/((G529^14+H529^14))</f>
        <v>0.53583619805025806</v>
      </c>
      <c r="K529" s="2">
        <v>104.6</v>
      </c>
      <c r="L529" s="2">
        <v>103.5</v>
      </c>
      <c r="M529" s="2">
        <f>+K529-L529</f>
        <v>1.0999999999999943</v>
      </c>
      <c r="N529" s="1">
        <f>+F529-J529</f>
        <v>-3.5836198050258061E-2</v>
      </c>
      <c r="O529" s="2">
        <v>94.3</v>
      </c>
      <c r="P529" s="2">
        <v>97.1</v>
      </c>
      <c r="Q529" s="2">
        <f>+O529-P529</f>
        <v>-2.7999999999999972</v>
      </c>
      <c r="R529" s="2">
        <v>0.2</v>
      </c>
      <c r="S529" s="2">
        <v>1.3</v>
      </c>
      <c r="T529" s="2">
        <f>+Q529-M529</f>
        <v>-3.8999999999999915</v>
      </c>
    </row>
    <row r="530" spans="1:20">
      <c r="A530" s="6">
        <v>82</v>
      </c>
      <c r="B530" t="s">
        <v>36</v>
      </c>
      <c r="C530" t="s">
        <v>27</v>
      </c>
      <c r="D530">
        <v>59</v>
      </c>
      <c r="E530">
        <v>23</v>
      </c>
      <c r="F530" s="1">
        <f>+D530/(D530+E530)</f>
        <v>0.71951219512195119</v>
      </c>
      <c r="G530" s="2">
        <v>101.7</v>
      </c>
      <c r="H530" s="2">
        <v>95.2</v>
      </c>
      <c r="I530" s="2">
        <f>+G530-H530</f>
        <v>6.5</v>
      </c>
      <c r="J530" s="1">
        <f>+(G530^14)/((G530^14+H530^14))</f>
        <v>0.71599128231824272</v>
      </c>
      <c r="K530" s="2">
        <v>104.4</v>
      </c>
      <c r="L530" s="2">
        <v>97.8</v>
      </c>
      <c r="M530" s="2">
        <f>+K530-L530</f>
        <v>6.6000000000000085</v>
      </c>
      <c r="N530" s="1">
        <f>+F530-J530</f>
        <v>3.5209128037084758E-3</v>
      </c>
      <c r="O530" s="2">
        <v>104.5</v>
      </c>
      <c r="P530" s="2">
        <v>101.8</v>
      </c>
      <c r="Q530" s="2">
        <f>+O530-P530</f>
        <v>2.7000000000000028</v>
      </c>
      <c r="R530" s="2">
        <v>0.4</v>
      </c>
      <c r="S530" s="2">
        <v>3.2</v>
      </c>
      <c r="T530" s="2">
        <f>+Q530-M530</f>
        <v>-3.9000000000000057</v>
      </c>
    </row>
    <row r="531" spans="1:20">
      <c r="A531" s="6">
        <v>4</v>
      </c>
      <c r="B531" t="s">
        <v>4</v>
      </c>
      <c r="C531" t="s">
        <v>8</v>
      </c>
      <c r="D531">
        <v>15</v>
      </c>
      <c r="E531">
        <v>67</v>
      </c>
      <c r="F531" s="1">
        <f>+D531/(D531+E531)</f>
        <v>0.18292682926829268</v>
      </c>
      <c r="G531" s="2">
        <v>87.6</v>
      </c>
      <c r="H531" s="2">
        <v>96.7</v>
      </c>
      <c r="I531" s="2">
        <f>+G531-H531</f>
        <v>-9.1000000000000085</v>
      </c>
      <c r="J531" s="1">
        <f>+(G531^14)/((G531^14+H531^14))</f>
        <v>0.20042284639847754</v>
      </c>
      <c r="K531" s="2">
        <v>95.9</v>
      </c>
      <c r="L531" s="2">
        <v>105.9</v>
      </c>
      <c r="M531" s="2">
        <f>+K531-L531</f>
        <v>-10</v>
      </c>
      <c r="N531" s="1">
        <f>+F531-J531</f>
        <v>-1.7496017130184865E-2</v>
      </c>
      <c r="O531" s="2">
        <v>93.5</v>
      </c>
      <c r="P531" s="2">
        <v>107.4</v>
      </c>
      <c r="Q531" s="2">
        <f>+O531-P531</f>
        <v>-13.900000000000006</v>
      </c>
      <c r="R531" s="2">
        <v>-2.8</v>
      </c>
      <c r="S531" s="2">
        <v>-14.5</v>
      </c>
      <c r="T531" s="2">
        <f>+Q531-M531</f>
        <v>-3.9000000000000057</v>
      </c>
    </row>
    <row r="532" spans="1:20">
      <c r="A532" s="6">
        <v>552</v>
      </c>
      <c r="B532" t="s">
        <v>59</v>
      </c>
      <c r="C532" t="s">
        <v>18</v>
      </c>
      <c r="D532">
        <v>39</v>
      </c>
      <c r="E532">
        <v>43</v>
      </c>
      <c r="F532" s="1">
        <f>+D532/(D532+E532)</f>
        <v>0.47560975609756095</v>
      </c>
      <c r="G532" s="2">
        <v>105.7</v>
      </c>
      <c r="H532" s="2">
        <v>105.9</v>
      </c>
      <c r="I532" s="2">
        <f>+G532-H532</f>
        <v>-0.20000000000000284</v>
      </c>
      <c r="J532" s="1">
        <f>+(G532^14)/((G532^14+H532^14))</f>
        <v>0.49338412708182683</v>
      </c>
      <c r="K532" s="2">
        <v>106.7</v>
      </c>
      <c r="L532" s="2">
        <v>107.1</v>
      </c>
      <c r="M532" s="2">
        <f>+K532-L532</f>
        <v>-0.39999999999999147</v>
      </c>
      <c r="N532" s="1">
        <f>+F532-J532</f>
        <v>-1.7774370984265875E-2</v>
      </c>
      <c r="O532" s="2">
        <v>93.6</v>
      </c>
      <c r="P532" s="2">
        <v>97.9</v>
      </c>
      <c r="Q532" s="2">
        <f>+O532-P532</f>
        <v>-4.3000000000000114</v>
      </c>
      <c r="R532" s="2">
        <v>-0.7</v>
      </c>
      <c r="S532" s="2">
        <v>-4</v>
      </c>
      <c r="T532" s="2">
        <f>+Q532-M532</f>
        <v>-3.9000000000000199</v>
      </c>
    </row>
    <row r="533" spans="1:20">
      <c r="A533" s="6">
        <v>528</v>
      </c>
      <c r="B533" t="s">
        <v>58</v>
      </c>
      <c r="C533" t="s">
        <v>23</v>
      </c>
      <c r="D533">
        <v>25</v>
      </c>
      <c r="E533">
        <v>57</v>
      </c>
      <c r="F533" s="1">
        <f>+D533/(D533+E533)</f>
        <v>0.3048780487804878</v>
      </c>
      <c r="G533" s="2">
        <v>103.4</v>
      </c>
      <c r="H533" s="2">
        <v>108.2</v>
      </c>
      <c r="I533" s="2">
        <f>+G533-H533</f>
        <v>-4.7999999999999972</v>
      </c>
      <c r="J533" s="1">
        <f>+(G533^14)/((G533^14+H533^14))</f>
        <v>0.34631662039158329</v>
      </c>
      <c r="K533" s="2">
        <v>104.7</v>
      </c>
      <c r="L533" s="2">
        <v>109.4</v>
      </c>
      <c r="M533" s="2">
        <f>+K533-L533</f>
        <v>-4.7000000000000028</v>
      </c>
      <c r="N533" s="1">
        <f>+F533-J533</f>
        <v>-4.1438571611095487E-2</v>
      </c>
      <c r="O533" s="2">
        <v>98.4</v>
      </c>
      <c r="P533" s="2">
        <v>107.1</v>
      </c>
      <c r="Q533" s="2">
        <f>+O533-P533</f>
        <v>-8.6999999999999886</v>
      </c>
      <c r="R533" s="2">
        <v>0</v>
      </c>
      <c r="S533" s="2">
        <v>-0.9</v>
      </c>
      <c r="T533" s="2">
        <f>+Q533-M533</f>
        <v>-3.9999999999999858</v>
      </c>
    </row>
    <row r="534" spans="1:20">
      <c r="A534" s="6">
        <v>645</v>
      </c>
      <c r="B534" t="s">
        <v>62</v>
      </c>
      <c r="C534" t="s">
        <v>53</v>
      </c>
      <c r="D534">
        <v>36</v>
      </c>
      <c r="E534">
        <v>46</v>
      </c>
      <c r="F534" s="1">
        <f>+D534/(D534+E534)</f>
        <v>0.43902439024390244</v>
      </c>
      <c r="G534" s="2">
        <v>109.3</v>
      </c>
      <c r="H534" s="2">
        <v>110.3</v>
      </c>
      <c r="I534" s="2">
        <f>+G534-H534</f>
        <v>-1</v>
      </c>
      <c r="J534" s="1">
        <f>+(G534^14)/((G534^14+H534^14))</f>
        <v>0.46816675732183283</v>
      </c>
      <c r="K534" s="2">
        <v>111.2</v>
      </c>
      <c r="L534" s="2">
        <v>112</v>
      </c>
      <c r="M534" s="2">
        <f>+K534-L534</f>
        <v>-0.79999999999999716</v>
      </c>
      <c r="N534" s="1">
        <f>+F534-J534</f>
        <v>-2.9142367077930387E-2</v>
      </c>
      <c r="O534" s="2">
        <v>115.5</v>
      </c>
      <c r="P534" s="2">
        <v>120.3</v>
      </c>
      <c r="Q534" s="2">
        <f>+O534-P534</f>
        <v>-4.7999999999999972</v>
      </c>
      <c r="R534" s="2">
        <v>0.3</v>
      </c>
      <c r="S534" s="2">
        <v>1.3</v>
      </c>
      <c r="T534" s="2">
        <f>+Q534-M534</f>
        <v>-4</v>
      </c>
    </row>
    <row r="535" spans="1:20">
      <c r="A535" s="6">
        <v>480</v>
      </c>
      <c r="B535" t="s">
        <v>57</v>
      </c>
      <c r="C535" t="s">
        <v>7</v>
      </c>
      <c r="D535">
        <v>36</v>
      </c>
      <c r="E535">
        <v>46</v>
      </c>
      <c r="F535" s="1">
        <f>+D535/(D535+E535)</f>
        <v>0.43902439024390244</v>
      </c>
      <c r="G535" s="2">
        <v>104.9</v>
      </c>
      <c r="H535" s="2">
        <v>104.7</v>
      </c>
      <c r="I535" s="2">
        <f>+G535-H535</f>
        <v>0.20000000000000284</v>
      </c>
      <c r="J535" s="1">
        <f>+(G535^14)/((G535^14+H535^14))</f>
        <v>0.50667899404030869</v>
      </c>
      <c r="K535" s="2">
        <v>108.4</v>
      </c>
      <c r="L535" s="2">
        <v>108.4</v>
      </c>
      <c r="M535" s="2">
        <f>+K535-L535</f>
        <v>0</v>
      </c>
      <c r="N535" s="1">
        <f>+F535-J535</f>
        <v>-6.7654603796406254E-2</v>
      </c>
      <c r="O535" s="2">
        <v>115.5</v>
      </c>
      <c r="P535" s="2">
        <v>119.6</v>
      </c>
      <c r="Q535" s="2">
        <f>+O535-P535</f>
        <v>-4.0999999999999943</v>
      </c>
      <c r="R535" s="2">
        <v>-0.3</v>
      </c>
      <c r="S535" s="2">
        <v>0.4</v>
      </c>
      <c r="T535" s="2">
        <f>+Q535-M535</f>
        <v>-4.0999999999999943</v>
      </c>
    </row>
    <row r="536" spans="1:20">
      <c r="A536" s="6">
        <v>25</v>
      </c>
      <c r="B536" t="s">
        <v>4</v>
      </c>
      <c r="C536" t="s">
        <v>29</v>
      </c>
      <c r="D536">
        <v>44</v>
      </c>
      <c r="E536">
        <v>38</v>
      </c>
      <c r="F536" s="1">
        <f>+D536/(D536+E536)</f>
        <v>0.53658536585365857</v>
      </c>
      <c r="G536" s="2">
        <v>97.3</v>
      </c>
      <c r="H536" s="2">
        <v>97.3</v>
      </c>
      <c r="I536" s="2">
        <f>+G536-H536</f>
        <v>0</v>
      </c>
      <c r="J536" s="1">
        <f>+(G536^14)/((G536^14+H536^14))</f>
        <v>0.5</v>
      </c>
      <c r="K536" s="2">
        <v>104.4</v>
      </c>
      <c r="L536" s="2">
        <v>104.2</v>
      </c>
      <c r="M536" s="2">
        <f>+K536-L536</f>
        <v>0.20000000000000284</v>
      </c>
      <c r="N536" s="1">
        <f>+F536-J536</f>
        <v>3.6585365853658569E-2</v>
      </c>
      <c r="O536" s="2">
        <v>98.3</v>
      </c>
      <c r="P536" s="2">
        <v>102.3</v>
      </c>
      <c r="Q536" s="2">
        <f>+O536-P536</f>
        <v>-4</v>
      </c>
      <c r="R536" s="2">
        <v>-0.4</v>
      </c>
      <c r="S536" s="2">
        <v>-3.2</v>
      </c>
      <c r="T536" s="2">
        <f>+Q536-M536</f>
        <v>-4.2000000000000028</v>
      </c>
    </row>
    <row r="537" spans="1:20">
      <c r="A537" s="6">
        <v>44</v>
      </c>
      <c r="B537" t="s">
        <v>34</v>
      </c>
      <c r="C537" t="s">
        <v>18</v>
      </c>
      <c r="D537">
        <v>36</v>
      </c>
      <c r="E537">
        <v>46</v>
      </c>
      <c r="F537" s="1">
        <f>+D537/(D537+E537)</f>
        <v>0.43902439024390244</v>
      </c>
      <c r="G537" s="2">
        <v>87.2</v>
      </c>
      <c r="H537" s="2">
        <v>88.7</v>
      </c>
      <c r="I537" s="2">
        <f>+G537-H537</f>
        <v>-1.5</v>
      </c>
      <c r="J537" s="1">
        <f>+(G537^14)/((G537^14+H537^14))</f>
        <v>0.44058756031569546</v>
      </c>
      <c r="K537" s="2">
        <v>97.3</v>
      </c>
      <c r="L537" s="2">
        <v>99</v>
      </c>
      <c r="M537" s="2">
        <f>+K537-L537</f>
        <v>-1.7000000000000028</v>
      </c>
      <c r="N537" s="1">
        <f>+F537-J537</f>
        <v>-1.5631700717930186E-3</v>
      </c>
      <c r="O537" s="2">
        <v>86.1</v>
      </c>
      <c r="P537" s="2">
        <v>92</v>
      </c>
      <c r="Q537" s="2">
        <f>+O537-P537</f>
        <v>-5.9000000000000057</v>
      </c>
      <c r="R537" s="2">
        <v>-0.4</v>
      </c>
      <c r="S537" s="2">
        <v>-5.3</v>
      </c>
      <c r="T537" s="2">
        <f>+Q537-M537</f>
        <v>-4.2000000000000028</v>
      </c>
    </row>
    <row r="538" spans="1:20">
      <c r="A538" s="6">
        <v>244</v>
      </c>
      <c r="B538" t="s">
        <v>45</v>
      </c>
      <c r="C538" t="s">
        <v>12</v>
      </c>
      <c r="D538">
        <v>39</v>
      </c>
      <c r="E538">
        <v>43</v>
      </c>
      <c r="F538" s="1">
        <f>+D538/(D538+E538)</f>
        <v>0.47560975609756095</v>
      </c>
      <c r="G538" s="2">
        <v>94.2</v>
      </c>
      <c r="H538" s="2">
        <v>94.7</v>
      </c>
      <c r="I538" s="2">
        <f>+G538-H538</f>
        <v>-0.5</v>
      </c>
      <c r="J538" s="1">
        <f>+(G538^14)/((G538^14+H538^14))</f>
        <v>0.48148011126820961</v>
      </c>
      <c r="K538" s="2">
        <v>105.8</v>
      </c>
      <c r="L538" s="2">
        <v>106.4</v>
      </c>
      <c r="M538" s="2">
        <f>+K538-L538</f>
        <v>-0.60000000000000853</v>
      </c>
      <c r="N538" s="1">
        <f>+F538-J538</f>
        <v>-5.8703551706486556E-3</v>
      </c>
      <c r="O538" s="2">
        <v>101.4</v>
      </c>
      <c r="P538" s="2">
        <v>106.3</v>
      </c>
      <c r="Q538" s="2">
        <f>+O538-P538</f>
        <v>-4.8999999999999915</v>
      </c>
      <c r="R538" s="2">
        <v>-0.5</v>
      </c>
      <c r="S538" s="2">
        <v>-2.8</v>
      </c>
      <c r="T538" s="2">
        <f>+Q538-M538</f>
        <v>-4.2999999999999829</v>
      </c>
    </row>
    <row r="539" spans="1:20">
      <c r="A539" s="6">
        <v>751</v>
      </c>
      <c r="B539" t="s">
        <v>66</v>
      </c>
      <c r="C539" t="s">
        <v>8</v>
      </c>
      <c r="D539">
        <v>26</v>
      </c>
      <c r="E539">
        <v>37</v>
      </c>
      <c r="F539" s="1">
        <f>+D539/(D539+E539)</f>
        <v>0.41269841269841268</v>
      </c>
      <c r="G539" s="2">
        <v>115.5</v>
      </c>
      <c r="H539" s="2">
        <v>119.7</v>
      </c>
      <c r="I539" s="2">
        <f>+G539-H539</f>
        <v>-4.2000000000000028</v>
      </c>
      <c r="J539" s="1">
        <f>+(G539^14)/((G539^14+H539^14))</f>
        <v>0.37752817692129625</v>
      </c>
      <c r="K539" s="2">
        <v>112.2</v>
      </c>
      <c r="L539" s="2">
        <v>116.6</v>
      </c>
      <c r="M539" s="2">
        <f>+K539-L539</f>
        <v>-4.3999999999999915</v>
      </c>
      <c r="N539" s="1">
        <f>+F539-J539</f>
        <v>3.5170235777116421E-2</v>
      </c>
      <c r="O539" s="2">
        <v>108.4</v>
      </c>
      <c r="P539" s="2">
        <v>117.1</v>
      </c>
      <c r="Q539" s="2">
        <f>+O539-P539</f>
        <v>-8.6999999999999886</v>
      </c>
      <c r="R539" s="2">
        <v>-0.6</v>
      </c>
      <c r="S539" s="2">
        <v>-1.6</v>
      </c>
      <c r="T539" s="2">
        <f>+Q539-M539</f>
        <v>-4.2999999999999972</v>
      </c>
    </row>
    <row r="540" spans="1:20">
      <c r="A540" s="6">
        <v>613</v>
      </c>
      <c r="B540" t="s">
        <v>61</v>
      </c>
      <c r="C540" t="s">
        <v>19</v>
      </c>
      <c r="D540">
        <v>46</v>
      </c>
      <c r="E540">
        <v>26</v>
      </c>
      <c r="F540" s="1">
        <f>+D540/(D540+E540)</f>
        <v>0.63888888888888884</v>
      </c>
      <c r="G540" s="2">
        <v>120.1</v>
      </c>
      <c r="H540" s="2">
        <v>114.2</v>
      </c>
      <c r="I540" s="2">
        <f>+G540-H540</f>
        <v>5.8999999999999915</v>
      </c>
      <c r="J540" s="1">
        <f>+(G540^14)/((G540^14+H540^14))</f>
        <v>0.66934587633870324</v>
      </c>
      <c r="K540" s="2">
        <v>116.5</v>
      </c>
      <c r="L540" s="2">
        <v>110.7</v>
      </c>
      <c r="M540" s="2">
        <f>+K540-L540</f>
        <v>5.7999999999999972</v>
      </c>
      <c r="N540" s="1">
        <f>+F540-J540</f>
        <v>-3.0456987449814399E-2</v>
      </c>
      <c r="O540" s="2">
        <v>107</v>
      </c>
      <c r="P540" s="2">
        <v>105.5</v>
      </c>
      <c r="Q540" s="2">
        <f>+O540-P540</f>
        <v>1.5</v>
      </c>
      <c r="R540" s="2">
        <v>-0.2</v>
      </c>
      <c r="S540" s="2">
        <v>-0.8</v>
      </c>
      <c r="T540" s="2">
        <f>+Q540-M540</f>
        <v>-4.2999999999999972</v>
      </c>
    </row>
    <row r="541" spans="1:20">
      <c r="A541" s="6">
        <v>683</v>
      </c>
      <c r="B541" t="s">
        <v>63</v>
      </c>
      <c r="C541" t="s">
        <v>28</v>
      </c>
      <c r="D541">
        <v>22</v>
      </c>
      <c r="E541">
        <v>60</v>
      </c>
      <c r="F541" s="1">
        <f>+D541/(D541+E541)</f>
        <v>0.26829268292682928</v>
      </c>
      <c r="G541" s="2">
        <v>113</v>
      </c>
      <c r="H541" s="2">
        <v>123.1</v>
      </c>
      <c r="I541" s="2">
        <f>+G541-H541</f>
        <v>-10.099999999999994</v>
      </c>
      <c r="J541" s="1">
        <f>+(G541^14)/((G541^14+H541^14))</f>
        <v>0.23173700210202122</v>
      </c>
      <c r="K541" s="2">
        <v>109.7</v>
      </c>
      <c r="L541" s="2">
        <v>119.6</v>
      </c>
      <c r="M541" s="2">
        <f>+K541-L541</f>
        <v>-9.8999999999999915</v>
      </c>
      <c r="N541" s="1">
        <f>+F541-J541</f>
        <v>3.6555680824808062E-2</v>
      </c>
      <c r="O541" s="2">
        <v>98.2</v>
      </c>
      <c r="P541" s="2">
        <v>112.4</v>
      </c>
      <c r="Q541" s="2">
        <f>+O541-P541</f>
        <v>-14.200000000000003</v>
      </c>
      <c r="R541" s="2">
        <v>-3.9</v>
      </c>
      <c r="S541" s="2">
        <v>-16.899999999999999</v>
      </c>
      <c r="T541" s="2">
        <f>+Q541-M541</f>
        <v>-4.3000000000000114</v>
      </c>
    </row>
    <row r="542" spans="1:20">
      <c r="A542" s="6">
        <v>551</v>
      </c>
      <c r="B542" t="s">
        <v>59</v>
      </c>
      <c r="C542" t="s">
        <v>35</v>
      </c>
      <c r="D542">
        <v>33</v>
      </c>
      <c r="E542">
        <v>49</v>
      </c>
      <c r="F542" s="1">
        <f>+D542/(D542+E542)</f>
        <v>0.40243902439024393</v>
      </c>
      <c r="G542" s="2">
        <v>103.5</v>
      </c>
      <c r="H542" s="2">
        <v>106.1</v>
      </c>
      <c r="I542" s="2">
        <f>+G542-H542</f>
        <v>-2.5999999999999943</v>
      </c>
      <c r="J542" s="1">
        <f>+(G542^14)/((G542^14+H542^14))</f>
        <v>0.41402614202375848</v>
      </c>
      <c r="K542" s="2">
        <v>105.6</v>
      </c>
      <c r="L542" s="2">
        <v>108</v>
      </c>
      <c r="M542" s="2">
        <f>+K542-L542</f>
        <v>-2.4000000000000057</v>
      </c>
      <c r="N542" s="1">
        <f>+F542-J542</f>
        <v>-1.1587117633514554E-2</v>
      </c>
      <c r="O542" s="2">
        <v>102.9</v>
      </c>
      <c r="P542" s="2">
        <v>109.8</v>
      </c>
      <c r="Q542" s="2">
        <f>+O542-P542</f>
        <v>-6.8999999999999915</v>
      </c>
      <c r="R542" s="2">
        <v>-1.7</v>
      </c>
      <c r="S542" s="2">
        <v>-7</v>
      </c>
      <c r="T542" s="2">
        <f>+Q542-M542</f>
        <v>-4.4999999999999858</v>
      </c>
    </row>
    <row r="543" spans="1:20">
      <c r="A543" s="6">
        <v>220</v>
      </c>
      <c r="B543" t="s">
        <v>44</v>
      </c>
      <c r="C543" t="s">
        <v>35</v>
      </c>
      <c r="D543">
        <v>22</v>
      </c>
      <c r="E543">
        <v>60</v>
      </c>
      <c r="F543" s="1">
        <f>+D543/(D543+E543)</f>
        <v>0.26829268292682928</v>
      </c>
      <c r="G543" s="2">
        <v>100.7</v>
      </c>
      <c r="H543" s="2">
        <v>106.9</v>
      </c>
      <c r="I543" s="2">
        <f>+G543-H543</f>
        <v>-6.2000000000000028</v>
      </c>
      <c r="J543" s="1">
        <f>+(G543^14)/((G543^14+H543^14))</f>
        <v>0.30227828737765194</v>
      </c>
      <c r="K543" s="2">
        <v>103.9</v>
      </c>
      <c r="L543" s="2">
        <v>110.2</v>
      </c>
      <c r="M543" s="2">
        <f>+K543-L543</f>
        <v>-6.2999999999999972</v>
      </c>
      <c r="N543" s="1">
        <f>+F543-J543</f>
        <v>-3.398560445082266E-2</v>
      </c>
      <c r="O543" s="2">
        <v>105.8</v>
      </c>
      <c r="P543" s="2">
        <v>116.6</v>
      </c>
      <c r="Q543" s="2">
        <f>+O543-P543</f>
        <v>-10.799999999999997</v>
      </c>
      <c r="R543" s="2">
        <v>0</v>
      </c>
      <c r="S543" s="2">
        <v>-0.8</v>
      </c>
      <c r="T543" s="2">
        <f>+Q543-M543</f>
        <v>-4.5</v>
      </c>
    </row>
    <row r="544" spans="1:20">
      <c r="A544" s="6">
        <v>394</v>
      </c>
      <c r="B544" t="s">
        <v>52</v>
      </c>
      <c r="C544" t="s">
        <v>11</v>
      </c>
      <c r="D544">
        <v>36</v>
      </c>
      <c r="E544">
        <v>46</v>
      </c>
      <c r="F544" s="1">
        <f>+D544/(D544+E544)</f>
        <v>0.43902439024390244</v>
      </c>
      <c r="G544" s="2">
        <v>104.4</v>
      </c>
      <c r="H544" s="2">
        <v>106.5</v>
      </c>
      <c r="I544" s="2">
        <f>+G544-H544</f>
        <v>-2.0999999999999943</v>
      </c>
      <c r="J544" s="1">
        <f>+(G544^14)/((G544^14+H544^14))</f>
        <v>0.43074448136951871</v>
      </c>
      <c r="K544" s="2">
        <v>105.1</v>
      </c>
      <c r="L544" s="2">
        <v>107.3</v>
      </c>
      <c r="M544" s="2">
        <f>+K544-L544</f>
        <v>-2.2000000000000028</v>
      </c>
      <c r="N544" s="1">
        <f>+F544-J544</f>
        <v>8.2799088743837346E-3</v>
      </c>
      <c r="O544" s="2">
        <v>98.8</v>
      </c>
      <c r="P544" s="2">
        <v>105.6</v>
      </c>
      <c r="Q544" s="2">
        <f>+O544-P544</f>
        <v>-6.7999999999999972</v>
      </c>
      <c r="R544" s="2">
        <v>-0.5</v>
      </c>
      <c r="S544" s="2">
        <v>-2.5</v>
      </c>
      <c r="T544" s="2">
        <f>+Q544-M544</f>
        <v>-4.5999999999999943</v>
      </c>
    </row>
    <row r="545" spans="1:20">
      <c r="A545" s="6">
        <v>57</v>
      </c>
      <c r="B545" t="s">
        <v>34</v>
      </c>
      <c r="C545" t="s">
        <v>31</v>
      </c>
      <c r="D545">
        <v>44</v>
      </c>
      <c r="E545">
        <v>38</v>
      </c>
      <c r="F545" s="1">
        <f>+D545/(D545+E545)</f>
        <v>0.53658536585365857</v>
      </c>
      <c r="G545" s="2">
        <v>96</v>
      </c>
      <c r="H545" s="2">
        <v>95.1</v>
      </c>
      <c r="I545" s="2">
        <f>+G545-H545</f>
        <v>0.90000000000000568</v>
      </c>
      <c r="J545" s="1">
        <f>+(G545^14)/((G545^14+H545^14))</f>
        <v>0.53291958603886924</v>
      </c>
      <c r="K545" s="2">
        <v>103.8</v>
      </c>
      <c r="L545" s="2">
        <v>102.9</v>
      </c>
      <c r="M545" s="2">
        <f>+K545-L545</f>
        <v>0.89999999999999147</v>
      </c>
      <c r="N545" s="1">
        <f>+F545-J545</f>
        <v>3.6657798147893272E-3</v>
      </c>
      <c r="O545" s="2">
        <v>102.8</v>
      </c>
      <c r="P545" s="2">
        <v>106.5</v>
      </c>
      <c r="Q545" s="2">
        <f>+O545-P545</f>
        <v>-3.7000000000000028</v>
      </c>
      <c r="R545" s="2">
        <v>0.6</v>
      </c>
      <c r="S545" s="2">
        <v>2.1</v>
      </c>
      <c r="T545" s="2">
        <f>+Q545-M545</f>
        <v>-4.5999999999999943</v>
      </c>
    </row>
    <row r="546" spans="1:20">
      <c r="A546" s="6">
        <v>41</v>
      </c>
      <c r="B546" t="s">
        <v>34</v>
      </c>
      <c r="C546" t="s">
        <v>16</v>
      </c>
      <c r="D546">
        <v>39</v>
      </c>
      <c r="E546">
        <v>43</v>
      </c>
      <c r="F546" s="1">
        <f>+D546/(D546+E546)</f>
        <v>0.47560975609756095</v>
      </c>
      <c r="G546" s="2">
        <v>95.7</v>
      </c>
      <c r="H546" s="2">
        <v>96.1</v>
      </c>
      <c r="I546" s="2">
        <f>+G546-H546</f>
        <v>-0.39999999999999147</v>
      </c>
      <c r="J546" s="1">
        <f>+(G546^14)/((G546^14+H546^14))</f>
        <v>0.48540558556338809</v>
      </c>
      <c r="K546" s="2">
        <v>104.3</v>
      </c>
      <c r="L546" s="2">
        <v>104.7</v>
      </c>
      <c r="M546" s="2">
        <f>+K546-L546</f>
        <v>-0.40000000000000568</v>
      </c>
      <c r="N546" s="1">
        <f>+F546-J546</f>
        <v>-9.7958294658271328E-3</v>
      </c>
      <c r="O546" s="2">
        <v>95.3</v>
      </c>
      <c r="P546" s="2">
        <v>100.3</v>
      </c>
      <c r="Q546" s="2">
        <f>+O546-P546</f>
        <v>-5</v>
      </c>
      <c r="R546" s="2">
        <v>-0.5</v>
      </c>
      <c r="S546" s="2">
        <v>-2.6</v>
      </c>
      <c r="T546" s="2">
        <f>+Q546-M546</f>
        <v>-4.5999999999999943</v>
      </c>
    </row>
    <row r="547" spans="1:20">
      <c r="A547" s="6">
        <v>415</v>
      </c>
      <c r="B547" t="s">
        <v>52</v>
      </c>
      <c r="C547" t="s">
        <v>31</v>
      </c>
      <c r="D547">
        <v>25</v>
      </c>
      <c r="E547">
        <v>57</v>
      </c>
      <c r="F547" s="1">
        <f>+D547/(D547+E547)</f>
        <v>0.3048780487804878</v>
      </c>
      <c r="G547" s="2">
        <v>95</v>
      </c>
      <c r="H547" s="2">
        <v>102.2</v>
      </c>
      <c r="I547" s="2">
        <f>+G547-H547</f>
        <v>-7.2000000000000028</v>
      </c>
      <c r="J547" s="1">
        <f>+(G547^14)/((G547^14+H547^14))</f>
        <v>0.26448877178052832</v>
      </c>
      <c r="K547" s="2">
        <v>102.4</v>
      </c>
      <c r="L547" s="2">
        <v>110.1</v>
      </c>
      <c r="M547" s="2">
        <f>+K547-L547</f>
        <v>-7.6999999999999886</v>
      </c>
      <c r="N547" s="1">
        <f>+F547-J547</f>
        <v>4.0389276999959478E-2</v>
      </c>
      <c r="O547" s="2">
        <v>108.8</v>
      </c>
      <c r="P547" s="2">
        <v>121.1</v>
      </c>
      <c r="Q547" s="2">
        <f>+O547-P547</f>
        <v>-12.299999999999997</v>
      </c>
      <c r="R547" s="2">
        <v>-1.8</v>
      </c>
      <c r="S547" s="2">
        <v>-9.6999999999999993</v>
      </c>
      <c r="T547" s="2">
        <f>+Q547-M547</f>
        <v>-4.6000000000000085</v>
      </c>
    </row>
    <row r="548" spans="1:20">
      <c r="A548" s="6">
        <v>424</v>
      </c>
      <c r="B548" t="s">
        <v>54</v>
      </c>
      <c r="C548" t="s">
        <v>11</v>
      </c>
      <c r="D548">
        <v>30</v>
      </c>
      <c r="E548">
        <v>52</v>
      </c>
      <c r="F548" s="1">
        <f>+D548/(D548+E548)</f>
        <v>0.36585365853658536</v>
      </c>
      <c r="G548" s="2">
        <v>101.5</v>
      </c>
      <c r="H548" s="2">
        <v>105</v>
      </c>
      <c r="I548" s="2">
        <f>+G548-H548</f>
        <v>-3.5</v>
      </c>
      <c r="J548" s="1">
        <f>+(G548^14)/((G548^14+H548^14))</f>
        <v>0.38352292862917464</v>
      </c>
      <c r="K548" s="2">
        <v>103.9</v>
      </c>
      <c r="L548" s="2">
        <v>107.1</v>
      </c>
      <c r="M548" s="2">
        <f>+K548-L548</f>
        <v>-3.1999999999999886</v>
      </c>
      <c r="N548" s="1">
        <f>+F548-J548</f>
        <v>-1.7669270092589284E-2</v>
      </c>
      <c r="O548" s="2">
        <v>104.4</v>
      </c>
      <c r="P548" s="2">
        <v>112.3</v>
      </c>
      <c r="Q548" s="2">
        <f>+O548-P548</f>
        <v>-7.8999999999999915</v>
      </c>
      <c r="R548" s="2">
        <v>-0.8</v>
      </c>
      <c r="S548" s="2">
        <v>-5.5</v>
      </c>
      <c r="T548" s="2">
        <f>+Q548-M548</f>
        <v>-4.7000000000000028</v>
      </c>
    </row>
    <row r="549" spans="1:20">
      <c r="A549" s="6">
        <v>39</v>
      </c>
      <c r="B549" t="s">
        <v>34</v>
      </c>
      <c r="C549" t="s">
        <v>14</v>
      </c>
      <c r="D549">
        <v>28</v>
      </c>
      <c r="E549">
        <v>54</v>
      </c>
      <c r="F549" s="1">
        <f>+D549/(D549+E549)</f>
        <v>0.34146341463414637</v>
      </c>
      <c r="G549" s="2">
        <v>92.3</v>
      </c>
      <c r="H549" s="2">
        <v>97.2</v>
      </c>
      <c r="I549" s="2">
        <f>+G549-H549</f>
        <v>-4.9000000000000057</v>
      </c>
      <c r="J549" s="1">
        <f>+(G549^14)/((G549^14+H549^14))</f>
        <v>0.3264749470449273</v>
      </c>
      <c r="K549" s="2">
        <v>101.6</v>
      </c>
      <c r="L549" s="2">
        <v>106.9</v>
      </c>
      <c r="M549" s="2">
        <f>+K549-L549</f>
        <v>-5.3000000000000114</v>
      </c>
      <c r="N549" s="1">
        <f>+F549-J549</f>
        <v>1.4988467589219068E-2</v>
      </c>
      <c r="O549" s="2">
        <v>96.6</v>
      </c>
      <c r="P549" s="2">
        <v>106.7</v>
      </c>
      <c r="Q549" s="2">
        <f>+O549-P549</f>
        <v>-10.100000000000009</v>
      </c>
      <c r="R549" s="2">
        <v>-1</v>
      </c>
      <c r="S549" s="2">
        <v>-7.2</v>
      </c>
      <c r="T549" s="2">
        <f>+Q549-M549</f>
        <v>-4.7999999999999972</v>
      </c>
    </row>
    <row r="550" spans="1:20">
      <c r="A550" s="6">
        <v>128</v>
      </c>
      <c r="B550" t="s">
        <v>39</v>
      </c>
      <c r="C550" t="s">
        <v>16</v>
      </c>
      <c r="D550">
        <v>37</v>
      </c>
      <c r="E550">
        <v>45</v>
      </c>
      <c r="F550" s="1">
        <f>+D550/(D550+E550)</f>
        <v>0.45121951219512196</v>
      </c>
      <c r="G550" s="2">
        <v>95.7</v>
      </c>
      <c r="H550" s="2">
        <v>96.5</v>
      </c>
      <c r="I550" s="2">
        <f>+G550-H550</f>
        <v>-0.79999999999999716</v>
      </c>
      <c r="J550" s="1">
        <f>+(G550^14)/((G550^14+H550^14))</f>
        <v>0.47089645062894331</v>
      </c>
      <c r="K550" s="2">
        <v>103.8</v>
      </c>
      <c r="L550" s="2">
        <v>104.5</v>
      </c>
      <c r="M550" s="2">
        <f>+K550-L550</f>
        <v>-0.70000000000000284</v>
      </c>
      <c r="N550" s="1">
        <f>+F550-J550</f>
        <v>-1.9676938433821345E-2</v>
      </c>
      <c r="O550" s="2">
        <v>101.2</v>
      </c>
      <c r="P550" s="2">
        <v>106.7</v>
      </c>
      <c r="Q550" s="2">
        <f>+O550-P550</f>
        <v>-5.5</v>
      </c>
      <c r="R550" s="2">
        <v>-1.3</v>
      </c>
      <c r="S550" s="2">
        <v>-5.6</v>
      </c>
      <c r="T550" s="2">
        <f>+Q550-M550</f>
        <v>-4.7999999999999972</v>
      </c>
    </row>
    <row r="551" spans="1:20">
      <c r="A551" s="6">
        <v>520</v>
      </c>
      <c r="B551" t="s">
        <v>58</v>
      </c>
      <c r="C551" t="s">
        <v>17</v>
      </c>
      <c r="D551">
        <v>35</v>
      </c>
      <c r="E551">
        <v>47</v>
      </c>
      <c r="F551" s="1">
        <f>+D551/(D551+E551)</f>
        <v>0.42682926829268292</v>
      </c>
      <c r="G551" s="2">
        <v>108.1</v>
      </c>
      <c r="H551" s="2">
        <v>109.6</v>
      </c>
      <c r="I551" s="2">
        <f>+G551-H551</f>
        <v>-1.5</v>
      </c>
      <c r="J551" s="1">
        <f>+(G551^14)/((G551^14+H551^14))</f>
        <v>0.45191677770464023</v>
      </c>
      <c r="K551" s="2">
        <v>106</v>
      </c>
      <c r="L551" s="2">
        <v>107.3</v>
      </c>
      <c r="M551" s="2">
        <f>+K551-L551</f>
        <v>-1.2999999999999972</v>
      </c>
      <c r="N551" s="1">
        <f>+F551-J551</f>
        <v>-2.5087509411957309E-2</v>
      </c>
      <c r="O551" s="2">
        <v>99.7</v>
      </c>
      <c r="P551" s="2">
        <v>105.8</v>
      </c>
      <c r="Q551" s="2">
        <f>+O551-P551</f>
        <v>-6.0999999999999943</v>
      </c>
      <c r="R551" s="2">
        <v>-0.4</v>
      </c>
      <c r="S551" s="2">
        <v>-1.5</v>
      </c>
      <c r="T551" s="2">
        <f>+Q551-M551</f>
        <v>-4.7999999999999972</v>
      </c>
    </row>
    <row r="552" spans="1:20">
      <c r="A552" s="6">
        <v>117</v>
      </c>
      <c r="B552" t="s">
        <v>39</v>
      </c>
      <c r="C552" t="s">
        <v>5</v>
      </c>
      <c r="D552">
        <v>13</v>
      </c>
      <c r="E552">
        <v>69</v>
      </c>
      <c r="F552" s="1">
        <f>+D552/(D552+E552)</f>
        <v>0.15853658536585366</v>
      </c>
      <c r="G552" s="2">
        <v>92.7</v>
      </c>
      <c r="H552" s="2">
        <v>102.5</v>
      </c>
      <c r="I552" s="2">
        <f>+G552-H552</f>
        <v>-9.7999999999999972</v>
      </c>
      <c r="J552" s="1">
        <f>+(G552^14)/((G552^14+H552^14))</f>
        <v>0.19672021863355632</v>
      </c>
      <c r="K552" s="2">
        <v>98.8</v>
      </c>
      <c r="L552" s="2">
        <v>109</v>
      </c>
      <c r="M552" s="2">
        <f>+K552-L552</f>
        <v>-10.200000000000003</v>
      </c>
      <c r="N552" s="1">
        <f>+F552-J552</f>
        <v>-3.818363326770266E-2</v>
      </c>
      <c r="O552" s="2">
        <v>94.5</v>
      </c>
      <c r="P552" s="2">
        <v>109.5</v>
      </c>
      <c r="Q552" s="2">
        <f>+O552-P552</f>
        <v>-15</v>
      </c>
      <c r="R552" s="2">
        <v>-2.4</v>
      </c>
      <c r="S552" s="2">
        <v>-12.9</v>
      </c>
      <c r="T552" s="2">
        <f>+Q552-M552</f>
        <v>-4.7999999999999972</v>
      </c>
    </row>
    <row r="553" spans="1:20">
      <c r="A553" s="6">
        <v>47</v>
      </c>
      <c r="B553" t="s">
        <v>34</v>
      </c>
      <c r="C553" t="s">
        <v>21</v>
      </c>
      <c r="D553">
        <v>52</v>
      </c>
      <c r="E553">
        <v>30</v>
      </c>
      <c r="F553" s="1">
        <f>+D553/(D553+E553)</f>
        <v>0.63414634146341464</v>
      </c>
      <c r="G553" s="2">
        <v>96.2</v>
      </c>
      <c r="H553" s="2">
        <v>92</v>
      </c>
      <c r="I553" s="2">
        <f>+G553-H553</f>
        <v>4.2000000000000028</v>
      </c>
      <c r="J553" s="1">
        <f>+(G553^14)/((G553^14+H553^14))</f>
        <v>0.65134826278971358</v>
      </c>
      <c r="K553" s="2">
        <v>102.4</v>
      </c>
      <c r="L553" s="2">
        <v>98.1</v>
      </c>
      <c r="M553" s="2">
        <f>+K553-L553</f>
        <v>4.3000000000000114</v>
      </c>
      <c r="N553" s="1">
        <f>+F553-J553</f>
        <v>-1.7201921326298941E-2</v>
      </c>
      <c r="O553" s="2">
        <v>98.1</v>
      </c>
      <c r="P553" s="2">
        <v>98.6</v>
      </c>
      <c r="Q553" s="2">
        <f>+O553-P553</f>
        <v>-0.5</v>
      </c>
      <c r="R553" s="2">
        <v>1</v>
      </c>
      <c r="S553" s="2">
        <v>5.2</v>
      </c>
      <c r="T553" s="2">
        <f>+Q553-M553</f>
        <v>-4.8000000000000114</v>
      </c>
    </row>
    <row r="554" spans="1:20">
      <c r="A554" s="6">
        <v>727</v>
      </c>
      <c r="B554" t="s">
        <v>65</v>
      </c>
      <c r="C554" t="s">
        <v>14</v>
      </c>
      <c r="D554">
        <v>52</v>
      </c>
      <c r="E554">
        <v>29</v>
      </c>
      <c r="F554" s="1">
        <f>+D554/(D554+E554)</f>
        <v>0.64197530864197527</v>
      </c>
      <c r="G554" s="2">
        <v>114.5</v>
      </c>
      <c r="H554" s="2">
        <v>109.8</v>
      </c>
      <c r="I554" s="2">
        <f>+G554-H554</f>
        <v>4.7000000000000028</v>
      </c>
      <c r="J554" s="1">
        <f>+(G554^14)/((G554^14+H554^14))</f>
        <v>0.64263060711327835</v>
      </c>
      <c r="K554" s="2">
        <v>115.1</v>
      </c>
      <c r="L554" s="2">
        <v>110.2</v>
      </c>
      <c r="M554" s="2">
        <f>+K554-L554</f>
        <v>4.8999999999999915</v>
      </c>
      <c r="N554" s="1">
        <f>+F554-J554</f>
        <v>-6.552984713030785E-4</v>
      </c>
      <c r="O554" s="2">
        <v>107.1</v>
      </c>
      <c r="P554" s="2">
        <v>107.1</v>
      </c>
      <c r="Q554" s="2">
        <f>+O554-P554</f>
        <v>0</v>
      </c>
      <c r="R554" s="2">
        <v>-0.5</v>
      </c>
      <c r="S554" s="2">
        <v>-1.5</v>
      </c>
      <c r="T554" s="2">
        <f>+Q554-M554</f>
        <v>-4.8999999999999915</v>
      </c>
    </row>
    <row r="555" spans="1:20">
      <c r="A555" s="6">
        <v>412</v>
      </c>
      <c r="B555" t="s">
        <v>52</v>
      </c>
      <c r="C555" t="s">
        <v>27</v>
      </c>
      <c r="D555">
        <v>28</v>
      </c>
      <c r="E555">
        <v>54</v>
      </c>
      <c r="F555" s="1">
        <f>+D555/(D555+E555)</f>
        <v>0.34146341463414637</v>
      </c>
      <c r="G555" s="2">
        <v>100.5</v>
      </c>
      <c r="H555" s="2">
        <v>103.4</v>
      </c>
      <c r="I555" s="2">
        <f>+G555-H555</f>
        <v>-2.9000000000000057</v>
      </c>
      <c r="J555" s="1">
        <f>+(G555^14)/((G555^14+H555^14))</f>
        <v>0.40173015666550166</v>
      </c>
      <c r="K555" s="2">
        <v>105.1</v>
      </c>
      <c r="L555" s="2">
        <v>107.8</v>
      </c>
      <c r="M555" s="2">
        <f>+K555-L555</f>
        <v>-2.7000000000000028</v>
      </c>
      <c r="N555" s="1">
        <f>+F555-J555</f>
        <v>-6.0266742031355292E-2</v>
      </c>
      <c r="O555" s="2">
        <v>101.2</v>
      </c>
      <c r="P555" s="2">
        <v>108.8</v>
      </c>
      <c r="Q555" s="2">
        <f>+O555-P555</f>
        <v>-7.5999999999999943</v>
      </c>
      <c r="R555" s="2">
        <v>-1</v>
      </c>
      <c r="S555" s="2">
        <v>-4.5999999999999996</v>
      </c>
      <c r="T555" s="2">
        <f>+Q555-M555</f>
        <v>-4.8999999999999915</v>
      </c>
    </row>
    <row r="556" spans="1:20">
      <c r="A556" s="6">
        <v>316</v>
      </c>
      <c r="B556" t="s">
        <v>48</v>
      </c>
      <c r="C556" t="s">
        <v>22</v>
      </c>
      <c r="D556">
        <v>42</v>
      </c>
      <c r="E556">
        <v>40</v>
      </c>
      <c r="F556" s="1">
        <f>+D556/(D556+E556)</f>
        <v>0.51219512195121952</v>
      </c>
      <c r="G556" s="2">
        <v>106.5</v>
      </c>
      <c r="H556" s="2">
        <v>105.7</v>
      </c>
      <c r="I556" s="2">
        <f>+G556-H556</f>
        <v>0.79999999999999716</v>
      </c>
      <c r="J556" s="1">
        <f>+(G556^14)/((G556^14+H556^14))</f>
        <v>0.52636584420943078</v>
      </c>
      <c r="K556" s="2">
        <v>109.9</v>
      </c>
      <c r="L556" s="2">
        <v>109</v>
      </c>
      <c r="M556" s="2">
        <f>+K556-L556</f>
        <v>0.90000000000000568</v>
      </c>
      <c r="N556" s="1">
        <f>+F556-J556</f>
        <v>-1.4170722258211255E-2</v>
      </c>
      <c r="O556" s="2">
        <v>106.4</v>
      </c>
      <c r="P556" s="2">
        <v>110.4</v>
      </c>
      <c r="Q556" s="2">
        <f>+O556-P556</f>
        <v>-4</v>
      </c>
      <c r="R556" s="2">
        <v>-0.4</v>
      </c>
      <c r="S556" s="2">
        <v>-1.2</v>
      </c>
      <c r="T556" s="2">
        <f>+Q556-M556</f>
        <v>-4.9000000000000057</v>
      </c>
    </row>
    <row r="557" spans="1:20">
      <c r="A557" s="6">
        <v>192</v>
      </c>
      <c r="B557" t="s">
        <v>43</v>
      </c>
      <c r="C557" t="s">
        <v>19</v>
      </c>
      <c r="D557">
        <v>28</v>
      </c>
      <c r="E557">
        <v>54</v>
      </c>
      <c r="F557" s="1">
        <f>+D557/(D557+E557)</f>
        <v>0.34146341463414637</v>
      </c>
      <c r="G557" s="2">
        <v>99.7</v>
      </c>
      <c r="H557" s="2">
        <v>104</v>
      </c>
      <c r="I557" s="2">
        <f>+G557-H557</f>
        <v>-4.2999999999999972</v>
      </c>
      <c r="J557" s="1">
        <f>+(G557^14)/((G557^14+H557^14))</f>
        <v>0.35637032098910626</v>
      </c>
      <c r="K557" s="2">
        <v>106</v>
      </c>
      <c r="L557" s="2">
        <v>110.3</v>
      </c>
      <c r="M557" s="2">
        <f>+K557-L557</f>
        <v>-4.2999999999999972</v>
      </c>
      <c r="N557" s="1">
        <f>+F557-J557</f>
        <v>-1.4906906354959892E-2</v>
      </c>
      <c r="O557" s="2">
        <v>99.2</v>
      </c>
      <c r="P557" s="2">
        <v>108.4</v>
      </c>
      <c r="Q557" s="2">
        <f>+O557-P557</f>
        <v>-9.2000000000000028</v>
      </c>
      <c r="R557" s="2">
        <v>-1.1000000000000001</v>
      </c>
      <c r="S557" s="2">
        <v>-6</v>
      </c>
      <c r="T557" s="2">
        <f>+Q557-M557</f>
        <v>-4.9000000000000057</v>
      </c>
    </row>
    <row r="558" spans="1:20">
      <c r="A558" s="6">
        <v>219</v>
      </c>
      <c r="B558" t="s">
        <v>44</v>
      </c>
      <c r="C558" t="s">
        <v>17</v>
      </c>
      <c r="D558">
        <v>57</v>
      </c>
      <c r="E558">
        <v>25</v>
      </c>
      <c r="F558" s="1">
        <f>+D558/(D558+E558)</f>
        <v>0.69512195121951215</v>
      </c>
      <c r="G558" s="2">
        <v>108.6</v>
      </c>
      <c r="H558" s="2">
        <v>101.3</v>
      </c>
      <c r="I558" s="2">
        <f>+G558-H558</f>
        <v>7.2999999999999972</v>
      </c>
      <c r="J558" s="1">
        <f>+(G558^14)/((G558^14+H558^14))</f>
        <v>0.72595385497038523</v>
      </c>
      <c r="K558" s="2">
        <v>111.7</v>
      </c>
      <c r="L558" s="2">
        <v>104.3</v>
      </c>
      <c r="M558" s="2">
        <f>+K558-L558</f>
        <v>7.4000000000000057</v>
      </c>
      <c r="N558" s="1">
        <f>+F558-J558</f>
        <v>-3.083190375087308E-2</v>
      </c>
      <c r="O558" s="2">
        <v>104.6</v>
      </c>
      <c r="P558" s="2">
        <v>102.1</v>
      </c>
      <c r="Q558" s="2">
        <f>+O558-P558</f>
        <v>2.5</v>
      </c>
      <c r="R558" s="2">
        <v>1.8</v>
      </c>
      <c r="S558" s="2">
        <v>9.1</v>
      </c>
      <c r="T558" s="2">
        <f>+Q558-M558</f>
        <v>-4.9000000000000057</v>
      </c>
    </row>
    <row r="559" spans="1:20">
      <c r="A559" s="6">
        <v>729</v>
      </c>
      <c r="B559" t="s">
        <v>65</v>
      </c>
      <c r="C559" t="s">
        <v>56</v>
      </c>
      <c r="D559">
        <v>50</v>
      </c>
      <c r="E559">
        <v>32</v>
      </c>
      <c r="F559" s="1">
        <f>+D559/(D559+E559)</f>
        <v>0.6097560975609756</v>
      </c>
      <c r="G559" s="2">
        <v>112.9</v>
      </c>
      <c r="H559" s="2">
        <v>108.2</v>
      </c>
      <c r="I559" s="2">
        <f>+G559-H559</f>
        <v>4.7000000000000028</v>
      </c>
      <c r="J559" s="1">
        <f>+(G559^14)/((G559^14+H559^14))</f>
        <v>0.64457924701771829</v>
      </c>
      <c r="K559" s="2">
        <v>114.3</v>
      </c>
      <c r="L559" s="2">
        <v>109.4</v>
      </c>
      <c r="M559" s="2">
        <f>+K559-L559</f>
        <v>4.8999999999999915</v>
      </c>
      <c r="N559" s="1">
        <f>+F559-J559</f>
        <v>-3.4823149456742697E-2</v>
      </c>
      <c r="O559" s="2">
        <v>105.9</v>
      </c>
      <c r="P559" s="2">
        <v>106</v>
      </c>
      <c r="Q559" s="2">
        <f>+O559-P559</f>
        <v>-9.9999999999994316E-2</v>
      </c>
      <c r="R559" s="2">
        <v>1</v>
      </c>
      <c r="S559" s="2">
        <v>4.2</v>
      </c>
      <c r="T559" s="2">
        <f>+Q559-M559</f>
        <v>-4.9999999999999858</v>
      </c>
    </row>
    <row r="560" spans="1:20">
      <c r="A560" s="6">
        <v>77</v>
      </c>
      <c r="B560" t="s">
        <v>36</v>
      </c>
      <c r="C560" t="s">
        <v>22</v>
      </c>
      <c r="D560">
        <v>37</v>
      </c>
      <c r="E560">
        <v>45</v>
      </c>
      <c r="F560" s="1">
        <f>+D560/(D560+E560)</f>
        <v>0.45121951219512196</v>
      </c>
      <c r="G560" s="2">
        <v>95.9</v>
      </c>
      <c r="H560" s="2">
        <v>97.2</v>
      </c>
      <c r="I560" s="2">
        <f>+G560-H560</f>
        <v>-1.2999999999999972</v>
      </c>
      <c r="J560" s="1">
        <f>+(G560^14)/((G560^14+H560^14))</f>
        <v>0.45301250427242873</v>
      </c>
      <c r="K560" s="2">
        <v>103.3</v>
      </c>
      <c r="L560" s="2">
        <v>104.6</v>
      </c>
      <c r="M560" s="2">
        <f>+K560-L560</f>
        <v>-1.2999999999999972</v>
      </c>
      <c r="N560" s="1">
        <f>+F560-J560</f>
        <v>-1.7929920773067654E-3</v>
      </c>
      <c r="O560" s="2">
        <v>100</v>
      </c>
      <c r="P560" s="2">
        <v>106.3</v>
      </c>
      <c r="Q560" s="2">
        <f>+O560-P560</f>
        <v>-6.2999999999999972</v>
      </c>
      <c r="R560" s="2">
        <v>-0.3</v>
      </c>
      <c r="S560" s="2">
        <v>-2.4</v>
      </c>
      <c r="T560" s="2">
        <f>+Q560-M560</f>
        <v>-5</v>
      </c>
    </row>
    <row r="561" spans="1:20">
      <c r="A561" s="6">
        <v>169</v>
      </c>
      <c r="B561" t="s">
        <v>41</v>
      </c>
      <c r="C561" t="s">
        <v>25</v>
      </c>
      <c r="D561">
        <v>54</v>
      </c>
      <c r="E561">
        <v>28</v>
      </c>
      <c r="F561" s="1">
        <f>+D561/(D561+E561)</f>
        <v>0.65853658536585369</v>
      </c>
      <c r="G561" s="2">
        <v>108.4</v>
      </c>
      <c r="H561" s="2">
        <v>102.8</v>
      </c>
      <c r="I561" s="2">
        <f>+G561-H561</f>
        <v>5.6000000000000085</v>
      </c>
      <c r="J561" s="1">
        <f>+(G561^14)/((G561^14+H561^14))</f>
        <v>0.67756377223855135</v>
      </c>
      <c r="K561" s="2">
        <v>110.2</v>
      </c>
      <c r="L561" s="2">
        <v>104.7</v>
      </c>
      <c r="M561" s="2">
        <f>+K561-L561</f>
        <v>5.5</v>
      </c>
      <c r="N561" s="1">
        <f>+F561-J561</f>
        <v>-1.9027186872697666E-2</v>
      </c>
      <c r="O561" s="2">
        <v>105.4</v>
      </c>
      <c r="P561" s="2">
        <v>104.9</v>
      </c>
      <c r="Q561" s="2">
        <f>+O561-P561</f>
        <v>0.5</v>
      </c>
      <c r="R561" s="2">
        <v>0.5</v>
      </c>
      <c r="S561" s="2">
        <v>1.9</v>
      </c>
      <c r="T561" s="2">
        <f>+Q561-M561</f>
        <v>-5</v>
      </c>
    </row>
    <row r="562" spans="1:20">
      <c r="A562" s="6">
        <v>6</v>
      </c>
      <c r="B562" t="s">
        <v>4</v>
      </c>
      <c r="C562" t="s">
        <v>10</v>
      </c>
      <c r="D562">
        <v>53</v>
      </c>
      <c r="E562">
        <v>29</v>
      </c>
      <c r="F562" s="1">
        <f>+D562/(D562+E562)</f>
        <v>0.64634146341463417</v>
      </c>
      <c r="G562" s="2">
        <v>100.5</v>
      </c>
      <c r="H562" s="2">
        <v>96.2</v>
      </c>
      <c r="I562" s="2">
        <f>+G562-H562</f>
        <v>4.2999999999999972</v>
      </c>
      <c r="J562" s="1">
        <f>+(G562^14)/((G562^14+H562^14))</f>
        <v>0.64844184492485568</v>
      </c>
      <c r="K562" s="2">
        <v>105.6</v>
      </c>
      <c r="L562" s="2">
        <v>101.2</v>
      </c>
      <c r="M562" s="2">
        <f>+K562-L562</f>
        <v>4.3999999999999915</v>
      </c>
      <c r="N562" s="1">
        <f>+F562-J562</f>
        <v>-2.1003815102215162E-3</v>
      </c>
      <c r="O562" s="2">
        <v>103.3</v>
      </c>
      <c r="P562" s="2">
        <v>104</v>
      </c>
      <c r="Q562" s="2">
        <f>+O562-P562</f>
        <v>-0.70000000000000284</v>
      </c>
      <c r="R562" s="2">
        <v>1</v>
      </c>
      <c r="S562" s="2">
        <v>4.5999999999999996</v>
      </c>
      <c r="T562" s="2">
        <f>+Q562-M562</f>
        <v>-5.0999999999999943</v>
      </c>
    </row>
    <row r="563" spans="1:20">
      <c r="A563" s="6">
        <v>218</v>
      </c>
      <c r="B563" t="s">
        <v>44</v>
      </c>
      <c r="C563" t="s">
        <v>16</v>
      </c>
      <c r="D563">
        <v>23</v>
      </c>
      <c r="E563">
        <v>59</v>
      </c>
      <c r="F563" s="1">
        <f>+D563/(D563+E563)</f>
        <v>0.28048780487804881</v>
      </c>
      <c r="G563" s="2">
        <v>93.8</v>
      </c>
      <c r="H563" s="2">
        <v>101.1</v>
      </c>
      <c r="I563" s="2">
        <f>+G563-H563</f>
        <v>-7.2999999999999972</v>
      </c>
      <c r="J563" s="1">
        <f>+(G563^14)/((G563^14+H563^14))</f>
        <v>0.25937226319296447</v>
      </c>
      <c r="K563" s="2">
        <v>99.9</v>
      </c>
      <c r="L563" s="2">
        <v>107.4</v>
      </c>
      <c r="M563" s="2">
        <f>+K563-L563</f>
        <v>-7.5</v>
      </c>
      <c r="N563" s="1">
        <f>+F563-J563</f>
        <v>2.1115541685084338E-2</v>
      </c>
      <c r="O563" s="2">
        <v>110.1</v>
      </c>
      <c r="P563" s="2">
        <v>122.7</v>
      </c>
      <c r="Q563" s="2">
        <f>+O563-P563</f>
        <v>-12.600000000000009</v>
      </c>
      <c r="R563" s="2">
        <v>-1</v>
      </c>
      <c r="S563" s="2">
        <v>-5.3</v>
      </c>
      <c r="T563" s="2">
        <f>+Q563-M563</f>
        <v>-5.1000000000000085</v>
      </c>
    </row>
    <row r="564" spans="1:20">
      <c r="A564" s="6">
        <v>383</v>
      </c>
      <c r="B564" t="s">
        <v>50</v>
      </c>
      <c r="C564" t="s">
        <v>28</v>
      </c>
      <c r="D564">
        <v>58</v>
      </c>
      <c r="E564">
        <v>24</v>
      </c>
      <c r="F564" s="1">
        <f>+D564/(D564+E564)</f>
        <v>0.70731707317073167</v>
      </c>
      <c r="G564" s="2">
        <v>103</v>
      </c>
      <c r="H564" s="2">
        <v>96.6</v>
      </c>
      <c r="I564" s="2">
        <f>+G564-H564</f>
        <v>6.4000000000000057</v>
      </c>
      <c r="J564" s="1">
        <f>+(G564^14)/((G564^14+H564^14))</f>
        <v>0.71055960682270991</v>
      </c>
      <c r="K564" s="2">
        <v>107</v>
      </c>
      <c r="L564" s="2">
        <v>100.3</v>
      </c>
      <c r="M564" s="2">
        <f>+K564-L564</f>
        <v>6.7000000000000028</v>
      </c>
      <c r="N564" s="1">
        <f>+F564-J564</f>
        <v>-3.2425336519782411E-3</v>
      </c>
      <c r="O564" s="2">
        <v>95</v>
      </c>
      <c r="P564" s="2">
        <v>93.5</v>
      </c>
      <c r="Q564" s="2">
        <f>+O564-P564</f>
        <v>1.5</v>
      </c>
      <c r="R564" s="2">
        <v>1.2</v>
      </c>
      <c r="S564" s="2">
        <v>6.8</v>
      </c>
      <c r="T564" s="2">
        <f>+Q564-M564</f>
        <v>-5.2000000000000028</v>
      </c>
    </row>
    <row r="565" spans="1:20">
      <c r="A565" s="6">
        <v>427</v>
      </c>
      <c r="B565" t="s">
        <v>54</v>
      </c>
      <c r="C565" t="s">
        <v>14</v>
      </c>
      <c r="D565">
        <v>56</v>
      </c>
      <c r="E565">
        <v>26</v>
      </c>
      <c r="F565" s="1">
        <f>+D565/(D565+E565)</f>
        <v>0.68292682926829273</v>
      </c>
      <c r="G565" s="2">
        <v>103.9</v>
      </c>
      <c r="H565" s="2">
        <v>100.5</v>
      </c>
      <c r="I565" s="2">
        <f>+G565-H565</f>
        <v>3.4000000000000057</v>
      </c>
      <c r="J565" s="1">
        <f>+(G565^14)/((G565^14+H565^14))</f>
        <v>0.61438833657997272</v>
      </c>
      <c r="K565" s="2">
        <v>106</v>
      </c>
      <c r="L565" s="2">
        <v>102.6</v>
      </c>
      <c r="M565" s="2">
        <f>+K565-L565</f>
        <v>3.4000000000000057</v>
      </c>
      <c r="N565" s="1">
        <f>+F565-J565</f>
        <v>6.8538492688320019E-2</v>
      </c>
      <c r="O565" s="2">
        <v>98.4</v>
      </c>
      <c r="P565" s="2">
        <v>100.3</v>
      </c>
      <c r="Q565" s="2">
        <f>+O565-P565</f>
        <v>-1.8999999999999915</v>
      </c>
      <c r="R565" s="2">
        <v>-0.8</v>
      </c>
      <c r="S565" s="2">
        <v>-2.2000000000000002</v>
      </c>
      <c r="T565" s="2">
        <f>+Q565-M565</f>
        <v>-5.2999999999999972</v>
      </c>
    </row>
    <row r="566" spans="1:20">
      <c r="A566" s="6">
        <v>333</v>
      </c>
      <c r="B566" t="s">
        <v>49</v>
      </c>
      <c r="C566" t="s">
        <v>11</v>
      </c>
      <c r="D566">
        <v>38</v>
      </c>
      <c r="E566">
        <v>28</v>
      </c>
      <c r="F566" s="1">
        <f>+D566/(D566+E566)</f>
        <v>0.5757575757575758</v>
      </c>
      <c r="G566" s="2">
        <v>104.1</v>
      </c>
      <c r="H566" s="2">
        <v>101.2</v>
      </c>
      <c r="I566" s="2">
        <f>+G566-H566</f>
        <v>2.8999999999999915</v>
      </c>
      <c r="J566" s="1">
        <f>+(G566^14)/((G566^14+H566^14))</f>
        <v>0.59761684455531594</v>
      </c>
      <c r="K566" s="2">
        <v>108.3</v>
      </c>
      <c r="L566" s="2">
        <v>105.1</v>
      </c>
      <c r="M566" s="2">
        <f>+K566-L566</f>
        <v>3.2000000000000028</v>
      </c>
      <c r="N566" s="1">
        <f>+F566-J566</f>
        <v>-2.1859268797740139E-2</v>
      </c>
      <c r="O566" s="2">
        <v>97.9</v>
      </c>
      <c r="P566" s="2">
        <v>100</v>
      </c>
      <c r="Q566" s="2">
        <f>+O566-P566</f>
        <v>-2.0999999999999943</v>
      </c>
      <c r="R566" s="2">
        <v>0.3</v>
      </c>
      <c r="S566" s="2">
        <v>0.9</v>
      </c>
      <c r="T566" s="2">
        <f>+Q566-M566</f>
        <v>-5.2999999999999972</v>
      </c>
    </row>
    <row r="567" spans="1:20">
      <c r="A567" s="6">
        <v>442</v>
      </c>
      <c r="B567" t="s">
        <v>54</v>
      </c>
      <c r="C567" t="s">
        <v>27</v>
      </c>
      <c r="D567">
        <v>29</v>
      </c>
      <c r="E567">
        <v>53</v>
      </c>
      <c r="F567" s="1">
        <f>+D567/(D567+E567)</f>
        <v>0.35365853658536583</v>
      </c>
      <c r="G567" s="2">
        <v>101.3</v>
      </c>
      <c r="H567" s="2">
        <v>105</v>
      </c>
      <c r="I567" s="2">
        <f>+G567-H567</f>
        <v>-3.7000000000000028</v>
      </c>
      <c r="J567" s="1">
        <f>+(G567^14)/((G567^14+H567^14))</f>
        <v>0.37701554546274013</v>
      </c>
      <c r="K567" s="2">
        <v>104.5</v>
      </c>
      <c r="L567" s="2">
        <v>108.2</v>
      </c>
      <c r="M567" s="2">
        <f>+K567-L567</f>
        <v>-3.7000000000000028</v>
      </c>
      <c r="N567" s="1">
        <f>+F567-J567</f>
        <v>-2.3357008877374297E-2</v>
      </c>
      <c r="O567" s="2">
        <v>99.6</v>
      </c>
      <c r="P567" s="2">
        <v>108.6</v>
      </c>
      <c r="Q567" s="2">
        <f>+O567-P567</f>
        <v>-9</v>
      </c>
      <c r="R567" s="2">
        <v>-1.2</v>
      </c>
      <c r="S567" s="2">
        <v>-5.4</v>
      </c>
      <c r="T567" s="2">
        <f>+Q567-M567</f>
        <v>-5.2999999999999972</v>
      </c>
    </row>
    <row r="568" spans="1:20">
      <c r="A568" s="6">
        <v>374</v>
      </c>
      <c r="B568" t="s">
        <v>50</v>
      </c>
      <c r="C568" t="s">
        <v>20</v>
      </c>
      <c r="D568">
        <v>31</v>
      </c>
      <c r="E568">
        <v>51</v>
      </c>
      <c r="F568" s="1">
        <f>+D568/(D568+E568)</f>
        <v>0.37804878048780488</v>
      </c>
      <c r="G568" s="2">
        <v>95.7</v>
      </c>
      <c r="H568" s="2">
        <v>98.1</v>
      </c>
      <c r="I568" s="2">
        <f>+G568-H568</f>
        <v>-2.3999999999999915</v>
      </c>
      <c r="J568" s="1">
        <f>+(G568^14)/((G568^14+H568^14))</f>
        <v>0.41416664534903919</v>
      </c>
      <c r="K568" s="2">
        <v>101.8</v>
      </c>
      <c r="L568" s="2">
        <v>104</v>
      </c>
      <c r="M568" s="2">
        <f>+K568-L568</f>
        <v>-2.2000000000000028</v>
      </c>
      <c r="N568" s="1">
        <f>+F568-J568</f>
        <v>-3.6117864861234306E-2</v>
      </c>
      <c r="O568" s="2">
        <v>96.4</v>
      </c>
      <c r="P568" s="2">
        <v>103.9</v>
      </c>
      <c r="Q568" s="2">
        <f>+O568-P568</f>
        <v>-7.5</v>
      </c>
      <c r="R568" s="2">
        <v>-1.1000000000000001</v>
      </c>
      <c r="S568" s="2">
        <v>-5.5</v>
      </c>
      <c r="T568" s="2">
        <f>+Q568-M568</f>
        <v>-5.2999999999999972</v>
      </c>
    </row>
    <row r="569" spans="1:20">
      <c r="A569" s="6">
        <v>680</v>
      </c>
      <c r="B569" t="s">
        <v>63</v>
      </c>
      <c r="C569" t="s">
        <v>25</v>
      </c>
      <c r="D569">
        <v>45</v>
      </c>
      <c r="E569">
        <v>37</v>
      </c>
      <c r="F569" s="1">
        <f>+D569/(D569+E569)</f>
        <v>0.54878048780487809</v>
      </c>
      <c r="G569" s="2">
        <v>113.6</v>
      </c>
      <c r="H569" s="2">
        <v>111.6</v>
      </c>
      <c r="I569" s="2">
        <f>+G569-H569</f>
        <v>2</v>
      </c>
      <c r="J569" s="1">
        <f>+(G569^14)/((G569^14+H569^14))</f>
        <v>0.56185019593174323</v>
      </c>
      <c r="K569" s="2">
        <v>114.5</v>
      </c>
      <c r="L569" s="2">
        <v>112.3</v>
      </c>
      <c r="M569" s="2">
        <f>+K569-L569</f>
        <v>2.2000000000000028</v>
      </c>
      <c r="N569" s="1">
        <f>+F569-J569</f>
        <v>-1.3069708126865143E-2</v>
      </c>
      <c r="O569" s="2">
        <v>109.4</v>
      </c>
      <c r="P569" s="2">
        <v>112.6</v>
      </c>
      <c r="Q569" s="2">
        <f>+O569-P569</f>
        <v>-3.1999999999999886</v>
      </c>
      <c r="R569" s="2">
        <v>-0.2</v>
      </c>
      <c r="S569" s="2">
        <v>-1.6</v>
      </c>
      <c r="T569" s="2">
        <f>+Q569-M569</f>
        <v>-5.3999999999999915</v>
      </c>
    </row>
    <row r="570" spans="1:20">
      <c r="A570" s="6">
        <v>179</v>
      </c>
      <c r="B570" t="s">
        <v>43</v>
      </c>
      <c r="C570" t="s">
        <v>40</v>
      </c>
      <c r="D570">
        <v>33</v>
      </c>
      <c r="E570">
        <v>49</v>
      </c>
      <c r="F570" s="1">
        <f>+D570/(D570+E570)</f>
        <v>0.40243902439024393</v>
      </c>
      <c r="G570" s="2">
        <v>96.9</v>
      </c>
      <c r="H570" s="2">
        <v>100.6</v>
      </c>
      <c r="I570" s="2">
        <f>+G570-H570</f>
        <v>-3.6999999999999886</v>
      </c>
      <c r="J570" s="1">
        <f>+(G570^14)/((G570^14+H570^14))</f>
        <v>0.37177294637427477</v>
      </c>
      <c r="K570" s="2">
        <v>102.4</v>
      </c>
      <c r="L570" s="2">
        <v>106.3</v>
      </c>
      <c r="M570" s="2">
        <f>+K570-L570</f>
        <v>-3.8999999999999915</v>
      </c>
      <c r="N570" s="1">
        <f>+F570-J570</f>
        <v>3.0666078015969156E-2</v>
      </c>
      <c r="O570" s="2">
        <v>93.9</v>
      </c>
      <c r="P570" s="2">
        <v>103.3</v>
      </c>
      <c r="Q570" s="2">
        <f>+O570-P570</f>
        <v>-9.3999999999999915</v>
      </c>
      <c r="R570" s="2">
        <v>-1.2</v>
      </c>
      <c r="S570" s="2">
        <v>-5.3</v>
      </c>
      <c r="T570" s="2">
        <f>+Q570-M570</f>
        <v>-5.5</v>
      </c>
    </row>
    <row r="571" spans="1:20">
      <c r="A571" s="6">
        <v>499</v>
      </c>
      <c r="B571" t="s">
        <v>57</v>
      </c>
      <c r="C571" t="s">
        <v>24</v>
      </c>
      <c r="D571">
        <v>28</v>
      </c>
      <c r="E571">
        <v>54</v>
      </c>
      <c r="F571" s="1">
        <f>+D571/(D571+E571)</f>
        <v>0.34146341463414637</v>
      </c>
      <c r="G571" s="2">
        <v>102.4</v>
      </c>
      <c r="H571" s="2">
        <v>108.1</v>
      </c>
      <c r="I571" s="2">
        <f>+G571-H571</f>
        <v>-5.6999999999999886</v>
      </c>
      <c r="J571" s="1">
        <f>+(G571^14)/((G571^14+H571^14))</f>
        <v>0.31899805241383661</v>
      </c>
      <c r="K571" s="2">
        <v>102.7</v>
      </c>
      <c r="L571" s="2">
        <v>108.2</v>
      </c>
      <c r="M571" s="2">
        <f>+K571-L571</f>
        <v>-5.5</v>
      </c>
      <c r="N571" s="1">
        <f>+F571-J571</f>
        <v>2.2465362220309759E-2</v>
      </c>
      <c r="O571" s="2">
        <v>98.1</v>
      </c>
      <c r="P571" s="2">
        <v>109.1</v>
      </c>
      <c r="Q571" s="2">
        <f>+O571-P571</f>
        <v>-11</v>
      </c>
      <c r="R571" s="2">
        <v>-1.4</v>
      </c>
      <c r="S571" s="2">
        <v>-5.9</v>
      </c>
      <c r="T571" s="2">
        <f>+Q571-M571</f>
        <v>-5.5</v>
      </c>
    </row>
    <row r="572" spans="1:20">
      <c r="A572" s="6">
        <v>318</v>
      </c>
      <c r="B572" t="s">
        <v>48</v>
      </c>
      <c r="C572" t="s">
        <v>23</v>
      </c>
      <c r="D572">
        <v>52</v>
      </c>
      <c r="E572">
        <v>30</v>
      </c>
      <c r="F572" s="1">
        <f>+D572/(D572+E572)</f>
        <v>0.63414634146341464</v>
      </c>
      <c r="G572" s="2">
        <v>99.2</v>
      </c>
      <c r="H572" s="2">
        <v>93.7</v>
      </c>
      <c r="I572" s="2">
        <f>+G572-H572</f>
        <v>5.5</v>
      </c>
      <c r="J572" s="1">
        <f>+(G572^14)/((G572^14+H572^14))</f>
        <v>0.68966584270274334</v>
      </c>
      <c r="K572" s="2">
        <v>107.4</v>
      </c>
      <c r="L572" s="2">
        <v>101.8</v>
      </c>
      <c r="M572" s="2">
        <f>+K572-L572</f>
        <v>5.6000000000000085</v>
      </c>
      <c r="N572" s="1">
        <f>+F572-J572</f>
        <v>-5.5519501239328695E-2</v>
      </c>
      <c r="O572" s="2">
        <v>107.1</v>
      </c>
      <c r="P572" s="2">
        <v>107</v>
      </c>
      <c r="Q572" s="2">
        <f>+O572-P572</f>
        <v>9.9999999999994316E-2</v>
      </c>
      <c r="R572" s="2">
        <v>1.2</v>
      </c>
      <c r="S572" s="2">
        <v>7.2</v>
      </c>
      <c r="T572" s="2">
        <f>+Q572-M572</f>
        <v>-5.5000000000000142</v>
      </c>
    </row>
    <row r="573" spans="1:20">
      <c r="A573" s="6">
        <v>298</v>
      </c>
      <c r="B573" t="s">
        <v>48</v>
      </c>
      <c r="C573" t="s">
        <v>6</v>
      </c>
      <c r="D573">
        <v>56</v>
      </c>
      <c r="E573">
        <v>26</v>
      </c>
      <c r="F573" s="1">
        <f>+D573/(D573+E573)</f>
        <v>0.68292682926829273</v>
      </c>
      <c r="G573" s="2">
        <v>96.5</v>
      </c>
      <c r="H573" s="2">
        <v>91.1</v>
      </c>
      <c r="I573" s="2">
        <f>+G573-H573</f>
        <v>5.4000000000000057</v>
      </c>
      <c r="J573" s="1">
        <f>+(G573^14)/((G573^14+H573^14))</f>
        <v>0.69129763241570297</v>
      </c>
      <c r="K573" s="2">
        <v>105.5</v>
      </c>
      <c r="L573" s="2">
        <v>99.8</v>
      </c>
      <c r="M573" s="2">
        <f>+K573-L573</f>
        <v>5.7000000000000028</v>
      </c>
      <c r="N573" s="1">
        <f>+F573-J573</f>
        <v>-8.3708031474102329E-3</v>
      </c>
      <c r="O573" s="2">
        <v>98.7</v>
      </c>
      <c r="P573" s="2">
        <v>98.6</v>
      </c>
      <c r="Q573" s="2">
        <f>+O573-P573</f>
        <v>0.10000000000000853</v>
      </c>
      <c r="R573" s="2">
        <v>0.5</v>
      </c>
      <c r="S573" s="2">
        <v>3.1</v>
      </c>
      <c r="T573" s="2">
        <f>+Q573-M573</f>
        <v>-5.5999999999999943</v>
      </c>
    </row>
    <row r="574" spans="1:20">
      <c r="A574" s="6">
        <v>741</v>
      </c>
      <c r="B574" t="s">
        <v>65</v>
      </c>
      <c r="C574" t="s">
        <v>26</v>
      </c>
      <c r="D574">
        <v>36</v>
      </c>
      <c r="E574">
        <v>46</v>
      </c>
      <c r="F574" s="1">
        <f>+D574/(D574+E574)</f>
        <v>0.43902439024390244</v>
      </c>
      <c r="G574" s="2">
        <v>110.9</v>
      </c>
      <c r="H574" s="2">
        <v>113.9</v>
      </c>
      <c r="I574" s="2">
        <f>+G574-H574</f>
        <v>-3</v>
      </c>
      <c r="J574" s="1">
        <f>+(G574^14)/((G574^14+H574^14))</f>
        <v>0.40765025304678426</v>
      </c>
      <c r="K574" s="2">
        <v>111</v>
      </c>
      <c r="L574" s="2">
        <v>113.7</v>
      </c>
      <c r="M574" s="2">
        <f>+K574-L574</f>
        <v>-2.7000000000000028</v>
      </c>
      <c r="N574" s="1">
        <f>+F574-J574</f>
        <v>3.1374137197118179E-2</v>
      </c>
      <c r="O574" s="2">
        <v>113.6</v>
      </c>
      <c r="P574" s="2">
        <v>121.9</v>
      </c>
      <c r="Q574" s="2">
        <f>+O574-P574</f>
        <v>-8.3000000000000114</v>
      </c>
      <c r="R574" s="2">
        <v>-1.1000000000000001</v>
      </c>
      <c r="S574" s="2">
        <v>-5.6</v>
      </c>
      <c r="T574" s="2">
        <f>+Q574-M574</f>
        <v>-5.6000000000000085</v>
      </c>
    </row>
    <row r="575" spans="1:20">
      <c r="A575" s="6">
        <v>16</v>
      </c>
      <c r="B575" t="s">
        <v>4</v>
      </c>
      <c r="C575" t="s">
        <v>20</v>
      </c>
      <c r="D575">
        <v>47</v>
      </c>
      <c r="E575">
        <v>35</v>
      </c>
      <c r="F575" s="1">
        <f>+D575/(D575+E575)</f>
        <v>0.57317073170731703</v>
      </c>
      <c r="G575" s="2">
        <v>97.3</v>
      </c>
      <c r="H575" s="2">
        <v>96</v>
      </c>
      <c r="I575" s="2">
        <f>+G575-H575</f>
        <v>1.2999999999999972</v>
      </c>
      <c r="J575" s="1">
        <f>+(G575^14)/((G575^14+H575^14))</f>
        <v>0.546939164426965</v>
      </c>
      <c r="K575" s="2">
        <v>103.9</v>
      </c>
      <c r="L575" s="2">
        <v>102.4</v>
      </c>
      <c r="M575" s="2">
        <f>+K575-L575</f>
        <v>1.5</v>
      </c>
      <c r="N575" s="1">
        <f>+F575-J575</f>
        <v>2.6231567280352031E-2</v>
      </c>
      <c r="O575" s="2">
        <v>102.8</v>
      </c>
      <c r="P575" s="2">
        <v>106.9</v>
      </c>
      <c r="Q575" s="2">
        <f>+O575-P575</f>
        <v>-4.1000000000000085</v>
      </c>
      <c r="R575" s="2">
        <v>-0.5</v>
      </c>
      <c r="S575" s="2">
        <v>-2.6</v>
      </c>
      <c r="T575" s="2">
        <f>+Q575-M575</f>
        <v>-5.6000000000000085</v>
      </c>
    </row>
    <row r="576" spans="1:20">
      <c r="A576" s="6">
        <v>753</v>
      </c>
      <c r="B576" t="s">
        <v>66</v>
      </c>
      <c r="C576" t="s">
        <v>10</v>
      </c>
      <c r="D576">
        <v>21</v>
      </c>
      <c r="E576">
        <v>42</v>
      </c>
      <c r="F576" s="1">
        <f>+D576/(D576+E576)</f>
        <v>0.33333333333333331</v>
      </c>
      <c r="G576" s="2">
        <v>113.3</v>
      </c>
      <c r="H576" s="2">
        <v>117.7</v>
      </c>
      <c r="I576" s="2">
        <f>+G576-H576</f>
        <v>-4.4000000000000057</v>
      </c>
      <c r="J576" s="1">
        <f>+(G576^14)/((G576^14+H576^14))</f>
        <v>0.36972474338344835</v>
      </c>
      <c r="K576" s="2">
        <v>109.8</v>
      </c>
      <c r="L576" s="2">
        <v>114</v>
      </c>
      <c r="M576" s="2">
        <f>+K576-L576</f>
        <v>-4.2000000000000028</v>
      </c>
      <c r="N576" s="1">
        <f>+F576-J576</f>
        <v>-3.6391410050115036E-2</v>
      </c>
      <c r="O576" s="2">
        <v>103.6</v>
      </c>
      <c r="P576" s="2">
        <v>113.4</v>
      </c>
      <c r="Q576" s="2">
        <f>+O576-P576</f>
        <v>-9.8000000000000114</v>
      </c>
      <c r="R576" s="2">
        <v>-0.3</v>
      </c>
      <c r="S576" s="2">
        <v>-0.2</v>
      </c>
      <c r="T576" s="2">
        <f>+Q576-M576</f>
        <v>-5.6000000000000085</v>
      </c>
    </row>
    <row r="577" spans="1:20">
      <c r="A577" s="6">
        <v>553</v>
      </c>
      <c r="B577" t="s">
        <v>59</v>
      </c>
      <c r="C577" t="s">
        <v>19</v>
      </c>
      <c r="D577">
        <v>60</v>
      </c>
      <c r="E577">
        <v>22</v>
      </c>
      <c r="F577" s="1">
        <f>+D577/(D577+E577)</f>
        <v>0.73170731707317072</v>
      </c>
      <c r="G577" s="2">
        <v>118.1</v>
      </c>
      <c r="H577" s="2">
        <v>109.3</v>
      </c>
      <c r="I577" s="2">
        <f>+G577-H577</f>
        <v>8.7999999999999972</v>
      </c>
      <c r="J577" s="1">
        <f>+(G577^14)/((G577^14+H577^14))</f>
        <v>0.7472680645596036</v>
      </c>
      <c r="K577" s="2">
        <v>113.5</v>
      </c>
      <c r="L577" s="2">
        <v>104.9</v>
      </c>
      <c r="M577" s="2">
        <f>+K577-L577</f>
        <v>8.5999999999999943</v>
      </c>
      <c r="N577" s="1">
        <f>+F577-J577</f>
        <v>-1.556074748643288E-2</v>
      </c>
      <c r="O577" s="2">
        <v>113</v>
      </c>
      <c r="P577" s="2">
        <v>110.1</v>
      </c>
      <c r="Q577" s="2">
        <f>+O577-P577</f>
        <v>2.9000000000000057</v>
      </c>
      <c r="R577" s="2">
        <v>2.1</v>
      </c>
      <c r="S577" s="2">
        <v>8.4</v>
      </c>
      <c r="T577" s="2">
        <f>+Q577-M577</f>
        <v>-5.6999999999999886</v>
      </c>
    </row>
    <row r="578" spans="1:20">
      <c r="A578" s="6">
        <v>108</v>
      </c>
      <c r="B578" t="s">
        <v>38</v>
      </c>
      <c r="C578" t="s">
        <v>24</v>
      </c>
      <c r="D578">
        <v>33</v>
      </c>
      <c r="E578">
        <v>49</v>
      </c>
      <c r="F578" s="1">
        <f>+D578/(D578+E578)</f>
        <v>0.40243902439024393</v>
      </c>
      <c r="G578" s="2">
        <v>88</v>
      </c>
      <c r="H578" s="2">
        <v>90.5</v>
      </c>
      <c r="I578" s="2">
        <f>+G578-H578</f>
        <v>-2.5</v>
      </c>
      <c r="J578" s="1">
        <f>+(G578^14)/((G578^14+H578^14))</f>
        <v>0.4031920171201035</v>
      </c>
      <c r="K578" s="2">
        <v>97.8</v>
      </c>
      <c r="L578" s="2">
        <v>100.4</v>
      </c>
      <c r="M578" s="2">
        <f>+K578-L578</f>
        <v>-2.6000000000000085</v>
      </c>
      <c r="N578" s="1">
        <f>+F578-J578</f>
        <v>-7.5299272985956955E-4</v>
      </c>
      <c r="O578" s="2">
        <v>82.5</v>
      </c>
      <c r="P578" s="2">
        <v>90.9</v>
      </c>
      <c r="Q578" s="2">
        <f>+O578-P578</f>
        <v>-8.4000000000000057</v>
      </c>
      <c r="R578" s="2">
        <v>-0.1</v>
      </c>
      <c r="S578" s="2">
        <v>1.3</v>
      </c>
      <c r="T578" s="2">
        <f>+Q578-M578</f>
        <v>-5.7999999999999972</v>
      </c>
    </row>
    <row r="579" spans="1:20">
      <c r="A579" s="6">
        <v>252</v>
      </c>
      <c r="B579" t="s">
        <v>45</v>
      </c>
      <c r="C579" t="s">
        <v>19</v>
      </c>
      <c r="D579">
        <v>34</v>
      </c>
      <c r="E579">
        <v>48</v>
      </c>
      <c r="F579" s="1">
        <f>+D579/(D579+E579)</f>
        <v>0.41463414634146339</v>
      </c>
      <c r="G579" s="2">
        <v>99.3</v>
      </c>
      <c r="H579" s="2">
        <v>100.4</v>
      </c>
      <c r="I579" s="2">
        <f>+G579-H579</f>
        <v>-1.1000000000000085</v>
      </c>
      <c r="J579" s="1">
        <f>+(G579^14)/((G579^14+H579^14))</f>
        <v>0.46151802647482632</v>
      </c>
      <c r="K579" s="2">
        <v>105.2</v>
      </c>
      <c r="L579" s="2">
        <v>106.3</v>
      </c>
      <c r="M579" s="2">
        <f>+K579-L579</f>
        <v>-1.0999999999999943</v>
      </c>
      <c r="N579" s="1">
        <f>+F579-J579</f>
        <v>-4.6883880133362921E-2</v>
      </c>
      <c r="O579" s="2">
        <v>102</v>
      </c>
      <c r="P579" s="2">
        <v>108.9</v>
      </c>
      <c r="Q579" s="2">
        <f>+O579-P579</f>
        <v>-6.9000000000000057</v>
      </c>
      <c r="R579" s="2">
        <v>-1</v>
      </c>
      <c r="S579" s="2">
        <v>-4.9000000000000004</v>
      </c>
      <c r="T579" s="2">
        <f>+Q579-M579</f>
        <v>-5.8000000000000114</v>
      </c>
    </row>
    <row r="580" spans="1:20">
      <c r="A580" s="6">
        <v>593</v>
      </c>
      <c r="B580" t="s">
        <v>60</v>
      </c>
      <c r="C580" t="s">
        <v>28</v>
      </c>
      <c r="D580">
        <v>32</v>
      </c>
      <c r="E580">
        <v>39</v>
      </c>
      <c r="F580" s="1">
        <f>+D580/(D580+E580)</f>
        <v>0.45070422535211269</v>
      </c>
      <c r="G580" s="2">
        <v>114.1</v>
      </c>
      <c r="H580" s="2">
        <v>115.2</v>
      </c>
      <c r="I580" s="2">
        <f>+G580-H580</f>
        <v>-1.1000000000000085</v>
      </c>
      <c r="J580" s="1">
        <f>+(G580^14)/((G580^14+H580^14))</f>
        <v>0.46646967958188307</v>
      </c>
      <c r="K580" s="2">
        <v>111.7</v>
      </c>
      <c r="L580" s="2">
        <v>112.6</v>
      </c>
      <c r="M580" s="2">
        <f>+K580-L580</f>
        <v>-0.89999999999999147</v>
      </c>
      <c r="N580" s="1">
        <f>+F580-J580</f>
        <v>-1.5765454229770381E-2</v>
      </c>
      <c r="O580" s="2">
        <v>105.2</v>
      </c>
      <c r="P580" s="2">
        <v>112</v>
      </c>
      <c r="Q580" s="2">
        <f>+O580-P580</f>
        <v>-6.7999999999999972</v>
      </c>
      <c r="R580" s="2">
        <v>-0.9</v>
      </c>
      <c r="S580" s="2">
        <v>-3.1</v>
      </c>
      <c r="T580" s="2">
        <f>+Q580-M580</f>
        <v>-5.9000000000000057</v>
      </c>
    </row>
    <row r="581" spans="1:20">
      <c r="A581" s="6">
        <v>148</v>
      </c>
      <c r="B581" t="s">
        <v>41</v>
      </c>
      <c r="C581" t="s">
        <v>6</v>
      </c>
      <c r="D581">
        <v>33</v>
      </c>
      <c r="E581">
        <v>49</v>
      </c>
      <c r="F581" s="1">
        <f>+D581/(D581+E581)</f>
        <v>0.40243902439024393</v>
      </c>
      <c r="G581" s="2">
        <v>98</v>
      </c>
      <c r="H581" s="2">
        <v>99.5</v>
      </c>
      <c r="I581" s="2">
        <f>+G581-H581</f>
        <v>-1.5</v>
      </c>
      <c r="J581" s="1">
        <f>+(G581^14)/((G581^14+H581^14))</f>
        <v>0.44703388765865459</v>
      </c>
      <c r="K581" s="2">
        <v>104</v>
      </c>
      <c r="L581" s="2">
        <v>105.6</v>
      </c>
      <c r="M581" s="2">
        <f>+K581-L581</f>
        <v>-1.5999999999999943</v>
      </c>
      <c r="N581" s="1">
        <f>+F581-J581</f>
        <v>-4.4594863268410667E-2</v>
      </c>
      <c r="O581" s="2">
        <v>94.7</v>
      </c>
      <c r="P581" s="2">
        <v>102.2</v>
      </c>
      <c r="Q581" s="2">
        <f>+O581-P581</f>
        <v>-7.5</v>
      </c>
      <c r="R581" s="2">
        <v>-0.6</v>
      </c>
      <c r="S581" s="2">
        <v>-2.1</v>
      </c>
      <c r="T581" s="2">
        <f>+Q581-M581</f>
        <v>-5.9000000000000057</v>
      </c>
    </row>
    <row r="582" spans="1:20">
      <c r="A582" s="6">
        <v>223</v>
      </c>
      <c r="B582" t="s">
        <v>44</v>
      </c>
      <c r="C582" t="s">
        <v>20</v>
      </c>
      <c r="D582">
        <v>22</v>
      </c>
      <c r="E582">
        <v>60</v>
      </c>
      <c r="F582" s="1">
        <f>+D582/(D582+E582)</f>
        <v>0.26829268292682928</v>
      </c>
      <c r="G582" s="2">
        <v>95.6</v>
      </c>
      <c r="H582" s="2">
        <v>102.4</v>
      </c>
      <c r="I582" s="2">
        <f>+G582-H582</f>
        <v>-6.8000000000000114</v>
      </c>
      <c r="J582" s="1">
        <f>+(G582^14)/((G582^14+H582^14))</f>
        <v>0.27647904137528079</v>
      </c>
      <c r="K582" s="2">
        <v>102.7</v>
      </c>
      <c r="L582" s="2">
        <v>110</v>
      </c>
      <c r="M582" s="2">
        <f>+K582-L582</f>
        <v>-7.2999999999999972</v>
      </c>
      <c r="N582" s="1">
        <f>+F582-J582</f>
        <v>-8.1863584484515028E-3</v>
      </c>
      <c r="O582" s="2">
        <v>105.4</v>
      </c>
      <c r="P582" s="2">
        <v>118.7</v>
      </c>
      <c r="Q582" s="2">
        <f>+O582-P582</f>
        <v>-13.299999999999997</v>
      </c>
      <c r="R582" s="2">
        <v>-1.9</v>
      </c>
      <c r="S582" s="2">
        <v>-10.7</v>
      </c>
      <c r="T582" s="2">
        <f>+Q582-M582</f>
        <v>-6</v>
      </c>
    </row>
    <row r="583" spans="1:20">
      <c r="A583" s="6">
        <v>147</v>
      </c>
      <c r="B583" t="s">
        <v>41</v>
      </c>
      <c r="C583" t="s">
        <v>5</v>
      </c>
      <c r="D583">
        <v>26</v>
      </c>
      <c r="E583">
        <v>56</v>
      </c>
      <c r="F583" s="1">
        <f>+D583/(D583+E583)</f>
        <v>0.31707317073170732</v>
      </c>
      <c r="G583" s="2">
        <v>97.2</v>
      </c>
      <c r="H583" s="2">
        <v>102</v>
      </c>
      <c r="I583" s="2">
        <f>+G583-H583</f>
        <v>-4.7999999999999972</v>
      </c>
      <c r="J583" s="1">
        <f>+(G583^14)/((G583^14+H583^14))</f>
        <v>0.33741629653405997</v>
      </c>
      <c r="K583" s="2">
        <v>104.8</v>
      </c>
      <c r="L583" s="2">
        <v>110.1</v>
      </c>
      <c r="M583" s="2">
        <f>+K583-L583</f>
        <v>-5.2999999999999972</v>
      </c>
      <c r="N583" s="1">
        <f>+F583-J583</f>
        <v>-2.0343125802352646E-2</v>
      </c>
      <c r="O583" s="2">
        <v>96</v>
      </c>
      <c r="P583" s="2">
        <v>107.4</v>
      </c>
      <c r="Q583" s="2">
        <f>+O583-P583</f>
        <v>-11.400000000000006</v>
      </c>
      <c r="R583" s="2">
        <v>-0.4</v>
      </c>
      <c r="S583" s="2">
        <v>-1.4</v>
      </c>
      <c r="T583" s="2">
        <f>+Q583-M583</f>
        <v>-6.1000000000000085</v>
      </c>
    </row>
    <row r="584" spans="1:20">
      <c r="A584" s="6">
        <v>420</v>
      </c>
      <c r="B584" t="s">
        <v>54</v>
      </c>
      <c r="C584" t="s">
        <v>7</v>
      </c>
      <c r="D584">
        <v>33</v>
      </c>
      <c r="E584">
        <v>49</v>
      </c>
      <c r="F584" s="1">
        <f>+D584/(D584+E584)</f>
        <v>0.40243902439024393</v>
      </c>
      <c r="G584" s="2">
        <v>94.2</v>
      </c>
      <c r="H584" s="2">
        <v>97.3</v>
      </c>
      <c r="I584" s="2">
        <f>+G584-H584</f>
        <v>-3.0999999999999943</v>
      </c>
      <c r="J584" s="1">
        <f>+(G584^14)/((G584^14+H584^14))</f>
        <v>0.38857566297444734</v>
      </c>
      <c r="K584" s="2">
        <v>99.6</v>
      </c>
      <c r="L584" s="2">
        <v>103</v>
      </c>
      <c r="M584" s="2">
        <f>+K584-L584</f>
        <v>-3.4000000000000057</v>
      </c>
      <c r="N584" s="1">
        <f>+F584-J584</f>
        <v>1.3863361415796582E-2</v>
      </c>
      <c r="O584" s="2">
        <v>89.8</v>
      </c>
      <c r="P584" s="2">
        <v>99.4</v>
      </c>
      <c r="Q584" s="2">
        <f>+O584-P584</f>
        <v>-9.6000000000000085</v>
      </c>
      <c r="R584" s="2">
        <v>-1.2</v>
      </c>
      <c r="S584" s="2">
        <v>-5.0999999999999996</v>
      </c>
      <c r="T584" s="2">
        <f>+Q584-M584</f>
        <v>-6.2000000000000028</v>
      </c>
    </row>
    <row r="585" spans="1:20">
      <c r="A585" s="6">
        <v>710</v>
      </c>
      <c r="B585" t="s">
        <v>64</v>
      </c>
      <c r="C585" t="s">
        <v>25</v>
      </c>
      <c r="D585">
        <v>49</v>
      </c>
      <c r="E585">
        <v>33</v>
      </c>
      <c r="F585" s="1">
        <f>+D585/(D585+E585)</f>
        <v>0.59756097560975607</v>
      </c>
      <c r="G585" s="2">
        <v>116.2</v>
      </c>
      <c r="H585" s="2">
        <v>113.2</v>
      </c>
      <c r="I585" s="2">
        <f>+G585-H585</f>
        <v>3</v>
      </c>
      <c r="J585" s="1">
        <f>+(G585^14)/((G585^14+H585^14))</f>
        <v>0.59053887488262369</v>
      </c>
      <c r="K585" s="2">
        <v>116.8</v>
      </c>
      <c r="L585" s="2">
        <v>113.7</v>
      </c>
      <c r="M585" s="2">
        <f>+K585-L585</f>
        <v>3.0999999999999943</v>
      </c>
      <c r="N585" s="1">
        <f>+F585-J585</f>
        <v>7.0221007271323854E-3</v>
      </c>
      <c r="O585" s="2">
        <v>102</v>
      </c>
      <c r="P585" s="2">
        <v>105.2</v>
      </c>
      <c r="Q585" s="2">
        <f>+O585-P585</f>
        <v>-3.2000000000000028</v>
      </c>
      <c r="R585" s="2">
        <v>-2.4</v>
      </c>
      <c r="S585" s="2">
        <v>-9.9</v>
      </c>
      <c r="T585" s="2">
        <f>+Q585-M585</f>
        <v>-6.2999999999999972</v>
      </c>
    </row>
    <row r="586" spans="1:20">
      <c r="A586" s="6">
        <v>509</v>
      </c>
      <c r="B586" t="s">
        <v>58</v>
      </c>
      <c r="C586" t="s">
        <v>51</v>
      </c>
      <c r="D586">
        <v>28</v>
      </c>
      <c r="E586">
        <v>54</v>
      </c>
      <c r="F586" s="1">
        <f>+D586/(D586+E586)</f>
        <v>0.34146341463414637</v>
      </c>
      <c r="G586" s="2">
        <v>106.6</v>
      </c>
      <c r="H586" s="2">
        <v>110.3</v>
      </c>
      <c r="I586" s="2">
        <f>+G586-H586</f>
        <v>-3.7000000000000028</v>
      </c>
      <c r="J586" s="1">
        <f>+(G586^14)/((G586^14+H586^14))</f>
        <v>0.38279873776476753</v>
      </c>
      <c r="K586" s="2">
        <v>106.1</v>
      </c>
      <c r="L586" s="2">
        <v>109.7</v>
      </c>
      <c r="M586" s="2">
        <f>+K586-L586</f>
        <v>-3.6000000000000085</v>
      </c>
      <c r="N586" s="1">
        <f>+F586-J586</f>
        <v>-4.133532313062116E-2</v>
      </c>
      <c r="O586" s="2">
        <v>98.5</v>
      </c>
      <c r="P586" s="2">
        <v>108.4</v>
      </c>
      <c r="Q586" s="2">
        <f>+O586-P586</f>
        <v>-9.9000000000000057</v>
      </c>
      <c r="R586" s="2">
        <v>-0.7</v>
      </c>
      <c r="S586" s="2">
        <v>-4.9000000000000004</v>
      </c>
      <c r="T586" s="2">
        <f>+Q586-M586</f>
        <v>-6.2999999999999972</v>
      </c>
    </row>
    <row r="587" spans="1:20">
      <c r="A587" s="6">
        <v>713</v>
      </c>
      <c r="B587" t="s">
        <v>64</v>
      </c>
      <c r="C587" t="s">
        <v>28</v>
      </c>
      <c r="D587">
        <v>22</v>
      </c>
      <c r="E587">
        <v>60</v>
      </c>
      <c r="F587" s="1">
        <f>+D587/(D587+E587)</f>
        <v>0.26829268292682928</v>
      </c>
      <c r="G587" s="2">
        <v>112.1</v>
      </c>
      <c r="H587" s="2">
        <v>118.6</v>
      </c>
      <c r="I587" s="2">
        <f>+G587-H587</f>
        <v>-6.5</v>
      </c>
      <c r="J587" s="1">
        <f>+(G587^14)/((G587^14+H587^14))</f>
        <v>0.31235933105064495</v>
      </c>
      <c r="K587" s="2">
        <v>109.3</v>
      </c>
      <c r="L587" s="2">
        <v>115.6</v>
      </c>
      <c r="M587" s="2">
        <f>+K587-L587</f>
        <v>-6.2999999999999972</v>
      </c>
      <c r="N587" s="1">
        <f>+F587-J587</f>
        <v>-4.4066648123815666E-2</v>
      </c>
      <c r="O587" s="2">
        <v>101</v>
      </c>
      <c r="P587" s="2">
        <v>113.6</v>
      </c>
      <c r="Q587" s="2">
        <f>+O587-P587</f>
        <v>-12.599999999999994</v>
      </c>
      <c r="R587" s="2">
        <v>-0.2</v>
      </c>
      <c r="S587" s="2">
        <v>-0.6</v>
      </c>
      <c r="T587" s="2">
        <f>+Q587-M587</f>
        <v>-6.2999999999999972</v>
      </c>
    </row>
    <row r="588" spans="1:20">
      <c r="A588" s="6">
        <v>498</v>
      </c>
      <c r="B588" t="s">
        <v>57</v>
      </c>
      <c r="C588" t="s">
        <v>23</v>
      </c>
      <c r="D588">
        <v>29</v>
      </c>
      <c r="E588">
        <v>53</v>
      </c>
      <c r="F588" s="1">
        <f>+D588/(D588+E588)</f>
        <v>0.35365853658536583</v>
      </c>
      <c r="G588" s="2">
        <v>101.1</v>
      </c>
      <c r="H588" s="2">
        <v>107.6</v>
      </c>
      <c r="I588" s="2">
        <f>+G588-H588</f>
        <v>-6.5</v>
      </c>
      <c r="J588" s="1">
        <f>+(G588^14)/((G588^14+H588^14))</f>
        <v>0.29476611175193784</v>
      </c>
      <c r="K588" s="2">
        <v>103.7</v>
      </c>
      <c r="L588" s="2">
        <v>110.3</v>
      </c>
      <c r="M588" s="2">
        <f>+K588-L588</f>
        <v>-6.5999999999999943</v>
      </c>
      <c r="N588" s="1">
        <f>+F588-J588</f>
        <v>5.8892424833427992E-2</v>
      </c>
      <c r="O588" s="2">
        <v>101.3</v>
      </c>
      <c r="P588" s="2">
        <v>114.2</v>
      </c>
      <c r="Q588" s="2">
        <f>+O588-P588</f>
        <v>-12.900000000000006</v>
      </c>
      <c r="R588" s="2">
        <v>-1.8</v>
      </c>
      <c r="S588" s="2">
        <v>-8.9</v>
      </c>
      <c r="T588" s="2">
        <f>+Q588-M588</f>
        <v>-6.3000000000000114</v>
      </c>
    </row>
    <row r="589" spans="1:20">
      <c r="A589" s="6">
        <v>166</v>
      </c>
      <c r="B589" t="s">
        <v>41</v>
      </c>
      <c r="C589" t="s">
        <v>22</v>
      </c>
      <c r="D589">
        <v>23</v>
      </c>
      <c r="E589">
        <v>59</v>
      </c>
      <c r="F589" s="1">
        <f>+D589/(D589+E589)</f>
        <v>0.28048780487804881</v>
      </c>
      <c r="G589" s="2">
        <v>95.6</v>
      </c>
      <c r="H589" s="2">
        <v>102</v>
      </c>
      <c r="I589" s="2">
        <f>+G589-H589</f>
        <v>-6.4000000000000057</v>
      </c>
      <c r="J589" s="1">
        <f>+(G589^14)/((G589^14+H589^14))</f>
        <v>0.28757316482715334</v>
      </c>
      <c r="K589" s="2">
        <v>102.7</v>
      </c>
      <c r="L589" s="2">
        <v>109.3</v>
      </c>
      <c r="M589" s="2">
        <f>+K589-L589</f>
        <v>-6.5999999999999943</v>
      </c>
      <c r="N589" s="1">
        <f>+F589-J589</f>
        <v>-7.0853599491045305E-3</v>
      </c>
      <c r="O589" s="2">
        <v>100.3</v>
      </c>
      <c r="P589" s="2">
        <v>113.2</v>
      </c>
      <c r="Q589" s="2">
        <f>+O589-P589</f>
        <v>-12.900000000000006</v>
      </c>
      <c r="R589" s="2">
        <v>1.2</v>
      </c>
      <c r="S589" s="2">
        <v>3.7</v>
      </c>
      <c r="T589" s="2">
        <f>+Q589-M589</f>
        <v>-6.3000000000000114</v>
      </c>
    </row>
    <row r="590" spans="1:20">
      <c r="A590" s="6">
        <v>756</v>
      </c>
      <c r="B590" t="s">
        <v>66</v>
      </c>
      <c r="C590" t="s">
        <v>13</v>
      </c>
      <c r="D590">
        <v>32</v>
      </c>
      <c r="E590">
        <v>31</v>
      </c>
      <c r="F590" s="1">
        <f>+D590/(D590+E590)</f>
        <v>0.50793650793650791</v>
      </c>
      <c r="G590" s="2">
        <v>115</v>
      </c>
      <c r="H590" s="2">
        <v>113.9</v>
      </c>
      <c r="I590" s="2">
        <f>+G590-H590</f>
        <v>1.0999999999999943</v>
      </c>
      <c r="J590" s="1">
        <f>+(G590^14)/((G590^14+H590^14))</f>
        <v>0.53358873886110747</v>
      </c>
      <c r="K590" s="2">
        <v>114.1</v>
      </c>
      <c r="L590" s="2">
        <v>112.9</v>
      </c>
      <c r="M590" s="2">
        <f>+K590-L590</f>
        <v>1.1999999999999886</v>
      </c>
      <c r="N590" s="1">
        <f>+F590-J590</f>
        <v>-2.5652230924599562E-2</v>
      </c>
      <c r="O590" s="2">
        <v>118.2</v>
      </c>
      <c r="P590" s="2">
        <v>123.4</v>
      </c>
      <c r="Q590" s="2">
        <f>+O590-P590</f>
        <v>-5.2000000000000028</v>
      </c>
      <c r="R590" s="2">
        <v>1</v>
      </c>
      <c r="S590" s="2">
        <v>4</v>
      </c>
      <c r="T590" s="2">
        <f>+Q590-M590</f>
        <v>-6.3999999999999915</v>
      </c>
    </row>
    <row r="591" spans="1:20">
      <c r="A591" s="6">
        <v>527</v>
      </c>
      <c r="B591" t="s">
        <v>58</v>
      </c>
      <c r="C591" t="s">
        <v>46</v>
      </c>
      <c r="D591">
        <v>48</v>
      </c>
      <c r="E591">
        <v>34</v>
      </c>
      <c r="F591" s="1">
        <f>+D591/(D591+E591)</f>
        <v>0.58536585365853655</v>
      </c>
      <c r="G591" s="2">
        <v>107.9</v>
      </c>
      <c r="H591" s="2">
        <v>104.4</v>
      </c>
      <c r="I591" s="2">
        <f>+G591-H591</f>
        <v>3.5</v>
      </c>
      <c r="J591" s="1">
        <f>+(G591^14)/((G591^14+H591^14))</f>
        <v>0.61340618235435873</v>
      </c>
      <c r="K591" s="2">
        <v>110.1</v>
      </c>
      <c r="L591" s="2">
        <v>106.4</v>
      </c>
      <c r="M591" s="2">
        <f>+K591-L591</f>
        <v>3.6999999999999886</v>
      </c>
      <c r="N591" s="1">
        <f>+F591-J591</f>
        <v>-2.8040328695822181E-2</v>
      </c>
      <c r="O591" s="2">
        <v>104.5</v>
      </c>
      <c r="P591" s="2">
        <v>107.2</v>
      </c>
      <c r="Q591" s="2">
        <f>+O591-P591</f>
        <v>-2.7000000000000028</v>
      </c>
      <c r="R591" s="2">
        <v>1.5</v>
      </c>
      <c r="S591" s="2">
        <v>6.5</v>
      </c>
      <c r="T591" s="2">
        <f>+Q591-M591</f>
        <v>-6.3999999999999915</v>
      </c>
    </row>
    <row r="592" spans="1:20">
      <c r="A592" s="6">
        <v>547</v>
      </c>
      <c r="B592" t="s">
        <v>59</v>
      </c>
      <c r="C592" t="s">
        <v>14</v>
      </c>
      <c r="D592">
        <v>53</v>
      </c>
      <c r="E592">
        <v>29</v>
      </c>
      <c r="F592" s="1">
        <f>+D592/(D592+E592)</f>
        <v>0.64634146341463417</v>
      </c>
      <c r="G592" s="2">
        <v>113.9</v>
      </c>
      <c r="H592" s="2">
        <v>109.1</v>
      </c>
      <c r="I592" s="2">
        <f>+G592-H592</f>
        <v>4.8000000000000114</v>
      </c>
      <c r="J592" s="1">
        <f>+(G592^14)/((G592^14+H592^14))</f>
        <v>0.64629291131974342</v>
      </c>
      <c r="K592" s="2">
        <v>114.9</v>
      </c>
      <c r="L592" s="2">
        <v>110.1</v>
      </c>
      <c r="M592" s="2">
        <f>+K592-L592</f>
        <v>4.8000000000000114</v>
      </c>
      <c r="N592" s="1">
        <f>+F592-J592</f>
        <v>4.8552094890741415E-5</v>
      </c>
      <c r="O592" s="2">
        <v>111.8</v>
      </c>
      <c r="P592" s="2">
        <v>113.4</v>
      </c>
      <c r="Q592" s="2">
        <f>+O592-P592</f>
        <v>-1.6000000000000085</v>
      </c>
      <c r="R592" s="2">
        <v>0.5</v>
      </c>
      <c r="S592" s="2">
        <v>2.8</v>
      </c>
      <c r="T592" s="2">
        <f>+Q592-M592</f>
        <v>-6.4000000000000199</v>
      </c>
    </row>
    <row r="593" spans="1:20">
      <c r="A593" s="6">
        <v>662</v>
      </c>
      <c r="B593" t="s">
        <v>63</v>
      </c>
      <c r="C593" t="s">
        <v>9</v>
      </c>
      <c r="D593">
        <v>51</v>
      </c>
      <c r="E593">
        <v>31</v>
      </c>
      <c r="F593" s="1">
        <f>+D593/(D593+E593)</f>
        <v>0.62195121951219512</v>
      </c>
      <c r="G593" s="2">
        <v>112.3</v>
      </c>
      <c r="H593" s="2">
        <v>106.9</v>
      </c>
      <c r="I593" s="2">
        <f>+G593-H593</f>
        <v>5.3999999999999915</v>
      </c>
      <c r="J593" s="1">
        <f>+(G593^14)/((G593^14+H593^14))</f>
        <v>0.66594926626048301</v>
      </c>
      <c r="K593" s="2">
        <v>115.5</v>
      </c>
      <c r="L593" s="2">
        <v>109.9</v>
      </c>
      <c r="M593" s="2">
        <f>+K593-L593</f>
        <v>5.5999999999999943</v>
      </c>
      <c r="N593" s="1">
        <f>+F593-J593</f>
        <v>-4.3998046748287889E-2</v>
      </c>
      <c r="O593" s="2">
        <v>97.9</v>
      </c>
      <c r="P593" s="2">
        <v>98.8</v>
      </c>
      <c r="Q593" s="2">
        <f>+O593-P593</f>
        <v>-0.89999999999999147</v>
      </c>
      <c r="R593" s="2">
        <v>2.2000000000000002</v>
      </c>
      <c r="S593" s="2">
        <v>11</v>
      </c>
      <c r="T593" s="2">
        <f>+Q593-M593</f>
        <v>-6.4999999999999858</v>
      </c>
    </row>
    <row r="594" spans="1:20">
      <c r="A594" s="6">
        <v>185</v>
      </c>
      <c r="B594" t="s">
        <v>43</v>
      </c>
      <c r="C594" t="s">
        <v>13</v>
      </c>
      <c r="D594">
        <v>42</v>
      </c>
      <c r="E594">
        <v>40</v>
      </c>
      <c r="F594" s="1">
        <f>+D594/(D594+E594)</f>
        <v>0.51219512195121952</v>
      </c>
      <c r="G594" s="2">
        <v>106.5</v>
      </c>
      <c r="H594" s="2">
        <v>106.9</v>
      </c>
      <c r="I594" s="2">
        <f>+G594-H594</f>
        <v>-0.40000000000000568</v>
      </c>
      <c r="J594" s="1">
        <f>+(G594^14)/((G594^14+H594^14))</f>
        <v>0.48688209591984372</v>
      </c>
      <c r="K594" s="2">
        <v>106.2</v>
      </c>
      <c r="L594" s="2">
        <v>106.5</v>
      </c>
      <c r="M594" s="2">
        <f>+K594-L594</f>
        <v>-0.29999999999999716</v>
      </c>
      <c r="N594" s="1">
        <f>+F594-J594</f>
        <v>2.5313026031375807E-2</v>
      </c>
      <c r="O594" s="2">
        <v>98.2</v>
      </c>
      <c r="P594" s="2">
        <v>105</v>
      </c>
      <c r="Q594" s="2">
        <f>+O594-P594</f>
        <v>-6.7999999999999972</v>
      </c>
      <c r="R594" s="2">
        <v>-0.5</v>
      </c>
      <c r="S594" s="2">
        <v>-1.4</v>
      </c>
      <c r="T594" s="2">
        <f>+Q594-M594</f>
        <v>-6.5</v>
      </c>
    </row>
    <row r="595" spans="1:20">
      <c r="A595" s="6">
        <v>739</v>
      </c>
      <c r="B595" t="s">
        <v>65</v>
      </c>
      <c r="C595" t="s">
        <v>24</v>
      </c>
      <c r="D595">
        <v>24</v>
      </c>
      <c r="E595">
        <v>58</v>
      </c>
      <c r="F595" s="1">
        <f>+D595/(D595+E595)</f>
        <v>0.29268292682926828</v>
      </c>
      <c r="G595" s="2">
        <v>109.6</v>
      </c>
      <c r="H595" s="2">
        <v>115.8</v>
      </c>
      <c r="I595" s="2">
        <f>+G595-H595</f>
        <v>-6.2000000000000028</v>
      </c>
      <c r="J595" s="1">
        <f>+(G595^14)/((G595^14+H595^14))</f>
        <v>0.31639676572205722</v>
      </c>
      <c r="K595" s="2">
        <v>111</v>
      </c>
      <c r="L595" s="2">
        <v>117.3</v>
      </c>
      <c r="M595" s="2">
        <f>+K595-L595</f>
        <v>-6.2999999999999972</v>
      </c>
      <c r="N595" s="1">
        <f>+F595-J595</f>
        <v>-2.3713838892788941E-2</v>
      </c>
      <c r="O595" s="2">
        <v>104.2</v>
      </c>
      <c r="P595" s="2">
        <v>117</v>
      </c>
      <c r="Q595" s="2">
        <f>+O595-P595</f>
        <v>-12.799999999999997</v>
      </c>
      <c r="R595" s="2">
        <v>-1.9</v>
      </c>
      <c r="S595" s="2">
        <v>-7</v>
      </c>
      <c r="T595" s="2">
        <f>+Q595-M595</f>
        <v>-6.5</v>
      </c>
    </row>
    <row r="596" spans="1:20">
      <c r="A596" s="6">
        <v>48</v>
      </c>
      <c r="B596" t="s">
        <v>34</v>
      </c>
      <c r="C596" t="s">
        <v>22</v>
      </c>
      <c r="D596">
        <v>30</v>
      </c>
      <c r="E596">
        <v>52</v>
      </c>
      <c r="F596" s="1">
        <f>+D596/(D596+E596)</f>
        <v>0.36585365853658536</v>
      </c>
      <c r="G596" s="2">
        <v>91.6</v>
      </c>
      <c r="H596" s="2">
        <v>95.6</v>
      </c>
      <c r="I596" s="2">
        <f>+G596-H596</f>
        <v>-4</v>
      </c>
      <c r="J596" s="1">
        <f>+(G596^14)/((G596^14+H596^14))</f>
        <v>0.35471402772199295</v>
      </c>
      <c r="K596" s="2">
        <v>100.4</v>
      </c>
      <c r="L596" s="2">
        <v>104.6</v>
      </c>
      <c r="M596" s="2">
        <f>+K596-L596</f>
        <v>-4.1999999999999886</v>
      </c>
      <c r="N596" s="1">
        <f>+F596-J596</f>
        <v>1.1139630814592405E-2</v>
      </c>
      <c r="O596" s="2">
        <v>89.8</v>
      </c>
      <c r="P596" s="2">
        <v>100.5</v>
      </c>
      <c r="Q596" s="2">
        <f>+O596-P596</f>
        <v>-10.700000000000003</v>
      </c>
      <c r="R596" s="2">
        <v>-1.2</v>
      </c>
      <c r="S596" s="2">
        <v>-6.4</v>
      </c>
      <c r="T596" s="2">
        <f>+Q596-M596</f>
        <v>-6.5000000000000142</v>
      </c>
    </row>
    <row r="597" spans="1:20">
      <c r="A597" s="6">
        <v>614</v>
      </c>
      <c r="B597" t="s">
        <v>61</v>
      </c>
      <c r="C597" t="s">
        <v>20</v>
      </c>
      <c r="D597">
        <v>23</v>
      </c>
      <c r="E597">
        <v>49</v>
      </c>
      <c r="F597" s="1">
        <f>+D597/(D597+E597)</f>
        <v>0.31944444444444442</v>
      </c>
      <c r="G597" s="2">
        <v>112.1</v>
      </c>
      <c r="H597" s="2">
        <v>117.7</v>
      </c>
      <c r="I597" s="2">
        <f>+G597-H597</f>
        <v>-5.6000000000000085</v>
      </c>
      <c r="J597" s="1">
        <f>+(G597^14)/((G597^14+H597^14))</f>
        <v>0.3357107873197604</v>
      </c>
      <c r="K597" s="2">
        <v>109.3</v>
      </c>
      <c r="L597" s="2">
        <v>114.5</v>
      </c>
      <c r="M597" s="2">
        <f>+K597-L597</f>
        <v>-5.2000000000000028</v>
      </c>
      <c r="N597" s="1">
        <f>+F597-J597</f>
        <v>-1.6266342875315976E-2</v>
      </c>
      <c r="O597" s="2">
        <v>105.4</v>
      </c>
      <c r="P597" s="2">
        <v>117.2</v>
      </c>
      <c r="Q597" s="2">
        <f>+O597-P597</f>
        <v>-11.799999999999997</v>
      </c>
      <c r="R597" s="2">
        <v>0.4</v>
      </c>
      <c r="S597" s="2">
        <v>1.1000000000000001</v>
      </c>
      <c r="T597" s="2">
        <f>+Q597-M597</f>
        <v>-6.5999999999999943</v>
      </c>
    </row>
    <row r="598" spans="1:20">
      <c r="A598" s="6">
        <v>183</v>
      </c>
      <c r="B598" t="s">
        <v>43</v>
      </c>
      <c r="C598" t="s">
        <v>11</v>
      </c>
      <c r="D598">
        <v>45</v>
      </c>
      <c r="E598">
        <v>37</v>
      </c>
      <c r="F598" s="1">
        <f>+D598/(D598+E598)</f>
        <v>0.54878048780487809</v>
      </c>
      <c r="G598" s="2">
        <v>105.4</v>
      </c>
      <c r="H598" s="2">
        <v>103.7</v>
      </c>
      <c r="I598" s="2">
        <f>+G598-H598</f>
        <v>1.7000000000000028</v>
      </c>
      <c r="J598" s="1">
        <f>+(G598^14)/((G598^14+H598^14))</f>
        <v>0.55666731029444283</v>
      </c>
      <c r="K598" s="2">
        <v>106.7</v>
      </c>
      <c r="L598" s="2">
        <v>105.1</v>
      </c>
      <c r="M598" s="2">
        <f>+K598-L598</f>
        <v>1.6000000000000085</v>
      </c>
      <c r="N598" s="1">
        <f>+F598-J598</f>
        <v>-7.8868224895647376E-3</v>
      </c>
      <c r="O598" s="2">
        <v>95.3</v>
      </c>
      <c r="P598" s="2">
        <v>100.3</v>
      </c>
      <c r="Q598" s="2">
        <f>+O598-P598</f>
        <v>-5</v>
      </c>
      <c r="R598" s="2">
        <v>-1.4</v>
      </c>
      <c r="S598" s="2">
        <v>-4.8</v>
      </c>
      <c r="T598" s="2">
        <f>+Q598-M598</f>
        <v>-6.6000000000000085</v>
      </c>
    </row>
    <row r="599" spans="1:20">
      <c r="A599" s="6">
        <v>116</v>
      </c>
      <c r="B599" t="s">
        <v>38</v>
      </c>
      <c r="C599" t="s">
        <v>33</v>
      </c>
      <c r="D599">
        <v>25</v>
      </c>
      <c r="E599">
        <v>57</v>
      </c>
      <c r="F599" s="1">
        <f>+D599/(D599+E599)</f>
        <v>0.3048780487804878</v>
      </c>
      <c r="G599" s="2">
        <v>91.8</v>
      </c>
      <c r="H599" s="2">
        <v>97.4</v>
      </c>
      <c r="I599" s="2">
        <f>+G599-H599</f>
        <v>-5.6000000000000085</v>
      </c>
      <c r="J599" s="1">
        <f>+(G599^14)/((G599^14+H599^14))</f>
        <v>0.30385766011408771</v>
      </c>
      <c r="K599" s="2">
        <v>97.1</v>
      </c>
      <c r="L599" s="2">
        <v>102.9</v>
      </c>
      <c r="M599" s="2">
        <f>+K599-L599</f>
        <v>-5.8000000000000114</v>
      </c>
      <c r="N599" s="1">
        <f>+F599-J599</f>
        <v>1.020388666400085E-3</v>
      </c>
      <c r="O599" s="2">
        <v>96.3</v>
      </c>
      <c r="P599" s="2">
        <v>108.8</v>
      </c>
      <c r="Q599" s="2">
        <f>+O599-P599</f>
        <v>-12.5</v>
      </c>
      <c r="R599" s="2">
        <v>-1.1000000000000001</v>
      </c>
      <c r="S599" s="2">
        <v>-4</v>
      </c>
      <c r="T599" s="2">
        <f>+Q599-M599</f>
        <v>-6.6999999999999886</v>
      </c>
    </row>
    <row r="600" spans="1:20">
      <c r="A600" s="6">
        <v>145</v>
      </c>
      <c r="B600" t="s">
        <v>39</v>
      </c>
      <c r="C600" t="s">
        <v>31</v>
      </c>
      <c r="D600">
        <v>26</v>
      </c>
      <c r="E600">
        <v>56</v>
      </c>
      <c r="F600" s="1">
        <f>+D600/(D600+E600)</f>
        <v>0.31707317073170732</v>
      </c>
      <c r="G600" s="2">
        <v>93</v>
      </c>
      <c r="H600" s="2">
        <v>97.3</v>
      </c>
      <c r="I600" s="2">
        <f>+G600-H600</f>
        <v>-4.2999999999999972</v>
      </c>
      <c r="J600" s="1">
        <f>+(G600^14)/((G600^14+H600^14))</f>
        <v>0.34687751612401035</v>
      </c>
      <c r="K600" s="2">
        <v>102.9</v>
      </c>
      <c r="L600" s="2">
        <v>107.3</v>
      </c>
      <c r="M600" s="2">
        <f>+K600-L600</f>
        <v>-4.3999999999999915</v>
      </c>
      <c r="N600" s="1">
        <f>+F600-J600</f>
        <v>-2.9804345392303033E-2</v>
      </c>
      <c r="O600" s="2">
        <v>98.8</v>
      </c>
      <c r="P600" s="2">
        <v>109.9</v>
      </c>
      <c r="Q600" s="2">
        <f>+O600-P600</f>
        <v>-11.100000000000009</v>
      </c>
      <c r="R600" s="2">
        <v>-1.2</v>
      </c>
      <c r="S600" s="2">
        <v>-8.3000000000000007</v>
      </c>
      <c r="T600" s="2">
        <f>+Q600-M600</f>
        <v>-6.7000000000000171</v>
      </c>
    </row>
    <row r="601" spans="1:20">
      <c r="A601" s="6">
        <v>176</v>
      </c>
      <c r="B601" t="s">
        <v>41</v>
      </c>
      <c r="C601" t="s">
        <v>33</v>
      </c>
      <c r="D601">
        <v>42</v>
      </c>
      <c r="E601">
        <v>40</v>
      </c>
      <c r="F601" s="1">
        <f>+D601/(D601+E601)</f>
        <v>0.51219512195121952</v>
      </c>
      <c r="G601" s="2">
        <v>101.7</v>
      </c>
      <c r="H601" s="2">
        <v>99.8</v>
      </c>
      <c r="I601" s="2">
        <f>+G601-H601</f>
        <v>1.9000000000000057</v>
      </c>
      <c r="J601" s="1">
        <f>+(G601^14)/((G601^14+H601^14))</f>
        <v>0.56562612482912078</v>
      </c>
      <c r="K601" s="2">
        <v>107.7</v>
      </c>
      <c r="L601" s="2">
        <v>105.8</v>
      </c>
      <c r="M601" s="2">
        <f>+K601-L601</f>
        <v>1.9000000000000057</v>
      </c>
      <c r="N601" s="1">
        <f>+F601-J601</f>
        <v>-5.3431002877901257E-2</v>
      </c>
      <c r="O601" s="2">
        <v>101</v>
      </c>
      <c r="P601" s="2">
        <v>105.9</v>
      </c>
      <c r="Q601" s="2">
        <f>+O601-P601</f>
        <v>-4.9000000000000057</v>
      </c>
      <c r="R601" s="2">
        <v>-0.5</v>
      </c>
      <c r="S601" s="2">
        <v>-0.9</v>
      </c>
      <c r="T601" s="2">
        <f>+Q601-M601</f>
        <v>-6.8000000000000114</v>
      </c>
    </row>
    <row r="602" spans="1:20">
      <c r="A602" s="6">
        <v>612</v>
      </c>
      <c r="B602" t="s">
        <v>61</v>
      </c>
      <c r="C602" t="s">
        <v>18</v>
      </c>
      <c r="D602">
        <v>40</v>
      </c>
      <c r="E602">
        <v>32</v>
      </c>
      <c r="F602" s="1">
        <f>+D602/(D602+E602)</f>
        <v>0.55555555555555558</v>
      </c>
      <c r="G602" s="2">
        <v>108.1</v>
      </c>
      <c r="H602" s="2">
        <v>108</v>
      </c>
      <c r="I602" s="2">
        <f>+G602-H602</f>
        <v>9.9999999999994316E-2</v>
      </c>
      <c r="J602" s="1">
        <f>+(G602^14)/((G602^14+H602^14))</f>
        <v>0.50323919600627853</v>
      </c>
      <c r="K602" s="2">
        <v>110.6</v>
      </c>
      <c r="L602" s="2">
        <v>110.7</v>
      </c>
      <c r="M602" s="2">
        <f>+K602-L602</f>
        <v>-0.10000000000000853</v>
      </c>
      <c r="N602" s="1">
        <f>+F602-J602</f>
        <v>5.2316359549277047E-2</v>
      </c>
      <c r="O602" s="2">
        <v>95.1</v>
      </c>
      <c r="P602" s="2">
        <v>102.1</v>
      </c>
      <c r="Q602" s="2">
        <f>+O602-P602</f>
        <v>-7</v>
      </c>
      <c r="R602" s="2">
        <v>-1.1000000000000001</v>
      </c>
      <c r="S602" s="2">
        <v>-4.2</v>
      </c>
      <c r="T602" s="2">
        <f>+Q602-M602</f>
        <v>-6.8999999999999915</v>
      </c>
    </row>
    <row r="603" spans="1:20">
      <c r="A603" s="6">
        <v>762</v>
      </c>
      <c r="B603" t="s">
        <v>66</v>
      </c>
      <c r="C603" t="s">
        <v>18</v>
      </c>
      <c r="D603">
        <v>35</v>
      </c>
      <c r="E603">
        <v>29</v>
      </c>
      <c r="F603" s="1">
        <f>+D603/(D603+E603)</f>
        <v>0.546875</v>
      </c>
      <c r="G603" s="2">
        <v>120.1</v>
      </c>
      <c r="H603" s="2">
        <v>116.6</v>
      </c>
      <c r="I603" s="2">
        <f>+G603-H603</f>
        <v>3.5</v>
      </c>
      <c r="J603" s="1">
        <f>+(G603^14)/((G603^14+H603^14))</f>
        <v>0.60206012084803828</v>
      </c>
      <c r="K603" s="2">
        <v>114.7</v>
      </c>
      <c r="L603" s="2">
        <v>111.5</v>
      </c>
      <c r="M603" s="2">
        <f>+K603-L603</f>
        <v>3.2000000000000028</v>
      </c>
      <c r="N603" s="1">
        <f>+F603-J603</f>
        <v>-5.5185120848038283E-2</v>
      </c>
      <c r="O603" s="2">
        <v>109.9</v>
      </c>
      <c r="P603" s="2">
        <v>113.6</v>
      </c>
      <c r="Q603" s="2">
        <f>+O603-P603</f>
        <v>-3.6999999999999886</v>
      </c>
      <c r="R603" s="2">
        <v>0.9</v>
      </c>
      <c r="S603" s="2">
        <v>3.2</v>
      </c>
      <c r="T603" s="2">
        <f>+Q603-M603</f>
        <v>-6.8999999999999915</v>
      </c>
    </row>
    <row r="604" spans="1:20">
      <c r="A604" s="6">
        <v>3</v>
      </c>
      <c r="B604" t="s">
        <v>4</v>
      </c>
      <c r="C604" t="s">
        <v>7</v>
      </c>
      <c r="D604">
        <v>46</v>
      </c>
      <c r="E604">
        <v>36</v>
      </c>
      <c r="F604" s="1">
        <f>+D604/(D604+E604)</f>
        <v>0.56097560975609762</v>
      </c>
      <c r="G604" s="2">
        <v>91.9</v>
      </c>
      <c r="H604" s="2">
        <v>89.8</v>
      </c>
      <c r="I604" s="2">
        <f>+G604-H604</f>
        <v>2.1000000000000085</v>
      </c>
      <c r="J604" s="1">
        <f>+(G604^14)/((G604^14+H604^14))</f>
        <v>0.58020737825185043</v>
      </c>
      <c r="K604" s="2">
        <v>99.7</v>
      </c>
      <c r="L604" s="2">
        <v>97.6</v>
      </c>
      <c r="M604" s="2">
        <f>+K604-L604</f>
        <v>2.1000000000000085</v>
      </c>
      <c r="N604" s="1">
        <f>+F604-J604</f>
        <v>-1.923176849575281E-2</v>
      </c>
      <c r="O604" s="2">
        <v>91.6</v>
      </c>
      <c r="P604" s="2">
        <v>96.4</v>
      </c>
      <c r="Q604" s="2">
        <f>+O604-P604</f>
        <v>-4.8000000000000114</v>
      </c>
      <c r="R604" s="2">
        <v>-0.2</v>
      </c>
      <c r="S604" s="2">
        <v>1.2</v>
      </c>
      <c r="T604" s="2">
        <f>+Q604-M604</f>
        <v>-6.9000000000000199</v>
      </c>
    </row>
    <row r="605" spans="1:20">
      <c r="A605" s="6">
        <v>202</v>
      </c>
      <c r="B605" t="s">
        <v>43</v>
      </c>
      <c r="C605" t="s">
        <v>28</v>
      </c>
      <c r="D605">
        <v>58</v>
      </c>
      <c r="E605">
        <v>24</v>
      </c>
      <c r="F605" s="1">
        <f>+D605/(D605+E605)</f>
        <v>0.70731707317073167</v>
      </c>
      <c r="G605" s="2">
        <v>98.5</v>
      </c>
      <c r="H605" s="2">
        <v>90.1</v>
      </c>
      <c r="I605" s="2">
        <f>+G605-H605</f>
        <v>8.4000000000000057</v>
      </c>
      <c r="J605" s="1">
        <f>+(G605^14)/((G605^14+H605^14))</f>
        <v>0.77693775330182646</v>
      </c>
      <c r="K605" s="2">
        <v>108.6</v>
      </c>
      <c r="L605" s="2">
        <v>99.4</v>
      </c>
      <c r="M605" s="2">
        <f>+K605-L605</f>
        <v>9.1999999999999886</v>
      </c>
      <c r="N605" s="1">
        <f>+F605-J605</f>
        <v>-6.9620680131094792E-2</v>
      </c>
      <c r="O605" s="2">
        <v>102.2</v>
      </c>
      <c r="P605" s="2">
        <v>100</v>
      </c>
      <c r="Q605" s="2">
        <f>+O605-P605</f>
        <v>2.2000000000000028</v>
      </c>
      <c r="R605" s="2">
        <v>1.1000000000000001</v>
      </c>
      <c r="S605" s="2">
        <v>5.9</v>
      </c>
      <c r="T605" s="2">
        <f>+Q605-M605</f>
        <v>-6.9999999999999858</v>
      </c>
    </row>
    <row r="606" spans="1:20">
      <c r="A606" s="6">
        <v>502</v>
      </c>
      <c r="B606" t="s">
        <v>57</v>
      </c>
      <c r="C606" t="s">
        <v>27</v>
      </c>
      <c r="D606">
        <v>32</v>
      </c>
      <c r="E606">
        <v>50</v>
      </c>
      <c r="F606" s="1">
        <f>+D606/(D606+E606)</f>
        <v>0.3902439024390244</v>
      </c>
      <c r="G606" s="2">
        <v>102.8</v>
      </c>
      <c r="H606" s="2">
        <v>106.7</v>
      </c>
      <c r="I606" s="2">
        <f>+G606-H606</f>
        <v>-3.9000000000000057</v>
      </c>
      <c r="J606" s="1">
        <f>+(G606^14)/((G606^14+H606^14))</f>
        <v>0.37254800267996896</v>
      </c>
      <c r="K606" s="2">
        <v>106.6</v>
      </c>
      <c r="L606" s="2">
        <v>110.8</v>
      </c>
      <c r="M606" s="2">
        <f>+K606-L606</f>
        <v>-4.2000000000000028</v>
      </c>
      <c r="N606" s="1">
        <f>+F606-J606</f>
        <v>1.7695899759055445E-2</v>
      </c>
      <c r="O606" s="2">
        <v>97.7</v>
      </c>
      <c r="P606" s="2">
        <v>108.9</v>
      </c>
      <c r="Q606" s="2">
        <f>+O606-P606</f>
        <v>-11.200000000000003</v>
      </c>
      <c r="R606" s="2">
        <v>0.4</v>
      </c>
      <c r="S606" s="2">
        <v>0.8</v>
      </c>
      <c r="T606" s="2">
        <f>+Q606-M606</f>
        <v>-7</v>
      </c>
    </row>
    <row r="607" spans="1:20">
      <c r="A607" s="6">
        <v>584</v>
      </c>
      <c r="B607" t="s">
        <v>60</v>
      </c>
      <c r="C607" t="s">
        <v>20</v>
      </c>
      <c r="D607">
        <v>19</v>
      </c>
      <c r="E607">
        <v>45</v>
      </c>
      <c r="F607" s="1">
        <f>+D607/(D607+E607)</f>
        <v>0.296875</v>
      </c>
      <c r="G607" s="2">
        <v>113.2</v>
      </c>
      <c r="H607" s="2">
        <v>117.5</v>
      </c>
      <c r="I607" s="2">
        <f>+G607-H607</f>
        <v>-4.2999999999999972</v>
      </c>
      <c r="J607" s="1">
        <f>+(G607^14)/((G607^14+H607^14))</f>
        <v>0.37239628997448704</v>
      </c>
      <c r="K607" s="2">
        <v>107.6</v>
      </c>
      <c r="L607" s="2">
        <v>111.6</v>
      </c>
      <c r="M607" s="2">
        <f>+K607-L607</f>
        <v>-4</v>
      </c>
      <c r="N607" s="1">
        <f>+F607-J607</f>
        <v>-7.5521289974487038E-2</v>
      </c>
      <c r="O607" s="2">
        <v>105.6</v>
      </c>
      <c r="P607" s="2">
        <v>116.6</v>
      </c>
      <c r="Q607" s="2">
        <f>+O607-P607</f>
        <v>-11</v>
      </c>
      <c r="R607" s="2">
        <v>-0.4</v>
      </c>
      <c r="S607" s="2">
        <v>-2.2000000000000002</v>
      </c>
      <c r="T607" s="2">
        <f>+Q607-M607</f>
        <v>-7</v>
      </c>
    </row>
    <row r="608" spans="1:20">
      <c r="A608" s="6">
        <v>601</v>
      </c>
      <c r="B608" t="s">
        <v>61</v>
      </c>
      <c r="C608" t="s">
        <v>8</v>
      </c>
      <c r="D608">
        <v>31</v>
      </c>
      <c r="E608">
        <v>41</v>
      </c>
      <c r="F608" s="1">
        <f>+D608/(D608+E608)</f>
        <v>0.43055555555555558</v>
      </c>
      <c r="G608" s="2">
        <v>110.7</v>
      </c>
      <c r="H608" s="2">
        <v>111.6</v>
      </c>
      <c r="I608" s="2">
        <f>+G608-H608</f>
        <v>-0.89999999999999147</v>
      </c>
      <c r="J608" s="1">
        <f>+(G608^14)/((G608^14+H608^14))</f>
        <v>0.47169007456598405</v>
      </c>
      <c r="K608" s="2">
        <v>110.4</v>
      </c>
      <c r="L608" s="2">
        <v>111.5</v>
      </c>
      <c r="M608" s="2">
        <f>+K608-L608</f>
        <v>-1.0999999999999943</v>
      </c>
      <c r="N608" s="1">
        <f>+F608-J608</f>
        <v>-4.1134519010428472E-2</v>
      </c>
      <c r="O608" s="2">
        <v>107.1</v>
      </c>
      <c r="P608" s="2">
        <v>115.2</v>
      </c>
      <c r="Q608" s="2">
        <f>+O608-P608</f>
        <v>-8.1000000000000085</v>
      </c>
      <c r="R608" s="2">
        <v>-1.1000000000000001</v>
      </c>
      <c r="S608" s="2">
        <v>-5.2</v>
      </c>
      <c r="T608" s="2">
        <f>+Q608-M608</f>
        <v>-7.0000000000000142</v>
      </c>
    </row>
    <row r="609" spans="1:20">
      <c r="A609" s="6">
        <v>430</v>
      </c>
      <c r="B609" t="s">
        <v>54</v>
      </c>
      <c r="C609" t="s">
        <v>17</v>
      </c>
      <c r="D609">
        <v>21</v>
      </c>
      <c r="E609">
        <v>61</v>
      </c>
      <c r="F609" s="1">
        <f>+D609/(D609+E609)</f>
        <v>0.25609756097560976</v>
      </c>
      <c r="G609" s="2">
        <v>98.5</v>
      </c>
      <c r="H609" s="2">
        <v>105.3</v>
      </c>
      <c r="I609" s="2">
        <f>+G609-H609</f>
        <v>-6.7999999999999972</v>
      </c>
      <c r="J609" s="1">
        <f>+(G609^14)/((G609^14+H609^14))</f>
        <v>0.28199317754915287</v>
      </c>
      <c r="K609" s="2">
        <v>102.3</v>
      </c>
      <c r="L609" s="2">
        <v>109.4</v>
      </c>
      <c r="M609" s="2">
        <f>+K609-L609</f>
        <v>-7.1000000000000085</v>
      </c>
      <c r="N609" s="1">
        <f>+F609-J609</f>
        <v>-2.5895616573543112E-2</v>
      </c>
      <c r="O609" s="2">
        <v>95.5</v>
      </c>
      <c r="P609" s="2">
        <v>109.8</v>
      </c>
      <c r="Q609" s="2">
        <f>+O609-P609</f>
        <v>-14.299999999999997</v>
      </c>
      <c r="R609" s="2">
        <v>-0.5</v>
      </c>
      <c r="S609" s="2">
        <v>-4.7</v>
      </c>
      <c r="T609" s="2">
        <f>+Q609-M609</f>
        <v>-7.1999999999999886</v>
      </c>
    </row>
    <row r="610" spans="1:20">
      <c r="A610" s="6">
        <v>137</v>
      </c>
      <c r="B610" t="s">
        <v>39</v>
      </c>
      <c r="C610" t="s">
        <v>23</v>
      </c>
      <c r="D610">
        <v>36</v>
      </c>
      <c r="E610">
        <v>46</v>
      </c>
      <c r="F610" s="1">
        <f>+D610/(D610+E610)</f>
        <v>0.43902439024390244</v>
      </c>
      <c r="G610" s="2">
        <v>99.5</v>
      </c>
      <c r="H610" s="2">
        <v>101.8</v>
      </c>
      <c r="I610" s="2">
        <f>+G610-H610</f>
        <v>-2.2999999999999972</v>
      </c>
      <c r="J610" s="1">
        <f>+(G610^14)/((G610^14+H610^14))</f>
        <v>0.42069172557292256</v>
      </c>
      <c r="K610" s="2">
        <v>103.4</v>
      </c>
      <c r="L610" s="2">
        <v>105.7</v>
      </c>
      <c r="M610" s="2">
        <f>+K610-L610</f>
        <v>-2.2999999999999972</v>
      </c>
      <c r="N610" s="1">
        <f>+F610-J610</f>
        <v>1.8332664670979881E-2</v>
      </c>
      <c r="O610" s="2">
        <v>97.2</v>
      </c>
      <c r="P610" s="2">
        <v>106.7</v>
      </c>
      <c r="Q610" s="2">
        <f>+O610-P610</f>
        <v>-9.5</v>
      </c>
      <c r="R610" s="2">
        <v>-0.4</v>
      </c>
      <c r="S610" s="2">
        <v>-1.4</v>
      </c>
      <c r="T610" s="2">
        <f>+Q610-M610</f>
        <v>-7.2000000000000028</v>
      </c>
    </row>
    <row r="611" spans="1:20">
      <c r="A611" s="6">
        <v>307</v>
      </c>
      <c r="B611" t="s">
        <v>48</v>
      </c>
      <c r="C611" t="s">
        <v>15</v>
      </c>
      <c r="D611">
        <v>37</v>
      </c>
      <c r="E611">
        <v>45</v>
      </c>
      <c r="F611" s="1">
        <f>+D611/(D611+E611)</f>
        <v>0.45121951219512196</v>
      </c>
      <c r="G611" s="2">
        <v>99.8</v>
      </c>
      <c r="H611" s="2">
        <v>100.9</v>
      </c>
      <c r="I611" s="2">
        <f>+G611-H611</f>
        <v>-1.1000000000000085</v>
      </c>
      <c r="J611" s="1">
        <f>+(G611^14)/((G611^14+H611^14))</f>
        <v>0.4617090166605291</v>
      </c>
      <c r="K611" s="2">
        <v>104.1</v>
      </c>
      <c r="L611" s="2">
        <v>105</v>
      </c>
      <c r="M611" s="2">
        <f>+K611-L611</f>
        <v>-0.90000000000000568</v>
      </c>
      <c r="N611" s="1">
        <f>+F611-J611</f>
        <v>-1.048950446540714E-2</v>
      </c>
      <c r="O611" s="2">
        <v>96.3</v>
      </c>
      <c r="P611" s="2">
        <v>104.4</v>
      </c>
      <c r="Q611" s="2">
        <f>+O611-P611</f>
        <v>-8.1000000000000085</v>
      </c>
      <c r="R611" s="2">
        <v>-1.5</v>
      </c>
      <c r="S611" s="2">
        <v>-5.7</v>
      </c>
      <c r="T611" s="2">
        <f>+Q611-M611</f>
        <v>-7.2000000000000028</v>
      </c>
    </row>
    <row r="612" spans="1:20">
      <c r="A612" s="6">
        <v>534</v>
      </c>
      <c r="B612" t="s">
        <v>58</v>
      </c>
      <c r="C612" t="s">
        <v>30</v>
      </c>
      <c r="D612">
        <v>59</v>
      </c>
      <c r="E612">
        <v>23</v>
      </c>
      <c r="F612" s="1">
        <f>+D612/(D612+E612)</f>
        <v>0.71951219512195119</v>
      </c>
      <c r="G612" s="2">
        <v>111.7</v>
      </c>
      <c r="H612" s="2">
        <v>103.9</v>
      </c>
      <c r="I612" s="2">
        <f>+G612-H612</f>
        <v>7.7999999999999972</v>
      </c>
      <c r="J612" s="1">
        <f>+(G612^14)/((G612^14+H612^14))</f>
        <v>0.73369073451534572</v>
      </c>
      <c r="K612" s="2">
        <v>113</v>
      </c>
      <c r="L612" s="2">
        <v>105.3</v>
      </c>
      <c r="M612" s="2">
        <f>+K612-L612</f>
        <v>7.7000000000000028</v>
      </c>
      <c r="N612" s="1">
        <f>+F612-J612</f>
        <v>-1.4178539393394529E-2</v>
      </c>
      <c r="O612" s="2">
        <v>103.1</v>
      </c>
      <c r="P612" s="2">
        <v>102.6</v>
      </c>
      <c r="Q612" s="2">
        <f>+O612-P612</f>
        <v>0.5</v>
      </c>
      <c r="R612" s="2">
        <v>1.9</v>
      </c>
      <c r="S612" s="2">
        <v>8.1</v>
      </c>
      <c r="T612" s="2">
        <f>+Q612-M612</f>
        <v>-7.2000000000000028</v>
      </c>
    </row>
    <row r="613" spans="1:20">
      <c r="A613" s="6">
        <v>406</v>
      </c>
      <c r="B613" t="s">
        <v>52</v>
      </c>
      <c r="C613" t="s">
        <v>22</v>
      </c>
      <c r="D613">
        <v>37</v>
      </c>
      <c r="E613">
        <v>45</v>
      </c>
      <c r="F613" s="1">
        <f>+D613/(D613+E613)</f>
        <v>0.45121951219512196</v>
      </c>
      <c r="G613" s="2">
        <v>98.6</v>
      </c>
      <c r="H613" s="2">
        <v>99.4</v>
      </c>
      <c r="I613" s="2">
        <f>+G613-H613</f>
        <v>-0.80000000000001137</v>
      </c>
      <c r="J613" s="1">
        <f>+(G613^14)/((G613^14+H613^14))</f>
        <v>0.47174714501702425</v>
      </c>
      <c r="K613" s="2">
        <v>107</v>
      </c>
      <c r="L613" s="2">
        <v>108.1</v>
      </c>
      <c r="M613" s="2">
        <f>+K613-L613</f>
        <v>-1.0999999999999943</v>
      </c>
      <c r="N613" s="1">
        <f>+F613-J613</f>
        <v>-2.0527632821902286E-2</v>
      </c>
      <c r="O613" s="2">
        <v>92.3</v>
      </c>
      <c r="P613" s="2">
        <v>100.6</v>
      </c>
      <c r="Q613" s="2">
        <f>+O613-P613</f>
        <v>-8.2999999999999972</v>
      </c>
      <c r="R613" s="2">
        <v>-1.2</v>
      </c>
      <c r="S613" s="2">
        <v>-6</v>
      </c>
      <c r="T613" s="2">
        <f>+Q613-M613</f>
        <v>-7.2000000000000028</v>
      </c>
    </row>
    <row r="614" spans="1:20">
      <c r="A614" s="6">
        <v>369</v>
      </c>
      <c r="B614" t="s">
        <v>50</v>
      </c>
      <c r="C614" t="s">
        <v>16</v>
      </c>
      <c r="D614">
        <v>56</v>
      </c>
      <c r="E614">
        <v>26</v>
      </c>
      <c r="F614" s="1">
        <f>+D614/(D614+E614)</f>
        <v>0.68292682926829273</v>
      </c>
      <c r="G614" s="2">
        <v>101.1</v>
      </c>
      <c r="H614" s="2">
        <v>94.6</v>
      </c>
      <c r="I614" s="2">
        <f>+G614-H614</f>
        <v>6.5</v>
      </c>
      <c r="J614" s="1">
        <f>+(G614^14)/((G614^14+H614^14))</f>
        <v>0.71714367068078333</v>
      </c>
      <c r="K614" s="2">
        <v>109.8</v>
      </c>
      <c r="L614" s="2">
        <v>102.8</v>
      </c>
      <c r="M614" s="2">
        <f>+K614-L614</f>
        <v>7</v>
      </c>
      <c r="N614" s="1">
        <f>+F614-J614</f>
        <v>-3.4216841412490595E-2</v>
      </c>
      <c r="O614" s="2">
        <v>114.7</v>
      </c>
      <c r="P614" s="2">
        <v>114.9</v>
      </c>
      <c r="Q614" s="2">
        <f>+O614-P614</f>
        <v>-0.20000000000000284</v>
      </c>
      <c r="R614" s="2">
        <v>2.2000000000000002</v>
      </c>
      <c r="S614" s="2">
        <v>9</v>
      </c>
      <c r="T614" s="2">
        <f>+Q614-M614</f>
        <v>-7.2000000000000028</v>
      </c>
    </row>
    <row r="615" spans="1:20">
      <c r="A615" s="6">
        <v>17</v>
      </c>
      <c r="B615" t="s">
        <v>4</v>
      </c>
      <c r="C615" t="s">
        <v>21</v>
      </c>
      <c r="D615">
        <v>26</v>
      </c>
      <c r="E615">
        <v>56</v>
      </c>
      <c r="F615" s="1">
        <f>+D615/(D615+E615)</f>
        <v>0.31707317073170732</v>
      </c>
      <c r="G615" s="2">
        <v>92.1</v>
      </c>
      <c r="H615" s="2">
        <v>97.1</v>
      </c>
      <c r="I615" s="2">
        <f>+G615-H615</f>
        <v>-5</v>
      </c>
      <c r="J615" s="1">
        <f>+(G615^14)/((G615^14+H615^14))</f>
        <v>0.32297570638885176</v>
      </c>
      <c r="K615" s="2">
        <v>98.4</v>
      </c>
      <c r="L615" s="2">
        <v>103.8</v>
      </c>
      <c r="M615" s="2">
        <f>+K615-L615</f>
        <v>-5.3999999999999915</v>
      </c>
      <c r="N615" s="1">
        <f>+F615-J615</f>
        <v>-5.9025356571444365E-3</v>
      </c>
      <c r="O615" s="2">
        <v>93.1</v>
      </c>
      <c r="P615" s="2">
        <v>105.7</v>
      </c>
      <c r="Q615" s="2">
        <f>+O615-P615</f>
        <v>-12.600000000000009</v>
      </c>
      <c r="R615" s="2">
        <v>-1.8</v>
      </c>
      <c r="S615" s="2">
        <v>-9.4</v>
      </c>
      <c r="T615" s="2">
        <f>+Q615-M615</f>
        <v>-7.2000000000000171</v>
      </c>
    </row>
    <row r="616" spans="1:20">
      <c r="A616" s="6">
        <v>543</v>
      </c>
      <c r="B616" t="s">
        <v>59</v>
      </c>
      <c r="C616" t="s">
        <v>10</v>
      </c>
      <c r="D616">
        <v>33</v>
      </c>
      <c r="E616">
        <v>49</v>
      </c>
      <c r="F616" s="1">
        <f>+D616/(D616+E616)</f>
        <v>0.40243902439024393</v>
      </c>
      <c r="G616" s="2">
        <v>108.9</v>
      </c>
      <c r="H616" s="2">
        <v>110.1</v>
      </c>
      <c r="I616" s="2">
        <f>+G616-H616</f>
        <v>-1.1999999999999886</v>
      </c>
      <c r="J616" s="1">
        <f>+(G616^14)/((G616^14+H616^14))</f>
        <v>0.46171851651459928</v>
      </c>
      <c r="K616" s="2">
        <v>108.7</v>
      </c>
      <c r="L616" s="2">
        <v>110.1</v>
      </c>
      <c r="M616" s="2">
        <f>+K616-L616</f>
        <v>-1.3999999999999915</v>
      </c>
      <c r="N616" s="1">
        <f>+F616-J616</f>
        <v>-5.9279492124355349E-2</v>
      </c>
      <c r="O616" s="2">
        <v>100.3</v>
      </c>
      <c r="P616" s="2">
        <v>108.9</v>
      </c>
      <c r="Q616" s="2">
        <f>+O616-P616</f>
        <v>-8.6000000000000085</v>
      </c>
      <c r="R616" s="2">
        <v>0.4</v>
      </c>
      <c r="S616" s="2">
        <v>1.1000000000000001</v>
      </c>
      <c r="T616" s="2">
        <f>+Q616-M616</f>
        <v>-7.2000000000000171</v>
      </c>
    </row>
    <row r="617" spans="1:20">
      <c r="A617" s="6">
        <v>692</v>
      </c>
      <c r="B617" t="s">
        <v>64</v>
      </c>
      <c r="C617" t="s">
        <v>9</v>
      </c>
      <c r="D617">
        <v>48</v>
      </c>
      <c r="E617">
        <v>34</v>
      </c>
      <c r="F617" s="1">
        <f>+D617/(D617+E617)</f>
        <v>0.58536585365853655</v>
      </c>
      <c r="G617" s="2">
        <v>112.6</v>
      </c>
      <c r="H617" s="2">
        <v>110.2</v>
      </c>
      <c r="I617" s="2">
        <f>+G617-H617</f>
        <v>2.3999999999999915</v>
      </c>
      <c r="J617" s="1">
        <f>+(G617^14)/((G617^14+H617^14))</f>
        <v>0.57484031607485653</v>
      </c>
      <c r="K617" s="2">
        <v>114.7</v>
      </c>
      <c r="L617" s="2">
        <v>112.1</v>
      </c>
      <c r="M617" s="2">
        <f>+K617-L617</f>
        <v>2.6000000000000085</v>
      </c>
      <c r="N617" s="1">
        <f>+F617-J617</f>
        <v>1.0525537583680022E-2</v>
      </c>
      <c r="O617" s="2">
        <v>106.4</v>
      </c>
      <c r="P617" s="2">
        <v>111.1</v>
      </c>
      <c r="Q617" s="2">
        <f>+O617-P617</f>
        <v>-4.6999999999999886</v>
      </c>
      <c r="R617" s="2">
        <v>0.3</v>
      </c>
      <c r="S617" s="2">
        <v>0.4</v>
      </c>
      <c r="T617" s="2">
        <f>+Q617-M617</f>
        <v>-7.2999999999999972</v>
      </c>
    </row>
    <row r="618" spans="1:20">
      <c r="A618" s="6">
        <v>444</v>
      </c>
      <c r="B618" t="s">
        <v>54</v>
      </c>
      <c r="C618" t="s">
        <v>30</v>
      </c>
      <c r="D618">
        <v>49</v>
      </c>
      <c r="E618">
        <v>33</v>
      </c>
      <c r="F618" s="1">
        <f>+D618/(D618+E618)</f>
        <v>0.59756097560975607</v>
      </c>
      <c r="G618" s="2">
        <v>104</v>
      </c>
      <c r="H618" s="2">
        <v>100.9</v>
      </c>
      <c r="I618" s="2">
        <f>+G618-H618</f>
        <v>3.0999999999999943</v>
      </c>
      <c r="J618" s="1">
        <f>+(G618^14)/((G618^14+H618^14))</f>
        <v>0.60435719403948929</v>
      </c>
      <c r="K618" s="2">
        <v>110.2</v>
      </c>
      <c r="L618" s="2">
        <v>107.1</v>
      </c>
      <c r="M618" s="2">
        <f>+K618-L618</f>
        <v>3.1000000000000085</v>
      </c>
      <c r="N618" s="1">
        <f>+F618-J618</f>
        <v>-6.796218429733214E-3</v>
      </c>
      <c r="O618" s="2">
        <v>104.4</v>
      </c>
      <c r="P618" s="2">
        <v>108.7</v>
      </c>
      <c r="Q618" s="2">
        <f>+O618-P618</f>
        <v>-4.2999999999999972</v>
      </c>
      <c r="R618" s="2">
        <v>0.3</v>
      </c>
      <c r="S618" s="2">
        <v>1.9</v>
      </c>
      <c r="T618" s="2">
        <f>+Q618-M618</f>
        <v>-7.4000000000000057</v>
      </c>
    </row>
    <row r="619" spans="1:20">
      <c r="A619" s="6">
        <v>686</v>
      </c>
      <c r="B619" t="s">
        <v>63</v>
      </c>
      <c r="C619" t="s">
        <v>33</v>
      </c>
      <c r="D619">
        <v>35</v>
      </c>
      <c r="E619">
        <v>47</v>
      </c>
      <c r="F619" s="1">
        <f>+D619/(D619+E619)</f>
        <v>0.42682926829268292</v>
      </c>
      <c r="G619" s="2">
        <v>113.2</v>
      </c>
      <c r="H619" s="2">
        <v>114.4</v>
      </c>
      <c r="I619" s="2">
        <f>+G619-H619</f>
        <v>-1.2000000000000028</v>
      </c>
      <c r="J619" s="1">
        <f>+(G619^14)/((G619^14+H619^14))</f>
        <v>0.46315968852837397</v>
      </c>
      <c r="K619" s="2">
        <v>113.7</v>
      </c>
      <c r="L619" s="2">
        <v>114.9</v>
      </c>
      <c r="M619" s="2">
        <f>+K619-L619</f>
        <v>-1.2000000000000028</v>
      </c>
      <c r="N619" s="1">
        <f>+F619-J619</f>
        <v>-3.6330420235691052E-2</v>
      </c>
      <c r="O619" s="2">
        <v>101.4</v>
      </c>
      <c r="P619" s="2">
        <v>110.3</v>
      </c>
      <c r="Q619" s="2">
        <f>+O619-P619</f>
        <v>-8.8999999999999915</v>
      </c>
      <c r="R619" s="2">
        <v>0</v>
      </c>
      <c r="S619" s="2">
        <v>-0.6</v>
      </c>
      <c r="T619" s="2">
        <f>+Q619-M619</f>
        <v>-7.6999999999999886</v>
      </c>
    </row>
    <row r="620" spans="1:20">
      <c r="A620" s="6">
        <v>419</v>
      </c>
      <c r="B620" t="s">
        <v>54</v>
      </c>
      <c r="C620" t="s">
        <v>51</v>
      </c>
      <c r="D620">
        <v>38</v>
      </c>
      <c r="E620">
        <v>44</v>
      </c>
      <c r="F620" s="1">
        <f>+D620/(D620+E620)</f>
        <v>0.46341463414634149</v>
      </c>
      <c r="G620" s="2">
        <v>98</v>
      </c>
      <c r="H620" s="2">
        <v>100.9</v>
      </c>
      <c r="I620" s="2">
        <f>+G620-H620</f>
        <v>-2.9000000000000057</v>
      </c>
      <c r="J620" s="1">
        <f>+(G620^14)/((G620^14+H620^14))</f>
        <v>0.3993259881358221</v>
      </c>
      <c r="K620" s="2">
        <v>103.4</v>
      </c>
      <c r="L620" s="2">
        <v>106.3</v>
      </c>
      <c r="M620" s="2">
        <f>+K620-L620</f>
        <v>-2.8999999999999915</v>
      </c>
      <c r="N620" s="1">
        <f>+F620-J620</f>
        <v>6.408864601051939E-2</v>
      </c>
      <c r="O620" s="2">
        <v>91.9</v>
      </c>
      <c r="P620" s="2">
        <v>102.5</v>
      </c>
      <c r="Q620" s="2">
        <f>+O620-P620</f>
        <v>-10.599999999999994</v>
      </c>
      <c r="R620" s="2">
        <v>-0.2</v>
      </c>
      <c r="S620" s="2">
        <v>-1</v>
      </c>
      <c r="T620" s="2">
        <f>+Q620-M620</f>
        <v>-7.7000000000000028</v>
      </c>
    </row>
    <row r="621" spans="1:20">
      <c r="A621" s="6">
        <v>588</v>
      </c>
      <c r="B621" t="s">
        <v>60</v>
      </c>
      <c r="C621" t="s">
        <v>23</v>
      </c>
      <c r="D621">
        <v>33</v>
      </c>
      <c r="E621">
        <v>40</v>
      </c>
      <c r="F621" s="1">
        <f>+D621/(D621+E621)</f>
        <v>0.45205479452054792</v>
      </c>
      <c r="G621" s="2">
        <v>107.3</v>
      </c>
      <c r="H621" s="2">
        <v>108.3</v>
      </c>
      <c r="I621" s="2">
        <f>+G621-H621</f>
        <v>-1</v>
      </c>
      <c r="J621" s="1">
        <f>+(G621^14)/((G621^14+H621^14))</f>
        <v>0.46757779264200222</v>
      </c>
      <c r="K621" s="2">
        <v>107.9</v>
      </c>
      <c r="L621" s="2">
        <v>109.2</v>
      </c>
      <c r="M621" s="2">
        <f>+K621-L621</f>
        <v>-1.2999999999999972</v>
      </c>
      <c r="N621" s="1">
        <f>+F621-J621</f>
        <v>-1.5522998121454301E-2</v>
      </c>
      <c r="O621" s="2">
        <v>95.7</v>
      </c>
      <c r="P621" s="2">
        <v>104.7</v>
      </c>
      <c r="Q621" s="2">
        <f>+O621-P621</f>
        <v>-9</v>
      </c>
      <c r="R621" s="2">
        <v>-0.9</v>
      </c>
      <c r="S621" s="2">
        <v>-1.2</v>
      </c>
      <c r="T621" s="2">
        <f>+Q621-M621</f>
        <v>-7.7000000000000028</v>
      </c>
    </row>
    <row r="622" spans="1:20">
      <c r="A622" s="6">
        <v>443</v>
      </c>
      <c r="B622" t="s">
        <v>54</v>
      </c>
      <c r="C622" t="s">
        <v>28</v>
      </c>
      <c r="D622">
        <v>55</v>
      </c>
      <c r="E622">
        <v>27</v>
      </c>
      <c r="F622" s="1">
        <f>+D622/(D622+E622)</f>
        <v>0.67073170731707321</v>
      </c>
      <c r="G622" s="2">
        <v>103.2</v>
      </c>
      <c r="H622" s="2">
        <v>97</v>
      </c>
      <c r="I622" s="2">
        <f>+G622-H622</f>
        <v>6.2000000000000028</v>
      </c>
      <c r="J622" s="1">
        <f>+(G622^14)/((G622^14+H622^14))</f>
        <v>0.70420653798027644</v>
      </c>
      <c r="K622" s="2">
        <v>107.6</v>
      </c>
      <c r="L622" s="2">
        <v>101.4</v>
      </c>
      <c r="M622" s="2">
        <f>+K622-L622</f>
        <v>6.1999999999999886</v>
      </c>
      <c r="N622" s="1">
        <f>+F622-J622</f>
        <v>-3.3474830663203226E-2</v>
      </c>
      <c r="O622" s="2">
        <v>95.5</v>
      </c>
      <c r="P622" s="2">
        <v>97.1</v>
      </c>
      <c r="Q622" s="2">
        <f>+O622-P622</f>
        <v>-1.5999999999999943</v>
      </c>
      <c r="R622" s="2">
        <v>0.9</v>
      </c>
      <c r="S622" s="2">
        <v>4.9000000000000004</v>
      </c>
      <c r="T622" s="2">
        <f>+Q622-M622</f>
        <v>-7.7999999999999829</v>
      </c>
    </row>
    <row r="623" spans="1:20">
      <c r="A623" s="6">
        <v>606</v>
      </c>
      <c r="B623" t="s">
        <v>61</v>
      </c>
      <c r="C623" t="s">
        <v>13</v>
      </c>
      <c r="D623">
        <v>39</v>
      </c>
      <c r="E623">
        <v>33</v>
      </c>
      <c r="F623" s="1">
        <f>+D623/(D623+E623)</f>
        <v>0.54166666666666663</v>
      </c>
      <c r="G623" s="2">
        <v>113.7</v>
      </c>
      <c r="H623" s="2">
        <v>112.7</v>
      </c>
      <c r="I623" s="2">
        <f>+G623-H623</f>
        <v>1</v>
      </c>
      <c r="J623" s="1">
        <f>+(G623^14)/((G623^14+H623^14))</f>
        <v>0.53087957866492586</v>
      </c>
      <c r="K623" s="2">
        <v>110.5</v>
      </c>
      <c r="L623" s="2">
        <v>109.4</v>
      </c>
      <c r="M623" s="2">
        <f>+K623-L623</f>
        <v>1.0999999999999943</v>
      </c>
      <c r="N623" s="1">
        <f>+F623-J623</f>
        <v>1.0787088001740774E-2</v>
      </c>
      <c r="O623" s="2">
        <v>112.6</v>
      </c>
      <c r="P623" s="2">
        <v>119.3</v>
      </c>
      <c r="Q623" s="2">
        <f>+O623-P623</f>
        <v>-6.7000000000000028</v>
      </c>
      <c r="R623" s="2">
        <v>0.2</v>
      </c>
      <c r="S623" s="2">
        <v>0.7</v>
      </c>
      <c r="T623" s="2">
        <f>+Q623-M623</f>
        <v>-7.7999999999999972</v>
      </c>
    </row>
    <row r="624" spans="1:20">
      <c r="A624" s="6">
        <v>194</v>
      </c>
      <c r="B624" t="s">
        <v>43</v>
      </c>
      <c r="C624" t="s">
        <v>21</v>
      </c>
      <c r="D624">
        <v>41</v>
      </c>
      <c r="E624">
        <v>41</v>
      </c>
      <c r="F624" s="1">
        <f>+D624/(D624+E624)</f>
        <v>0.5</v>
      </c>
      <c r="G624" s="2">
        <v>97.6</v>
      </c>
      <c r="H624" s="2">
        <v>98.3</v>
      </c>
      <c r="I624" s="2">
        <f>+G624-H624</f>
        <v>-0.70000000000000284</v>
      </c>
      <c r="J624" s="1">
        <f>+(G624^14)/((G624^14+H624^14))</f>
        <v>0.47500797658493921</v>
      </c>
      <c r="K624" s="2">
        <v>104.2</v>
      </c>
      <c r="L624" s="2">
        <v>105.1</v>
      </c>
      <c r="M624" s="2">
        <f>+K624-L624</f>
        <v>-0.89999999999999147</v>
      </c>
      <c r="N624" s="1">
        <f>+F624-J624</f>
        <v>2.4992023415060793E-2</v>
      </c>
      <c r="O624" s="2">
        <v>101.7</v>
      </c>
      <c r="P624" s="2">
        <v>110.4</v>
      </c>
      <c r="Q624" s="2">
        <f>+O624-P624</f>
        <v>-8.7000000000000028</v>
      </c>
      <c r="R624" s="2">
        <v>-0.6</v>
      </c>
      <c r="S624" s="2">
        <v>-1.7</v>
      </c>
      <c r="T624" s="2">
        <f>+Q624-M624</f>
        <v>-7.8000000000000114</v>
      </c>
    </row>
    <row r="625" spans="1:20">
      <c r="A625" s="6">
        <v>326</v>
      </c>
      <c r="B625" t="s">
        <v>48</v>
      </c>
      <c r="C625" t="s">
        <v>33</v>
      </c>
      <c r="D625">
        <v>23</v>
      </c>
      <c r="E625">
        <v>59</v>
      </c>
      <c r="F625" s="1">
        <f>+D625/(D625+E625)</f>
        <v>0.28048780487804881</v>
      </c>
      <c r="G625" s="2">
        <v>97.3</v>
      </c>
      <c r="H625" s="2">
        <v>104.7</v>
      </c>
      <c r="I625" s="2">
        <f>+G625-H625</f>
        <v>-7.4000000000000057</v>
      </c>
      <c r="J625" s="1">
        <f>+(G625^14)/((G625^14+H625^14))</f>
        <v>0.26382112647972111</v>
      </c>
      <c r="K625" s="2">
        <v>101.3</v>
      </c>
      <c r="L625" s="2">
        <v>109.1</v>
      </c>
      <c r="M625" s="2">
        <f>+K625-L625</f>
        <v>-7.7999999999999972</v>
      </c>
      <c r="N625" s="1">
        <f>+F625-J625</f>
        <v>1.6666678398327694E-2</v>
      </c>
      <c r="O625" s="2">
        <v>98.1</v>
      </c>
      <c r="P625" s="2">
        <v>113.7</v>
      </c>
      <c r="Q625" s="2">
        <f>+O625-P625</f>
        <v>-15.600000000000009</v>
      </c>
      <c r="R625" s="2">
        <v>-1</v>
      </c>
      <c r="S625" s="2">
        <v>-6.3</v>
      </c>
      <c r="T625" s="2">
        <f>+Q625-M625</f>
        <v>-7.8000000000000114</v>
      </c>
    </row>
    <row r="626" spans="1:20">
      <c r="A626" s="6">
        <v>98</v>
      </c>
      <c r="B626" t="s">
        <v>38</v>
      </c>
      <c r="C626" t="s">
        <v>16</v>
      </c>
      <c r="D626">
        <v>28</v>
      </c>
      <c r="E626">
        <v>54</v>
      </c>
      <c r="F626" s="1">
        <f>+D626/(D626+E626)</f>
        <v>0.34146341463414637</v>
      </c>
      <c r="G626" s="2">
        <v>94.8</v>
      </c>
      <c r="H626" s="2">
        <v>99.4</v>
      </c>
      <c r="I626" s="2">
        <f>+G626-H626</f>
        <v>-4.6000000000000085</v>
      </c>
      <c r="J626" s="1">
        <f>+(G626^14)/((G626^14+H626^14))</f>
        <v>0.33998571838438196</v>
      </c>
      <c r="K626" s="2">
        <v>101.9</v>
      </c>
      <c r="L626" s="2">
        <v>106.6</v>
      </c>
      <c r="M626" s="2">
        <f>+K626-L626</f>
        <v>-4.6999999999999886</v>
      </c>
      <c r="N626" s="1">
        <f>+F626-J626</f>
        <v>1.4776962497644042E-3</v>
      </c>
      <c r="O626" s="2">
        <v>93</v>
      </c>
      <c r="P626" s="2">
        <v>105.5</v>
      </c>
      <c r="Q626" s="2">
        <f>+O626-P626</f>
        <v>-12.5</v>
      </c>
      <c r="R626" s="2">
        <v>-1.3</v>
      </c>
      <c r="S626" s="2">
        <v>-6.1</v>
      </c>
      <c r="T626" s="2">
        <f>+Q626-M626</f>
        <v>-7.8000000000000114</v>
      </c>
    </row>
    <row r="627" spans="1:20">
      <c r="A627" s="6">
        <v>416</v>
      </c>
      <c r="B627" t="s">
        <v>52</v>
      </c>
      <c r="C627" t="s">
        <v>33</v>
      </c>
      <c r="D627">
        <v>44</v>
      </c>
      <c r="E627">
        <v>38</v>
      </c>
      <c r="F627" s="1">
        <f>+D627/(D627+E627)</f>
        <v>0.53658536585365857</v>
      </c>
      <c r="G627" s="2">
        <v>100.7</v>
      </c>
      <c r="H627" s="2">
        <v>99.4</v>
      </c>
      <c r="I627" s="2">
        <f>+G627-H627</f>
        <v>1.2999999999999972</v>
      </c>
      <c r="J627" s="1">
        <f>+(G627^14)/((G627^14+H627^14))</f>
        <v>0.54535290258851965</v>
      </c>
      <c r="K627" s="2">
        <v>104.9</v>
      </c>
      <c r="L627" s="2">
        <v>103.6</v>
      </c>
      <c r="M627" s="2">
        <f>+K627-L627</f>
        <v>1.3000000000000114</v>
      </c>
      <c r="N627" s="1">
        <f>+F627-J627</f>
        <v>-8.7675367348610811E-3</v>
      </c>
      <c r="O627" s="2">
        <v>92.4</v>
      </c>
      <c r="P627" s="2">
        <v>99</v>
      </c>
      <c r="Q627" s="2">
        <f>+O627-P627</f>
        <v>-6.5999999999999943</v>
      </c>
      <c r="R627" s="2">
        <v>0</v>
      </c>
      <c r="S627" s="2">
        <v>-1.4</v>
      </c>
      <c r="T627" s="2">
        <f>+Q627-M627</f>
        <v>-7.9000000000000057</v>
      </c>
    </row>
    <row r="628" spans="1:20">
      <c r="A628" s="6">
        <v>345</v>
      </c>
      <c r="B628" t="s">
        <v>49</v>
      </c>
      <c r="C628" t="s">
        <v>37</v>
      </c>
      <c r="D628">
        <v>21</v>
      </c>
      <c r="E628">
        <v>45</v>
      </c>
      <c r="F628" s="1">
        <f>+D628/(D628+E628)</f>
        <v>0.31818181818181818</v>
      </c>
      <c r="G628" s="2">
        <v>89.6</v>
      </c>
      <c r="H628" s="2">
        <v>93.4</v>
      </c>
      <c r="I628" s="2">
        <f>+G628-H628</f>
        <v>-3.8000000000000114</v>
      </c>
      <c r="J628" s="1">
        <f>+(G628^14)/((G628^14+H628^14))</f>
        <v>0.35858651544032732</v>
      </c>
      <c r="K628" s="2">
        <v>99.9</v>
      </c>
      <c r="L628" s="2">
        <v>103.9</v>
      </c>
      <c r="M628" s="2">
        <f>+K628-L628</f>
        <v>-4</v>
      </c>
      <c r="N628" s="1">
        <f>+F628-J628</f>
        <v>-4.0404697258509148E-2</v>
      </c>
      <c r="O628" s="2">
        <v>93.5</v>
      </c>
      <c r="P628" s="2">
        <v>105.4</v>
      </c>
      <c r="Q628" s="2">
        <f>+O628-P628</f>
        <v>-11.900000000000006</v>
      </c>
      <c r="R628" s="2">
        <v>-0.9</v>
      </c>
      <c r="S628" s="2">
        <v>-4.7</v>
      </c>
      <c r="T628" s="2">
        <f>+Q628-M628</f>
        <v>-7.9000000000000057</v>
      </c>
    </row>
    <row r="629" spans="1:20">
      <c r="A629" s="6">
        <v>8</v>
      </c>
      <c r="B629" t="s">
        <v>4</v>
      </c>
      <c r="C629" t="s">
        <v>12</v>
      </c>
      <c r="D629">
        <v>32</v>
      </c>
      <c r="E629">
        <v>50</v>
      </c>
      <c r="F629" s="1">
        <f>+D629/(D629+E629)</f>
        <v>0.3902439024390244</v>
      </c>
      <c r="G629" s="2">
        <v>95.6</v>
      </c>
      <c r="H629" s="2">
        <v>97.3</v>
      </c>
      <c r="I629" s="2">
        <f>+G629-H629</f>
        <v>-1.7000000000000028</v>
      </c>
      <c r="J629" s="1">
        <f>+(G629^14)/((G629^14+H629^14))</f>
        <v>0.43861956554908621</v>
      </c>
      <c r="K629" s="2">
        <v>98.5</v>
      </c>
      <c r="L629" s="2">
        <v>100.3</v>
      </c>
      <c r="M629" s="2">
        <f>+K629-L629</f>
        <v>-1.7999999999999972</v>
      </c>
      <c r="N629" s="1">
        <f>+F629-J629</f>
        <v>-4.8375663110061806E-2</v>
      </c>
      <c r="O629" s="2">
        <v>91.8</v>
      </c>
      <c r="P629" s="2">
        <v>101.5</v>
      </c>
      <c r="Q629" s="2">
        <f>+O629-P629</f>
        <v>-9.7000000000000028</v>
      </c>
      <c r="R629" s="2">
        <v>-0.7</v>
      </c>
      <c r="S629" s="2">
        <v>-3.6</v>
      </c>
      <c r="T629" s="2">
        <f>+Q629-M629</f>
        <v>-7.9000000000000057</v>
      </c>
    </row>
    <row r="630" spans="1:20">
      <c r="A630" s="6">
        <v>603</v>
      </c>
      <c r="B630" t="s">
        <v>61</v>
      </c>
      <c r="C630" t="s">
        <v>10</v>
      </c>
      <c r="D630">
        <v>42</v>
      </c>
      <c r="E630">
        <v>30</v>
      </c>
      <c r="F630" s="1">
        <f>+D630/(D630+E630)</f>
        <v>0.58333333333333337</v>
      </c>
      <c r="G630" s="2">
        <v>112.4</v>
      </c>
      <c r="H630" s="2">
        <v>110.2</v>
      </c>
      <c r="I630" s="2">
        <f>+G630-H630</f>
        <v>2.2000000000000028</v>
      </c>
      <c r="J630" s="1">
        <f>+(G630^14)/((G630^14+H630^14))</f>
        <v>0.56874646032092568</v>
      </c>
      <c r="K630" s="2">
        <v>114.6</v>
      </c>
      <c r="L630" s="2">
        <v>112.3</v>
      </c>
      <c r="M630" s="2">
        <f>+K630-L630</f>
        <v>2.2999999999999972</v>
      </c>
      <c r="N630" s="1">
        <f>+F630-J630</f>
        <v>1.4586873012407686E-2</v>
      </c>
      <c r="O630" s="2">
        <v>116.3</v>
      </c>
      <c r="P630" s="2">
        <v>122</v>
      </c>
      <c r="Q630" s="2">
        <f>+O630-P630</f>
        <v>-5.7000000000000028</v>
      </c>
      <c r="R630" s="2">
        <v>-0.3</v>
      </c>
      <c r="S630" s="2">
        <v>-1.2</v>
      </c>
      <c r="T630" s="2">
        <f>+Q630-M630</f>
        <v>-8</v>
      </c>
    </row>
    <row r="631" spans="1:20">
      <c r="A631" s="6">
        <v>515</v>
      </c>
      <c r="B631" t="s">
        <v>58</v>
      </c>
      <c r="C631" t="s">
        <v>12</v>
      </c>
      <c r="D631">
        <v>39</v>
      </c>
      <c r="E631">
        <v>43</v>
      </c>
      <c r="F631" s="1">
        <f>+D631/(D631+E631)</f>
        <v>0.47560975609756095</v>
      </c>
      <c r="G631" s="2">
        <v>103.8</v>
      </c>
      <c r="H631" s="2">
        <v>103.9</v>
      </c>
      <c r="I631" s="2">
        <f>+G631-H631</f>
        <v>-0.10000000000000853</v>
      </c>
      <c r="J631" s="1">
        <f>+(G631^14)/((G631^14+H631^14))</f>
        <v>0.49662980523369954</v>
      </c>
      <c r="K631" s="2">
        <v>106.6</v>
      </c>
      <c r="L631" s="2">
        <v>106.7</v>
      </c>
      <c r="M631" s="2">
        <f>+K631-L631</f>
        <v>-0.10000000000000853</v>
      </c>
      <c r="N631" s="1">
        <f>+F631-J631</f>
        <v>-2.1020049136138585E-2</v>
      </c>
      <c r="O631" s="2">
        <v>101.4</v>
      </c>
      <c r="P631" s="2">
        <v>109.6</v>
      </c>
      <c r="Q631" s="2">
        <f>+O631-P631</f>
        <v>-8.1999999999999886</v>
      </c>
      <c r="R631" s="2">
        <v>0.8</v>
      </c>
      <c r="S631" s="2">
        <v>3.2</v>
      </c>
      <c r="T631" s="2">
        <f>+Q631-M631</f>
        <v>-8.0999999999999801</v>
      </c>
    </row>
    <row r="632" spans="1:20">
      <c r="A632" s="6">
        <v>458</v>
      </c>
      <c r="B632" t="s">
        <v>55</v>
      </c>
      <c r="C632" t="s">
        <v>15</v>
      </c>
      <c r="D632">
        <v>45</v>
      </c>
      <c r="E632">
        <v>37</v>
      </c>
      <c r="F632" s="1">
        <f>+D632/(D632+E632)</f>
        <v>0.54878048780487809</v>
      </c>
      <c r="G632" s="2">
        <v>102.2</v>
      </c>
      <c r="H632" s="2">
        <v>100.5</v>
      </c>
      <c r="I632" s="2">
        <f>+G632-H632</f>
        <v>1.7000000000000028</v>
      </c>
      <c r="J632" s="1">
        <f>+(G632^14)/((G632^14+H632^14))</f>
        <v>0.55844050126148148</v>
      </c>
      <c r="K632" s="2">
        <v>103.8</v>
      </c>
      <c r="L632" s="2">
        <v>102.2</v>
      </c>
      <c r="M632" s="2">
        <f>+K632-L632</f>
        <v>1.5999999999999943</v>
      </c>
      <c r="N632" s="1">
        <f>+F632-J632</f>
        <v>-9.6600134566033891E-3</v>
      </c>
      <c r="O632" s="2">
        <v>97.1</v>
      </c>
      <c r="P632" s="2">
        <v>103.7</v>
      </c>
      <c r="Q632" s="2">
        <f>+O632-P632</f>
        <v>-6.6000000000000085</v>
      </c>
      <c r="R632" s="2">
        <v>0.7</v>
      </c>
      <c r="S632" s="2">
        <v>4.5</v>
      </c>
      <c r="T632" s="2">
        <f>+Q632-M632</f>
        <v>-8.2000000000000028</v>
      </c>
    </row>
    <row r="633" spans="1:20">
      <c r="A633" s="6">
        <v>466</v>
      </c>
      <c r="B633" t="s">
        <v>55</v>
      </c>
      <c r="C633" t="s">
        <v>22</v>
      </c>
      <c r="D633">
        <v>32</v>
      </c>
      <c r="E633">
        <v>50</v>
      </c>
      <c r="F633" s="1">
        <f>+D633/(D633+E633)</f>
        <v>0.3902439024390244</v>
      </c>
      <c r="G633" s="2">
        <v>98.4</v>
      </c>
      <c r="H633" s="2">
        <v>101.1</v>
      </c>
      <c r="I633" s="2">
        <f>+G633-H633</f>
        <v>-2.6999999999999886</v>
      </c>
      <c r="J633" s="1">
        <f>+(G633^14)/((G633^14+H633^14))</f>
        <v>0.40637522210212157</v>
      </c>
      <c r="K633" s="2">
        <v>103.9</v>
      </c>
      <c r="L633" s="2">
        <v>106.7</v>
      </c>
      <c r="M633" s="2">
        <f>+K633-L633</f>
        <v>-2.7999999999999972</v>
      </c>
      <c r="N633" s="1">
        <f>+F633-J633</f>
        <v>-1.6131319663097166E-2</v>
      </c>
      <c r="O633" s="2">
        <v>100.9</v>
      </c>
      <c r="P633" s="2">
        <v>112</v>
      </c>
      <c r="Q633" s="2">
        <f>+O633-P633</f>
        <v>-11.099999999999994</v>
      </c>
      <c r="R633" s="2">
        <v>-2.2000000000000002</v>
      </c>
      <c r="S633" s="2">
        <v>-10.199999999999999</v>
      </c>
      <c r="T633" s="2">
        <f>+Q633-M633</f>
        <v>-8.2999999999999972</v>
      </c>
    </row>
    <row r="634" spans="1:20">
      <c r="A634" s="6">
        <v>234</v>
      </c>
      <c r="B634" t="s">
        <v>44</v>
      </c>
      <c r="C634" t="s">
        <v>30</v>
      </c>
      <c r="D634">
        <v>41</v>
      </c>
      <c r="E634">
        <v>41</v>
      </c>
      <c r="F634" s="1">
        <f>+D634/(D634+E634)</f>
        <v>0.5</v>
      </c>
      <c r="G634" s="2">
        <v>100.2</v>
      </c>
      <c r="H634" s="2">
        <v>97.3</v>
      </c>
      <c r="I634" s="2">
        <f>+G634-H634</f>
        <v>2.9000000000000057</v>
      </c>
      <c r="J634" s="1">
        <f>+(G634^14)/((G634^14+H634^14))</f>
        <v>0.6013681002055381</v>
      </c>
      <c r="K634" s="2">
        <v>108.9</v>
      </c>
      <c r="L634" s="2">
        <v>105.6</v>
      </c>
      <c r="M634" s="2">
        <f>+K634-L634</f>
        <v>3.3000000000000114</v>
      </c>
      <c r="N634" s="1">
        <f>+F634-J634</f>
        <v>-0.1013681002055381</v>
      </c>
      <c r="O634" s="2">
        <v>115.5</v>
      </c>
      <c r="P634" s="2">
        <v>120.5</v>
      </c>
      <c r="Q634" s="2">
        <f>+O634-P634</f>
        <v>-5</v>
      </c>
      <c r="R634" s="2">
        <v>0</v>
      </c>
      <c r="S634" s="2">
        <v>-0.4</v>
      </c>
      <c r="T634" s="2">
        <f>+Q634-M634</f>
        <v>-8.3000000000000114</v>
      </c>
    </row>
    <row r="635" spans="1:20">
      <c r="A635" s="6">
        <v>635</v>
      </c>
      <c r="B635" t="s">
        <v>62</v>
      </c>
      <c r="C635" t="s">
        <v>12</v>
      </c>
      <c r="D635">
        <v>23</v>
      </c>
      <c r="E635">
        <v>59</v>
      </c>
      <c r="F635" s="1">
        <f>+D635/(D635+E635)</f>
        <v>0.28048780487804881</v>
      </c>
      <c r="G635" s="2">
        <v>104.8</v>
      </c>
      <c r="H635" s="2">
        <v>112.5</v>
      </c>
      <c r="I635" s="2">
        <f>+G635-H635</f>
        <v>-7.7000000000000028</v>
      </c>
      <c r="J635" s="1">
        <f>+(G635^14)/((G635^14+H635^14))</f>
        <v>0.27040035471369911</v>
      </c>
      <c r="K635" s="2">
        <v>105.6</v>
      </c>
      <c r="L635" s="2">
        <v>113.3</v>
      </c>
      <c r="M635" s="2">
        <f>+K635-L635</f>
        <v>-7.7000000000000028</v>
      </c>
      <c r="N635" s="1">
        <f>+F635-J635</f>
        <v>1.0087450164349698E-2</v>
      </c>
      <c r="O635" s="2">
        <v>94.1</v>
      </c>
      <c r="P635" s="2">
        <v>110.3</v>
      </c>
      <c r="Q635" s="2">
        <f>+O635-P635</f>
        <v>-16.200000000000003</v>
      </c>
      <c r="R635" s="2">
        <v>-1.3</v>
      </c>
      <c r="S635" s="2">
        <v>-7</v>
      </c>
      <c r="T635" s="2">
        <f>+Q635-M635</f>
        <v>-8.5</v>
      </c>
    </row>
    <row r="636" spans="1:20">
      <c r="A636" s="6">
        <v>757</v>
      </c>
      <c r="B636" t="s">
        <v>66</v>
      </c>
      <c r="C636" t="s">
        <v>14</v>
      </c>
      <c r="D636">
        <v>39</v>
      </c>
      <c r="E636">
        <v>23</v>
      </c>
      <c r="F636" s="1">
        <f>+D636/(D636+E636)</f>
        <v>0.62903225806451613</v>
      </c>
      <c r="G636" s="2">
        <v>114.5</v>
      </c>
      <c r="H636" s="2">
        <v>109.3</v>
      </c>
      <c r="I636" s="2">
        <f>+G636-H636</f>
        <v>5.2000000000000028</v>
      </c>
      <c r="J636" s="1">
        <f>+(G636^14)/((G636^14+H636^14))</f>
        <v>0.65716773573957665</v>
      </c>
      <c r="K636" s="2">
        <v>116.8</v>
      </c>
      <c r="L636" s="2">
        <v>111.6</v>
      </c>
      <c r="M636" s="2">
        <f>+K636-L636</f>
        <v>5.2000000000000028</v>
      </c>
      <c r="N636" s="1">
        <f>+F636-J636</f>
        <v>-2.8135477675060527E-2</v>
      </c>
      <c r="O636" s="2">
        <v>114.4</v>
      </c>
      <c r="P636" s="2">
        <v>117.7</v>
      </c>
      <c r="Q636" s="2">
        <f>+O636-P636</f>
        <v>-3.2999999999999972</v>
      </c>
      <c r="R636" s="2">
        <v>-0.3</v>
      </c>
      <c r="S636" s="2">
        <v>-0.9</v>
      </c>
      <c r="T636" s="2">
        <f>+Q636-M636</f>
        <v>-8.5</v>
      </c>
    </row>
    <row r="637" spans="1:20">
      <c r="A637" s="6">
        <v>607</v>
      </c>
      <c r="B637" t="s">
        <v>61</v>
      </c>
      <c r="C637" t="s">
        <v>14</v>
      </c>
      <c r="D637">
        <v>17</v>
      </c>
      <c r="E637">
        <v>55</v>
      </c>
      <c r="F637" s="1">
        <f>+D637/(D637+E637)</f>
        <v>0.2361111111111111</v>
      </c>
      <c r="G637" s="2">
        <v>108.8</v>
      </c>
      <c r="H637" s="2">
        <v>116.7</v>
      </c>
      <c r="I637" s="2">
        <f>+G637-H637</f>
        <v>-7.9000000000000057</v>
      </c>
      <c r="J637" s="1">
        <f>+(G637^14)/((G637^14+H637^14))</f>
        <v>0.27262739354761001</v>
      </c>
      <c r="K637" s="2">
        <v>107</v>
      </c>
      <c r="L637" s="2">
        <v>114.4</v>
      </c>
      <c r="M637" s="2">
        <f>+K637-L637</f>
        <v>-7.4000000000000057</v>
      </c>
      <c r="N637" s="1">
        <f>+F637-J637</f>
        <v>-3.6516282436498904E-2</v>
      </c>
      <c r="O637" s="2">
        <v>97</v>
      </c>
      <c r="P637" s="2">
        <v>112.9</v>
      </c>
      <c r="Q637" s="2">
        <f>+O637-P637</f>
        <v>-15.900000000000006</v>
      </c>
      <c r="R637" s="2">
        <v>-1.2</v>
      </c>
      <c r="S637" s="2">
        <v>-6</v>
      </c>
      <c r="T637" s="2">
        <f>+Q637-M637</f>
        <v>-8.5</v>
      </c>
    </row>
    <row r="638" spans="1:20">
      <c r="A638" s="6">
        <v>484</v>
      </c>
      <c r="B638" t="s">
        <v>57</v>
      </c>
      <c r="C638" t="s">
        <v>11</v>
      </c>
      <c r="D638">
        <v>40</v>
      </c>
      <c r="E638">
        <v>42</v>
      </c>
      <c r="F638" s="1">
        <f>+D638/(D638+E638)</f>
        <v>0.48780487804878048</v>
      </c>
      <c r="G638" s="2">
        <v>111.7</v>
      </c>
      <c r="H638" s="2">
        <v>111.2</v>
      </c>
      <c r="I638" s="2">
        <f>+G638-H638</f>
        <v>0.5</v>
      </c>
      <c r="J638" s="1">
        <f>+(G638^14)/((G638^14+H638^14))</f>
        <v>0.51569697497834144</v>
      </c>
      <c r="K638" s="2">
        <v>112.2</v>
      </c>
      <c r="L638" s="2">
        <v>111.7</v>
      </c>
      <c r="M638" s="2">
        <f>+K638-L638</f>
        <v>0.5</v>
      </c>
      <c r="N638" s="1">
        <f>+F638-J638</f>
        <v>-2.7892096929560961E-2</v>
      </c>
      <c r="O638" s="2">
        <v>97.2</v>
      </c>
      <c r="P638" s="2">
        <v>105.3</v>
      </c>
      <c r="Q638" s="2">
        <f>+O638-P638</f>
        <v>-8.0999999999999943</v>
      </c>
      <c r="R638" s="2">
        <v>-1</v>
      </c>
      <c r="S638" s="2">
        <v>-4.8</v>
      </c>
      <c r="T638" s="2">
        <f>+Q638-M638</f>
        <v>-8.5999999999999943</v>
      </c>
    </row>
    <row r="639" spans="1:20">
      <c r="A639" s="6">
        <v>536</v>
      </c>
      <c r="B639" t="s">
        <v>58</v>
      </c>
      <c r="C639" t="s">
        <v>33</v>
      </c>
      <c r="D639">
        <v>43</v>
      </c>
      <c r="E639">
        <v>39</v>
      </c>
      <c r="F639" s="1">
        <f>+D639/(D639+E639)</f>
        <v>0.52439024390243905</v>
      </c>
      <c r="G639" s="2">
        <v>106.6</v>
      </c>
      <c r="H639" s="2">
        <v>106</v>
      </c>
      <c r="I639" s="2">
        <f>+G639-H639</f>
        <v>0.59999999999999432</v>
      </c>
      <c r="J639" s="1">
        <f>+(G639^14)/((G639^14+H639^14))</f>
        <v>0.51974518791445967</v>
      </c>
      <c r="K639" s="2">
        <v>108.1</v>
      </c>
      <c r="L639" s="2">
        <v>107.7</v>
      </c>
      <c r="M639" s="2">
        <f>+K639-L639</f>
        <v>0.39999999999999147</v>
      </c>
      <c r="N639" s="1">
        <f>+F639-J639</f>
        <v>4.645055987979374E-3</v>
      </c>
      <c r="O639" s="2">
        <v>96</v>
      </c>
      <c r="P639" s="2">
        <v>104.3</v>
      </c>
      <c r="Q639" s="2">
        <f>+O639-P639</f>
        <v>-8.2999999999999972</v>
      </c>
      <c r="R639" s="2">
        <v>-0.8</v>
      </c>
      <c r="S639" s="2">
        <v>-4.8</v>
      </c>
      <c r="T639" s="2">
        <f>+Q639-M639</f>
        <v>-8.6999999999999886</v>
      </c>
    </row>
    <row r="640" spans="1:20">
      <c r="A640" s="6">
        <v>519</v>
      </c>
      <c r="B640" t="s">
        <v>58</v>
      </c>
      <c r="C640" t="s">
        <v>56</v>
      </c>
      <c r="D640">
        <v>42</v>
      </c>
      <c r="E640">
        <v>40</v>
      </c>
      <c r="F640" s="1">
        <f>+D640/(D640+E640)</f>
        <v>0.51219512195121952</v>
      </c>
      <c r="G640" s="2">
        <v>109</v>
      </c>
      <c r="H640" s="2">
        <v>109</v>
      </c>
      <c r="I640" s="2">
        <f>+G640-H640</f>
        <v>0</v>
      </c>
      <c r="J640" s="1">
        <f>+(G640^14)/((G640^14+H640^14))</f>
        <v>0.5</v>
      </c>
      <c r="K640" s="2">
        <v>109.4</v>
      </c>
      <c r="L640" s="2">
        <v>109.2</v>
      </c>
      <c r="M640" s="2">
        <f>+K640-L640</f>
        <v>0.20000000000000284</v>
      </c>
      <c r="N640" s="1">
        <f>+F640-J640</f>
        <v>1.2195121951219523E-2</v>
      </c>
      <c r="O640" s="2">
        <v>110.5</v>
      </c>
      <c r="P640" s="2">
        <v>119.1</v>
      </c>
      <c r="Q640" s="2">
        <f>+O640-P640</f>
        <v>-8.5999999999999943</v>
      </c>
      <c r="R640" s="2">
        <v>1.5</v>
      </c>
      <c r="S640" s="2">
        <v>6.9</v>
      </c>
      <c r="T640" s="2">
        <f>+Q640-M640</f>
        <v>-8.7999999999999972</v>
      </c>
    </row>
    <row r="641" spans="1:20">
      <c r="A641" s="6">
        <v>526</v>
      </c>
      <c r="B641" t="s">
        <v>58</v>
      </c>
      <c r="C641" t="s">
        <v>22</v>
      </c>
      <c r="D641">
        <v>29</v>
      </c>
      <c r="E641">
        <v>53</v>
      </c>
      <c r="F641" s="1">
        <f>+D641/(D641+E641)</f>
        <v>0.35365853658536583</v>
      </c>
      <c r="G641" s="2">
        <v>104.5</v>
      </c>
      <c r="H641" s="2">
        <v>108</v>
      </c>
      <c r="I641" s="2">
        <f>+G641-H641</f>
        <v>-3.5</v>
      </c>
      <c r="J641" s="1">
        <f>+(G641^14)/((G641^14+H641^14))</f>
        <v>0.38669687750275528</v>
      </c>
      <c r="K641" s="2">
        <v>106.3</v>
      </c>
      <c r="L641" s="2">
        <v>109.7</v>
      </c>
      <c r="M641" s="2">
        <f>+K641-L641</f>
        <v>-3.4000000000000057</v>
      </c>
      <c r="N641" s="1">
        <f>+F641-J641</f>
        <v>-3.3038340917389442E-2</v>
      </c>
      <c r="O641" s="2">
        <v>95.8</v>
      </c>
      <c r="P641" s="2">
        <v>108</v>
      </c>
      <c r="Q641" s="2">
        <f>+O641-P641</f>
        <v>-12.200000000000003</v>
      </c>
      <c r="R641" s="2">
        <v>-1</v>
      </c>
      <c r="S641" s="2">
        <v>-5.9</v>
      </c>
      <c r="T641" s="2">
        <f>+Q641-M641</f>
        <v>-8.7999999999999972</v>
      </c>
    </row>
    <row r="642" spans="1:20">
      <c r="A642" s="6">
        <v>494</v>
      </c>
      <c r="B642" t="s">
        <v>57</v>
      </c>
      <c r="C642" t="s">
        <v>20</v>
      </c>
      <c r="D642">
        <v>31</v>
      </c>
      <c r="E642">
        <v>51</v>
      </c>
      <c r="F642" s="1">
        <f>+D642/(D642+E642)</f>
        <v>0.37804878048780488</v>
      </c>
      <c r="G642" s="2">
        <v>105.6</v>
      </c>
      <c r="H642" s="2">
        <v>106.7</v>
      </c>
      <c r="I642" s="2">
        <f>+G642-H642</f>
        <v>-1.1000000000000085</v>
      </c>
      <c r="J642" s="1">
        <f>+(G642^14)/((G642^14+H642^14))</f>
        <v>0.46379372867246205</v>
      </c>
      <c r="K642" s="2">
        <v>110</v>
      </c>
      <c r="L642" s="2">
        <v>110.9</v>
      </c>
      <c r="M642" s="2">
        <f>+K642-L642</f>
        <v>-0.90000000000000568</v>
      </c>
      <c r="N642" s="1">
        <f>+F642-J642</f>
        <v>-8.5744948184657166E-2</v>
      </c>
      <c r="O642" s="2">
        <v>95</v>
      </c>
      <c r="P642" s="2">
        <v>104.7</v>
      </c>
      <c r="Q642" s="2">
        <f>+O642-P642</f>
        <v>-9.7000000000000028</v>
      </c>
      <c r="R642" s="2">
        <v>-1.1000000000000001</v>
      </c>
      <c r="S642" s="2">
        <v>-7.2</v>
      </c>
      <c r="T642" s="2">
        <f>+Q642-M642</f>
        <v>-8.7999999999999972</v>
      </c>
    </row>
    <row r="643" spans="1:20">
      <c r="A643" s="6">
        <v>55</v>
      </c>
      <c r="B643" t="s">
        <v>34</v>
      </c>
      <c r="C643" t="s">
        <v>29</v>
      </c>
      <c r="D643">
        <v>45</v>
      </c>
      <c r="E643">
        <v>37</v>
      </c>
      <c r="F643" s="1">
        <f>+D643/(D643+E643)</f>
        <v>0.54878048780487809</v>
      </c>
      <c r="G643" s="2">
        <v>97.7</v>
      </c>
      <c r="H643" s="2">
        <v>94.7</v>
      </c>
      <c r="I643" s="2">
        <f>+G643-H643</f>
        <v>3</v>
      </c>
      <c r="J643" s="1">
        <f>+(G643^14)/((G643^14+H643^14))</f>
        <v>0.60745473911501191</v>
      </c>
      <c r="K643" s="2">
        <v>107.3</v>
      </c>
      <c r="L643" s="2">
        <v>104.1</v>
      </c>
      <c r="M643" s="2">
        <f>+K643-L643</f>
        <v>3.2000000000000028</v>
      </c>
      <c r="N643" s="1">
        <f>+F643-J643</f>
        <v>-5.8674251310133818E-2</v>
      </c>
      <c r="O643" s="2">
        <v>92.6</v>
      </c>
      <c r="P643" s="2">
        <v>98.2</v>
      </c>
      <c r="Q643" s="2">
        <f>+O643-P643</f>
        <v>-5.6000000000000085</v>
      </c>
      <c r="R643" s="2">
        <v>0.3</v>
      </c>
      <c r="S643" s="2">
        <v>1.1000000000000001</v>
      </c>
      <c r="T643" s="2">
        <f>+Q643-M643</f>
        <v>-8.8000000000000114</v>
      </c>
    </row>
    <row r="644" spans="1:20">
      <c r="A644" s="6">
        <v>121</v>
      </c>
      <c r="B644" t="s">
        <v>39</v>
      </c>
      <c r="C644" t="s">
        <v>9</v>
      </c>
      <c r="D644">
        <v>42</v>
      </c>
      <c r="E644">
        <v>40</v>
      </c>
      <c r="F644" s="1">
        <f>+D644/(D644+E644)</f>
        <v>0.51219512195121952</v>
      </c>
      <c r="G644" s="2">
        <v>96.5</v>
      </c>
      <c r="H644" s="2">
        <v>95.7</v>
      </c>
      <c r="I644" s="2">
        <f>+G644-H644</f>
        <v>0.79999999999999716</v>
      </c>
      <c r="J644" s="1">
        <f>+(G644^14)/((G644^14+H644^14))</f>
        <v>0.52910354937105664</v>
      </c>
      <c r="K644" s="2">
        <v>105.3</v>
      </c>
      <c r="L644" s="2">
        <v>104.7</v>
      </c>
      <c r="M644" s="2">
        <f>+K644-L644</f>
        <v>0.59999999999999432</v>
      </c>
      <c r="N644" s="1">
        <f>+F644-J644</f>
        <v>-1.6908427419837113E-2</v>
      </c>
      <c r="O644" s="2">
        <v>96.7</v>
      </c>
      <c r="P644" s="2">
        <v>105.1</v>
      </c>
      <c r="Q644" s="2">
        <f>+O644-P644</f>
        <v>-8.3999999999999915</v>
      </c>
      <c r="R644" s="2">
        <v>0.2</v>
      </c>
      <c r="S644" s="2">
        <v>0.5</v>
      </c>
      <c r="T644" s="2">
        <f>+Q644-M644</f>
        <v>-8.9999999999999858</v>
      </c>
    </row>
    <row r="645" spans="1:20">
      <c r="A645" s="6">
        <v>235</v>
      </c>
      <c r="B645" t="s">
        <v>44</v>
      </c>
      <c r="C645" t="s">
        <v>31</v>
      </c>
      <c r="D645">
        <v>54</v>
      </c>
      <c r="E645">
        <v>28</v>
      </c>
      <c r="F645" s="1">
        <f>+D645/(D645+E645)</f>
        <v>0.65853658536585369</v>
      </c>
      <c r="G645" s="2">
        <v>106.2</v>
      </c>
      <c r="H645" s="2">
        <v>99.3</v>
      </c>
      <c r="I645" s="2">
        <f>+G645-H645</f>
        <v>6.9000000000000057</v>
      </c>
      <c r="J645" s="1">
        <f>+(G645^14)/((G645^14+H645^14))</f>
        <v>0.71920054882030759</v>
      </c>
      <c r="K645" s="2">
        <v>112.1</v>
      </c>
      <c r="L645" s="2">
        <v>104.9</v>
      </c>
      <c r="M645" s="2">
        <f>+K645-L645</f>
        <v>7.1999999999999886</v>
      </c>
      <c r="N645" s="1">
        <f>+F645-J645</f>
        <v>-6.0663963454453906E-2</v>
      </c>
      <c r="O645" s="2">
        <v>116.3</v>
      </c>
      <c r="P645" s="2">
        <v>118.1</v>
      </c>
      <c r="Q645" s="2">
        <f>+O645-P645</f>
        <v>-1.7999999999999972</v>
      </c>
      <c r="R645" s="2">
        <v>1.5</v>
      </c>
      <c r="S645" s="2">
        <v>7.4</v>
      </c>
      <c r="T645" s="2">
        <f>+Q645-M645</f>
        <v>-8.9999999999999858</v>
      </c>
    </row>
    <row r="646" spans="1:20">
      <c r="A646" s="6">
        <v>425</v>
      </c>
      <c r="B646" t="s">
        <v>54</v>
      </c>
      <c r="C646" t="s">
        <v>12</v>
      </c>
      <c r="D646">
        <v>32</v>
      </c>
      <c r="E646">
        <v>50</v>
      </c>
      <c r="F646" s="1">
        <f>+D646/(D646+E646)</f>
        <v>0.3902439024390244</v>
      </c>
      <c r="G646" s="2">
        <v>98.5</v>
      </c>
      <c r="H646" s="2">
        <v>99.5</v>
      </c>
      <c r="I646" s="2">
        <f>+G646-H646</f>
        <v>-1</v>
      </c>
      <c r="J646" s="1">
        <f>+(G646^14)/((G646^14+H646^14))</f>
        <v>0.46470496450899657</v>
      </c>
      <c r="K646" s="2">
        <v>104.3</v>
      </c>
      <c r="L646" s="2">
        <v>105.4</v>
      </c>
      <c r="M646" s="2">
        <f>+K646-L646</f>
        <v>-1.1000000000000085</v>
      </c>
      <c r="N646" s="1">
        <f>+F646-J646</f>
        <v>-7.4461062069972161E-2</v>
      </c>
      <c r="O646" s="2">
        <v>90.2</v>
      </c>
      <c r="P646" s="2">
        <v>100.3</v>
      </c>
      <c r="Q646" s="2">
        <f>+O646-P646</f>
        <v>-10.099999999999994</v>
      </c>
      <c r="R646" s="2">
        <v>0</v>
      </c>
      <c r="S646" s="2">
        <v>-3.9</v>
      </c>
      <c r="T646" s="2">
        <f>+Q646-M646</f>
        <v>-8.9999999999999858</v>
      </c>
    </row>
    <row r="647" spans="1:20">
      <c r="A647" s="6">
        <v>208</v>
      </c>
      <c r="B647" t="s">
        <v>44</v>
      </c>
      <c r="C647" t="s">
        <v>6</v>
      </c>
      <c r="D647">
        <v>66</v>
      </c>
      <c r="E647">
        <v>16</v>
      </c>
      <c r="F647" s="1">
        <f>+D647/(D647+E647)</f>
        <v>0.80487804878048785</v>
      </c>
      <c r="G647" s="2">
        <v>100.5</v>
      </c>
      <c r="H647" s="2">
        <v>90.3</v>
      </c>
      <c r="I647" s="2">
        <f>+G647-H647</f>
        <v>10.200000000000003</v>
      </c>
      <c r="J647" s="1">
        <f>+(G647^14)/((G647^14+H647^14))</f>
        <v>0.81731836243506328</v>
      </c>
      <c r="K647" s="2">
        <v>108.8</v>
      </c>
      <c r="L647" s="2">
        <v>98.1</v>
      </c>
      <c r="M647" s="2">
        <f>+K647-L647</f>
        <v>10.700000000000003</v>
      </c>
      <c r="N647" s="1">
        <f>+F647-J647</f>
        <v>-1.244031365457543E-2</v>
      </c>
      <c r="O647" s="2">
        <v>101.4</v>
      </c>
      <c r="P647" s="2">
        <v>99.7</v>
      </c>
      <c r="Q647" s="2">
        <f>+O647-P647</f>
        <v>1.7000000000000028</v>
      </c>
      <c r="R647" s="2">
        <v>1</v>
      </c>
      <c r="S647" s="2">
        <v>7</v>
      </c>
      <c r="T647" s="2">
        <f>+Q647-M647</f>
        <v>-9</v>
      </c>
    </row>
    <row r="648" spans="1:20">
      <c r="A648" s="6">
        <v>207</v>
      </c>
      <c r="B648" t="s">
        <v>44</v>
      </c>
      <c r="C648" t="s">
        <v>5</v>
      </c>
      <c r="D648">
        <v>37</v>
      </c>
      <c r="E648">
        <v>45</v>
      </c>
      <c r="F648" s="1">
        <f>+D648/(D648+E648)</f>
        <v>0.45121951219512196</v>
      </c>
      <c r="G648" s="2">
        <v>98.2</v>
      </c>
      <c r="H648" s="2">
        <v>100</v>
      </c>
      <c r="I648" s="2">
        <f>+G648-H648</f>
        <v>-1.7999999999999972</v>
      </c>
      <c r="J648" s="1">
        <f>+(G648^14)/((G648^14+H648^14))</f>
        <v>0.43676649224387093</v>
      </c>
      <c r="K648" s="2">
        <v>105.5</v>
      </c>
      <c r="L648" s="2">
        <v>107.3</v>
      </c>
      <c r="M648" s="2">
        <f>+K648-L648</f>
        <v>-1.7999999999999972</v>
      </c>
      <c r="N648" s="1">
        <f>+F648-J648</f>
        <v>1.4453019951251034E-2</v>
      </c>
      <c r="O648" s="2">
        <v>100.3</v>
      </c>
      <c r="P648" s="2">
        <v>111.2</v>
      </c>
      <c r="Q648" s="2">
        <f>+O648-P648</f>
        <v>-10.900000000000006</v>
      </c>
      <c r="R648" s="2">
        <v>-0.1</v>
      </c>
      <c r="S648" s="2">
        <v>-0.6</v>
      </c>
      <c r="T648" s="2">
        <f>+Q648-M648</f>
        <v>-9.1000000000000085</v>
      </c>
    </row>
    <row r="649" spans="1:20">
      <c r="A649" s="6">
        <v>678</v>
      </c>
      <c r="B649" t="s">
        <v>63</v>
      </c>
      <c r="C649" t="s">
        <v>23</v>
      </c>
      <c r="D649">
        <v>34</v>
      </c>
      <c r="E649">
        <v>48</v>
      </c>
      <c r="F649" s="1">
        <f>+D649/(D649+E649)</f>
        <v>0.41463414634146339</v>
      </c>
      <c r="G649" s="2">
        <v>111.4</v>
      </c>
      <c r="H649" s="2">
        <v>114</v>
      </c>
      <c r="I649" s="2">
        <f>+G649-H649</f>
        <v>-2.5999999999999943</v>
      </c>
      <c r="J649" s="1">
        <f>+(G649^14)/((G649^14+H649^14))</f>
        <v>0.41994584859669859</v>
      </c>
      <c r="K649" s="2">
        <v>111.3</v>
      </c>
      <c r="L649" s="2">
        <v>113.7</v>
      </c>
      <c r="M649" s="2">
        <f>+K649-L649</f>
        <v>-2.4000000000000057</v>
      </c>
      <c r="N649" s="1">
        <f>+F649-J649</f>
        <v>-5.3117022552351956E-3</v>
      </c>
      <c r="O649" s="2">
        <v>109.2</v>
      </c>
      <c r="P649" s="2">
        <v>120.8</v>
      </c>
      <c r="Q649" s="2">
        <f>+O649-P649</f>
        <v>-11.599999999999994</v>
      </c>
      <c r="R649" s="2">
        <v>0.5</v>
      </c>
      <c r="S649" s="2">
        <v>2.5</v>
      </c>
      <c r="T649" s="2">
        <f>+Q649-M649</f>
        <v>-9.1999999999999886</v>
      </c>
    </row>
    <row r="650" spans="1:20">
      <c r="A650" s="6">
        <v>287</v>
      </c>
      <c r="B650" t="s">
        <v>47</v>
      </c>
      <c r="C650" t="s">
        <v>46</v>
      </c>
      <c r="D650">
        <v>50</v>
      </c>
      <c r="E650">
        <v>32</v>
      </c>
      <c r="F650" s="1">
        <f>+D650/(D650+E650)</f>
        <v>0.6097560975609756</v>
      </c>
      <c r="G650" s="2">
        <v>101.5</v>
      </c>
      <c r="H650" s="2">
        <v>98</v>
      </c>
      <c r="I650" s="2">
        <f>+G650-H650</f>
        <v>3.5</v>
      </c>
      <c r="J650" s="1">
        <f>+(G650^14)/((G650^14+H650^14))</f>
        <v>0.62040756265639296</v>
      </c>
      <c r="K650" s="2">
        <v>107</v>
      </c>
      <c r="L650" s="2">
        <v>103.5</v>
      </c>
      <c r="M650" s="2">
        <f>+K650-L650</f>
        <v>3.5</v>
      </c>
      <c r="N650" s="1">
        <f>+F650-J650</f>
        <v>-1.0651465095417367E-2</v>
      </c>
      <c r="O650" s="2">
        <v>92.3</v>
      </c>
      <c r="P650" s="2">
        <v>98</v>
      </c>
      <c r="Q650" s="2">
        <f>+O650-P650</f>
        <v>-5.7000000000000028</v>
      </c>
      <c r="R650" s="2">
        <v>-0.6</v>
      </c>
      <c r="S650" s="2">
        <v>-2.4</v>
      </c>
      <c r="T650" s="2">
        <f>+Q650-M650</f>
        <v>-9.2000000000000028</v>
      </c>
    </row>
    <row r="651" spans="1:20">
      <c r="A651" s="6">
        <v>719</v>
      </c>
      <c r="B651" t="s">
        <v>65</v>
      </c>
      <c r="C651" t="s">
        <v>51</v>
      </c>
      <c r="D651">
        <v>26</v>
      </c>
      <c r="E651">
        <v>56</v>
      </c>
      <c r="F651" s="1">
        <f>+D651/(D651+E651)</f>
        <v>0.31707317073170732</v>
      </c>
      <c r="G651" s="2">
        <v>105.1</v>
      </c>
      <c r="H651" s="2">
        <v>112.2</v>
      </c>
      <c r="I651" s="2">
        <f>+G651-H651</f>
        <v>-7.1000000000000085</v>
      </c>
      <c r="J651" s="1">
        <f>+(G651^14)/((G651^14+H651^14))</f>
        <v>0.28593897521823097</v>
      </c>
      <c r="K651" s="2">
        <v>108.1</v>
      </c>
      <c r="L651" s="2">
        <v>115.4</v>
      </c>
      <c r="M651" s="2">
        <f>+K651-L651</f>
        <v>-7.3000000000000114</v>
      </c>
      <c r="N651" s="1">
        <f>+F651-J651</f>
        <v>3.1134195513476348E-2</v>
      </c>
      <c r="O651" s="2">
        <v>100.3</v>
      </c>
      <c r="P651" s="2">
        <v>116.9</v>
      </c>
      <c r="Q651" s="2">
        <f>+O651-P651</f>
        <v>-16.600000000000009</v>
      </c>
      <c r="R651" s="2">
        <v>-1.6</v>
      </c>
      <c r="S651" s="2">
        <v>-7.5</v>
      </c>
      <c r="T651" s="2">
        <f>+Q651-M651</f>
        <v>-9.2999999999999972</v>
      </c>
    </row>
    <row r="652" spans="1:20">
      <c r="A652" s="6">
        <v>310</v>
      </c>
      <c r="B652" t="s">
        <v>48</v>
      </c>
      <c r="C652" t="s">
        <v>35</v>
      </c>
      <c r="D652">
        <v>46</v>
      </c>
      <c r="E652">
        <v>36</v>
      </c>
      <c r="F652" s="1">
        <f>+D652/(D652+E652)</f>
        <v>0.56097560975609762</v>
      </c>
      <c r="G652" s="2">
        <v>99.9</v>
      </c>
      <c r="H652" s="2">
        <v>97.6</v>
      </c>
      <c r="I652" s="2">
        <f>+G652-H652</f>
        <v>2.3000000000000114</v>
      </c>
      <c r="J652" s="1">
        <f>+(G652^14)/((G652^14+H652^14))</f>
        <v>0.58080787890560803</v>
      </c>
      <c r="K652" s="2">
        <v>107</v>
      </c>
      <c r="L652" s="2">
        <v>104.5</v>
      </c>
      <c r="M652" s="2">
        <f>+K652-L652</f>
        <v>2.5</v>
      </c>
      <c r="N652" s="1">
        <f>+F652-J652</f>
        <v>-1.9832269149510418E-2</v>
      </c>
      <c r="O652" s="2">
        <v>101.7</v>
      </c>
      <c r="P652" s="2">
        <v>108.5</v>
      </c>
      <c r="Q652" s="2">
        <f>+O652-P652</f>
        <v>-6.7999999999999972</v>
      </c>
      <c r="R652" s="2">
        <v>1</v>
      </c>
      <c r="S652" s="2">
        <v>4.5</v>
      </c>
      <c r="T652" s="2">
        <f>+Q652-M652</f>
        <v>-9.2999999999999972</v>
      </c>
    </row>
    <row r="653" spans="1:20">
      <c r="A653" s="6">
        <v>555</v>
      </c>
      <c r="B653" t="s">
        <v>59</v>
      </c>
      <c r="C653" t="s">
        <v>53</v>
      </c>
      <c r="D653">
        <v>33</v>
      </c>
      <c r="E653">
        <v>49</v>
      </c>
      <c r="F653" s="1">
        <f>+D653/(D653+E653)</f>
        <v>0.40243902439024393</v>
      </c>
      <c r="G653" s="2">
        <v>115.4</v>
      </c>
      <c r="H653" s="2">
        <v>116.8</v>
      </c>
      <c r="I653" s="2">
        <f>+G653-H653</f>
        <v>-1.3999999999999915</v>
      </c>
      <c r="J653" s="1">
        <f>+(G653^14)/((G653^14+H653^14))</f>
        <v>0.45789444917000782</v>
      </c>
      <c r="K653" s="2">
        <v>110.7</v>
      </c>
      <c r="L653" s="2">
        <v>112</v>
      </c>
      <c r="M653" s="2">
        <f>+K653-L653</f>
        <v>-1.2999999999999972</v>
      </c>
      <c r="N653" s="1">
        <f>+F653-J653</f>
        <v>-5.5455424779763896E-2</v>
      </c>
      <c r="O653" s="2">
        <v>99.4</v>
      </c>
      <c r="P653" s="2">
        <v>110</v>
      </c>
      <c r="Q653" s="2">
        <f>+O653-P653</f>
        <v>-10.599999999999994</v>
      </c>
      <c r="R653" s="2">
        <v>0.8</v>
      </c>
      <c r="S653" s="2">
        <v>3.5</v>
      </c>
      <c r="T653" s="2">
        <f>+Q653-M653</f>
        <v>-9.2999999999999972</v>
      </c>
    </row>
    <row r="654" spans="1:20">
      <c r="A654" s="6">
        <v>174</v>
      </c>
      <c r="B654" t="s">
        <v>41</v>
      </c>
      <c r="C654" t="s">
        <v>30</v>
      </c>
      <c r="D654">
        <v>27</v>
      </c>
      <c r="E654">
        <v>55</v>
      </c>
      <c r="F654" s="1">
        <f>+D654/(D654+E654)</f>
        <v>0.32926829268292684</v>
      </c>
      <c r="G654" s="2">
        <v>101.1</v>
      </c>
      <c r="H654" s="2">
        <v>104</v>
      </c>
      <c r="I654" s="2">
        <f>+G654-H654</f>
        <v>-2.9000000000000057</v>
      </c>
      <c r="J654" s="1">
        <f>+(G654^14)/((G654^14+H654^14))</f>
        <v>0.4022903946569592</v>
      </c>
      <c r="K654" s="2">
        <v>107.9</v>
      </c>
      <c r="L654" s="2">
        <v>111.2</v>
      </c>
      <c r="M654" s="2">
        <f>+K654-L654</f>
        <v>-3.2999999999999972</v>
      </c>
      <c r="N654" s="1">
        <f>+F654-J654</f>
        <v>-7.3022101974032361E-2</v>
      </c>
      <c r="O654" s="2">
        <v>101.6</v>
      </c>
      <c r="P654" s="2">
        <v>114.4</v>
      </c>
      <c r="Q654" s="2">
        <f>+O654-P654</f>
        <v>-12.800000000000011</v>
      </c>
      <c r="R654" s="2">
        <v>0.7</v>
      </c>
      <c r="S654" s="2">
        <v>2.2000000000000002</v>
      </c>
      <c r="T654" s="2">
        <f>+Q654-M654</f>
        <v>-9.5000000000000142</v>
      </c>
    </row>
    <row r="655" spans="1:20">
      <c r="A655" s="6">
        <v>490</v>
      </c>
      <c r="B655" t="s">
        <v>57</v>
      </c>
      <c r="C655" t="s">
        <v>17</v>
      </c>
      <c r="D655">
        <v>26</v>
      </c>
      <c r="E655">
        <v>56</v>
      </c>
      <c r="F655" s="1">
        <f>+D655/(D655+E655)</f>
        <v>0.31707317073170732</v>
      </c>
      <c r="G655" s="2">
        <v>104.6</v>
      </c>
      <c r="H655" s="2">
        <v>111.5</v>
      </c>
      <c r="I655" s="2">
        <f>+G655-H655</f>
        <v>-6.9000000000000057</v>
      </c>
      <c r="J655" s="1">
        <f>+(G655^14)/((G655^14+H655^14))</f>
        <v>0.29021613910677707</v>
      </c>
      <c r="K655" s="2">
        <v>105.3</v>
      </c>
      <c r="L655" s="2">
        <v>112</v>
      </c>
      <c r="M655" s="2">
        <f>+K655-L655</f>
        <v>-6.7000000000000028</v>
      </c>
      <c r="N655" s="1">
        <f>+F655-J655</f>
        <v>2.685703162493025E-2</v>
      </c>
      <c r="O655" s="2">
        <v>106.9</v>
      </c>
      <c r="P655" s="2">
        <v>123.2</v>
      </c>
      <c r="Q655" s="2">
        <f>+O655-P655</f>
        <v>-16.299999999999997</v>
      </c>
      <c r="R655" s="2">
        <v>-0.7</v>
      </c>
      <c r="S655" s="2">
        <v>-2.9</v>
      </c>
      <c r="T655" s="2">
        <f>+Q655-M655</f>
        <v>-9.5999999999999943</v>
      </c>
    </row>
    <row r="656" spans="1:20">
      <c r="A656" s="6">
        <v>524</v>
      </c>
      <c r="B656" t="s">
        <v>58</v>
      </c>
      <c r="C656" t="s">
        <v>20</v>
      </c>
      <c r="D656">
        <v>47</v>
      </c>
      <c r="E656">
        <v>35</v>
      </c>
      <c r="F656" s="1">
        <f>+D656/(D656+E656)</f>
        <v>0.57317073170731703</v>
      </c>
      <c r="G656" s="2">
        <v>109.5</v>
      </c>
      <c r="H656" s="2">
        <v>107.3</v>
      </c>
      <c r="I656" s="2">
        <f>+G656-H656</f>
        <v>2.2000000000000028</v>
      </c>
      <c r="J656" s="1">
        <f>+(G656^14)/((G656^14+H656^14))</f>
        <v>0.57056154224834466</v>
      </c>
      <c r="K656" s="2">
        <v>112.5</v>
      </c>
      <c r="L656" s="2">
        <v>110.2</v>
      </c>
      <c r="M656" s="2">
        <f>+K656-L656</f>
        <v>2.2999999999999972</v>
      </c>
      <c r="N656" s="1">
        <f>+F656-J656</f>
        <v>2.6091894589723719E-3</v>
      </c>
      <c r="O656" s="2">
        <v>107.4</v>
      </c>
      <c r="P656" s="2">
        <v>114.8</v>
      </c>
      <c r="Q656" s="2">
        <f>+O656-P656</f>
        <v>-7.3999999999999915</v>
      </c>
      <c r="R656" s="2">
        <v>-0.6</v>
      </c>
      <c r="S656" s="2">
        <v>-1.5</v>
      </c>
      <c r="T656" s="2">
        <f>+Q656-M656</f>
        <v>-9.6999999999999886</v>
      </c>
    </row>
    <row r="657" spans="1:20">
      <c r="A657" s="6">
        <v>142</v>
      </c>
      <c r="B657" t="s">
        <v>39</v>
      </c>
      <c r="C657" t="s">
        <v>28</v>
      </c>
      <c r="D657">
        <v>59</v>
      </c>
      <c r="E657">
        <v>23</v>
      </c>
      <c r="F657" s="1">
        <f>+D657/(D657+E657)</f>
        <v>0.71951219512195119</v>
      </c>
      <c r="G657" s="2">
        <v>96.2</v>
      </c>
      <c r="H657" s="2">
        <v>88.4</v>
      </c>
      <c r="I657" s="2">
        <f>+G657-H657</f>
        <v>7.7999999999999972</v>
      </c>
      <c r="J657" s="1">
        <f>+(G657^14)/((G657^14+H657^14))</f>
        <v>0.76563098176040723</v>
      </c>
      <c r="K657" s="2">
        <v>106.1</v>
      </c>
      <c r="L657" s="2">
        <v>97.8</v>
      </c>
      <c r="M657" s="2">
        <f>+K657-L657</f>
        <v>8.2999999999999972</v>
      </c>
      <c r="N657" s="1">
        <f>+F657-J657</f>
        <v>-4.6118786638456033E-2</v>
      </c>
      <c r="O657" s="2">
        <v>109.4</v>
      </c>
      <c r="P657" s="2">
        <v>110.8</v>
      </c>
      <c r="Q657" s="2">
        <f>+O657-P657</f>
        <v>-1.3999999999999915</v>
      </c>
      <c r="R657" s="2">
        <v>1.7</v>
      </c>
      <c r="S657" s="2">
        <v>9.1</v>
      </c>
      <c r="T657" s="2">
        <f>+Q657-M657</f>
        <v>-9.6999999999999886</v>
      </c>
    </row>
    <row r="658" spans="1:20">
      <c r="A658" s="6">
        <v>140</v>
      </c>
      <c r="B658" t="s">
        <v>39</v>
      </c>
      <c r="C658" t="s">
        <v>26</v>
      </c>
      <c r="D658">
        <v>27</v>
      </c>
      <c r="E658">
        <v>55</v>
      </c>
      <c r="F658" s="1">
        <f>+D658/(D658+E658)</f>
        <v>0.32926829268292684</v>
      </c>
      <c r="G658" s="2">
        <v>92.9</v>
      </c>
      <c r="H658" s="2">
        <v>96.9</v>
      </c>
      <c r="I658" s="2">
        <f>+G658-H658</f>
        <v>-4</v>
      </c>
      <c r="J658" s="1">
        <f>+(G658^14)/((G658^14+H658^14))</f>
        <v>0.35659304496257005</v>
      </c>
      <c r="K658" s="2">
        <v>101.9</v>
      </c>
      <c r="L658" s="2">
        <v>106.1</v>
      </c>
      <c r="M658" s="2">
        <f>+K658-L658</f>
        <v>-4.1999999999999886</v>
      </c>
      <c r="N658" s="1">
        <f>+F658-J658</f>
        <v>-2.7324752279643205E-2</v>
      </c>
      <c r="O658" s="2">
        <v>93.4</v>
      </c>
      <c r="P658" s="2">
        <v>107.3</v>
      </c>
      <c r="Q658" s="2">
        <f>+O658-P658</f>
        <v>-13.899999999999991</v>
      </c>
      <c r="R658" s="2">
        <v>-0.3</v>
      </c>
      <c r="S658" s="2">
        <v>-2.6</v>
      </c>
      <c r="T658" s="2">
        <f>+Q658-M658</f>
        <v>-9.7000000000000028</v>
      </c>
    </row>
    <row r="659" spans="1:20">
      <c r="A659" s="6">
        <v>112</v>
      </c>
      <c r="B659" t="s">
        <v>38</v>
      </c>
      <c r="C659" t="s">
        <v>28</v>
      </c>
      <c r="D659">
        <v>57</v>
      </c>
      <c r="E659">
        <v>25</v>
      </c>
      <c r="F659" s="1">
        <f>+D659/(D659+E659)</f>
        <v>0.69512195121951215</v>
      </c>
      <c r="G659" s="2">
        <v>91.5</v>
      </c>
      <c r="H659" s="2">
        <v>84.3</v>
      </c>
      <c r="I659" s="2">
        <f>+G659-H659</f>
        <v>7.2000000000000028</v>
      </c>
      <c r="J659" s="1">
        <f>+(G659^14)/((G659^14+H659^14))</f>
        <v>0.75903560483804922</v>
      </c>
      <c r="K659" s="2">
        <v>101</v>
      </c>
      <c r="L659" s="2">
        <v>93.1</v>
      </c>
      <c r="M659" s="2">
        <f>+K659-L659</f>
        <v>7.9000000000000057</v>
      </c>
      <c r="N659" s="1">
        <f>+F659-J659</f>
        <v>-6.391365361853707E-2</v>
      </c>
      <c r="O659" s="2">
        <v>95.1</v>
      </c>
      <c r="P659" s="2">
        <v>96.9</v>
      </c>
      <c r="Q659" s="2">
        <f>+O659-P659</f>
        <v>-1.8000000000000114</v>
      </c>
      <c r="R659" s="2">
        <v>0.4</v>
      </c>
      <c r="S659" s="2">
        <v>3.1</v>
      </c>
      <c r="T659" s="2">
        <f>+Q659-M659</f>
        <v>-9.7000000000000171</v>
      </c>
    </row>
    <row r="660" spans="1:20">
      <c r="A660" s="6">
        <v>378</v>
      </c>
      <c r="B660" t="s">
        <v>50</v>
      </c>
      <c r="C660" t="s">
        <v>23</v>
      </c>
      <c r="D660">
        <v>20</v>
      </c>
      <c r="E660">
        <v>62</v>
      </c>
      <c r="F660" s="1">
        <f>+D660/(D660+E660)</f>
        <v>0.24390243902439024</v>
      </c>
      <c r="G660" s="2">
        <v>94.1</v>
      </c>
      <c r="H660" s="2">
        <v>101.1</v>
      </c>
      <c r="I660" s="2">
        <f>+G660-H660</f>
        <v>-7</v>
      </c>
      <c r="J660" s="1">
        <f>+(G660^14)/((G660^14+H660^14))</f>
        <v>0.26805187630664556</v>
      </c>
      <c r="K660" s="2">
        <v>100.9</v>
      </c>
      <c r="L660" s="2">
        <v>108.4</v>
      </c>
      <c r="M660" s="2">
        <f>+K660-L660</f>
        <v>-7.5</v>
      </c>
      <c r="N660" s="1">
        <f>+F660-J660</f>
        <v>-2.4149437282255326E-2</v>
      </c>
      <c r="O660" s="2">
        <v>92.7</v>
      </c>
      <c r="P660" s="2">
        <v>110.1</v>
      </c>
      <c r="Q660" s="2">
        <f>+O660-P660</f>
        <v>-17.399999999999991</v>
      </c>
      <c r="R660" s="2">
        <v>-1.4</v>
      </c>
      <c r="S660" s="2">
        <v>-8</v>
      </c>
      <c r="T660" s="2">
        <f>+Q660-M660</f>
        <v>-9.8999999999999915</v>
      </c>
    </row>
    <row r="661" spans="1:20">
      <c r="A661" s="6">
        <v>479</v>
      </c>
      <c r="B661" t="s">
        <v>57</v>
      </c>
      <c r="C661" t="s">
        <v>51</v>
      </c>
      <c r="D661">
        <v>20</v>
      </c>
      <c r="E661">
        <v>62</v>
      </c>
      <c r="F661" s="1">
        <f>+D661/(D661+E661)</f>
        <v>0.24390243902439024</v>
      </c>
      <c r="G661" s="2">
        <v>105.8</v>
      </c>
      <c r="H661" s="2">
        <v>112.5</v>
      </c>
      <c r="I661" s="2">
        <f>+G661-H661</f>
        <v>-6.7000000000000028</v>
      </c>
      <c r="J661" s="1">
        <f>+(G661^14)/((G661^14+H661^14))</f>
        <v>0.29741501867468906</v>
      </c>
      <c r="K661" s="2">
        <v>103.6</v>
      </c>
      <c r="L661" s="2">
        <v>110.1</v>
      </c>
      <c r="M661" s="2">
        <f>+K661-L661</f>
        <v>-6.5</v>
      </c>
      <c r="N661" s="1">
        <f>+F661-J661</f>
        <v>-5.3512579650298819E-2</v>
      </c>
      <c r="O661" s="2">
        <v>99.7</v>
      </c>
      <c r="P661" s="2">
        <v>116.1</v>
      </c>
      <c r="Q661" s="2">
        <f>+O661-P661</f>
        <v>-16.399999999999991</v>
      </c>
      <c r="R661" s="2">
        <v>-0.7</v>
      </c>
      <c r="S661" s="2">
        <v>-5</v>
      </c>
      <c r="T661" s="2">
        <f>+Q661-M661</f>
        <v>-9.8999999999999915</v>
      </c>
    </row>
    <row r="662" spans="1:20">
      <c r="A662" s="6">
        <v>119</v>
      </c>
      <c r="B662" t="s">
        <v>39</v>
      </c>
      <c r="C662" t="s">
        <v>40</v>
      </c>
      <c r="D662">
        <v>18</v>
      </c>
      <c r="E662">
        <v>64</v>
      </c>
      <c r="F662" s="1">
        <f>+D662/(D662+E662)</f>
        <v>0.21951219512195122</v>
      </c>
      <c r="G662" s="2">
        <v>94.3</v>
      </c>
      <c r="H662" s="2">
        <v>100.2</v>
      </c>
      <c r="I662" s="2">
        <f>+G662-H662</f>
        <v>-5.9000000000000057</v>
      </c>
      <c r="J662" s="1">
        <f>+(G662^14)/((G662^14+H662^14))</f>
        <v>0.29951299978674456</v>
      </c>
      <c r="K662" s="2">
        <v>99.8</v>
      </c>
      <c r="L662" s="2">
        <v>106</v>
      </c>
      <c r="M662" s="2">
        <f>+K662-L662</f>
        <v>-6.2000000000000028</v>
      </c>
      <c r="N662" s="1">
        <f>+F662-J662</f>
        <v>-8.000080466479334E-2</v>
      </c>
      <c r="O662" s="2">
        <v>91.4</v>
      </c>
      <c r="P662" s="2">
        <v>107.5</v>
      </c>
      <c r="Q662" s="2">
        <f>+O662-P662</f>
        <v>-16.099999999999994</v>
      </c>
      <c r="R662" s="2">
        <v>-1.2</v>
      </c>
      <c r="S662" s="2">
        <v>-5.2</v>
      </c>
      <c r="T662" s="2">
        <f>+Q662-M662</f>
        <v>-9.8999999999999915</v>
      </c>
    </row>
    <row r="663" spans="1:20">
      <c r="A663" s="6">
        <v>256</v>
      </c>
      <c r="B663" t="s">
        <v>45</v>
      </c>
      <c r="C663" t="s">
        <v>22</v>
      </c>
      <c r="D663">
        <v>32</v>
      </c>
      <c r="E663">
        <v>50</v>
      </c>
      <c r="F663" s="1">
        <f>+D663/(D663+E663)</f>
        <v>0.3902439024390244</v>
      </c>
      <c r="G663" s="2">
        <v>105.2</v>
      </c>
      <c r="H663" s="2">
        <v>107.8</v>
      </c>
      <c r="I663" s="2">
        <f>+G663-H663</f>
        <v>-2.5999999999999943</v>
      </c>
      <c r="J663" s="1">
        <f>+(G663^14)/((G663^14+H663^14))</f>
        <v>0.41537205557839157</v>
      </c>
      <c r="K663" s="2">
        <v>107</v>
      </c>
      <c r="L663" s="2">
        <v>109.4</v>
      </c>
      <c r="M663" s="2">
        <f>+K663-L663</f>
        <v>-2.4000000000000057</v>
      </c>
      <c r="N663" s="1">
        <f>+F663-J663</f>
        <v>-2.5128153139367171E-2</v>
      </c>
      <c r="O663" s="2">
        <v>104.4</v>
      </c>
      <c r="P663" s="2">
        <v>116.8</v>
      </c>
      <c r="Q663" s="2">
        <f>+O663-P663</f>
        <v>-12.399999999999991</v>
      </c>
      <c r="R663" s="2">
        <v>-1.3</v>
      </c>
      <c r="S663" s="2">
        <v>-6</v>
      </c>
      <c r="T663" s="2">
        <f>+Q663-M663</f>
        <v>-9.9999999999999858</v>
      </c>
    </row>
    <row r="664" spans="1:20">
      <c r="A664" s="6">
        <v>109</v>
      </c>
      <c r="B664" t="s">
        <v>38</v>
      </c>
      <c r="C664" t="s">
        <v>25</v>
      </c>
      <c r="D664">
        <v>29</v>
      </c>
      <c r="E664">
        <v>53</v>
      </c>
      <c r="F664" s="1">
        <f>+D664/(D664+E664)</f>
        <v>0.35365853658536583</v>
      </c>
      <c r="G664" s="2">
        <v>94.2</v>
      </c>
      <c r="H664" s="2">
        <v>97.9</v>
      </c>
      <c r="I664" s="2">
        <f>+G664-H664</f>
        <v>-3.7000000000000028</v>
      </c>
      <c r="J664" s="1">
        <f>+(G664^14)/((G664^14+H664^14))</f>
        <v>0.36833434593522879</v>
      </c>
      <c r="K664" s="2">
        <v>100.3</v>
      </c>
      <c r="L664" s="2">
        <v>104.2</v>
      </c>
      <c r="M664" s="2">
        <f>+K664-L664</f>
        <v>-3.9000000000000057</v>
      </c>
      <c r="N664" s="1">
        <f>+F664-J664</f>
        <v>-1.4675809349862956E-2</v>
      </c>
      <c r="O664" s="2">
        <v>92.8</v>
      </c>
      <c r="P664" s="2">
        <v>106.8</v>
      </c>
      <c r="Q664" s="2">
        <f>+O664-P664</f>
        <v>-14</v>
      </c>
      <c r="R664" s="2">
        <v>-1.6</v>
      </c>
      <c r="S664" s="2">
        <v>-6.4</v>
      </c>
      <c r="T664" s="2">
        <f>+Q664-M664</f>
        <v>-10.099999999999994</v>
      </c>
    </row>
    <row r="665" spans="1:20">
      <c r="A665" s="6">
        <v>12</v>
      </c>
      <c r="B665" t="s">
        <v>4</v>
      </c>
      <c r="C665" t="s">
        <v>16</v>
      </c>
      <c r="D665">
        <v>31</v>
      </c>
      <c r="E665">
        <v>51</v>
      </c>
      <c r="F665" s="1">
        <f>+D665/(D665+E665)</f>
        <v>0.37804878048780488</v>
      </c>
      <c r="G665" s="2">
        <v>92.5</v>
      </c>
      <c r="H665" s="2">
        <v>95.3</v>
      </c>
      <c r="I665" s="2">
        <f>+G665-H665</f>
        <v>-2.7999999999999972</v>
      </c>
      <c r="J665" s="1">
        <f>+(G665^14)/((G665^14+H665^14))</f>
        <v>0.39711601228610965</v>
      </c>
      <c r="K665" s="2">
        <v>100.3</v>
      </c>
      <c r="L665" s="2">
        <v>103.2</v>
      </c>
      <c r="M665" s="2">
        <f>+K665-L665</f>
        <v>-2.9000000000000057</v>
      </c>
      <c r="N665" s="1">
        <f>+F665-J665</f>
        <v>-1.9067231798304773E-2</v>
      </c>
      <c r="O665" s="2">
        <v>95.7</v>
      </c>
      <c r="P665" s="2">
        <v>108.7</v>
      </c>
      <c r="Q665" s="2">
        <f>+O665-P665</f>
        <v>-13</v>
      </c>
      <c r="R665" s="2">
        <v>0.4</v>
      </c>
      <c r="S665" s="2">
        <v>3.9</v>
      </c>
      <c r="T665" s="2">
        <f>+Q665-M665</f>
        <v>-10.099999999999994</v>
      </c>
    </row>
    <row r="666" spans="1:20">
      <c r="A666" s="6">
        <v>665</v>
      </c>
      <c r="B666" t="s">
        <v>63</v>
      </c>
      <c r="C666" t="s">
        <v>12</v>
      </c>
      <c r="D666">
        <v>17</v>
      </c>
      <c r="E666">
        <v>65</v>
      </c>
      <c r="F666" s="1">
        <f>+D666/(D666+E666)</f>
        <v>0.2073170731707317</v>
      </c>
      <c r="G666" s="2">
        <v>110.3</v>
      </c>
      <c r="H666" s="2">
        <v>118.5</v>
      </c>
      <c r="I666" s="2">
        <f>+G666-H666</f>
        <v>-8.2000000000000028</v>
      </c>
      <c r="J666" s="1">
        <f>+(G666^14)/((G666^14+H666^14))</f>
        <v>0.26817012920716587</v>
      </c>
      <c r="K666" s="2">
        <v>109.9</v>
      </c>
      <c r="L666" s="2">
        <v>117.8</v>
      </c>
      <c r="M666" s="2">
        <f>+K666-L666</f>
        <v>-7.8999999999999915</v>
      </c>
      <c r="N666" s="1">
        <f>+F666-J666</f>
        <v>-6.0853056036434178E-2</v>
      </c>
      <c r="O666" s="2">
        <v>104.7</v>
      </c>
      <c r="P666" s="2">
        <v>122.7</v>
      </c>
      <c r="Q666" s="2">
        <f>+O666-P666</f>
        <v>-18</v>
      </c>
      <c r="R666" s="2">
        <v>-2.1</v>
      </c>
      <c r="S666" s="2">
        <v>-8.3000000000000007</v>
      </c>
      <c r="T666" s="2">
        <f>+Q666-M666</f>
        <v>-10.100000000000009</v>
      </c>
    </row>
    <row r="667" spans="1:20">
      <c r="A667" s="6">
        <v>216</v>
      </c>
      <c r="B667" t="s">
        <v>44</v>
      </c>
      <c r="C667" t="s">
        <v>14</v>
      </c>
      <c r="D667">
        <v>55</v>
      </c>
      <c r="E667">
        <v>27</v>
      </c>
      <c r="F667" s="1">
        <f>+D667/(D667+E667)</f>
        <v>0.67073170731707321</v>
      </c>
      <c r="G667" s="2">
        <v>96.7</v>
      </c>
      <c r="H667" s="2">
        <v>92</v>
      </c>
      <c r="I667" s="2">
        <f>+G667-H667</f>
        <v>4.7000000000000028</v>
      </c>
      <c r="J667" s="1">
        <f>+(G667^14)/((G667^14+H667^14))</f>
        <v>0.6676438096091204</v>
      </c>
      <c r="K667" s="2">
        <v>105.4</v>
      </c>
      <c r="L667" s="2">
        <v>100.5</v>
      </c>
      <c r="M667" s="2">
        <f>+K667-L667</f>
        <v>4.9000000000000057</v>
      </c>
      <c r="N667" s="1">
        <f>+F667-J667</f>
        <v>3.0878977079528136E-3</v>
      </c>
      <c r="O667" s="2">
        <v>99.2</v>
      </c>
      <c r="P667" s="2">
        <v>104.5</v>
      </c>
      <c r="Q667" s="2">
        <f>+O667-P667</f>
        <v>-5.2999999999999972</v>
      </c>
      <c r="R667" s="2">
        <v>0.1</v>
      </c>
      <c r="S667" s="2">
        <v>-0.3</v>
      </c>
      <c r="T667" s="2">
        <f>+Q667-M667</f>
        <v>-10.200000000000003</v>
      </c>
    </row>
    <row r="668" spans="1:20">
      <c r="A668" s="6">
        <v>677</v>
      </c>
      <c r="B668" t="s">
        <v>63</v>
      </c>
      <c r="C668" t="s">
        <v>46</v>
      </c>
      <c r="D668">
        <v>40</v>
      </c>
      <c r="E668">
        <v>42</v>
      </c>
      <c r="F668" s="1">
        <f>+D668/(D668+E668)</f>
        <v>0.48780487804878048</v>
      </c>
      <c r="G668" s="2">
        <v>117.5</v>
      </c>
      <c r="H668" s="2">
        <v>116.4</v>
      </c>
      <c r="I668" s="2">
        <f>+G668-H668</f>
        <v>1.0999999999999943</v>
      </c>
      <c r="J668" s="1">
        <f>+(G668^14)/((G668^14+H668^14))</f>
        <v>0.53287280670641013</v>
      </c>
      <c r="K668" s="2">
        <v>114.2</v>
      </c>
      <c r="L668" s="2">
        <v>113.2</v>
      </c>
      <c r="M668" s="2">
        <f>+K668-L668</f>
        <v>1</v>
      </c>
      <c r="N668" s="1">
        <f>+F668-J668</f>
        <v>-4.5067928657629652E-2</v>
      </c>
      <c r="O668" s="2">
        <v>97.1</v>
      </c>
      <c r="P668" s="2">
        <v>106.3</v>
      </c>
      <c r="Q668" s="2">
        <f>+O668-P668</f>
        <v>-9.2000000000000028</v>
      </c>
      <c r="R668" s="2">
        <v>-0.7</v>
      </c>
      <c r="S668" s="2">
        <v>-3</v>
      </c>
      <c r="T668" s="2">
        <f>+Q668-M668</f>
        <v>-10.200000000000003</v>
      </c>
    </row>
    <row r="669" spans="1:20">
      <c r="A669" s="6">
        <v>90</v>
      </c>
      <c r="B669" t="s">
        <v>38</v>
      </c>
      <c r="C669" t="s">
        <v>8</v>
      </c>
      <c r="D669">
        <v>23</v>
      </c>
      <c r="E669">
        <v>59</v>
      </c>
      <c r="F669" s="1">
        <f>+D669/(D669+E669)</f>
        <v>0.28048780487804881</v>
      </c>
      <c r="G669" s="2">
        <v>89.7</v>
      </c>
      <c r="H669" s="2">
        <v>96</v>
      </c>
      <c r="I669" s="2">
        <f>+G669-H669</f>
        <v>-6.2999999999999972</v>
      </c>
      <c r="J669" s="1">
        <f>+(G669^14)/((G669^14+H669^14))</f>
        <v>0.27882772823461371</v>
      </c>
      <c r="K669" s="2">
        <v>95.6</v>
      </c>
      <c r="L669" s="2">
        <v>102.1</v>
      </c>
      <c r="M669" s="2">
        <f>+K669-L669</f>
        <v>-6.5</v>
      </c>
      <c r="N669" s="1">
        <f>+F669-J669</f>
        <v>1.6600766434350933E-3</v>
      </c>
      <c r="O669" s="2">
        <v>84</v>
      </c>
      <c r="P669" s="2">
        <v>100.8</v>
      </c>
      <c r="Q669" s="2">
        <f>+O669-P669</f>
        <v>-16.799999999999997</v>
      </c>
      <c r="R669" s="2">
        <v>-2.2000000000000002</v>
      </c>
      <c r="S669" s="2">
        <v>-11.4</v>
      </c>
      <c r="T669" s="2">
        <f>+Q669-M669</f>
        <v>-10.299999999999997</v>
      </c>
    </row>
    <row r="670" spans="1:20">
      <c r="A670" s="6">
        <v>295</v>
      </c>
      <c r="B670" t="s">
        <v>47</v>
      </c>
      <c r="C670" t="s">
        <v>31</v>
      </c>
      <c r="D670">
        <v>53</v>
      </c>
      <c r="E670">
        <v>29</v>
      </c>
      <c r="F670" s="1">
        <f>+D670/(D670+E670)</f>
        <v>0.64634146341463417</v>
      </c>
      <c r="G670" s="2">
        <v>104.2</v>
      </c>
      <c r="H670" s="2">
        <v>98.9</v>
      </c>
      <c r="I670" s="2">
        <f>+G670-H670</f>
        <v>5.2999999999999972</v>
      </c>
      <c r="J670" s="1">
        <f>+(G670^14)/((G670^14+H670^14))</f>
        <v>0.67498968076198662</v>
      </c>
      <c r="K670" s="2">
        <v>109.7</v>
      </c>
      <c r="L670" s="2">
        <v>104</v>
      </c>
      <c r="M670" s="2">
        <f>+K670-L670</f>
        <v>5.7000000000000028</v>
      </c>
      <c r="N670" s="1">
        <f>+F670-J670</f>
        <v>-2.8648217347352456E-2</v>
      </c>
      <c r="O670" s="2">
        <v>105.9</v>
      </c>
      <c r="P670" s="2">
        <v>110.6</v>
      </c>
      <c r="Q670" s="2">
        <f>+O670-P670</f>
        <v>-4.6999999999999886</v>
      </c>
      <c r="R670" s="2">
        <v>1.5</v>
      </c>
      <c r="S670" s="2">
        <v>5.2</v>
      </c>
      <c r="T670" s="2">
        <f>+Q670-M670</f>
        <v>-10.399999999999991</v>
      </c>
    </row>
    <row r="671" spans="1:20">
      <c r="A671" s="6">
        <v>155</v>
      </c>
      <c r="B671" t="s">
        <v>41</v>
      </c>
      <c r="C671" t="s">
        <v>13</v>
      </c>
      <c r="D671">
        <v>34</v>
      </c>
      <c r="E671">
        <v>48</v>
      </c>
      <c r="F671" s="1">
        <f>+D671/(D671+E671)</f>
        <v>0.41463414634146339</v>
      </c>
      <c r="G671" s="2">
        <v>98.5</v>
      </c>
      <c r="H671" s="2">
        <v>99.8</v>
      </c>
      <c r="I671" s="2">
        <f>+G671-H671</f>
        <v>-1.2999999999999972</v>
      </c>
      <c r="J671" s="1">
        <f>+(G671^14)/((G671^14+H671^14))</f>
        <v>0.45423770290238813</v>
      </c>
      <c r="K671" s="2">
        <v>103.5</v>
      </c>
      <c r="L671" s="2">
        <v>104.9</v>
      </c>
      <c r="M671" s="2">
        <f>+K671-L671</f>
        <v>-1.4000000000000057</v>
      </c>
      <c r="N671" s="1">
        <f>+F671-J671</f>
        <v>-3.9603556560924735E-2</v>
      </c>
      <c r="O671" s="2">
        <v>101</v>
      </c>
      <c r="P671" s="2">
        <v>112.8</v>
      </c>
      <c r="Q671" s="2">
        <f>+O671-P671</f>
        <v>-11.799999999999997</v>
      </c>
      <c r="R671" s="2">
        <v>-0.6</v>
      </c>
      <c r="S671" s="2">
        <v>-2.7</v>
      </c>
      <c r="T671" s="2">
        <f>+Q671-M671</f>
        <v>-10.399999999999991</v>
      </c>
    </row>
    <row r="672" spans="1:20">
      <c r="A672" s="6">
        <v>217</v>
      </c>
      <c r="B672" t="s">
        <v>44</v>
      </c>
      <c r="C672" t="s">
        <v>15</v>
      </c>
      <c r="D672">
        <v>36</v>
      </c>
      <c r="E672">
        <v>46</v>
      </c>
      <c r="F672" s="1">
        <f>+D672/(D672+E672)</f>
        <v>0.43902439024390244</v>
      </c>
      <c r="G672" s="2">
        <v>104</v>
      </c>
      <c r="H672" s="2">
        <v>105.4</v>
      </c>
      <c r="I672" s="2">
        <f>+G672-H672</f>
        <v>-1.4000000000000057</v>
      </c>
      <c r="J672" s="1">
        <f>+(G672^14)/((G672^14+H672^14))</f>
        <v>0.45333512374186213</v>
      </c>
      <c r="K672" s="2">
        <v>105.1</v>
      </c>
      <c r="L672" s="2">
        <v>106.3</v>
      </c>
      <c r="M672" s="2">
        <f>+K672-L672</f>
        <v>-1.2000000000000028</v>
      </c>
      <c r="N672" s="1">
        <f>+F672-J672</f>
        <v>-1.4310733497959693E-2</v>
      </c>
      <c r="O672" s="2">
        <v>101.4</v>
      </c>
      <c r="P672" s="2">
        <v>113.1</v>
      </c>
      <c r="Q672" s="2">
        <f>+O672-P672</f>
        <v>-11.699999999999989</v>
      </c>
      <c r="R672" s="2">
        <v>0.4</v>
      </c>
      <c r="S672" s="2">
        <v>1.3</v>
      </c>
      <c r="T672" s="2">
        <f>+Q672-M672</f>
        <v>-10.499999999999986</v>
      </c>
    </row>
    <row r="673" spans="1:20">
      <c r="A673" s="6">
        <v>611</v>
      </c>
      <c r="B673" t="s">
        <v>61</v>
      </c>
      <c r="C673" t="s">
        <v>35</v>
      </c>
      <c r="D673">
        <v>38</v>
      </c>
      <c r="E673">
        <v>34</v>
      </c>
      <c r="F673" s="1">
        <f>+D673/(D673+E673)</f>
        <v>0.52777777777777779</v>
      </c>
      <c r="G673" s="2">
        <v>113.3</v>
      </c>
      <c r="H673" s="2">
        <v>112.3</v>
      </c>
      <c r="I673" s="2">
        <f>+G673-H673</f>
        <v>1</v>
      </c>
      <c r="J673" s="1">
        <f>+(G673^14)/((G673^14+H673^14))</f>
        <v>0.53098880201006593</v>
      </c>
      <c r="K673" s="2">
        <v>111.7</v>
      </c>
      <c r="L673" s="2">
        <v>110.5</v>
      </c>
      <c r="M673" s="2">
        <f>+K673-L673</f>
        <v>1.2000000000000028</v>
      </c>
      <c r="N673" s="1">
        <f>+F673-J673</f>
        <v>-3.2110242322881399E-3</v>
      </c>
      <c r="O673" s="2">
        <v>101.6</v>
      </c>
      <c r="P673" s="2">
        <v>110.9</v>
      </c>
      <c r="Q673" s="2">
        <f>+O673-P673</f>
        <v>-9.3000000000000114</v>
      </c>
      <c r="R673" s="2">
        <v>-0.2</v>
      </c>
      <c r="S673" s="2">
        <v>-1</v>
      </c>
      <c r="T673" s="2">
        <f>+Q673-M673</f>
        <v>-10.500000000000014</v>
      </c>
    </row>
    <row r="674" spans="1:20">
      <c r="A674" s="6">
        <v>653</v>
      </c>
      <c r="B674" t="s">
        <v>62</v>
      </c>
      <c r="C674" t="s">
        <v>28</v>
      </c>
      <c r="D674">
        <v>34</v>
      </c>
      <c r="E674">
        <v>48</v>
      </c>
      <c r="F674" s="1">
        <f>+D674/(D674+E674)</f>
        <v>0.41463414634146339</v>
      </c>
      <c r="G674" s="2">
        <v>113.2</v>
      </c>
      <c r="H674" s="2">
        <v>113</v>
      </c>
      <c r="I674" s="2">
        <f>+G674-H674</f>
        <v>0.20000000000000284</v>
      </c>
      <c r="J674" s="1">
        <f>+(G674^14)/((G674^14+H674^14))</f>
        <v>0.50618889860276861</v>
      </c>
      <c r="K674" s="2">
        <v>111.9</v>
      </c>
      <c r="L674" s="2">
        <v>111.7</v>
      </c>
      <c r="M674" s="2">
        <f>+K674-L674</f>
        <v>0.20000000000000284</v>
      </c>
      <c r="N674" s="1">
        <f>+F674-J674</f>
        <v>-9.1554752261305217E-2</v>
      </c>
      <c r="O674" s="2">
        <v>93.4</v>
      </c>
      <c r="P674" s="2">
        <v>103.8</v>
      </c>
      <c r="Q674" s="2">
        <f>+O674-P674</f>
        <v>-10.399999999999991</v>
      </c>
      <c r="R674" s="2">
        <v>0.7</v>
      </c>
      <c r="S674" s="2">
        <v>2.2000000000000002</v>
      </c>
      <c r="T674" s="2">
        <f>+Q674-M674</f>
        <v>-10.599999999999994</v>
      </c>
    </row>
    <row r="675" spans="1:20">
      <c r="A675" s="6">
        <v>627</v>
      </c>
      <c r="B675" t="s">
        <v>62</v>
      </c>
      <c r="C675" t="s">
        <v>5</v>
      </c>
      <c r="D675">
        <v>43</v>
      </c>
      <c r="E675">
        <v>39</v>
      </c>
      <c r="F675" s="1">
        <f>+D675/(D675+E675)</f>
        <v>0.52439024390243905</v>
      </c>
      <c r="G675" s="2">
        <v>113.9</v>
      </c>
      <c r="H675" s="2">
        <v>112.4</v>
      </c>
      <c r="I675" s="2">
        <f>+G675-H675</f>
        <v>1.5</v>
      </c>
      <c r="J675" s="1">
        <f>+(G675^14)/((G675^14+H675^14))</f>
        <v>0.54626653254094071</v>
      </c>
      <c r="K675" s="2">
        <v>115.4</v>
      </c>
      <c r="L675" s="2">
        <v>113.7</v>
      </c>
      <c r="M675" s="2">
        <f>+K675-L675</f>
        <v>1.7000000000000028</v>
      </c>
      <c r="N675" s="1">
        <f>+F675-J675</f>
        <v>-2.1876288638501662E-2</v>
      </c>
      <c r="O675" s="2">
        <v>110.5</v>
      </c>
      <c r="P675" s="2">
        <v>119.4</v>
      </c>
      <c r="Q675" s="2">
        <f>+O675-P675</f>
        <v>-8.9000000000000057</v>
      </c>
      <c r="R675" s="2">
        <v>-1.3</v>
      </c>
      <c r="S675" s="2">
        <v>-5.0999999999999996</v>
      </c>
      <c r="T675" s="2">
        <f>+Q675-M675</f>
        <v>-10.600000000000009</v>
      </c>
    </row>
    <row r="676" spans="1:20">
      <c r="A676" s="6">
        <v>95</v>
      </c>
      <c r="B676" t="s">
        <v>38</v>
      </c>
      <c r="C676" t="s">
        <v>13</v>
      </c>
      <c r="D676">
        <v>37</v>
      </c>
      <c r="E676">
        <v>45</v>
      </c>
      <c r="F676" s="1">
        <f>+D676/(D676+E676)</f>
        <v>0.45121951219512196</v>
      </c>
      <c r="G676" s="2">
        <v>93.3</v>
      </c>
      <c r="H676" s="2">
        <v>94</v>
      </c>
      <c r="I676" s="2">
        <f>+G676-H676</f>
        <v>-0.70000000000000284</v>
      </c>
      <c r="J676" s="1">
        <f>+(G676^14)/((G676^14+H676^14))</f>
        <v>0.47386248712598766</v>
      </c>
      <c r="K676" s="2">
        <v>101.5</v>
      </c>
      <c r="L676" s="2">
        <v>102.6</v>
      </c>
      <c r="M676" s="2">
        <f>+K676-L676</f>
        <v>-1.0999999999999943</v>
      </c>
      <c r="N676" s="1">
        <f>+F676-J676</f>
        <v>-2.26429749308657E-2</v>
      </c>
      <c r="O676" s="2">
        <v>90.8</v>
      </c>
      <c r="P676" s="2">
        <v>102.6</v>
      </c>
      <c r="Q676" s="2">
        <f>+O676-P676</f>
        <v>-11.799999999999997</v>
      </c>
      <c r="R676" s="2">
        <v>-0.3</v>
      </c>
      <c r="S676" s="2">
        <v>-1.7</v>
      </c>
      <c r="T676" s="2">
        <f>+Q676-M676</f>
        <v>-10.700000000000003</v>
      </c>
    </row>
    <row r="677" spans="1:20">
      <c r="A677" s="6">
        <v>68</v>
      </c>
      <c r="B677" t="s">
        <v>36</v>
      </c>
      <c r="C677" t="s">
        <v>15</v>
      </c>
      <c r="D677">
        <v>48</v>
      </c>
      <c r="E677">
        <v>34</v>
      </c>
      <c r="F677" s="1">
        <f>+D677/(D677+E677)</f>
        <v>0.58536585365853655</v>
      </c>
      <c r="G677" s="2">
        <v>96.8</v>
      </c>
      <c r="H677" s="2">
        <v>93.3</v>
      </c>
      <c r="I677" s="2">
        <f>+G677-H677</f>
        <v>3.5</v>
      </c>
      <c r="J677" s="1">
        <f>+(G677^14)/((G677^14+H677^14))</f>
        <v>0.62611280259686619</v>
      </c>
      <c r="K677" s="2">
        <v>103.2</v>
      </c>
      <c r="L677" s="2">
        <v>99.6</v>
      </c>
      <c r="M677" s="2">
        <f>+K677-L677</f>
        <v>3.6000000000000085</v>
      </c>
      <c r="N677" s="1">
        <f>+F677-J677</f>
        <v>-4.0746948938329641E-2</v>
      </c>
      <c r="O677" s="2">
        <v>90.7</v>
      </c>
      <c r="P677" s="2">
        <v>97.8</v>
      </c>
      <c r="Q677" s="2">
        <f>+O677-P677</f>
        <v>-7.0999999999999943</v>
      </c>
      <c r="R677" s="2">
        <v>-0.6</v>
      </c>
      <c r="S677" s="2">
        <v>-2.9</v>
      </c>
      <c r="T677" s="2">
        <f>+Q677-M677</f>
        <v>-10.700000000000003</v>
      </c>
    </row>
    <row r="678" spans="1:20">
      <c r="A678" s="6">
        <v>485</v>
      </c>
      <c r="B678" t="s">
        <v>57</v>
      </c>
      <c r="C678" t="s">
        <v>12</v>
      </c>
      <c r="D678">
        <v>37</v>
      </c>
      <c r="E678">
        <v>45</v>
      </c>
      <c r="F678" s="1">
        <f>+D678/(D678+E678)</f>
        <v>0.45121951219512196</v>
      </c>
      <c r="G678" s="2">
        <v>101.3</v>
      </c>
      <c r="H678" s="2">
        <v>102.5</v>
      </c>
      <c r="I678" s="2">
        <f>+G678-H678</f>
        <v>-1.2000000000000028</v>
      </c>
      <c r="J678" s="1">
        <f>+(G678^14)/((G678^14+H678^14))</f>
        <v>0.45887575520915785</v>
      </c>
      <c r="K678" s="2">
        <v>105.3</v>
      </c>
      <c r="L678" s="2">
        <v>106.7</v>
      </c>
      <c r="M678" s="2">
        <f>+K678-L678</f>
        <v>-1.4000000000000057</v>
      </c>
      <c r="N678" s="1">
        <f>+F678-J678</f>
        <v>-7.6562430140358906E-3</v>
      </c>
      <c r="O678" s="2">
        <v>100.3</v>
      </c>
      <c r="P678" s="2">
        <v>112.5</v>
      </c>
      <c r="Q678" s="2">
        <f>+O678-P678</f>
        <v>-12.200000000000003</v>
      </c>
      <c r="R678" s="2">
        <v>1.3</v>
      </c>
      <c r="S678" s="2">
        <v>3.5</v>
      </c>
      <c r="T678" s="2">
        <f>+Q678-M678</f>
        <v>-10.799999999999997</v>
      </c>
    </row>
    <row r="679" spans="1:20">
      <c r="A679" s="6">
        <v>596</v>
      </c>
      <c r="B679" t="s">
        <v>60</v>
      </c>
      <c r="C679" t="s">
        <v>33</v>
      </c>
      <c r="D679">
        <v>25</v>
      </c>
      <c r="E679">
        <v>47</v>
      </c>
      <c r="F679" s="1">
        <f>+D679/(D679+E679)</f>
        <v>0.34722222222222221</v>
      </c>
      <c r="G679" s="2">
        <v>114.4</v>
      </c>
      <c r="H679" s="2">
        <v>119.1</v>
      </c>
      <c r="I679" s="2">
        <f>+G679-H679</f>
        <v>-4.6999999999999886</v>
      </c>
      <c r="J679" s="1">
        <f>+(G679^14)/((G679^14+H679^14))</f>
        <v>0.36269789474955427</v>
      </c>
      <c r="K679" s="2">
        <v>110.2</v>
      </c>
      <c r="L679" s="2">
        <v>114.7</v>
      </c>
      <c r="M679" s="2">
        <f>+K679-L679</f>
        <v>-4.5</v>
      </c>
      <c r="N679" s="1">
        <f>+F679-J679</f>
        <v>-1.5475672527332063E-2</v>
      </c>
      <c r="O679" s="2">
        <v>104.3</v>
      </c>
      <c r="P679" s="2">
        <v>119.6</v>
      </c>
      <c r="Q679" s="2">
        <f>+O679-P679</f>
        <v>-15.299999999999997</v>
      </c>
      <c r="R679" s="2">
        <v>0.2</v>
      </c>
      <c r="S679" s="2">
        <v>-0.3</v>
      </c>
      <c r="T679" s="2">
        <f>+Q679-M679</f>
        <v>-10.799999999999997</v>
      </c>
    </row>
    <row r="680" spans="1:20">
      <c r="A680" s="6">
        <v>493</v>
      </c>
      <c r="B680" t="s">
        <v>57</v>
      </c>
      <c r="C680" t="s">
        <v>19</v>
      </c>
      <c r="D680">
        <v>42</v>
      </c>
      <c r="E680">
        <v>40</v>
      </c>
      <c r="F680" s="1">
        <f>+D680/(D680+E680)</f>
        <v>0.51219512195121952</v>
      </c>
      <c r="G680" s="2">
        <v>103.6</v>
      </c>
      <c r="H680" s="2">
        <v>103.8</v>
      </c>
      <c r="I680" s="2">
        <f>+G680-H680</f>
        <v>-0.20000000000000284</v>
      </c>
      <c r="J680" s="1">
        <f>+(G680^14)/((G680^14+H680^14))</f>
        <v>0.49325016690450357</v>
      </c>
      <c r="K680" s="2">
        <v>108.5</v>
      </c>
      <c r="L680" s="2">
        <v>108.7</v>
      </c>
      <c r="M680" s="2">
        <f>+K680-L680</f>
        <v>-0.20000000000000284</v>
      </c>
      <c r="N680" s="1">
        <f>+F680-J680</f>
        <v>1.894495504671595E-2</v>
      </c>
      <c r="O680" s="2">
        <v>88.9</v>
      </c>
      <c r="P680" s="2">
        <v>100</v>
      </c>
      <c r="Q680" s="2">
        <f>+O680-P680</f>
        <v>-11.099999999999994</v>
      </c>
      <c r="R680" s="2">
        <v>0.2</v>
      </c>
      <c r="S680" s="2">
        <v>0.8</v>
      </c>
      <c r="T680" s="2">
        <f>+Q680-M680</f>
        <v>-10.899999999999991</v>
      </c>
    </row>
    <row r="681" spans="1:20">
      <c r="A681" s="6">
        <v>633</v>
      </c>
      <c r="B681" t="s">
        <v>62</v>
      </c>
      <c r="C681" t="s">
        <v>10</v>
      </c>
      <c r="D681">
        <v>52</v>
      </c>
      <c r="E681">
        <v>30</v>
      </c>
      <c r="F681" s="1">
        <f>+D681/(D681+E681)</f>
        <v>0.63414634146341464</v>
      </c>
      <c r="G681" s="2">
        <v>108</v>
      </c>
      <c r="H681" s="2">
        <v>104.7</v>
      </c>
      <c r="I681" s="2">
        <f>+G681-H681</f>
        <v>3.2999999999999972</v>
      </c>
      <c r="J681" s="1">
        <f>+(G681^14)/((G681^14+H681^14))</f>
        <v>0.60693567293355</v>
      </c>
      <c r="K681" s="2">
        <v>112.5</v>
      </c>
      <c r="L681" s="2">
        <v>109.1</v>
      </c>
      <c r="M681" s="2">
        <f>+K681-L681</f>
        <v>3.4000000000000057</v>
      </c>
      <c r="N681" s="1">
        <f>+F681-J681</f>
        <v>2.7210668529864646E-2</v>
      </c>
      <c r="O681" s="2">
        <v>109.5</v>
      </c>
      <c r="P681" s="2">
        <v>117</v>
      </c>
      <c r="Q681" s="2">
        <f>+O681-P681</f>
        <v>-7.5</v>
      </c>
      <c r="R681" s="2">
        <v>-0.1</v>
      </c>
      <c r="S681" s="2">
        <v>-0.2</v>
      </c>
      <c r="T681" s="2">
        <f>+Q681-M681</f>
        <v>-10.900000000000006</v>
      </c>
    </row>
    <row r="682" spans="1:20">
      <c r="A682" s="6">
        <v>472</v>
      </c>
      <c r="B682" t="s">
        <v>55</v>
      </c>
      <c r="C682" t="s">
        <v>27</v>
      </c>
      <c r="D682">
        <v>33</v>
      </c>
      <c r="E682">
        <v>49</v>
      </c>
      <c r="F682" s="1">
        <f>+D682/(D682+E682)</f>
        <v>0.40243902439024393</v>
      </c>
      <c r="G682" s="2">
        <v>106.6</v>
      </c>
      <c r="H682" s="2">
        <v>109.1</v>
      </c>
      <c r="I682" s="2">
        <f>+G682-H682</f>
        <v>-2.5</v>
      </c>
      <c r="J682" s="1">
        <f>+(G682^14)/((G682^14+H682^14))</f>
        <v>0.41956987710459787</v>
      </c>
      <c r="K682" s="2">
        <v>105.3</v>
      </c>
      <c r="L682" s="2">
        <v>107.6</v>
      </c>
      <c r="M682" s="2">
        <f>+K682-L682</f>
        <v>-2.2999999999999972</v>
      </c>
      <c r="N682" s="1">
        <f>+F682-J682</f>
        <v>-1.7130852714353939E-2</v>
      </c>
      <c r="O682" s="2">
        <v>93</v>
      </c>
      <c r="P682" s="2">
        <v>106.2</v>
      </c>
      <c r="Q682" s="2">
        <f>+O682-P682</f>
        <v>-13.200000000000003</v>
      </c>
      <c r="R682" s="2">
        <v>0</v>
      </c>
      <c r="S682" s="2">
        <v>-0.5</v>
      </c>
      <c r="T682" s="2">
        <f>+Q682-M682</f>
        <v>-10.900000000000006</v>
      </c>
    </row>
    <row r="683" spans="1:20">
      <c r="A683" s="6">
        <v>344</v>
      </c>
      <c r="B683" t="s">
        <v>49</v>
      </c>
      <c r="C683" t="s">
        <v>21</v>
      </c>
      <c r="D683">
        <v>22</v>
      </c>
      <c r="E683">
        <v>44</v>
      </c>
      <c r="F683" s="1">
        <f>+D683/(D683+E683)</f>
        <v>0.33333333333333331</v>
      </c>
      <c r="G683" s="2">
        <v>93.1</v>
      </c>
      <c r="H683" s="2">
        <v>99.1</v>
      </c>
      <c r="I683" s="2">
        <f>+G683-H683</f>
        <v>-6</v>
      </c>
      <c r="J683" s="1">
        <f>+(G683^14)/((G683^14+H683^14))</f>
        <v>0.29434506272936611</v>
      </c>
      <c r="K683" s="2">
        <v>101.8</v>
      </c>
      <c r="L683" s="2">
        <v>108.1</v>
      </c>
      <c r="M683" s="2">
        <f>+K683-L683</f>
        <v>-6.2999999999999972</v>
      </c>
      <c r="N683" s="1">
        <f>+F683-J683</f>
        <v>3.8988270603967201E-2</v>
      </c>
      <c r="O683" s="2">
        <v>102.3</v>
      </c>
      <c r="P683" s="2">
        <v>119.7</v>
      </c>
      <c r="Q683" s="2">
        <f>+O683-P683</f>
        <v>-17.400000000000006</v>
      </c>
      <c r="R683" s="2">
        <v>-1.4</v>
      </c>
      <c r="S683" s="2">
        <v>-7.8</v>
      </c>
      <c r="T683" s="2">
        <f>+Q683-M683</f>
        <v>-11.100000000000009</v>
      </c>
    </row>
    <row r="684" spans="1:20">
      <c r="A684" s="6">
        <v>54</v>
      </c>
      <c r="B684" t="s">
        <v>34</v>
      </c>
      <c r="C684" t="s">
        <v>28</v>
      </c>
      <c r="D684">
        <v>58</v>
      </c>
      <c r="E684">
        <v>24</v>
      </c>
      <c r="F684" s="1">
        <f>+D684/(D684+E684)</f>
        <v>0.70731707317073167</v>
      </c>
      <c r="G684" s="2">
        <v>96.7</v>
      </c>
      <c r="H684" s="2">
        <v>90.5</v>
      </c>
      <c r="I684" s="2">
        <f>+G684-H684</f>
        <v>6.2000000000000028</v>
      </c>
      <c r="J684" s="1">
        <f>+(G684^14)/((G684^14+H684^14))</f>
        <v>0.71660634572291726</v>
      </c>
      <c r="K684" s="2">
        <v>105.4</v>
      </c>
      <c r="L684" s="2">
        <v>98.5</v>
      </c>
      <c r="M684" s="2">
        <f>+K684-L684</f>
        <v>6.9000000000000057</v>
      </c>
      <c r="N684" s="1">
        <f>+F684-J684</f>
        <v>-9.2892725521855901E-3</v>
      </c>
      <c r="O684" s="2">
        <v>92.5</v>
      </c>
      <c r="P684" s="2">
        <v>96.7</v>
      </c>
      <c r="Q684" s="2">
        <f>+O684-P684</f>
        <v>-4.2000000000000028</v>
      </c>
      <c r="R684" s="2">
        <v>0.2</v>
      </c>
      <c r="S684" s="2">
        <v>3.3</v>
      </c>
      <c r="T684" s="2">
        <f>+Q684-M684</f>
        <v>-11.100000000000009</v>
      </c>
    </row>
    <row r="685" spans="1:20">
      <c r="A685" s="6">
        <v>24</v>
      </c>
      <c r="B685" t="s">
        <v>4</v>
      </c>
      <c r="C685" t="s">
        <v>28</v>
      </c>
      <c r="D685">
        <v>58</v>
      </c>
      <c r="E685">
        <v>24</v>
      </c>
      <c r="F685" s="1">
        <f>+D685/(D685+E685)</f>
        <v>0.70731707317073167</v>
      </c>
      <c r="G685" s="2">
        <v>96.2</v>
      </c>
      <c r="H685" s="2">
        <v>88.4</v>
      </c>
      <c r="I685" s="2">
        <f>+G685-H685</f>
        <v>7.7999999999999972</v>
      </c>
      <c r="J685" s="1">
        <f>+(G685^14)/((G685^14+H685^14))</f>
        <v>0.76563098176040723</v>
      </c>
      <c r="K685" s="2">
        <v>105</v>
      </c>
      <c r="L685" s="2">
        <v>96.6</v>
      </c>
      <c r="M685" s="2">
        <f>+K685-L685</f>
        <v>8.4000000000000057</v>
      </c>
      <c r="N685" s="1">
        <f>+F685-J685</f>
        <v>-5.8313908589675556E-2</v>
      </c>
      <c r="O685" s="2">
        <v>97.7</v>
      </c>
      <c r="P685" s="2">
        <v>100.4</v>
      </c>
      <c r="Q685" s="2">
        <f>+O685-P685</f>
        <v>-2.7000000000000028</v>
      </c>
      <c r="R685" s="2">
        <v>0.9</v>
      </c>
      <c r="S685" s="2">
        <v>7.4</v>
      </c>
      <c r="T685" s="2">
        <f>+Q685-M685</f>
        <v>-11.100000000000009</v>
      </c>
    </row>
    <row r="686" spans="1:20">
      <c r="A686" s="6">
        <v>750</v>
      </c>
      <c r="B686" t="s">
        <v>66</v>
      </c>
      <c r="C686" t="s">
        <v>7</v>
      </c>
      <c r="D686">
        <v>32</v>
      </c>
      <c r="E686">
        <v>32</v>
      </c>
      <c r="F686" s="1">
        <f>+D686/(D686+E686)</f>
        <v>0.5</v>
      </c>
      <c r="G686" s="2">
        <v>116.2</v>
      </c>
      <c r="H686" s="2">
        <v>112.5</v>
      </c>
      <c r="I686" s="2">
        <f>+G686-H686</f>
        <v>3.7000000000000028</v>
      </c>
      <c r="J686" s="1">
        <f>+(G686^14)/((G686^14+H686^14))</f>
        <v>0.61136052280832021</v>
      </c>
      <c r="K686" s="2">
        <v>117.8</v>
      </c>
      <c r="L686" s="2">
        <v>114.1</v>
      </c>
      <c r="M686" s="2">
        <f>+K686-L686</f>
        <v>3.7000000000000028</v>
      </c>
      <c r="N686" s="1">
        <f>+F686-J686</f>
        <v>-0.11136052280832021</v>
      </c>
      <c r="O686" s="2">
        <v>108</v>
      </c>
      <c r="P686" s="2">
        <v>115.5</v>
      </c>
      <c r="Q686" s="2">
        <f>+O686-P686</f>
        <v>-7.5</v>
      </c>
      <c r="R686" s="2">
        <v>-0.9</v>
      </c>
      <c r="S686" s="2">
        <v>-4.9000000000000004</v>
      </c>
      <c r="T686" s="2">
        <f>+Q686-M686</f>
        <v>-11.200000000000003</v>
      </c>
    </row>
    <row r="687" spans="1:20">
      <c r="A687" s="6">
        <v>500</v>
      </c>
      <c r="B687" t="s">
        <v>57</v>
      </c>
      <c r="C687" t="s">
        <v>25</v>
      </c>
      <c r="D687">
        <v>24</v>
      </c>
      <c r="E687">
        <v>58</v>
      </c>
      <c r="F687" s="1">
        <f>+D687/(D687+E687)</f>
        <v>0.29268292682926828</v>
      </c>
      <c r="G687" s="2">
        <v>107.7</v>
      </c>
      <c r="H687" s="2">
        <v>113.3</v>
      </c>
      <c r="I687" s="2">
        <f>+G687-H687</f>
        <v>-5.5999999999999943</v>
      </c>
      <c r="J687" s="1">
        <f>+(G687^14)/((G687^14+H687^14))</f>
        <v>0.3296752595531568</v>
      </c>
      <c r="K687" s="2">
        <v>106.1</v>
      </c>
      <c r="L687" s="2">
        <v>111.3</v>
      </c>
      <c r="M687" s="2">
        <f>+K687-L687</f>
        <v>-5.2000000000000028</v>
      </c>
      <c r="N687" s="1">
        <f>+F687-J687</f>
        <v>-3.6992332723888521E-2</v>
      </c>
      <c r="O687" s="2">
        <v>103</v>
      </c>
      <c r="P687" s="2">
        <v>119.5</v>
      </c>
      <c r="Q687" s="2">
        <f>+O687-P687</f>
        <v>-16.5</v>
      </c>
      <c r="R687" s="2">
        <v>-1.5</v>
      </c>
      <c r="S687" s="2">
        <v>-7.9</v>
      </c>
      <c r="T687" s="2">
        <f>+Q687-M687</f>
        <v>-11.299999999999997</v>
      </c>
    </row>
    <row r="688" spans="1:20">
      <c r="A688" s="6">
        <v>745</v>
      </c>
      <c r="B688" t="s">
        <v>65</v>
      </c>
      <c r="C688" t="s">
        <v>31</v>
      </c>
      <c r="D688">
        <v>17</v>
      </c>
      <c r="E688">
        <v>65</v>
      </c>
      <c r="F688" s="1">
        <f>+D688/(D688+E688)</f>
        <v>0.2073170731707317</v>
      </c>
      <c r="G688" s="2">
        <v>111.9</v>
      </c>
      <c r="H688" s="2">
        <v>121.2</v>
      </c>
      <c r="I688" s="2">
        <f>+G688-H688</f>
        <v>-9.2999999999999972</v>
      </c>
      <c r="J688" s="1">
        <f>+(G688^14)/((G688^14+H688^14))</f>
        <v>0.24643622472101792</v>
      </c>
      <c r="K688" s="2">
        <v>110.2</v>
      </c>
      <c r="L688" s="2">
        <v>119.4</v>
      </c>
      <c r="M688" s="2">
        <f>+K688-L688</f>
        <v>-9.2000000000000028</v>
      </c>
      <c r="N688" s="1">
        <f>+F688-J688</f>
        <v>-3.9119151550286224E-2</v>
      </c>
      <c r="O688" s="2">
        <v>106.5</v>
      </c>
      <c r="P688" s="2">
        <v>127</v>
      </c>
      <c r="Q688" s="2">
        <f>+O688-P688</f>
        <v>-20.5</v>
      </c>
      <c r="R688" s="2">
        <v>-2</v>
      </c>
      <c r="S688" s="2">
        <v>-9.8000000000000007</v>
      </c>
      <c r="T688" s="2">
        <f>+Q688-M688</f>
        <v>-11.299999999999997</v>
      </c>
    </row>
    <row r="689" spans="1:20">
      <c r="A689" s="6">
        <v>487</v>
      </c>
      <c r="B689" t="s">
        <v>57</v>
      </c>
      <c r="C689" t="s">
        <v>14</v>
      </c>
      <c r="D689">
        <v>55</v>
      </c>
      <c r="E689">
        <v>27</v>
      </c>
      <c r="F689" s="1">
        <f>+D689/(D689+E689)</f>
        <v>0.67073170731707321</v>
      </c>
      <c r="G689" s="2">
        <v>115.3</v>
      </c>
      <c r="H689" s="2">
        <v>109.6</v>
      </c>
      <c r="I689" s="2">
        <f>+G689-H689</f>
        <v>5.7000000000000028</v>
      </c>
      <c r="J689" s="1">
        <f>+(G689^14)/((G689^14+H689^14))</f>
        <v>0.67035712884085974</v>
      </c>
      <c r="K689" s="2">
        <v>114.1</v>
      </c>
      <c r="L689" s="2">
        <v>108.4</v>
      </c>
      <c r="M689" s="2">
        <f>+K689-L689</f>
        <v>5.6999999999999886</v>
      </c>
      <c r="N689" s="1">
        <f>+F689-J689</f>
        <v>3.7457847621347184E-4</v>
      </c>
      <c r="O689" s="2">
        <v>100</v>
      </c>
      <c r="P689" s="2">
        <v>105.7</v>
      </c>
      <c r="Q689" s="2">
        <f>+O689-P689</f>
        <v>-5.7000000000000028</v>
      </c>
      <c r="R689" s="2">
        <v>-1.1000000000000001</v>
      </c>
      <c r="S689" s="2">
        <v>-3.5</v>
      </c>
      <c r="T689" s="2">
        <f>+Q689-M689</f>
        <v>-11.399999999999991</v>
      </c>
    </row>
    <row r="690" spans="1:20">
      <c r="A690" s="6">
        <v>342</v>
      </c>
      <c r="B690" t="s">
        <v>49</v>
      </c>
      <c r="C690" t="s">
        <v>19</v>
      </c>
      <c r="D690">
        <v>31</v>
      </c>
      <c r="E690">
        <v>35</v>
      </c>
      <c r="F690" s="1">
        <f>+D690/(D690+E690)</f>
        <v>0.46969696969696972</v>
      </c>
      <c r="G690" s="2">
        <v>99</v>
      </c>
      <c r="H690" s="2">
        <v>98.7</v>
      </c>
      <c r="I690" s="2">
        <f>+G690-H690</f>
        <v>0.29999999999999716</v>
      </c>
      <c r="J690" s="1">
        <f>+(G690^14)/((G690^14+H690^14))</f>
        <v>0.51062056521838828</v>
      </c>
      <c r="K690" s="2">
        <v>104.5</v>
      </c>
      <c r="L690" s="2">
        <v>104.1</v>
      </c>
      <c r="M690" s="2">
        <f>+K690-L690</f>
        <v>0.40000000000000568</v>
      </c>
      <c r="N690" s="1">
        <f>+F690-J690</f>
        <v>-4.0923595521418554E-2</v>
      </c>
      <c r="O690" s="2">
        <v>96.1</v>
      </c>
      <c r="P690" s="2">
        <v>107.1</v>
      </c>
      <c r="Q690" s="2">
        <f>+O690-P690</f>
        <v>-11</v>
      </c>
      <c r="R690" s="2">
        <v>1.1000000000000001</v>
      </c>
      <c r="S690" s="2">
        <v>4.5</v>
      </c>
      <c r="T690" s="2">
        <f>+Q690-M690</f>
        <v>-11.400000000000006</v>
      </c>
    </row>
    <row r="691" spans="1:20">
      <c r="A691" s="6">
        <v>72</v>
      </c>
      <c r="B691" t="s">
        <v>36</v>
      </c>
      <c r="C691" t="s">
        <v>18</v>
      </c>
      <c r="D691">
        <v>25</v>
      </c>
      <c r="E691">
        <v>57</v>
      </c>
      <c r="F691" s="1">
        <f>+D691/(D691+E691)</f>
        <v>0.3048780487804878</v>
      </c>
      <c r="G691" s="2">
        <v>85.6</v>
      </c>
      <c r="H691" s="2">
        <v>90.6</v>
      </c>
      <c r="I691" s="2">
        <f>+G691-H691</f>
        <v>-5</v>
      </c>
      <c r="J691" s="1">
        <f>+(G691^14)/((G691^14+H691^14))</f>
        <v>0.31114644436616246</v>
      </c>
      <c r="K691" s="2">
        <v>95.4</v>
      </c>
      <c r="L691" s="2">
        <v>101.2</v>
      </c>
      <c r="M691" s="2">
        <f>+K691-L691</f>
        <v>-5.7999999999999972</v>
      </c>
      <c r="N691" s="1">
        <f>+F691-J691</f>
        <v>-6.2683955856746576E-3</v>
      </c>
      <c r="O691" s="2">
        <v>85.2</v>
      </c>
      <c r="P691" s="2">
        <v>102.5</v>
      </c>
      <c r="Q691" s="2">
        <f>+O691-P691</f>
        <v>-17.299999999999997</v>
      </c>
      <c r="R691" s="2">
        <v>-0.9</v>
      </c>
      <c r="S691" s="2">
        <v>-5.6</v>
      </c>
      <c r="T691" s="2">
        <f>+Q691-M691</f>
        <v>-11.5</v>
      </c>
    </row>
    <row r="692" spans="1:20">
      <c r="A692" s="6">
        <v>248</v>
      </c>
      <c r="B692" t="s">
        <v>45</v>
      </c>
      <c r="C692" t="s">
        <v>16</v>
      </c>
      <c r="D692">
        <v>19</v>
      </c>
      <c r="E692">
        <v>63</v>
      </c>
      <c r="F692" s="1">
        <f>+D692/(D692+E692)</f>
        <v>0.23170731707317074</v>
      </c>
      <c r="G692" s="2">
        <v>95.1</v>
      </c>
      <c r="H692" s="2">
        <v>103.9</v>
      </c>
      <c r="I692" s="2">
        <f>+G692-H692</f>
        <v>-8.8000000000000114</v>
      </c>
      <c r="J692" s="1">
        <f>+(G692^14)/((G692^14+H692^14))</f>
        <v>0.22461027237292155</v>
      </c>
      <c r="K692" s="2">
        <v>101</v>
      </c>
      <c r="L692" s="2">
        <v>110.1</v>
      </c>
      <c r="M692" s="2">
        <f>+K692-L692</f>
        <v>-9.0999999999999943</v>
      </c>
      <c r="N692" s="1">
        <f>+F692-J692</f>
        <v>7.0970447002491888E-3</v>
      </c>
      <c r="O692" s="2">
        <v>92.9</v>
      </c>
      <c r="P692" s="2">
        <v>113.7</v>
      </c>
      <c r="Q692" s="2">
        <f>+O692-P692</f>
        <v>-20.799999999999997</v>
      </c>
      <c r="R692" s="2">
        <v>-2.2000000000000002</v>
      </c>
      <c r="S692" s="2">
        <v>-11.6</v>
      </c>
      <c r="T692" s="2">
        <f>+Q692-M692</f>
        <v>-11.700000000000003</v>
      </c>
    </row>
    <row r="693" spans="1:20">
      <c r="A693" s="6">
        <v>46</v>
      </c>
      <c r="B693" t="s">
        <v>34</v>
      </c>
      <c r="C693" t="s">
        <v>20</v>
      </c>
      <c r="D693">
        <v>50</v>
      </c>
      <c r="E693">
        <v>32</v>
      </c>
      <c r="F693" s="1">
        <f>+D693/(D693+E693)</f>
        <v>0.6097560975609756</v>
      </c>
      <c r="G693" s="2">
        <v>99.3</v>
      </c>
      <c r="H693" s="2">
        <v>96</v>
      </c>
      <c r="I693" s="2">
        <f>+G693-H693</f>
        <v>3.2999999999999972</v>
      </c>
      <c r="J693" s="1">
        <f>+(G693^14)/((G693^14+H693^14))</f>
        <v>0.6161321966292217</v>
      </c>
      <c r="K693" s="2">
        <v>107.5</v>
      </c>
      <c r="L693" s="2">
        <v>104.1</v>
      </c>
      <c r="M693" s="2">
        <f>+K693-L693</f>
        <v>3.4000000000000057</v>
      </c>
      <c r="N693" s="1">
        <f>+F693-J693</f>
        <v>-6.3760990682460994E-3</v>
      </c>
      <c r="O693" s="2">
        <v>94.3</v>
      </c>
      <c r="P693" s="2">
        <v>102.6</v>
      </c>
      <c r="Q693" s="2">
        <f>+O693-P693</f>
        <v>-8.2999999999999972</v>
      </c>
      <c r="R693" s="2">
        <v>-0.2</v>
      </c>
      <c r="S693" s="2">
        <v>-1.3</v>
      </c>
      <c r="T693" s="2">
        <f>+Q693-M693</f>
        <v>-11.700000000000003</v>
      </c>
    </row>
    <row r="694" spans="1:20">
      <c r="A694" s="6">
        <v>408</v>
      </c>
      <c r="B694" t="s">
        <v>52</v>
      </c>
      <c r="C694" t="s">
        <v>23</v>
      </c>
      <c r="D694">
        <v>23</v>
      </c>
      <c r="E694">
        <v>59</v>
      </c>
      <c r="F694" s="1">
        <f>+D694/(D694+E694)</f>
        <v>0.28048780487804881</v>
      </c>
      <c r="G694" s="2">
        <v>96.5</v>
      </c>
      <c r="H694" s="2">
        <v>102</v>
      </c>
      <c r="I694" s="2">
        <f>+G694-H694</f>
        <v>-5.5</v>
      </c>
      <c r="J694" s="1">
        <f>+(G694^14)/((G694^14+H694^14))</f>
        <v>0.31517888985534531</v>
      </c>
      <c r="K694" s="2">
        <v>101</v>
      </c>
      <c r="L694" s="2">
        <v>106.6</v>
      </c>
      <c r="M694" s="2">
        <f>+K694-L694</f>
        <v>-5.5999999999999943</v>
      </c>
      <c r="N694" s="1">
        <f>+F694-J694</f>
        <v>-3.4691084977296505E-2</v>
      </c>
      <c r="O694" s="2">
        <v>87.9</v>
      </c>
      <c r="P694" s="2">
        <v>105.2</v>
      </c>
      <c r="Q694" s="2">
        <f>+O694-P694</f>
        <v>-17.299999999999997</v>
      </c>
      <c r="R694" s="2">
        <v>-0.3</v>
      </c>
      <c r="S694" s="2">
        <v>-2.1</v>
      </c>
      <c r="T694" s="2">
        <f>+Q694-M694</f>
        <v>-11.700000000000003</v>
      </c>
    </row>
    <row r="695" spans="1:20">
      <c r="A695" s="6">
        <v>748</v>
      </c>
      <c r="B695" t="s">
        <v>66</v>
      </c>
      <c r="C695" t="s">
        <v>6</v>
      </c>
      <c r="D695">
        <v>42</v>
      </c>
      <c r="E695">
        <v>21</v>
      </c>
      <c r="F695" s="1">
        <f>+D695/(D695+E695)</f>
        <v>0.66666666666666663</v>
      </c>
      <c r="G695" s="2">
        <v>114.5</v>
      </c>
      <c r="H695" s="2">
        <v>107</v>
      </c>
      <c r="I695" s="2">
        <f>+G695-H695</f>
        <v>7.5</v>
      </c>
      <c r="J695" s="1">
        <f>+(G695^14)/((G695^14+H695^14))</f>
        <v>0.72080211390693061</v>
      </c>
      <c r="K695" s="2">
        <v>119.9</v>
      </c>
      <c r="L695" s="2">
        <v>111.7</v>
      </c>
      <c r="M695" s="2">
        <f>+K695-L695</f>
        <v>8.2000000000000028</v>
      </c>
      <c r="N695" s="1">
        <f>+F695-J695</f>
        <v>-5.4135447240263979E-2</v>
      </c>
      <c r="O695" s="2">
        <v>113.1</v>
      </c>
      <c r="P695" s="2">
        <v>116.6</v>
      </c>
      <c r="Q695" s="2">
        <f>+O695-P695</f>
        <v>-3.5</v>
      </c>
      <c r="R695" s="2">
        <v>1.2</v>
      </c>
      <c r="S695" s="2">
        <v>4.7</v>
      </c>
      <c r="T695" s="2">
        <f>+Q695-M695</f>
        <v>-11.700000000000003</v>
      </c>
    </row>
    <row r="696" spans="1:20">
      <c r="A696" s="6">
        <v>725</v>
      </c>
      <c r="B696" t="s">
        <v>65</v>
      </c>
      <c r="C696" t="s">
        <v>12</v>
      </c>
      <c r="D696">
        <v>44</v>
      </c>
      <c r="E696">
        <v>38</v>
      </c>
      <c r="F696" s="1">
        <f>+D696/(D696+E696)</f>
        <v>0.53658536585365857</v>
      </c>
      <c r="G696" s="2">
        <v>115.5</v>
      </c>
      <c r="H696" s="2">
        <v>113.6</v>
      </c>
      <c r="I696" s="2">
        <f>+G696-H696</f>
        <v>1.9000000000000057</v>
      </c>
      <c r="J696" s="1">
        <f>+(G696^14)/((G696^14+H696^14))</f>
        <v>0.55779509756392176</v>
      </c>
      <c r="K696" s="2">
        <v>114.6</v>
      </c>
      <c r="L696" s="2">
        <v>112.5</v>
      </c>
      <c r="M696" s="2">
        <f>+K696-L696</f>
        <v>2.0999999999999943</v>
      </c>
      <c r="N696" s="1">
        <f>+F696-J696</f>
        <v>-2.1209731710263191E-2</v>
      </c>
      <c r="O696" s="2">
        <v>107.4</v>
      </c>
      <c r="P696" s="2">
        <v>117.1</v>
      </c>
      <c r="Q696" s="2">
        <f>+O696-P696</f>
        <v>-9.6999999999999886</v>
      </c>
      <c r="R696" s="2">
        <v>0.3</v>
      </c>
      <c r="S696" s="2">
        <v>1.1000000000000001</v>
      </c>
      <c r="T696" s="2">
        <f>+Q696-M696</f>
        <v>-11.799999999999983</v>
      </c>
    </row>
    <row r="697" spans="1:20">
      <c r="A697" s="6">
        <v>19</v>
      </c>
      <c r="B697" t="s">
        <v>4</v>
      </c>
      <c r="C697" t="s">
        <v>23</v>
      </c>
      <c r="D697">
        <v>43</v>
      </c>
      <c r="E697">
        <v>39</v>
      </c>
      <c r="F697" s="1">
        <f>+D697/(D697+E697)</f>
        <v>0.52439024390243905</v>
      </c>
      <c r="G697" s="2">
        <v>97.5</v>
      </c>
      <c r="H697" s="2">
        <v>96.5</v>
      </c>
      <c r="I697" s="2">
        <f>+G697-H697</f>
        <v>1</v>
      </c>
      <c r="J697" s="1">
        <f>+(G697^14)/((G697^14+H697^14))</f>
        <v>0.5360202858252715</v>
      </c>
      <c r="K697" s="2">
        <v>102.1</v>
      </c>
      <c r="L697" s="2">
        <v>101.1</v>
      </c>
      <c r="M697" s="2">
        <f>+K697-L697</f>
        <v>1</v>
      </c>
      <c r="N697" s="1">
        <f>+F697-J697</f>
        <v>-1.1630041922832457E-2</v>
      </c>
      <c r="O697" s="2">
        <v>93.5</v>
      </c>
      <c r="P697" s="2">
        <v>104.3</v>
      </c>
      <c r="Q697" s="2">
        <f>+O697-P697</f>
        <v>-10.799999999999997</v>
      </c>
      <c r="R697" s="2">
        <v>-0.6</v>
      </c>
      <c r="S697" s="2">
        <v>-3.5</v>
      </c>
      <c r="T697" s="2">
        <f>+Q697-M697</f>
        <v>-11.799999999999997</v>
      </c>
    </row>
    <row r="698" spans="1:20">
      <c r="A698" s="6">
        <v>554</v>
      </c>
      <c r="B698" t="s">
        <v>59</v>
      </c>
      <c r="C698" t="s">
        <v>20</v>
      </c>
      <c r="D698">
        <v>36</v>
      </c>
      <c r="E698">
        <v>46</v>
      </c>
      <c r="F698" s="1">
        <f>+D698/(D698+E698)</f>
        <v>0.43902439024390244</v>
      </c>
      <c r="G698" s="2">
        <v>112.5</v>
      </c>
      <c r="H698" s="2">
        <v>114</v>
      </c>
      <c r="I698" s="2">
        <f>+G698-H698</f>
        <v>-1.5</v>
      </c>
      <c r="J698" s="1">
        <f>+(G698^14)/((G698^14+H698^14))</f>
        <v>0.45377408880323472</v>
      </c>
      <c r="K698" s="2">
        <v>110.6</v>
      </c>
      <c r="L698" s="2">
        <v>112.2</v>
      </c>
      <c r="M698" s="2">
        <f>+K698-L698</f>
        <v>-1.6000000000000085</v>
      </c>
      <c r="N698" s="1">
        <f>+F698-J698</f>
        <v>-1.474969855933228E-2</v>
      </c>
      <c r="O698" s="2">
        <v>100</v>
      </c>
      <c r="P698" s="2">
        <v>113.4</v>
      </c>
      <c r="Q698" s="2">
        <f>+O698-P698</f>
        <v>-13.400000000000006</v>
      </c>
      <c r="R698" s="2">
        <v>-1.2</v>
      </c>
      <c r="S698" s="2">
        <v>-5.3</v>
      </c>
      <c r="T698" s="2">
        <f>+Q698-M698</f>
        <v>-11.799999999999997</v>
      </c>
    </row>
    <row r="699" spans="1:20">
      <c r="A699" s="6">
        <v>135</v>
      </c>
      <c r="B699" t="s">
        <v>39</v>
      </c>
      <c r="C699" t="s">
        <v>37</v>
      </c>
      <c r="D699">
        <v>18</v>
      </c>
      <c r="E699">
        <v>64</v>
      </c>
      <c r="F699" s="1">
        <f>+D699/(D699+E699)</f>
        <v>0.21951219512195122</v>
      </c>
      <c r="G699" s="2">
        <v>88.4</v>
      </c>
      <c r="H699" s="2">
        <v>95.5</v>
      </c>
      <c r="I699" s="2">
        <f>+G699-H699</f>
        <v>-7.0999999999999943</v>
      </c>
      <c r="J699" s="1">
        <f>+(G699^14)/((G699^14+H699^14))</f>
        <v>0.25321093551837054</v>
      </c>
      <c r="K699" s="2">
        <v>98.2</v>
      </c>
      <c r="L699" s="2">
        <v>105.9</v>
      </c>
      <c r="M699" s="2">
        <f>+K699-L699</f>
        <v>-7.7000000000000028</v>
      </c>
      <c r="N699" s="1">
        <f>+F699-J699</f>
        <v>-3.3698740396419319E-2</v>
      </c>
      <c r="O699" s="2">
        <v>88</v>
      </c>
      <c r="P699" s="2">
        <v>107.5</v>
      </c>
      <c r="Q699" s="2">
        <f>+O699-P699</f>
        <v>-19.5</v>
      </c>
      <c r="R699" s="2">
        <v>-0.1</v>
      </c>
      <c r="S699" s="2">
        <v>-4.3</v>
      </c>
      <c r="T699" s="2">
        <f>+Q699-M699</f>
        <v>-11.799999999999997</v>
      </c>
    </row>
    <row r="700" spans="1:20">
      <c r="A700" s="6">
        <v>492</v>
      </c>
      <c r="B700" t="s">
        <v>57</v>
      </c>
      <c r="C700" t="s">
        <v>18</v>
      </c>
      <c r="D700">
        <v>41</v>
      </c>
      <c r="E700">
        <v>41</v>
      </c>
      <c r="F700" s="1">
        <f>+D700/(D700+E700)</f>
        <v>0.5</v>
      </c>
      <c r="G700" s="2">
        <v>103.2</v>
      </c>
      <c r="H700" s="2">
        <v>102.1</v>
      </c>
      <c r="I700" s="2">
        <f>+G700-H700</f>
        <v>1.1000000000000085</v>
      </c>
      <c r="J700" s="1">
        <f>+(G700^14)/((G700^14+H700^14))</f>
        <v>0.53743625677450491</v>
      </c>
      <c r="K700" s="2">
        <v>107.4</v>
      </c>
      <c r="L700" s="2">
        <v>106.4</v>
      </c>
      <c r="M700" s="2">
        <f>+K700-L700</f>
        <v>1</v>
      </c>
      <c r="N700" s="1">
        <f>+F700-J700</f>
        <v>-3.7436256774504906E-2</v>
      </c>
      <c r="O700" s="2">
        <v>96.4</v>
      </c>
      <c r="P700" s="2">
        <v>107.3</v>
      </c>
      <c r="Q700" s="2">
        <f>+O700-P700</f>
        <v>-10.899999999999991</v>
      </c>
      <c r="R700" s="2">
        <v>1</v>
      </c>
      <c r="S700" s="2">
        <v>3.5</v>
      </c>
      <c r="T700" s="2">
        <f>+Q700-M700</f>
        <v>-11.899999999999991</v>
      </c>
    </row>
    <row r="701" spans="1:20">
      <c r="A701" s="6">
        <v>319</v>
      </c>
      <c r="B701" t="s">
        <v>48</v>
      </c>
      <c r="C701" t="s">
        <v>24</v>
      </c>
      <c r="D701">
        <v>41</v>
      </c>
      <c r="E701">
        <v>41</v>
      </c>
      <c r="F701" s="1">
        <f>+D701/(D701+E701)</f>
        <v>0.5</v>
      </c>
      <c r="G701" s="2">
        <v>99</v>
      </c>
      <c r="H701" s="2">
        <v>97.5</v>
      </c>
      <c r="I701" s="2">
        <f>+G701-H701</f>
        <v>1.5</v>
      </c>
      <c r="J701" s="1">
        <f>+(G701^14)/((G701^14+H701^14))</f>
        <v>0.55323363393409675</v>
      </c>
      <c r="K701" s="2">
        <v>105.3</v>
      </c>
      <c r="L701" s="2">
        <v>103.8</v>
      </c>
      <c r="M701" s="2">
        <f>+K701-L701</f>
        <v>1.5</v>
      </c>
      <c r="N701" s="1">
        <f>+F701-J701</f>
        <v>-5.3233633934096747E-2</v>
      </c>
      <c r="O701" s="2">
        <v>97.2</v>
      </c>
      <c r="P701" s="2">
        <v>107.6</v>
      </c>
      <c r="Q701" s="2">
        <f>+O701-P701</f>
        <v>-10.399999999999991</v>
      </c>
      <c r="R701" s="2">
        <v>0.3</v>
      </c>
      <c r="S701" s="2">
        <v>1.6</v>
      </c>
      <c r="T701" s="2">
        <f>+Q701-M701</f>
        <v>-11.899999999999991</v>
      </c>
    </row>
    <row r="702" spans="1:20">
      <c r="A702" s="6">
        <v>88</v>
      </c>
      <c r="B702" t="s">
        <v>38</v>
      </c>
      <c r="C702" t="s">
        <v>5</v>
      </c>
      <c r="D702">
        <v>28</v>
      </c>
      <c r="E702">
        <v>54</v>
      </c>
      <c r="F702" s="1">
        <f>+D702/(D702+E702)</f>
        <v>0.34146341463414637</v>
      </c>
      <c r="G702" s="2">
        <v>92.8</v>
      </c>
      <c r="H702" s="2">
        <v>97.5</v>
      </c>
      <c r="I702" s="2">
        <f>+G702-H702</f>
        <v>-4.7000000000000028</v>
      </c>
      <c r="J702" s="1">
        <f>+(G702^14)/((G702^14+H702^14))</f>
        <v>0.33365937867276591</v>
      </c>
      <c r="K702" s="2">
        <v>99.1</v>
      </c>
      <c r="L702" s="2">
        <v>103.9</v>
      </c>
      <c r="M702" s="2">
        <f>+K702-L702</f>
        <v>-4.8000000000000114</v>
      </c>
      <c r="N702" s="1">
        <f>+F702-J702</f>
        <v>7.8040359613804622E-3</v>
      </c>
      <c r="O702" s="2">
        <v>89.9</v>
      </c>
      <c r="P702" s="2">
        <v>106.7</v>
      </c>
      <c r="Q702" s="2">
        <f>+O702-P702</f>
        <v>-16.799999999999997</v>
      </c>
      <c r="R702" s="2">
        <v>-1.9</v>
      </c>
      <c r="S702" s="2">
        <v>-8</v>
      </c>
      <c r="T702" s="2">
        <f>+Q702-M702</f>
        <v>-11.999999999999986</v>
      </c>
    </row>
    <row r="703" spans="1:20">
      <c r="A703" s="6">
        <v>1</v>
      </c>
      <c r="B703" t="s">
        <v>4</v>
      </c>
      <c r="C703" t="s">
        <v>5</v>
      </c>
      <c r="D703">
        <v>25</v>
      </c>
      <c r="E703">
        <v>57</v>
      </c>
      <c r="F703" s="1">
        <f>+D703/(D703+E703)</f>
        <v>0.3048780487804878</v>
      </c>
      <c r="G703" s="2">
        <v>91</v>
      </c>
      <c r="H703" s="2">
        <v>96.2</v>
      </c>
      <c r="I703" s="2">
        <f>+G703-H703</f>
        <v>-5.2000000000000028</v>
      </c>
      <c r="J703" s="1">
        <f>+(G703^14)/((G703^14+H703^14))</f>
        <v>0.31475585496453756</v>
      </c>
      <c r="K703" s="2">
        <v>96.9</v>
      </c>
      <c r="L703" s="2">
        <v>102.4</v>
      </c>
      <c r="M703" s="2">
        <f>+K703-L703</f>
        <v>-5.5</v>
      </c>
      <c r="N703" s="1">
        <f>+F703-J703</f>
        <v>-9.8778061840497644E-3</v>
      </c>
      <c r="O703" s="2">
        <v>87</v>
      </c>
      <c r="P703" s="2">
        <v>104.5</v>
      </c>
      <c r="Q703" s="2">
        <f>+O703-P703</f>
        <v>-17.5</v>
      </c>
      <c r="R703" s="2">
        <v>-0.9</v>
      </c>
      <c r="S703" s="2">
        <v>-7.4</v>
      </c>
      <c r="T703" s="2">
        <f>+Q703-M703</f>
        <v>-12</v>
      </c>
    </row>
    <row r="704" spans="1:20">
      <c r="A704" s="6">
        <v>206</v>
      </c>
      <c r="B704" t="s">
        <v>43</v>
      </c>
      <c r="C704" t="s">
        <v>33</v>
      </c>
      <c r="D704">
        <v>41</v>
      </c>
      <c r="E704">
        <v>41</v>
      </c>
      <c r="F704" s="1">
        <f>+D704/(D704+E704)</f>
        <v>0.5</v>
      </c>
      <c r="G704" s="2">
        <v>104.3</v>
      </c>
      <c r="H704" s="2">
        <v>104.9</v>
      </c>
      <c r="I704" s="2">
        <f>+G704-H704</f>
        <v>-0.60000000000000853</v>
      </c>
      <c r="J704" s="1">
        <f>+(G704^14)/((G704^14+H704^14))</f>
        <v>0.47993424575681876</v>
      </c>
      <c r="K704" s="2">
        <v>108.7</v>
      </c>
      <c r="L704" s="2">
        <v>109.1</v>
      </c>
      <c r="M704" s="2">
        <f>+K704-L704</f>
        <v>-0.39999999999999147</v>
      </c>
      <c r="N704" s="1">
        <f>+F704-J704</f>
        <v>2.0065754243181244E-2</v>
      </c>
      <c r="O704" s="2">
        <v>102.3</v>
      </c>
      <c r="P704" s="2">
        <v>114.7</v>
      </c>
      <c r="Q704" s="2">
        <f>+O704-P704</f>
        <v>-12.400000000000006</v>
      </c>
      <c r="R704" s="2">
        <v>-1.4</v>
      </c>
      <c r="S704" s="2">
        <v>-7.2</v>
      </c>
      <c r="T704" s="2">
        <f>+Q704-M704</f>
        <v>-12.000000000000014</v>
      </c>
    </row>
    <row r="705" spans="1:20">
      <c r="A705" s="6">
        <v>292</v>
      </c>
      <c r="B705" t="s">
        <v>47</v>
      </c>
      <c r="C705" t="s">
        <v>27</v>
      </c>
      <c r="D705">
        <v>25</v>
      </c>
      <c r="E705">
        <v>57</v>
      </c>
      <c r="F705" s="1">
        <f>+D705/(D705+E705)</f>
        <v>0.3048780487804878</v>
      </c>
      <c r="G705" s="2">
        <v>100</v>
      </c>
      <c r="H705" s="2">
        <v>104.4</v>
      </c>
      <c r="I705" s="2">
        <f>+G705-H705</f>
        <v>-4.4000000000000057</v>
      </c>
      <c r="J705" s="1">
        <f>+(G705^14)/((G705^14+H705^14))</f>
        <v>0.35369584952753241</v>
      </c>
      <c r="K705" s="2">
        <v>104.4</v>
      </c>
      <c r="L705" s="2">
        <v>109.1</v>
      </c>
      <c r="M705" s="2">
        <f>+K705-L705</f>
        <v>-4.6999999999999886</v>
      </c>
      <c r="N705" s="1">
        <f>+F705-J705</f>
        <v>-4.8817800747044615E-2</v>
      </c>
      <c r="O705" s="2">
        <v>98.1</v>
      </c>
      <c r="P705" s="2">
        <v>114.8</v>
      </c>
      <c r="Q705" s="2">
        <f>+O705-P705</f>
        <v>-16.700000000000003</v>
      </c>
      <c r="R705" s="2">
        <v>-0.9</v>
      </c>
      <c r="S705" s="2">
        <v>-3.6</v>
      </c>
      <c r="T705" s="2">
        <f>+Q705-M705</f>
        <v>-12.000000000000014</v>
      </c>
    </row>
    <row r="706" spans="1:20">
      <c r="A706" s="6">
        <v>624</v>
      </c>
      <c r="B706" t="s">
        <v>61</v>
      </c>
      <c r="C706" t="s">
        <v>30</v>
      </c>
      <c r="D706">
        <v>27</v>
      </c>
      <c r="E706">
        <v>45</v>
      </c>
      <c r="F706" s="1">
        <f>+D706/(D706+E706)</f>
        <v>0.375</v>
      </c>
      <c r="G706" s="2">
        <v>111.3</v>
      </c>
      <c r="H706" s="2">
        <v>111.7</v>
      </c>
      <c r="I706" s="2">
        <f>+G706-H706</f>
        <v>-0.40000000000000568</v>
      </c>
      <c r="J706" s="1">
        <f>+(G706^14)/((G706^14+H706^14))</f>
        <v>0.48744657142272707</v>
      </c>
      <c r="K706" s="2">
        <v>111.6</v>
      </c>
      <c r="L706" s="2">
        <v>112</v>
      </c>
      <c r="M706" s="2">
        <f>+K706-L706</f>
        <v>-0.40000000000000568</v>
      </c>
      <c r="N706" s="1">
        <f>+F706-J706</f>
        <v>-0.11244657142272707</v>
      </c>
      <c r="O706" s="2">
        <v>100.8</v>
      </c>
      <c r="P706" s="2">
        <v>113.3</v>
      </c>
      <c r="Q706" s="2">
        <f>+O706-P706</f>
        <v>-12.5</v>
      </c>
      <c r="R706" s="2">
        <v>0.8</v>
      </c>
      <c r="S706" s="2">
        <v>3.1</v>
      </c>
      <c r="T706" s="2">
        <f>+Q706-M706</f>
        <v>-12.099999999999994</v>
      </c>
    </row>
    <row r="707" spans="1:20">
      <c r="A707" s="6">
        <v>266</v>
      </c>
      <c r="B707" t="s">
        <v>45</v>
      </c>
      <c r="C707" t="s">
        <v>33</v>
      </c>
      <c r="D707">
        <v>19</v>
      </c>
      <c r="E707">
        <v>63</v>
      </c>
      <c r="F707" s="1">
        <f>+D707/(D707+E707)</f>
        <v>0.23170731707317074</v>
      </c>
      <c r="G707" s="2">
        <v>96.1</v>
      </c>
      <c r="H707" s="2">
        <v>103.5</v>
      </c>
      <c r="I707" s="2">
        <f>+G707-H707</f>
        <v>-7.4000000000000057</v>
      </c>
      <c r="J707" s="1">
        <f>+(G707^14)/((G707^14+H707^14))</f>
        <v>0.26142945333120382</v>
      </c>
      <c r="K707" s="2">
        <v>104</v>
      </c>
      <c r="L707" s="2">
        <v>112.1</v>
      </c>
      <c r="M707" s="2">
        <f>+K707-L707</f>
        <v>-8.0999999999999943</v>
      </c>
      <c r="N707" s="1">
        <f>+F707-J707</f>
        <v>-2.9722136258033077E-2</v>
      </c>
      <c r="O707" s="2">
        <v>98.5</v>
      </c>
      <c r="P707" s="2">
        <v>118.7</v>
      </c>
      <c r="Q707" s="2">
        <f>+O707-P707</f>
        <v>-20.200000000000003</v>
      </c>
      <c r="R707" s="2">
        <v>-1.6</v>
      </c>
      <c r="S707" s="2">
        <v>-9</v>
      </c>
      <c r="T707" s="2">
        <f>+Q707-M707</f>
        <v>-12.100000000000009</v>
      </c>
    </row>
    <row r="708" spans="1:20">
      <c r="A708" s="6">
        <v>598</v>
      </c>
      <c r="B708" t="s">
        <v>61</v>
      </c>
      <c r="C708" t="s">
        <v>6</v>
      </c>
      <c r="D708">
        <v>36</v>
      </c>
      <c r="E708">
        <v>36</v>
      </c>
      <c r="F708" s="1">
        <f>+D708/(D708+E708)</f>
        <v>0.5</v>
      </c>
      <c r="G708" s="2">
        <v>112.6</v>
      </c>
      <c r="H708" s="2">
        <v>111.2</v>
      </c>
      <c r="I708" s="2">
        <f>+G708-H708</f>
        <v>1.3999999999999915</v>
      </c>
      <c r="J708" s="1">
        <f>+(G708^14)/((G708^14+H708^14))</f>
        <v>0.54367805340698128</v>
      </c>
      <c r="K708" s="2">
        <v>113.1</v>
      </c>
      <c r="L708" s="2">
        <v>111.8</v>
      </c>
      <c r="M708" s="2">
        <f>+K708-L708</f>
        <v>1.2999999999999972</v>
      </c>
      <c r="N708" s="1">
        <f>+F708-J708</f>
        <v>-4.3678053406981276E-2</v>
      </c>
      <c r="O708" s="2">
        <v>101.5</v>
      </c>
      <c r="P708" s="2">
        <v>112.4</v>
      </c>
      <c r="Q708" s="2">
        <f>+O708-P708</f>
        <v>-10.900000000000006</v>
      </c>
      <c r="R708" s="2">
        <v>0.5</v>
      </c>
      <c r="S708" s="2">
        <v>1.9</v>
      </c>
      <c r="T708" s="2">
        <f>+Q708-M708</f>
        <v>-12.200000000000003</v>
      </c>
    </row>
    <row r="709" spans="1:20">
      <c r="A709" s="6">
        <v>157</v>
      </c>
      <c r="B709" t="s">
        <v>41</v>
      </c>
      <c r="C709" t="s">
        <v>15</v>
      </c>
      <c r="D709">
        <v>41</v>
      </c>
      <c r="E709">
        <v>41</v>
      </c>
      <c r="F709" s="1">
        <f>+D709/(D709+E709)</f>
        <v>0.5</v>
      </c>
      <c r="G709" s="2">
        <v>93.9</v>
      </c>
      <c r="H709" s="2">
        <v>92</v>
      </c>
      <c r="I709" s="2">
        <f>+G709-H709</f>
        <v>1.9000000000000057</v>
      </c>
      <c r="J709" s="1">
        <f>+(G709^14)/((G709^14+H709^14))</f>
        <v>0.57106198271976594</v>
      </c>
      <c r="K709" s="2">
        <v>103.1</v>
      </c>
      <c r="L709" s="2">
        <v>101</v>
      </c>
      <c r="M709" s="2">
        <f>+K709-L709</f>
        <v>2.0999999999999943</v>
      </c>
      <c r="N709" s="1">
        <f>+F709-J709</f>
        <v>-7.1061982719765937E-2</v>
      </c>
      <c r="O709" s="2">
        <v>91.4</v>
      </c>
      <c r="P709" s="2">
        <v>101.6</v>
      </c>
      <c r="Q709" s="2">
        <f>+O709-P709</f>
        <v>-10.199999999999989</v>
      </c>
      <c r="R709" s="2">
        <v>-0.2</v>
      </c>
      <c r="S709" s="2">
        <v>0.8</v>
      </c>
      <c r="T709" s="2">
        <f>+Q709-M709</f>
        <v>-12.299999999999983</v>
      </c>
    </row>
    <row r="710" spans="1:20">
      <c r="A710" s="6">
        <v>136</v>
      </c>
      <c r="B710" t="s">
        <v>39</v>
      </c>
      <c r="C710" t="s">
        <v>22</v>
      </c>
      <c r="D710">
        <v>33</v>
      </c>
      <c r="E710">
        <v>49</v>
      </c>
      <c r="F710" s="1">
        <f>+D710/(D710+E710)</f>
        <v>0.40243902439024393</v>
      </c>
      <c r="G710" s="2">
        <v>97.3</v>
      </c>
      <c r="H710" s="2">
        <v>99.7</v>
      </c>
      <c r="I710" s="2">
        <f>+G710-H710</f>
        <v>-2.4000000000000057</v>
      </c>
      <c r="J710" s="1">
        <f>+(G710^14)/((G710^14+H710^14))</f>
        <v>0.4155341313693024</v>
      </c>
      <c r="K710" s="2">
        <v>104.5</v>
      </c>
      <c r="L710" s="2">
        <v>107.2</v>
      </c>
      <c r="M710" s="2">
        <f>+K710-L710</f>
        <v>-2.7000000000000028</v>
      </c>
      <c r="N710" s="1">
        <f>+F710-J710</f>
        <v>-1.3095106979058468E-2</v>
      </c>
      <c r="O710" s="2">
        <v>96.2</v>
      </c>
      <c r="P710" s="2">
        <v>111.3</v>
      </c>
      <c r="Q710" s="2">
        <f>+O710-P710</f>
        <v>-15.099999999999994</v>
      </c>
      <c r="R710" s="2">
        <v>-0.8</v>
      </c>
      <c r="S710" s="2">
        <v>-6.6</v>
      </c>
      <c r="T710" s="2">
        <f>+Q710-M710</f>
        <v>-12.399999999999991</v>
      </c>
    </row>
    <row r="711" spans="1:20">
      <c r="A711" s="6">
        <v>64</v>
      </c>
      <c r="B711" t="s">
        <v>36</v>
      </c>
      <c r="C711" t="s">
        <v>11</v>
      </c>
      <c r="D711">
        <v>17</v>
      </c>
      <c r="E711">
        <v>65</v>
      </c>
      <c r="F711" s="1">
        <f>+D711/(D711+E711)</f>
        <v>0.2073170731707317</v>
      </c>
      <c r="G711" s="2">
        <v>84.2</v>
      </c>
      <c r="H711" s="2">
        <v>92.4</v>
      </c>
      <c r="I711" s="2">
        <f>+G711-H711</f>
        <v>-8.2000000000000028</v>
      </c>
      <c r="J711" s="1">
        <f>+(G711^14)/((G711^14+H711^14))</f>
        <v>0.21398855794642072</v>
      </c>
      <c r="K711" s="2">
        <v>91.2</v>
      </c>
      <c r="L711" s="2">
        <v>100.1</v>
      </c>
      <c r="M711" s="2">
        <f>+K711-L711</f>
        <v>-8.8999999999999915</v>
      </c>
      <c r="N711" s="1">
        <f>+F711-J711</f>
        <v>-6.6714847756890183E-3</v>
      </c>
      <c r="O711" s="2">
        <v>89.6</v>
      </c>
      <c r="P711" s="2">
        <v>110.9</v>
      </c>
      <c r="Q711" s="2">
        <f>+O711-P711</f>
        <v>-21.300000000000011</v>
      </c>
      <c r="R711" s="2">
        <v>-0.5</v>
      </c>
      <c r="S711" s="2">
        <v>-3.3</v>
      </c>
      <c r="T711" s="2">
        <f>+Q711-M711</f>
        <v>-12.40000000000002</v>
      </c>
    </row>
    <row r="712" spans="1:20">
      <c r="A712" s="6">
        <v>163</v>
      </c>
      <c r="B712" t="s">
        <v>41</v>
      </c>
      <c r="C712" t="s">
        <v>20</v>
      </c>
      <c r="D712">
        <v>33</v>
      </c>
      <c r="E712">
        <v>49</v>
      </c>
      <c r="F712" s="1">
        <f>+D712/(D712+E712)</f>
        <v>0.40243902439024393</v>
      </c>
      <c r="G712" s="2">
        <v>91.7</v>
      </c>
      <c r="H712" s="2">
        <v>93.6</v>
      </c>
      <c r="I712" s="2">
        <f>+G712-H712</f>
        <v>-1.8999999999999915</v>
      </c>
      <c r="J712" s="1">
        <f>+(G712^14)/((G712^14+H712^14))</f>
        <v>0.42871102935912059</v>
      </c>
      <c r="K712" s="2">
        <v>101.5</v>
      </c>
      <c r="L712" s="2">
        <v>103.5</v>
      </c>
      <c r="M712" s="2">
        <f>+K712-L712</f>
        <v>-2</v>
      </c>
      <c r="N712" s="1">
        <f>+F712-J712</f>
        <v>-2.6272004968876661E-2</v>
      </c>
      <c r="O712" s="2">
        <v>95.6</v>
      </c>
      <c r="P712" s="2">
        <v>110.1</v>
      </c>
      <c r="Q712" s="2">
        <f>+O712-P712</f>
        <v>-14.5</v>
      </c>
      <c r="R712" s="2">
        <v>-1</v>
      </c>
      <c r="S712" s="2">
        <v>-5.6</v>
      </c>
      <c r="T712" s="2">
        <f>+Q712-M712</f>
        <v>-12.5</v>
      </c>
    </row>
    <row r="713" spans="1:20">
      <c r="A713" s="6">
        <v>676</v>
      </c>
      <c r="B713" t="s">
        <v>63</v>
      </c>
      <c r="C713" t="s">
        <v>22</v>
      </c>
      <c r="D713">
        <v>47</v>
      </c>
      <c r="E713">
        <v>35</v>
      </c>
      <c r="F713" s="1">
        <f>+D713/(D713+E713)</f>
        <v>0.57317073170731703</v>
      </c>
      <c r="G713" s="2">
        <v>116</v>
      </c>
      <c r="H713" s="2">
        <v>113.1</v>
      </c>
      <c r="I713" s="2">
        <f>+G713-H713</f>
        <v>2.9000000000000057</v>
      </c>
      <c r="J713" s="1">
        <f>+(G713^14)/((G713^14+H713^14))</f>
        <v>0.58769610800156147</v>
      </c>
      <c r="K713" s="2">
        <v>117</v>
      </c>
      <c r="L713" s="2">
        <v>114.2</v>
      </c>
      <c r="M713" s="2">
        <f>+K713-L713</f>
        <v>2.7999999999999972</v>
      </c>
      <c r="N713" s="1">
        <f>+F713-J713</f>
        <v>-1.4525376294244441E-2</v>
      </c>
      <c r="O713" s="2">
        <v>109.1</v>
      </c>
      <c r="P713" s="2">
        <v>119</v>
      </c>
      <c r="Q713" s="2">
        <f>+O713-P713</f>
        <v>-9.9000000000000057</v>
      </c>
      <c r="R713" s="2">
        <v>0</v>
      </c>
      <c r="S713" s="2">
        <v>0.6</v>
      </c>
      <c r="T713" s="2">
        <f>+Q713-M713</f>
        <v>-12.700000000000003</v>
      </c>
    </row>
    <row r="714" spans="1:20">
      <c r="A714" s="6">
        <v>687</v>
      </c>
      <c r="B714" t="s">
        <v>64</v>
      </c>
      <c r="C714" t="s">
        <v>5</v>
      </c>
      <c r="D714">
        <v>36</v>
      </c>
      <c r="E714">
        <v>46</v>
      </c>
      <c r="F714" s="1">
        <f>+D714/(D714+E714)</f>
        <v>0.43902439024390244</v>
      </c>
      <c r="G714" s="2">
        <v>118.3</v>
      </c>
      <c r="H714" s="2">
        <v>120.5</v>
      </c>
      <c r="I714" s="2">
        <f>+G714-H714</f>
        <v>-2.2000000000000028</v>
      </c>
      <c r="J714" s="1">
        <f>+(G714^14)/((G714^14+H714^14))</f>
        <v>0.43586432994244823</v>
      </c>
      <c r="K714" s="2">
        <v>116.4</v>
      </c>
      <c r="L714" s="2">
        <v>118.4</v>
      </c>
      <c r="M714" s="2">
        <f>+K714-L714</f>
        <v>-2</v>
      </c>
      <c r="N714" s="1">
        <f>+F714-J714</f>
        <v>3.160060301454215E-3</v>
      </c>
      <c r="O714" s="2">
        <v>103.9</v>
      </c>
      <c r="P714" s="2">
        <v>118.7</v>
      </c>
      <c r="Q714" s="2">
        <f>+O714-P714</f>
        <v>-14.799999999999997</v>
      </c>
      <c r="R714" s="2">
        <v>-0.9</v>
      </c>
      <c r="S714" s="2">
        <v>-5</v>
      </c>
      <c r="T714" s="2">
        <f>+Q714-M714</f>
        <v>-12.799999999999997</v>
      </c>
    </row>
    <row r="715" spans="1:20">
      <c r="A715" s="6">
        <v>754</v>
      </c>
      <c r="B715" t="s">
        <v>66</v>
      </c>
      <c r="C715" t="s">
        <v>11</v>
      </c>
      <c r="D715">
        <v>39</v>
      </c>
      <c r="E715">
        <v>25</v>
      </c>
      <c r="F715" s="1">
        <f>+D715/(D715+E715)</f>
        <v>0.609375</v>
      </c>
      <c r="G715" s="2">
        <v>120.2</v>
      </c>
      <c r="H715" s="2">
        <v>116.5</v>
      </c>
      <c r="I715" s="2">
        <f>+G715-H715</f>
        <v>3.7000000000000028</v>
      </c>
      <c r="J715" s="1">
        <f>+(G715^14)/((G715^14+H715^14))</f>
        <v>0.6077157346709432</v>
      </c>
      <c r="K715" s="2">
        <v>120</v>
      </c>
      <c r="L715" s="2">
        <v>116.3</v>
      </c>
      <c r="M715" s="2">
        <f>+K715-L715</f>
        <v>3.7000000000000028</v>
      </c>
      <c r="N715" s="1">
        <f>+F715-J715</f>
        <v>1.6592653290568027E-3</v>
      </c>
      <c r="O715" s="2">
        <v>119.4</v>
      </c>
      <c r="P715" s="2">
        <v>128.5</v>
      </c>
      <c r="Q715" s="2">
        <f>+O715-P715</f>
        <v>-9.0999999999999943</v>
      </c>
      <c r="R715" s="2">
        <v>-0.5</v>
      </c>
      <c r="S715" s="2">
        <v>-2.8</v>
      </c>
      <c r="T715" s="2">
        <f>+Q715-M715</f>
        <v>-12.799999999999997</v>
      </c>
    </row>
    <row r="716" spans="1:20">
      <c r="A716" s="6">
        <v>573</v>
      </c>
      <c r="B716" t="s">
        <v>60</v>
      </c>
      <c r="C716" t="s">
        <v>10</v>
      </c>
      <c r="D716">
        <v>43</v>
      </c>
      <c r="E716">
        <v>32</v>
      </c>
      <c r="F716" s="1">
        <f>+D716/(D716+E716)</f>
        <v>0.57333333333333336</v>
      </c>
      <c r="G716" s="2">
        <v>117</v>
      </c>
      <c r="H716" s="2">
        <v>112.1</v>
      </c>
      <c r="I716" s="2">
        <f>+G716-H716</f>
        <v>4.9000000000000057</v>
      </c>
      <c r="J716" s="1">
        <f>+(G716^14)/((G716^14+H716^14))</f>
        <v>0.64541752583706569</v>
      </c>
      <c r="K716" s="2">
        <v>115.9</v>
      </c>
      <c r="L716" s="2">
        <v>111.2</v>
      </c>
      <c r="M716" s="2">
        <f>+K716-L716</f>
        <v>4.7000000000000028</v>
      </c>
      <c r="N716" s="1">
        <f>+F716-J716</f>
        <v>-7.2084192503732325E-2</v>
      </c>
      <c r="O716" s="2">
        <v>99.4</v>
      </c>
      <c r="P716" s="2">
        <v>107.5</v>
      </c>
      <c r="Q716" s="2">
        <f>+O716-P716</f>
        <v>-8.0999999999999943</v>
      </c>
      <c r="R716" s="2">
        <v>0.5</v>
      </c>
      <c r="S716" s="2">
        <v>1.9</v>
      </c>
      <c r="T716" s="2">
        <f>+Q716-M716</f>
        <v>-12.799999999999997</v>
      </c>
    </row>
    <row r="717" spans="1:20">
      <c r="A717" s="6">
        <v>765</v>
      </c>
      <c r="B717" t="s">
        <v>66</v>
      </c>
      <c r="C717" t="s">
        <v>53</v>
      </c>
      <c r="D717">
        <v>20</v>
      </c>
      <c r="E717">
        <v>45</v>
      </c>
      <c r="F717" s="1">
        <f>+D717/(D717+E717)</f>
        <v>0.30769230769230771</v>
      </c>
      <c r="G717" s="2">
        <v>115.2</v>
      </c>
      <c r="H717" s="2">
        <v>120.2</v>
      </c>
      <c r="I717" s="2">
        <f>+G717-H717</f>
        <v>-5</v>
      </c>
      <c r="J717" s="1">
        <f>+(G717^14)/((G717^14+H717^14))</f>
        <v>0.35552926815627678</v>
      </c>
      <c r="K717" s="2">
        <v>112.8</v>
      </c>
      <c r="L717" s="2">
        <v>117.8</v>
      </c>
      <c r="M717" s="2">
        <f>+K717-L717</f>
        <v>-5</v>
      </c>
      <c r="N717" s="1">
        <f>+F717-J717</f>
        <v>-4.7836960463969069E-2</v>
      </c>
      <c r="O717" s="2">
        <v>105.7</v>
      </c>
      <c r="P717" s="2">
        <v>123.7</v>
      </c>
      <c r="Q717" s="2">
        <f>+O717-P717</f>
        <v>-18</v>
      </c>
      <c r="R717" s="2">
        <v>-1.1000000000000001</v>
      </c>
      <c r="S717" s="2">
        <v>-1.7</v>
      </c>
      <c r="T717" s="2">
        <f>+Q717-M717</f>
        <v>-13</v>
      </c>
    </row>
    <row r="718" spans="1:20">
      <c r="A718" s="6">
        <v>289</v>
      </c>
      <c r="B718" t="s">
        <v>47</v>
      </c>
      <c r="C718" t="s">
        <v>24</v>
      </c>
      <c r="D718">
        <v>27</v>
      </c>
      <c r="E718">
        <v>55</v>
      </c>
      <c r="F718" s="1">
        <f>+D718/(D718+E718)</f>
        <v>0.32926829268292684</v>
      </c>
      <c r="G718" s="2">
        <v>97.7</v>
      </c>
      <c r="H718" s="2">
        <v>101.6</v>
      </c>
      <c r="I718" s="2">
        <f>+G718-H718</f>
        <v>-3.8999999999999915</v>
      </c>
      <c r="J718" s="1">
        <f>+(G718^14)/((G718^14+H718^14))</f>
        <v>0.36633141190976742</v>
      </c>
      <c r="K718" s="2">
        <v>104.8</v>
      </c>
      <c r="L718" s="2">
        <v>108.9</v>
      </c>
      <c r="M718" s="2">
        <f>+K718-L718</f>
        <v>-4.1000000000000085</v>
      </c>
      <c r="N718" s="1">
        <f>+F718-J718</f>
        <v>-3.706311922684058E-2</v>
      </c>
      <c r="O718" s="2">
        <v>93.9</v>
      </c>
      <c r="P718" s="2">
        <v>111.1</v>
      </c>
      <c r="Q718" s="2">
        <f>+O718-P718</f>
        <v>-17.199999999999989</v>
      </c>
      <c r="R718" s="2">
        <v>-1.4</v>
      </c>
      <c r="S718" s="2">
        <v>-8.1</v>
      </c>
      <c r="T718" s="2">
        <f>+Q718-M718</f>
        <v>-13.09999999999998</v>
      </c>
    </row>
    <row r="719" spans="1:20">
      <c r="A719" s="6">
        <v>403</v>
      </c>
      <c r="B719" t="s">
        <v>52</v>
      </c>
      <c r="C719" t="s">
        <v>19</v>
      </c>
      <c r="D719">
        <v>15</v>
      </c>
      <c r="E719">
        <v>67</v>
      </c>
      <c r="F719" s="1">
        <f>+D719/(D719+E719)</f>
        <v>0.18292682926829268</v>
      </c>
      <c r="G719" s="2">
        <v>95.5</v>
      </c>
      <c r="H719" s="2">
        <v>103.7</v>
      </c>
      <c r="I719" s="2">
        <f>+G719-H719</f>
        <v>-8.2000000000000028</v>
      </c>
      <c r="J719" s="1">
        <f>+(G719^14)/((G719^14+H719^14))</f>
        <v>0.23989374282891526</v>
      </c>
      <c r="K719" s="2">
        <v>101.9</v>
      </c>
      <c r="L719" s="2">
        <v>110.2</v>
      </c>
      <c r="M719" s="2">
        <f>+K719-L719</f>
        <v>-8.2999999999999972</v>
      </c>
      <c r="N719" s="1">
        <f>+F719-J719</f>
        <v>-5.6966913560622584E-2</v>
      </c>
      <c r="O719" s="2">
        <v>87.3</v>
      </c>
      <c r="P719" s="2">
        <v>108.7</v>
      </c>
      <c r="Q719" s="2">
        <f>+O719-P719</f>
        <v>-21.400000000000006</v>
      </c>
      <c r="R719" s="2">
        <v>0</v>
      </c>
      <c r="S719" s="2">
        <v>-0.9</v>
      </c>
      <c r="T719" s="2">
        <f>+Q719-M719</f>
        <v>-13.100000000000009</v>
      </c>
    </row>
    <row r="720" spans="1:20">
      <c r="A720" s="6">
        <v>322</v>
      </c>
      <c r="B720" t="s">
        <v>48</v>
      </c>
      <c r="C720" t="s">
        <v>27</v>
      </c>
      <c r="D720">
        <v>24</v>
      </c>
      <c r="E720">
        <v>58</v>
      </c>
      <c r="F720" s="1">
        <f>+D720/(D720+E720)</f>
        <v>0.29268292682926828</v>
      </c>
      <c r="G720" s="2">
        <v>99.4</v>
      </c>
      <c r="H720" s="2">
        <v>104.7</v>
      </c>
      <c r="I720" s="2">
        <f>+G720-H720</f>
        <v>-5.2999999999999972</v>
      </c>
      <c r="J720" s="1">
        <f>+(G720^14)/((G720^14+H720^14))</f>
        <v>0.32579671565672774</v>
      </c>
      <c r="K720" s="2">
        <v>102.9</v>
      </c>
      <c r="L720" s="2">
        <v>108.4</v>
      </c>
      <c r="M720" s="2">
        <f>+K720-L720</f>
        <v>-5.5</v>
      </c>
      <c r="N720" s="1">
        <f>+F720-J720</f>
        <v>-3.3113788827459467E-2</v>
      </c>
      <c r="O720" s="2">
        <v>88.3</v>
      </c>
      <c r="P720" s="2">
        <v>107</v>
      </c>
      <c r="Q720" s="2">
        <f>+O720-P720</f>
        <v>-18.700000000000003</v>
      </c>
      <c r="R720" s="2">
        <v>-0.3</v>
      </c>
      <c r="S720" s="2">
        <v>-1.9</v>
      </c>
      <c r="T720" s="2">
        <f>+Q720-M720</f>
        <v>-13.200000000000003</v>
      </c>
    </row>
    <row r="721" spans="1:20">
      <c r="A721" s="6">
        <v>126</v>
      </c>
      <c r="B721" t="s">
        <v>39</v>
      </c>
      <c r="C721" t="s">
        <v>14</v>
      </c>
      <c r="D721">
        <v>51</v>
      </c>
      <c r="E721">
        <v>31</v>
      </c>
      <c r="F721" s="1">
        <f>+D721/(D721+E721)</f>
        <v>0.62195121951219512</v>
      </c>
      <c r="G721" s="2">
        <v>95.1</v>
      </c>
      <c r="H721" s="2">
        <v>91</v>
      </c>
      <c r="I721" s="2">
        <f>+G721-H721</f>
        <v>4.0999999999999943</v>
      </c>
      <c r="J721" s="1">
        <f>+(G721^14)/((G721^14+H721^14))</f>
        <v>0.64952967421468588</v>
      </c>
      <c r="K721" s="2">
        <v>104.4</v>
      </c>
      <c r="L721" s="2">
        <v>100.1</v>
      </c>
      <c r="M721" s="2">
        <f>+K721-L721</f>
        <v>4.3000000000000114</v>
      </c>
      <c r="N721" s="1">
        <f>+F721-J721</f>
        <v>-2.7578454702490762E-2</v>
      </c>
      <c r="O721" s="2">
        <v>95.7</v>
      </c>
      <c r="P721" s="2">
        <v>104.7</v>
      </c>
      <c r="Q721" s="2">
        <f>+O721-P721</f>
        <v>-9</v>
      </c>
      <c r="R721" s="2">
        <v>0.4</v>
      </c>
      <c r="S721" s="2">
        <v>2.2000000000000002</v>
      </c>
      <c r="T721" s="2">
        <f>+Q721-M721</f>
        <v>-13.300000000000011</v>
      </c>
    </row>
    <row r="722" spans="1:20">
      <c r="A722" s="6">
        <v>609</v>
      </c>
      <c r="B722" t="s">
        <v>61</v>
      </c>
      <c r="C722" t="s">
        <v>56</v>
      </c>
      <c r="D722">
        <v>47</v>
      </c>
      <c r="E722">
        <v>25</v>
      </c>
      <c r="F722" s="1">
        <f>+D722/(D722+E722)</f>
        <v>0.65277777777777779</v>
      </c>
      <c r="G722" s="2">
        <v>114</v>
      </c>
      <c r="H722" s="2">
        <v>107.8</v>
      </c>
      <c r="I722" s="2">
        <f>+G722-H722</f>
        <v>6.2000000000000028</v>
      </c>
      <c r="J722" s="1">
        <f>+(G722^14)/((G722^14+H722^14))</f>
        <v>0.68630286858129474</v>
      </c>
      <c r="K722" s="2">
        <v>116.7</v>
      </c>
      <c r="L722" s="2">
        <v>110.6</v>
      </c>
      <c r="M722" s="2">
        <f>+K722-L722</f>
        <v>6.1000000000000085</v>
      </c>
      <c r="N722" s="1">
        <f>+F722-J722</f>
        <v>-3.3525090803516955E-2</v>
      </c>
      <c r="O722" s="2">
        <v>110.3</v>
      </c>
      <c r="P722" s="2">
        <v>117.5</v>
      </c>
      <c r="Q722" s="2">
        <f>+O722-P722</f>
        <v>-7.2000000000000028</v>
      </c>
      <c r="R722" s="2">
        <v>1.1000000000000001</v>
      </c>
      <c r="S722" s="2">
        <v>5.7</v>
      </c>
      <c r="T722" s="2">
        <f>+Q722-M722</f>
        <v>-13.300000000000011</v>
      </c>
    </row>
    <row r="723" spans="1:20">
      <c r="A723" s="6">
        <v>576</v>
      </c>
      <c r="B723" t="s">
        <v>60</v>
      </c>
      <c r="C723" t="s">
        <v>13</v>
      </c>
      <c r="D723">
        <v>15</v>
      </c>
      <c r="E723">
        <v>50</v>
      </c>
      <c r="F723" s="1">
        <f>+D723/(D723+E723)</f>
        <v>0.23076923076923078</v>
      </c>
      <c r="G723" s="2">
        <v>106.3</v>
      </c>
      <c r="H723" s="2">
        <v>115</v>
      </c>
      <c r="I723" s="2">
        <f>+G723-H723</f>
        <v>-8.7000000000000028</v>
      </c>
      <c r="J723" s="1">
        <f>+(G723^14)/((G723^14+H723^14))</f>
        <v>0.24948968898515997</v>
      </c>
      <c r="K723" s="2">
        <v>104.4</v>
      </c>
      <c r="L723" s="2">
        <v>113</v>
      </c>
      <c r="M723" s="2">
        <f>+K723-L723</f>
        <v>-8.5999999999999943</v>
      </c>
      <c r="N723" s="1">
        <f>+F723-J723</f>
        <v>-1.8720458215929187E-2</v>
      </c>
      <c r="O723" s="2">
        <v>102.9</v>
      </c>
      <c r="P723" s="2">
        <v>124.9</v>
      </c>
      <c r="Q723" s="2">
        <f>+O723-P723</f>
        <v>-22</v>
      </c>
      <c r="R723" s="2">
        <v>-0.5</v>
      </c>
      <c r="S723" s="2">
        <v>-0.5</v>
      </c>
      <c r="T723" s="2">
        <f>+Q723-M723</f>
        <v>-13.400000000000006</v>
      </c>
    </row>
    <row r="724" spans="1:20">
      <c r="A724" s="6">
        <v>324</v>
      </c>
      <c r="B724" t="s">
        <v>48</v>
      </c>
      <c r="C724" t="s">
        <v>30</v>
      </c>
      <c r="D724">
        <v>22</v>
      </c>
      <c r="E724">
        <v>60</v>
      </c>
      <c r="F724" s="1">
        <f>+D724/(D724+E724)</f>
        <v>0.26829268292682928</v>
      </c>
      <c r="G724" s="2">
        <v>99.1</v>
      </c>
      <c r="H724" s="2">
        <v>105.4</v>
      </c>
      <c r="I724" s="2">
        <f>+G724-H724</f>
        <v>-6.3000000000000114</v>
      </c>
      <c r="J724" s="1">
        <f>+(G724^14)/((G724^14+H724^14))</f>
        <v>0.29674116981682536</v>
      </c>
      <c r="K724" s="2">
        <v>105.2</v>
      </c>
      <c r="L724" s="2">
        <v>111.7</v>
      </c>
      <c r="M724" s="2">
        <f>+K724-L724</f>
        <v>-6.5</v>
      </c>
      <c r="N724" s="1">
        <f>+F724-J724</f>
        <v>-2.8448486889996072E-2</v>
      </c>
      <c r="O724" s="2">
        <v>93.3</v>
      </c>
      <c r="P724" s="2">
        <v>113.2</v>
      </c>
      <c r="Q724" s="2">
        <f>+O724-P724</f>
        <v>-19.900000000000006</v>
      </c>
      <c r="R724" s="2">
        <v>-1.7</v>
      </c>
      <c r="S724" s="2">
        <v>-9</v>
      </c>
      <c r="T724" s="2">
        <f>+Q724-M724</f>
        <v>-13.400000000000006</v>
      </c>
    </row>
    <row r="725" spans="1:20">
      <c r="A725" s="6">
        <v>245</v>
      </c>
      <c r="B725" t="s">
        <v>45</v>
      </c>
      <c r="C725" t="s">
        <v>13</v>
      </c>
      <c r="D725">
        <v>29</v>
      </c>
      <c r="E725">
        <v>53</v>
      </c>
      <c r="F725" s="1">
        <f>+D725/(D725+E725)</f>
        <v>0.35365853658536583</v>
      </c>
      <c r="G725" s="2">
        <v>108.6</v>
      </c>
      <c r="H725" s="2">
        <v>112.3</v>
      </c>
      <c r="I725" s="2">
        <f>+G725-H725</f>
        <v>-3.7000000000000028</v>
      </c>
      <c r="J725" s="1">
        <f>+(G725^14)/((G725^14+H725^14))</f>
        <v>0.38484482323315583</v>
      </c>
      <c r="K725" s="2">
        <v>108</v>
      </c>
      <c r="L725" s="2">
        <v>111.7</v>
      </c>
      <c r="M725" s="2">
        <f>+K725-L725</f>
        <v>-3.7000000000000028</v>
      </c>
      <c r="N725" s="1">
        <f>+F725-J725</f>
        <v>-3.1186286647789996E-2</v>
      </c>
      <c r="O725" s="2">
        <v>93.7</v>
      </c>
      <c r="P725" s="2">
        <v>111.1</v>
      </c>
      <c r="Q725" s="2">
        <f>+O725-P725</f>
        <v>-17.399999999999991</v>
      </c>
      <c r="R725" s="2">
        <v>-0.7</v>
      </c>
      <c r="S725" s="2">
        <v>-2.5</v>
      </c>
      <c r="T725" s="2">
        <f>+Q725-M725</f>
        <v>-13.699999999999989</v>
      </c>
    </row>
    <row r="726" spans="1:20">
      <c r="A726" s="6">
        <v>201</v>
      </c>
      <c r="B726" t="s">
        <v>43</v>
      </c>
      <c r="C726" t="s">
        <v>27</v>
      </c>
      <c r="D726">
        <v>33</v>
      </c>
      <c r="E726">
        <v>49</v>
      </c>
      <c r="F726" s="1">
        <f>+D726/(D726+E726)</f>
        <v>0.40243902439024393</v>
      </c>
      <c r="G726" s="2">
        <v>101.3</v>
      </c>
      <c r="H726" s="2">
        <v>103.1</v>
      </c>
      <c r="I726" s="2">
        <f>+G726-H726</f>
        <v>-1.7999999999999972</v>
      </c>
      <c r="J726" s="1">
        <f>+(G726^14)/((G726^14+H726^14))</f>
        <v>0.43866503316264344</v>
      </c>
      <c r="K726" s="2">
        <v>105.1</v>
      </c>
      <c r="L726" s="2">
        <v>106.7</v>
      </c>
      <c r="M726" s="2">
        <f>+K726-L726</f>
        <v>-1.6000000000000085</v>
      </c>
      <c r="N726" s="1">
        <f>+F726-J726</f>
        <v>-3.6226008772399509E-2</v>
      </c>
      <c r="O726" s="2">
        <v>93.7</v>
      </c>
      <c r="P726" s="2">
        <v>109</v>
      </c>
      <c r="Q726" s="2">
        <f>+O726-P726</f>
        <v>-15.299999999999997</v>
      </c>
      <c r="R726" s="2">
        <v>-0.4</v>
      </c>
      <c r="S726" s="2">
        <v>-1.3</v>
      </c>
      <c r="T726" s="2">
        <f>+Q726-M726</f>
        <v>-13.699999999999989</v>
      </c>
    </row>
    <row r="727" spans="1:20">
      <c r="A727" s="6">
        <v>186</v>
      </c>
      <c r="B727" t="s">
        <v>43</v>
      </c>
      <c r="C727" t="s">
        <v>14</v>
      </c>
      <c r="D727">
        <v>52</v>
      </c>
      <c r="E727">
        <v>30</v>
      </c>
      <c r="F727" s="1">
        <f>+D727/(D727+E727)</f>
        <v>0.63414634146341464</v>
      </c>
      <c r="G727" s="2">
        <v>97</v>
      </c>
      <c r="H727" s="2">
        <v>92.1</v>
      </c>
      <c r="I727" s="2">
        <f>+G727-H727</f>
        <v>4.9000000000000057</v>
      </c>
      <c r="J727" s="1">
        <f>+(G727^14)/((G727^14+H727^14))</f>
        <v>0.67386194635235153</v>
      </c>
      <c r="K727" s="2">
        <v>104.7</v>
      </c>
      <c r="L727" s="2">
        <v>99.7</v>
      </c>
      <c r="M727" s="2">
        <f>+K727-L727</f>
        <v>5</v>
      </c>
      <c r="N727" s="1">
        <f>+F727-J727</f>
        <v>-3.9715604888936884E-2</v>
      </c>
      <c r="O727" s="2">
        <v>99.7</v>
      </c>
      <c r="P727" s="2">
        <v>108.4</v>
      </c>
      <c r="Q727" s="2">
        <f>+O727-P727</f>
        <v>-8.7000000000000028</v>
      </c>
      <c r="R727" s="2">
        <v>-1.4</v>
      </c>
      <c r="S727" s="2">
        <v>-3.9</v>
      </c>
      <c r="T727" s="2">
        <f>+Q727-M727</f>
        <v>-13.700000000000003</v>
      </c>
    </row>
    <row r="728" spans="1:20">
      <c r="A728" s="6">
        <v>253</v>
      </c>
      <c r="B728" t="s">
        <v>45</v>
      </c>
      <c r="C728" t="s">
        <v>20</v>
      </c>
      <c r="D728">
        <v>24</v>
      </c>
      <c r="E728">
        <v>58</v>
      </c>
      <c r="F728" s="1">
        <f>+D728/(D728+E728)</f>
        <v>0.29268292682926828</v>
      </c>
      <c r="G728" s="2">
        <v>97.8</v>
      </c>
      <c r="H728" s="2">
        <v>102.7</v>
      </c>
      <c r="I728" s="2">
        <f>+G728-H728</f>
        <v>-4.9000000000000057</v>
      </c>
      <c r="J728" s="1">
        <f>+(G728^14)/((G728^14+H728^14))</f>
        <v>0.33527428063081338</v>
      </c>
      <c r="K728" s="2">
        <v>104.9</v>
      </c>
      <c r="L728" s="2">
        <v>109.9</v>
      </c>
      <c r="M728" s="2">
        <f>+K728-L728</f>
        <v>-5</v>
      </c>
      <c r="N728" s="1">
        <f>+F728-J728</f>
        <v>-4.2591353801545107E-2</v>
      </c>
      <c r="O728" s="2">
        <v>100.9</v>
      </c>
      <c r="P728" s="2">
        <v>119.7</v>
      </c>
      <c r="Q728" s="2">
        <f>+O728-P728</f>
        <v>-18.799999999999997</v>
      </c>
      <c r="R728" s="2">
        <v>-1</v>
      </c>
      <c r="S728" s="2">
        <v>-5.5</v>
      </c>
      <c r="T728" s="2">
        <f>+Q728-M728</f>
        <v>-13.799999999999997</v>
      </c>
    </row>
    <row r="729" spans="1:20">
      <c r="A729" s="6">
        <v>744</v>
      </c>
      <c r="B729" t="s">
        <v>65</v>
      </c>
      <c r="C729" t="s">
        <v>30</v>
      </c>
      <c r="D729">
        <v>30</v>
      </c>
      <c r="E729">
        <v>52</v>
      </c>
      <c r="F729" s="1">
        <f>+D729/(D729+E729)</f>
        <v>0.36585365853658536</v>
      </c>
      <c r="G729" s="2">
        <v>110.9</v>
      </c>
      <c r="H729" s="2">
        <v>115.2</v>
      </c>
      <c r="I729" s="2">
        <f>+G729-H729</f>
        <v>-4.2999999999999972</v>
      </c>
      <c r="J729" s="1">
        <f>+(G729^14)/((G729^14+H729^14))</f>
        <v>0.36991722047205011</v>
      </c>
      <c r="K729" s="2">
        <v>109.6</v>
      </c>
      <c r="L729" s="2">
        <v>113.6</v>
      </c>
      <c r="M729" s="2">
        <f>+K729-L729</f>
        <v>-4</v>
      </c>
      <c r="N729" s="1">
        <f>+F729-J729</f>
        <v>-4.0635619354647545E-3</v>
      </c>
      <c r="O729" s="2">
        <v>99.6</v>
      </c>
      <c r="P729" s="2">
        <v>117.6</v>
      </c>
      <c r="Q729" s="2">
        <f>+O729-P729</f>
        <v>-18</v>
      </c>
      <c r="R729" s="2">
        <v>-0.8</v>
      </c>
      <c r="S729" s="2">
        <v>-3.1</v>
      </c>
      <c r="T729" s="2">
        <f>+Q729-M729</f>
        <v>-14</v>
      </c>
    </row>
    <row r="730" spans="1:20">
      <c r="A730" s="6">
        <v>9</v>
      </c>
      <c r="B730" t="s">
        <v>4</v>
      </c>
      <c r="C730" t="s">
        <v>13</v>
      </c>
      <c r="D730">
        <v>17</v>
      </c>
      <c r="E730">
        <v>65</v>
      </c>
      <c r="F730" s="1">
        <f>+D730/(D730+E730)</f>
        <v>0.2073170731707317</v>
      </c>
      <c r="G730" s="2">
        <v>92.5</v>
      </c>
      <c r="H730" s="2">
        <v>101.5</v>
      </c>
      <c r="I730" s="2">
        <f>+G730-H730</f>
        <v>-9</v>
      </c>
      <c r="J730" s="1">
        <f>+(G730^14)/((G730^14+H730^14))</f>
        <v>0.21418148448904825</v>
      </c>
      <c r="K730" s="2">
        <v>96.3</v>
      </c>
      <c r="L730" s="2">
        <v>105.5</v>
      </c>
      <c r="M730" s="2">
        <f>+K730-L730</f>
        <v>-9.2000000000000028</v>
      </c>
      <c r="N730" s="1">
        <f>+F730-J730</f>
        <v>-6.8644113183165545E-3</v>
      </c>
      <c r="O730" s="2">
        <v>84.6</v>
      </c>
      <c r="P730" s="2">
        <v>107.8</v>
      </c>
      <c r="Q730" s="2">
        <f>+O730-P730</f>
        <v>-23.200000000000003</v>
      </c>
      <c r="R730" s="2">
        <v>-1.1000000000000001</v>
      </c>
      <c r="S730" s="2">
        <v>-7.6</v>
      </c>
      <c r="T730" s="2">
        <f>+Q730-M730</f>
        <v>-14</v>
      </c>
    </row>
    <row r="731" spans="1:20">
      <c r="A731" s="6">
        <v>697</v>
      </c>
      <c r="B731" t="s">
        <v>64</v>
      </c>
      <c r="C731" t="s">
        <v>14</v>
      </c>
      <c r="D731">
        <v>41</v>
      </c>
      <c r="E731">
        <v>41</v>
      </c>
      <c r="F731" s="1">
        <f>+D731/(D731+E731)</f>
        <v>0.5</v>
      </c>
      <c r="G731" s="2">
        <v>114.3</v>
      </c>
      <c r="H731" s="2">
        <v>113.2</v>
      </c>
      <c r="I731" s="2">
        <f>+G731-H731</f>
        <v>1.0999999999999943</v>
      </c>
      <c r="J731" s="1">
        <f>+(G731^14)/((G731^14+H731^14))</f>
        <v>0.53379481382340799</v>
      </c>
      <c r="K731" s="2">
        <v>113.7</v>
      </c>
      <c r="L731" s="2">
        <v>112.8</v>
      </c>
      <c r="M731" s="2">
        <f>+K731-L731</f>
        <v>0.90000000000000568</v>
      </c>
      <c r="N731" s="1">
        <f>+F731-J731</f>
        <v>-3.3794813823407988E-2</v>
      </c>
      <c r="O731" s="2">
        <v>108.4</v>
      </c>
      <c r="P731" s="2">
        <v>121.6</v>
      </c>
      <c r="Q731" s="2">
        <f>+O731-P731</f>
        <v>-13.199999999999989</v>
      </c>
      <c r="R731" s="2">
        <v>0.3</v>
      </c>
      <c r="S731" s="2">
        <v>0</v>
      </c>
      <c r="T731" s="2">
        <f>+Q731-M731</f>
        <v>-14.099999999999994</v>
      </c>
    </row>
    <row r="732" spans="1:20">
      <c r="A732" s="6">
        <v>335</v>
      </c>
      <c r="B732" t="s">
        <v>49</v>
      </c>
      <c r="C732" t="s">
        <v>13</v>
      </c>
      <c r="D732">
        <v>23</v>
      </c>
      <c r="E732">
        <v>43</v>
      </c>
      <c r="F732" s="1">
        <f>+D732/(D732+E732)</f>
        <v>0.34848484848484851</v>
      </c>
      <c r="G732" s="2">
        <v>97.8</v>
      </c>
      <c r="H732" s="2">
        <v>101.2</v>
      </c>
      <c r="I732" s="2">
        <f>+G732-H732</f>
        <v>-3.4000000000000057</v>
      </c>
      <c r="J732" s="1">
        <f>+(G732^14)/((G732^14+H732^14))</f>
        <v>0.38262091434510453</v>
      </c>
      <c r="K732" s="2">
        <v>103.9</v>
      </c>
      <c r="L732" s="2">
        <v>107.3</v>
      </c>
      <c r="M732" s="2">
        <f>+K732-L732</f>
        <v>-3.3999999999999915</v>
      </c>
      <c r="N732" s="1">
        <f>+F732-J732</f>
        <v>-3.4136065860256026E-2</v>
      </c>
      <c r="O732" s="2">
        <v>89</v>
      </c>
      <c r="P732" s="2">
        <v>106.6</v>
      </c>
      <c r="Q732" s="2">
        <f>+O732-P732</f>
        <v>-17.599999999999994</v>
      </c>
      <c r="R732" s="2">
        <v>-1</v>
      </c>
      <c r="S732" s="2">
        <v>-3.9</v>
      </c>
      <c r="T732" s="2">
        <f>+Q732-M732</f>
        <v>-14.200000000000003</v>
      </c>
    </row>
    <row r="733" spans="1:20">
      <c r="A733" s="6">
        <v>38</v>
      </c>
      <c r="B733" t="s">
        <v>34</v>
      </c>
      <c r="C733" t="s">
        <v>13</v>
      </c>
      <c r="D733">
        <v>21</v>
      </c>
      <c r="E733">
        <v>61</v>
      </c>
      <c r="F733" s="1">
        <f>+D733/(D733+E733)</f>
        <v>0.25609756097560976</v>
      </c>
      <c r="G733" s="2">
        <v>97.7</v>
      </c>
      <c r="H733" s="2">
        <v>103.1</v>
      </c>
      <c r="I733" s="2">
        <f>+G733-H733</f>
        <v>-5.3999999999999915</v>
      </c>
      <c r="J733" s="1">
        <f>+(G733^14)/((G733^14+H733^14))</f>
        <v>0.32013104307048473</v>
      </c>
      <c r="K733" s="2">
        <v>101.5</v>
      </c>
      <c r="L733" s="2">
        <v>107.1</v>
      </c>
      <c r="M733" s="2">
        <f>+K733-L733</f>
        <v>-5.5999999999999943</v>
      </c>
      <c r="N733" s="1">
        <f>+F733-J733</f>
        <v>-6.4033482094874972E-2</v>
      </c>
      <c r="O733" s="2">
        <v>85.4</v>
      </c>
      <c r="P733" s="2">
        <v>105.3</v>
      </c>
      <c r="Q733" s="2">
        <f>+O733-P733</f>
        <v>-19.899999999999991</v>
      </c>
      <c r="R733" s="2">
        <v>0</v>
      </c>
      <c r="S733" s="2">
        <v>-3.8</v>
      </c>
      <c r="T733" s="2">
        <f>+Q733-M733</f>
        <v>-14.299999999999997</v>
      </c>
    </row>
    <row r="734" spans="1:20">
      <c r="A734" s="6">
        <v>350</v>
      </c>
      <c r="B734" t="s">
        <v>49</v>
      </c>
      <c r="C734" t="s">
        <v>25</v>
      </c>
      <c r="D734">
        <v>33</v>
      </c>
      <c r="E734">
        <v>33</v>
      </c>
      <c r="F734" s="1">
        <f>+D734/(D734+E734)</f>
        <v>0.5</v>
      </c>
      <c r="G734" s="2">
        <v>98.4</v>
      </c>
      <c r="H734" s="2">
        <v>98.6</v>
      </c>
      <c r="I734" s="2">
        <f>+G734-H734</f>
        <v>-0.19999999999998863</v>
      </c>
      <c r="J734" s="1">
        <f>+(G734^14)/((G734^14+H734^14))</f>
        <v>0.49289387708201343</v>
      </c>
      <c r="K734" s="2">
        <v>105.2</v>
      </c>
      <c r="L734" s="2">
        <v>105.2</v>
      </c>
      <c r="M734" s="2">
        <f>+K734-L734</f>
        <v>0</v>
      </c>
      <c r="N734" s="1">
        <f>+F734-J734</f>
        <v>7.1061229179865681E-3</v>
      </c>
      <c r="O734" s="2">
        <v>100</v>
      </c>
      <c r="P734" s="2">
        <v>114.4</v>
      </c>
      <c r="Q734" s="2">
        <f>+O734-P734</f>
        <v>-14.400000000000006</v>
      </c>
      <c r="R734" s="2">
        <v>0</v>
      </c>
      <c r="S734" s="2">
        <v>0.6</v>
      </c>
      <c r="T734" s="2">
        <f>+Q734-M734</f>
        <v>-14.400000000000006</v>
      </c>
    </row>
    <row r="735" spans="1:20">
      <c r="A735" s="6">
        <v>734</v>
      </c>
      <c r="B735" t="s">
        <v>65</v>
      </c>
      <c r="C735" t="s">
        <v>20</v>
      </c>
      <c r="D735">
        <v>49</v>
      </c>
      <c r="E735">
        <v>33</v>
      </c>
      <c r="F735" s="1">
        <f>+D735/(D735+E735)</f>
        <v>0.59756097560975607</v>
      </c>
      <c r="G735" s="2">
        <v>114.3</v>
      </c>
      <c r="H735" s="2">
        <v>109.3</v>
      </c>
      <c r="I735" s="2">
        <f>+G735-H735</f>
        <v>5</v>
      </c>
      <c r="J735" s="1">
        <f>+(G735^14)/((G735^14+H735^14))</f>
        <v>0.65163242349651695</v>
      </c>
      <c r="K735" s="2">
        <v>115.7</v>
      </c>
      <c r="L735" s="2">
        <v>110.8</v>
      </c>
      <c r="M735" s="2">
        <f>+K735-L735</f>
        <v>4.9000000000000057</v>
      </c>
      <c r="N735" s="1">
        <f>+F735-J735</f>
        <v>-5.4071447886760882E-2</v>
      </c>
      <c r="O735" s="2">
        <v>105.4</v>
      </c>
      <c r="P735" s="2">
        <v>114.9</v>
      </c>
      <c r="Q735" s="2">
        <f>+O735-P735</f>
        <v>-9.5</v>
      </c>
      <c r="R735" s="2">
        <v>2.2999999999999998</v>
      </c>
      <c r="S735" s="2">
        <v>8.9</v>
      </c>
      <c r="T735" s="2">
        <f>+Q735-M735</f>
        <v>-14.400000000000006</v>
      </c>
    </row>
    <row r="736" spans="1:20">
      <c r="A736" s="6">
        <v>655</v>
      </c>
      <c r="B736" t="s">
        <v>62</v>
      </c>
      <c r="C736" t="s">
        <v>31</v>
      </c>
      <c r="D736">
        <v>49</v>
      </c>
      <c r="E736">
        <v>33</v>
      </c>
      <c r="F736" s="1">
        <f>+D736/(D736+E736)</f>
        <v>0.59756097560975607</v>
      </c>
      <c r="G736" s="2">
        <v>113.6</v>
      </c>
      <c r="H736" s="2">
        <v>107.6</v>
      </c>
      <c r="I736" s="2">
        <f>+G736-H736</f>
        <v>6</v>
      </c>
      <c r="J736" s="1">
        <f>+(G736^14)/((G736^14+H736^14))</f>
        <v>0.68128425860011865</v>
      </c>
      <c r="K736" s="2">
        <v>116.2</v>
      </c>
      <c r="L736" s="2">
        <v>110</v>
      </c>
      <c r="M736" s="2">
        <f>+K736-L736</f>
        <v>6.2000000000000028</v>
      </c>
      <c r="N736" s="1">
        <f>+F736-J736</f>
        <v>-8.372328299036258E-2</v>
      </c>
      <c r="O736" s="2">
        <v>105.1</v>
      </c>
      <c r="P736" s="2">
        <v>113.5</v>
      </c>
      <c r="Q736" s="2">
        <f>+O736-P736</f>
        <v>-8.4000000000000057</v>
      </c>
      <c r="R736" s="2">
        <v>0.7</v>
      </c>
      <c r="S736" s="2">
        <v>3.7</v>
      </c>
      <c r="T736" s="2">
        <f>+Q736-M736</f>
        <v>-14.600000000000009</v>
      </c>
    </row>
    <row r="737" spans="1:20">
      <c r="A737" s="6">
        <v>246</v>
      </c>
      <c r="B737" t="s">
        <v>45</v>
      </c>
      <c r="C737" t="s">
        <v>14</v>
      </c>
      <c r="D737">
        <v>53</v>
      </c>
      <c r="E737">
        <v>29</v>
      </c>
      <c r="F737" s="1">
        <f>+D737/(D737+E737)</f>
        <v>0.64634146341463417</v>
      </c>
      <c r="G737" s="2">
        <v>98.4</v>
      </c>
      <c r="H737" s="2">
        <v>94.4</v>
      </c>
      <c r="I737" s="2">
        <f>+G737-H737</f>
        <v>4</v>
      </c>
      <c r="J737" s="1">
        <f>+(G737^14)/((G737^14+H737^14))</f>
        <v>0.64129660723482429</v>
      </c>
      <c r="K737" s="2">
        <v>107.1</v>
      </c>
      <c r="L737" s="2">
        <v>102.9</v>
      </c>
      <c r="M737" s="2">
        <f>+K737-L737</f>
        <v>4.1999999999999886</v>
      </c>
      <c r="N737" s="1">
        <f>+F737-J737</f>
        <v>5.0448561798098757E-3</v>
      </c>
      <c r="O737" s="2">
        <v>93.3</v>
      </c>
      <c r="P737" s="2">
        <v>103.8</v>
      </c>
      <c r="Q737" s="2">
        <f>+O737-P737</f>
        <v>-10.5</v>
      </c>
      <c r="R737" s="2">
        <v>-0.6</v>
      </c>
      <c r="S737" s="2">
        <v>-1.6</v>
      </c>
      <c r="T737" s="2">
        <f>+Q737-M737</f>
        <v>-14.699999999999989</v>
      </c>
    </row>
    <row r="738" spans="1:20">
      <c r="A738" s="6">
        <v>306</v>
      </c>
      <c r="B738" t="s">
        <v>48</v>
      </c>
      <c r="C738" t="s">
        <v>14</v>
      </c>
      <c r="D738">
        <v>43</v>
      </c>
      <c r="E738">
        <v>39</v>
      </c>
      <c r="F738" s="1">
        <f>+D738/(D738+E738)</f>
        <v>0.52439024390243905</v>
      </c>
      <c r="G738" s="2">
        <v>105.9</v>
      </c>
      <c r="H738" s="2">
        <v>103.7</v>
      </c>
      <c r="I738" s="2">
        <f>+G738-H738</f>
        <v>2.2000000000000028</v>
      </c>
      <c r="J738" s="1">
        <f>+(G738^14)/((G738^14+H738^14))</f>
        <v>0.57295160820263835</v>
      </c>
      <c r="K738" s="2">
        <v>110.2</v>
      </c>
      <c r="L738" s="2">
        <v>107.9</v>
      </c>
      <c r="M738" s="2">
        <f>+K738-L738</f>
        <v>2.2999999999999972</v>
      </c>
      <c r="N738" s="1">
        <f>+F738-J738</f>
        <v>-4.8561364300199306E-2</v>
      </c>
      <c r="O738" s="2">
        <v>99.5</v>
      </c>
      <c r="P738" s="2">
        <v>112.1</v>
      </c>
      <c r="Q738" s="2">
        <f>+O738-P738</f>
        <v>-12.599999999999994</v>
      </c>
      <c r="R738" s="2">
        <v>-0.5</v>
      </c>
      <c r="S738" s="2">
        <v>-1.3</v>
      </c>
      <c r="T738" s="2">
        <f>+Q738-M738</f>
        <v>-14.899999999999991</v>
      </c>
    </row>
    <row r="739" spans="1:20">
      <c r="A739" s="6">
        <v>446</v>
      </c>
      <c r="B739" t="s">
        <v>54</v>
      </c>
      <c r="C739" t="s">
        <v>33</v>
      </c>
      <c r="D739">
        <v>46</v>
      </c>
      <c r="E739">
        <v>36</v>
      </c>
      <c r="F739" s="1">
        <f>+D739/(D739+E739)</f>
        <v>0.56097560975609762</v>
      </c>
      <c r="G739" s="2">
        <v>98.5</v>
      </c>
      <c r="H739" s="2">
        <v>97.8</v>
      </c>
      <c r="I739" s="2">
        <f>+G739-H739</f>
        <v>0.70000000000000284</v>
      </c>
      <c r="J739" s="1">
        <f>+(G739^14)/((G739^14+H739^14))</f>
        <v>0.52494118140879675</v>
      </c>
      <c r="K739" s="2">
        <v>103</v>
      </c>
      <c r="L739" s="2">
        <v>102.4</v>
      </c>
      <c r="M739" s="2">
        <f>+K739-L739</f>
        <v>0.59999999999999432</v>
      </c>
      <c r="N739" s="1">
        <f>+F739-J739</f>
        <v>3.6034428347300862E-2</v>
      </c>
      <c r="O739" s="2">
        <v>89.6</v>
      </c>
      <c r="P739" s="2">
        <v>104</v>
      </c>
      <c r="Q739" s="2">
        <f>+O739-P739</f>
        <v>-14.400000000000006</v>
      </c>
      <c r="R739" s="2">
        <v>-1.7</v>
      </c>
      <c r="S739" s="2">
        <v>-7.5</v>
      </c>
      <c r="T739" s="2">
        <f>+Q739-M739</f>
        <v>-15</v>
      </c>
    </row>
    <row r="740" spans="1:20">
      <c r="A740" s="6">
        <v>702</v>
      </c>
      <c r="B740" t="s">
        <v>64</v>
      </c>
      <c r="C740" t="s">
        <v>18</v>
      </c>
      <c r="D740">
        <v>46</v>
      </c>
      <c r="E740">
        <v>36</v>
      </c>
      <c r="F740" s="1">
        <f>+D740/(D740+E740)</f>
        <v>0.56097560975609762</v>
      </c>
      <c r="G740" s="2">
        <v>110.1</v>
      </c>
      <c r="H740" s="2">
        <v>108.4</v>
      </c>
      <c r="I740" s="2">
        <f>+G740-H740</f>
        <v>1.6999999999999886</v>
      </c>
      <c r="J740" s="1">
        <f>+(G740^14)/((G740^14+H740^14))</f>
        <v>0.55424895602857005</v>
      </c>
      <c r="K740" s="2">
        <v>113.3</v>
      </c>
      <c r="L740" s="2">
        <v>111.5</v>
      </c>
      <c r="M740" s="2">
        <f>+K740-L740</f>
        <v>1.7999999999999972</v>
      </c>
      <c r="N740" s="1">
        <f>+F740-J740</f>
        <v>6.7266537275275651E-3</v>
      </c>
      <c r="O740" s="2">
        <v>99.3</v>
      </c>
      <c r="P740" s="2">
        <v>112.6</v>
      </c>
      <c r="Q740" s="2">
        <f>+O740-P740</f>
        <v>-13.299999999999997</v>
      </c>
      <c r="R740" s="2">
        <v>-1.2</v>
      </c>
      <c r="S740" s="2">
        <v>-5.5</v>
      </c>
      <c r="T740" s="2">
        <f>+Q740-M740</f>
        <v>-15.099999999999994</v>
      </c>
    </row>
    <row r="741" spans="1:20">
      <c r="A741" s="6">
        <v>581</v>
      </c>
      <c r="B741" t="s">
        <v>60</v>
      </c>
      <c r="C741" t="s">
        <v>35</v>
      </c>
      <c r="D741">
        <v>34</v>
      </c>
      <c r="E741">
        <v>39</v>
      </c>
      <c r="F741" s="1">
        <f>+D741/(D741+E741)</f>
        <v>0.46575342465753422</v>
      </c>
      <c r="G741" s="2">
        <v>112.6</v>
      </c>
      <c r="H741" s="2">
        <v>113.7</v>
      </c>
      <c r="I741" s="2">
        <f>+G741-H741</f>
        <v>-1.1000000000000085</v>
      </c>
      <c r="J741" s="1">
        <f>+(G741^14)/((G741^14+H741^14))</f>
        <v>0.46602653038070502</v>
      </c>
      <c r="K741" s="2">
        <v>108.7</v>
      </c>
      <c r="L741" s="2">
        <v>109.7</v>
      </c>
      <c r="M741" s="2">
        <f>+K741-L741</f>
        <v>-1</v>
      </c>
      <c r="N741" s="1">
        <f>+F741-J741</f>
        <v>-2.7310572317079673E-4</v>
      </c>
      <c r="O741" s="2">
        <v>100</v>
      </c>
      <c r="P741" s="2">
        <v>116.1</v>
      </c>
      <c r="Q741" s="2">
        <f>+O741-P741</f>
        <v>-16.099999999999994</v>
      </c>
      <c r="R741" s="2">
        <v>-0.1</v>
      </c>
      <c r="S741" s="2">
        <v>-2.2999999999999998</v>
      </c>
      <c r="T741" s="2">
        <f>+Q741-M741</f>
        <v>-15.099999999999994</v>
      </c>
    </row>
    <row r="742" spans="1:20">
      <c r="A742" s="6">
        <v>356</v>
      </c>
      <c r="B742" t="s">
        <v>49</v>
      </c>
      <c r="C742" t="s">
        <v>33</v>
      </c>
      <c r="D742">
        <v>20</v>
      </c>
      <c r="E742">
        <v>46</v>
      </c>
      <c r="F742" s="1">
        <f>+D742/(D742+E742)</f>
        <v>0.30303030303030304</v>
      </c>
      <c r="G742" s="2">
        <v>93.6</v>
      </c>
      <c r="H742" s="2">
        <v>98.4</v>
      </c>
      <c r="I742" s="2">
        <f>+G742-H742</f>
        <v>-4.8000000000000114</v>
      </c>
      <c r="J742" s="1">
        <f>+(G742^14)/((G742^14+H742^14))</f>
        <v>0.33177988336782011</v>
      </c>
      <c r="K742" s="2">
        <v>100</v>
      </c>
      <c r="L742" s="2">
        <v>104.9</v>
      </c>
      <c r="M742" s="2">
        <f>+K742-L742</f>
        <v>-4.9000000000000057</v>
      </c>
      <c r="N742" s="1">
        <f>+F742-J742</f>
        <v>-2.8749580337517067E-2</v>
      </c>
      <c r="O742" s="2">
        <v>90</v>
      </c>
      <c r="P742" s="2">
        <v>110.3</v>
      </c>
      <c r="Q742" s="2">
        <f>+O742-P742</f>
        <v>-20.299999999999997</v>
      </c>
      <c r="R742" s="2">
        <v>-0.3</v>
      </c>
      <c r="S742" s="2">
        <v>-3.3</v>
      </c>
      <c r="T742" s="2">
        <f>+Q742-M742</f>
        <v>-15.399999999999991</v>
      </c>
    </row>
    <row r="743" spans="1:20">
      <c r="A743" s="6">
        <v>284</v>
      </c>
      <c r="B743" t="s">
        <v>47</v>
      </c>
      <c r="C743" t="s">
        <v>21</v>
      </c>
      <c r="D743">
        <v>12</v>
      </c>
      <c r="E743">
        <v>70</v>
      </c>
      <c r="F743" s="1">
        <f>+D743/(D743+E743)</f>
        <v>0.14634146341463414</v>
      </c>
      <c r="G743" s="2">
        <v>92.4</v>
      </c>
      <c r="H743" s="2">
        <v>101.5</v>
      </c>
      <c r="I743" s="2">
        <f>+G743-H743</f>
        <v>-9.0999999999999943</v>
      </c>
      <c r="J743" s="1">
        <f>+(G743^14)/((G743^14+H743^14))</f>
        <v>0.21164377791033548</v>
      </c>
      <c r="K743" s="2">
        <v>99.3</v>
      </c>
      <c r="L743" s="2">
        <v>108.9</v>
      </c>
      <c r="M743" s="2">
        <f>+K743-L743</f>
        <v>-9.6000000000000085</v>
      </c>
      <c r="N743" s="1">
        <f>+F743-J743</f>
        <v>-6.5302314495701341E-2</v>
      </c>
      <c r="O743" s="2">
        <v>84.5</v>
      </c>
      <c r="P743" s="2">
        <v>109.7</v>
      </c>
      <c r="Q743" s="2">
        <f>+O743-P743</f>
        <v>-25.200000000000003</v>
      </c>
      <c r="R743" s="2">
        <v>-1.1000000000000001</v>
      </c>
      <c r="S743" s="2">
        <v>-5.4</v>
      </c>
      <c r="T743" s="2">
        <f>+Q743-M743</f>
        <v>-15.599999999999994</v>
      </c>
    </row>
    <row r="744" spans="1:20">
      <c r="A744" s="6">
        <v>275</v>
      </c>
      <c r="B744" t="s">
        <v>47</v>
      </c>
      <c r="C744" t="s">
        <v>13</v>
      </c>
      <c r="D744">
        <v>26</v>
      </c>
      <c r="E744">
        <v>56</v>
      </c>
      <c r="F744" s="1">
        <f>+D744/(D744+E744)</f>
        <v>0.31707317073170732</v>
      </c>
      <c r="G744" s="2">
        <v>108.8</v>
      </c>
      <c r="H744" s="2">
        <v>112.4</v>
      </c>
      <c r="I744" s="2">
        <f>+G744-H744</f>
        <v>-3.6000000000000085</v>
      </c>
      <c r="J744" s="1">
        <f>+(G744^14)/((G744^14+H744^14))</f>
        <v>0.38799774425602013</v>
      </c>
      <c r="K744" s="2">
        <v>107</v>
      </c>
      <c r="L744" s="2">
        <v>110.3</v>
      </c>
      <c r="M744" s="2">
        <f>+K744-L744</f>
        <v>-3.2999999999999972</v>
      </c>
      <c r="N744" s="1">
        <f>+F744-J744</f>
        <v>-7.0924573524312806E-2</v>
      </c>
      <c r="O744" s="2">
        <v>94.4</v>
      </c>
      <c r="P744" s="2">
        <v>113.4</v>
      </c>
      <c r="Q744" s="2">
        <f>+O744-P744</f>
        <v>-19</v>
      </c>
      <c r="R744" s="2">
        <v>1.4</v>
      </c>
      <c r="S744" s="2">
        <v>4.2</v>
      </c>
      <c r="T744" s="2">
        <f>+Q744-M744</f>
        <v>-15.700000000000003</v>
      </c>
    </row>
    <row r="745" spans="1:20">
      <c r="A745" s="6">
        <v>467</v>
      </c>
      <c r="B745" t="s">
        <v>55</v>
      </c>
      <c r="C745" t="s">
        <v>46</v>
      </c>
      <c r="D745">
        <v>55</v>
      </c>
      <c r="E745">
        <v>27</v>
      </c>
      <c r="F745" s="1">
        <f>+D745/(D745+E745)</f>
        <v>0.67073170731707321</v>
      </c>
      <c r="G745" s="2">
        <v>110.2</v>
      </c>
      <c r="H745" s="2">
        <v>102.9</v>
      </c>
      <c r="I745" s="2">
        <f>+G745-H745</f>
        <v>7.2999999999999972</v>
      </c>
      <c r="J745" s="1">
        <f>+(G745^14)/((G745^14+H745^14))</f>
        <v>0.72303160932792188</v>
      </c>
      <c r="K745" s="2">
        <v>112.1</v>
      </c>
      <c r="L745" s="2">
        <v>104.8</v>
      </c>
      <c r="M745" s="2">
        <f>+K745-L745</f>
        <v>7.2999999999999972</v>
      </c>
      <c r="N745" s="1">
        <f>+F745-J745</f>
        <v>-5.2299902010848665E-2</v>
      </c>
      <c r="O745" s="2">
        <v>102.2</v>
      </c>
      <c r="P745" s="2">
        <v>110.7</v>
      </c>
      <c r="Q745" s="2">
        <f>+O745-P745</f>
        <v>-8.5</v>
      </c>
      <c r="R745" s="2">
        <v>0</v>
      </c>
      <c r="S745" s="2">
        <v>-1.9</v>
      </c>
      <c r="T745" s="2">
        <f>+Q745-M745</f>
        <v>-15.799999999999997</v>
      </c>
    </row>
    <row r="746" spans="1:20">
      <c r="A746" s="6">
        <v>732</v>
      </c>
      <c r="B746" t="s">
        <v>65</v>
      </c>
      <c r="C746" t="s">
        <v>18</v>
      </c>
      <c r="D746">
        <v>37</v>
      </c>
      <c r="E746">
        <v>45</v>
      </c>
      <c r="F746" s="1">
        <f>+D746/(D746+E746)</f>
        <v>0.45121951219512196</v>
      </c>
      <c r="G746" s="2">
        <v>110.6</v>
      </c>
      <c r="H746" s="2">
        <v>110</v>
      </c>
      <c r="I746" s="2">
        <f>+G746-H746</f>
        <v>0.59999999999999432</v>
      </c>
      <c r="J746" s="1">
        <f>+(G746^14)/((G746^14+H746^14))</f>
        <v>0.51902983505832589</v>
      </c>
      <c r="K746" s="2">
        <v>112.4</v>
      </c>
      <c r="L746" s="2">
        <v>112</v>
      </c>
      <c r="M746" s="2">
        <f>+K746-L746</f>
        <v>0.40000000000000568</v>
      </c>
      <c r="N746" s="1">
        <f>+F746-J746</f>
        <v>-6.7810322863203931E-2</v>
      </c>
      <c r="O746" s="2">
        <v>93.7</v>
      </c>
      <c r="P746" s="2">
        <v>109.1</v>
      </c>
      <c r="Q746" s="2">
        <f>+O746-P746</f>
        <v>-15.399999999999991</v>
      </c>
      <c r="R746" s="2">
        <v>-0.7</v>
      </c>
      <c r="S746" s="2">
        <v>-3.8</v>
      </c>
      <c r="T746" s="2">
        <f>+Q746-M746</f>
        <v>-15.799999999999997</v>
      </c>
    </row>
    <row r="747" spans="1:20">
      <c r="A747" s="6">
        <v>761</v>
      </c>
      <c r="B747" t="s">
        <v>66</v>
      </c>
      <c r="C747" t="s">
        <v>35</v>
      </c>
      <c r="D747">
        <v>23</v>
      </c>
      <c r="E747">
        <v>39</v>
      </c>
      <c r="F747" s="1">
        <f>+D747/(D747+E747)</f>
        <v>0.37096774193548387</v>
      </c>
      <c r="G747" s="2">
        <v>115.7</v>
      </c>
      <c r="H747" s="2">
        <v>117.8</v>
      </c>
      <c r="I747" s="2">
        <f>+G747-H747</f>
        <v>-2.0999999999999943</v>
      </c>
      <c r="J747" s="1">
        <f>+(G747^14)/((G747^14+H747^14))</f>
        <v>0.43737388346402561</v>
      </c>
      <c r="K747" s="2">
        <v>113.5</v>
      </c>
      <c r="L747" s="2">
        <v>115.8</v>
      </c>
      <c r="M747" s="2">
        <f>+K747-L747</f>
        <v>-2.2999999999999972</v>
      </c>
      <c r="N747" s="1">
        <f>+F747-J747</f>
        <v>-6.640614152854174E-2</v>
      </c>
      <c r="O747" s="2">
        <v>100.4</v>
      </c>
      <c r="P747" s="2">
        <v>118.6</v>
      </c>
      <c r="Q747" s="2">
        <f>+O747-P747</f>
        <v>-18.199999999999989</v>
      </c>
      <c r="R747" s="2">
        <v>-1.1000000000000001</v>
      </c>
      <c r="S747" s="2">
        <v>-4.9000000000000004</v>
      </c>
      <c r="T747" s="2">
        <f>+Q747-M747</f>
        <v>-15.899999999999991</v>
      </c>
    </row>
    <row r="748" spans="1:20">
      <c r="A748" s="6">
        <v>605</v>
      </c>
      <c r="B748" t="s">
        <v>61</v>
      </c>
      <c r="C748" t="s">
        <v>12</v>
      </c>
      <c r="D748">
        <v>20</v>
      </c>
      <c r="E748">
        <v>52</v>
      </c>
      <c r="F748" s="1">
        <f>+D748/(D748+E748)</f>
        <v>0.27777777777777779</v>
      </c>
      <c r="G748" s="2">
        <v>106.6</v>
      </c>
      <c r="H748" s="2">
        <v>111.1</v>
      </c>
      <c r="I748" s="2">
        <f>+G748-H748</f>
        <v>-4.5</v>
      </c>
      <c r="J748" s="1">
        <f>+(G748^14)/((G748^14+H748^14))</f>
        <v>0.35919481428812144</v>
      </c>
      <c r="K748" s="2">
        <v>107.6</v>
      </c>
      <c r="L748" s="2">
        <v>112.2</v>
      </c>
      <c r="M748" s="2">
        <f>+K748-L748</f>
        <v>-4.6000000000000085</v>
      </c>
      <c r="N748" s="1">
        <f>+F748-J748</f>
        <v>-8.1417036510343654E-2</v>
      </c>
      <c r="O748" s="2">
        <v>101.2</v>
      </c>
      <c r="P748" s="2">
        <v>121.7</v>
      </c>
      <c r="Q748" s="2">
        <f>+O748-P748</f>
        <v>-20.5</v>
      </c>
      <c r="R748" s="2">
        <v>-0.3</v>
      </c>
      <c r="S748" s="2">
        <v>-0.8</v>
      </c>
      <c r="T748" s="2">
        <f>+Q748-M748</f>
        <v>-15.899999999999991</v>
      </c>
    </row>
    <row r="749" spans="1:20">
      <c r="A749" s="6">
        <v>657</v>
      </c>
      <c r="B749" t="s">
        <v>63</v>
      </c>
      <c r="C749" t="s">
        <v>5</v>
      </c>
      <c r="D749">
        <v>41</v>
      </c>
      <c r="E749">
        <v>41</v>
      </c>
      <c r="F749" s="1">
        <f>+D749/(D749+E749)</f>
        <v>0.5</v>
      </c>
      <c r="G749" s="2">
        <v>118.4</v>
      </c>
      <c r="H749" s="2">
        <v>118.1</v>
      </c>
      <c r="I749" s="2">
        <f>+G749-H749</f>
        <v>0.30000000000001137</v>
      </c>
      <c r="J749" s="1">
        <f>+(G749^14)/((G749^14+H749^14))</f>
        <v>0.50887856400324194</v>
      </c>
      <c r="K749" s="2">
        <v>115.5</v>
      </c>
      <c r="L749" s="2">
        <v>115.4</v>
      </c>
      <c r="M749" s="2">
        <f>+K749-L749</f>
        <v>9.9999999999994316E-2</v>
      </c>
      <c r="N749" s="1">
        <f>+F749-J749</f>
        <v>-8.87856400324194E-3</v>
      </c>
      <c r="O749" s="2">
        <v>102.1</v>
      </c>
      <c r="P749" s="2">
        <v>118.6</v>
      </c>
      <c r="Q749" s="2">
        <f>+O749-P749</f>
        <v>-16.5</v>
      </c>
      <c r="R749" s="2">
        <v>-0.9</v>
      </c>
      <c r="S749" s="2">
        <v>-4.5999999999999996</v>
      </c>
      <c r="T749" s="2">
        <f>+Q749-M749</f>
        <v>-16.599999999999994</v>
      </c>
    </row>
    <row r="750" spans="1:20">
      <c r="A750" s="6">
        <v>628</v>
      </c>
      <c r="B750" t="s">
        <v>62</v>
      </c>
      <c r="C750" t="s">
        <v>6</v>
      </c>
      <c r="D750">
        <v>51</v>
      </c>
      <c r="E750">
        <v>31</v>
      </c>
      <c r="F750" s="1">
        <f>+D750/(D750+E750)</f>
        <v>0.62195121951219512</v>
      </c>
      <c r="G750" s="2">
        <v>111.8</v>
      </c>
      <c r="H750" s="2">
        <v>104.5</v>
      </c>
      <c r="I750" s="2">
        <f>+G750-H750</f>
        <v>7.2999999999999972</v>
      </c>
      <c r="J750" s="1">
        <f>+(G750^14)/((G750^14+H750^14))</f>
        <v>0.72017762385554718</v>
      </c>
      <c r="K750" s="2">
        <v>113.6</v>
      </c>
      <c r="L750" s="2">
        <v>106.2</v>
      </c>
      <c r="M750" s="2">
        <f>+K750-L750</f>
        <v>7.3999999999999915</v>
      </c>
      <c r="N750" s="1">
        <f>+F750-J750</f>
        <v>-9.8226404343352058E-2</v>
      </c>
      <c r="O750" s="2">
        <v>96.8</v>
      </c>
      <c r="P750" s="2">
        <v>106.2</v>
      </c>
      <c r="Q750" s="2">
        <f>+O750-P750</f>
        <v>-9.4000000000000057</v>
      </c>
      <c r="R750" s="2">
        <v>0.3</v>
      </c>
      <c r="S750" s="2">
        <v>0.6</v>
      </c>
      <c r="T750" s="2">
        <f>+Q750-M750</f>
        <v>-16.799999999999997</v>
      </c>
    </row>
    <row r="751" spans="1:20">
      <c r="A751" s="6">
        <v>221</v>
      </c>
      <c r="B751" t="s">
        <v>44</v>
      </c>
      <c r="C751" t="s">
        <v>18</v>
      </c>
      <c r="D751">
        <v>15</v>
      </c>
      <c r="E751">
        <v>67</v>
      </c>
      <c r="F751" s="1">
        <f>+D751/(D751+E751)</f>
        <v>0.18292682926829268</v>
      </c>
      <c r="G751" s="2">
        <v>91.4</v>
      </c>
      <c r="H751" s="2">
        <v>100</v>
      </c>
      <c r="I751" s="2">
        <f>+G751-H751</f>
        <v>-8.5999999999999943</v>
      </c>
      <c r="J751" s="1">
        <f>+(G751^14)/((G751^14+H751^14))</f>
        <v>0.2211554021057861</v>
      </c>
      <c r="K751" s="2">
        <v>99.4</v>
      </c>
      <c r="L751" s="2">
        <v>108.8</v>
      </c>
      <c r="M751" s="2">
        <f>+K751-L751</f>
        <v>-9.3999999999999915</v>
      </c>
      <c r="N751" s="1">
        <f>+F751-J751</f>
        <v>-3.8228572837493424E-2</v>
      </c>
      <c r="O751" s="2">
        <v>85.2</v>
      </c>
      <c r="P751" s="2">
        <v>111.4</v>
      </c>
      <c r="Q751" s="2">
        <f>+O751-P751</f>
        <v>-26.200000000000003</v>
      </c>
      <c r="R751" s="2">
        <v>-2</v>
      </c>
      <c r="S751" s="2">
        <v>-10.8</v>
      </c>
      <c r="T751" s="2">
        <f>+Q751-M751</f>
        <v>-16.800000000000011</v>
      </c>
    </row>
    <row r="752" spans="1:20">
      <c r="A752" s="6">
        <v>277</v>
      </c>
      <c r="B752" t="s">
        <v>47</v>
      </c>
      <c r="C752" t="s">
        <v>15</v>
      </c>
      <c r="D752">
        <v>32</v>
      </c>
      <c r="E752">
        <v>50</v>
      </c>
      <c r="F752" s="1">
        <f>+D752/(D752+E752)</f>
        <v>0.3902439024390244</v>
      </c>
      <c r="G752" s="2">
        <v>100.8</v>
      </c>
      <c r="H752" s="2">
        <v>103.8</v>
      </c>
      <c r="I752" s="2">
        <f>+G752-H752</f>
        <v>-3</v>
      </c>
      <c r="J752" s="1">
        <f>+(G752^14)/((G752^14+H752^14))</f>
        <v>0.39877147110517808</v>
      </c>
      <c r="K752" s="2">
        <v>103</v>
      </c>
      <c r="L752" s="2">
        <v>106</v>
      </c>
      <c r="M752" s="2">
        <f>+K752-L752</f>
        <v>-3</v>
      </c>
      <c r="N752" s="1">
        <f>+F752-J752</f>
        <v>-8.5275686661536731E-3</v>
      </c>
      <c r="O752" s="2">
        <v>84</v>
      </c>
      <c r="P752" s="2">
        <v>103.9</v>
      </c>
      <c r="Q752" s="2">
        <f>+O752-P752</f>
        <v>-19.900000000000006</v>
      </c>
      <c r="R752" s="2">
        <v>0.2</v>
      </c>
      <c r="S752" s="2">
        <v>1.3</v>
      </c>
      <c r="T752" s="2">
        <f>+Q752-M752</f>
        <v>-16.900000000000006</v>
      </c>
    </row>
    <row r="753" spans="1:20">
      <c r="A753" s="6">
        <v>197</v>
      </c>
      <c r="B753" t="s">
        <v>43</v>
      </c>
      <c r="C753" t="s">
        <v>23</v>
      </c>
      <c r="D753">
        <v>40</v>
      </c>
      <c r="E753">
        <v>42</v>
      </c>
      <c r="F753" s="1">
        <f>+D753/(D753+E753)</f>
        <v>0.48780487804878048</v>
      </c>
      <c r="G753" s="2">
        <v>94.8</v>
      </c>
      <c r="H753" s="2">
        <v>94</v>
      </c>
      <c r="I753" s="2">
        <f>+G753-H753</f>
        <v>0.79999999999999716</v>
      </c>
      <c r="J753" s="1">
        <f>+(G753^14)/((G753^14+H753^14))</f>
        <v>0.52962644935389902</v>
      </c>
      <c r="K753" s="2">
        <v>104.1</v>
      </c>
      <c r="L753" s="2">
        <v>103.3</v>
      </c>
      <c r="M753" s="2">
        <f>+K753-L753</f>
        <v>0.79999999999999716</v>
      </c>
      <c r="N753" s="1">
        <f>+F753-J753</f>
        <v>-4.1821571305118543E-2</v>
      </c>
      <c r="O753" s="2">
        <v>84.7</v>
      </c>
      <c r="P753" s="2">
        <v>100.9</v>
      </c>
      <c r="Q753" s="2">
        <f>+O753-P753</f>
        <v>-16.200000000000003</v>
      </c>
      <c r="R753" s="2">
        <v>-0.4</v>
      </c>
      <c r="S753" s="2">
        <v>-3.9</v>
      </c>
      <c r="T753" s="2">
        <f>+Q753-M753</f>
        <v>-17</v>
      </c>
    </row>
    <row r="754" spans="1:20">
      <c r="A754" s="6">
        <v>250</v>
      </c>
      <c r="B754" t="s">
        <v>45</v>
      </c>
      <c r="C754" t="s">
        <v>35</v>
      </c>
      <c r="D754">
        <v>24</v>
      </c>
      <c r="E754">
        <v>58</v>
      </c>
      <c r="F754" s="1">
        <f>+D754/(D754+E754)</f>
        <v>0.29268292682926828</v>
      </c>
      <c r="G754" s="2">
        <v>93.9</v>
      </c>
      <c r="H754" s="2">
        <v>99.3</v>
      </c>
      <c r="I754" s="2">
        <f>+G754-H754</f>
        <v>-5.3999999999999915</v>
      </c>
      <c r="J754" s="1">
        <f>+(G754^14)/((G754^14+H754^14))</f>
        <v>0.31371402581860747</v>
      </c>
      <c r="K754" s="2">
        <v>102.3</v>
      </c>
      <c r="L754" s="2">
        <v>108.2</v>
      </c>
      <c r="M754" s="2">
        <f>+K754-L754</f>
        <v>-5.9000000000000057</v>
      </c>
      <c r="N754" s="1">
        <f>+F754-J754</f>
        <v>-2.1031098989339192E-2</v>
      </c>
      <c r="O754" s="2">
        <v>90.2</v>
      </c>
      <c r="P754" s="2">
        <v>113.7</v>
      </c>
      <c r="Q754" s="2">
        <f>+O754-P754</f>
        <v>-23.5</v>
      </c>
      <c r="R754" s="2">
        <v>-1.6</v>
      </c>
      <c r="S754" s="2">
        <v>-7.1</v>
      </c>
      <c r="T754" s="2">
        <f>+Q754-M754</f>
        <v>-17.599999999999994</v>
      </c>
    </row>
    <row r="755" spans="1:20">
      <c r="A755" s="6">
        <v>571</v>
      </c>
      <c r="B755" t="s">
        <v>60</v>
      </c>
      <c r="C755" t="s">
        <v>8</v>
      </c>
      <c r="D755">
        <v>22</v>
      </c>
      <c r="E755">
        <v>43</v>
      </c>
      <c r="F755" s="1">
        <f>+D755/(D755+E755)</f>
        <v>0.33846153846153848</v>
      </c>
      <c r="G755" s="2">
        <v>106.8</v>
      </c>
      <c r="H755" s="2">
        <v>109.9</v>
      </c>
      <c r="I755" s="2">
        <f>+G755-H755</f>
        <v>-3.1000000000000085</v>
      </c>
      <c r="J755" s="1">
        <f>+(G755^14)/((G755^14+H755^14))</f>
        <v>0.40117273517246865</v>
      </c>
      <c r="K755" s="2">
        <v>105.8</v>
      </c>
      <c r="L755" s="2">
        <v>108.9</v>
      </c>
      <c r="M755" s="2">
        <f>+K755-L755</f>
        <v>-3.1000000000000085</v>
      </c>
      <c r="N755" s="1">
        <f>+F755-J755</f>
        <v>-6.2711196710930173E-2</v>
      </c>
      <c r="O755" s="2">
        <v>106.5</v>
      </c>
      <c r="P755" s="2">
        <v>127.3</v>
      </c>
      <c r="Q755" s="2">
        <f>+O755-P755</f>
        <v>-20.799999999999997</v>
      </c>
      <c r="R755" s="2">
        <v>-0.5</v>
      </c>
      <c r="S755" s="2">
        <v>-5</v>
      </c>
      <c r="T755" s="2">
        <f>+Q755-M755</f>
        <v>-17.699999999999989</v>
      </c>
    </row>
    <row r="756" spans="1:20">
      <c r="A756" s="6">
        <v>386</v>
      </c>
      <c r="B756" t="s">
        <v>50</v>
      </c>
      <c r="C756" t="s">
        <v>33</v>
      </c>
      <c r="D756">
        <v>29</v>
      </c>
      <c r="E756">
        <v>53</v>
      </c>
      <c r="F756" s="1">
        <f>+D756/(D756+E756)</f>
        <v>0.35365853658536583</v>
      </c>
      <c r="G756" s="2">
        <v>93.2</v>
      </c>
      <c r="H756" s="2">
        <v>95.8</v>
      </c>
      <c r="I756" s="2">
        <f>+G756-H756</f>
        <v>-2.5999999999999943</v>
      </c>
      <c r="J756" s="1">
        <f>+(G756^14)/((G756^14+H756^14))</f>
        <v>0.4048710493768114</v>
      </c>
      <c r="K756" s="2">
        <v>99.3</v>
      </c>
      <c r="L756" s="2">
        <v>101.6</v>
      </c>
      <c r="M756" s="2">
        <f>+K756-L756</f>
        <v>-2.2999999999999972</v>
      </c>
      <c r="N756" s="1">
        <f>+F756-J756</f>
        <v>-5.1212512791445564E-2</v>
      </c>
      <c r="O756" s="2">
        <v>80.5</v>
      </c>
      <c r="P756" s="2">
        <v>100.7</v>
      </c>
      <c r="Q756" s="2">
        <f>+O756-P756</f>
        <v>-20.200000000000003</v>
      </c>
      <c r="R756" s="2">
        <v>0.6</v>
      </c>
      <c r="S756" s="2">
        <v>2.2999999999999998</v>
      </c>
      <c r="T756" s="2">
        <f>+Q756-M756</f>
        <v>-17.900000000000006</v>
      </c>
    </row>
    <row r="757" spans="1:20">
      <c r="A757" s="6">
        <v>704</v>
      </c>
      <c r="B757" t="s">
        <v>64</v>
      </c>
      <c r="C757" t="s">
        <v>20</v>
      </c>
      <c r="D757">
        <v>56</v>
      </c>
      <c r="E757">
        <v>26</v>
      </c>
      <c r="F757" s="1">
        <f>+D757/(D757+E757)</f>
        <v>0.68292682926829273</v>
      </c>
      <c r="G757" s="2">
        <v>113</v>
      </c>
      <c r="H757" s="2">
        <v>106.5</v>
      </c>
      <c r="I757" s="2">
        <f>+G757-H757</f>
        <v>6.5</v>
      </c>
      <c r="J757" s="1">
        <f>+(G757^14)/((G757^14+H757^14))</f>
        <v>0.6962279782158256</v>
      </c>
      <c r="K757" s="2">
        <v>114.6</v>
      </c>
      <c r="L757" s="2">
        <v>108.4</v>
      </c>
      <c r="M757" s="2">
        <f>+K757-L757</f>
        <v>6.1999999999999886</v>
      </c>
      <c r="N757" s="1">
        <f>+F757-J757</f>
        <v>-1.330114894753287E-2</v>
      </c>
      <c r="O757" s="2">
        <v>104.9</v>
      </c>
      <c r="P757" s="2">
        <v>116.7</v>
      </c>
      <c r="Q757" s="2">
        <f>+O757-P757</f>
        <v>-11.799999999999997</v>
      </c>
      <c r="R757" s="2">
        <v>1.2</v>
      </c>
      <c r="S757" s="2">
        <v>6.7</v>
      </c>
      <c r="T757" s="2">
        <f>+Q757-M757</f>
        <v>-17.999999999999986</v>
      </c>
    </row>
    <row r="758" spans="1:20">
      <c r="A758" s="6">
        <v>293</v>
      </c>
      <c r="B758" t="s">
        <v>47</v>
      </c>
      <c r="C758" t="s">
        <v>28</v>
      </c>
      <c r="D758">
        <v>50</v>
      </c>
      <c r="E758">
        <v>32</v>
      </c>
      <c r="F758" s="1">
        <f>+D758/(D758+E758)</f>
        <v>0.6097560975609756</v>
      </c>
      <c r="G758" s="2">
        <v>101.4</v>
      </c>
      <c r="H758" s="2">
        <v>96.3</v>
      </c>
      <c r="I758" s="2">
        <f>+G758-H758</f>
        <v>5.1000000000000085</v>
      </c>
      <c r="J758" s="1">
        <f>+(G758^14)/((G758^14+H758^14))</f>
        <v>0.67314999462615233</v>
      </c>
      <c r="K758" s="2">
        <v>109.3</v>
      </c>
      <c r="L758" s="2">
        <v>103.9</v>
      </c>
      <c r="M758" s="2">
        <f>+K758-L758</f>
        <v>5.3999999999999915</v>
      </c>
      <c r="N758" s="1">
        <f>+F758-J758</f>
        <v>-6.339389706517673E-2</v>
      </c>
      <c r="O758" s="2">
        <v>99.3</v>
      </c>
      <c r="P758" s="2">
        <v>112.2</v>
      </c>
      <c r="Q758" s="2">
        <f>+O758-P758</f>
        <v>-12.900000000000006</v>
      </c>
      <c r="R758" s="2">
        <v>0.9</v>
      </c>
      <c r="S758" s="2">
        <v>3.7</v>
      </c>
      <c r="T758" s="2">
        <f>+Q758-M758</f>
        <v>-18.299999999999997</v>
      </c>
    </row>
    <row r="759" spans="1:20">
      <c r="A759" s="6">
        <v>329</v>
      </c>
      <c r="B759" t="s">
        <v>49</v>
      </c>
      <c r="C759" t="s">
        <v>40</v>
      </c>
      <c r="D759">
        <v>7</v>
      </c>
      <c r="E759">
        <v>59</v>
      </c>
      <c r="F759" s="1">
        <f>+D759/(D759+E759)</f>
        <v>0.10606060606060606</v>
      </c>
      <c r="G759" s="2">
        <v>87</v>
      </c>
      <c r="H759" s="2">
        <v>100.9</v>
      </c>
      <c r="I759" s="2">
        <f>+G759-H759</f>
        <v>-13.900000000000006</v>
      </c>
      <c r="J759" s="1">
        <f>+(G759^14)/((G759^14+H759^14))</f>
        <v>0.11154010247358601</v>
      </c>
      <c r="K759" s="2">
        <v>94.4</v>
      </c>
      <c r="L759" s="2">
        <v>109.4</v>
      </c>
      <c r="M759" s="2">
        <f>+K759-L759</f>
        <v>-15</v>
      </c>
      <c r="N759" s="1">
        <f>+F759-J759</f>
        <v>-5.4794964129799423E-3</v>
      </c>
      <c r="O759" s="2">
        <v>82.8</v>
      </c>
      <c r="P759" s="2">
        <v>116.2</v>
      </c>
      <c r="Q759" s="2">
        <f>+O759-P759</f>
        <v>-33.400000000000006</v>
      </c>
      <c r="R759" s="2">
        <v>-2.8</v>
      </c>
      <c r="S759" s="2">
        <v>-13.3</v>
      </c>
      <c r="T759" s="2">
        <f>+Q759-M759</f>
        <v>-18.400000000000006</v>
      </c>
    </row>
    <row r="760" spans="1:20">
      <c r="A760" s="6">
        <v>69</v>
      </c>
      <c r="B760" t="s">
        <v>36</v>
      </c>
      <c r="C760" t="s">
        <v>16</v>
      </c>
      <c r="D760">
        <v>27</v>
      </c>
      <c r="E760">
        <v>55</v>
      </c>
      <c r="F760" s="1">
        <f>+D760/(D760+E760)</f>
        <v>0.32926829268292684</v>
      </c>
      <c r="G760" s="2">
        <v>93.8</v>
      </c>
      <c r="H760" s="2">
        <v>97.9</v>
      </c>
      <c r="I760" s="2">
        <f>+G760-H760</f>
        <v>-4.1000000000000085</v>
      </c>
      <c r="J760" s="1">
        <f>+(G760^14)/((G760^14+H760^14))</f>
        <v>0.3545853935949021</v>
      </c>
      <c r="K760" s="2">
        <v>101.1</v>
      </c>
      <c r="L760" s="2">
        <v>105.1</v>
      </c>
      <c r="M760" s="2">
        <f>+K760-L760</f>
        <v>-4</v>
      </c>
      <c r="N760" s="1">
        <f>+F760-J760</f>
        <v>-2.5317100911975254E-2</v>
      </c>
      <c r="O760" s="2">
        <v>94</v>
      </c>
      <c r="P760" s="2">
        <v>116.5</v>
      </c>
      <c r="Q760" s="2">
        <f>+O760-P760</f>
        <v>-22.5</v>
      </c>
      <c r="R760" s="2">
        <v>-0.5</v>
      </c>
      <c r="S760" s="2">
        <v>-1.6</v>
      </c>
      <c r="T760" s="2">
        <f>+Q760-M760</f>
        <v>-18.5</v>
      </c>
    </row>
    <row r="761" spans="1:20">
      <c r="A761" s="6">
        <v>705</v>
      </c>
      <c r="B761" t="s">
        <v>64</v>
      </c>
      <c r="C761" t="s">
        <v>53</v>
      </c>
      <c r="D761">
        <v>49</v>
      </c>
      <c r="E761">
        <v>32</v>
      </c>
      <c r="F761" s="1">
        <f>+D761/(D761+E761)</f>
        <v>0.60493827160493829</v>
      </c>
      <c r="G761" s="2">
        <v>115.4</v>
      </c>
      <c r="H761" s="2">
        <v>110.4</v>
      </c>
      <c r="I761" s="2">
        <f>+G761-H761</f>
        <v>5</v>
      </c>
      <c r="J761" s="1">
        <f>+(G761^14)/((G761^14+H761^14))</f>
        <v>0.65024563171173744</v>
      </c>
      <c r="K761" s="2">
        <v>116.9</v>
      </c>
      <c r="L761" s="2">
        <v>111.7</v>
      </c>
      <c r="M761" s="2">
        <f>+K761-L761</f>
        <v>5.2000000000000028</v>
      </c>
      <c r="N761" s="1">
        <f>+F761-J761</f>
        <v>-4.5307360106799144E-2</v>
      </c>
      <c r="O761" s="2">
        <v>99</v>
      </c>
      <c r="P761" s="2">
        <v>112.3</v>
      </c>
      <c r="Q761" s="2">
        <f>+O761-P761</f>
        <v>-13.299999999999997</v>
      </c>
      <c r="R761" s="2">
        <v>-0.3</v>
      </c>
      <c r="S761" s="2">
        <v>-0.2</v>
      </c>
      <c r="T761" s="2">
        <f>+Q761-M761</f>
        <v>-18.5</v>
      </c>
    </row>
    <row r="762" spans="1:20">
      <c r="A762" s="6">
        <v>375</v>
      </c>
      <c r="B762" t="s">
        <v>50</v>
      </c>
      <c r="C762" t="s">
        <v>37</v>
      </c>
      <c r="D762">
        <v>27</v>
      </c>
      <c r="E762">
        <v>55</v>
      </c>
      <c r="F762" s="1">
        <f>+D762/(D762+E762)</f>
        <v>0.32926829268292684</v>
      </c>
      <c r="G762" s="2">
        <v>94.1</v>
      </c>
      <c r="H762" s="2">
        <v>97.9</v>
      </c>
      <c r="I762" s="2">
        <f>+G762-H762</f>
        <v>-3.8000000000000114</v>
      </c>
      <c r="J762" s="1">
        <f>+(G762^14)/((G762^14+H762^14))</f>
        <v>0.3648814793953255</v>
      </c>
      <c r="K762" s="2">
        <v>104.5</v>
      </c>
      <c r="L762" s="2">
        <v>108.9</v>
      </c>
      <c r="M762" s="2">
        <f>+K762-L762</f>
        <v>-4.4000000000000057</v>
      </c>
      <c r="N762" s="1">
        <f>+F762-J762</f>
        <v>-3.5613186712398659E-2</v>
      </c>
      <c r="O762" s="2">
        <v>93.6</v>
      </c>
      <c r="P762" s="2">
        <v>116.9</v>
      </c>
      <c r="Q762" s="2">
        <f>+O762-P762</f>
        <v>-23.300000000000011</v>
      </c>
      <c r="R762" s="2">
        <v>-0.7</v>
      </c>
      <c r="S762" s="2">
        <v>-3.6</v>
      </c>
      <c r="T762" s="2">
        <f>+Q762-M762</f>
        <v>-18.900000000000006</v>
      </c>
    </row>
    <row r="763" spans="1:20">
      <c r="A763" s="6">
        <v>404</v>
      </c>
      <c r="B763" t="s">
        <v>52</v>
      </c>
      <c r="C763" t="s">
        <v>20</v>
      </c>
      <c r="D763">
        <v>40</v>
      </c>
      <c r="E763">
        <v>42</v>
      </c>
      <c r="F763" s="1">
        <f>+D763/(D763+E763)</f>
        <v>0.48780487804878048</v>
      </c>
      <c r="G763" s="2">
        <v>106.9</v>
      </c>
      <c r="H763" s="2">
        <v>104.3</v>
      </c>
      <c r="I763" s="2">
        <f>+G763-H763</f>
        <v>2.6000000000000085</v>
      </c>
      <c r="J763" s="1">
        <f>+(G763^14)/((G763^14+H763^14))</f>
        <v>0.58533524678753013</v>
      </c>
      <c r="K763" s="2">
        <v>107.7</v>
      </c>
      <c r="L763" s="2">
        <v>105.2</v>
      </c>
      <c r="M763" s="2">
        <f>+K763-L763</f>
        <v>2.5</v>
      </c>
      <c r="N763" s="1">
        <f>+F763-J763</f>
        <v>-9.7530368738749651E-2</v>
      </c>
      <c r="O763" s="2">
        <v>99.7</v>
      </c>
      <c r="P763" s="2">
        <v>116.3</v>
      </c>
      <c r="Q763" s="2">
        <f>+O763-P763</f>
        <v>-16.599999999999994</v>
      </c>
      <c r="R763" s="2">
        <v>-2.2999999999999998</v>
      </c>
      <c r="S763" s="2">
        <v>-9.6999999999999993</v>
      </c>
      <c r="T763" s="2">
        <f>+Q763-M763</f>
        <v>-19.099999999999994</v>
      </c>
    </row>
    <row r="764" spans="1:20">
      <c r="A764" s="6">
        <v>349</v>
      </c>
      <c r="B764" t="s">
        <v>49</v>
      </c>
      <c r="C764" t="s">
        <v>24</v>
      </c>
      <c r="D764">
        <v>35</v>
      </c>
      <c r="E764">
        <v>31</v>
      </c>
      <c r="F764" s="1">
        <f>+D764/(D764+E764)</f>
        <v>0.53030303030303028</v>
      </c>
      <c r="G764" s="2">
        <v>93.6</v>
      </c>
      <c r="H764" s="2">
        <v>89.4</v>
      </c>
      <c r="I764" s="2">
        <f>+G764-H764</f>
        <v>4.1999999999999886</v>
      </c>
      <c r="J764" s="1">
        <f>+(G764^14)/((G764^14+H764^14))</f>
        <v>0.65537163395547915</v>
      </c>
      <c r="K764" s="2">
        <v>102.7</v>
      </c>
      <c r="L764" s="2">
        <v>98.2</v>
      </c>
      <c r="M764" s="2">
        <f>+K764-L764</f>
        <v>4.5</v>
      </c>
      <c r="N764" s="1">
        <f>+F764-J764</f>
        <v>-0.12506860365244887</v>
      </c>
      <c r="O764" s="2">
        <v>89.8</v>
      </c>
      <c r="P764" s="2">
        <v>104.4</v>
      </c>
      <c r="Q764" s="2">
        <f>+O764-P764</f>
        <v>-14.600000000000009</v>
      </c>
      <c r="R764" s="2">
        <v>-0.6</v>
      </c>
      <c r="S764" s="2">
        <v>-1.7</v>
      </c>
      <c r="T764" s="2">
        <f>+Q764-M764</f>
        <v>-19.100000000000009</v>
      </c>
    </row>
    <row r="765" spans="1:20">
      <c r="A765" s="6">
        <v>92</v>
      </c>
      <c r="B765" t="s">
        <v>38</v>
      </c>
      <c r="C765" t="s">
        <v>10</v>
      </c>
      <c r="D765">
        <v>52</v>
      </c>
      <c r="E765">
        <v>30</v>
      </c>
      <c r="F765" s="1">
        <f>+D765/(D765+E765)</f>
        <v>0.63414634146341464</v>
      </c>
      <c r="G765" s="2">
        <v>105.2</v>
      </c>
      <c r="H765" s="2">
        <v>100.8</v>
      </c>
      <c r="I765" s="2">
        <f>+G765-H765</f>
        <v>4.4000000000000057</v>
      </c>
      <c r="J765" s="1">
        <f>+(G765^14)/((G765^14+H765^14))</f>
        <v>0.64523276409206387</v>
      </c>
      <c r="K765" s="2">
        <v>110.4</v>
      </c>
      <c r="L765" s="2">
        <v>105.9</v>
      </c>
      <c r="M765" s="2">
        <f>+K765-L765</f>
        <v>4.5</v>
      </c>
      <c r="N765" s="1">
        <f>+F765-J765</f>
        <v>-1.1086422628649228E-2</v>
      </c>
      <c r="O765" s="2">
        <v>95.7</v>
      </c>
      <c r="P765" s="2">
        <v>110.5</v>
      </c>
      <c r="Q765" s="2">
        <f>+O765-P765</f>
        <v>-14.799999999999997</v>
      </c>
      <c r="R765" s="2">
        <v>0.4</v>
      </c>
      <c r="S765" s="2">
        <v>3.5</v>
      </c>
      <c r="T765" s="2">
        <f>+Q765-M765</f>
        <v>-19.299999999999997</v>
      </c>
    </row>
    <row r="766" spans="1:20">
      <c r="A766" s="6">
        <v>638</v>
      </c>
      <c r="B766" t="s">
        <v>62</v>
      </c>
      <c r="C766" t="s">
        <v>15</v>
      </c>
      <c r="D766">
        <v>25</v>
      </c>
      <c r="E766">
        <v>57</v>
      </c>
      <c r="F766" s="1">
        <f>+D766/(D766+E766)</f>
        <v>0.3048780487804878</v>
      </c>
      <c r="G766" s="2">
        <v>111.5</v>
      </c>
      <c r="H766" s="2">
        <v>114.9</v>
      </c>
      <c r="I766" s="2">
        <f>+G766-H766</f>
        <v>-3.4000000000000057</v>
      </c>
      <c r="J766" s="1">
        <f>+(G766^14)/((G766^14+H766^14))</f>
        <v>0.39639081435339146</v>
      </c>
      <c r="K766" s="2">
        <v>111.9</v>
      </c>
      <c r="L766" s="2">
        <v>115.5</v>
      </c>
      <c r="M766" s="2">
        <f>+K766-L766</f>
        <v>-3.5999999999999943</v>
      </c>
      <c r="N766" s="1">
        <f>+F766-J766</f>
        <v>-9.1512765572903665E-2</v>
      </c>
      <c r="O766" s="2">
        <v>92</v>
      </c>
      <c r="P766" s="2">
        <v>114.9</v>
      </c>
      <c r="Q766" s="2">
        <f>+O766-P766</f>
        <v>-22.900000000000006</v>
      </c>
      <c r="R766" s="2">
        <v>-0.4</v>
      </c>
      <c r="S766" s="2">
        <v>-1.8</v>
      </c>
      <c r="T766" s="2">
        <f>+Q766-M766</f>
        <v>-19.300000000000011</v>
      </c>
    </row>
    <row r="767" spans="1:20">
      <c r="A767" s="6">
        <v>582</v>
      </c>
      <c r="B767" t="s">
        <v>60</v>
      </c>
      <c r="C767" t="s">
        <v>18</v>
      </c>
      <c r="D767">
        <v>44</v>
      </c>
      <c r="E767">
        <v>29</v>
      </c>
      <c r="F767" s="1">
        <f>+D767/(D767+E767)</f>
        <v>0.60273972602739723</v>
      </c>
      <c r="G767" s="2">
        <v>112</v>
      </c>
      <c r="H767" s="2">
        <v>109.1</v>
      </c>
      <c r="I767" s="2">
        <f>+G767-H767</f>
        <v>2.9000000000000057</v>
      </c>
      <c r="J767" s="1">
        <f>+(G767^14)/((G767^14+H767^14))</f>
        <v>0.5908005274630016</v>
      </c>
      <c r="K767" s="2">
        <v>111.9</v>
      </c>
      <c r="L767" s="2">
        <v>109.3</v>
      </c>
      <c r="M767" s="2">
        <f>+K767-L767</f>
        <v>2.6000000000000085</v>
      </c>
      <c r="N767" s="1">
        <f>+F767-J767</f>
        <v>1.1939198564395626E-2</v>
      </c>
      <c r="O767" s="2">
        <v>98.1</v>
      </c>
      <c r="P767" s="2">
        <v>115.1</v>
      </c>
      <c r="Q767" s="2">
        <f>+O767-P767</f>
        <v>-17</v>
      </c>
      <c r="R767" s="2">
        <v>-1.2</v>
      </c>
      <c r="S767" s="2">
        <v>-4.4000000000000004</v>
      </c>
      <c r="T767" s="2">
        <f>+Q767-M767</f>
        <v>-19.600000000000009</v>
      </c>
    </row>
    <row r="768" spans="1:20" s="5" customFormat="1">
      <c r="A768" s="6">
        <v>388</v>
      </c>
      <c r="B768" t="s">
        <v>52</v>
      </c>
      <c r="C768" t="s">
        <v>6</v>
      </c>
      <c r="D768">
        <v>25</v>
      </c>
      <c r="E768">
        <v>57</v>
      </c>
      <c r="F768" s="1">
        <f>+D768/(D768+E768)</f>
        <v>0.3048780487804878</v>
      </c>
      <c r="G768" s="2">
        <v>96.2</v>
      </c>
      <c r="H768" s="2">
        <v>100.7</v>
      </c>
      <c r="I768" s="2">
        <f>+G768-H768</f>
        <v>-4.5</v>
      </c>
      <c r="J768" s="1">
        <f>+(G768^14)/((G768^14+H768^14))</f>
        <v>0.34523971521963903</v>
      </c>
      <c r="K768" s="2">
        <v>101.9</v>
      </c>
      <c r="L768" s="2">
        <v>106.5</v>
      </c>
      <c r="M768" s="2">
        <f>+K768-L768</f>
        <v>-4.5999999999999943</v>
      </c>
      <c r="N768" s="1">
        <f>+F768-J768</f>
        <v>-4.0361666439151234E-2</v>
      </c>
      <c r="O768" s="2">
        <v>88.5</v>
      </c>
      <c r="P768" s="2">
        <v>112.9</v>
      </c>
      <c r="Q768" s="2">
        <f>+O768-P768</f>
        <v>-24.400000000000006</v>
      </c>
      <c r="R768" s="2">
        <v>-2</v>
      </c>
      <c r="S768" s="2">
        <v>-11.4</v>
      </c>
      <c r="T768" s="2">
        <f>+Q768-M768</f>
        <v>-19.800000000000011</v>
      </c>
    </row>
    <row r="769" spans="1:20">
      <c r="A769" s="6">
        <v>395</v>
      </c>
      <c r="B769" t="s">
        <v>52</v>
      </c>
      <c r="C769" t="s">
        <v>12</v>
      </c>
      <c r="D769">
        <v>29</v>
      </c>
      <c r="E769">
        <v>53</v>
      </c>
      <c r="F769" s="1">
        <f>+D769/(D769+E769)</f>
        <v>0.35365853658536583</v>
      </c>
      <c r="G769" s="2">
        <v>101</v>
      </c>
      <c r="H769" s="2">
        <v>104.7</v>
      </c>
      <c r="I769" s="2">
        <f>+G769-H769</f>
        <v>-3.7000000000000028</v>
      </c>
      <c r="J769" s="1">
        <f>+(G769^14)/((G769^14+H769^14))</f>
        <v>0.37667145253299883</v>
      </c>
      <c r="K769" s="2">
        <v>105.2</v>
      </c>
      <c r="L769" s="2">
        <v>109</v>
      </c>
      <c r="M769" s="2">
        <f>+K769-L769</f>
        <v>-3.7999999999999972</v>
      </c>
      <c r="N769" s="1">
        <f>+F769-J769</f>
        <v>-2.3012915947632995E-2</v>
      </c>
      <c r="O769" s="2">
        <v>85.5</v>
      </c>
      <c r="P769" s="2">
        <v>110</v>
      </c>
      <c r="Q769" s="2">
        <f>+O769-P769</f>
        <v>-24.5</v>
      </c>
      <c r="R769" s="2">
        <v>-2.4</v>
      </c>
      <c r="S769" s="2">
        <v>-11.8</v>
      </c>
      <c r="T769" s="2">
        <f>+Q769-M769</f>
        <v>-20.700000000000003</v>
      </c>
    </row>
    <row r="770" spans="1:20">
      <c r="A770" s="6">
        <v>575</v>
      </c>
      <c r="B770" t="s">
        <v>60</v>
      </c>
      <c r="C770" t="s">
        <v>12</v>
      </c>
      <c r="D770">
        <v>20</v>
      </c>
      <c r="E770">
        <v>46</v>
      </c>
      <c r="F770" s="1">
        <f>+D770/(D770+E770)</f>
        <v>0.30303030303030304</v>
      </c>
      <c r="G770" s="2">
        <v>107.2</v>
      </c>
      <c r="H770" s="2">
        <v>110.8</v>
      </c>
      <c r="I770" s="2">
        <f>+G770-H770</f>
        <v>-3.5999999999999943</v>
      </c>
      <c r="J770" s="1">
        <f>+(G770^14)/((G770^14+H770^14))</f>
        <v>0.38641014492971848</v>
      </c>
      <c r="K770" s="2">
        <v>108.8</v>
      </c>
      <c r="L770" s="2">
        <v>112.3</v>
      </c>
      <c r="M770" s="2">
        <f>+K770-L770</f>
        <v>-3.5</v>
      </c>
      <c r="N770" s="1">
        <f>+F770-J770</f>
        <v>-8.3379841899415441E-2</v>
      </c>
      <c r="O770" s="2">
        <v>91</v>
      </c>
      <c r="P770" s="2">
        <v>115.5</v>
      </c>
      <c r="Q770" s="2">
        <f>+O770-P770</f>
        <v>-24.5</v>
      </c>
      <c r="R770" s="2">
        <v>0</v>
      </c>
      <c r="S770" s="2">
        <v>-1</v>
      </c>
      <c r="T770" s="2">
        <f>+Q770-M770</f>
        <v>-21</v>
      </c>
    </row>
    <row r="771" spans="1:20">
      <c r="A771" s="6">
        <v>470</v>
      </c>
      <c r="B771" t="s">
        <v>55</v>
      </c>
      <c r="C771" t="s">
        <v>25</v>
      </c>
      <c r="D771">
        <v>23</v>
      </c>
      <c r="E771">
        <v>59</v>
      </c>
      <c r="F771" s="1">
        <f>+D771/(D771+E771)</f>
        <v>0.28048780487804881</v>
      </c>
      <c r="G771" s="2">
        <v>100.9</v>
      </c>
      <c r="H771" s="2">
        <v>107.5</v>
      </c>
      <c r="I771" s="2">
        <f>+G771-H771</f>
        <v>-6.5999999999999943</v>
      </c>
      <c r="J771" s="1">
        <f>+(G771^14)/((G771^14+H771^14))</f>
        <v>0.29171838314513582</v>
      </c>
      <c r="K771" s="2">
        <v>101.5</v>
      </c>
      <c r="L771" s="2">
        <v>107.9</v>
      </c>
      <c r="M771" s="2">
        <f>+K771-L771</f>
        <v>-6.4000000000000057</v>
      </c>
      <c r="N771" s="1">
        <f>+F771-J771</f>
        <v>-1.123057826708701E-2</v>
      </c>
      <c r="O771" s="2">
        <v>88.7</v>
      </c>
      <c r="P771" s="2">
        <v>116.2</v>
      </c>
      <c r="Q771" s="2">
        <f>+O771-P771</f>
        <v>-27.5</v>
      </c>
      <c r="R771" s="2">
        <v>-1.7</v>
      </c>
      <c r="S771" s="2">
        <v>-10.1</v>
      </c>
      <c r="T771" s="2">
        <f>+Q771-M771</f>
        <v>-21.099999999999994</v>
      </c>
    </row>
    <row r="772" spans="1:20">
      <c r="A772" s="6">
        <v>475</v>
      </c>
      <c r="B772" t="s">
        <v>55</v>
      </c>
      <c r="C772" t="s">
        <v>31</v>
      </c>
      <c r="D772">
        <v>40</v>
      </c>
      <c r="E772">
        <v>42</v>
      </c>
      <c r="F772" s="1">
        <f>+D772/(D772+E772)</f>
        <v>0.48780487804878048</v>
      </c>
      <c r="G772" s="2">
        <v>97.7</v>
      </c>
      <c r="H772" s="2">
        <v>95.9</v>
      </c>
      <c r="I772" s="2">
        <f>+G772-H772</f>
        <v>1.7999999999999972</v>
      </c>
      <c r="J772" s="1">
        <f>+(G772^14)/((G772^14+H772^14))</f>
        <v>0.56471939759532841</v>
      </c>
      <c r="K772" s="2">
        <v>105</v>
      </c>
      <c r="L772" s="2">
        <v>103.2</v>
      </c>
      <c r="M772" s="2">
        <f>+K772-L772</f>
        <v>1.7999999999999972</v>
      </c>
      <c r="N772" s="1">
        <f>+F772-J772</f>
        <v>-7.6914519546547933E-2</v>
      </c>
      <c r="O772" s="2">
        <v>99.5</v>
      </c>
      <c r="P772" s="2">
        <v>118.9</v>
      </c>
      <c r="Q772" s="2">
        <f>+O772-P772</f>
        <v>-19.400000000000006</v>
      </c>
      <c r="R772" s="2">
        <v>0.5</v>
      </c>
      <c r="S772" s="2">
        <v>2.7</v>
      </c>
      <c r="T772" s="2">
        <f>+Q772-M772</f>
        <v>-21.200000000000003</v>
      </c>
    </row>
    <row r="773" spans="1:20">
      <c r="A773" s="6">
        <v>354</v>
      </c>
      <c r="B773" t="s">
        <v>49</v>
      </c>
      <c r="C773" t="s">
        <v>30</v>
      </c>
      <c r="D773">
        <v>23</v>
      </c>
      <c r="E773">
        <v>43</v>
      </c>
      <c r="F773" s="1">
        <f>+D773/(D773+E773)</f>
        <v>0.34848484848484851</v>
      </c>
      <c r="G773" s="2">
        <v>90.7</v>
      </c>
      <c r="H773" s="2">
        <v>94</v>
      </c>
      <c r="I773" s="2">
        <f>+G773-H773</f>
        <v>-3.2999999999999972</v>
      </c>
      <c r="J773" s="1">
        <f>+(G773^14)/((G773^14+H773^14))</f>
        <v>0.37746454187633971</v>
      </c>
      <c r="K773" s="2">
        <v>99.6</v>
      </c>
      <c r="L773" s="2">
        <v>103.6</v>
      </c>
      <c r="M773" s="2">
        <f>+K773-L773</f>
        <v>-4</v>
      </c>
      <c r="N773" s="1">
        <f>+F773-J773</f>
        <v>-2.8979693391491201E-2</v>
      </c>
      <c r="O773" s="2">
        <v>88.6</v>
      </c>
      <c r="P773" s="2">
        <v>114.7</v>
      </c>
      <c r="Q773" s="2">
        <f>+O773-P773</f>
        <v>-26.100000000000009</v>
      </c>
      <c r="R773" s="2">
        <v>-1.4</v>
      </c>
      <c r="S773" s="2">
        <v>-7.8</v>
      </c>
      <c r="T773" s="2">
        <f>+Q773-M773</f>
        <v>-22.100000000000009</v>
      </c>
    </row>
    <row r="774" spans="1:20">
      <c r="A774" s="6">
        <v>75</v>
      </c>
      <c r="B774" t="s">
        <v>36</v>
      </c>
      <c r="C774" t="s">
        <v>21</v>
      </c>
      <c r="D774">
        <v>49</v>
      </c>
      <c r="E774">
        <v>33</v>
      </c>
      <c r="F774" s="1">
        <f>+D774/(D774+E774)</f>
        <v>0.59756097560975607</v>
      </c>
      <c r="G774" s="2">
        <v>95.4</v>
      </c>
      <c r="H774" s="2">
        <v>90.1</v>
      </c>
      <c r="I774" s="2">
        <f>+G774-H774</f>
        <v>5.3000000000000114</v>
      </c>
      <c r="J774" s="1">
        <f>+(G774^14)/((G774^14+H774^14))</f>
        <v>0.69002106739686153</v>
      </c>
      <c r="K774" s="2">
        <v>102.1</v>
      </c>
      <c r="L774" s="2">
        <v>96.6</v>
      </c>
      <c r="M774" s="2">
        <f>+K774-L774</f>
        <v>5.5</v>
      </c>
      <c r="N774" s="1">
        <f>+F774-J774</f>
        <v>-9.2460091787105458E-2</v>
      </c>
      <c r="O774" s="2">
        <v>83.1</v>
      </c>
      <c r="P774" s="2">
        <v>100</v>
      </c>
      <c r="Q774" s="2">
        <f>+O774-P774</f>
        <v>-16.900000000000006</v>
      </c>
      <c r="R774" s="2">
        <v>-0.7</v>
      </c>
      <c r="S774" s="2">
        <v>-3.2</v>
      </c>
      <c r="T774" s="2">
        <f>+Q774-M774</f>
        <v>-22.400000000000006</v>
      </c>
    </row>
    <row r="775" spans="1:20">
      <c r="A775" s="6">
        <v>646</v>
      </c>
      <c r="B775" t="s">
        <v>62</v>
      </c>
      <c r="C775" t="s">
        <v>22</v>
      </c>
      <c r="D775">
        <v>37</v>
      </c>
      <c r="E775">
        <v>45</v>
      </c>
      <c r="F775" s="1">
        <f>+D775/(D775+E775)</f>
        <v>0.45121951219512196</v>
      </c>
      <c r="G775" s="2">
        <v>106.5</v>
      </c>
      <c r="H775" s="2">
        <v>106.6</v>
      </c>
      <c r="I775" s="2">
        <f>+G775-H775</f>
        <v>-9.9999999999994316E-2</v>
      </c>
      <c r="J775" s="1">
        <f>+(G775^14)/((G775^14+H775^14))</f>
        <v>0.49671520422004956</v>
      </c>
      <c r="K775" s="2">
        <v>109.7</v>
      </c>
      <c r="L775" s="2">
        <v>110.2</v>
      </c>
      <c r="M775" s="2">
        <f>+K775-L775</f>
        <v>-0.5</v>
      </c>
      <c r="N775" s="1">
        <f>+F775-J775</f>
        <v>-4.5495692024927592E-2</v>
      </c>
      <c r="O775" s="2">
        <v>93.2</v>
      </c>
      <c r="P775" s="2">
        <v>116.4</v>
      </c>
      <c r="Q775" s="2">
        <f>+O775-P775</f>
        <v>-23.200000000000003</v>
      </c>
      <c r="R775" s="2">
        <v>-0.3</v>
      </c>
      <c r="S775" s="2">
        <v>-2.6</v>
      </c>
      <c r="T775" s="2">
        <f>+Q775-M775</f>
        <v>-22.700000000000003</v>
      </c>
    </row>
    <row r="776" spans="1:20">
      <c r="A776" s="6">
        <v>210</v>
      </c>
      <c r="B776" t="s">
        <v>44</v>
      </c>
      <c r="C776" t="s">
        <v>8</v>
      </c>
      <c r="D776">
        <v>33</v>
      </c>
      <c r="E776">
        <v>49</v>
      </c>
      <c r="F776" s="1">
        <f>+D776/(D776+E776)</f>
        <v>0.40243902439024393</v>
      </c>
      <c r="G776" s="2">
        <v>97.3</v>
      </c>
      <c r="H776" s="2">
        <v>100.4</v>
      </c>
      <c r="I776" s="2">
        <f>+G776-H776</f>
        <v>-3.1000000000000085</v>
      </c>
      <c r="J776" s="1">
        <f>+(G776^14)/((G776^14+H776^14))</f>
        <v>0.39195900440907944</v>
      </c>
      <c r="K776" s="2">
        <v>102.9</v>
      </c>
      <c r="L776" s="2">
        <v>106</v>
      </c>
      <c r="M776" s="2">
        <f>+K776-L776</f>
        <v>-3.0999999999999943</v>
      </c>
      <c r="N776" s="1">
        <f>+F776-J776</f>
        <v>1.048001998116449E-2</v>
      </c>
      <c r="O776" s="2">
        <v>90</v>
      </c>
      <c r="P776" s="2">
        <v>116</v>
      </c>
      <c r="Q776" s="2">
        <f>+O776-P776</f>
        <v>-26</v>
      </c>
      <c r="R776" s="2">
        <v>-1.5</v>
      </c>
      <c r="S776" s="2">
        <v>-6.5</v>
      </c>
      <c r="T776" s="2">
        <f>+Q776-M776</f>
        <v>-22.900000000000006</v>
      </c>
    </row>
    <row r="777" spans="1:20">
      <c r="A777" s="6">
        <v>384</v>
      </c>
      <c r="B777" t="s">
        <v>50</v>
      </c>
      <c r="C777" t="s">
        <v>30</v>
      </c>
      <c r="D777">
        <v>34</v>
      </c>
      <c r="E777">
        <v>48</v>
      </c>
      <c r="F777" s="1">
        <f>+D777/(D777+E777)</f>
        <v>0.41463414634146339</v>
      </c>
      <c r="G777" s="2">
        <v>97.2</v>
      </c>
      <c r="H777" s="2">
        <v>98.7</v>
      </c>
      <c r="I777" s="2">
        <f>+G777-H777</f>
        <v>-1.5</v>
      </c>
      <c r="J777" s="1">
        <f>+(G777^14)/((G777^14+H777^14))</f>
        <v>0.4466045570075422</v>
      </c>
      <c r="K777" s="2">
        <v>105</v>
      </c>
      <c r="L777" s="2">
        <v>106.4</v>
      </c>
      <c r="M777" s="2">
        <f>+K777-L777</f>
        <v>-1.4000000000000057</v>
      </c>
      <c r="N777" s="1">
        <f>+F777-J777</f>
        <v>-3.1970410666078808E-2</v>
      </c>
      <c r="O777" s="2">
        <v>87.8</v>
      </c>
      <c r="P777" s="2">
        <v>112.9</v>
      </c>
      <c r="Q777" s="2">
        <f>+O777-P777</f>
        <v>-25.100000000000009</v>
      </c>
      <c r="R777" s="2">
        <v>-1.5</v>
      </c>
      <c r="S777" s="2">
        <v>-6.6</v>
      </c>
      <c r="T777" s="2">
        <f>+Q777-M777</f>
        <v>-23.700000000000003</v>
      </c>
    </row>
    <row r="778" spans="1:20">
      <c r="A778" s="6">
        <v>749</v>
      </c>
      <c r="B778" t="s">
        <v>66</v>
      </c>
      <c r="C778" t="s">
        <v>51</v>
      </c>
      <c r="D778">
        <v>16</v>
      </c>
      <c r="E778">
        <v>47</v>
      </c>
      <c r="F778" s="1">
        <f>+D778/(D778+E778)</f>
        <v>0.25396825396825395</v>
      </c>
      <c r="G778" s="2">
        <v>106.9</v>
      </c>
      <c r="H778" s="2">
        <v>115.6</v>
      </c>
      <c r="I778" s="2">
        <f>+G778-H778</f>
        <v>-8.6999999999999886</v>
      </c>
      <c r="J778" s="1">
        <f>+(G778^14)/((G778^14+H778^14))</f>
        <v>0.25060467792949209</v>
      </c>
      <c r="K778" s="2">
        <v>109.6</v>
      </c>
      <c r="L778" s="2">
        <v>118.3</v>
      </c>
      <c r="M778" s="2">
        <f>+K778-L778</f>
        <v>-8.7000000000000028</v>
      </c>
      <c r="N778" s="1">
        <f>+F778-J778</f>
        <v>3.3635760387618618E-3</v>
      </c>
      <c r="O778" s="2">
        <v>99.4</v>
      </c>
      <c r="P778" s="2">
        <v>132.1</v>
      </c>
      <c r="Q778" s="2">
        <f>+O778-P778</f>
        <v>-32.699999999999989</v>
      </c>
      <c r="R778" s="2">
        <v>-1.3</v>
      </c>
      <c r="S778" s="2">
        <v>-6.1</v>
      </c>
      <c r="T778" s="2">
        <f>+Q778-M778</f>
        <v>-23.999999999999986</v>
      </c>
    </row>
    <row r="779" spans="1:20">
      <c r="A779" s="6">
        <v>585</v>
      </c>
      <c r="B779" t="s">
        <v>60</v>
      </c>
      <c r="C779" t="s">
        <v>53</v>
      </c>
      <c r="D779">
        <v>30</v>
      </c>
      <c r="E779">
        <v>42</v>
      </c>
      <c r="F779" s="1">
        <f>+D779/(D779+E779)</f>
        <v>0.41666666666666669</v>
      </c>
      <c r="G779" s="2">
        <v>115.8</v>
      </c>
      <c r="H779" s="2">
        <v>117.1</v>
      </c>
      <c r="I779" s="2">
        <f>+G779-H779</f>
        <v>-1.2999999999999972</v>
      </c>
      <c r="J779" s="1">
        <f>+(G779^14)/((G779^14+H779^14))</f>
        <v>0.46100637384195686</v>
      </c>
      <c r="K779" s="2">
        <v>110.5</v>
      </c>
      <c r="L779" s="2">
        <v>111.8</v>
      </c>
      <c r="M779" s="2">
        <f>+K779-L779</f>
        <v>-1.2999999999999972</v>
      </c>
      <c r="N779" s="1">
        <f>+F779-J779</f>
        <v>-4.4339707175290177E-2</v>
      </c>
      <c r="O779" s="2">
        <v>93.4</v>
      </c>
      <c r="P779" s="2">
        <v>119.8</v>
      </c>
      <c r="Q779" s="2">
        <f>+O779-P779</f>
        <v>-26.399999999999991</v>
      </c>
      <c r="R779" s="2">
        <v>0.1</v>
      </c>
      <c r="S779" s="2">
        <v>1.3</v>
      </c>
      <c r="T779" s="2">
        <f>+Q779-M779</f>
        <v>-25.099999999999994</v>
      </c>
    </row>
    <row r="780" spans="1:20">
      <c r="A780" s="6">
        <v>695</v>
      </c>
      <c r="B780" t="s">
        <v>64</v>
      </c>
      <c r="C780" t="s">
        <v>12</v>
      </c>
      <c r="D780">
        <v>14</v>
      </c>
      <c r="E780">
        <v>68</v>
      </c>
      <c r="F780" s="1">
        <f>+D780/(D780+E780)</f>
        <v>0.17073170731707318</v>
      </c>
      <c r="G780" s="2">
        <v>109.9</v>
      </c>
      <c r="H780" s="2">
        <v>119</v>
      </c>
      <c r="I780" s="2">
        <f>+G780-H780</f>
        <v>-9.0999999999999943</v>
      </c>
      <c r="J780" s="1">
        <f>+(G780^14)/((G780^14+H780^14))</f>
        <v>0.24717488192529891</v>
      </c>
      <c r="K780" s="2">
        <v>109</v>
      </c>
      <c r="L780" s="2">
        <v>118</v>
      </c>
      <c r="M780" s="2">
        <f>+K780-L780</f>
        <v>-9</v>
      </c>
      <c r="N780" s="1">
        <f>+F780-J780</f>
        <v>-7.6443174608225722E-2</v>
      </c>
      <c r="O780" s="2">
        <v>93.7</v>
      </c>
      <c r="P780" s="2">
        <v>128.1</v>
      </c>
      <c r="Q780" s="2">
        <f>+O780-P780</f>
        <v>-34.399999999999991</v>
      </c>
      <c r="R780" s="2">
        <v>-0.9</v>
      </c>
      <c r="S780" s="2">
        <v>-6.1</v>
      </c>
      <c r="T780" s="2">
        <f>+Q780-M780</f>
        <v>-25.399999999999991</v>
      </c>
    </row>
    <row r="781" spans="1:20">
      <c r="A781" s="6">
        <v>513</v>
      </c>
      <c r="B781" t="s">
        <v>58</v>
      </c>
      <c r="C781" t="s">
        <v>10</v>
      </c>
      <c r="D781">
        <v>24</v>
      </c>
      <c r="E781">
        <v>58</v>
      </c>
      <c r="F781" s="1">
        <f>+D781/(D781+E781)</f>
        <v>0.29268292682926828</v>
      </c>
      <c r="G781" s="2">
        <v>102.3</v>
      </c>
      <c r="H781" s="2">
        <v>105.4</v>
      </c>
      <c r="I781" s="2">
        <f>+G781-H781</f>
        <v>-3.1000000000000085</v>
      </c>
      <c r="J781" s="1">
        <f>+(G781^14)/((G781^14+H781^14))</f>
        <v>0.39700943969095354</v>
      </c>
      <c r="K781" s="2">
        <v>105.4</v>
      </c>
      <c r="L781" s="2">
        <v>108.4</v>
      </c>
      <c r="M781" s="2">
        <f>+K781-L781</f>
        <v>-3</v>
      </c>
      <c r="N781" s="1">
        <f>+F781-J781</f>
        <v>-0.10432651286168526</v>
      </c>
      <c r="O781" s="2">
        <v>88.3</v>
      </c>
      <c r="P781" s="2">
        <v>116.7</v>
      </c>
      <c r="Q781" s="2">
        <f>+O781-P781</f>
        <v>-28.400000000000006</v>
      </c>
      <c r="R781" s="2">
        <v>-1</v>
      </c>
      <c r="S781" s="2">
        <v>-4</v>
      </c>
      <c r="T781" s="2">
        <f>+Q781-M781</f>
        <v>-25.400000000000006</v>
      </c>
    </row>
    <row r="782" spans="1:20">
      <c r="A782" s="6">
        <v>716</v>
      </c>
      <c r="B782" t="s">
        <v>64</v>
      </c>
      <c r="C782" t="s">
        <v>33</v>
      </c>
      <c r="D782">
        <v>15</v>
      </c>
      <c r="E782">
        <v>67</v>
      </c>
      <c r="F782" s="1">
        <f>+D782/(D782+E782)</f>
        <v>0.18292682926829268</v>
      </c>
      <c r="G782" s="2">
        <v>113.7</v>
      </c>
      <c r="H782" s="2">
        <v>123</v>
      </c>
      <c r="I782" s="2">
        <f>+G782-H782</f>
        <v>-9.2999999999999972</v>
      </c>
      <c r="J782" s="1">
        <f>+(G782^14)/((G782^14+H782^14))</f>
        <v>0.24961000130344238</v>
      </c>
      <c r="K782" s="2">
        <v>110.2</v>
      </c>
      <c r="L782" s="2">
        <v>118.9</v>
      </c>
      <c r="M782" s="2">
        <f>+K782-L782</f>
        <v>-8.7000000000000028</v>
      </c>
      <c r="N782" s="1">
        <f>+F782-J782</f>
        <v>-6.6683172035149701E-2</v>
      </c>
      <c r="O782" s="2">
        <v>85.1</v>
      </c>
      <c r="P782" s="2">
        <v>123</v>
      </c>
      <c r="Q782" s="2">
        <f>+O782-P782</f>
        <v>-37.900000000000006</v>
      </c>
      <c r="R782" s="2">
        <v>-0.3</v>
      </c>
      <c r="S782" s="2">
        <v>-1.2</v>
      </c>
      <c r="T782" s="2">
        <f>+Q782-M782</f>
        <v>-29.200000000000003</v>
      </c>
    </row>
    <row r="783" spans="1:20">
      <c r="A783" s="6">
        <v>313</v>
      </c>
      <c r="B783" t="s">
        <v>48</v>
      </c>
      <c r="C783" t="s">
        <v>20</v>
      </c>
      <c r="D783">
        <v>17</v>
      </c>
      <c r="E783">
        <v>65</v>
      </c>
      <c r="F783" s="1">
        <f>+D783/(D783+E783)</f>
        <v>0.2073170731707317</v>
      </c>
      <c r="G783" s="2">
        <v>101.1</v>
      </c>
      <c r="H783" s="2">
        <v>107.7</v>
      </c>
      <c r="I783" s="2">
        <f>+G783-H783</f>
        <v>-6.6000000000000085</v>
      </c>
      <c r="J783" s="1">
        <f>+(G783^14)/((G783^14+H783^14))</f>
        <v>0.2920698563562486</v>
      </c>
      <c r="K783" s="2">
        <v>103.2</v>
      </c>
      <c r="L783" s="2">
        <v>109.9</v>
      </c>
      <c r="M783" s="2">
        <f>+K783-L783</f>
        <v>-6.7000000000000028</v>
      </c>
      <c r="N783" s="1">
        <f>+F783-J783</f>
        <v>-8.4752783185516906E-2</v>
      </c>
      <c r="O783" s="2">
        <v>91.1</v>
      </c>
      <c r="P783" s="2">
        <v>129.80000000000001</v>
      </c>
      <c r="Q783" s="2">
        <f>+O783-P783</f>
        <v>-38.700000000000017</v>
      </c>
      <c r="R783" s="2">
        <v>-1.7</v>
      </c>
      <c r="S783" s="2">
        <v>-10.199999999999999</v>
      </c>
      <c r="T783" s="2">
        <f>+Q783-M783</f>
        <v>-32.000000000000014</v>
      </c>
    </row>
    <row r="784" spans="1:20">
      <c r="A784" s="6">
        <v>469</v>
      </c>
      <c r="B784" t="s">
        <v>55</v>
      </c>
      <c r="C784" t="s">
        <v>24</v>
      </c>
      <c r="D784">
        <v>10</v>
      </c>
      <c r="E784">
        <v>72</v>
      </c>
      <c r="F784" s="1">
        <f>+D784/(D784+E784)</f>
        <v>0.12195121951219512</v>
      </c>
      <c r="G784" s="2">
        <v>97.4</v>
      </c>
      <c r="H784" s="2">
        <v>107.6</v>
      </c>
      <c r="I784" s="2">
        <f>+G784-H784</f>
        <v>-10.199999999999989</v>
      </c>
      <c r="J784" s="1">
        <f>+(G784^14)/((G784^14+H784^14))</f>
        <v>0.1987186515098173</v>
      </c>
      <c r="K784" s="2">
        <v>98.4</v>
      </c>
      <c r="L784" s="2">
        <v>108.6</v>
      </c>
      <c r="M784" s="2">
        <f>+K784-L784</f>
        <v>-10.199999999999989</v>
      </c>
      <c r="N784" s="1">
        <f>+F784-J784</f>
        <v>-7.6767431997622176E-2</v>
      </c>
      <c r="O784" s="2">
        <v>78.599999999999994</v>
      </c>
      <c r="P784" s="2">
        <v>123.5</v>
      </c>
      <c r="Q784" s="2">
        <f>+O784-P784</f>
        <v>-44.900000000000006</v>
      </c>
      <c r="R784" s="2">
        <v>-2</v>
      </c>
      <c r="S784" s="2">
        <v>-9.6</v>
      </c>
      <c r="T784" s="2">
        <f>+Q784-M784</f>
        <v>-34.700000000000017</v>
      </c>
    </row>
  </sheetData>
  <sortState xmlns:xlrd2="http://schemas.microsoft.com/office/spreadsheetml/2017/richdata2" ref="A9:T784">
    <sortCondition descending="1" ref="T9:T784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original</vt:lpstr>
      <vt:lpstr>copy</vt:lpstr>
      <vt:lpstr>copy (2)</vt:lpstr>
      <vt:lpstr>copy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Schoen</dc:creator>
  <cp:lastModifiedBy>Rob Schoen</cp:lastModifiedBy>
  <dcterms:created xsi:type="dcterms:W3CDTF">2026-03-08T18:51:22Z</dcterms:created>
  <dcterms:modified xsi:type="dcterms:W3CDTF">2026-03-08T18:51:22Z</dcterms:modified>
</cp:coreProperties>
</file>